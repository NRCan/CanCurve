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2-S-BU-EC_NBFR\"/>
    </mc:Choice>
  </mc:AlternateContent>
  <xr:revisionPtr revIDLastSave="0" documentId="13_ncr:1_{07C6E9AD-9D80-43BB-B3FE-4DBA3B82678A}" xr6:coauthVersionLast="47" xr6:coauthVersionMax="47" xr10:uidLastSave="{00000000-0000-0000-0000-000000000000}"/>
  <bookViews>
    <workbookView xWindow="25080" yWindow="-120" windowWidth="25440" windowHeight="15390" tabRatio="813" activeTab="3" xr2:uid="{7C5655A8-2A5B-4B20-ABA5-441C5835F3C9}"/>
  </bookViews>
  <sheets>
    <sheet name="R_2-S-BU-EC_info" sheetId="50" r:id="rId1"/>
    <sheet name="R_2-S-BU-EC_NBFR_m2" sheetId="52" r:id="rId2"/>
    <sheet name="R_2-S-BU-EC_NBFR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29" r:id="rId13"/>
    <pivotCache cacheId="35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268" i="51" l="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E2" i="50"/>
  <c r="L33" i="49"/>
  <c r="L32" i="49"/>
  <c r="L31" i="49"/>
  <c r="L30" i="49"/>
  <c r="M29" i="49"/>
  <c r="N29" i="49" s="1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M17" i="49"/>
  <c r="N17" i="49" s="1"/>
  <c r="M16" i="49"/>
  <c r="N16" i="49" s="1"/>
  <c r="M15" i="49"/>
  <c r="N15" i="49" s="1"/>
  <c r="M14" i="49"/>
  <c r="N14" i="49" s="1"/>
  <c r="M13" i="49"/>
  <c r="N13" i="49" s="1"/>
  <c r="M12" i="49"/>
  <c r="N12" i="49" s="1"/>
  <c r="N11" i="49"/>
  <c r="M11" i="49"/>
  <c r="M10" i="49"/>
  <c r="N10" i="49" s="1"/>
  <c r="M9" i="49"/>
  <c r="N9" i="49" s="1"/>
  <c r="M8" i="49"/>
  <c r="N8" i="49" s="1"/>
  <c r="L8" i="49"/>
  <c r="M7" i="49"/>
  <c r="N7" i="49" s="1"/>
  <c r="M6" i="49"/>
  <c r="N6" i="49" s="1"/>
  <c r="L6" i="49"/>
  <c r="M5" i="49"/>
  <c r="N5" i="49" s="1"/>
  <c r="L5" i="49"/>
  <c r="L18" i="49" s="1"/>
  <c r="Q32" i="49"/>
  <c r="Q28" i="49"/>
  <c r="Q24" i="49"/>
  <c r="Q20" i="49"/>
  <c r="Q16" i="49"/>
  <c r="Q12" i="49"/>
  <c r="R8" i="49"/>
  <c r="P7" i="49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Q33" i="49"/>
  <c r="Q29" i="49"/>
  <c r="Q25" i="49"/>
  <c r="Q21" i="49"/>
  <c r="Q17" i="49"/>
  <c r="Q13" i="49"/>
  <c r="R9" i="49"/>
  <c r="P8" i="49"/>
  <c r="R5" i="49"/>
  <c r="R19" i="49"/>
  <c r="R15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R6" i="49"/>
  <c r="P5" i="49"/>
  <c r="Q30" i="49"/>
  <c r="Q26" i="49"/>
  <c r="Q22" i="49"/>
  <c r="Q18" i="49"/>
  <c r="Q14" i="49"/>
  <c r="Q10" i="49"/>
  <c r="P9" i="49"/>
  <c r="P14" i="49"/>
  <c r="P10" i="49"/>
  <c r="R31" i="49"/>
  <c r="P30" i="49"/>
  <c r="R27" i="49"/>
  <c r="P26" i="49"/>
  <c r="R23" i="49"/>
  <c r="P22" i="49"/>
  <c r="P18" i="49"/>
  <c r="R11" i="49"/>
  <c r="Q31" i="49"/>
  <c r="Q27" i="49"/>
  <c r="Q23" i="49"/>
  <c r="Q19" i="49"/>
  <c r="Q15" i="49"/>
  <c r="Q11" i="49"/>
  <c r="R7" i="49"/>
  <c r="P6" i="49"/>
  <c r="R32" i="49"/>
  <c r="P31" i="49"/>
  <c r="R28" i="49"/>
  <c r="P27" i="49"/>
  <c r="R24" i="49"/>
  <c r="P23" i="49"/>
  <c r="R20" i="49"/>
  <c r="P19" i="49"/>
  <c r="R16" i="49"/>
  <c r="P15" i="49"/>
  <c r="R12" i="49"/>
  <c r="P11" i="49"/>
  <c r="Q7" i="49"/>
  <c r="Q6" i="49"/>
  <c r="N19" i="49" l="1"/>
  <c r="M25" i="49"/>
  <c r="N25" i="49" s="1"/>
  <c r="M21" i="49"/>
  <c r="N21" i="49" s="1"/>
  <c r="L9" i="49"/>
  <c r="M22" i="49"/>
  <c r="N22" i="49" s="1"/>
  <c r="M26" i="49"/>
  <c r="N26" i="49" s="1"/>
  <c r="M30" i="49"/>
  <c r="N30" i="49" s="1"/>
  <c r="L13" i="49"/>
  <c r="L17" i="49"/>
  <c r="M33" i="49"/>
  <c r="L12" i="49"/>
  <c r="L16" i="49"/>
  <c r="L7" i="49"/>
  <c r="M20" i="49"/>
  <c r="N20" i="49" s="1"/>
  <c r="M24" i="49"/>
  <c r="N24" i="49" s="1"/>
  <c r="M28" i="49"/>
  <c r="N28" i="49" s="1"/>
  <c r="M32" i="49"/>
  <c r="N32" i="49" s="1"/>
  <c r="L11" i="49"/>
  <c r="L15" i="49"/>
  <c r="M23" i="49"/>
  <c r="N23" i="49" s="1"/>
  <c r="M27" i="49"/>
  <c r="N27" i="49" s="1"/>
  <c r="L10" i="49"/>
  <c r="L14" i="49"/>
  <c r="B10" i="49" l="1"/>
  <c r="N33" i="49"/>
  <c r="C23" i="2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<sst xmlns="http://schemas.openxmlformats.org/spreadsheetml/2006/main" count="4143" uniqueCount="593">
  <si>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</si>
  <si>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</si>
  <si>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</si>
  <si>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</si>
  <si>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</si>
  <si>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</si>
  <si>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</si>
  <si>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</si>
  <si>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</si>
  <si>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</si>
  <si>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</si>
  <si>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</si>
  <si>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</si>
  <si>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</si>
  <si>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</si>
  <si>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</si>
  <si>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</si>
  <si>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</si>
  <si>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</si>
  <si>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</si>
  <si>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</si>
  <si>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</si>
  <si>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</si>
  <si>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</si>
  <si>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</si>
  <si>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</si>
  <si>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</si>
  <si>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</si>
  <si>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</si>
  <si>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</si>
  <si>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</si>
  <si>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</si>
  <si>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</si>
  <si>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</si>
  <si>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</si>
  <si>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</si>
  <si>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</si>
  <si>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</si>
  <si>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</si>
  <si>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</si>
  <si>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</si>
  <si>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</si>
  <si>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</si>
  <si>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</si>
  <si>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</si>
  <si>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</si>
  <si>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</si>
  <si>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</si>
  <si>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</si>
  <si>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</si>
  <si>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</si>
  <si>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</si>
  <si>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</si>
  <si>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</si>
  <si>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</si>
  <si>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</si>
  <si>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</si>
  <si>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</si>
  <si>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</si>
  <si>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</si>
  <si>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</si>
  <si>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</si>
  <si>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</si>
  <si>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</si>
  <si>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</si>
  <si>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</si>
  <si>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</si>
  <si>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</si>
  <si>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</si>
  <si>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</si>
  <si>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</si>
  <si>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</si>
  <si>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</si>
  <si>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</si>
  <si>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</si>
  <si>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</si>
  <si>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</si>
  <si>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</si>
  <si>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</si>
  <si>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</si>
  <si>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</si>
  <si>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</si>
  <si>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</si>
  <si>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</si>
  <si>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</si>
  <si>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</si>
  <si>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</si>
  <si>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</si>
  <si>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</si>
  <si>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</si>
  <si>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</si>
  <si>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</si>
  <si>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</si>
  <si>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</si>
  <si>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</si>
  <si>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</si>
  <si>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</si>
  <si>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</si>
  <si>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</si>
  <si>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</si>
  <si>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</si>
  <si>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</si>
  <si>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</si>
  <si>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</si>
  <si>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</si>
  <si>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</si>
  <si>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</si>
  <si>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</si>
  <si>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</si>
  <si>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</si>
  <si>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</si>
  <si>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</si>
  <si>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</si>
  <si>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</si>
  <si>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</si>
  <si>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</si>
  <si>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</si>
  <si>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</si>
  <si>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</si>
  <si>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</si>
  <si>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</si>
  <si>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</si>
  <si>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</si>
  <si>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</si>
  <si>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</si>
  <si>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</si>
  <si>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</si>
  <si>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</si>
  <si>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</si>
  <si>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</si>
  <si>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</si>
  <si>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</si>
  <si>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</si>
  <si>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</si>
  <si>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</si>
  <si>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</si>
  <si>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</si>
  <si>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</si>
  <si>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R_2-S-BU-EC_NBFR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</si>
  <si>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</si>
  <si>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</si>
  <si>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</si>
  <si>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</si>
  <si>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</si>
  <si>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R_2-B</t>
  </si>
  <si>
    <t>Depth</t>
  </si>
  <si>
    <t>Damage</t>
  </si>
  <si>
    <t>default formula for reference (active formula - copy and paste values to retain if making changes)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</si>
  <si>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</si>
  <si>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</si>
  <si>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</si>
  <si>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</si>
  <si>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</si>
  <si>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</si>
  <si>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</si>
  <si>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</si>
  <si>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</si>
  <si>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</si>
  <si>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</si>
  <si>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</si>
  <si>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</si>
  <si>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</si>
  <si>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</si>
  <si>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</si>
  <si>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</si>
  <si>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</si>
  <si>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</si>
  <si>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</si>
  <si>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</si>
  <si>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</si>
  <si>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</si>
  <si>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</si>
  <si>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</si>
  <si>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</si>
  <si>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</si>
  <si>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R_2-S-BU-EC</t>
  </si>
  <si>
    <t>residential</t>
  </si>
  <si>
    <t>small</t>
  </si>
  <si>
    <t>no</t>
  </si>
  <si>
    <t>economy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</si>
  <si>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</si>
  <si>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</si>
  <si>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</si>
  <si>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</si>
  <si>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</si>
  <si>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</si>
  <si>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</si>
  <si>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</si>
  <si>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</si>
  <si>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</si>
  <si>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</si>
  <si>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</si>
  <si>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Economy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</si>
  <si>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</si>
  <si>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</si>
  <si>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</si>
  <si>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</si>
  <si>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</si>
  <si>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</si>
  <si>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</si>
  <si>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</si>
  <si>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</si>
  <si>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</si>
  <si>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</si>
  <si>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</si>
  <si>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4-5 Corners - Square/Rectangle</t>
  </si>
  <si>
    <t>Exterior Wall Finish</t>
  </si>
  <si>
    <t>Siding - Vinyl</t>
  </si>
  <si>
    <t xml:space="preserve">Exterior Wall Construction </t>
  </si>
  <si>
    <t>wood framing 100%</t>
  </si>
  <si>
    <t>Roof Cover</t>
  </si>
  <si>
    <t>composition - 3 Tab Shingle</t>
  </si>
  <si>
    <t>rRoof Shape</t>
  </si>
  <si>
    <t>gable</t>
  </si>
  <si>
    <t>Garage/Carport</t>
  </si>
  <si>
    <t>Floor Coverings</t>
  </si>
  <si>
    <t>Carpet 80%, Sheet Vinyl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</si>
  <si>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</si>
  <si>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</si>
  <si>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</si>
  <si>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</si>
  <si>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</si>
  <si>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</si>
  <si>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</si>
  <si>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</si>
  <si>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</si>
  <si>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</si>
  <si>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</si>
  <si>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</si>
  <si>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</si>
  <si>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</si>
  <si>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</si>
  <si>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</si>
  <si>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</si>
  <si>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</si>
  <si>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</si>
  <si>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</si>
  <si>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</si>
  <si>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</si>
  <si>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specitaly systems</t>
  </si>
  <si>
    <t>electrical service</t>
  </si>
  <si>
    <t>100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</si>
  <si>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</si>
  <si>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</si>
  <si>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</si>
  <si>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</si>
  <si>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</si>
  <si>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</si>
  <si>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</si>
  <si>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</si>
  <si>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</si>
  <si>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</si>
  <si>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</si>
  <si>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</si>
  <si>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medium</t>
  </si>
  <si>
    <t>Dishwasher, Range Hood, Free Standing Range, Free Standing Refrigerator</t>
  </si>
  <si>
    <t>Plastic Laminate</t>
  </si>
  <si>
    <t>Bath</t>
  </si>
  <si>
    <t>Acrylic/Fiberglass Tub/Shower Surround</t>
  </si>
  <si>
    <t>Bath2</t>
  </si>
  <si>
    <t>Half Bath</t>
  </si>
  <si>
    <t>Bedroom2</t>
  </si>
  <si>
    <t>Bedroom3</t>
  </si>
  <si>
    <t>large</t>
  </si>
  <si>
    <t>LivingRoom</t>
  </si>
  <si>
    <t>DiningRoom</t>
  </si>
  <si>
    <t>Dining Room</t>
  </si>
  <si>
    <t>UtilityRoom</t>
  </si>
  <si>
    <t>Fredericton,  New Brunswick</t>
  </si>
  <si>
    <t>R_2-S-BU-EC_info</t>
  </si>
  <si>
    <t>R_2-S-BU-EC_NBFR.xlsx</t>
  </si>
  <si>
    <t>R_2-S-BU-EC_NBFR_rep.xlsx</t>
  </si>
  <si>
    <t>david.sol at 2023-09-18 07:58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</si>
  <si>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</si>
  <si>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</si>
  <si>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</si>
  <si>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</si>
  <si>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</si>
  <si>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</si>
  <si>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</si>
  <si>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</si>
  <si>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</si>
  <si>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</si>
  <si>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</si>
  <si>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</si>
  <si>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</si>
  <si>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</si>
  <si>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</si>
  <si>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</si>
  <si>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</si>
  <si>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</si>
  <si>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 - Standard grade</t>
  </si>
  <si>
    <t>ELE</t>
  </si>
  <si>
    <t>SMOKE-</t>
  </si>
  <si>
    <t>Fluorescent - one tube - 4' - fixture w/lens</t>
  </si>
  <si>
    <t>LIT</t>
  </si>
  <si>
    <t>FL1-4+</t>
  </si>
  <si>
    <t>Clothes dryer vent - installed</t>
  </si>
  <si>
    <t>HVC</t>
  </si>
  <si>
    <t>DVENT</t>
  </si>
  <si>
    <t>Paint handrail - wall mounted</t>
  </si>
  <si>
    <t>HR</t>
  </si>
  <si>
    <t>Handrail - round / oval - softwood - wall mounted</t>
  </si>
  <si>
    <t>SF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</si>
  <si>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</si>
  <si>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</si>
  <si>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</si>
  <si>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</si>
  <si>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</si>
  <si>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</si>
  <si>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</si>
  <si>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</si>
  <si>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</si>
  <si>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ready for texture</t>
  </si>
  <si>
    <t>DRY</t>
  </si>
  <si>
    <t>1/2-</t>
  </si>
  <si>
    <t>Door knob - interior - Standard grade</t>
  </si>
  <si>
    <t>FNH</t>
  </si>
  <si>
    <t>DORH-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</si>
  <si>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</si>
  <si>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</si>
  <si>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</si>
  <si>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</si>
  <si>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</si>
  <si>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</si>
  <si>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Step charge for "waterfall" carpet installation</t>
  </si>
  <si>
    <t>FCC</t>
  </si>
  <si>
    <t>STP</t>
  </si>
  <si>
    <t>Batt insulation - 6" - R19 - paper / foil faced</t>
  </si>
  <si>
    <t>INS</t>
  </si>
  <si>
    <t>BTF6</t>
  </si>
  <si>
    <t>Batt insulation - 10" - R30 - paper / foil faced</t>
  </si>
  <si>
    <t>BTF10</t>
  </si>
  <si>
    <t>Thermostat - Standard grade</t>
  </si>
  <si>
    <t>TS-</t>
  </si>
  <si>
    <t>Furnace - forced air - 60 - 75,000 BTU</t>
  </si>
  <si>
    <t>FRFA&lt;</t>
  </si>
  <si>
    <t>Ductwork system - hot or cold air - up to 900 SF home</t>
  </si>
  <si>
    <t>DCT&lt;&lt;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</si>
  <si>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</si>
  <si>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</si>
  <si>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</si>
  <si>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</si>
  <si>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</si>
  <si>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</si>
  <si>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</si>
  <si>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</si>
  <si>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- 100 amp</t>
  </si>
  <si>
    <t>BPNL100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</si>
  <si>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</si>
  <si>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</si>
  <si>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</si>
  <si>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</si>
  <si>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</si>
  <si>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</si>
  <si>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</si>
  <si>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</si>
  <si>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</si>
  <si>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</si>
  <si>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</si>
  <si>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</si>
  <si>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</si>
  <si>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</si>
  <si>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</si>
  <si>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</si>
  <si>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Outlet</t>
  </si>
  <si>
    <t>OS</t>
  </si>
  <si>
    <t>Mirror - 1/4" plate glass</t>
  </si>
  <si>
    <t>MSD</t>
  </si>
  <si>
    <t>Rough-in plumbing - per fixture - w/PEX - Branch system</t>
  </si>
  <si>
    <t>RFIXP-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</si>
  <si>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</si>
  <si>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</si>
  <si>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</si>
  <si>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</si>
  <si>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</si>
  <si>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</si>
  <si>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</si>
  <si>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</si>
  <si>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Fibreglass tub surround only - Standard grade</t>
  </si>
  <si>
    <t>TUBS-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</si>
  <si>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</si>
  <si>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</si>
  <si>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</si>
  <si>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</si>
  <si>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</si>
  <si>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</si>
  <si>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</si>
  <si>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</si>
  <si>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</si>
  <si>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AV-</t>
  </si>
  <si>
    <t>Ground fault interrupter (GFI) outlet</t>
  </si>
  <si>
    <t>GFI</t>
  </si>
  <si>
    <t>Vanity - Standard grade</t>
  </si>
  <si>
    <t>CAB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</si>
  <si>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</si>
  <si>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</si>
  <si>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</si>
  <si>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</si>
  <si>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</si>
  <si>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</si>
  <si>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</si>
  <si>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</si>
  <si>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</si>
  <si>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1/2" drywall - hung, taped, floated, ready for paint</t>
  </si>
  <si>
    <t>1/2</t>
  </si>
  <si>
    <t>Paint baseboard - one coat</t>
  </si>
  <si>
    <t>B</t>
  </si>
  <si>
    <t>Baseboard - 3 1/4"</t>
  </si>
  <si>
    <t>B3</t>
  </si>
  <si>
    <t>Seal the surface area w/latex based stain blocker - one coat</t>
  </si>
  <si>
    <t>S</t>
  </si>
  <si>
    <t>Paint the surface area - one coat</t>
  </si>
  <si>
    <t>P</t>
  </si>
  <si>
    <t>Vinyl floor covering (sheet goods) - Economy grade</t>
  </si>
  <si>
    <t>FCV</t>
  </si>
  <si>
    <t>AV--</t>
  </si>
  <si>
    <t>Carpet pad - Standard grade</t>
  </si>
  <si>
    <t>PAD-</t>
  </si>
  <si>
    <t>Carpet - Economy grade</t>
  </si>
  <si>
    <t>Towel bar</t>
  </si>
  <si>
    <t>TBAR</t>
  </si>
  <si>
    <t>Light bar - 3 lights</t>
  </si>
  <si>
    <t>BAR3</t>
  </si>
  <si>
    <t>Wood door - panel - solid pine</t>
  </si>
  <si>
    <t>WDPNL</t>
  </si>
  <si>
    <t>Light fixture - Standard grade</t>
  </si>
  <si>
    <t>Door knob - interior</t>
  </si>
  <si>
    <t>DORH</t>
  </si>
  <si>
    <t>Baseboard - 2 1/4"</t>
  </si>
  <si>
    <t>Paint bifold door set - slab only - 2 coats (per side)</t>
  </si>
  <si>
    <t>BF</t>
  </si>
  <si>
    <t>Bifold door set - lauan/mahogany - Double</t>
  </si>
  <si>
    <t>BF-</t>
  </si>
  <si>
    <t>220 volt outlet</t>
  </si>
  <si>
    <t>OL220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</si>
  <si>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</si>
  <si>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</si>
  <si>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</si>
  <si>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</si>
  <si>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</si>
  <si>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</si>
  <si>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Appliance water line - 1/4"</t>
  </si>
  <si>
    <t>APP</t>
  </si>
  <si>
    <t>WL</t>
  </si>
  <si>
    <t>Cabinet knob or pull</t>
  </si>
  <si>
    <t>KNPL</t>
  </si>
  <si>
    <t>Cabinetry - upper (wall) units</t>
  </si>
  <si>
    <t>UP</t>
  </si>
  <si>
    <t>Cabinetry - lower (base) units - Standard grade</t>
  </si>
  <si>
    <t>LOW-</t>
  </si>
  <si>
    <t>Countertop - post formed plastic laminate - High grade</t>
  </si>
  <si>
    <t>CTPF+</t>
  </si>
  <si>
    <t>110 volt copper wiring run, box and outlet</t>
  </si>
  <si>
    <t>110</t>
  </si>
  <si>
    <t>Range hood - Standard grade</t>
  </si>
  <si>
    <t>HD-</t>
  </si>
  <si>
    <t>Dishwasher - Standard grade</t>
  </si>
  <si>
    <t>DW-</t>
  </si>
  <si>
    <t>Range - freestanding - electric - Standard grade</t>
  </si>
  <si>
    <t>RG-</t>
  </si>
  <si>
    <t>Refrigerator - top freezer - 14 to 18 cf</t>
  </si>
  <si>
    <t>RF14</t>
  </si>
  <si>
    <t>Patio</t>
  </si>
  <si>
    <t>Light fixture</t>
  </si>
  <si>
    <t>Cat.Sel</t>
  </si>
  <si>
    <t>group_1</t>
  </si>
  <si>
    <t>PNT.SILL</t>
  </si>
  <si>
    <t>general</t>
  </si>
  <si>
    <t>FNC.SILL</t>
  </si>
  <si>
    <t>ELE.SMOKE-</t>
  </si>
  <si>
    <t>LIT.FL1-4+</t>
  </si>
  <si>
    <t>HVC.DVENT</t>
  </si>
  <si>
    <t>PNT.HR</t>
  </si>
  <si>
    <t>FNC.HR</t>
  </si>
  <si>
    <t>PLM.WH40</t>
  </si>
  <si>
    <t>mech_single</t>
  </si>
  <si>
    <t>PNT.SHW</t>
  </si>
  <si>
    <t>FNC.SH16</t>
  </si>
  <si>
    <t>PNT.SP</t>
  </si>
  <si>
    <t>DRY.1/2-</t>
  </si>
  <si>
    <t>FNH.DORH-</t>
  </si>
  <si>
    <t>DOR.AV</t>
  </si>
  <si>
    <t>PNT.DORT</t>
  </si>
  <si>
    <t>PNT.DOR</t>
  </si>
  <si>
    <t>FCC.STP</t>
  </si>
  <si>
    <t>INS.BTF6_b2</t>
  </si>
  <si>
    <t>INS.BTF10_b2</t>
  </si>
  <si>
    <t>HVC.TS-</t>
  </si>
  <si>
    <t>HVC.FRFA&lt;</t>
  </si>
  <si>
    <t>HVC.DCT&lt;&lt;_b2</t>
  </si>
  <si>
    <t>LIT.X-</t>
  </si>
  <si>
    <t>general_main</t>
  </si>
  <si>
    <t>FNH.DBX</t>
  </si>
  <si>
    <t>DOR.X-</t>
  </si>
  <si>
    <t>WDP.6M</t>
  </si>
  <si>
    <t>ELE.BPNL100</t>
  </si>
  <si>
    <t>ELE.OL</t>
  </si>
  <si>
    <t>ELE.XOS</t>
  </si>
  <si>
    <t>ELE.REWIRE</t>
  </si>
  <si>
    <t>ELE.LV</t>
  </si>
  <si>
    <t>FNC.CLROD</t>
  </si>
  <si>
    <t>FNH.TR-</t>
  </si>
  <si>
    <t>FNH.TP-</t>
  </si>
  <si>
    <t>FNH.TBAR-</t>
  </si>
  <si>
    <t>ELE.OS</t>
  </si>
  <si>
    <t>MSD.AV</t>
  </si>
  <si>
    <t>PLM.RFIXP-</t>
  </si>
  <si>
    <t>PLM.TLTS-</t>
  </si>
  <si>
    <t>PLM.TLT-</t>
  </si>
  <si>
    <t>PLM.TUB-</t>
  </si>
  <si>
    <t>FNH.SROD</t>
  </si>
  <si>
    <t>PLM.TUBS-</t>
  </si>
  <si>
    <t>PLM.TSFAU-</t>
  </si>
  <si>
    <t>HVC.DCTFN3</t>
  </si>
  <si>
    <t>HVC.BVENT-</t>
  </si>
  <si>
    <t>LIT.BAR4</t>
  </si>
  <si>
    <t>DOR.AV-</t>
  </si>
  <si>
    <t>ELE.GFI</t>
  </si>
  <si>
    <t>CAB.VAN-</t>
  </si>
  <si>
    <t>CAB.CTFSPL4</t>
  </si>
  <si>
    <t>CAB.CTFL-</t>
  </si>
  <si>
    <t>PLM.FAUBA-</t>
  </si>
  <si>
    <t>PLM.SNK-</t>
  </si>
  <si>
    <t>DRY.1/2</t>
  </si>
  <si>
    <t>PNT.B</t>
  </si>
  <si>
    <t>FNC.B3</t>
  </si>
  <si>
    <t>PNT.S</t>
  </si>
  <si>
    <t>PNT.P</t>
  </si>
  <si>
    <t>FCV.AV--</t>
  </si>
  <si>
    <t>FCC.PAD-</t>
  </si>
  <si>
    <t>FCC.AV--</t>
  </si>
  <si>
    <t>FNH.TBAR</t>
  </si>
  <si>
    <t>LIT.BAR3</t>
  </si>
  <si>
    <t>DOR.WDPNL</t>
  </si>
  <si>
    <t>LIT.AV-</t>
  </si>
  <si>
    <t>FNH.DORH</t>
  </si>
  <si>
    <t>FNC.B</t>
  </si>
  <si>
    <t>PNT.BF</t>
  </si>
  <si>
    <t>DOR.BF-</t>
  </si>
  <si>
    <t>ELE.OL220</t>
  </si>
  <si>
    <t>PLM.FAU-</t>
  </si>
  <si>
    <t>PLM.SNKD-</t>
  </si>
  <si>
    <t>LIT.FL2-4</t>
  </si>
  <si>
    <t>APP.WL</t>
  </si>
  <si>
    <t>CAB.KNPL</t>
  </si>
  <si>
    <t>CAB.UP</t>
  </si>
  <si>
    <t>CAB.LOW-</t>
  </si>
  <si>
    <t>CAB.CTPF+</t>
  </si>
  <si>
    <t>ELE.110</t>
  </si>
  <si>
    <t>APP.HD-</t>
  </si>
  <si>
    <t>APP.DW-</t>
  </si>
  <si>
    <t>APP.RG-</t>
  </si>
  <si>
    <t>APP.RF14</t>
  </si>
  <si>
    <t>LIT.AV</t>
  </si>
  <si>
    <t>NBFR8X_SEP23</t>
  </si>
  <si>
    <t>7' 3" x 4' 6" x 8'</t>
  </si>
  <si>
    <t>4' 6" x 4' 6" x 8'</t>
  </si>
  <si>
    <t>6' 4" x 4' 6" x 8'</t>
  </si>
  <si>
    <t>9' x 9' x 8'</t>
  </si>
  <si>
    <t>9' 11" x 9' x 8'</t>
  </si>
  <si>
    <t>12' 8" x 10' 10" x 8'</t>
  </si>
  <si>
    <t>7' 3" x 5' 5" x 8'</t>
  </si>
  <si>
    <t>18' 1" x 12' 8" x 8'</t>
  </si>
  <si>
    <t>7' 1" x 7' 1" x 8'</t>
  </si>
  <si>
    <t>9' x 2' 9" x 8'</t>
  </si>
  <si>
    <t>12' 8" x 9' x 8'</t>
  </si>
  <si>
    <t>source: NBFR8X_SEP23</t>
  </si>
  <si>
    <t>Full Bath-medium</t>
  </si>
  <si>
    <t>Half Bath-small</t>
  </si>
  <si>
    <t>Utility Room-small</t>
  </si>
  <si>
    <t>Bedroom-medium</t>
  </si>
  <si>
    <t>Kitchen-medium</t>
  </si>
  <si>
    <t>Bedroom-large</t>
  </si>
  <si>
    <t>Nook-small</t>
  </si>
  <si>
    <t>Living Area-large</t>
  </si>
  <si>
    <t>Hallway-small</t>
  </si>
  <si>
    <t>Dining Room-small</t>
  </si>
  <si>
    <t>david.sol at 2023-09-18 07:59</t>
  </si>
  <si>
    <t>group_2</t>
  </si>
  <si>
    <t>group_3</t>
  </si>
  <si>
    <t>raw_est</t>
  </si>
  <si>
    <t>level</t>
  </si>
  <si>
    <t>Depth-Replacement</t>
  </si>
  <si>
    <t>Depth-Cost</t>
  </si>
  <si>
    <t>Copy of group_2 pivot</t>
  </si>
  <si>
    <t>Copy of group_3 pivot</t>
  </si>
  <si>
    <t>R_2-S-BU-EC_NBFR_m2</t>
  </si>
  <si>
    <t>DDFwork_R_2-S-BU-EC_NBFR.xlsm</t>
  </si>
  <si>
    <t>david.sol</t>
  </si>
  <si>
    <t>impact</t>
  </si>
  <si>
    <t>R_2-S-BU-EC_NBFR_struct</t>
  </si>
  <si>
    <t>david.sol at 2023-09-18 08:01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</si>
</sst>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1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4" fillId="0" borderId="0" xfId="5" applyNumberFormat="1" applyFont="1" applyAlignment="1">
      <alignment wrapText="1"/>
    </xf>
    <xf numFmtId="164" fontId="14" fillId="0" borderId="13" xfId="5" applyNumberFormat="1" applyFont="1" applyBorder="1" applyAlignment="1">
      <alignment wrapText="1"/>
    </xf>
    <xf numFmtId="0" fontId="4" fillId="3" borderId="14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vertic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33258564817" createdVersion="3" refreshedVersion="8" minRefreshableVersion="3" recordCount="266" xr:uid="{FA8BC779-09A0-45D4-B9CD-F9025C7B2379}">
  <cacheSource type="worksheet">
    <worksheetSource ref="AH2:AZ268" sheet="LineItems"/>
  </cacheSource>
  <cacheFields count="19">
    <cacheField name="level" numFmtId="0">
      <sharedItems/>
    </cacheField>
    <cacheField name="type" numFmtId="0">
      <sharedItems count="12">
        <s v="general-split"/>
        <s v="general-mechanical"/>
        <s v="general-main"/>
        <s v="Full Bath"/>
        <s v="Half Bath"/>
        <s v="Utility Room"/>
        <s v="Bedroom"/>
        <s v="Kitchen"/>
        <s v="Nook"/>
        <s v="Living Area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121.155"/>
    </cacheField>
    <cacheField name="0.05" numFmtId="0">
      <sharedItems containsSemiMixedTypes="0" containsString="0" containsNumber="1" minValue="0" maxValue="3316.04"/>
    </cacheField>
    <cacheField name="0.1" numFmtId="0">
      <sharedItems containsSemiMixedTypes="0" containsString="0" containsNumber="1" minValue="0" maxValue="3316.04"/>
    </cacheField>
    <cacheField name="0.15" numFmtId="0">
      <sharedItems containsSemiMixedTypes="0" containsString="0" containsNumber="1" minValue="0" maxValue="3465.09"/>
    </cacheField>
    <cacheField name="0.3" numFmtId="0">
      <sharedItems containsSemiMixedTypes="0" containsString="0" containsNumber="1" minValue="0" maxValue="3465.09"/>
    </cacheField>
    <cacheField name="0.46" numFmtId="0">
      <sharedItems containsSemiMixedTypes="0" containsString="0" containsNumber="1" minValue="0" maxValue="3465.09"/>
    </cacheField>
    <cacheField name="0.61" numFmtId="0">
      <sharedItems containsSemiMixedTypes="0" containsString="0" containsNumber="1" minValue="0" maxValue="3465.09"/>
    </cacheField>
    <cacheField name="0.76" numFmtId="0">
      <sharedItems containsSemiMixedTypes="0" containsString="0" containsNumber="1" minValue="0" maxValue="3465.09"/>
    </cacheField>
    <cacheField name="0.91" numFmtId="0">
      <sharedItems containsSemiMixedTypes="0" containsString="0" containsNumber="1" minValue="0" maxValue="3465.09"/>
    </cacheField>
    <cacheField name="1.02" numFmtId="0">
      <sharedItems containsSemiMixedTypes="0" containsString="0" containsNumber="1" minValue="0" maxValue="4484.62"/>
    </cacheField>
    <cacheField name="1.22" numFmtId="0">
      <sharedItems containsSemiMixedTypes="0" containsString="0" containsNumber="1" minValue="0" maxValue="4484.62"/>
    </cacheField>
    <cacheField name="1.52" numFmtId="0">
      <sharedItems containsSemiMixedTypes="0" containsString="0" containsNumber="1" minValue="0" maxValue="4484.62"/>
    </cacheField>
    <cacheField name="1.83" numFmtId="0">
      <sharedItems containsSemiMixedTypes="0" containsString="0" containsNumber="1" minValue="9.83" maxValue="4484.62"/>
    </cacheField>
    <cacheField name="2.7" numFmtId="0">
      <sharedItems containsSemiMixedTypes="0" containsString="0" containsNumber="1" minValue="9.83" maxValue="4484.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33259027779" createdVersion="3" refreshedVersion="8" minRefreshableVersion="3" recordCount="266" xr:uid="{1D31BD2A-772B-4A3B-8500-80EA890DE773}">
  <cacheSource type="worksheet">
    <worksheetSource ref="AH2:AZ268" sheet="LineItems"/>
  </cacheSource>
  <cacheFields count="19">
    <cacheField name="level" numFmtId="0">
      <sharedItems count="4">
        <s v="split"/>
        <s v="mechanical"/>
        <s v="main"/>
        <s v="upper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121.155"/>
    </cacheField>
    <cacheField name="0.05" numFmtId="0">
      <sharedItems containsSemiMixedTypes="0" containsString="0" containsNumber="1" minValue="0" maxValue="3316.04"/>
    </cacheField>
    <cacheField name="0.1" numFmtId="0">
      <sharedItems containsSemiMixedTypes="0" containsString="0" containsNumber="1" minValue="0" maxValue="3316.04"/>
    </cacheField>
    <cacheField name="0.15" numFmtId="0">
      <sharedItems containsSemiMixedTypes="0" containsString="0" containsNumber="1" minValue="0" maxValue="3465.09"/>
    </cacheField>
    <cacheField name="0.3" numFmtId="0">
      <sharedItems containsSemiMixedTypes="0" containsString="0" containsNumber="1" minValue="0" maxValue="3465.09"/>
    </cacheField>
    <cacheField name="0.46" numFmtId="0">
      <sharedItems containsSemiMixedTypes="0" containsString="0" containsNumber="1" minValue="0" maxValue="3465.09"/>
    </cacheField>
    <cacheField name="0.61" numFmtId="0">
      <sharedItems containsSemiMixedTypes="0" containsString="0" containsNumber="1" minValue="0" maxValue="3465.09"/>
    </cacheField>
    <cacheField name="0.76" numFmtId="0">
      <sharedItems containsSemiMixedTypes="0" containsString="0" containsNumber="1" minValue="0" maxValue="3465.09"/>
    </cacheField>
    <cacheField name="0.91" numFmtId="0">
      <sharedItems containsSemiMixedTypes="0" containsString="0" containsNumber="1" minValue="0" maxValue="3465.09"/>
    </cacheField>
    <cacheField name="1.02" numFmtId="0">
      <sharedItems containsSemiMixedTypes="0" containsString="0" containsNumber="1" minValue="0" maxValue="4484.62"/>
    </cacheField>
    <cacheField name="1.22" numFmtId="0">
      <sharedItems containsSemiMixedTypes="0" containsString="0" containsNumber="1" minValue="0" maxValue="4484.62"/>
    </cacheField>
    <cacheField name="1.52" numFmtId="0">
      <sharedItems containsSemiMixedTypes="0" containsString="0" containsNumber="1" minValue="0" maxValue="4484.62"/>
    </cacheField>
    <cacheField name="1.83" numFmtId="0">
      <sharedItems containsSemiMixedTypes="0" containsString="0" containsNumber="1" minValue="9.83" maxValue="4484.62"/>
    </cacheField>
    <cacheField name="2.7" numFmtId="0">
      <sharedItems containsSemiMixedTypes="0" containsString="0" containsNumber="1" minValue="9.83" maxValue="4484.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6">
  <r>
    <s v="split"/>
    <x v="0"/>
    <n v="0"/>
    <n v="0"/>
    <n v="0"/>
    <n v="0"/>
    <n v="0"/>
    <n v="0"/>
    <n v="0"/>
    <n v="0"/>
    <n v="0"/>
    <n v="0"/>
    <n v="0"/>
    <n v="144"/>
    <n v="144"/>
    <n v="144"/>
    <n v="144"/>
    <n v="144"/>
    <n v="144"/>
  </r>
  <r>
    <s v="split"/>
    <x v="0"/>
    <n v="0"/>
    <n v="0"/>
    <n v="0"/>
    <n v="0"/>
    <n v="0"/>
    <n v="0"/>
    <n v="0"/>
    <n v="0"/>
    <n v="0"/>
    <n v="0"/>
    <n v="0"/>
    <n v="191.8"/>
    <n v="191.8"/>
    <n v="191.8"/>
    <n v="191.8"/>
    <n v="191.8"/>
    <n v="191.8"/>
  </r>
  <r>
    <s v="split"/>
    <x v="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split"/>
    <x v="0"/>
    <n v="0"/>
    <n v="0"/>
    <n v="0"/>
    <n v="0"/>
    <n v="0"/>
    <n v="0"/>
    <n v="0"/>
    <n v="0"/>
    <n v="0"/>
    <n v="0"/>
    <n v="0"/>
    <n v="0"/>
    <n v="0"/>
    <n v="0"/>
    <n v="117.92"/>
    <n v="117.92"/>
    <n v="117.92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0"/>
    <n v="0"/>
    <n v="0"/>
    <n v="39.96"/>
    <n v="39.96"/>
    <n v="39.96"/>
    <n v="39.96"/>
    <n v="39.96"/>
    <n v="39.96"/>
  </r>
  <r>
    <s v="split"/>
    <x v="0"/>
    <n v="0"/>
    <n v="0"/>
    <n v="0"/>
    <n v="0"/>
    <n v="0"/>
    <n v="0"/>
    <n v="0"/>
    <n v="0"/>
    <n v="0"/>
    <n v="0"/>
    <n v="0"/>
    <n v="0"/>
    <n v="0"/>
    <n v="494.28"/>
    <n v="494.28"/>
    <n v="494.28"/>
    <n v="494.28"/>
  </r>
  <r>
    <s v="mechanical"/>
    <x v="1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s v="split"/>
    <x v="0"/>
    <n v="0"/>
    <n v="0"/>
    <n v="0"/>
    <n v="0"/>
    <n v="0"/>
    <n v="0"/>
    <n v="0"/>
    <n v="0"/>
    <n v="0"/>
    <n v="0"/>
    <n v="0"/>
    <n v="159.84"/>
    <n v="159.84"/>
    <n v="159.84"/>
    <n v="159.84"/>
    <n v="159.84"/>
    <n v="159.84"/>
  </r>
  <r>
    <s v="split"/>
    <x v="0"/>
    <n v="0"/>
    <n v="0"/>
    <n v="0"/>
    <n v="0"/>
    <n v="0"/>
    <n v="0"/>
    <n v="0"/>
    <n v="0"/>
    <n v="0"/>
    <n v="0"/>
    <n v="0"/>
    <n v="415.8"/>
    <n v="415.8"/>
    <n v="415.8"/>
    <n v="415.8"/>
    <n v="415.8"/>
    <n v="415.8"/>
  </r>
  <r>
    <s v="split"/>
    <x v="0"/>
    <n v="0"/>
    <n v="0"/>
    <n v="0"/>
    <n v="0"/>
    <n v="202.28"/>
    <n v="202.28"/>
    <n v="202.28"/>
    <n v="202.28"/>
    <n v="202.28"/>
    <n v="202.28"/>
    <n v="202.28"/>
    <n v="202.28"/>
    <n v="202.28"/>
    <n v="202.28"/>
    <n v="202.28"/>
    <n v="202.28"/>
    <n v="202.28"/>
  </r>
  <r>
    <s v="split"/>
    <x v="0"/>
    <n v="0"/>
    <n v="0"/>
    <n v="0"/>
    <n v="121.26"/>
    <n v="121.26"/>
    <n v="121.26"/>
    <n v="121.26"/>
    <n v="121.26"/>
    <n v="242.52"/>
    <n v="242.52"/>
    <n v="242.52"/>
    <n v="485.04"/>
    <n v="485.04"/>
    <n v="485.04"/>
    <n v="485.04"/>
    <n v="485.04"/>
    <n v="485.04"/>
  </r>
  <r>
    <s v="split"/>
    <x v="0"/>
    <n v="0"/>
    <n v="0"/>
    <n v="0"/>
    <n v="0"/>
    <n v="0"/>
    <n v="0"/>
    <n v="0"/>
    <n v="0"/>
    <n v="0"/>
    <n v="0"/>
    <n v="96.34"/>
    <n v="96.34"/>
    <n v="96.34"/>
    <n v="96.34"/>
    <n v="96.34"/>
    <n v="96.34"/>
    <n v="96.34"/>
  </r>
  <r>
    <s v="split"/>
    <x v="0"/>
    <n v="0"/>
    <n v="0"/>
    <n v="0"/>
    <n v="0"/>
    <n v="876.22"/>
    <n v="876.22"/>
    <n v="876.22"/>
    <n v="876.22"/>
    <n v="876.22"/>
    <n v="876.22"/>
    <n v="876.22"/>
    <n v="876.22"/>
    <n v="876.22"/>
    <n v="876.22"/>
    <n v="876.22"/>
    <n v="876.22"/>
    <n v="876.22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94.727500000000006"/>
    <n v="94.727500000000006"/>
    <n v="94.727500000000006"/>
    <n v="94.727500000000006"/>
    <n v="378.91"/>
    <n v="378.91"/>
    <n v="378.91"/>
    <n v="378.91"/>
    <n v="378.91"/>
    <n v="378.91"/>
    <n v="378.91"/>
    <n v="378.91"/>
    <n v="378.91"/>
    <n v="378.91"/>
  </r>
  <r>
    <s v="split"/>
    <x v="0"/>
    <n v="0"/>
    <n v="0"/>
    <n v="0"/>
    <n v="1121.155"/>
    <n v="1121.155"/>
    <n v="1121.155"/>
    <n v="1121.155"/>
    <n v="1121.155"/>
    <n v="2242.31"/>
    <n v="2242.31"/>
    <n v="2242.31"/>
    <n v="2242.31"/>
    <n v="4484.62"/>
    <n v="4484.62"/>
    <n v="4484.62"/>
    <n v="4484.62"/>
    <n v="4484.62"/>
  </r>
  <r>
    <s v="split"/>
    <x v="0"/>
    <n v="0"/>
    <n v="0"/>
    <n v="0"/>
    <n v="468"/>
    <n v="468"/>
    <n v="468"/>
    <n v="468"/>
    <n v="468"/>
    <n v="936"/>
    <n v="936"/>
    <n v="936"/>
    <n v="936"/>
    <n v="1872"/>
    <n v="1872"/>
    <n v="1872"/>
    <n v="1872"/>
    <n v="1872"/>
  </r>
  <r>
    <s v="split"/>
    <x v="0"/>
    <n v="0"/>
    <n v="0"/>
    <n v="0"/>
    <n v="0"/>
    <n v="0"/>
    <n v="0"/>
    <n v="0"/>
    <n v="0"/>
    <n v="0"/>
    <n v="0"/>
    <n v="0"/>
    <n v="0"/>
    <n v="0"/>
    <n v="108.12"/>
    <n v="108.12"/>
    <n v="108.12"/>
    <n v="108.12"/>
  </r>
  <r>
    <s v="mechanical"/>
    <x v="1"/>
    <n v="0"/>
    <n v="0"/>
    <n v="0"/>
    <n v="0"/>
    <n v="0"/>
    <n v="0"/>
    <n v="3465.09"/>
    <n v="3465.09"/>
    <n v="3465.09"/>
    <n v="3465.09"/>
    <n v="3465.09"/>
    <n v="3465.09"/>
    <n v="3465.09"/>
    <n v="3465.09"/>
    <n v="3465.09"/>
    <n v="3465.09"/>
    <n v="3465.09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2051.89"/>
    <n v="2051.89"/>
  </r>
  <r>
    <s v="main"/>
    <x v="2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s v="main"/>
    <x v="2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s v="main"/>
    <x v="2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s v="main"/>
    <x v="2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s v="mechanical"/>
    <x v="1"/>
    <n v="0"/>
    <n v="0"/>
    <n v="0"/>
    <n v="0"/>
    <n v="0"/>
    <n v="0"/>
    <n v="0"/>
    <n v="0"/>
    <n v="0"/>
    <n v="0"/>
    <n v="0"/>
    <n v="960.26"/>
    <n v="960.26"/>
    <n v="960.26"/>
    <n v="960.26"/>
    <n v="960.26"/>
    <n v="960.26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3093.12"/>
    <n v="3093.12"/>
    <n v="3093.12"/>
    <n v="3093.12"/>
    <n v="3093.12"/>
    <n v="3093.12"/>
    <n v="3093.12"/>
    <n v="3093.12"/>
    <n v="3093.12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s v="split"/>
    <x v="0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s v="split"/>
    <x v="0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s v="split"/>
    <x v="0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s v="split"/>
    <x v="0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s v="split"/>
    <x v="0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3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upper"/>
    <x v="3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upper"/>
    <x v="3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upper"/>
    <x v="3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upper"/>
    <x v="3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upper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3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3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upper"/>
    <x v="3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upper"/>
    <x v="3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upper"/>
    <x v="3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upper"/>
    <x v="3"/>
    <n v="0"/>
    <n v="0"/>
    <n v="0"/>
    <n v="0"/>
    <n v="0"/>
    <n v="0"/>
    <n v="0"/>
    <n v="0"/>
    <n v="0"/>
    <n v="0"/>
    <n v="429.19"/>
    <n v="429.19"/>
    <n v="429.19"/>
    <n v="429.19"/>
    <n v="429.19"/>
    <n v="429.19"/>
    <n v="429.19"/>
  </r>
  <r>
    <s v="upper"/>
    <x v="3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upper"/>
    <x v="3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3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upper"/>
    <x v="3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upper"/>
    <x v="3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upper"/>
    <x v="3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3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upper"/>
    <x v="3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3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upper"/>
    <x v="3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upper"/>
    <x v="3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upper"/>
    <x v="3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upper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3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upper"/>
    <x v="3"/>
    <n v="0"/>
    <n v="0"/>
    <n v="0"/>
    <n v="0"/>
    <n v="221.08"/>
    <n v="221.08"/>
    <n v="221.08"/>
    <n v="221.08"/>
    <n v="221.08"/>
    <n v="221.08"/>
    <n v="221.08"/>
    <n v="221.08"/>
    <n v="221.08"/>
    <n v="221.08"/>
    <n v="221.08"/>
    <n v="221.08"/>
    <n v="221.08"/>
  </r>
  <r>
    <s v="upper"/>
    <x v="3"/>
    <n v="0"/>
    <n v="0"/>
    <n v="0"/>
    <n v="150.59"/>
    <n v="150.59"/>
    <n v="150.59"/>
    <n v="150.59"/>
    <n v="150.59"/>
    <n v="301.18"/>
    <n v="301.18"/>
    <n v="301.18"/>
    <n v="602.36"/>
    <n v="602.36"/>
    <n v="602.36"/>
    <n v="602.36"/>
    <n v="602.36"/>
    <n v="602.36"/>
  </r>
  <r>
    <s v="upper"/>
    <x v="3"/>
    <n v="0"/>
    <n v="0"/>
    <n v="0"/>
    <n v="12.83"/>
    <n v="12.83"/>
    <n v="12.83"/>
    <n v="12.83"/>
    <n v="12.83"/>
    <n v="12.83"/>
    <n v="12.83"/>
    <n v="12.83"/>
    <n v="12.83"/>
    <n v="12.83"/>
    <n v="12.83"/>
    <n v="12.83"/>
    <n v="12.83"/>
    <n v="12.83"/>
  </r>
  <r>
    <s v="upper"/>
    <x v="3"/>
    <n v="0"/>
    <n v="0"/>
    <n v="0"/>
    <n v="72.2"/>
    <n v="72.2"/>
    <n v="72.2"/>
    <n v="72.2"/>
    <n v="72.2"/>
    <n v="72.2"/>
    <n v="72.2"/>
    <n v="72.2"/>
    <n v="72.2"/>
    <n v="72.2"/>
    <n v="72.2"/>
    <n v="72.2"/>
    <n v="72.2"/>
    <n v="72.2"/>
  </r>
  <r>
    <s v="upper"/>
    <x v="3"/>
    <n v="0"/>
    <n v="0"/>
    <n v="0"/>
    <n v="26.135000000000002"/>
    <n v="26.135000000000002"/>
    <n v="26.135000000000002"/>
    <n v="26.135000000000002"/>
    <n v="26.135000000000002"/>
    <n v="52.27"/>
    <n v="52.27"/>
    <n v="52.27"/>
    <n v="104.54"/>
    <n v="104.54"/>
    <n v="104.54"/>
    <n v="104.54"/>
    <n v="104.54"/>
    <n v="104.54"/>
  </r>
  <r>
    <s v="upper"/>
    <x v="3"/>
    <n v="0"/>
    <n v="0"/>
    <n v="0"/>
    <n v="0"/>
    <n v="0"/>
    <n v="0"/>
    <n v="0"/>
    <n v="0"/>
    <n v="0"/>
    <n v="0"/>
    <n v="0"/>
    <n v="0"/>
    <n v="0"/>
    <n v="0"/>
    <n v="24.68"/>
    <n v="24.68"/>
    <n v="24.68"/>
  </r>
  <r>
    <s v="upper"/>
    <x v="3"/>
    <n v="0"/>
    <n v="0"/>
    <n v="0"/>
    <n v="27.01"/>
    <n v="27.01"/>
    <n v="27.01"/>
    <n v="27.01"/>
    <n v="27.01"/>
    <n v="27.01"/>
    <n v="27.01"/>
    <n v="27.01"/>
    <n v="27.01"/>
    <n v="27.01"/>
    <n v="27.01"/>
    <n v="27.01"/>
    <n v="27.01"/>
    <n v="27.01"/>
  </r>
  <r>
    <s v="upper"/>
    <x v="3"/>
    <n v="0"/>
    <n v="0"/>
    <n v="0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</r>
  <r>
    <s v="upper"/>
    <x v="3"/>
    <n v="0"/>
    <n v="0"/>
    <n v="0"/>
    <n v="24.13"/>
    <n v="24.13"/>
    <n v="24.13"/>
    <n v="24.13"/>
    <n v="24.13"/>
    <n v="24.13"/>
    <n v="24.13"/>
    <n v="24.13"/>
    <n v="24.13"/>
    <n v="24.13"/>
    <n v="24.13"/>
    <n v="24.13"/>
    <n v="24.13"/>
    <n v="24.13"/>
  </r>
  <r>
    <s v="upper"/>
    <x v="3"/>
    <n v="0"/>
    <n v="0"/>
    <n v="0"/>
    <n v="116"/>
    <n v="116"/>
    <n v="116"/>
    <n v="116"/>
    <n v="116"/>
    <n v="116"/>
    <n v="116"/>
    <n v="116"/>
    <n v="116"/>
    <n v="116"/>
    <n v="116"/>
    <n v="116"/>
    <n v="116"/>
    <n v="116"/>
  </r>
  <r>
    <s v="main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4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4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main"/>
    <x v="4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main"/>
    <x v="4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4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main"/>
    <x v="4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main"/>
    <x v="4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4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main"/>
    <x v="4"/>
    <n v="0"/>
    <n v="0"/>
    <n v="0"/>
    <n v="0"/>
    <n v="0"/>
    <n v="0"/>
    <n v="0"/>
    <n v="0"/>
    <n v="0"/>
    <n v="0"/>
    <n v="0"/>
    <n v="0"/>
    <n v="0"/>
    <n v="0"/>
    <n v="90.8"/>
    <n v="90.8"/>
    <n v="90.8"/>
  </r>
  <r>
    <s v="main"/>
    <x v="4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0"/>
    <n v="386.42"/>
    <n v="386.42"/>
    <n v="386.42"/>
    <n v="386.42"/>
    <n v="386.42"/>
    <n v="386.42"/>
    <n v="386.42"/>
    <n v="386.42"/>
    <n v="386.42"/>
    <n v="386.42"/>
    <n v="386.42"/>
    <n v="386.42"/>
    <n v="386.42"/>
  </r>
  <r>
    <s v="main"/>
    <x v="4"/>
    <n v="0"/>
    <n v="0"/>
    <n v="0"/>
    <n v="0"/>
    <n v="448.2"/>
    <n v="448.2"/>
    <n v="448.2"/>
    <n v="448.2"/>
    <n v="448.2"/>
    <n v="448.2"/>
    <n v="448.2"/>
    <n v="448.2"/>
    <n v="448.2"/>
    <n v="448.2"/>
    <n v="448.2"/>
    <n v="448.2"/>
    <n v="448.2"/>
  </r>
  <r>
    <s v="main"/>
    <x v="4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s v="main"/>
    <x v="4"/>
    <n v="0"/>
    <n v="0"/>
    <n v="0"/>
    <n v="0"/>
    <n v="0"/>
    <n v="0"/>
    <n v="0"/>
    <n v="0"/>
    <n v="0"/>
    <n v="0"/>
    <n v="112.11"/>
    <n v="112.11"/>
    <n v="112.11"/>
    <n v="112.11"/>
    <n v="112.11"/>
    <n v="112.11"/>
    <n v="112.11"/>
  </r>
  <r>
    <s v="main"/>
    <x v="4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main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4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main"/>
    <x v="4"/>
    <n v="0"/>
    <n v="0"/>
    <n v="0"/>
    <n v="0"/>
    <n v="169.34"/>
    <n v="169.34"/>
    <n v="169.34"/>
    <n v="169.34"/>
    <n v="169.34"/>
    <n v="169.34"/>
    <n v="169.34"/>
    <n v="169.34"/>
    <n v="169.34"/>
    <n v="169.34"/>
    <n v="169.34"/>
    <n v="169.34"/>
    <n v="169.34"/>
  </r>
  <r>
    <s v="main"/>
    <x v="4"/>
    <n v="0"/>
    <n v="0"/>
    <n v="0"/>
    <n v="115.345"/>
    <n v="115.345"/>
    <n v="115.345"/>
    <n v="115.345"/>
    <n v="115.345"/>
    <n v="230.69"/>
    <n v="230.69"/>
    <n v="230.69"/>
    <n v="461.38"/>
    <n v="461.38"/>
    <n v="461.38"/>
    <n v="461.38"/>
    <n v="461.38"/>
    <n v="461.38"/>
  </r>
  <r>
    <s v="main"/>
    <x v="4"/>
    <n v="0"/>
    <n v="0"/>
    <n v="0"/>
    <n v="9.83"/>
    <n v="9.83"/>
    <n v="9.83"/>
    <n v="9.83"/>
    <n v="9.83"/>
    <n v="9.83"/>
    <n v="9.83"/>
    <n v="9.83"/>
    <n v="9.83"/>
    <n v="9.83"/>
    <n v="9.83"/>
    <n v="9.83"/>
    <n v="9.83"/>
    <n v="9.83"/>
  </r>
  <r>
    <s v="main"/>
    <x v="4"/>
    <n v="0"/>
    <n v="0"/>
    <n v="0"/>
    <n v="55.3"/>
    <n v="55.3"/>
    <n v="55.3"/>
    <n v="55.3"/>
    <n v="55.3"/>
    <n v="55.3"/>
    <n v="55.3"/>
    <n v="55.3"/>
    <n v="55.3"/>
    <n v="55.3"/>
    <n v="55.3"/>
    <n v="55.3"/>
    <n v="55.3"/>
    <n v="55.3"/>
  </r>
  <r>
    <s v="main"/>
    <x v="4"/>
    <n v="0"/>
    <n v="0"/>
    <n v="0"/>
    <n v="16.2225"/>
    <n v="16.2225"/>
    <n v="16.2225"/>
    <n v="16.2225"/>
    <n v="16.2225"/>
    <n v="32.445"/>
    <n v="32.445"/>
    <n v="32.445"/>
    <n v="64.89"/>
    <n v="64.89"/>
    <n v="64.89"/>
    <n v="64.89"/>
    <n v="64.89"/>
    <n v="64.89"/>
  </r>
  <r>
    <s v="main"/>
    <x v="4"/>
    <n v="0"/>
    <n v="0"/>
    <n v="0"/>
    <n v="0"/>
    <n v="0"/>
    <n v="0"/>
    <n v="0"/>
    <n v="0"/>
    <n v="0"/>
    <n v="0"/>
    <n v="0"/>
    <n v="0"/>
    <n v="0"/>
    <n v="0"/>
    <n v="15.32"/>
    <n v="15.32"/>
    <n v="15.32"/>
  </r>
  <r>
    <s v="main"/>
    <x v="4"/>
    <n v="0"/>
    <n v="0"/>
    <n v="0"/>
    <n v="16.77"/>
    <n v="16.77"/>
    <n v="16.77"/>
    <n v="16.77"/>
    <n v="16.77"/>
    <n v="16.77"/>
    <n v="16.77"/>
    <n v="16.77"/>
    <n v="16.77"/>
    <n v="16.77"/>
    <n v="16.77"/>
    <n v="16.77"/>
    <n v="16.77"/>
    <n v="16.77"/>
  </r>
  <r>
    <s v="main"/>
    <x v="4"/>
    <n v="0"/>
    <n v="0"/>
    <n v="0"/>
    <n v="22.54"/>
    <n v="22.54"/>
    <n v="22.54"/>
    <n v="22.54"/>
    <n v="22.54"/>
    <n v="22.54"/>
    <n v="22.54"/>
    <n v="22.54"/>
    <n v="22.54"/>
    <n v="22.54"/>
    <n v="22.54"/>
    <n v="22.54"/>
    <n v="22.54"/>
    <n v="22.54"/>
  </r>
  <r>
    <s v="main"/>
    <x v="4"/>
    <n v="0"/>
    <n v="0"/>
    <n v="0"/>
    <n v="14.98"/>
    <n v="14.98"/>
    <n v="14.98"/>
    <n v="14.98"/>
    <n v="14.98"/>
    <n v="14.98"/>
    <n v="14.98"/>
    <n v="14.98"/>
    <n v="14.98"/>
    <n v="14.98"/>
    <n v="14.98"/>
    <n v="14.98"/>
    <n v="14.98"/>
    <n v="14.98"/>
  </r>
  <r>
    <s v="main"/>
    <x v="4"/>
    <n v="0"/>
    <n v="0"/>
    <n v="0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</r>
  <r>
    <s v="upper"/>
    <x v="5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5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s v="upper"/>
    <x v="5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s v="upper"/>
    <x v="5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5"/>
    <n v="0"/>
    <n v="0"/>
    <n v="0"/>
    <n v="0"/>
    <n v="203.84"/>
    <n v="203.84"/>
    <n v="203.84"/>
    <n v="203.84"/>
    <n v="203.84"/>
    <n v="203.84"/>
    <n v="203.84"/>
    <n v="203.84"/>
    <n v="203.84"/>
    <n v="203.84"/>
    <n v="203.84"/>
    <n v="203.84"/>
    <n v="203.84"/>
  </r>
  <r>
    <s v="upper"/>
    <x v="5"/>
    <n v="0"/>
    <n v="0"/>
    <n v="0"/>
    <n v="138.83750000000001"/>
    <n v="138.83750000000001"/>
    <n v="138.83750000000001"/>
    <n v="138.83750000000001"/>
    <n v="138.83750000000001"/>
    <n v="277.67500000000001"/>
    <n v="277.67500000000001"/>
    <n v="277.67500000000001"/>
    <n v="555.35"/>
    <n v="555.35"/>
    <n v="555.35"/>
    <n v="555.35"/>
    <n v="555.35"/>
    <n v="555.35"/>
  </r>
  <r>
    <s v="upper"/>
    <x v="5"/>
    <n v="0"/>
    <n v="0"/>
    <n v="0"/>
    <n v="91.54"/>
    <n v="91.54"/>
    <n v="91.54"/>
    <n v="91.54"/>
    <n v="91.54"/>
    <n v="91.54"/>
    <n v="91.54"/>
    <n v="91.54"/>
    <n v="91.54"/>
    <n v="91.54"/>
    <n v="91.54"/>
    <n v="91.54"/>
    <n v="91.54"/>
    <n v="91.54"/>
  </r>
  <r>
    <s v="upper"/>
    <x v="5"/>
    <n v="0"/>
    <n v="0"/>
    <n v="0"/>
    <n v="22.83"/>
    <n v="22.83"/>
    <n v="22.83"/>
    <n v="22.83"/>
    <n v="22.83"/>
    <n v="45.66"/>
    <n v="45.66"/>
    <n v="45.66"/>
    <n v="91.32"/>
    <n v="91.32"/>
    <n v="91.32"/>
    <n v="91.32"/>
    <n v="91.32"/>
    <n v="91.32"/>
  </r>
  <r>
    <s v="upper"/>
    <x v="5"/>
    <n v="0"/>
    <n v="0"/>
    <n v="0"/>
    <n v="0"/>
    <n v="0"/>
    <n v="0"/>
    <n v="0"/>
    <n v="0"/>
    <n v="0"/>
    <n v="0"/>
    <n v="0"/>
    <n v="0"/>
    <n v="0"/>
    <n v="0"/>
    <n v="21.56"/>
    <n v="21.56"/>
    <n v="21.56"/>
  </r>
  <r>
    <s v="upper"/>
    <x v="5"/>
    <n v="0"/>
    <n v="0"/>
    <n v="0"/>
    <n v="23.61"/>
    <n v="23.61"/>
    <n v="23.61"/>
    <n v="23.61"/>
    <n v="23.61"/>
    <n v="23.61"/>
    <n v="23.61"/>
    <n v="23.61"/>
    <n v="23.61"/>
    <n v="23.61"/>
    <n v="23.61"/>
    <n v="23.61"/>
    <n v="23.61"/>
    <n v="23.61"/>
  </r>
  <r>
    <s v="upper"/>
    <x v="5"/>
    <n v="0"/>
    <n v="0"/>
    <n v="0"/>
    <n v="31.72"/>
    <n v="31.72"/>
    <n v="31.72"/>
    <n v="31.72"/>
    <n v="31.72"/>
    <n v="31.72"/>
    <n v="31.72"/>
    <n v="31.72"/>
    <n v="31.72"/>
    <n v="31.72"/>
    <n v="31.72"/>
    <n v="31.72"/>
    <n v="31.72"/>
    <n v="31.72"/>
  </r>
  <r>
    <s v="upper"/>
    <x v="5"/>
    <n v="0"/>
    <n v="0"/>
    <n v="0"/>
    <n v="21.09"/>
    <n v="21.09"/>
    <n v="21.09"/>
    <n v="21.09"/>
    <n v="21.09"/>
    <n v="21.09"/>
    <n v="21.09"/>
    <n v="21.09"/>
    <n v="21.09"/>
    <n v="21.09"/>
    <n v="21.09"/>
    <n v="21.09"/>
    <n v="21.09"/>
    <n v="21.09"/>
  </r>
  <r>
    <s v="upper"/>
    <x v="5"/>
    <n v="0"/>
    <n v="0"/>
    <n v="0"/>
    <n v="101.31"/>
    <n v="101.31"/>
    <n v="101.31"/>
    <n v="101.31"/>
    <n v="101.31"/>
    <n v="101.31"/>
    <n v="101.31"/>
    <n v="101.31"/>
    <n v="101.31"/>
    <n v="101.31"/>
    <n v="101.31"/>
    <n v="101.31"/>
    <n v="101.31"/>
    <n v="101.31"/>
  </r>
  <r>
    <s v="upper"/>
    <x v="6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6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6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6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6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6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6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6"/>
    <n v="0"/>
    <n v="0"/>
    <n v="0"/>
    <n v="0"/>
    <n v="338.68"/>
    <n v="338.68"/>
    <n v="338.68"/>
    <n v="338.68"/>
    <n v="338.68"/>
    <n v="338.68"/>
    <n v="338.68"/>
    <n v="338.68"/>
    <n v="338.68"/>
    <n v="338.68"/>
    <n v="338.68"/>
    <n v="338.68"/>
    <n v="338.68"/>
  </r>
  <r>
    <s v="upper"/>
    <x v="6"/>
    <n v="0"/>
    <n v="0"/>
    <n v="0"/>
    <n v="230.69"/>
    <n v="230.69"/>
    <n v="230.69"/>
    <n v="230.69"/>
    <n v="230.69"/>
    <n v="461.38"/>
    <n v="461.38"/>
    <n v="461.38"/>
    <n v="922.76"/>
    <n v="922.76"/>
    <n v="922.76"/>
    <n v="922.76"/>
    <n v="922.76"/>
    <n v="922.76"/>
  </r>
  <r>
    <s v="upper"/>
    <x v="6"/>
    <n v="0"/>
    <n v="0"/>
    <n v="0"/>
    <n v="152.06"/>
    <n v="152.06"/>
    <n v="152.06"/>
    <n v="152.06"/>
    <n v="152.06"/>
    <n v="152.06"/>
    <n v="152.06"/>
    <n v="152.06"/>
    <n v="152.06"/>
    <n v="152.06"/>
    <n v="152.06"/>
    <n v="152.06"/>
    <n v="152.06"/>
    <n v="152.06"/>
  </r>
  <r>
    <s v="upper"/>
    <x v="6"/>
    <n v="0"/>
    <n v="0"/>
    <n v="0"/>
    <n v="64.882499999999993"/>
    <n v="64.882499999999993"/>
    <n v="64.882499999999993"/>
    <n v="64.882499999999993"/>
    <n v="64.882499999999993"/>
    <n v="129.76499999999999"/>
    <n v="129.76499999999999"/>
    <n v="129.76499999999999"/>
    <n v="259.52999999999997"/>
    <n v="259.52999999999997"/>
    <n v="259.52999999999997"/>
    <n v="259.52999999999997"/>
    <n v="259.52999999999997"/>
    <n v="259.52999999999997"/>
  </r>
  <r>
    <s v="upper"/>
    <x v="6"/>
    <n v="0"/>
    <n v="0"/>
    <n v="0"/>
    <n v="0"/>
    <n v="0"/>
    <n v="0"/>
    <n v="0"/>
    <n v="0"/>
    <n v="0"/>
    <n v="0"/>
    <n v="0"/>
    <n v="0"/>
    <n v="0"/>
    <n v="0"/>
    <n v="61.23"/>
    <n v="61.23"/>
    <n v="61.23"/>
  </r>
  <r>
    <s v="upper"/>
    <x v="6"/>
    <n v="0"/>
    <n v="0"/>
    <n v="0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</r>
  <r>
    <s v="upper"/>
    <x v="6"/>
    <n v="0"/>
    <n v="0"/>
    <n v="0"/>
    <n v="90.1"/>
    <n v="90.1"/>
    <n v="90.1"/>
    <n v="90.1"/>
    <n v="90.1"/>
    <n v="90.1"/>
    <n v="90.1"/>
    <n v="90.1"/>
    <n v="90.1"/>
    <n v="90.1"/>
    <n v="90.1"/>
    <n v="90.1"/>
    <n v="90.1"/>
    <n v="90.1"/>
  </r>
  <r>
    <s v="upper"/>
    <x v="6"/>
    <n v="0"/>
    <n v="0"/>
    <n v="0"/>
    <n v="59.91"/>
    <n v="59.91"/>
    <n v="59.91"/>
    <n v="59.91"/>
    <n v="59.91"/>
    <n v="59.91"/>
    <n v="59.91"/>
    <n v="59.91"/>
    <n v="59.91"/>
    <n v="59.91"/>
    <n v="59.91"/>
    <n v="59.91"/>
    <n v="59.91"/>
    <n v="59.91"/>
  </r>
  <r>
    <s v="upper"/>
    <x v="6"/>
    <n v="0"/>
    <n v="0"/>
    <n v="0"/>
    <n v="287.95"/>
    <n v="287.95"/>
    <n v="287.95"/>
    <n v="287.95"/>
    <n v="287.95"/>
    <n v="287.95"/>
    <n v="287.95"/>
    <n v="287.95"/>
    <n v="287.95"/>
    <n v="287.95"/>
    <n v="287.95"/>
    <n v="287.95"/>
    <n v="287.95"/>
    <n v="287.95"/>
  </r>
  <r>
    <s v="main"/>
    <x v="7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7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7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7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s v="main"/>
    <x v="7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s v="main"/>
    <x v="7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s v="main"/>
    <x v="7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s v="main"/>
    <x v="7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7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7"/>
    <n v="0"/>
    <n v="0"/>
    <n v="0"/>
    <n v="0"/>
    <n v="0"/>
    <n v="0"/>
    <n v="0"/>
    <n v="0"/>
    <n v="0"/>
    <n v="0"/>
    <n v="0"/>
    <n v="0"/>
    <n v="2690.18"/>
    <n v="2690.18"/>
    <n v="2690.18"/>
    <n v="2690.18"/>
    <n v="2690.18"/>
  </r>
  <r>
    <s v="main"/>
    <x v="7"/>
    <n v="0"/>
    <n v="0"/>
    <n v="0"/>
    <n v="0"/>
    <n v="3316.04"/>
    <n v="3316.04"/>
    <n v="3316.04"/>
    <n v="3316.04"/>
    <n v="3316.04"/>
    <n v="3316.04"/>
    <n v="3316.04"/>
    <n v="3316.04"/>
    <n v="3316.04"/>
    <n v="3316.04"/>
    <n v="3316.04"/>
    <n v="3316.04"/>
    <n v="3316.04"/>
  </r>
  <r>
    <s v="main"/>
    <x v="7"/>
    <n v="0"/>
    <n v="0"/>
    <n v="0"/>
    <n v="0"/>
    <n v="0"/>
    <n v="0"/>
    <n v="0"/>
    <n v="0"/>
    <n v="0"/>
    <n v="0"/>
    <n v="1544.18"/>
    <n v="1544.18"/>
    <n v="1544.18"/>
    <n v="1544.18"/>
    <n v="1544.18"/>
    <n v="1544.18"/>
    <n v="1544.18"/>
  </r>
  <r>
    <s v="main"/>
    <x v="7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7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s v="main"/>
    <x v="7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s v="main"/>
    <x v="7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s v="main"/>
    <x v="7"/>
    <n v="0"/>
    <n v="0"/>
    <n v="0"/>
    <n v="0"/>
    <n v="0"/>
    <n v="0"/>
    <n v="1129.33"/>
    <n v="1129.33"/>
    <n v="1129.33"/>
    <n v="1129.33"/>
    <n v="1129.33"/>
    <n v="1129.33"/>
    <n v="1129.33"/>
    <n v="1129.33"/>
    <n v="1129.33"/>
    <n v="1129.33"/>
    <n v="1129.33"/>
  </r>
  <r>
    <s v="main"/>
    <x v="7"/>
    <n v="0"/>
    <n v="0"/>
    <n v="0"/>
    <n v="0"/>
    <n v="355.94"/>
    <n v="355.94"/>
    <n v="355.94"/>
    <n v="355.94"/>
    <n v="355.94"/>
    <n v="355.94"/>
    <n v="355.94"/>
    <n v="355.94"/>
    <n v="355.94"/>
    <n v="355.94"/>
    <n v="355.94"/>
    <n v="355.94"/>
    <n v="355.94"/>
  </r>
  <r>
    <s v="main"/>
    <x v="7"/>
    <n v="0"/>
    <n v="0"/>
    <n v="0"/>
    <n v="242.4375"/>
    <n v="242.4375"/>
    <n v="242.4375"/>
    <n v="242.4375"/>
    <n v="242.4375"/>
    <n v="484.875"/>
    <n v="484.875"/>
    <n v="484.875"/>
    <n v="969.75"/>
    <n v="969.75"/>
    <n v="969.75"/>
    <n v="969.75"/>
    <n v="969.75"/>
    <n v="969.75"/>
  </r>
  <r>
    <s v="main"/>
    <x v="7"/>
    <n v="0"/>
    <n v="0"/>
    <n v="0"/>
    <n v="20.66"/>
    <n v="20.66"/>
    <n v="20.66"/>
    <n v="20.66"/>
    <n v="20.66"/>
    <n v="20.66"/>
    <n v="20.66"/>
    <n v="20.66"/>
    <n v="20.66"/>
    <n v="20.66"/>
    <n v="20.66"/>
    <n v="20.66"/>
    <n v="20.66"/>
    <n v="20.66"/>
  </r>
  <r>
    <s v="main"/>
    <x v="7"/>
    <n v="0"/>
    <n v="0"/>
    <n v="0"/>
    <n v="116.25"/>
    <n v="116.25"/>
    <n v="116.25"/>
    <n v="116.25"/>
    <n v="116.25"/>
    <n v="116.25"/>
    <n v="116.25"/>
    <n v="116.25"/>
    <n v="116.25"/>
    <n v="116.25"/>
    <n v="116.25"/>
    <n v="116.25"/>
    <n v="116.25"/>
    <n v="116.25"/>
  </r>
  <r>
    <s v="main"/>
    <x v="7"/>
    <n v="0"/>
    <n v="0"/>
    <n v="0"/>
    <n v="71.489999999999995"/>
    <n v="71.489999999999995"/>
    <n v="71.489999999999995"/>
    <n v="71.489999999999995"/>
    <n v="71.489999999999995"/>
    <n v="142.97999999999999"/>
    <n v="142.97999999999999"/>
    <n v="142.97999999999999"/>
    <n v="285.95999999999998"/>
    <n v="285.95999999999998"/>
    <n v="285.95999999999998"/>
    <n v="285.95999999999998"/>
    <n v="285.95999999999998"/>
    <n v="285.95999999999998"/>
  </r>
  <r>
    <s v="main"/>
    <x v="7"/>
    <n v="0"/>
    <n v="0"/>
    <n v="0"/>
    <n v="0"/>
    <n v="0"/>
    <n v="0"/>
    <n v="0"/>
    <n v="0"/>
    <n v="0"/>
    <n v="0"/>
    <n v="0"/>
    <n v="0"/>
    <n v="0"/>
    <n v="0"/>
    <n v="67.47"/>
    <n v="67.47"/>
    <n v="67.47"/>
  </r>
  <r>
    <s v="main"/>
    <x v="7"/>
    <n v="0"/>
    <n v="0"/>
    <n v="0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</r>
  <r>
    <s v="main"/>
    <x v="7"/>
    <n v="0"/>
    <n v="0"/>
    <n v="0"/>
    <n v="99.28"/>
    <n v="99.28"/>
    <n v="99.28"/>
    <n v="99.28"/>
    <n v="99.28"/>
    <n v="99.28"/>
    <n v="99.28"/>
    <n v="99.28"/>
    <n v="99.28"/>
    <n v="99.28"/>
    <n v="99.28"/>
    <n v="99.28"/>
    <n v="99.28"/>
    <n v="99.28"/>
  </r>
  <r>
    <s v="main"/>
    <x v="7"/>
    <n v="0"/>
    <n v="0"/>
    <n v="0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</r>
  <r>
    <s v="main"/>
    <x v="7"/>
    <n v="0"/>
    <n v="0"/>
    <n v="0"/>
    <n v="317.27"/>
    <n v="317.27"/>
    <n v="317.27"/>
    <n v="317.27"/>
    <n v="317.27"/>
    <n v="317.27"/>
    <n v="317.27"/>
    <n v="317.27"/>
    <n v="317.27"/>
    <n v="317.27"/>
    <n v="317.27"/>
    <n v="317.27"/>
    <n v="317.27"/>
    <n v="317.27"/>
  </r>
  <r>
    <s v="upper"/>
    <x v="6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6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6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6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6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6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6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6"/>
    <n v="0"/>
    <n v="0"/>
    <n v="0"/>
    <n v="0"/>
    <n v="442.18"/>
    <n v="442.18"/>
    <n v="442.18"/>
    <n v="442.18"/>
    <n v="442.18"/>
    <n v="442.18"/>
    <n v="442.18"/>
    <n v="442.18"/>
    <n v="442.18"/>
    <n v="442.18"/>
    <n v="442.18"/>
    <n v="442.18"/>
    <n v="442.18"/>
  </r>
  <r>
    <s v="upper"/>
    <x v="6"/>
    <n v="0"/>
    <n v="0"/>
    <n v="0"/>
    <n v="301.17500000000001"/>
    <n v="301.17500000000001"/>
    <n v="301.17500000000001"/>
    <n v="301.17500000000001"/>
    <n v="301.17500000000001"/>
    <n v="602.35"/>
    <n v="602.35"/>
    <n v="602.35"/>
    <n v="1204.7"/>
    <n v="1204.7"/>
    <n v="1204.7"/>
    <n v="1204.7"/>
    <n v="1204.7"/>
    <n v="1204.7"/>
  </r>
  <r>
    <s v="upper"/>
    <x v="6"/>
    <n v="0"/>
    <n v="0"/>
    <n v="0"/>
    <n v="198.52"/>
    <n v="198.52"/>
    <n v="198.52"/>
    <n v="198.52"/>
    <n v="198.52"/>
    <n v="198.52"/>
    <n v="198.52"/>
    <n v="198.52"/>
    <n v="198.52"/>
    <n v="198.52"/>
    <n v="198.52"/>
    <n v="198.52"/>
    <n v="198.52"/>
    <n v="198.52"/>
  </r>
  <r>
    <s v="upper"/>
    <x v="6"/>
    <n v="0"/>
    <n v="0"/>
    <n v="0"/>
    <n v="109.91500000000001"/>
    <n v="109.91500000000001"/>
    <n v="109.91500000000001"/>
    <n v="109.91500000000001"/>
    <n v="109.91500000000001"/>
    <n v="219.83"/>
    <n v="219.83"/>
    <n v="219.83"/>
    <n v="439.66"/>
    <n v="439.66"/>
    <n v="439.66"/>
    <n v="439.66"/>
    <n v="439.66"/>
    <n v="439.66"/>
  </r>
  <r>
    <s v="upper"/>
    <x v="6"/>
    <n v="0"/>
    <n v="0"/>
    <n v="0"/>
    <n v="0"/>
    <n v="0"/>
    <n v="0"/>
    <n v="0"/>
    <n v="0"/>
    <n v="0"/>
    <n v="0"/>
    <n v="0"/>
    <n v="0"/>
    <n v="0"/>
    <n v="0"/>
    <n v="103.75"/>
    <n v="103.75"/>
    <n v="103.75"/>
  </r>
  <r>
    <s v="upper"/>
    <x v="6"/>
    <n v="0"/>
    <n v="0"/>
    <n v="0"/>
    <n v="113.62"/>
    <n v="113.62"/>
    <n v="113.62"/>
    <n v="113.62"/>
    <n v="113.62"/>
    <n v="113.62"/>
    <n v="113.62"/>
    <n v="113.62"/>
    <n v="113.62"/>
    <n v="113.62"/>
    <n v="113.62"/>
    <n v="113.62"/>
    <n v="113.62"/>
    <n v="113.62"/>
  </r>
  <r>
    <s v="upper"/>
    <x v="6"/>
    <n v="0"/>
    <n v="0"/>
    <n v="0"/>
    <n v="152.63"/>
    <n v="152.63"/>
    <n v="152.63"/>
    <n v="152.63"/>
    <n v="152.63"/>
    <n v="152.63"/>
    <n v="152.63"/>
    <n v="152.63"/>
    <n v="152.63"/>
    <n v="152.63"/>
    <n v="152.63"/>
    <n v="152.63"/>
    <n v="152.63"/>
    <n v="152.63"/>
  </r>
  <r>
    <s v="upper"/>
    <x v="6"/>
    <n v="0"/>
    <n v="0"/>
    <n v="0"/>
    <n v="101.5"/>
    <n v="101.5"/>
    <n v="101.5"/>
    <n v="101.5"/>
    <n v="101.5"/>
    <n v="101.5"/>
    <n v="101.5"/>
    <n v="101.5"/>
    <n v="101.5"/>
    <n v="101.5"/>
    <n v="101.5"/>
    <n v="101.5"/>
    <n v="101.5"/>
    <n v="101.5"/>
  </r>
  <r>
    <s v="upper"/>
    <x v="6"/>
    <n v="0"/>
    <n v="0"/>
    <n v="0"/>
    <n v="487.79"/>
    <n v="487.79"/>
    <n v="487.79"/>
    <n v="487.79"/>
    <n v="487.79"/>
    <n v="487.79"/>
    <n v="487.79"/>
    <n v="487.79"/>
    <n v="487.79"/>
    <n v="487.79"/>
    <n v="487.79"/>
    <n v="487.79"/>
    <n v="487.79"/>
    <n v="487.79"/>
  </r>
  <r>
    <s v="upper"/>
    <x v="6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6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6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6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6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6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6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6"/>
    <n v="0"/>
    <n v="0"/>
    <n v="0"/>
    <n v="0"/>
    <n v="338.68"/>
    <n v="338.68"/>
    <n v="338.68"/>
    <n v="338.68"/>
    <n v="338.68"/>
    <n v="338.68"/>
    <n v="338.68"/>
    <n v="338.68"/>
    <n v="338.68"/>
    <n v="338.68"/>
    <n v="338.68"/>
    <n v="338.68"/>
    <n v="338.68"/>
  </r>
  <r>
    <s v="upper"/>
    <x v="6"/>
    <n v="0"/>
    <n v="0"/>
    <n v="0"/>
    <n v="230.69"/>
    <n v="230.69"/>
    <n v="230.69"/>
    <n v="230.69"/>
    <n v="230.69"/>
    <n v="461.38"/>
    <n v="461.38"/>
    <n v="461.38"/>
    <n v="922.76"/>
    <n v="922.76"/>
    <n v="922.76"/>
    <n v="922.76"/>
    <n v="922.76"/>
    <n v="922.76"/>
  </r>
  <r>
    <s v="upper"/>
    <x v="6"/>
    <n v="0"/>
    <n v="0"/>
    <n v="0"/>
    <n v="152.06"/>
    <n v="152.06"/>
    <n v="152.06"/>
    <n v="152.06"/>
    <n v="152.06"/>
    <n v="152.06"/>
    <n v="152.06"/>
    <n v="152.06"/>
    <n v="152.06"/>
    <n v="152.06"/>
    <n v="152.06"/>
    <n v="152.06"/>
    <n v="152.06"/>
    <n v="152.06"/>
  </r>
  <r>
    <s v="upper"/>
    <x v="6"/>
    <n v="0"/>
    <n v="0"/>
    <n v="0"/>
    <n v="64.882499999999993"/>
    <n v="64.882499999999993"/>
    <n v="64.882499999999993"/>
    <n v="64.882499999999993"/>
    <n v="64.882499999999993"/>
    <n v="129.76499999999999"/>
    <n v="129.76499999999999"/>
    <n v="129.76499999999999"/>
    <n v="259.52999999999997"/>
    <n v="259.52999999999997"/>
    <n v="259.52999999999997"/>
    <n v="259.52999999999997"/>
    <n v="259.52999999999997"/>
    <n v="259.52999999999997"/>
  </r>
  <r>
    <s v="upper"/>
    <x v="6"/>
    <n v="0"/>
    <n v="0"/>
    <n v="0"/>
    <n v="0"/>
    <n v="0"/>
    <n v="0"/>
    <n v="0"/>
    <n v="0"/>
    <n v="0"/>
    <n v="0"/>
    <n v="0"/>
    <n v="0"/>
    <n v="0"/>
    <n v="0"/>
    <n v="61.23"/>
    <n v="61.23"/>
    <n v="61.23"/>
  </r>
  <r>
    <s v="upper"/>
    <x v="6"/>
    <n v="0"/>
    <n v="0"/>
    <n v="0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</r>
  <r>
    <s v="upper"/>
    <x v="6"/>
    <n v="0"/>
    <n v="0"/>
    <n v="0"/>
    <n v="90.1"/>
    <n v="90.1"/>
    <n v="90.1"/>
    <n v="90.1"/>
    <n v="90.1"/>
    <n v="90.1"/>
    <n v="90.1"/>
    <n v="90.1"/>
    <n v="90.1"/>
    <n v="90.1"/>
    <n v="90.1"/>
    <n v="90.1"/>
    <n v="90.1"/>
    <n v="90.1"/>
  </r>
  <r>
    <s v="upper"/>
    <x v="6"/>
    <n v="0"/>
    <n v="0"/>
    <n v="0"/>
    <n v="59.91"/>
    <n v="59.91"/>
    <n v="59.91"/>
    <n v="59.91"/>
    <n v="59.91"/>
    <n v="59.91"/>
    <n v="59.91"/>
    <n v="59.91"/>
    <n v="59.91"/>
    <n v="59.91"/>
    <n v="59.91"/>
    <n v="59.91"/>
    <n v="59.91"/>
    <n v="59.91"/>
  </r>
  <r>
    <s v="upper"/>
    <x v="6"/>
    <n v="0"/>
    <n v="0"/>
    <n v="0"/>
    <n v="287.95"/>
    <n v="287.95"/>
    <n v="287.95"/>
    <n v="287.95"/>
    <n v="287.95"/>
    <n v="287.95"/>
    <n v="287.95"/>
    <n v="287.95"/>
    <n v="287.95"/>
    <n v="287.95"/>
    <n v="287.95"/>
    <n v="287.95"/>
    <n v="287.95"/>
    <n v="287.95"/>
  </r>
  <r>
    <s v="main"/>
    <x v="8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8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8"/>
    <n v="0"/>
    <n v="0"/>
    <n v="0"/>
    <n v="0"/>
    <n v="238.34"/>
    <n v="238.34"/>
    <n v="238.34"/>
    <n v="238.34"/>
    <n v="238.34"/>
    <n v="238.34"/>
    <n v="238.34"/>
    <n v="238.34"/>
    <n v="238.34"/>
    <n v="238.34"/>
    <n v="238.34"/>
    <n v="238.34"/>
    <n v="238.34"/>
  </r>
  <r>
    <s v="main"/>
    <x v="8"/>
    <n v="0"/>
    <n v="0"/>
    <n v="0"/>
    <n v="162.33750000000001"/>
    <n v="162.33750000000001"/>
    <n v="162.33750000000001"/>
    <n v="162.33750000000001"/>
    <n v="162.33750000000001"/>
    <n v="324.67500000000001"/>
    <n v="324.67500000000001"/>
    <n v="324.67500000000001"/>
    <n v="649.35"/>
    <n v="649.35"/>
    <n v="649.35"/>
    <n v="649.35"/>
    <n v="649.35"/>
    <n v="649.35"/>
  </r>
  <r>
    <s v="main"/>
    <x v="8"/>
    <n v="0"/>
    <n v="0"/>
    <n v="0"/>
    <n v="107"/>
    <n v="107"/>
    <n v="107"/>
    <n v="107"/>
    <n v="107"/>
    <n v="107"/>
    <n v="107"/>
    <n v="107"/>
    <n v="107"/>
    <n v="107"/>
    <n v="107"/>
    <n v="107"/>
    <n v="107"/>
    <n v="107"/>
  </r>
  <r>
    <s v="main"/>
    <x v="8"/>
    <n v="0"/>
    <n v="0"/>
    <n v="0"/>
    <n v="31.4575"/>
    <n v="31.4575"/>
    <n v="31.4575"/>
    <n v="31.4575"/>
    <n v="31.4575"/>
    <n v="62.914999999999999"/>
    <n v="62.914999999999999"/>
    <n v="62.914999999999999"/>
    <n v="125.83"/>
    <n v="125.83"/>
    <n v="125.83"/>
    <n v="125.83"/>
    <n v="125.83"/>
    <n v="125.83"/>
  </r>
  <r>
    <s v="main"/>
    <x v="8"/>
    <n v="0"/>
    <n v="0"/>
    <n v="0"/>
    <n v="0"/>
    <n v="0"/>
    <n v="0"/>
    <n v="0"/>
    <n v="0"/>
    <n v="0"/>
    <n v="0"/>
    <n v="0"/>
    <n v="0"/>
    <n v="0"/>
    <n v="0"/>
    <n v="29.68"/>
    <n v="29.68"/>
    <n v="29.68"/>
  </r>
  <r>
    <s v="main"/>
    <x v="8"/>
    <n v="0"/>
    <n v="0"/>
    <n v="0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</r>
  <r>
    <s v="main"/>
    <x v="8"/>
    <n v="0"/>
    <n v="0"/>
    <n v="0"/>
    <n v="43.67"/>
    <n v="43.67"/>
    <n v="43.67"/>
    <n v="43.67"/>
    <n v="43.67"/>
    <n v="43.67"/>
    <n v="43.67"/>
    <n v="43.67"/>
    <n v="43.67"/>
    <n v="43.67"/>
    <n v="43.67"/>
    <n v="43.67"/>
    <n v="43.67"/>
    <n v="43.67"/>
  </r>
  <r>
    <s v="main"/>
    <x v="8"/>
    <n v="0"/>
    <n v="0"/>
    <n v="0"/>
    <n v="29.05"/>
    <n v="29.05"/>
    <n v="29.05"/>
    <n v="29.05"/>
    <n v="29.05"/>
    <n v="29.05"/>
    <n v="29.05"/>
    <n v="29.05"/>
    <n v="29.05"/>
    <n v="29.05"/>
    <n v="29.05"/>
    <n v="29.05"/>
    <n v="29.05"/>
    <n v="29.05"/>
  </r>
  <r>
    <s v="main"/>
    <x v="8"/>
    <n v="0"/>
    <n v="0"/>
    <n v="0"/>
    <n v="139.6"/>
    <n v="139.6"/>
    <n v="139.6"/>
    <n v="139.6"/>
    <n v="139.6"/>
    <n v="139.6"/>
    <n v="139.6"/>
    <n v="139.6"/>
    <n v="139.6"/>
    <n v="139.6"/>
    <n v="139.6"/>
    <n v="139.6"/>
    <n v="139.6"/>
    <n v="139.6"/>
  </r>
  <r>
    <s v="main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578.6"/>
    <n v="578.6"/>
    <n v="578.6"/>
    <n v="578.6"/>
    <n v="578.6"/>
    <n v="578.6"/>
    <n v="578.6"/>
    <n v="578.6"/>
    <n v="578.6"/>
    <n v="578.6"/>
    <n v="578.6"/>
    <n v="578.6"/>
    <n v="578.6"/>
  </r>
  <r>
    <s v="main"/>
    <x v="9"/>
    <n v="0"/>
    <n v="0"/>
    <n v="0"/>
    <n v="394.09"/>
    <n v="394.09"/>
    <n v="394.09"/>
    <n v="394.09"/>
    <n v="394.09"/>
    <n v="788.18"/>
    <n v="788.18"/>
    <n v="788.18"/>
    <n v="1576.36"/>
    <n v="1576.36"/>
    <n v="1576.36"/>
    <n v="1576.36"/>
    <n v="1576.36"/>
    <n v="1576.36"/>
  </r>
  <r>
    <s v="main"/>
    <x v="9"/>
    <n v="0"/>
    <n v="0"/>
    <n v="0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</r>
  <r>
    <s v="main"/>
    <x v="9"/>
    <n v="0"/>
    <n v="0"/>
    <n v="0"/>
    <n v="183.47749999999999"/>
    <n v="183.47749999999999"/>
    <n v="183.47749999999999"/>
    <n v="183.47749999999999"/>
    <n v="183.47749999999999"/>
    <n v="366.95499999999998"/>
    <n v="366.95499999999998"/>
    <n v="366.95499999999998"/>
    <n v="733.91"/>
    <n v="733.91"/>
    <n v="733.91"/>
    <n v="733.91"/>
    <n v="733.91"/>
    <n v="733.91"/>
  </r>
  <r>
    <s v="main"/>
    <x v="9"/>
    <n v="0"/>
    <n v="0"/>
    <n v="0"/>
    <n v="0"/>
    <n v="0"/>
    <n v="0"/>
    <n v="0"/>
    <n v="0"/>
    <n v="0"/>
    <n v="0"/>
    <n v="0"/>
    <n v="0"/>
    <n v="0"/>
    <n v="0"/>
    <n v="173.17"/>
    <n v="173.17"/>
    <n v="173.17"/>
  </r>
  <r>
    <s v="main"/>
    <x v="9"/>
    <n v="0"/>
    <n v="0"/>
    <n v="0"/>
    <n v="189.67"/>
    <n v="189.67"/>
    <n v="189.67"/>
    <n v="189.67"/>
    <n v="189.67"/>
    <n v="189.67"/>
    <n v="189.67"/>
    <n v="189.67"/>
    <n v="189.67"/>
    <n v="189.67"/>
    <n v="189.67"/>
    <n v="189.67"/>
    <n v="189.67"/>
    <n v="189.67"/>
  </r>
  <r>
    <s v="main"/>
    <x v="9"/>
    <n v="0"/>
    <n v="0"/>
    <n v="0"/>
    <n v="254.76"/>
    <n v="254.76"/>
    <n v="254.76"/>
    <n v="254.76"/>
    <n v="254.76"/>
    <n v="254.76"/>
    <n v="254.76"/>
    <n v="254.76"/>
    <n v="254.76"/>
    <n v="254.76"/>
    <n v="254.76"/>
    <n v="254.76"/>
    <n v="254.76"/>
    <n v="254.76"/>
  </r>
  <r>
    <s v="main"/>
    <x v="9"/>
    <n v="0"/>
    <n v="0"/>
    <n v="0"/>
    <n v="169.43"/>
    <n v="169.43"/>
    <n v="169.43"/>
    <n v="169.43"/>
    <n v="169.43"/>
    <n v="169.43"/>
    <n v="169.43"/>
    <n v="169.43"/>
    <n v="169.43"/>
    <n v="169.43"/>
    <n v="169.43"/>
    <n v="169.43"/>
    <n v="169.43"/>
    <n v="169.43"/>
  </r>
  <r>
    <s v="main"/>
    <x v="9"/>
    <n v="0"/>
    <n v="0"/>
    <n v="0"/>
    <n v="814.27"/>
    <n v="814.27"/>
    <n v="814.27"/>
    <n v="814.27"/>
    <n v="814.27"/>
    <n v="814.27"/>
    <n v="814.27"/>
    <n v="814.27"/>
    <n v="814.27"/>
    <n v="814.27"/>
    <n v="814.27"/>
    <n v="814.27"/>
    <n v="814.27"/>
    <n v="814.27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upper"/>
    <x v="1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10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upper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10"/>
    <n v="0"/>
    <n v="0"/>
    <n v="0"/>
    <n v="0"/>
    <n v="221.08"/>
    <n v="221.08"/>
    <n v="221.08"/>
    <n v="221.08"/>
    <n v="221.08"/>
    <n v="221.08"/>
    <n v="221.08"/>
    <n v="221.08"/>
    <n v="221.08"/>
    <n v="221.08"/>
    <n v="221.08"/>
    <n v="221.08"/>
    <n v="221.08"/>
  </r>
  <r>
    <s v="upper"/>
    <x v="10"/>
    <n v="0"/>
    <n v="0"/>
    <n v="0"/>
    <n v="150.59"/>
    <n v="150.59"/>
    <n v="150.59"/>
    <n v="150.59"/>
    <n v="150.59"/>
    <n v="301.18"/>
    <n v="301.18"/>
    <n v="301.18"/>
    <n v="602.36"/>
    <n v="602.36"/>
    <n v="602.36"/>
    <n v="602.36"/>
    <n v="602.36"/>
    <n v="602.36"/>
  </r>
  <r>
    <s v="upper"/>
    <x v="10"/>
    <n v="0"/>
    <n v="0"/>
    <n v="0"/>
    <n v="99.26"/>
    <n v="99.26"/>
    <n v="99.26"/>
    <n v="99.26"/>
    <n v="99.26"/>
    <n v="99.26"/>
    <n v="99.26"/>
    <n v="99.26"/>
    <n v="99.26"/>
    <n v="99.26"/>
    <n v="99.26"/>
    <n v="99.26"/>
    <n v="99.26"/>
    <n v="99.26"/>
  </r>
  <r>
    <s v="upper"/>
    <x v="10"/>
    <n v="0"/>
    <n v="0"/>
    <n v="0"/>
    <n v="19.824999999999999"/>
    <n v="19.824999999999999"/>
    <n v="19.824999999999999"/>
    <n v="19.824999999999999"/>
    <n v="19.824999999999999"/>
    <n v="39.65"/>
    <n v="39.65"/>
    <n v="39.65"/>
    <n v="79.3"/>
    <n v="79.3"/>
    <n v="79.3"/>
    <n v="79.3"/>
    <n v="79.3"/>
    <n v="79.3"/>
  </r>
  <r>
    <s v="upper"/>
    <x v="10"/>
    <n v="0"/>
    <n v="0"/>
    <n v="0"/>
    <n v="0"/>
    <n v="0"/>
    <n v="0"/>
    <n v="0"/>
    <n v="0"/>
    <n v="0"/>
    <n v="0"/>
    <n v="0"/>
    <n v="0"/>
    <n v="0"/>
    <n v="0"/>
    <n v="18.71"/>
    <n v="18.71"/>
    <n v="18.71"/>
  </r>
  <r>
    <s v="upper"/>
    <x v="10"/>
    <n v="0"/>
    <n v="0"/>
    <n v="0"/>
    <n v="20.5"/>
    <n v="20.5"/>
    <n v="20.5"/>
    <n v="20.5"/>
    <n v="20.5"/>
    <n v="20.5"/>
    <n v="20.5"/>
    <n v="20.5"/>
    <n v="20.5"/>
    <n v="20.5"/>
    <n v="20.5"/>
    <n v="20.5"/>
    <n v="20.5"/>
    <n v="20.5"/>
  </r>
  <r>
    <s v="upper"/>
    <x v="10"/>
    <n v="0"/>
    <n v="0"/>
    <n v="0"/>
    <n v="27.51"/>
    <n v="27.51"/>
    <n v="27.51"/>
    <n v="27.51"/>
    <n v="27.51"/>
    <n v="27.51"/>
    <n v="27.51"/>
    <n v="27.51"/>
    <n v="27.51"/>
    <n v="27.51"/>
    <n v="27.51"/>
    <n v="27.51"/>
    <n v="27.51"/>
    <n v="27.51"/>
  </r>
  <r>
    <s v="upper"/>
    <x v="10"/>
    <n v="0"/>
    <n v="0"/>
    <n v="0"/>
    <n v="18.32"/>
    <n v="18.32"/>
    <n v="18.32"/>
    <n v="18.32"/>
    <n v="18.32"/>
    <n v="18.32"/>
    <n v="18.32"/>
    <n v="18.32"/>
    <n v="18.32"/>
    <n v="18.32"/>
    <n v="18.32"/>
    <n v="18.32"/>
    <n v="18.32"/>
    <n v="18.32"/>
  </r>
  <r>
    <s v="upper"/>
    <x v="10"/>
    <n v="0"/>
    <n v="0"/>
    <n v="0"/>
    <n v="87.98"/>
    <n v="87.98"/>
    <n v="87.98"/>
    <n v="87.98"/>
    <n v="87.98"/>
    <n v="87.98"/>
    <n v="87.98"/>
    <n v="87.98"/>
    <n v="87.98"/>
    <n v="87.98"/>
    <n v="87.98"/>
    <n v="87.98"/>
    <n v="87.98"/>
    <n v="87.98"/>
  </r>
  <r>
    <s v="main"/>
    <x v="11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407.68"/>
    <n v="407.68"/>
    <n v="407.68"/>
    <n v="407.68"/>
    <n v="407.68"/>
    <n v="407.68"/>
    <n v="407.68"/>
    <n v="407.68"/>
    <n v="407.68"/>
    <n v="407.68"/>
    <n v="407.68"/>
    <n v="407.68"/>
    <n v="407.68"/>
  </r>
  <r>
    <s v="main"/>
    <x v="11"/>
    <n v="0"/>
    <n v="0"/>
    <n v="0"/>
    <n v="277.6825"/>
    <n v="277.6825"/>
    <n v="277.6825"/>
    <n v="277.6825"/>
    <n v="277.6825"/>
    <n v="555.36500000000001"/>
    <n v="555.36500000000001"/>
    <n v="555.36500000000001"/>
    <n v="1110.73"/>
    <n v="1110.73"/>
    <n v="1110.73"/>
    <n v="1110.73"/>
    <n v="1110.73"/>
    <n v="1110.73"/>
  </r>
  <r>
    <s v="main"/>
    <x v="11"/>
    <n v="0"/>
    <n v="0"/>
    <n v="0"/>
    <n v="183.02"/>
    <n v="183.02"/>
    <n v="183.02"/>
    <n v="183.02"/>
    <n v="183.02"/>
    <n v="183.02"/>
    <n v="183.02"/>
    <n v="183.02"/>
    <n v="183.02"/>
    <n v="183.02"/>
    <n v="183.02"/>
    <n v="183.02"/>
    <n v="183.02"/>
    <n v="183.02"/>
  </r>
  <r>
    <s v="main"/>
    <x v="11"/>
    <n v="0"/>
    <n v="0"/>
    <n v="0"/>
    <n v="91.314999999999998"/>
    <n v="91.314999999999998"/>
    <n v="91.314999999999998"/>
    <n v="91.314999999999998"/>
    <n v="91.314999999999998"/>
    <n v="182.63"/>
    <n v="182.63"/>
    <n v="182.63"/>
    <n v="365.26"/>
    <n v="365.26"/>
    <n v="365.26"/>
    <n v="365.26"/>
    <n v="365.26"/>
    <n v="365.26"/>
  </r>
  <r>
    <s v="main"/>
    <x v="11"/>
    <n v="0"/>
    <n v="0"/>
    <n v="0"/>
    <n v="0"/>
    <n v="0"/>
    <n v="0"/>
    <n v="0"/>
    <n v="0"/>
    <n v="0"/>
    <n v="0"/>
    <n v="0"/>
    <n v="0"/>
    <n v="0"/>
    <n v="0"/>
    <n v="86.18"/>
    <n v="86.18"/>
    <n v="86.18"/>
  </r>
  <r>
    <s v="main"/>
    <x v="11"/>
    <n v="0"/>
    <n v="0"/>
    <n v="0"/>
    <n v="94.4"/>
    <n v="94.4"/>
    <n v="94.4"/>
    <n v="94.4"/>
    <n v="94.4"/>
    <n v="94.4"/>
    <n v="94.4"/>
    <n v="94.4"/>
    <n v="94.4"/>
    <n v="94.4"/>
    <n v="94.4"/>
    <n v="94.4"/>
    <n v="94.4"/>
    <n v="94.4"/>
  </r>
  <r>
    <s v="main"/>
    <x v="11"/>
    <n v="0"/>
    <n v="0"/>
    <n v="0"/>
    <n v="126.81"/>
    <n v="126.81"/>
    <n v="126.81"/>
    <n v="126.81"/>
    <n v="126.81"/>
    <n v="126.81"/>
    <n v="126.81"/>
    <n v="126.81"/>
    <n v="126.81"/>
    <n v="126.81"/>
    <n v="126.81"/>
    <n v="126.81"/>
    <n v="126.81"/>
    <n v="126.81"/>
  </r>
  <r>
    <s v="main"/>
    <x v="11"/>
    <n v="0"/>
    <n v="0"/>
    <n v="0"/>
    <n v="84.33"/>
    <n v="84.33"/>
    <n v="84.33"/>
    <n v="84.33"/>
    <n v="84.33"/>
    <n v="84.33"/>
    <n v="84.33"/>
    <n v="84.33"/>
    <n v="84.33"/>
    <n v="84.33"/>
    <n v="84.33"/>
    <n v="84.33"/>
    <n v="84.33"/>
    <n v="84.33"/>
  </r>
  <r>
    <s v="main"/>
    <x v="11"/>
    <n v="0"/>
    <n v="0"/>
    <n v="0"/>
    <n v="405.25"/>
    <n v="405.25"/>
    <n v="405.25"/>
    <n v="405.25"/>
    <n v="405.25"/>
    <n v="405.25"/>
    <n v="405.25"/>
    <n v="405.25"/>
    <n v="405.25"/>
    <n v="405.25"/>
    <n v="405.25"/>
    <n v="405.25"/>
    <n v="405.25"/>
    <n v="405.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6">
  <r>
    <x v="0"/>
    <s v="general-split"/>
    <n v="0"/>
    <n v="0"/>
    <n v="0"/>
    <n v="0"/>
    <n v="0"/>
    <n v="0"/>
    <n v="0"/>
    <n v="0"/>
    <n v="0"/>
    <n v="0"/>
    <n v="0"/>
    <n v="144"/>
    <n v="144"/>
    <n v="144"/>
    <n v="144"/>
    <n v="144"/>
    <n v="144"/>
  </r>
  <r>
    <x v="0"/>
    <s v="general-split"/>
    <n v="0"/>
    <n v="0"/>
    <n v="0"/>
    <n v="0"/>
    <n v="0"/>
    <n v="0"/>
    <n v="0"/>
    <n v="0"/>
    <n v="0"/>
    <n v="0"/>
    <n v="0"/>
    <n v="191.8"/>
    <n v="191.8"/>
    <n v="191.8"/>
    <n v="191.8"/>
    <n v="191.8"/>
    <n v="191.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17.92"/>
    <n v="117.92"/>
    <n v="117.92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0"/>
    <n v="0"/>
    <n v="0"/>
    <n v="39.96"/>
    <n v="39.96"/>
    <n v="39.96"/>
    <n v="39.96"/>
    <n v="39.96"/>
    <n v="39.96"/>
  </r>
  <r>
    <x v="0"/>
    <s v="general-split"/>
    <n v="0"/>
    <n v="0"/>
    <n v="0"/>
    <n v="0"/>
    <n v="0"/>
    <n v="0"/>
    <n v="0"/>
    <n v="0"/>
    <n v="0"/>
    <n v="0"/>
    <n v="0"/>
    <n v="0"/>
    <n v="0"/>
    <n v="494.28"/>
    <n v="494.28"/>
    <n v="494.28"/>
    <n v="494.28"/>
  </r>
  <r>
    <x v="1"/>
    <s v="general-mechanical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x v="0"/>
    <s v="general-split"/>
    <n v="0"/>
    <n v="0"/>
    <n v="0"/>
    <n v="0"/>
    <n v="0"/>
    <n v="0"/>
    <n v="0"/>
    <n v="0"/>
    <n v="0"/>
    <n v="0"/>
    <n v="0"/>
    <n v="159.84"/>
    <n v="159.84"/>
    <n v="159.84"/>
    <n v="159.84"/>
    <n v="159.84"/>
    <n v="159.84"/>
  </r>
  <r>
    <x v="0"/>
    <s v="general-split"/>
    <n v="0"/>
    <n v="0"/>
    <n v="0"/>
    <n v="0"/>
    <n v="0"/>
    <n v="0"/>
    <n v="0"/>
    <n v="0"/>
    <n v="0"/>
    <n v="0"/>
    <n v="0"/>
    <n v="415.8"/>
    <n v="415.8"/>
    <n v="415.8"/>
    <n v="415.8"/>
    <n v="415.8"/>
    <n v="415.8"/>
  </r>
  <r>
    <x v="0"/>
    <s v="general-split"/>
    <n v="0"/>
    <n v="0"/>
    <n v="0"/>
    <n v="0"/>
    <n v="202.28"/>
    <n v="202.28"/>
    <n v="202.28"/>
    <n v="202.28"/>
    <n v="202.28"/>
    <n v="202.28"/>
    <n v="202.28"/>
    <n v="202.28"/>
    <n v="202.28"/>
    <n v="202.28"/>
    <n v="202.28"/>
    <n v="202.28"/>
    <n v="202.28"/>
  </r>
  <r>
    <x v="0"/>
    <s v="general-split"/>
    <n v="0"/>
    <n v="0"/>
    <n v="0"/>
    <n v="121.26"/>
    <n v="121.26"/>
    <n v="121.26"/>
    <n v="121.26"/>
    <n v="121.26"/>
    <n v="242.52"/>
    <n v="242.52"/>
    <n v="242.52"/>
    <n v="485.04"/>
    <n v="485.04"/>
    <n v="485.04"/>
    <n v="485.04"/>
    <n v="485.04"/>
    <n v="485.04"/>
  </r>
  <r>
    <x v="0"/>
    <s v="general-split"/>
    <n v="0"/>
    <n v="0"/>
    <n v="0"/>
    <n v="0"/>
    <n v="0"/>
    <n v="0"/>
    <n v="0"/>
    <n v="0"/>
    <n v="0"/>
    <n v="0"/>
    <n v="96.34"/>
    <n v="96.34"/>
    <n v="96.34"/>
    <n v="96.34"/>
    <n v="96.34"/>
    <n v="96.34"/>
    <n v="96.34"/>
  </r>
  <r>
    <x v="0"/>
    <s v="general-split"/>
    <n v="0"/>
    <n v="0"/>
    <n v="0"/>
    <n v="0"/>
    <n v="876.22"/>
    <n v="876.22"/>
    <n v="876.22"/>
    <n v="876.22"/>
    <n v="876.22"/>
    <n v="876.22"/>
    <n v="876.22"/>
    <n v="876.22"/>
    <n v="876.22"/>
    <n v="876.22"/>
    <n v="876.22"/>
    <n v="876.22"/>
    <n v="876.22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94.727500000000006"/>
    <n v="94.727500000000006"/>
    <n v="94.727500000000006"/>
    <n v="94.727500000000006"/>
    <n v="378.91"/>
    <n v="378.91"/>
    <n v="378.91"/>
    <n v="378.91"/>
    <n v="378.91"/>
    <n v="378.91"/>
    <n v="378.91"/>
    <n v="378.91"/>
    <n v="378.91"/>
    <n v="378.91"/>
  </r>
  <r>
    <x v="0"/>
    <s v="general-split"/>
    <n v="0"/>
    <n v="0"/>
    <n v="0"/>
    <n v="1121.155"/>
    <n v="1121.155"/>
    <n v="1121.155"/>
    <n v="1121.155"/>
    <n v="1121.155"/>
    <n v="2242.31"/>
    <n v="2242.31"/>
    <n v="2242.31"/>
    <n v="2242.31"/>
    <n v="4484.62"/>
    <n v="4484.62"/>
    <n v="4484.62"/>
    <n v="4484.62"/>
    <n v="4484.62"/>
  </r>
  <r>
    <x v="0"/>
    <s v="general-split"/>
    <n v="0"/>
    <n v="0"/>
    <n v="0"/>
    <n v="468"/>
    <n v="468"/>
    <n v="468"/>
    <n v="468"/>
    <n v="468"/>
    <n v="936"/>
    <n v="936"/>
    <n v="936"/>
    <n v="936"/>
    <n v="1872"/>
    <n v="1872"/>
    <n v="1872"/>
    <n v="1872"/>
    <n v="1872"/>
  </r>
  <r>
    <x v="0"/>
    <s v="general-split"/>
    <n v="0"/>
    <n v="0"/>
    <n v="0"/>
    <n v="0"/>
    <n v="0"/>
    <n v="0"/>
    <n v="0"/>
    <n v="0"/>
    <n v="0"/>
    <n v="0"/>
    <n v="0"/>
    <n v="0"/>
    <n v="0"/>
    <n v="108.12"/>
    <n v="108.12"/>
    <n v="108.12"/>
    <n v="108.12"/>
  </r>
  <r>
    <x v="1"/>
    <s v="general-mechanical"/>
    <n v="0"/>
    <n v="0"/>
    <n v="0"/>
    <n v="0"/>
    <n v="0"/>
    <n v="0"/>
    <n v="3465.09"/>
    <n v="3465.09"/>
    <n v="3465.09"/>
    <n v="3465.09"/>
    <n v="3465.09"/>
    <n v="3465.09"/>
    <n v="3465.09"/>
    <n v="3465.09"/>
    <n v="3465.09"/>
    <n v="3465.09"/>
    <n v="3465.09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2051.89"/>
    <n v="2051.89"/>
  </r>
  <r>
    <x v="2"/>
    <s v="general-main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x v="2"/>
    <s v="general-main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x v="2"/>
    <s v="general-main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x v="2"/>
    <s v="general-main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x v="1"/>
    <s v="general-mechanical"/>
    <n v="0"/>
    <n v="0"/>
    <n v="0"/>
    <n v="0"/>
    <n v="0"/>
    <n v="0"/>
    <n v="0"/>
    <n v="0"/>
    <n v="0"/>
    <n v="0"/>
    <n v="0"/>
    <n v="960.26"/>
    <n v="960.26"/>
    <n v="960.26"/>
    <n v="960.26"/>
    <n v="960.26"/>
    <n v="960.26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3093.12"/>
    <n v="3093.12"/>
    <n v="3093.12"/>
    <n v="3093.12"/>
    <n v="3093.12"/>
    <n v="3093.12"/>
    <n v="3093.12"/>
    <n v="3093.12"/>
    <n v="3093.12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x v="0"/>
    <s v="general-split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x v="0"/>
    <s v="general-split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x v="0"/>
    <s v="general-split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x v="0"/>
    <s v="general-split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x v="0"/>
    <s v="general-split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3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3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3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3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3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3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429.19"/>
    <n v="429.19"/>
    <n v="429.19"/>
    <n v="429.19"/>
    <n v="429.19"/>
    <n v="429.19"/>
    <n v="429.19"/>
  </r>
  <r>
    <x v="3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3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3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3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3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3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3"/>
    <s v="Full Bath"/>
    <n v="0"/>
    <n v="0"/>
    <n v="0"/>
    <n v="0"/>
    <n v="221.08"/>
    <n v="221.08"/>
    <n v="221.08"/>
    <n v="221.08"/>
    <n v="221.08"/>
    <n v="221.08"/>
    <n v="221.08"/>
    <n v="221.08"/>
    <n v="221.08"/>
    <n v="221.08"/>
    <n v="221.08"/>
    <n v="221.08"/>
    <n v="221.08"/>
  </r>
  <r>
    <x v="3"/>
    <s v="Full Bath"/>
    <n v="0"/>
    <n v="0"/>
    <n v="0"/>
    <n v="150.59"/>
    <n v="150.59"/>
    <n v="150.59"/>
    <n v="150.59"/>
    <n v="150.59"/>
    <n v="301.18"/>
    <n v="301.18"/>
    <n v="301.18"/>
    <n v="602.36"/>
    <n v="602.36"/>
    <n v="602.36"/>
    <n v="602.36"/>
    <n v="602.36"/>
    <n v="602.36"/>
  </r>
  <r>
    <x v="3"/>
    <s v="Full Bath"/>
    <n v="0"/>
    <n v="0"/>
    <n v="0"/>
    <n v="12.83"/>
    <n v="12.83"/>
    <n v="12.83"/>
    <n v="12.83"/>
    <n v="12.83"/>
    <n v="12.83"/>
    <n v="12.83"/>
    <n v="12.83"/>
    <n v="12.83"/>
    <n v="12.83"/>
    <n v="12.83"/>
    <n v="12.83"/>
    <n v="12.83"/>
    <n v="12.83"/>
  </r>
  <r>
    <x v="3"/>
    <s v="Full Bath"/>
    <n v="0"/>
    <n v="0"/>
    <n v="0"/>
    <n v="72.2"/>
    <n v="72.2"/>
    <n v="72.2"/>
    <n v="72.2"/>
    <n v="72.2"/>
    <n v="72.2"/>
    <n v="72.2"/>
    <n v="72.2"/>
    <n v="72.2"/>
    <n v="72.2"/>
    <n v="72.2"/>
    <n v="72.2"/>
    <n v="72.2"/>
    <n v="72.2"/>
  </r>
  <r>
    <x v="3"/>
    <s v="Full Bath"/>
    <n v="0"/>
    <n v="0"/>
    <n v="0"/>
    <n v="26.135000000000002"/>
    <n v="26.135000000000002"/>
    <n v="26.135000000000002"/>
    <n v="26.135000000000002"/>
    <n v="26.135000000000002"/>
    <n v="52.27"/>
    <n v="52.27"/>
    <n v="52.27"/>
    <n v="104.54"/>
    <n v="104.54"/>
    <n v="104.54"/>
    <n v="104.54"/>
    <n v="104.54"/>
    <n v="104.54"/>
  </r>
  <r>
    <x v="3"/>
    <s v="Full Bath"/>
    <n v="0"/>
    <n v="0"/>
    <n v="0"/>
    <n v="0"/>
    <n v="0"/>
    <n v="0"/>
    <n v="0"/>
    <n v="0"/>
    <n v="0"/>
    <n v="0"/>
    <n v="0"/>
    <n v="0"/>
    <n v="0"/>
    <n v="0"/>
    <n v="24.68"/>
    <n v="24.68"/>
    <n v="24.68"/>
  </r>
  <r>
    <x v="3"/>
    <s v="Full Bath"/>
    <n v="0"/>
    <n v="0"/>
    <n v="0"/>
    <n v="27.01"/>
    <n v="27.01"/>
    <n v="27.01"/>
    <n v="27.01"/>
    <n v="27.01"/>
    <n v="27.01"/>
    <n v="27.01"/>
    <n v="27.01"/>
    <n v="27.01"/>
    <n v="27.01"/>
    <n v="27.01"/>
    <n v="27.01"/>
    <n v="27.01"/>
    <n v="27.01"/>
  </r>
  <r>
    <x v="3"/>
    <s v="Full Bath"/>
    <n v="0"/>
    <n v="0"/>
    <n v="0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  <n v="36.270000000000003"/>
  </r>
  <r>
    <x v="3"/>
    <s v="Full Bath"/>
    <n v="0"/>
    <n v="0"/>
    <n v="0"/>
    <n v="24.13"/>
    <n v="24.13"/>
    <n v="24.13"/>
    <n v="24.13"/>
    <n v="24.13"/>
    <n v="24.13"/>
    <n v="24.13"/>
    <n v="24.13"/>
    <n v="24.13"/>
    <n v="24.13"/>
    <n v="24.13"/>
    <n v="24.13"/>
    <n v="24.13"/>
    <n v="24.13"/>
  </r>
  <r>
    <x v="3"/>
    <s v="Full Bath"/>
    <n v="0"/>
    <n v="0"/>
    <n v="0"/>
    <n v="116"/>
    <n v="116"/>
    <n v="116"/>
    <n v="116"/>
    <n v="116"/>
    <n v="116"/>
    <n v="116"/>
    <n v="116"/>
    <n v="116"/>
    <n v="116"/>
    <n v="116"/>
    <n v="116"/>
    <n v="116"/>
    <n v="116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Half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2"/>
    <s v="Half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Half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Half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2"/>
    <s v="Half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2"/>
    <s v="Half Bath"/>
    <n v="0"/>
    <n v="0"/>
    <n v="0"/>
    <n v="0"/>
    <n v="0"/>
    <n v="0"/>
    <n v="0"/>
    <n v="0"/>
    <n v="0"/>
    <n v="0"/>
    <n v="0"/>
    <n v="0"/>
    <n v="0"/>
    <n v="0"/>
    <n v="90.8"/>
    <n v="90.8"/>
    <n v="90.8"/>
  </r>
  <r>
    <x v="2"/>
    <s v="Half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0"/>
    <n v="386.42"/>
    <n v="386.42"/>
    <n v="386.42"/>
    <n v="386.42"/>
    <n v="386.42"/>
    <n v="386.42"/>
    <n v="386.42"/>
    <n v="386.42"/>
    <n v="386.42"/>
    <n v="386.42"/>
    <n v="386.42"/>
    <n v="386.42"/>
    <n v="386.42"/>
  </r>
  <r>
    <x v="2"/>
    <s v="Half Bath"/>
    <n v="0"/>
    <n v="0"/>
    <n v="0"/>
    <n v="0"/>
    <n v="448.2"/>
    <n v="448.2"/>
    <n v="448.2"/>
    <n v="448.2"/>
    <n v="448.2"/>
    <n v="448.2"/>
    <n v="448.2"/>
    <n v="448.2"/>
    <n v="448.2"/>
    <n v="448.2"/>
    <n v="448.2"/>
    <n v="448.2"/>
    <n v="448.2"/>
  </r>
  <r>
    <x v="2"/>
    <s v="Half Bath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x v="2"/>
    <s v="Half Bath"/>
    <n v="0"/>
    <n v="0"/>
    <n v="0"/>
    <n v="0"/>
    <n v="0"/>
    <n v="0"/>
    <n v="0"/>
    <n v="0"/>
    <n v="0"/>
    <n v="0"/>
    <n v="112.11"/>
    <n v="112.11"/>
    <n v="112.11"/>
    <n v="112.11"/>
    <n v="112.11"/>
    <n v="112.11"/>
    <n v="112.11"/>
  </r>
  <r>
    <x v="2"/>
    <s v="Half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2"/>
    <s v="Half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Half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Half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2"/>
    <s v="Half Bath"/>
    <n v="0"/>
    <n v="0"/>
    <n v="0"/>
    <n v="0"/>
    <n v="169.34"/>
    <n v="169.34"/>
    <n v="169.34"/>
    <n v="169.34"/>
    <n v="169.34"/>
    <n v="169.34"/>
    <n v="169.34"/>
    <n v="169.34"/>
    <n v="169.34"/>
    <n v="169.34"/>
    <n v="169.34"/>
    <n v="169.34"/>
    <n v="169.34"/>
  </r>
  <r>
    <x v="2"/>
    <s v="Half Bath"/>
    <n v="0"/>
    <n v="0"/>
    <n v="0"/>
    <n v="115.345"/>
    <n v="115.345"/>
    <n v="115.345"/>
    <n v="115.345"/>
    <n v="115.345"/>
    <n v="230.69"/>
    <n v="230.69"/>
    <n v="230.69"/>
    <n v="461.38"/>
    <n v="461.38"/>
    <n v="461.38"/>
    <n v="461.38"/>
    <n v="461.38"/>
    <n v="461.38"/>
  </r>
  <r>
    <x v="2"/>
    <s v="Half Bath"/>
    <n v="0"/>
    <n v="0"/>
    <n v="0"/>
    <n v="9.83"/>
    <n v="9.83"/>
    <n v="9.83"/>
    <n v="9.83"/>
    <n v="9.83"/>
    <n v="9.83"/>
    <n v="9.83"/>
    <n v="9.83"/>
    <n v="9.83"/>
    <n v="9.83"/>
    <n v="9.83"/>
    <n v="9.83"/>
    <n v="9.83"/>
    <n v="9.83"/>
  </r>
  <r>
    <x v="2"/>
    <s v="Half Bath"/>
    <n v="0"/>
    <n v="0"/>
    <n v="0"/>
    <n v="55.3"/>
    <n v="55.3"/>
    <n v="55.3"/>
    <n v="55.3"/>
    <n v="55.3"/>
    <n v="55.3"/>
    <n v="55.3"/>
    <n v="55.3"/>
    <n v="55.3"/>
    <n v="55.3"/>
    <n v="55.3"/>
    <n v="55.3"/>
    <n v="55.3"/>
    <n v="55.3"/>
  </r>
  <r>
    <x v="2"/>
    <s v="Half Bath"/>
    <n v="0"/>
    <n v="0"/>
    <n v="0"/>
    <n v="16.2225"/>
    <n v="16.2225"/>
    <n v="16.2225"/>
    <n v="16.2225"/>
    <n v="16.2225"/>
    <n v="32.445"/>
    <n v="32.445"/>
    <n v="32.445"/>
    <n v="64.89"/>
    <n v="64.89"/>
    <n v="64.89"/>
    <n v="64.89"/>
    <n v="64.89"/>
    <n v="64.89"/>
  </r>
  <r>
    <x v="2"/>
    <s v="Half Bath"/>
    <n v="0"/>
    <n v="0"/>
    <n v="0"/>
    <n v="0"/>
    <n v="0"/>
    <n v="0"/>
    <n v="0"/>
    <n v="0"/>
    <n v="0"/>
    <n v="0"/>
    <n v="0"/>
    <n v="0"/>
    <n v="0"/>
    <n v="0"/>
    <n v="15.32"/>
    <n v="15.32"/>
    <n v="15.32"/>
  </r>
  <r>
    <x v="2"/>
    <s v="Half Bath"/>
    <n v="0"/>
    <n v="0"/>
    <n v="0"/>
    <n v="16.77"/>
    <n v="16.77"/>
    <n v="16.77"/>
    <n v="16.77"/>
    <n v="16.77"/>
    <n v="16.77"/>
    <n v="16.77"/>
    <n v="16.77"/>
    <n v="16.77"/>
    <n v="16.77"/>
    <n v="16.77"/>
    <n v="16.77"/>
    <n v="16.77"/>
    <n v="16.77"/>
  </r>
  <r>
    <x v="2"/>
    <s v="Half Bath"/>
    <n v="0"/>
    <n v="0"/>
    <n v="0"/>
    <n v="22.54"/>
    <n v="22.54"/>
    <n v="22.54"/>
    <n v="22.54"/>
    <n v="22.54"/>
    <n v="22.54"/>
    <n v="22.54"/>
    <n v="22.54"/>
    <n v="22.54"/>
    <n v="22.54"/>
    <n v="22.54"/>
    <n v="22.54"/>
    <n v="22.54"/>
    <n v="22.54"/>
  </r>
  <r>
    <x v="2"/>
    <s v="Half Bath"/>
    <n v="0"/>
    <n v="0"/>
    <n v="0"/>
    <n v="14.98"/>
    <n v="14.98"/>
    <n v="14.98"/>
    <n v="14.98"/>
    <n v="14.98"/>
    <n v="14.98"/>
    <n v="14.98"/>
    <n v="14.98"/>
    <n v="14.98"/>
    <n v="14.98"/>
    <n v="14.98"/>
    <n v="14.98"/>
    <n v="14.98"/>
    <n v="14.98"/>
  </r>
  <r>
    <x v="2"/>
    <s v="Half Bath"/>
    <n v="0"/>
    <n v="0"/>
    <n v="0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</r>
  <r>
    <x v="3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Utility Room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x v="3"/>
    <s v="Utility Room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x v="3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Utility Room"/>
    <n v="0"/>
    <n v="0"/>
    <n v="0"/>
    <n v="0"/>
    <n v="203.84"/>
    <n v="203.84"/>
    <n v="203.84"/>
    <n v="203.84"/>
    <n v="203.84"/>
    <n v="203.84"/>
    <n v="203.84"/>
    <n v="203.84"/>
    <n v="203.84"/>
    <n v="203.84"/>
    <n v="203.84"/>
    <n v="203.84"/>
    <n v="203.84"/>
  </r>
  <r>
    <x v="3"/>
    <s v="Utility Room"/>
    <n v="0"/>
    <n v="0"/>
    <n v="0"/>
    <n v="138.83750000000001"/>
    <n v="138.83750000000001"/>
    <n v="138.83750000000001"/>
    <n v="138.83750000000001"/>
    <n v="138.83750000000001"/>
    <n v="277.67500000000001"/>
    <n v="277.67500000000001"/>
    <n v="277.67500000000001"/>
    <n v="555.35"/>
    <n v="555.35"/>
    <n v="555.35"/>
    <n v="555.35"/>
    <n v="555.35"/>
    <n v="555.35"/>
  </r>
  <r>
    <x v="3"/>
    <s v="Utility Room"/>
    <n v="0"/>
    <n v="0"/>
    <n v="0"/>
    <n v="91.54"/>
    <n v="91.54"/>
    <n v="91.54"/>
    <n v="91.54"/>
    <n v="91.54"/>
    <n v="91.54"/>
    <n v="91.54"/>
    <n v="91.54"/>
    <n v="91.54"/>
    <n v="91.54"/>
    <n v="91.54"/>
    <n v="91.54"/>
    <n v="91.54"/>
    <n v="91.54"/>
  </r>
  <r>
    <x v="3"/>
    <s v="Utility Room"/>
    <n v="0"/>
    <n v="0"/>
    <n v="0"/>
    <n v="22.83"/>
    <n v="22.83"/>
    <n v="22.83"/>
    <n v="22.83"/>
    <n v="22.83"/>
    <n v="45.66"/>
    <n v="45.66"/>
    <n v="45.66"/>
    <n v="91.32"/>
    <n v="91.32"/>
    <n v="91.32"/>
    <n v="91.32"/>
    <n v="91.32"/>
    <n v="91.32"/>
  </r>
  <r>
    <x v="3"/>
    <s v="Utility Room"/>
    <n v="0"/>
    <n v="0"/>
    <n v="0"/>
    <n v="0"/>
    <n v="0"/>
    <n v="0"/>
    <n v="0"/>
    <n v="0"/>
    <n v="0"/>
    <n v="0"/>
    <n v="0"/>
    <n v="0"/>
    <n v="0"/>
    <n v="0"/>
    <n v="21.56"/>
    <n v="21.56"/>
    <n v="21.56"/>
  </r>
  <r>
    <x v="3"/>
    <s v="Utility Room"/>
    <n v="0"/>
    <n v="0"/>
    <n v="0"/>
    <n v="23.61"/>
    <n v="23.61"/>
    <n v="23.61"/>
    <n v="23.61"/>
    <n v="23.61"/>
    <n v="23.61"/>
    <n v="23.61"/>
    <n v="23.61"/>
    <n v="23.61"/>
    <n v="23.61"/>
    <n v="23.61"/>
    <n v="23.61"/>
    <n v="23.61"/>
    <n v="23.61"/>
  </r>
  <r>
    <x v="3"/>
    <s v="Utility Room"/>
    <n v="0"/>
    <n v="0"/>
    <n v="0"/>
    <n v="31.72"/>
    <n v="31.72"/>
    <n v="31.72"/>
    <n v="31.72"/>
    <n v="31.72"/>
    <n v="31.72"/>
    <n v="31.72"/>
    <n v="31.72"/>
    <n v="31.72"/>
    <n v="31.72"/>
    <n v="31.72"/>
    <n v="31.72"/>
    <n v="31.72"/>
    <n v="31.72"/>
  </r>
  <r>
    <x v="3"/>
    <s v="Utility Room"/>
    <n v="0"/>
    <n v="0"/>
    <n v="0"/>
    <n v="21.09"/>
    <n v="21.09"/>
    <n v="21.09"/>
    <n v="21.09"/>
    <n v="21.09"/>
    <n v="21.09"/>
    <n v="21.09"/>
    <n v="21.09"/>
    <n v="21.09"/>
    <n v="21.09"/>
    <n v="21.09"/>
    <n v="21.09"/>
    <n v="21.09"/>
    <n v="21.09"/>
  </r>
  <r>
    <x v="3"/>
    <s v="Utility Room"/>
    <n v="0"/>
    <n v="0"/>
    <n v="0"/>
    <n v="101.31"/>
    <n v="101.31"/>
    <n v="101.31"/>
    <n v="101.31"/>
    <n v="101.31"/>
    <n v="101.31"/>
    <n v="101.31"/>
    <n v="101.31"/>
    <n v="101.31"/>
    <n v="101.31"/>
    <n v="101.31"/>
    <n v="101.31"/>
    <n v="101.31"/>
    <n v="101.31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338.68"/>
    <n v="338.68"/>
    <n v="338.68"/>
    <n v="338.68"/>
    <n v="338.68"/>
    <n v="338.68"/>
    <n v="338.68"/>
    <n v="338.68"/>
    <n v="338.68"/>
    <n v="338.68"/>
    <n v="338.68"/>
    <n v="338.68"/>
    <n v="338.68"/>
  </r>
  <r>
    <x v="3"/>
    <s v="Bedroom"/>
    <n v="0"/>
    <n v="0"/>
    <n v="0"/>
    <n v="230.69"/>
    <n v="230.69"/>
    <n v="230.69"/>
    <n v="230.69"/>
    <n v="230.69"/>
    <n v="461.38"/>
    <n v="461.38"/>
    <n v="461.38"/>
    <n v="922.76"/>
    <n v="922.76"/>
    <n v="922.76"/>
    <n v="922.76"/>
    <n v="922.76"/>
    <n v="922.76"/>
  </r>
  <r>
    <x v="3"/>
    <s v="Bedroom"/>
    <n v="0"/>
    <n v="0"/>
    <n v="0"/>
    <n v="152.06"/>
    <n v="152.06"/>
    <n v="152.06"/>
    <n v="152.06"/>
    <n v="152.06"/>
    <n v="152.06"/>
    <n v="152.06"/>
    <n v="152.06"/>
    <n v="152.06"/>
    <n v="152.06"/>
    <n v="152.06"/>
    <n v="152.06"/>
    <n v="152.06"/>
    <n v="152.06"/>
  </r>
  <r>
    <x v="3"/>
    <s v="Bedroom"/>
    <n v="0"/>
    <n v="0"/>
    <n v="0"/>
    <n v="64.882499999999993"/>
    <n v="64.882499999999993"/>
    <n v="64.882499999999993"/>
    <n v="64.882499999999993"/>
    <n v="64.882499999999993"/>
    <n v="129.76499999999999"/>
    <n v="129.76499999999999"/>
    <n v="129.76499999999999"/>
    <n v="259.52999999999997"/>
    <n v="259.52999999999997"/>
    <n v="259.52999999999997"/>
    <n v="259.52999999999997"/>
    <n v="259.52999999999997"/>
    <n v="259.52999999999997"/>
  </r>
  <r>
    <x v="3"/>
    <s v="Bedroom"/>
    <n v="0"/>
    <n v="0"/>
    <n v="0"/>
    <n v="0"/>
    <n v="0"/>
    <n v="0"/>
    <n v="0"/>
    <n v="0"/>
    <n v="0"/>
    <n v="0"/>
    <n v="0"/>
    <n v="0"/>
    <n v="0"/>
    <n v="0"/>
    <n v="61.23"/>
    <n v="61.23"/>
    <n v="61.23"/>
  </r>
  <r>
    <x v="3"/>
    <s v="Bedroom"/>
    <n v="0"/>
    <n v="0"/>
    <n v="0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</r>
  <r>
    <x v="3"/>
    <s v="Bedroom"/>
    <n v="0"/>
    <n v="0"/>
    <n v="0"/>
    <n v="90.1"/>
    <n v="90.1"/>
    <n v="90.1"/>
    <n v="90.1"/>
    <n v="90.1"/>
    <n v="90.1"/>
    <n v="90.1"/>
    <n v="90.1"/>
    <n v="90.1"/>
    <n v="90.1"/>
    <n v="90.1"/>
    <n v="90.1"/>
    <n v="90.1"/>
    <n v="90.1"/>
  </r>
  <r>
    <x v="3"/>
    <s v="Bedroom"/>
    <n v="0"/>
    <n v="0"/>
    <n v="0"/>
    <n v="59.91"/>
    <n v="59.91"/>
    <n v="59.91"/>
    <n v="59.91"/>
    <n v="59.91"/>
    <n v="59.91"/>
    <n v="59.91"/>
    <n v="59.91"/>
    <n v="59.91"/>
    <n v="59.91"/>
    <n v="59.91"/>
    <n v="59.91"/>
    <n v="59.91"/>
    <n v="59.91"/>
  </r>
  <r>
    <x v="3"/>
    <s v="Bedroom"/>
    <n v="0"/>
    <n v="0"/>
    <n v="0"/>
    <n v="287.95"/>
    <n v="287.95"/>
    <n v="287.95"/>
    <n v="287.95"/>
    <n v="287.95"/>
    <n v="287.95"/>
    <n v="287.95"/>
    <n v="287.95"/>
    <n v="287.95"/>
    <n v="287.95"/>
    <n v="287.95"/>
    <n v="287.95"/>
    <n v="287.95"/>
    <n v="287.95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x v="2"/>
    <s v="Kitchen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x v="2"/>
    <s v="Kitchen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x v="2"/>
    <s v="Kitchen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0"/>
    <n v="0"/>
    <n v="2690.18"/>
    <n v="2690.18"/>
    <n v="2690.18"/>
    <n v="2690.18"/>
    <n v="2690.18"/>
  </r>
  <r>
    <x v="2"/>
    <s v="Kitchen"/>
    <n v="0"/>
    <n v="0"/>
    <n v="0"/>
    <n v="0"/>
    <n v="3316.04"/>
    <n v="3316.04"/>
    <n v="3316.04"/>
    <n v="3316.04"/>
    <n v="3316.04"/>
    <n v="3316.04"/>
    <n v="3316.04"/>
    <n v="3316.04"/>
    <n v="3316.04"/>
    <n v="3316.04"/>
    <n v="3316.04"/>
    <n v="3316.04"/>
    <n v="3316.04"/>
  </r>
  <r>
    <x v="2"/>
    <s v="Kitchen"/>
    <n v="0"/>
    <n v="0"/>
    <n v="0"/>
    <n v="0"/>
    <n v="0"/>
    <n v="0"/>
    <n v="0"/>
    <n v="0"/>
    <n v="0"/>
    <n v="0"/>
    <n v="1544.18"/>
    <n v="1544.18"/>
    <n v="1544.18"/>
    <n v="1544.18"/>
    <n v="1544.18"/>
    <n v="1544.18"/>
    <n v="1544.18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x v="2"/>
    <s v="Kitchen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x v="2"/>
    <s v="Kitchen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x v="2"/>
    <s v="Kitchen"/>
    <n v="0"/>
    <n v="0"/>
    <n v="0"/>
    <n v="0"/>
    <n v="0"/>
    <n v="0"/>
    <n v="1129.33"/>
    <n v="1129.33"/>
    <n v="1129.33"/>
    <n v="1129.33"/>
    <n v="1129.33"/>
    <n v="1129.33"/>
    <n v="1129.33"/>
    <n v="1129.33"/>
    <n v="1129.33"/>
    <n v="1129.33"/>
    <n v="1129.33"/>
  </r>
  <r>
    <x v="2"/>
    <s v="Kitchen"/>
    <n v="0"/>
    <n v="0"/>
    <n v="0"/>
    <n v="0"/>
    <n v="355.94"/>
    <n v="355.94"/>
    <n v="355.94"/>
    <n v="355.94"/>
    <n v="355.94"/>
    <n v="355.94"/>
    <n v="355.94"/>
    <n v="355.94"/>
    <n v="355.94"/>
    <n v="355.94"/>
    <n v="355.94"/>
    <n v="355.94"/>
    <n v="355.94"/>
  </r>
  <r>
    <x v="2"/>
    <s v="Kitchen"/>
    <n v="0"/>
    <n v="0"/>
    <n v="0"/>
    <n v="242.4375"/>
    <n v="242.4375"/>
    <n v="242.4375"/>
    <n v="242.4375"/>
    <n v="242.4375"/>
    <n v="484.875"/>
    <n v="484.875"/>
    <n v="484.875"/>
    <n v="969.75"/>
    <n v="969.75"/>
    <n v="969.75"/>
    <n v="969.75"/>
    <n v="969.75"/>
    <n v="969.75"/>
  </r>
  <r>
    <x v="2"/>
    <s v="Kitchen"/>
    <n v="0"/>
    <n v="0"/>
    <n v="0"/>
    <n v="20.66"/>
    <n v="20.66"/>
    <n v="20.66"/>
    <n v="20.66"/>
    <n v="20.66"/>
    <n v="20.66"/>
    <n v="20.66"/>
    <n v="20.66"/>
    <n v="20.66"/>
    <n v="20.66"/>
    <n v="20.66"/>
    <n v="20.66"/>
    <n v="20.66"/>
    <n v="20.66"/>
  </r>
  <r>
    <x v="2"/>
    <s v="Kitchen"/>
    <n v="0"/>
    <n v="0"/>
    <n v="0"/>
    <n v="116.25"/>
    <n v="116.25"/>
    <n v="116.25"/>
    <n v="116.25"/>
    <n v="116.25"/>
    <n v="116.25"/>
    <n v="116.25"/>
    <n v="116.25"/>
    <n v="116.25"/>
    <n v="116.25"/>
    <n v="116.25"/>
    <n v="116.25"/>
    <n v="116.25"/>
    <n v="116.25"/>
  </r>
  <r>
    <x v="2"/>
    <s v="Kitchen"/>
    <n v="0"/>
    <n v="0"/>
    <n v="0"/>
    <n v="71.489999999999995"/>
    <n v="71.489999999999995"/>
    <n v="71.489999999999995"/>
    <n v="71.489999999999995"/>
    <n v="71.489999999999995"/>
    <n v="142.97999999999999"/>
    <n v="142.97999999999999"/>
    <n v="142.97999999999999"/>
    <n v="285.95999999999998"/>
    <n v="285.95999999999998"/>
    <n v="285.95999999999998"/>
    <n v="285.95999999999998"/>
    <n v="285.95999999999998"/>
    <n v="285.95999999999998"/>
  </r>
  <r>
    <x v="2"/>
    <s v="Kitchen"/>
    <n v="0"/>
    <n v="0"/>
    <n v="0"/>
    <n v="0"/>
    <n v="0"/>
    <n v="0"/>
    <n v="0"/>
    <n v="0"/>
    <n v="0"/>
    <n v="0"/>
    <n v="0"/>
    <n v="0"/>
    <n v="0"/>
    <n v="0"/>
    <n v="67.47"/>
    <n v="67.47"/>
    <n v="67.47"/>
  </r>
  <r>
    <x v="2"/>
    <s v="Kitchen"/>
    <n v="0"/>
    <n v="0"/>
    <n v="0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</r>
  <r>
    <x v="2"/>
    <s v="Kitchen"/>
    <n v="0"/>
    <n v="0"/>
    <n v="0"/>
    <n v="99.28"/>
    <n v="99.28"/>
    <n v="99.28"/>
    <n v="99.28"/>
    <n v="99.28"/>
    <n v="99.28"/>
    <n v="99.28"/>
    <n v="99.28"/>
    <n v="99.28"/>
    <n v="99.28"/>
    <n v="99.28"/>
    <n v="99.28"/>
    <n v="99.28"/>
    <n v="99.28"/>
  </r>
  <r>
    <x v="2"/>
    <s v="Kitchen"/>
    <n v="0"/>
    <n v="0"/>
    <n v="0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  <n v="66.010000000000005"/>
  </r>
  <r>
    <x v="2"/>
    <s v="Kitchen"/>
    <n v="0"/>
    <n v="0"/>
    <n v="0"/>
    <n v="317.27"/>
    <n v="317.27"/>
    <n v="317.27"/>
    <n v="317.27"/>
    <n v="317.27"/>
    <n v="317.27"/>
    <n v="317.27"/>
    <n v="317.27"/>
    <n v="317.27"/>
    <n v="317.27"/>
    <n v="317.27"/>
    <n v="317.27"/>
    <n v="317.27"/>
    <n v="317.27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442.18"/>
    <n v="442.18"/>
    <n v="442.18"/>
    <n v="442.18"/>
    <n v="442.18"/>
    <n v="442.18"/>
    <n v="442.18"/>
    <n v="442.18"/>
    <n v="442.18"/>
    <n v="442.18"/>
    <n v="442.18"/>
    <n v="442.18"/>
    <n v="442.18"/>
  </r>
  <r>
    <x v="3"/>
    <s v="Bedroom"/>
    <n v="0"/>
    <n v="0"/>
    <n v="0"/>
    <n v="301.17500000000001"/>
    <n v="301.17500000000001"/>
    <n v="301.17500000000001"/>
    <n v="301.17500000000001"/>
    <n v="301.17500000000001"/>
    <n v="602.35"/>
    <n v="602.35"/>
    <n v="602.35"/>
    <n v="1204.7"/>
    <n v="1204.7"/>
    <n v="1204.7"/>
    <n v="1204.7"/>
    <n v="1204.7"/>
    <n v="1204.7"/>
  </r>
  <r>
    <x v="3"/>
    <s v="Bedroom"/>
    <n v="0"/>
    <n v="0"/>
    <n v="0"/>
    <n v="198.52"/>
    <n v="198.52"/>
    <n v="198.52"/>
    <n v="198.52"/>
    <n v="198.52"/>
    <n v="198.52"/>
    <n v="198.52"/>
    <n v="198.52"/>
    <n v="198.52"/>
    <n v="198.52"/>
    <n v="198.52"/>
    <n v="198.52"/>
    <n v="198.52"/>
    <n v="198.52"/>
  </r>
  <r>
    <x v="3"/>
    <s v="Bedroom"/>
    <n v="0"/>
    <n v="0"/>
    <n v="0"/>
    <n v="109.91500000000001"/>
    <n v="109.91500000000001"/>
    <n v="109.91500000000001"/>
    <n v="109.91500000000001"/>
    <n v="109.91500000000001"/>
    <n v="219.83"/>
    <n v="219.83"/>
    <n v="219.83"/>
    <n v="439.66"/>
    <n v="439.66"/>
    <n v="439.66"/>
    <n v="439.66"/>
    <n v="439.66"/>
    <n v="439.66"/>
  </r>
  <r>
    <x v="3"/>
    <s v="Bedroom"/>
    <n v="0"/>
    <n v="0"/>
    <n v="0"/>
    <n v="0"/>
    <n v="0"/>
    <n v="0"/>
    <n v="0"/>
    <n v="0"/>
    <n v="0"/>
    <n v="0"/>
    <n v="0"/>
    <n v="0"/>
    <n v="0"/>
    <n v="0"/>
    <n v="103.75"/>
    <n v="103.75"/>
    <n v="103.75"/>
  </r>
  <r>
    <x v="3"/>
    <s v="Bedroom"/>
    <n v="0"/>
    <n v="0"/>
    <n v="0"/>
    <n v="113.62"/>
    <n v="113.62"/>
    <n v="113.62"/>
    <n v="113.62"/>
    <n v="113.62"/>
    <n v="113.62"/>
    <n v="113.62"/>
    <n v="113.62"/>
    <n v="113.62"/>
    <n v="113.62"/>
    <n v="113.62"/>
    <n v="113.62"/>
    <n v="113.62"/>
    <n v="113.62"/>
  </r>
  <r>
    <x v="3"/>
    <s v="Bedroom"/>
    <n v="0"/>
    <n v="0"/>
    <n v="0"/>
    <n v="152.63"/>
    <n v="152.63"/>
    <n v="152.63"/>
    <n v="152.63"/>
    <n v="152.63"/>
    <n v="152.63"/>
    <n v="152.63"/>
    <n v="152.63"/>
    <n v="152.63"/>
    <n v="152.63"/>
    <n v="152.63"/>
    <n v="152.63"/>
    <n v="152.63"/>
    <n v="152.63"/>
  </r>
  <r>
    <x v="3"/>
    <s v="Bedroom"/>
    <n v="0"/>
    <n v="0"/>
    <n v="0"/>
    <n v="101.5"/>
    <n v="101.5"/>
    <n v="101.5"/>
    <n v="101.5"/>
    <n v="101.5"/>
    <n v="101.5"/>
    <n v="101.5"/>
    <n v="101.5"/>
    <n v="101.5"/>
    <n v="101.5"/>
    <n v="101.5"/>
    <n v="101.5"/>
    <n v="101.5"/>
    <n v="101.5"/>
  </r>
  <r>
    <x v="3"/>
    <s v="Bedroom"/>
    <n v="0"/>
    <n v="0"/>
    <n v="0"/>
    <n v="487.79"/>
    <n v="487.79"/>
    <n v="487.79"/>
    <n v="487.79"/>
    <n v="487.79"/>
    <n v="487.79"/>
    <n v="487.79"/>
    <n v="487.79"/>
    <n v="487.79"/>
    <n v="487.79"/>
    <n v="487.79"/>
    <n v="487.79"/>
    <n v="487.79"/>
    <n v="487.79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338.68"/>
    <n v="338.68"/>
    <n v="338.68"/>
    <n v="338.68"/>
    <n v="338.68"/>
    <n v="338.68"/>
    <n v="338.68"/>
    <n v="338.68"/>
    <n v="338.68"/>
    <n v="338.68"/>
    <n v="338.68"/>
    <n v="338.68"/>
    <n v="338.68"/>
  </r>
  <r>
    <x v="3"/>
    <s v="Bedroom"/>
    <n v="0"/>
    <n v="0"/>
    <n v="0"/>
    <n v="230.69"/>
    <n v="230.69"/>
    <n v="230.69"/>
    <n v="230.69"/>
    <n v="230.69"/>
    <n v="461.38"/>
    <n v="461.38"/>
    <n v="461.38"/>
    <n v="922.76"/>
    <n v="922.76"/>
    <n v="922.76"/>
    <n v="922.76"/>
    <n v="922.76"/>
    <n v="922.76"/>
  </r>
  <r>
    <x v="3"/>
    <s v="Bedroom"/>
    <n v="0"/>
    <n v="0"/>
    <n v="0"/>
    <n v="152.06"/>
    <n v="152.06"/>
    <n v="152.06"/>
    <n v="152.06"/>
    <n v="152.06"/>
    <n v="152.06"/>
    <n v="152.06"/>
    <n v="152.06"/>
    <n v="152.06"/>
    <n v="152.06"/>
    <n v="152.06"/>
    <n v="152.06"/>
    <n v="152.06"/>
    <n v="152.06"/>
  </r>
  <r>
    <x v="3"/>
    <s v="Bedroom"/>
    <n v="0"/>
    <n v="0"/>
    <n v="0"/>
    <n v="64.882499999999993"/>
    <n v="64.882499999999993"/>
    <n v="64.882499999999993"/>
    <n v="64.882499999999993"/>
    <n v="64.882499999999993"/>
    <n v="129.76499999999999"/>
    <n v="129.76499999999999"/>
    <n v="129.76499999999999"/>
    <n v="259.52999999999997"/>
    <n v="259.52999999999997"/>
    <n v="259.52999999999997"/>
    <n v="259.52999999999997"/>
    <n v="259.52999999999997"/>
    <n v="259.52999999999997"/>
  </r>
  <r>
    <x v="3"/>
    <s v="Bedroom"/>
    <n v="0"/>
    <n v="0"/>
    <n v="0"/>
    <n v="0"/>
    <n v="0"/>
    <n v="0"/>
    <n v="0"/>
    <n v="0"/>
    <n v="0"/>
    <n v="0"/>
    <n v="0"/>
    <n v="0"/>
    <n v="0"/>
    <n v="0"/>
    <n v="61.23"/>
    <n v="61.23"/>
    <n v="61.23"/>
  </r>
  <r>
    <x v="3"/>
    <s v="Bedroom"/>
    <n v="0"/>
    <n v="0"/>
    <n v="0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</r>
  <r>
    <x v="3"/>
    <s v="Bedroom"/>
    <n v="0"/>
    <n v="0"/>
    <n v="0"/>
    <n v="90.1"/>
    <n v="90.1"/>
    <n v="90.1"/>
    <n v="90.1"/>
    <n v="90.1"/>
    <n v="90.1"/>
    <n v="90.1"/>
    <n v="90.1"/>
    <n v="90.1"/>
    <n v="90.1"/>
    <n v="90.1"/>
    <n v="90.1"/>
    <n v="90.1"/>
    <n v="90.1"/>
  </r>
  <r>
    <x v="3"/>
    <s v="Bedroom"/>
    <n v="0"/>
    <n v="0"/>
    <n v="0"/>
    <n v="59.91"/>
    <n v="59.91"/>
    <n v="59.91"/>
    <n v="59.91"/>
    <n v="59.91"/>
    <n v="59.91"/>
    <n v="59.91"/>
    <n v="59.91"/>
    <n v="59.91"/>
    <n v="59.91"/>
    <n v="59.91"/>
    <n v="59.91"/>
    <n v="59.91"/>
    <n v="59.91"/>
  </r>
  <r>
    <x v="3"/>
    <s v="Bedroom"/>
    <n v="0"/>
    <n v="0"/>
    <n v="0"/>
    <n v="287.95"/>
    <n v="287.95"/>
    <n v="287.95"/>
    <n v="287.95"/>
    <n v="287.95"/>
    <n v="287.95"/>
    <n v="287.95"/>
    <n v="287.95"/>
    <n v="287.95"/>
    <n v="287.95"/>
    <n v="287.95"/>
    <n v="287.95"/>
    <n v="287.95"/>
    <n v="287.95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238.34"/>
    <n v="238.34"/>
    <n v="238.34"/>
    <n v="238.34"/>
    <n v="238.34"/>
    <n v="238.34"/>
    <n v="238.34"/>
    <n v="238.34"/>
    <n v="238.34"/>
    <n v="238.34"/>
    <n v="238.34"/>
    <n v="238.34"/>
    <n v="238.34"/>
  </r>
  <r>
    <x v="2"/>
    <s v="Nook"/>
    <n v="0"/>
    <n v="0"/>
    <n v="0"/>
    <n v="162.33750000000001"/>
    <n v="162.33750000000001"/>
    <n v="162.33750000000001"/>
    <n v="162.33750000000001"/>
    <n v="162.33750000000001"/>
    <n v="324.67500000000001"/>
    <n v="324.67500000000001"/>
    <n v="324.67500000000001"/>
    <n v="649.35"/>
    <n v="649.35"/>
    <n v="649.35"/>
    <n v="649.35"/>
    <n v="649.35"/>
    <n v="649.35"/>
  </r>
  <r>
    <x v="2"/>
    <s v="Nook"/>
    <n v="0"/>
    <n v="0"/>
    <n v="0"/>
    <n v="107"/>
    <n v="107"/>
    <n v="107"/>
    <n v="107"/>
    <n v="107"/>
    <n v="107"/>
    <n v="107"/>
    <n v="107"/>
    <n v="107"/>
    <n v="107"/>
    <n v="107"/>
    <n v="107"/>
    <n v="107"/>
    <n v="107"/>
  </r>
  <r>
    <x v="2"/>
    <s v="Nook"/>
    <n v="0"/>
    <n v="0"/>
    <n v="0"/>
    <n v="31.4575"/>
    <n v="31.4575"/>
    <n v="31.4575"/>
    <n v="31.4575"/>
    <n v="31.4575"/>
    <n v="62.914999999999999"/>
    <n v="62.914999999999999"/>
    <n v="62.914999999999999"/>
    <n v="125.83"/>
    <n v="125.83"/>
    <n v="125.83"/>
    <n v="125.83"/>
    <n v="125.83"/>
    <n v="125.83"/>
  </r>
  <r>
    <x v="2"/>
    <s v="Nook"/>
    <n v="0"/>
    <n v="0"/>
    <n v="0"/>
    <n v="0"/>
    <n v="0"/>
    <n v="0"/>
    <n v="0"/>
    <n v="0"/>
    <n v="0"/>
    <n v="0"/>
    <n v="0"/>
    <n v="0"/>
    <n v="0"/>
    <n v="0"/>
    <n v="29.68"/>
    <n v="29.68"/>
    <n v="29.68"/>
  </r>
  <r>
    <x v="2"/>
    <s v="Nook"/>
    <n v="0"/>
    <n v="0"/>
    <n v="0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</r>
  <r>
    <x v="2"/>
    <s v="Nook"/>
    <n v="0"/>
    <n v="0"/>
    <n v="0"/>
    <n v="43.67"/>
    <n v="43.67"/>
    <n v="43.67"/>
    <n v="43.67"/>
    <n v="43.67"/>
    <n v="43.67"/>
    <n v="43.67"/>
    <n v="43.67"/>
    <n v="43.67"/>
    <n v="43.67"/>
    <n v="43.67"/>
    <n v="43.67"/>
    <n v="43.67"/>
    <n v="43.67"/>
  </r>
  <r>
    <x v="2"/>
    <s v="Nook"/>
    <n v="0"/>
    <n v="0"/>
    <n v="0"/>
    <n v="29.05"/>
    <n v="29.05"/>
    <n v="29.05"/>
    <n v="29.05"/>
    <n v="29.05"/>
    <n v="29.05"/>
    <n v="29.05"/>
    <n v="29.05"/>
    <n v="29.05"/>
    <n v="29.05"/>
    <n v="29.05"/>
    <n v="29.05"/>
    <n v="29.05"/>
    <n v="29.05"/>
  </r>
  <r>
    <x v="2"/>
    <s v="Nook"/>
    <n v="0"/>
    <n v="0"/>
    <n v="0"/>
    <n v="139.6"/>
    <n v="139.6"/>
    <n v="139.6"/>
    <n v="139.6"/>
    <n v="139.6"/>
    <n v="139.6"/>
    <n v="139.6"/>
    <n v="139.6"/>
    <n v="139.6"/>
    <n v="139.6"/>
    <n v="139.6"/>
    <n v="139.6"/>
    <n v="139.6"/>
    <n v="139.6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578.6"/>
    <n v="578.6"/>
    <n v="578.6"/>
    <n v="578.6"/>
    <n v="578.6"/>
    <n v="578.6"/>
    <n v="578.6"/>
    <n v="578.6"/>
    <n v="578.6"/>
    <n v="578.6"/>
    <n v="578.6"/>
    <n v="578.6"/>
    <n v="578.6"/>
  </r>
  <r>
    <x v="2"/>
    <s v="Living Area"/>
    <n v="0"/>
    <n v="0"/>
    <n v="0"/>
    <n v="394.09"/>
    <n v="394.09"/>
    <n v="394.09"/>
    <n v="394.09"/>
    <n v="394.09"/>
    <n v="788.18"/>
    <n v="788.18"/>
    <n v="788.18"/>
    <n v="1576.36"/>
    <n v="1576.36"/>
    <n v="1576.36"/>
    <n v="1576.36"/>
    <n v="1576.36"/>
    <n v="1576.36"/>
  </r>
  <r>
    <x v="2"/>
    <s v="Living Area"/>
    <n v="0"/>
    <n v="0"/>
    <n v="0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  <n v="259.77999999999997"/>
  </r>
  <r>
    <x v="2"/>
    <s v="Living Area"/>
    <n v="0"/>
    <n v="0"/>
    <n v="0"/>
    <n v="183.47749999999999"/>
    <n v="183.47749999999999"/>
    <n v="183.47749999999999"/>
    <n v="183.47749999999999"/>
    <n v="183.47749999999999"/>
    <n v="366.95499999999998"/>
    <n v="366.95499999999998"/>
    <n v="366.95499999999998"/>
    <n v="733.91"/>
    <n v="733.91"/>
    <n v="733.91"/>
    <n v="733.91"/>
    <n v="733.91"/>
    <n v="733.91"/>
  </r>
  <r>
    <x v="2"/>
    <s v="Living Area"/>
    <n v="0"/>
    <n v="0"/>
    <n v="0"/>
    <n v="0"/>
    <n v="0"/>
    <n v="0"/>
    <n v="0"/>
    <n v="0"/>
    <n v="0"/>
    <n v="0"/>
    <n v="0"/>
    <n v="0"/>
    <n v="0"/>
    <n v="0"/>
    <n v="173.17"/>
    <n v="173.17"/>
    <n v="173.17"/>
  </r>
  <r>
    <x v="2"/>
    <s v="Living Area"/>
    <n v="0"/>
    <n v="0"/>
    <n v="0"/>
    <n v="189.67"/>
    <n v="189.67"/>
    <n v="189.67"/>
    <n v="189.67"/>
    <n v="189.67"/>
    <n v="189.67"/>
    <n v="189.67"/>
    <n v="189.67"/>
    <n v="189.67"/>
    <n v="189.67"/>
    <n v="189.67"/>
    <n v="189.67"/>
    <n v="189.67"/>
    <n v="189.67"/>
  </r>
  <r>
    <x v="2"/>
    <s v="Living Area"/>
    <n v="0"/>
    <n v="0"/>
    <n v="0"/>
    <n v="254.76"/>
    <n v="254.76"/>
    <n v="254.76"/>
    <n v="254.76"/>
    <n v="254.76"/>
    <n v="254.76"/>
    <n v="254.76"/>
    <n v="254.76"/>
    <n v="254.76"/>
    <n v="254.76"/>
    <n v="254.76"/>
    <n v="254.76"/>
    <n v="254.76"/>
    <n v="254.76"/>
  </r>
  <r>
    <x v="2"/>
    <s v="Living Area"/>
    <n v="0"/>
    <n v="0"/>
    <n v="0"/>
    <n v="169.43"/>
    <n v="169.43"/>
    <n v="169.43"/>
    <n v="169.43"/>
    <n v="169.43"/>
    <n v="169.43"/>
    <n v="169.43"/>
    <n v="169.43"/>
    <n v="169.43"/>
    <n v="169.43"/>
    <n v="169.43"/>
    <n v="169.43"/>
    <n v="169.43"/>
    <n v="169.43"/>
  </r>
  <r>
    <x v="2"/>
    <s v="Living Area"/>
    <n v="0"/>
    <n v="0"/>
    <n v="0"/>
    <n v="814.27"/>
    <n v="814.27"/>
    <n v="814.27"/>
    <n v="814.27"/>
    <n v="814.27"/>
    <n v="814.27"/>
    <n v="814.27"/>
    <n v="814.27"/>
    <n v="814.27"/>
    <n v="814.27"/>
    <n v="814.27"/>
    <n v="814.27"/>
    <n v="814.27"/>
    <n v="814.27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3"/>
    <s v="Hallway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Hallway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Hallway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Hallway"/>
    <n v="0"/>
    <n v="0"/>
    <n v="0"/>
    <n v="0"/>
    <n v="221.08"/>
    <n v="221.08"/>
    <n v="221.08"/>
    <n v="221.08"/>
    <n v="221.08"/>
    <n v="221.08"/>
    <n v="221.08"/>
    <n v="221.08"/>
    <n v="221.08"/>
    <n v="221.08"/>
    <n v="221.08"/>
    <n v="221.08"/>
    <n v="221.08"/>
  </r>
  <r>
    <x v="3"/>
    <s v="Hallway"/>
    <n v="0"/>
    <n v="0"/>
    <n v="0"/>
    <n v="150.59"/>
    <n v="150.59"/>
    <n v="150.59"/>
    <n v="150.59"/>
    <n v="150.59"/>
    <n v="301.18"/>
    <n v="301.18"/>
    <n v="301.18"/>
    <n v="602.36"/>
    <n v="602.36"/>
    <n v="602.36"/>
    <n v="602.36"/>
    <n v="602.36"/>
    <n v="602.36"/>
  </r>
  <r>
    <x v="3"/>
    <s v="Hallway"/>
    <n v="0"/>
    <n v="0"/>
    <n v="0"/>
    <n v="99.26"/>
    <n v="99.26"/>
    <n v="99.26"/>
    <n v="99.26"/>
    <n v="99.26"/>
    <n v="99.26"/>
    <n v="99.26"/>
    <n v="99.26"/>
    <n v="99.26"/>
    <n v="99.26"/>
    <n v="99.26"/>
    <n v="99.26"/>
    <n v="99.26"/>
    <n v="99.26"/>
  </r>
  <r>
    <x v="3"/>
    <s v="Hallway"/>
    <n v="0"/>
    <n v="0"/>
    <n v="0"/>
    <n v="19.824999999999999"/>
    <n v="19.824999999999999"/>
    <n v="19.824999999999999"/>
    <n v="19.824999999999999"/>
    <n v="19.824999999999999"/>
    <n v="39.65"/>
    <n v="39.65"/>
    <n v="39.65"/>
    <n v="79.3"/>
    <n v="79.3"/>
    <n v="79.3"/>
    <n v="79.3"/>
    <n v="79.3"/>
    <n v="79.3"/>
  </r>
  <r>
    <x v="3"/>
    <s v="Hallway"/>
    <n v="0"/>
    <n v="0"/>
    <n v="0"/>
    <n v="0"/>
    <n v="0"/>
    <n v="0"/>
    <n v="0"/>
    <n v="0"/>
    <n v="0"/>
    <n v="0"/>
    <n v="0"/>
    <n v="0"/>
    <n v="0"/>
    <n v="0"/>
    <n v="18.71"/>
    <n v="18.71"/>
    <n v="18.71"/>
  </r>
  <r>
    <x v="3"/>
    <s v="Hallway"/>
    <n v="0"/>
    <n v="0"/>
    <n v="0"/>
    <n v="20.5"/>
    <n v="20.5"/>
    <n v="20.5"/>
    <n v="20.5"/>
    <n v="20.5"/>
    <n v="20.5"/>
    <n v="20.5"/>
    <n v="20.5"/>
    <n v="20.5"/>
    <n v="20.5"/>
    <n v="20.5"/>
    <n v="20.5"/>
    <n v="20.5"/>
    <n v="20.5"/>
  </r>
  <r>
    <x v="3"/>
    <s v="Hallway"/>
    <n v="0"/>
    <n v="0"/>
    <n v="0"/>
    <n v="27.51"/>
    <n v="27.51"/>
    <n v="27.51"/>
    <n v="27.51"/>
    <n v="27.51"/>
    <n v="27.51"/>
    <n v="27.51"/>
    <n v="27.51"/>
    <n v="27.51"/>
    <n v="27.51"/>
    <n v="27.51"/>
    <n v="27.51"/>
    <n v="27.51"/>
    <n v="27.51"/>
  </r>
  <r>
    <x v="3"/>
    <s v="Hallway"/>
    <n v="0"/>
    <n v="0"/>
    <n v="0"/>
    <n v="18.32"/>
    <n v="18.32"/>
    <n v="18.32"/>
    <n v="18.32"/>
    <n v="18.32"/>
    <n v="18.32"/>
    <n v="18.32"/>
    <n v="18.32"/>
    <n v="18.32"/>
    <n v="18.32"/>
    <n v="18.32"/>
    <n v="18.32"/>
    <n v="18.32"/>
    <n v="18.32"/>
  </r>
  <r>
    <x v="3"/>
    <s v="Hallway"/>
    <n v="0"/>
    <n v="0"/>
    <n v="0"/>
    <n v="87.98"/>
    <n v="87.98"/>
    <n v="87.98"/>
    <n v="87.98"/>
    <n v="87.98"/>
    <n v="87.98"/>
    <n v="87.98"/>
    <n v="87.98"/>
    <n v="87.98"/>
    <n v="87.98"/>
    <n v="87.98"/>
    <n v="87.98"/>
    <n v="87.98"/>
    <n v="87.98"/>
  </r>
  <r>
    <x v="2"/>
    <s v="Dining Room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Dining 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Dining Room"/>
    <n v="0"/>
    <n v="0"/>
    <n v="0"/>
    <n v="0"/>
    <n v="407.68"/>
    <n v="407.68"/>
    <n v="407.68"/>
    <n v="407.68"/>
    <n v="407.68"/>
    <n v="407.68"/>
    <n v="407.68"/>
    <n v="407.68"/>
    <n v="407.68"/>
    <n v="407.68"/>
    <n v="407.68"/>
    <n v="407.68"/>
    <n v="407.68"/>
  </r>
  <r>
    <x v="2"/>
    <s v="Dining Room"/>
    <n v="0"/>
    <n v="0"/>
    <n v="0"/>
    <n v="277.6825"/>
    <n v="277.6825"/>
    <n v="277.6825"/>
    <n v="277.6825"/>
    <n v="277.6825"/>
    <n v="555.36500000000001"/>
    <n v="555.36500000000001"/>
    <n v="555.36500000000001"/>
    <n v="1110.73"/>
    <n v="1110.73"/>
    <n v="1110.73"/>
    <n v="1110.73"/>
    <n v="1110.73"/>
    <n v="1110.73"/>
  </r>
  <r>
    <x v="2"/>
    <s v="Dining Room"/>
    <n v="0"/>
    <n v="0"/>
    <n v="0"/>
    <n v="183.02"/>
    <n v="183.02"/>
    <n v="183.02"/>
    <n v="183.02"/>
    <n v="183.02"/>
    <n v="183.02"/>
    <n v="183.02"/>
    <n v="183.02"/>
    <n v="183.02"/>
    <n v="183.02"/>
    <n v="183.02"/>
    <n v="183.02"/>
    <n v="183.02"/>
    <n v="183.02"/>
  </r>
  <r>
    <x v="2"/>
    <s v="Dining Room"/>
    <n v="0"/>
    <n v="0"/>
    <n v="0"/>
    <n v="91.314999999999998"/>
    <n v="91.314999999999998"/>
    <n v="91.314999999999998"/>
    <n v="91.314999999999998"/>
    <n v="91.314999999999998"/>
    <n v="182.63"/>
    <n v="182.63"/>
    <n v="182.63"/>
    <n v="365.26"/>
    <n v="365.26"/>
    <n v="365.26"/>
    <n v="365.26"/>
    <n v="365.26"/>
    <n v="365.26"/>
  </r>
  <r>
    <x v="2"/>
    <s v="Dining Room"/>
    <n v="0"/>
    <n v="0"/>
    <n v="0"/>
    <n v="0"/>
    <n v="0"/>
    <n v="0"/>
    <n v="0"/>
    <n v="0"/>
    <n v="0"/>
    <n v="0"/>
    <n v="0"/>
    <n v="0"/>
    <n v="0"/>
    <n v="0"/>
    <n v="86.18"/>
    <n v="86.18"/>
    <n v="86.18"/>
  </r>
  <r>
    <x v="2"/>
    <s v="Dining Room"/>
    <n v="0"/>
    <n v="0"/>
    <n v="0"/>
    <n v="94.4"/>
    <n v="94.4"/>
    <n v="94.4"/>
    <n v="94.4"/>
    <n v="94.4"/>
    <n v="94.4"/>
    <n v="94.4"/>
    <n v="94.4"/>
    <n v="94.4"/>
    <n v="94.4"/>
    <n v="94.4"/>
    <n v="94.4"/>
    <n v="94.4"/>
    <n v="94.4"/>
  </r>
  <r>
    <x v="2"/>
    <s v="Dining Room"/>
    <n v="0"/>
    <n v="0"/>
    <n v="0"/>
    <n v="126.81"/>
    <n v="126.81"/>
    <n v="126.81"/>
    <n v="126.81"/>
    <n v="126.81"/>
    <n v="126.81"/>
    <n v="126.81"/>
    <n v="126.81"/>
    <n v="126.81"/>
    <n v="126.81"/>
    <n v="126.81"/>
    <n v="126.81"/>
    <n v="126.81"/>
    <n v="126.81"/>
  </r>
  <r>
    <x v="2"/>
    <s v="Dining Room"/>
    <n v="0"/>
    <n v="0"/>
    <n v="0"/>
    <n v="84.33"/>
    <n v="84.33"/>
    <n v="84.33"/>
    <n v="84.33"/>
    <n v="84.33"/>
    <n v="84.33"/>
    <n v="84.33"/>
    <n v="84.33"/>
    <n v="84.33"/>
    <n v="84.33"/>
    <n v="84.33"/>
    <n v="84.33"/>
    <n v="84.33"/>
    <n v="84.33"/>
  </r>
  <r>
    <x v="2"/>
    <s v="Dining Room"/>
    <n v="0"/>
    <n v="0"/>
    <n v="0"/>
    <n v="405.25"/>
    <n v="405.25"/>
    <n v="405.25"/>
    <n v="405.25"/>
    <n v="405.25"/>
    <n v="405.25"/>
    <n v="405.25"/>
    <n v="405.25"/>
    <n v="405.25"/>
    <n v="405.25"/>
    <n v="405.25"/>
    <n v="405.25"/>
    <n v="405.25"/>
    <n v="405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B1B97-7B6A-420E-B220-EB9C4F66B254}" name="grp2pivot" cacheId="3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C4FE86-5672-44F2-8EE0-452361E9CA7A}" name="grp3pivot" cacheId="2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N48" firstHeaderRow="1" firstDataRow="2" firstDataCol="1"/>
  <pivotFields count="19">
    <pivotField showAll="0"/>
    <pivotField axis="axisCol" showAll="0">
      <items count="13">
        <item x="0"/>
        <item x="1"/>
        <item x="2"/>
        <item x="3"/>
        <item x="5"/>
        <item x="6"/>
        <item x="7"/>
        <item x="8"/>
        <item x="9"/>
        <item x="10"/>
        <item x="4"/>
        <item x="1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6E616-5693-4C33-AD14-46D8EE5730B0}">
  <dimension ref="A1:J75"/>
  <sheetViews>
    <sheetView topLeftCell="A28" workbookViewId="0">
      <selection activeCell="K7" sqref="K7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5" customWidth="1"/>
    <col min="5" max="5" width="20.42578125" customWidth="1"/>
    <col min="7" max="7" width="26.42578125" style="136" customWidth="1"/>
    <col min="8" max="8" width="30.5703125" style="136" customWidth="1"/>
    <col min="9" max="9" width="17.42578125" customWidth="1"/>
    <col min="10" max="10" width="15.5703125" style="136" customWidth="1"/>
  </cols>
  <sheetData>
    <row r="1" spans="1:9" x14ac:dyDescent="0.25">
      <c r="C1" t="s">
        <v>167</v>
      </c>
      <c r="D1" s="135" t="s">
        <v>168</v>
      </c>
      <c r="E1" t="s">
        <v>169</v>
      </c>
      <c r="F1" t="s">
        <v>170</v>
      </c>
      <c r="G1" s="136" t="s">
        <v>171</v>
      </c>
      <c r="H1" s="136" t="s">
        <v>172</v>
      </c>
      <c r="I1" t="s">
        <v>173</v>
      </c>
    </row>
    <row r="2" spans="1:9" x14ac:dyDescent="0.25">
      <c r="A2" t="s">
        <v>174</v>
      </c>
      <c r="C2" t="s">
        <v>175</v>
      </c>
      <c r="D2" s="137" t="s">
        <v>176</v>
      </c>
      <c r="E2">
        <f>D25</f>
        <v>2</v>
      </c>
      <c r="F2" t="s">
        <v>177</v>
      </c>
      <c r="G2" s="136" t="s">
        <v>11</v>
      </c>
      <c r="H2" s="136" t="s">
        <v>178</v>
      </c>
      <c r="I2" t="s">
        <v>179</v>
      </c>
    </row>
    <row r="4" spans="1:9" x14ac:dyDescent="0.25">
      <c r="A4" t="s">
        <v>180</v>
      </c>
      <c r="C4" s="3"/>
    </row>
    <row r="5" spans="1:9" x14ac:dyDescent="0.25">
      <c r="C5" s="3"/>
    </row>
    <row r="6" spans="1:9" x14ac:dyDescent="0.25">
      <c r="C6" s="138"/>
      <c r="D6" s="137"/>
    </row>
    <row r="7" spans="1:9" x14ac:dyDescent="0.25">
      <c r="B7" t="s">
        <v>181</v>
      </c>
      <c r="C7" s="138" t="s">
        <v>182</v>
      </c>
    </row>
    <row r="8" spans="1:9" x14ac:dyDescent="0.25">
      <c r="B8" t="s">
        <v>183</v>
      </c>
      <c r="C8" s="3" t="s">
        <v>155</v>
      </c>
    </row>
    <row r="9" spans="1:9" x14ac:dyDescent="0.25">
      <c r="B9" t="s">
        <v>184</v>
      </c>
      <c r="C9" s="139">
        <v>0.1</v>
      </c>
    </row>
    <row r="10" spans="1:9" x14ac:dyDescent="0.25">
      <c r="B10" t="s">
        <v>185</v>
      </c>
      <c r="C10" s="139">
        <v>0.1</v>
      </c>
    </row>
    <row r="12" spans="1:9" x14ac:dyDescent="0.25">
      <c r="B12" s="1"/>
      <c r="C12" s="1"/>
    </row>
    <row r="15" spans="1:9" x14ac:dyDescent="0.25">
      <c r="A15" t="s">
        <v>186</v>
      </c>
    </row>
    <row r="16" spans="1:9" x14ac:dyDescent="0.25">
      <c r="C16" s="3" t="s">
        <v>187</v>
      </c>
      <c r="D16" s="135">
        <v>2000</v>
      </c>
    </row>
    <row r="17" spans="3:5" x14ac:dyDescent="0.25">
      <c r="C17" s="3" t="s">
        <v>188</v>
      </c>
      <c r="D17" s="135" t="s">
        <v>189</v>
      </c>
    </row>
    <row r="18" spans="3:5" x14ac:dyDescent="0.25">
      <c r="C18" s="3" t="s">
        <v>190</v>
      </c>
      <c r="D18" s="140">
        <v>1200</v>
      </c>
    </row>
    <row r="19" spans="3:5" x14ac:dyDescent="0.25">
      <c r="C19" s="3" t="s">
        <v>191</v>
      </c>
      <c r="D19" s="135" t="s">
        <v>192</v>
      </c>
    </row>
    <row r="20" spans="3:5" x14ac:dyDescent="0.25">
      <c r="C20" s="3" t="s">
        <v>193</v>
      </c>
      <c r="D20" s="135" t="s">
        <v>192</v>
      </c>
    </row>
    <row r="21" spans="3:5" x14ac:dyDescent="0.25">
      <c r="C21" s="3" t="s">
        <v>194</v>
      </c>
      <c r="D21" s="135" t="s">
        <v>192</v>
      </c>
    </row>
    <row r="22" spans="3:5" x14ac:dyDescent="0.25">
      <c r="C22" s="3" t="s">
        <v>195</v>
      </c>
      <c r="D22" s="135" t="s">
        <v>192</v>
      </c>
    </row>
    <row r="24" spans="3:5" x14ac:dyDescent="0.25">
      <c r="C24" s="3" t="s">
        <v>196</v>
      </c>
      <c r="D24" s="135" t="s">
        <v>197</v>
      </c>
    </row>
    <row r="25" spans="3:5" x14ac:dyDescent="0.25">
      <c r="C25" s="3" t="s">
        <v>10</v>
      </c>
      <c r="D25" s="135">
        <v>2</v>
      </c>
    </row>
    <row r="26" spans="3:5" x14ac:dyDescent="0.25">
      <c r="C26" s="3" t="s">
        <v>198</v>
      </c>
      <c r="D26" s="135" t="s">
        <v>11</v>
      </c>
      <c r="E26" s="141">
        <v>1</v>
      </c>
    </row>
    <row r="27" spans="3:5" x14ac:dyDescent="0.25">
      <c r="C27" s="3" t="s">
        <v>199</v>
      </c>
      <c r="D27" s="142">
        <v>0</v>
      </c>
    </row>
    <row r="28" spans="3:5" x14ac:dyDescent="0.25">
      <c r="C28" s="3" t="s">
        <v>200</v>
      </c>
      <c r="D28" s="135" t="s">
        <v>189</v>
      </c>
    </row>
    <row r="29" spans="3:5" x14ac:dyDescent="0.25">
      <c r="C29" s="3" t="s">
        <v>201</v>
      </c>
      <c r="D29" s="135" t="s">
        <v>178</v>
      </c>
    </row>
    <row r="30" spans="3:5" x14ac:dyDescent="0.25">
      <c r="C30" s="3" t="s">
        <v>202</v>
      </c>
      <c r="D30" s="135" t="s">
        <v>203</v>
      </c>
    </row>
    <row r="31" spans="3:5" x14ac:dyDescent="0.25">
      <c r="C31" s="3" t="s">
        <v>204</v>
      </c>
      <c r="D31" s="135" t="s">
        <v>205</v>
      </c>
    </row>
    <row r="32" spans="3:5" x14ac:dyDescent="0.25">
      <c r="C32" s="3" t="s">
        <v>206</v>
      </c>
      <c r="D32" s="135" t="s">
        <v>207</v>
      </c>
    </row>
    <row r="33" spans="1:4" x14ac:dyDescent="0.25">
      <c r="C33" s="3" t="s">
        <v>208</v>
      </c>
      <c r="D33" s="135" t="s">
        <v>209</v>
      </c>
    </row>
    <row r="34" spans="1:4" x14ac:dyDescent="0.25">
      <c r="C34" s="3" t="s">
        <v>210</v>
      </c>
      <c r="D34" s="135" t="s">
        <v>211</v>
      </c>
    </row>
    <row r="35" spans="1:4" x14ac:dyDescent="0.25">
      <c r="C35" s="3" t="s">
        <v>212</v>
      </c>
      <c r="D35" s="135" t="s">
        <v>213</v>
      </c>
    </row>
    <row r="36" spans="1:4" x14ac:dyDescent="0.25">
      <c r="C36" s="3" t="s">
        <v>214</v>
      </c>
      <c r="D36" s="135" t="s">
        <v>155</v>
      </c>
    </row>
    <row r="37" spans="1:4" x14ac:dyDescent="0.25">
      <c r="C37" s="3" t="s">
        <v>215</v>
      </c>
      <c r="D37" s="135" t="s">
        <v>216</v>
      </c>
    </row>
    <row r="38" spans="1:4" x14ac:dyDescent="0.25">
      <c r="C38" s="3" t="s">
        <v>217</v>
      </c>
      <c r="D38" s="135" t="s">
        <v>218</v>
      </c>
    </row>
    <row r="39" spans="1:4" x14ac:dyDescent="0.25">
      <c r="C39" s="3"/>
    </row>
    <row r="40" spans="1:4" x14ac:dyDescent="0.25">
      <c r="A40" t="s">
        <v>219</v>
      </c>
    </row>
    <row r="41" spans="1:4" x14ac:dyDescent="0.25">
      <c r="C41" s="3" t="s">
        <v>220</v>
      </c>
      <c r="D41" s="135" t="s">
        <v>221</v>
      </c>
    </row>
    <row r="42" spans="1:4" x14ac:dyDescent="0.25">
      <c r="C42" s="3" t="s">
        <v>222</v>
      </c>
      <c r="D42" s="135" t="s">
        <v>223</v>
      </c>
    </row>
    <row r="43" spans="1:4" x14ac:dyDescent="0.25">
      <c r="C43" s="3" t="s">
        <v>224</v>
      </c>
      <c r="D43" s="135" t="s">
        <v>155</v>
      </c>
    </row>
    <row r="44" spans="1:4" x14ac:dyDescent="0.25">
      <c r="C44" s="3" t="s">
        <v>225</v>
      </c>
      <c r="D44" s="135" t="s">
        <v>155</v>
      </c>
    </row>
    <row r="45" spans="1:4" ht="30" x14ac:dyDescent="0.25">
      <c r="C45" s="3" t="s">
        <v>226</v>
      </c>
      <c r="D45" s="135" t="s">
        <v>227</v>
      </c>
    </row>
    <row r="46" spans="1:4" x14ac:dyDescent="0.25">
      <c r="C46" s="3" t="s">
        <v>228</v>
      </c>
      <c r="D46" s="135" t="s">
        <v>155</v>
      </c>
    </row>
    <row r="47" spans="1:4" x14ac:dyDescent="0.25">
      <c r="C47" s="3" t="s">
        <v>229</v>
      </c>
      <c r="D47" s="135" t="s">
        <v>155</v>
      </c>
    </row>
    <row r="48" spans="1:4" x14ac:dyDescent="0.25">
      <c r="A48" t="s">
        <v>219</v>
      </c>
    </row>
    <row r="49" spans="1:10" x14ac:dyDescent="0.25">
      <c r="C49" s="3" t="s">
        <v>230</v>
      </c>
      <c r="D49" s="135">
        <v>8</v>
      </c>
    </row>
    <row r="50" spans="1:10" x14ac:dyDescent="0.25">
      <c r="C50" s="3" t="s">
        <v>231</v>
      </c>
      <c r="D50" s="135" t="s">
        <v>232</v>
      </c>
    </row>
    <row r="51" spans="1:10" x14ac:dyDescent="0.25">
      <c r="C51" s="3" t="s">
        <v>233</v>
      </c>
      <c r="D51" s="135" t="s">
        <v>234</v>
      </c>
    </row>
    <row r="52" spans="1:10" x14ac:dyDescent="0.25">
      <c r="C52" s="3" t="s">
        <v>235</v>
      </c>
      <c r="D52" s="135" t="s">
        <v>234</v>
      </c>
    </row>
    <row r="53" spans="1:10" x14ac:dyDescent="0.25">
      <c r="C53" s="3" t="s">
        <v>236</v>
      </c>
      <c r="D53" s="135" t="s">
        <v>237</v>
      </c>
      <c r="E53" t="s">
        <v>11</v>
      </c>
    </row>
    <row r="54" spans="1:10" x14ac:dyDescent="0.25">
      <c r="C54" s="3" t="s">
        <v>238</v>
      </c>
      <c r="D54" s="135" t="s">
        <v>155</v>
      </c>
    </row>
    <row r="55" spans="1:10" x14ac:dyDescent="0.25">
      <c r="C55" s="3" t="s">
        <v>239</v>
      </c>
      <c r="D55" s="135" t="s">
        <v>155</v>
      </c>
    </row>
    <row r="56" spans="1:10" x14ac:dyDescent="0.25">
      <c r="C56" s="3" t="s">
        <v>240</v>
      </c>
      <c r="D56" s="135" t="s">
        <v>241</v>
      </c>
    </row>
    <row r="57" spans="1:10" x14ac:dyDescent="0.25">
      <c r="C57" s="3" t="s">
        <v>242</v>
      </c>
      <c r="D57" s="135" t="s">
        <v>155</v>
      </c>
    </row>
    <row r="58" spans="1:10" x14ac:dyDescent="0.25">
      <c r="C58" s="3" t="s">
        <v>243</v>
      </c>
      <c r="D58" s="135" t="s">
        <v>155</v>
      </c>
    </row>
    <row r="59" spans="1:10" x14ac:dyDescent="0.25">
      <c r="C59" s="3" t="s">
        <v>244</v>
      </c>
      <c r="D59" s="135" t="s">
        <v>155</v>
      </c>
    </row>
    <row r="60" spans="1:10" x14ac:dyDescent="0.25">
      <c r="C60" s="3" t="s">
        <v>245</v>
      </c>
      <c r="D60" s="135" t="s">
        <v>155</v>
      </c>
    </row>
    <row r="61" spans="1:10" x14ac:dyDescent="0.25">
      <c r="C61" s="3" t="s">
        <v>246</v>
      </c>
      <c r="D61" s="135" t="s">
        <v>155</v>
      </c>
    </row>
    <row r="63" spans="1:10" x14ac:dyDescent="0.25">
      <c r="A63" t="s">
        <v>124</v>
      </c>
      <c r="C63" s="3"/>
    </row>
    <row r="64" spans="1:10" ht="30" x14ac:dyDescent="0.25">
      <c r="B64" s="143" t="s">
        <v>247</v>
      </c>
      <c r="C64" s="143" t="s">
        <v>248</v>
      </c>
      <c r="D64" s="144" t="s">
        <v>168</v>
      </c>
      <c r="E64" s="144" t="s">
        <v>170</v>
      </c>
      <c r="F64" s="143" t="s">
        <v>249</v>
      </c>
      <c r="G64" s="144" t="s">
        <v>250</v>
      </c>
      <c r="H64" s="144" t="s">
        <v>251</v>
      </c>
      <c r="I64" s="143" t="s">
        <v>252</v>
      </c>
      <c r="J64" s="144" t="s">
        <v>253</v>
      </c>
    </row>
    <row r="65" spans="1:10" ht="45" x14ac:dyDescent="0.25">
      <c r="B65" t="s">
        <v>7</v>
      </c>
      <c r="C65" s="3" t="s">
        <v>12</v>
      </c>
      <c r="D65" s="135" t="s">
        <v>7</v>
      </c>
      <c r="E65" t="s">
        <v>254</v>
      </c>
      <c r="F65" t="s">
        <v>155</v>
      </c>
      <c r="G65" s="136" t="s">
        <v>155</v>
      </c>
      <c r="H65" s="136" t="s">
        <v>255</v>
      </c>
      <c r="I65" t="s">
        <v>256</v>
      </c>
      <c r="J65" s="136" t="s">
        <v>155</v>
      </c>
    </row>
    <row r="66" spans="1:10" ht="30" x14ac:dyDescent="0.25">
      <c r="B66" t="s">
        <v>257</v>
      </c>
      <c r="C66" s="3" t="s">
        <v>51</v>
      </c>
      <c r="D66" s="135" t="s">
        <v>13</v>
      </c>
      <c r="E66" t="s">
        <v>254</v>
      </c>
      <c r="F66" t="s">
        <v>155</v>
      </c>
      <c r="G66" s="136" t="s">
        <v>155</v>
      </c>
      <c r="H66" s="136" t="s">
        <v>258</v>
      </c>
      <c r="I66" t="s">
        <v>256</v>
      </c>
      <c r="J66" s="136" t="s">
        <v>155</v>
      </c>
    </row>
    <row r="67" spans="1:10" x14ac:dyDescent="0.25">
      <c r="B67" t="s">
        <v>259</v>
      </c>
      <c r="C67" s="3" t="s">
        <v>12</v>
      </c>
      <c r="D67" s="135" t="s">
        <v>260</v>
      </c>
      <c r="E67" t="s">
        <v>177</v>
      </c>
      <c r="F67" t="s">
        <v>155</v>
      </c>
      <c r="G67" s="136" t="s">
        <v>155</v>
      </c>
      <c r="I67" t="s">
        <v>256</v>
      </c>
      <c r="J67" s="136" t="s">
        <v>155</v>
      </c>
    </row>
    <row r="68" spans="1:10" x14ac:dyDescent="0.25">
      <c r="B68" t="s">
        <v>4</v>
      </c>
      <c r="C68" s="3" t="s">
        <v>51</v>
      </c>
      <c r="D68" s="135" t="s">
        <v>4</v>
      </c>
      <c r="E68" t="s">
        <v>254</v>
      </c>
      <c r="F68" t="s">
        <v>155</v>
      </c>
      <c r="G68" t="s">
        <v>155</v>
      </c>
    </row>
    <row r="69" spans="1:10" x14ac:dyDescent="0.25">
      <c r="B69" t="s">
        <v>261</v>
      </c>
      <c r="C69" s="3" t="s">
        <v>51</v>
      </c>
      <c r="D69" s="135" t="s">
        <v>4</v>
      </c>
      <c r="E69" t="s">
        <v>254</v>
      </c>
      <c r="F69" t="s">
        <v>155</v>
      </c>
      <c r="G69" t="s">
        <v>155</v>
      </c>
    </row>
    <row r="70" spans="1:10" x14ac:dyDescent="0.25">
      <c r="B70" t="s">
        <v>262</v>
      </c>
      <c r="C70" s="3" t="s">
        <v>51</v>
      </c>
      <c r="D70" s="135" t="s">
        <v>4</v>
      </c>
      <c r="E70" t="s">
        <v>263</v>
      </c>
      <c r="F70" t="s">
        <v>155</v>
      </c>
      <c r="G70" t="s">
        <v>155</v>
      </c>
    </row>
    <row r="71" spans="1:10" x14ac:dyDescent="0.25">
      <c r="B71" t="s">
        <v>264</v>
      </c>
      <c r="C71" s="3" t="s">
        <v>12</v>
      </c>
      <c r="D71" s="135" t="s">
        <v>14</v>
      </c>
      <c r="E71" t="s">
        <v>263</v>
      </c>
      <c r="F71" t="s">
        <v>155</v>
      </c>
      <c r="G71" t="s">
        <v>155</v>
      </c>
    </row>
    <row r="72" spans="1:10" x14ac:dyDescent="0.25">
      <c r="B72" t="s">
        <v>265</v>
      </c>
      <c r="C72" s="3" t="s">
        <v>12</v>
      </c>
      <c r="D72" s="135" t="s">
        <v>266</v>
      </c>
      <c r="E72" t="s">
        <v>177</v>
      </c>
      <c r="F72" t="s">
        <v>155</v>
      </c>
      <c r="G72" t="s">
        <v>155</v>
      </c>
    </row>
    <row r="73" spans="1:10" s="136" customFormat="1" x14ac:dyDescent="0.25">
      <c r="A73"/>
      <c r="B73" t="s">
        <v>6</v>
      </c>
      <c r="C73" s="3" t="s">
        <v>51</v>
      </c>
      <c r="D73" s="135" t="s">
        <v>6</v>
      </c>
      <c r="E73" t="s">
        <v>177</v>
      </c>
      <c r="F73" t="s">
        <v>155</v>
      </c>
      <c r="G73" t="s">
        <v>155</v>
      </c>
      <c r="I73"/>
    </row>
    <row r="74" spans="1:10" s="136" customFormat="1" x14ac:dyDescent="0.25">
      <c r="A74"/>
      <c r="B74" t="s">
        <v>5</v>
      </c>
      <c r="C74" s="3" t="s">
        <v>12</v>
      </c>
      <c r="D74" s="135" t="s">
        <v>5</v>
      </c>
      <c r="E74" t="s">
        <v>177</v>
      </c>
      <c r="F74" t="s">
        <v>155</v>
      </c>
      <c r="G74" t="s">
        <v>155</v>
      </c>
      <c r="I74"/>
    </row>
    <row r="75" spans="1:10" s="136" customFormat="1" x14ac:dyDescent="0.25">
      <c r="A75"/>
      <c r="B75" t="s">
        <v>267</v>
      </c>
      <c r="C75" s="3" t="s">
        <v>51</v>
      </c>
      <c r="D75" s="135" t="s">
        <v>15</v>
      </c>
      <c r="E75" t="s">
        <v>177</v>
      </c>
      <c r="F75" t="s">
        <v>155</v>
      </c>
      <c r="G75" t="s">
        <v>155</v>
      </c>
      <c r="I75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D66A-CC27-464E-9FC7-BCEA9AB3FD06}">
  <dimension ref="A1:B55"/>
  <sheetViews>
    <sheetView workbookViewId="0">
      <selection activeCell="E17" sqref="E17"/>
    </sheetView>
  </sheetViews>
  <sheetFormatPr defaultRowHeight="15" x14ac:dyDescent="0.25"/>
  <cols>
    <col min="1" max="1" width="20.140625" bestFit="1" customWidth="1"/>
    <col min="2" max="2" width="32" bestFit="1" customWidth="1"/>
  </cols>
  <sheetData>
    <row r="1" spans="1:2" x14ac:dyDescent="0.25">
      <c r="A1" s="63" t="s">
        <v>19</v>
      </c>
      <c r="B1" s="64" t="s">
        <v>587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268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555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1200</v>
      </c>
    </row>
    <row r="17" spans="1:2" x14ac:dyDescent="0.25">
      <c r="A17" s="33" t="s">
        <v>114</v>
      </c>
      <c r="B17" s="55">
        <v>111.48</v>
      </c>
    </row>
    <row r="18" spans="1:2" x14ac:dyDescent="0.25">
      <c r="A18" s="33" t="s">
        <v>115</v>
      </c>
      <c r="B18" s="55" t="s">
        <v>588</v>
      </c>
    </row>
    <row r="19" spans="1:2" x14ac:dyDescent="0.25">
      <c r="A19" s="33" t="s">
        <v>116</v>
      </c>
      <c r="B19" s="55" t="s">
        <v>589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590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55.275349019945544</v>
      </c>
    </row>
    <row r="28" spans="1:2" x14ac:dyDescent="0.25">
      <c r="A28" s="54">
        <v>-2.6500000000000004</v>
      </c>
      <c r="B28" s="53">
        <v>69.786451998320842</v>
      </c>
    </row>
    <row r="29" spans="1:2" x14ac:dyDescent="0.25">
      <c r="A29" s="54">
        <v>-2.6</v>
      </c>
      <c r="B29" s="53">
        <v>96.699110003623858</v>
      </c>
    </row>
    <row r="30" spans="1:2" x14ac:dyDescent="0.25">
      <c r="A30" s="54">
        <v>-2.5500000000000003</v>
      </c>
      <c r="B30" s="53">
        <v>158.86233401146001</v>
      </c>
    </row>
    <row r="31" spans="1:2" x14ac:dyDescent="0.25">
      <c r="A31" s="54">
        <v>-2.4000000000000004</v>
      </c>
      <c r="B31" s="53">
        <v>161.41143091898718</v>
      </c>
    </row>
    <row r="32" spans="1:2" x14ac:dyDescent="0.25">
      <c r="A32" s="54">
        <v>-2.2400000000000002</v>
      </c>
      <c r="B32" s="53">
        <v>206.87100524202663</v>
      </c>
    </row>
    <row r="33" spans="1:2" x14ac:dyDescent="0.25">
      <c r="A33" s="54">
        <v>-2.0900000000000003</v>
      </c>
      <c r="B33" s="53">
        <v>206.87100524202663</v>
      </c>
    </row>
    <row r="34" spans="1:2" x14ac:dyDescent="0.25">
      <c r="A34" s="54">
        <v>-1.9400000000000002</v>
      </c>
      <c r="B34" s="53">
        <v>208.16716001277317</v>
      </c>
    </row>
    <row r="35" spans="1:2" x14ac:dyDescent="0.25">
      <c r="A35" s="54">
        <v>-1.79</v>
      </c>
      <c r="B35" s="53">
        <v>237.70755877994614</v>
      </c>
    </row>
    <row r="36" spans="1:2" x14ac:dyDescent="0.25">
      <c r="A36" s="54">
        <v>-1.6800000000000002</v>
      </c>
      <c r="B36" s="53">
        <v>266.21677448521581</v>
      </c>
    </row>
    <row r="37" spans="1:2" x14ac:dyDescent="0.25">
      <c r="A37" s="54">
        <v>-1.4800000000000002</v>
      </c>
      <c r="B37" s="53">
        <v>271.77373532968079</v>
      </c>
    </row>
    <row r="38" spans="1:2" x14ac:dyDescent="0.25">
      <c r="A38" s="54">
        <v>-1.1800000000000002</v>
      </c>
      <c r="B38" s="53">
        <v>273.25879680957559</v>
      </c>
    </row>
    <row r="39" spans="1:2" x14ac:dyDescent="0.25">
      <c r="A39" s="54">
        <v>-0.87000000000000011</v>
      </c>
      <c r="B39" s="53">
        <v>310.06941290019341</v>
      </c>
    </row>
    <row r="40" spans="1:2" x14ac:dyDescent="0.25">
      <c r="A40" s="54">
        <v>0</v>
      </c>
      <c r="B40" s="53">
        <v>310.06941290019341</v>
      </c>
    </row>
    <row r="41" spans="1:2" x14ac:dyDescent="0.25">
      <c r="A41" s="54">
        <v>0.03</v>
      </c>
      <c r="B41" s="53">
        <v>578.22389391802926</v>
      </c>
    </row>
    <row r="42" spans="1:2" x14ac:dyDescent="0.25">
      <c r="A42" s="54">
        <v>0.05</v>
      </c>
      <c r="B42" s="53">
        <v>698.59020788707949</v>
      </c>
    </row>
    <row r="43" spans="1:2" x14ac:dyDescent="0.25">
      <c r="A43" s="54">
        <v>0.1</v>
      </c>
      <c r="B43" s="53">
        <v>730.48243239364353</v>
      </c>
    </row>
    <row r="44" spans="1:2" x14ac:dyDescent="0.25">
      <c r="A44" s="54">
        <v>0.15</v>
      </c>
      <c r="B44" s="53">
        <v>779.7634028682246</v>
      </c>
    </row>
    <row r="45" spans="1:2" x14ac:dyDescent="0.25">
      <c r="A45" s="54">
        <v>0.3</v>
      </c>
      <c r="B45" s="53">
        <v>782.31249977575192</v>
      </c>
    </row>
    <row r="46" spans="1:2" x14ac:dyDescent="0.25">
      <c r="A46" s="54">
        <v>0.46</v>
      </c>
      <c r="B46" s="53">
        <v>866.5740324137364</v>
      </c>
    </row>
    <row r="47" spans="1:2" x14ac:dyDescent="0.25">
      <c r="A47" s="54">
        <v>0.61</v>
      </c>
      <c r="B47" s="53">
        <v>876.44669529868099</v>
      </c>
    </row>
    <row r="48" spans="1:2" x14ac:dyDescent="0.25">
      <c r="A48" s="54">
        <v>0.76</v>
      </c>
      <c r="B48" s="53">
        <v>914.608003329638</v>
      </c>
    </row>
    <row r="49" spans="1:2" x14ac:dyDescent="0.25">
      <c r="A49" s="54">
        <v>0.91</v>
      </c>
      <c r="B49" s="53">
        <v>1050.1880348320292</v>
      </c>
    </row>
    <row r="50" spans="1:2" x14ac:dyDescent="0.25">
      <c r="A50" s="54">
        <v>1.02</v>
      </c>
      <c r="B50" s="53">
        <v>1128.9297511024042</v>
      </c>
    </row>
    <row r="51" spans="1:2" x14ac:dyDescent="0.25">
      <c r="A51" s="54">
        <v>1.22</v>
      </c>
      <c r="B51" s="53">
        <v>1137.9254240085536</v>
      </c>
    </row>
    <row r="52" spans="1:2" x14ac:dyDescent="0.25">
      <c r="A52" s="54">
        <v>1.52</v>
      </c>
      <c r="B52" s="53">
        <v>1160.6549375872326</v>
      </c>
    </row>
    <row r="53" spans="1:2" x14ac:dyDescent="0.25">
      <c r="A53" s="54">
        <v>1.83</v>
      </c>
      <c r="B53" s="53">
        <v>1160.6549375872326</v>
      </c>
    </row>
    <row r="54" spans="1:2" x14ac:dyDescent="0.25">
      <c r="A54" s="77">
        <v>2.7</v>
      </c>
      <c r="B54" s="72">
        <v>1160.6549375872326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E71D5-DAD5-41D5-B9CF-B6E0296EAAC4}">
  <dimension ref="A1:B55"/>
  <sheetViews>
    <sheetView workbookViewId="0">
      <selection activeCell="E17" sqref="E17"/>
    </sheetView>
  </sheetViews>
  <sheetFormatPr defaultRowHeight="15" x14ac:dyDescent="0.25"/>
  <cols>
    <col min="1" max="1" width="20.140625" bestFit="1" customWidth="1"/>
    <col min="2" max="2" width="32" bestFit="1" customWidth="1"/>
  </cols>
  <sheetData>
    <row r="1" spans="1:2" x14ac:dyDescent="0.25">
      <c r="A1" s="63" t="s">
        <v>19</v>
      </c>
      <c r="B1" s="64" t="s">
        <v>591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268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555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1200</v>
      </c>
    </row>
    <row r="17" spans="1:2" x14ac:dyDescent="0.25">
      <c r="A17" s="33" t="s">
        <v>114</v>
      </c>
      <c r="B17" s="55">
        <v>111.48</v>
      </c>
    </row>
    <row r="18" spans="1:2" x14ac:dyDescent="0.25">
      <c r="A18" s="33" t="s">
        <v>115</v>
      </c>
      <c r="B18" s="55" t="s">
        <v>588</v>
      </c>
    </row>
    <row r="19" spans="1:2" x14ac:dyDescent="0.25">
      <c r="A19" s="33" t="s">
        <v>116</v>
      </c>
      <c r="B19" s="55" t="s">
        <v>589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590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3081.1474500000004</v>
      </c>
    </row>
    <row r="28" spans="1:2" x14ac:dyDescent="0.25">
      <c r="A28" s="54">
        <v>-2.6500000000000004</v>
      </c>
      <c r="B28" s="53">
        <v>3890.0224500000004</v>
      </c>
    </row>
    <row r="29" spans="1:2" x14ac:dyDescent="0.25">
      <c r="A29" s="54">
        <v>-2.6</v>
      </c>
      <c r="B29" s="53">
        <v>5390.1824500000002</v>
      </c>
    </row>
    <row r="30" spans="1:2" x14ac:dyDescent="0.25">
      <c r="A30" s="54">
        <v>-2.5500000000000003</v>
      </c>
      <c r="B30" s="53">
        <v>8855.2724500000004</v>
      </c>
    </row>
    <row r="31" spans="1:2" x14ac:dyDescent="0.25">
      <c r="A31" s="54">
        <v>-2.4000000000000004</v>
      </c>
      <c r="B31" s="53">
        <v>8997.3636999999999</v>
      </c>
    </row>
    <row r="32" spans="1:2" x14ac:dyDescent="0.25">
      <c r="A32" s="54">
        <v>-2.2400000000000002</v>
      </c>
      <c r="B32" s="53">
        <v>11531.3622</v>
      </c>
    </row>
    <row r="33" spans="1:2" x14ac:dyDescent="0.25">
      <c r="A33" s="54">
        <v>-2.0900000000000003</v>
      </c>
      <c r="B33" s="53">
        <v>11531.3622</v>
      </c>
    </row>
    <row r="34" spans="1:2" x14ac:dyDescent="0.25">
      <c r="A34" s="54">
        <v>-1.9400000000000002</v>
      </c>
      <c r="B34" s="53">
        <v>11603.6122</v>
      </c>
    </row>
    <row r="35" spans="1:2" x14ac:dyDescent="0.25">
      <c r="A35" s="54">
        <v>-1.79</v>
      </c>
      <c r="B35" s="53">
        <v>13250.247200000002</v>
      </c>
    </row>
    <row r="36" spans="1:2" x14ac:dyDescent="0.25">
      <c r="A36" s="54">
        <v>-1.6800000000000002</v>
      </c>
      <c r="B36" s="53">
        <v>14839.4022</v>
      </c>
    </row>
    <row r="37" spans="1:2" x14ac:dyDescent="0.25">
      <c r="A37" s="54">
        <v>-1.4800000000000002</v>
      </c>
      <c r="B37" s="53">
        <v>15149.157200000001</v>
      </c>
    </row>
    <row r="38" spans="1:2" x14ac:dyDescent="0.25">
      <c r="A38" s="54">
        <v>-1.1800000000000002</v>
      </c>
      <c r="B38" s="53">
        <v>15231.9372</v>
      </c>
    </row>
    <row r="39" spans="1:2" x14ac:dyDescent="0.25">
      <c r="A39" s="54">
        <v>-0.87000000000000011</v>
      </c>
      <c r="B39" s="53">
        <v>17283.8272</v>
      </c>
    </row>
    <row r="40" spans="1:2" x14ac:dyDescent="0.25">
      <c r="A40" s="54">
        <v>0</v>
      </c>
      <c r="B40" s="53">
        <v>17283.8272</v>
      </c>
    </row>
    <row r="41" spans="1:2" x14ac:dyDescent="0.25">
      <c r="A41" s="54">
        <v>0.03</v>
      </c>
      <c r="B41" s="53">
        <v>32231.24065</v>
      </c>
    </row>
    <row r="42" spans="1:2" x14ac:dyDescent="0.25">
      <c r="A42" s="54">
        <v>0.05</v>
      </c>
      <c r="B42" s="53">
        <v>38940.675650000005</v>
      </c>
    </row>
    <row r="43" spans="1:2" x14ac:dyDescent="0.25">
      <c r="A43" s="54">
        <v>0.1</v>
      </c>
      <c r="B43" s="53">
        <v>40718.405650000001</v>
      </c>
    </row>
    <row r="44" spans="1:2" x14ac:dyDescent="0.25">
      <c r="A44" s="54">
        <v>0.15</v>
      </c>
      <c r="B44" s="53">
        <v>43465.415650000003</v>
      </c>
    </row>
    <row r="45" spans="1:2" x14ac:dyDescent="0.25">
      <c r="A45" s="54">
        <v>0.3</v>
      </c>
      <c r="B45" s="53">
        <v>43607.506900000008</v>
      </c>
    </row>
    <row r="46" spans="1:2" x14ac:dyDescent="0.25">
      <c r="A46" s="54">
        <v>0.46</v>
      </c>
      <c r="B46" s="53">
        <v>48304.396400000012</v>
      </c>
    </row>
    <row r="47" spans="1:2" x14ac:dyDescent="0.25">
      <c r="A47" s="54">
        <v>0.61</v>
      </c>
      <c r="B47" s="53">
        <v>48854.716400000012</v>
      </c>
    </row>
    <row r="48" spans="1:2" x14ac:dyDescent="0.25">
      <c r="A48" s="54">
        <v>0.76</v>
      </c>
      <c r="B48" s="53">
        <v>50981.896400000012</v>
      </c>
    </row>
    <row r="49" spans="1:2" x14ac:dyDescent="0.25">
      <c r="A49" s="54">
        <v>0.91</v>
      </c>
      <c r="B49" s="53">
        <v>58539.371399999996</v>
      </c>
    </row>
    <row r="50" spans="1:2" x14ac:dyDescent="0.25">
      <c r="A50" s="54">
        <v>1.02</v>
      </c>
      <c r="B50" s="53">
        <v>62928.576399999998</v>
      </c>
    </row>
    <row r="51" spans="1:2" x14ac:dyDescent="0.25">
      <c r="A51" s="54">
        <v>1.22</v>
      </c>
      <c r="B51" s="53">
        <v>63430.011399999996</v>
      </c>
    </row>
    <row r="52" spans="1:2" x14ac:dyDescent="0.25">
      <c r="A52" s="54">
        <v>1.52</v>
      </c>
      <c r="B52" s="53">
        <v>64696.995399999993</v>
      </c>
    </row>
    <row r="53" spans="1:2" x14ac:dyDescent="0.25">
      <c r="A53" s="54">
        <v>1.83</v>
      </c>
      <c r="B53" s="53">
        <v>64696.995399999993</v>
      </c>
    </row>
    <row r="54" spans="1:2" x14ac:dyDescent="0.25">
      <c r="A54" s="77">
        <v>2.7</v>
      </c>
      <c r="B54" s="72">
        <v>64696.995399999993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15" workbookViewId="0">
      <selection activeCell="D3" sqref="D3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272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5" t="s">
        <v>269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5" t="s">
        <v>268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6">
        <v>2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6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6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6" t="s">
        <v>270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6" t="s">
        <v>271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5" t="s">
        <v>555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272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272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578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578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578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578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578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592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55920-34BB-4696-9705-04CD56764655}">
  <dimension ref="A1:AZ268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50" t="s">
        <v>583</v>
      </c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2"/>
      <c r="AJ1" s="150" t="s">
        <v>584</v>
      </c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2"/>
    </row>
    <row r="2" spans="1:52" x14ac:dyDescent="0.25">
      <c r="A2" s="147" t="s">
        <v>273</v>
      </c>
      <c r="B2" s="148" t="s">
        <v>274</v>
      </c>
      <c r="C2" s="148" t="s">
        <v>275</v>
      </c>
      <c r="D2" s="148" t="s">
        <v>276</v>
      </c>
      <c r="E2" s="148" t="s">
        <v>277</v>
      </c>
      <c r="F2" s="148" t="s">
        <v>278</v>
      </c>
      <c r="G2" s="148" t="s">
        <v>279</v>
      </c>
      <c r="H2" s="148" t="s">
        <v>280</v>
      </c>
      <c r="I2" s="148" t="s">
        <v>281</v>
      </c>
      <c r="J2" s="148" t="s">
        <v>282</v>
      </c>
      <c r="K2" s="148" t="s">
        <v>465</v>
      </c>
      <c r="L2" s="148" t="s">
        <v>157</v>
      </c>
      <c r="M2" s="148" t="s">
        <v>466</v>
      </c>
      <c r="N2" s="148" t="s">
        <v>579</v>
      </c>
      <c r="O2" s="149" t="s">
        <v>580</v>
      </c>
      <c r="P2" s="147">
        <v>-0.9</v>
      </c>
      <c r="Q2" s="148">
        <v>-0.46</v>
      </c>
      <c r="R2" s="148">
        <v>0</v>
      </c>
      <c r="S2" s="148">
        <v>0.03</v>
      </c>
      <c r="T2" s="148">
        <v>0.05</v>
      </c>
      <c r="U2" s="148">
        <v>0.1</v>
      </c>
      <c r="V2" s="148">
        <v>0.15</v>
      </c>
      <c r="W2" s="148">
        <v>0.3</v>
      </c>
      <c r="X2" s="148">
        <v>0.46</v>
      </c>
      <c r="Y2" s="148">
        <v>0.61</v>
      </c>
      <c r="Z2" s="148">
        <v>0.76</v>
      </c>
      <c r="AA2" s="148">
        <v>0.91</v>
      </c>
      <c r="AB2" s="148">
        <v>1.02</v>
      </c>
      <c r="AC2" s="148">
        <v>1.22</v>
      </c>
      <c r="AD2" s="148">
        <v>1.52</v>
      </c>
      <c r="AE2" s="148">
        <v>1.83</v>
      </c>
      <c r="AF2" s="148">
        <v>2.7</v>
      </c>
      <c r="AG2" s="148" t="s">
        <v>581</v>
      </c>
      <c r="AH2" s="148" t="s">
        <v>582</v>
      </c>
      <c r="AI2" s="148" t="s">
        <v>101</v>
      </c>
      <c r="AJ2" s="148">
        <v>-0.9</v>
      </c>
      <c r="AK2" s="148">
        <v>-0.46</v>
      </c>
      <c r="AL2" s="148">
        <v>0</v>
      </c>
      <c r="AM2" s="148">
        <v>0.03</v>
      </c>
      <c r="AN2" s="148">
        <v>0.05</v>
      </c>
      <c r="AO2" s="148">
        <v>0.1</v>
      </c>
      <c r="AP2" s="148">
        <v>0.15</v>
      </c>
      <c r="AQ2" s="148">
        <v>0.3</v>
      </c>
      <c r="AR2" s="148">
        <v>0.46</v>
      </c>
      <c r="AS2" s="148">
        <v>0.61</v>
      </c>
      <c r="AT2" s="148">
        <v>0.76</v>
      </c>
      <c r="AU2" s="148">
        <v>0.91</v>
      </c>
      <c r="AV2" s="148">
        <v>1.02</v>
      </c>
      <c r="AW2" s="148">
        <v>1.22</v>
      </c>
      <c r="AX2" s="148">
        <v>1.52</v>
      </c>
      <c r="AY2" s="148">
        <v>1.83</v>
      </c>
      <c r="AZ2" s="149">
        <v>2.7</v>
      </c>
    </row>
    <row r="3" spans="1:52" x14ac:dyDescent="0.25">
      <c r="A3">
        <v>1</v>
      </c>
      <c r="B3" t="s">
        <v>283</v>
      </c>
      <c r="C3" t="s">
        <v>284</v>
      </c>
      <c r="D3">
        <v>48</v>
      </c>
      <c r="E3">
        <v>120</v>
      </c>
      <c r="F3" t="s">
        <v>285</v>
      </c>
      <c r="G3">
        <v>2.5</v>
      </c>
      <c r="H3">
        <v>144</v>
      </c>
      <c r="I3" t="s">
        <v>286</v>
      </c>
      <c r="J3" t="s">
        <v>287</v>
      </c>
      <c r="K3" t="s">
        <v>467</v>
      </c>
      <c r="L3" t="s">
        <v>203</v>
      </c>
      <c r="M3" t="s">
        <v>468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468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144</v>
      </c>
      <c r="AV3">
        <f>$H$3*$AB$3</f>
        <v>144</v>
      </c>
      <c r="AW3">
        <f>$H$3*$AC$3</f>
        <v>144</v>
      </c>
      <c r="AX3">
        <f>$H$3*$AD$3</f>
        <v>144</v>
      </c>
      <c r="AY3">
        <f>$H$3*$AE$3</f>
        <v>144</v>
      </c>
      <c r="AZ3">
        <f>$H$3*$AF$3</f>
        <v>144</v>
      </c>
    </row>
    <row r="4" spans="1:52" x14ac:dyDescent="0.25">
      <c r="A4">
        <v>2</v>
      </c>
      <c r="B4" t="s">
        <v>283</v>
      </c>
      <c r="C4" t="s">
        <v>288</v>
      </c>
      <c r="D4">
        <v>48</v>
      </c>
      <c r="E4">
        <v>159.84</v>
      </c>
      <c r="F4" t="s">
        <v>285</v>
      </c>
      <c r="G4">
        <v>3.33</v>
      </c>
      <c r="H4">
        <v>191.8</v>
      </c>
      <c r="I4" t="s">
        <v>289</v>
      </c>
      <c r="J4" t="s">
        <v>287</v>
      </c>
      <c r="K4" t="s">
        <v>469</v>
      </c>
      <c r="L4" t="s">
        <v>203</v>
      </c>
      <c r="M4" t="s">
        <v>468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468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191.8</v>
      </c>
      <c r="AV4">
        <f>$H$4*$AB$4</f>
        <v>191.8</v>
      </c>
      <c r="AW4">
        <f>$H$4*$AC$4</f>
        <v>191.8</v>
      </c>
      <c r="AX4">
        <f>$H$4*$AD$4</f>
        <v>191.8</v>
      </c>
      <c r="AY4">
        <f>$H$4*$AE$4</f>
        <v>191.8</v>
      </c>
      <c r="AZ4">
        <f>$H$4*$AF$4</f>
        <v>191.8</v>
      </c>
    </row>
    <row r="5" spans="1:52" x14ac:dyDescent="0.25">
      <c r="A5">
        <v>4</v>
      </c>
      <c r="B5" t="s">
        <v>283</v>
      </c>
      <c r="C5" t="s">
        <v>291</v>
      </c>
      <c r="D5">
        <v>1</v>
      </c>
      <c r="E5">
        <v>39.700000000000003</v>
      </c>
      <c r="F5" t="s">
        <v>290</v>
      </c>
      <c r="G5">
        <v>39.700000000000003</v>
      </c>
      <c r="H5">
        <v>47.64</v>
      </c>
      <c r="I5" t="s">
        <v>292</v>
      </c>
      <c r="J5" t="s">
        <v>293</v>
      </c>
      <c r="K5" t="s">
        <v>470</v>
      </c>
      <c r="L5" t="s">
        <v>203</v>
      </c>
      <c r="M5" t="s">
        <v>468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468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47.64</v>
      </c>
      <c r="AY5">
        <f>$H$5*$AE$5</f>
        <v>47.64</v>
      </c>
      <c r="AZ5">
        <f>$H$5*$AF$5</f>
        <v>47.64</v>
      </c>
    </row>
    <row r="6" spans="1:52" x14ac:dyDescent="0.25">
      <c r="A6">
        <v>5</v>
      </c>
      <c r="B6" t="s">
        <v>283</v>
      </c>
      <c r="C6" t="s">
        <v>294</v>
      </c>
      <c r="D6">
        <v>1</v>
      </c>
      <c r="E6">
        <v>98.26</v>
      </c>
      <c r="F6" t="s">
        <v>290</v>
      </c>
      <c r="G6">
        <v>98.26</v>
      </c>
      <c r="H6">
        <v>117.92</v>
      </c>
      <c r="I6" t="s">
        <v>295</v>
      </c>
      <c r="J6" t="s">
        <v>296</v>
      </c>
      <c r="K6" t="s">
        <v>471</v>
      </c>
      <c r="L6" t="s">
        <v>203</v>
      </c>
      <c r="M6" t="s">
        <v>468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468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117.92</v>
      </c>
      <c r="AY6">
        <f>$H$6*$AE$6</f>
        <v>117.92</v>
      </c>
      <c r="AZ6">
        <f>$H$6*$AF$6</f>
        <v>117.92</v>
      </c>
    </row>
    <row r="7" spans="1:52" x14ac:dyDescent="0.25">
      <c r="A7">
        <v>6</v>
      </c>
      <c r="B7" t="s">
        <v>283</v>
      </c>
      <c r="C7" t="s">
        <v>297</v>
      </c>
      <c r="D7">
        <v>1</v>
      </c>
      <c r="E7">
        <v>75.02</v>
      </c>
      <c r="F7" t="s">
        <v>290</v>
      </c>
      <c r="G7">
        <v>75.02</v>
      </c>
      <c r="H7">
        <v>90.02</v>
      </c>
      <c r="I7" t="s">
        <v>298</v>
      </c>
      <c r="J7" t="s">
        <v>299</v>
      </c>
      <c r="K7" t="s">
        <v>472</v>
      </c>
      <c r="L7" t="s">
        <v>203</v>
      </c>
      <c r="M7" t="s">
        <v>468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468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283</v>
      </c>
      <c r="C8" t="s">
        <v>300</v>
      </c>
      <c r="D8">
        <v>30</v>
      </c>
      <c r="E8">
        <v>33.299999999999997</v>
      </c>
      <c r="F8" t="s">
        <v>285</v>
      </c>
      <c r="G8">
        <v>1.1100000000000001</v>
      </c>
      <c r="H8">
        <v>39.96</v>
      </c>
      <c r="I8" t="s">
        <v>286</v>
      </c>
      <c r="J8" t="s">
        <v>301</v>
      </c>
      <c r="K8" t="s">
        <v>473</v>
      </c>
      <c r="L8" t="s">
        <v>203</v>
      </c>
      <c r="M8" t="s">
        <v>468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468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39.96</v>
      </c>
      <c r="AV8">
        <f>$H$8*$AB$8</f>
        <v>39.96</v>
      </c>
      <c r="AW8">
        <f>$H$8*$AC$8</f>
        <v>39.96</v>
      </c>
      <c r="AX8">
        <f>$H$8*$AD$8</f>
        <v>39.96</v>
      </c>
      <c r="AY8">
        <f>$H$8*$AE$8</f>
        <v>39.96</v>
      </c>
      <c r="AZ8">
        <f>$H$8*$AF$8</f>
        <v>39.96</v>
      </c>
    </row>
    <row r="9" spans="1:52" x14ac:dyDescent="0.25">
      <c r="A9">
        <v>8</v>
      </c>
      <c r="B9" t="s">
        <v>283</v>
      </c>
      <c r="C9" t="s">
        <v>302</v>
      </c>
      <c r="D9">
        <v>30</v>
      </c>
      <c r="E9">
        <v>411.9</v>
      </c>
      <c r="F9" t="s">
        <v>285</v>
      </c>
      <c r="G9">
        <v>13.73</v>
      </c>
      <c r="H9">
        <v>494.28</v>
      </c>
      <c r="I9" t="s">
        <v>289</v>
      </c>
      <c r="J9" t="s">
        <v>301</v>
      </c>
      <c r="K9" t="s">
        <v>474</v>
      </c>
      <c r="L9" t="s">
        <v>203</v>
      </c>
      <c r="M9" t="s">
        <v>468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468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494.28</v>
      </c>
      <c r="AX9">
        <f>$H$9*$AD$9</f>
        <v>494.28</v>
      </c>
      <c r="AY9">
        <f>$H$9*$AE$9</f>
        <v>494.28</v>
      </c>
      <c r="AZ9">
        <f>$H$9*$AF$9</f>
        <v>494.28</v>
      </c>
    </row>
    <row r="10" spans="1:52" x14ac:dyDescent="0.25">
      <c r="A10">
        <v>20</v>
      </c>
      <c r="B10" t="s">
        <v>283</v>
      </c>
      <c r="C10" t="s">
        <v>305</v>
      </c>
      <c r="D10">
        <v>1</v>
      </c>
      <c r="E10">
        <v>1250.1400000000001</v>
      </c>
      <c r="F10" t="s">
        <v>290</v>
      </c>
      <c r="G10">
        <v>1250.1400000000001</v>
      </c>
      <c r="H10">
        <v>1500.16</v>
      </c>
      <c r="I10" t="s">
        <v>304</v>
      </c>
      <c r="J10" t="s">
        <v>306</v>
      </c>
      <c r="K10" t="s">
        <v>475</v>
      </c>
      <c r="L10" t="s">
        <v>203</v>
      </c>
      <c r="M10" t="s">
        <v>476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476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1500.16</v>
      </c>
      <c r="AP10">
        <f>$H$10*$V$10</f>
        <v>1500.16</v>
      </c>
      <c r="AQ10">
        <f>$H$10*$W$10</f>
        <v>1500.16</v>
      </c>
      <c r="AR10">
        <f>$H$10*$X$10</f>
        <v>1500.16</v>
      </c>
      <c r="AS10">
        <f>$H$10*$Y$10</f>
        <v>1500.16</v>
      </c>
      <c r="AT10">
        <f>$H$10*$Z$10</f>
        <v>1500.16</v>
      </c>
      <c r="AU10">
        <f>$H$10*$AA$10</f>
        <v>1500.16</v>
      </c>
      <c r="AV10">
        <f>$H$10*$AB$10</f>
        <v>1500.16</v>
      </c>
      <c r="AW10">
        <f>$H$10*$AC$10</f>
        <v>1500.16</v>
      </c>
      <c r="AX10">
        <f>$H$10*$AD$10</f>
        <v>1500.16</v>
      </c>
      <c r="AY10">
        <f>$H$10*$AE$10</f>
        <v>1500.16</v>
      </c>
      <c r="AZ10">
        <f>$H$10*$AF$10</f>
        <v>1500.16</v>
      </c>
    </row>
    <row r="11" spans="1:52" x14ac:dyDescent="0.25">
      <c r="A11">
        <v>29</v>
      </c>
      <c r="B11" t="s">
        <v>283</v>
      </c>
      <c r="C11" t="s">
        <v>307</v>
      </c>
      <c r="D11">
        <v>30</v>
      </c>
      <c r="E11">
        <v>133.19999999999999</v>
      </c>
      <c r="F11" t="s">
        <v>285</v>
      </c>
      <c r="G11">
        <v>4.4400000000000004</v>
      </c>
      <c r="H11">
        <v>159.84</v>
      </c>
      <c r="I11" t="s">
        <v>286</v>
      </c>
      <c r="J11" t="s">
        <v>308</v>
      </c>
      <c r="K11" t="s">
        <v>477</v>
      </c>
      <c r="L11" t="s">
        <v>203</v>
      </c>
      <c r="M11" t="s">
        <v>468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468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159.84</v>
      </c>
      <c r="AV11">
        <f>$H$11*$AB$11</f>
        <v>159.84</v>
      </c>
      <c r="AW11">
        <f>$H$11*$AC$11</f>
        <v>159.84</v>
      </c>
      <c r="AX11">
        <f>$H$11*$AD$11</f>
        <v>159.84</v>
      </c>
      <c r="AY11">
        <f>$H$11*$AE$11</f>
        <v>159.84</v>
      </c>
      <c r="AZ11">
        <f>$H$11*$AF$11</f>
        <v>159.84</v>
      </c>
    </row>
    <row r="12" spans="1:52" x14ac:dyDescent="0.25">
      <c r="A12">
        <v>30</v>
      </c>
      <c r="B12" t="s">
        <v>283</v>
      </c>
      <c r="C12" t="s">
        <v>309</v>
      </c>
      <c r="D12">
        <v>30</v>
      </c>
      <c r="E12">
        <v>346.5</v>
      </c>
      <c r="F12" t="s">
        <v>285</v>
      </c>
      <c r="G12">
        <v>11.55</v>
      </c>
      <c r="H12">
        <v>415.8</v>
      </c>
      <c r="I12" t="s">
        <v>289</v>
      </c>
      <c r="J12" t="s">
        <v>310</v>
      </c>
      <c r="K12" t="s">
        <v>478</v>
      </c>
      <c r="L12" t="s">
        <v>203</v>
      </c>
      <c r="M12" t="s">
        <v>468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468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415.8</v>
      </c>
      <c r="AV12">
        <f>$H$12*$AB$12</f>
        <v>415.8</v>
      </c>
      <c r="AW12">
        <f>$H$12*$AC$12</f>
        <v>415.8</v>
      </c>
      <c r="AX12">
        <f>$H$12*$AD$12</f>
        <v>415.8</v>
      </c>
      <c r="AY12">
        <f>$H$12*$AE$12</f>
        <v>415.8</v>
      </c>
      <c r="AZ12">
        <f>$H$12*$AF$12</f>
        <v>415.8</v>
      </c>
    </row>
    <row r="13" spans="1:52" x14ac:dyDescent="0.25">
      <c r="A13">
        <v>31</v>
      </c>
      <c r="B13" t="s">
        <v>283</v>
      </c>
      <c r="C13" t="s">
        <v>311</v>
      </c>
      <c r="D13">
        <v>172</v>
      </c>
      <c r="E13">
        <v>168.56</v>
      </c>
      <c r="F13" t="s">
        <v>303</v>
      </c>
      <c r="G13">
        <v>0.98</v>
      </c>
      <c r="H13">
        <v>202.28</v>
      </c>
      <c r="I13" t="s">
        <v>286</v>
      </c>
      <c r="J13" t="s">
        <v>312</v>
      </c>
      <c r="K13" t="s">
        <v>479</v>
      </c>
      <c r="L13" t="s">
        <v>203</v>
      </c>
      <c r="M13" t="s">
        <v>468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468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202.28</v>
      </c>
      <c r="AO13">
        <f>$H$13*$U$13</f>
        <v>202.28</v>
      </c>
      <c r="AP13">
        <f>$H$13*$V$13</f>
        <v>202.28</v>
      </c>
      <c r="AQ13">
        <f>$H$13*$W$13</f>
        <v>202.28</v>
      </c>
      <c r="AR13">
        <f>$H$13*$X$13</f>
        <v>202.28</v>
      </c>
      <c r="AS13">
        <f>$H$13*$Y$13</f>
        <v>202.28</v>
      </c>
      <c r="AT13">
        <f>$H$13*$Z$13</f>
        <v>202.28</v>
      </c>
      <c r="AU13">
        <f>$H$13*$AA$13</f>
        <v>202.28</v>
      </c>
      <c r="AV13">
        <f>$H$13*$AB$13</f>
        <v>202.28</v>
      </c>
      <c r="AW13">
        <f>$H$13*$AC$13</f>
        <v>202.28</v>
      </c>
      <c r="AX13">
        <f>$H$13*$AD$13</f>
        <v>202.28</v>
      </c>
      <c r="AY13">
        <f>$H$13*$AE$13</f>
        <v>202.28</v>
      </c>
      <c r="AZ13">
        <f>$H$13*$AF$13</f>
        <v>202.28</v>
      </c>
    </row>
    <row r="14" spans="1:52" x14ac:dyDescent="0.25">
      <c r="A14">
        <v>32</v>
      </c>
      <c r="B14" t="s">
        <v>283</v>
      </c>
      <c r="C14" t="s">
        <v>313</v>
      </c>
      <c r="D14">
        <v>172</v>
      </c>
      <c r="E14">
        <v>404.2</v>
      </c>
      <c r="F14" t="s">
        <v>303</v>
      </c>
      <c r="G14">
        <v>2.35</v>
      </c>
      <c r="H14">
        <v>485.04</v>
      </c>
      <c r="I14" t="s">
        <v>314</v>
      </c>
      <c r="J14" t="s">
        <v>315</v>
      </c>
      <c r="K14" t="s">
        <v>480</v>
      </c>
      <c r="L14" t="s">
        <v>203</v>
      </c>
      <c r="M14" t="s">
        <v>468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468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121.26</v>
      </c>
      <c r="AN14">
        <f>$H$14*$T$14</f>
        <v>121.26</v>
      </c>
      <c r="AO14">
        <f>$H$14*$U$14</f>
        <v>121.26</v>
      </c>
      <c r="AP14">
        <f>$H$14*$V$14</f>
        <v>121.26</v>
      </c>
      <c r="AQ14">
        <f>$H$14*$W$14</f>
        <v>121.26</v>
      </c>
      <c r="AR14">
        <f>$H$14*$X$14</f>
        <v>242.52</v>
      </c>
      <c r="AS14">
        <f>$H$14*$Y$14</f>
        <v>242.52</v>
      </c>
      <c r="AT14">
        <f>$H$14*$Z$14</f>
        <v>242.52</v>
      </c>
      <c r="AU14">
        <f>$H$14*$AA$14</f>
        <v>485.04</v>
      </c>
      <c r="AV14">
        <f>$H$14*$AB$14</f>
        <v>485.04</v>
      </c>
      <c r="AW14">
        <f>$H$14*$AC$14</f>
        <v>485.04</v>
      </c>
      <c r="AX14">
        <f>$H$14*$AD$14</f>
        <v>485.04</v>
      </c>
      <c r="AY14">
        <f>$H$14*$AE$14</f>
        <v>485.04</v>
      </c>
      <c r="AZ14">
        <f>$H$14*$AF$14</f>
        <v>485.04</v>
      </c>
    </row>
    <row r="15" spans="1:52" x14ac:dyDescent="0.25">
      <c r="A15">
        <v>33</v>
      </c>
      <c r="B15" t="s">
        <v>283</v>
      </c>
      <c r="C15" t="s">
        <v>316</v>
      </c>
      <c r="D15">
        <v>2</v>
      </c>
      <c r="E15">
        <v>80.28</v>
      </c>
      <c r="F15" t="s">
        <v>290</v>
      </c>
      <c r="G15">
        <v>40.14</v>
      </c>
      <c r="H15">
        <v>96.34</v>
      </c>
      <c r="I15" t="s">
        <v>317</v>
      </c>
      <c r="J15" t="s">
        <v>318</v>
      </c>
      <c r="K15" t="s">
        <v>481</v>
      </c>
      <c r="L15" t="s">
        <v>203</v>
      </c>
      <c r="M15" t="s">
        <v>468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468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96.34</v>
      </c>
      <c r="AU15">
        <f>$H$15*$AA$15</f>
        <v>96.34</v>
      </c>
      <c r="AV15">
        <f>$H$15*$AB$15</f>
        <v>96.34</v>
      </c>
      <c r="AW15">
        <f>$H$15*$AC$15</f>
        <v>96.34</v>
      </c>
      <c r="AX15">
        <f>$H$15*$AD$15</f>
        <v>96.34</v>
      </c>
      <c r="AY15">
        <f>$H$15*$AE$15</f>
        <v>96.34</v>
      </c>
      <c r="AZ15">
        <f>$H$15*$AF$15</f>
        <v>96.34</v>
      </c>
    </row>
    <row r="16" spans="1:52" x14ac:dyDescent="0.25">
      <c r="A16">
        <v>34</v>
      </c>
      <c r="B16" t="s">
        <v>283</v>
      </c>
      <c r="C16" t="s">
        <v>319</v>
      </c>
      <c r="D16">
        <v>2</v>
      </c>
      <c r="E16">
        <v>730.18</v>
      </c>
      <c r="F16" t="s">
        <v>290</v>
      </c>
      <c r="G16">
        <v>365.09</v>
      </c>
      <c r="H16">
        <v>876.22</v>
      </c>
      <c r="I16" t="s">
        <v>320</v>
      </c>
      <c r="J16" t="s">
        <v>321</v>
      </c>
      <c r="K16" t="s">
        <v>482</v>
      </c>
      <c r="L16" t="s">
        <v>203</v>
      </c>
      <c r="M16" t="s">
        <v>468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468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876.22</v>
      </c>
      <c r="AO16">
        <f>$H$16*$U$16</f>
        <v>876.22</v>
      </c>
      <c r="AP16">
        <f>$H$16*$V$16</f>
        <v>876.22</v>
      </c>
      <c r="AQ16">
        <f>$H$16*$W$16</f>
        <v>876.22</v>
      </c>
      <c r="AR16">
        <f>$H$16*$X$16</f>
        <v>876.22</v>
      </c>
      <c r="AS16">
        <f>$H$16*$Y$16</f>
        <v>876.22</v>
      </c>
      <c r="AT16">
        <f>$H$16*$Z$16</f>
        <v>876.22</v>
      </c>
      <c r="AU16">
        <f>$H$16*$AA$16</f>
        <v>876.22</v>
      </c>
      <c r="AV16">
        <f>$H$16*$AB$16</f>
        <v>876.22</v>
      </c>
      <c r="AW16">
        <f>$H$16*$AC$16</f>
        <v>876.22</v>
      </c>
      <c r="AX16">
        <f>$H$16*$AD$16</f>
        <v>876.22</v>
      </c>
      <c r="AY16">
        <f>$H$16*$AE$16</f>
        <v>876.22</v>
      </c>
      <c r="AZ16">
        <f>$H$16*$AF$16</f>
        <v>876.22</v>
      </c>
    </row>
    <row r="17" spans="1:52" x14ac:dyDescent="0.25">
      <c r="A17">
        <v>35</v>
      </c>
      <c r="B17" t="s">
        <v>283</v>
      </c>
      <c r="C17" t="s">
        <v>322</v>
      </c>
      <c r="D17">
        <v>4</v>
      </c>
      <c r="E17">
        <v>125.44</v>
      </c>
      <c r="F17" t="s">
        <v>290</v>
      </c>
      <c r="G17">
        <v>31.36</v>
      </c>
      <c r="H17">
        <v>150.52000000000001</v>
      </c>
      <c r="I17" t="s">
        <v>286</v>
      </c>
      <c r="J17" t="s">
        <v>323</v>
      </c>
      <c r="K17" t="s">
        <v>483</v>
      </c>
      <c r="L17" t="s">
        <v>203</v>
      </c>
      <c r="M17" t="s">
        <v>468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468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150.52000000000001</v>
      </c>
      <c r="AN17">
        <f>$H$17*$T$17</f>
        <v>150.52000000000001</v>
      </c>
      <c r="AO17">
        <f>$H$17*$U$17</f>
        <v>150.52000000000001</v>
      </c>
      <c r="AP17">
        <f>$H$17*$V$17</f>
        <v>150.52000000000001</v>
      </c>
      <c r="AQ17">
        <f>$H$17*$W$17</f>
        <v>150.52000000000001</v>
      </c>
      <c r="AR17">
        <f>$H$17*$X$17</f>
        <v>150.52000000000001</v>
      </c>
      <c r="AS17">
        <f>$H$17*$Y$17</f>
        <v>150.52000000000001</v>
      </c>
      <c r="AT17">
        <f>$H$17*$Z$17</f>
        <v>150.52000000000001</v>
      </c>
      <c r="AU17">
        <f>$H$17*$AA$17</f>
        <v>150.52000000000001</v>
      </c>
      <c r="AV17">
        <f>$H$17*$AB$17</f>
        <v>150.52000000000001</v>
      </c>
      <c r="AW17">
        <f>$H$17*$AC$17</f>
        <v>150.52000000000001</v>
      </c>
      <c r="AX17">
        <f>$H$17*$AD$17</f>
        <v>150.52000000000001</v>
      </c>
      <c r="AY17">
        <f>$H$17*$AE$17</f>
        <v>150.52000000000001</v>
      </c>
      <c r="AZ17">
        <f>$H$17*$AF$17</f>
        <v>150.52000000000001</v>
      </c>
    </row>
    <row r="18" spans="1:52" x14ac:dyDescent="0.25">
      <c r="A18">
        <v>36</v>
      </c>
      <c r="B18" t="s">
        <v>283</v>
      </c>
      <c r="C18" t="s">
        <v>324</v>
      </c>
      <c r="D18">
        <v>4</v>
      </c>
      <c r="E18">
        <v>155.72</v>
      </c>
      <c r="F18" t="s">
        <v>290</v>
      </c>
      <c r="G18">
        <v>38.93</v>
      </c>
      <c r="H18">
        <v>186.86</v>
      </c>
      <c r="I18" t="s">
        <v>286</v>
      </c>
      <c r="J18" t="s">
        <v>320</v>
      </c>
      <c r="K18" t="s">
        <v>484</v>
      </c>
      <c r="L18" t="s">
        <v>203</v>
      </c>
      <c r="M18" t="s">
        <v>468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468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186.86</v>
      </c>
      <c r="AN18">
        <f>$H$18*$T$18</f>
        <v>186.86</v>
      </c>
      <c r="AO18">
        <f>$H$18*$U$18</f>
        <v>186.86</v>
      </c>
      <c r="AP18">
        <f>$H$18*$V$18</f>
        <v>186.86</v>
      </c>
      <c r="AQ18">
        <f>$H$18*$W$18</f>
        <v>186.86</v>
      </c>
      <c r="AR18">
        <f>$H$18*$X$18</f>
        <v>186.86</v>
      </c>
      <c r="AS18">
        <f>$H$18*$Y$18</f>
        <v>186.86</v>
      </c>
      <c r="AT18">
        <f>$H$18*$Z$18</f>
        <v>186.86</v>
      </c>
      <c r="AU18">
        <f>$H$18*$AA$18</f>
        <v>186.86</v>
      </c>
      <c r="AV18">
        <f>$H$18*$AB$18</f>
        <v>186.86</v>
      </c>
      <c r="AW18">
        <f>$H$18*$AC$18</f>
        <v>186.86</v>
      </c>
      <c r="AX18">
        <f>$H$18*$AD$18</f>
        <v>186.86</v>
      </c>
      <c r="AY18">
        <f>$H$18*$AE$18</f>
        <v>186.86</v>
      </c>
      <c r="AZ18">
        <f>$H$18*$AF$18</f>
        <v>186.86</v>
      </c>
    </row>
    <row r="19" spans="1:52" x14ac:dyDescent="0.25">
      <c r="A19">
        <v>39</v>
      </c>
      <c r="B19" t="s">
        <v>283</v>
      </c>
      <c r="C19" t="s">
        <v>325</v>
      </c>
      <c r="D19">
        <v>15</v>
      </c>
      <c r="E19">
        <v>315.75</v>
      </c>
      <c r="F19" t="s">
        <v>290</v>
      </c>
      <c r="G19">
        <v>21.05</v>
      </c>
      <c r="H19">
        <v>378.91</v>
      </c>
      <c r="I19" t="s">
        <v>326</v>
      </c>
      <c r="J19" t="s">
        <v>327</v>
      </c>
      <c r="K19" t="s">
        <v>485</v>
      </c>
      <c r="L19" t="s">
        <v>203</v>
      </c>
      <c r="M19" t="s">
        <v>468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468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94.727500000000006</v>
      </c>
      <c r="AN19">
        <f>$H$19*$T$19</f>
        <v>94.727500000000006</v>
      </c>
      <c r="AO19">
        <f>$H$19*$U$19</f>
        <v>94.727500000000006</v>
      </c>
      <c r="AP19">
        <f>$H$19*$V$19</f>
        <v>94.727500000000006</v>
      </c>
      <c r="AQ19">
        <f>$H$19*$W$19</f>
        <v>378.91</v>
      </c>
      <c r="AR19">
        <f>$H$19*$X$19</f>
        <v>378.91</v>
      </c>
      <c r="AS19">
        <f>$H$19*$Y$19</f>
        <v>378.91</v>
      </c>
      <c r="AT19">
        <f>$H$19*$Z$19</f>
        <v>378.91</v>
      </c>
      <c r="AU19">
        <f>$H$19*$AA$19</f>
        <v>378.91</v>
      </c>
      <c r="AV19">
        <f>$H$19*$AB$19</f>
        <v>378.91</v>
      </c>
      <c r="AW19">
        <f>$H$19*$AC$19</f>
        <v>378.91</v>
      </c>
      <c r="AX19">
        <f>$H$19*$AD$19</f>
        <v>378.91</v>
      </c>
      <c r="AY19">
        <f>$H$19*$AE$19</f>
        <v>378.91</v>
      </c>
      <c r="AZ19">
        <f>$H$19*$AF$19</f>
        <v>378.91</v>
      </c>
    </row>
    <row r="20" spans="1:52" x14ac:dyDescent="0.25">
      <c r="A20">
        <v>40</v>
      </c>
      <c r="B20" t="s">
        <v>283</v>
      </c>
      <c r="C20" t="s">
        <v>328</v>
      </c>
      <c r="D20">
        <v>2442.6</v>
      </c>
      <c r="E20">
        <v>3737.18</v>
      </c>
      <c r="F20" t="s">
        <v>303</v>
      </c>
      <c r="G20">
        <v>1.53</v>
      </c>
      <c r="H20">
        <v>4484.62</v>
      </c>
      <c r="I20" t="s">
        <v>329</v>
      </c>
      <c r="J20" t="s">
        <v>330</v>
      </c>
      <c r="K20" t="s">
        <v>486</v>
      </c>
      <c r="L20" t="s">
        <v>203</v>
      </c>
      <c r="M20" t="s">
        <v>468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0.5</v>
      </c>
      <c r="Y20">
        <v>0.5</v>
      </c>
      <c r="Z20">
        <v>0.5</v>
      </c>
      <c r="AA20">
        <v>0.5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468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1121.155</v>
      </c>
      <c r="AN20">
        <f>$H$20*$T$20</f>
        <v>1121.155</v>
      </c>
      <c r="AO20">
        <f>$H$20*$U$20</f>
        <v>1121.155</v>
      </c>
      <c r="AP20">
        <f>$H$20*$V$20</f>
        <v>1121.155</v>
      </c>
      <c r="AQ20">
        <f>$H$20*$W$20</f>
        <v>1121.155</v>
      </c>
      <c r="AR20">
        <f>$H$20*$X$20</f>
        <v>2242.31</v>
      </c>
      <c r="AS20">
        <f>$H$20*$Y$20</f>
        <v>2242.31</v>
      </c>
      <c r="AT20">
        <f>$H$20*$Z$20</f>
        <v>2242.31</v>
      </c>
      <c r="AU20">
        <f>$H$20*$AA$20</f>
        <v>2242.31</v>
      </c>
      <c r="AV20">
        <f>$H$20*$AB$20</f>
        <v>4484.62</v>
      </c>
      <c r="AW20">
        <f>$H$20*$AC$20</f>
        <v>4484.62</v>
      </c>
      <c r="AX20">
        <f>$H$20*$AD$20</f>
        <v>4484.62</v>
      </c>
      <c r="AY20">
        <f>$H$20*$AE$20</f>
        <v>4484.62</v>
      </c>
      <c r="AZ20">
        <f>$H$20*$AF$20</f>
        <v>4484.62</v>
      </c>
    </row>
    <row r="21" spans="1:52" x14ac:dyDescent="0.25">
      <c r="A21">
        <v>41</v>
      </c>
      <c r="B21" t="s">
        <v>283</v>
      </c>
      <c r="C21" t="s">
        <v>331</v>
      </c>
      <c r="D21">
        <v>600</v>
      </c>
      <c r="E21">
        <v>1560</v>
      </c>
      <c r="F21" t="s">
        <v>303</v>
      </c>
      <c r="G21">
        <v>2.6</v>
      </c>
      <c r="H21">
        <v>1872</v>
      </c>
      <c r="I21" t="s">
        <v>329</v>
      </c>
      <c r="J21" t="s">
        <v>332</v>
      </c>
      <c r="K21" t="s">
        <v>487</v>
      </c>
      <c r="L21" t="s">
        <v>203</v>
      </c>
      <c r="M21" t="s">
        <v>468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0.25</v>
      </c>
      <c r="T21">
        <v>0.25</v>
      </c>
      <c r="U21">
        <v>0.25</v>
      </c>
      <c r="V21">
        <v>0.25</v>
      </c>
      <c r="W21">
        <v>0.25</v>
      </c>
      <c r="X21">
        <v>0.5</v>
      </c>
      <c r="Y21">
        <v>0.5</v>
      </c>
      <c r="Z21">
        <v>0.5</v>
      </c>
      <c r="AA21">
        <v>0.5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468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468</v>
      </c>
      <c r="AN21">
        <f>$H$21*$T$21</f>
        <v>468</v>
      </c>
      <c r="AO21">
        <f>$H$21*$U$21</f>
        <v>468</v>
      </c>
      <c r="AP21">
        <f>$H$21*$V$21</f>
        <v>468</v>
      </c>
      <c r="AQ21">
        <f>$H$21*$W$21</f>
        <v>468</v>
      </c>
      <c r="AR21">
        <f>$H$21*$X$21</f>
        <v>936</v>
      </c>
      <c r="AS21">
        <f>$H$21*$Y$21</f>
        <v>936</v>
      </c>
      <c r="AT21">
        <f>$H$21*$Z$21</f>
        <v>936</v>
      </c>
      <c r="AU21">
        <f>$H$21*$AA$21</f>
        <v>936</v>
      </c>
      <c r="AV21">
        <f>$H$21*$AB$21</f>
        <v>1872</v>
      </c>
      <c r="AW21">
        <f>$H$21*$AC$21</f>
        <v>1872</v>
      </c>
      <c r="AX21">
        <f>$H$21*$AD$21</f>
        <v>1872</v>
      </c>
      <c r="AY21">
        <f>$H$21*$AE$21</f>
        <v>1872</v>
      </c>
      <c r="AZ21">
        <f>$H$21*$AF$21</f>
        <v>1872</v>
      </c>
    </row>
    <row r="22" spans="1:52" x14ac:dyDescent="0.25">
      <c r="A22">
        <v>43</v>
      </c>
      <c r="B22" t="s">
        <v>283</v>
      </c>
      <c r="C22" t="s">
        <v>333</v>
      </c>
      <c r="D22">
        <v>1</v>
      </c>
      <c r="E22">
        <v>90.1</v>
      </c>
      <c r="F22" t="s">
        <v>290</v>
      </c>
      <c r="G22">
        <v>90.1</v>
      </c>
      <c r="H22">
        <v>108.12</v>
      </c>
      <c r="I22" t="s">
        <v>298</v>
      </c>
      <c r="J22" t="s">
        <v>334</v>
      </c>
      <c r="K22" t="s">
        <v>488</v>
      </c>
      <c r="L22" t="s">
        <v>203</v>
      </c>
      <c r="M22" t="s">
        <v>468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1</v>
      </c>
      <c r="AE22">
        <v>1</v>
      </c>
      <c r="AF22">
        <v>1</v>
      </c>
      <c r="AG22" t="s">
        <v>468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0</v>
      </c>
      <c r="AQ22">
        <f>$H$22*$W$22</f>
        <v>0</v>
      </c>
      <c r="AR22">
        <f>$H$22*$X$22</f>
        <v>0</v>
      </c>
      <c r="AS22">
        <f>$H$22*$Y$22</f>
        <v>0</v>
      </c>
      <c r="AT22">
        <f>$H$22*$Z$22</f>
        <v>0</v>
      </c>
      <c r="AU22">
        <f>$H$22*$AA$22</f>
        <v>0</v>
      </c>
      <c r="AV22">
        <f>$H$22*$AB$22</f>
        <v>0</v>
      </c>
      <c r="AW22">
        <f>$H$22*$AC$22</f>
        <v>108.12</v>
      </c>
      <c r="AX22">
        <f>$H$22*$AD$22</f>
        <v>108.12</v>
      </c>
      <c r="AY22">
        <f>$H$22*$AE$22</f>
        <v>108.12</v>
      </c>
      <c r="AZ22">
        <f>$H$22*$AF$22</f>
        <v>108.12</v>
      </c>
    </row>
    <row r="23" spans="1:52" x14ac:dyDescent="0.25">
      <c r="A23">
        <v>44</v>
      </c>
      <c r="B23" t="s">
        <v>283</v>
      </c>
      <c r="C23" t="s">
        <v>335</v>
      </c>
      <c r="D23">
        <v>1</v>
      </c>
      <c r="E23">
        <v>2887.57</v>
      </c>
      <c r="F23" t="s">
        <v>290</v>
      </c>
      <c r="G23">
        <v>2887.57</v>
      </c>
      <c r="H23">
        <v>3465.09</v>
      </c>
      <c r="I23" t="s">
        <v>298</v>
      </c>
      <c r="J23" t="s">
        <v>336</v>
      </c>
      <c r="K23" t="s">
        <v>489</v>
      </c>
      <c r="L23" t="s">
        <v>203</v>
      </c>
      <c r="M23" t="s">
        <v>476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476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3465.09</v>
      </c>
      <c r="AQ23">
        <f>$H$23*$W$23</f>
        <v>3465.09</v>
      </c>
      <c r="AR23">
        <f>$H$23*$X$23</f>
        <v>3465.09</v>
      </c>
      <c r="AS23">
        <f>$H$23*$Y$23</f>
        <v>3465.09</v>
      </c>
      <c r="AT23">
        <f>$H$23*$Z$23</f>
        <v>3465.09</v>
      </c>
      <c r="AU23">
        <f>$H$23*$AA$23</f>
        <v>3465.09</v>
      </c>
      <c r="AV23">
        <f>$H$23*$AB$23</f>
        <v>3465.09</v>
      </c>
      <c r="AW23">
        <f>$H$23*$AC$23</f>
        <v>3465.09</v>
      </c>
      <c r="AX23">
        <f>$H$23*$AD$23</f>
        <v>3465.09</v>
      </c>
      <c r="AY23">
        <f>$H$23*$AE$23</f>
        <v>3465.09</v>
      </c>
      <c r="AZ23">
        <f>$H$23*$AF$23</f>
        <v>3465.09</v>
      </c>
    </row>
    <row r="24" spans="1:52" x14ac:dyDescent="0.25">
      <c r="A24">
        <v>45</v>
      </c>
      <c r="B24" t="s">
        <v>283</v>
      </c>
      <c r="C24" t="s">
        <v>337</v>
      </c>
      <c r="D24">
        <v>1</v>
      </c>
      <c r="E24">
        <v>3419.82</v>
      </c>
      <c r="F24" t="s">
        <v>290</v>
      </c>
      <c r="G24">
        <v>3419.82</v>
      </c>
      <c r="H24">
        <v>4103.78</v>
      </c>
      <c r="I24" t="s">
        <v>298</v>
      </c>
      <c r="J24" t="s">
        <v>338</v>
      </c>
      <c r="K24" t="s">
        <v>490</v>
      </c>
      <c r="L24" t="s">
        <v>203</v>
      </c>
      <c r="M24" t="s">
        <v>476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0.5</v>
      </c>
      <c r="AF24">
        <v>0.5</v>
      </c>
      <c r="AG24" t="s">
        <v>476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0</v>
      </c>
      <c r="AX24">
        <f>$H$24*$AD$24</f>
        <v>0</v>
      </c>
      <c r="AY24">
        <f>$H$24*$AE$24</f>
        <v>2051.89</v>
      </c>
      <c r="AZ24">
        <f>$H$24*$AF$24</f>
        <v>2051.89</v>
      </c>
    </row>
    <row r="25" spans="1:52" x14ac:dyDescent="0.25">
      <c r="A25">
        <v>51</v>
      </c>
      <c r="B25" t="s">
        <v>283</v>
      </c>
      <c r="C25" t="s">
        <v>339</v>
      </c>
      <c r="D25">
        <v>2</v>
      </c>
      <c r="E25">
        <v>131.30000000000001</v>
      </c>
      <c r="F25" t="s">
        <v>290</v>
      </c>
      <c r="G25">
        <v>65.650000000000006</v>
      </c>
      <c r="H25">
        <v>157.56</v>
      </c>
      <c r="I25" t="s">
        <v>295</v>
      </c>
      <c r="J25" t="s">
        <v>340</v>
      </c>
      <c r="K25" t="s">
        <v>491</v>
      </c>
      <c r="L25" t="s">
        <v>203</v>
      </c>
      <c r="M25" t="s">
        <v>492</v>
      </c>
      <c r="N25" t="s">
        <v>12</v>
      </c>
      <c r="O25" t="s">
        <v>68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1</v>
      </c>
      <c r="AF25">
        <v>1</v>
      </c>
      <c r="AG25" t="s">
        <v>492</v>
      </c>
      <c r="AH25" t="s">
        <v>12</v>
      </c>
      <c r="AI25" t="s">
        <v>68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157.56</v>
      </c>
      <c r="AY25">
        <f>$H$25*$AE$25</f>
        <v>157.56</v>
      </c>
      <c r="AZ25">
        <f>$H$25*$AF$25</f>
        <v>157.56</v>
      </c>
    </row>
    <row r="26" spans="1:52" x14ac:dyDescent="0.25">
      <c r="A26">
        <v>52</v>
      </c>
      <c r="B26" t="s">
        <v>283</v>
      </c>
      <c r="C26" t="s">
        <v>341</v>
      </c>
      <c r="D26">
        <v>2</v>
      </c>
      <c r="E26">
        <v>210.02</v>
      </c>
      <c r="F26" t="s">
        <v>290</v>
      </c>
      <c r="G26">
        <v>105.01</v>
      </c>
      <c r="H26">
        <v>252.02</v>
      </c>
      <c r="I26" t="s">
        <v>317</v>
      </c>
      <c r="J26" t="s">
        <v>342</v>
      </c>
      <c r="K26" t="s">
        <v>493</v>
      </c>
      <c r="L26" t="s">
        <v>203</v>
      </c>
      <c r="M26" t="s">
        <v>492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492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252.02</v>
      </c>
      <c r="AV26">
        <f>$H$26*$AB$26</f>
        <v>252.02</v>
      </c>
      <c r="AW26">
        <f>$H$26*$AC$26</f>
        <v>252.02</v>
      </c>
      <c r="AX26">
        <f>$H$26*$AD$26</f>
        <v>252.02</v>
      </c>
      <c r="AY26">
        <f>$H$26*$AE$26</f>
        <v>252.02</v>
      </c>
      <c r="AZ26">
        <f>$H$26*$AF$26</f>
        <v>252.02</v>
      </c>
    </row>
    <row r="27" spans="1:52" x14ac:dyDescent="0.25">
      <c r="A27">
        <v>53</v>
      </c>
      <c r="B27" t="s">
        <v>283</v>
      </c>
      <c r="C27" t="s">
        <v>343</v>
      </c>
      <c r="D27">
        <v>2</v>
      </c>
      <c r="E27">
        <v>761.46</v>
      </c>
      <c r="F27" t="s">
        <v>290</v>
      </c>
      <c r="G27">
        <v>380.73</v>
      </c>
      <c r="H27">
        <v>913.76</v>
      </c>
      <c r="I27" t="s">
        <v>320</v>
      </c>
      <c r="J27" t="s">
        <v>340</v>
      </c>
      <c r="K27" t="s">
        <v>494</v>
      </c>
      <c r="L27" t="s">
        <v>203</v>
      </c>
      <c r="M27" t="s">
        <v>492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492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913.76</v>
      </c>
      <c r="AP27">
        <f>$H$27*$V$27</f>
        <v>913.76</v>
      </c>
      <c r="AQ27">
        <f>$H$27*$W$27</f>
        <v>913.76</v>
      </c>
      <c r="AR27">
        <f>$H$27*$X$27</f>
        <v>913.76</v>
      </c>
      <c r="AS27">
        <f>$H$27*$Y$27</f>
        <v>913.76</v>
      </c>
      <c r="AT27">
        <f>$H$27*$Z$27</f>
        <v>913.76</v>
      </c>
      <c r="AU27">
        <f>$H$27*$AA$27</f>
        <v>913.76</v>
      </c>
      <c r="AV27">
        <f>$H$27*$AB$27</f>
        <v>913.76</v>
      </c>
      <c r="AW27">
        <f>$H$27*$AC$27</f>
        <v>913.76</v>
      </c>
      <c r="AX27">
        <f>$H$27*$AD$27</f>
        <v>913.76</v>
      </c>
      <c r="AY27">
        <f>$H$27*$AE$27</f>
        <v>913.76</v>
      </c>
      <c r="AZ27">
        <f>$H$27*$AF$27</f>
        <v>913.76</v>
      </c>
    </row>
    <row r="28" spans="1:52" x14ac:dyDescent="0.25">
      <c r="A28">
        <v>54</v>
      </c>
      <c r="B28" t="s">
        <v>283</v>
      </c>
      <c r="C28" t="s">
        <v>344</v>
      </c>
      <c r="D28">
        <v>1</v>
      </c>
      <c r="E28">
        <v>719.97</v>
      </c>
      <c r="F28" t="s">
        <v>290</v>
      </c>
      <c r="G28">
        <v>719.97</v>
      </c>
      <c r="H28">
        <v>863.97</v>
      </c>
      <c r="I28" t="s">
        <v>345</v>
      </c>
      <c r="J28" t="s">
        <v>346</v>
      </c>
      <c r="K28" t="s">
        <v>495</v>
      </c>
      <c r="L28" t="s">
        <v>203</v>
      </c>
      <c r="M28" t="s">
        <v>492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492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863.97</v>
      </c>
      <c r="AP28">
        <f>$H$28*$V$28</f>
        <v>863.97</v>
      </c>
      <c r="AQ28">
        <f>$H$28*$W$28</f>
        <v>863.97</v>
      </c>
      <c r="AR28">
        <f>$H$28*$X$28</f>
        <v>863.97</v>
      </c>
      <c r="AS28">
        <f>$H$28*$Y$28</f>
        <v>863.97</v>
      </c>
      <c r="AT28">
        <f>$H$28*$Z$28</f>
        <v>863.97</v>
      </c>
      <c r="AU28">
        <f>$H$28*$AA$28</f>
        <v>863.97</v>
      </c>
      <c r="AV28">
        <f>$H$28*$AB$28</f>
        <v>863.97</v>
      </c>
      <c r="AW28">
        <f>$H$28*$AC$28</f>
        <v>863.97</v>
      </c>
      <c r="AX28">
        <f>$H$28*$AD$28</f>
        <v>863.97</v>
      </c>
      <c r="AY28">
        <f>$H$28*$AE$28</f>
        <v>863.97</v>
      </c>
      <c r="AZ28">
        <f>$H$28*$AF$28</f>
        <v>863.97</v>
      </c>
    </row>
    <row r="29" spans="1:52" x14ac:dyDescent="0.25">
      <c r="A29">
        <v>64</v>
      </c>
      <c r="B29" t="s">
        <v>283</v>
      </c>
      <c r="C29" t="s">
        <v>347</v>
      </c>
      <c r="D29">
        <v>1</v>
      </c>
      <c r="E29">
        <v>800.22</v>
      </c>
      <c r="F29" t="s">
        <v>290</v>
      </c>
      <c r="G29">
        <v>800.22</v>
      </c>
      <c r="H29">
        <v>960.26</v>
      </c>
      <c r="I29" t="s">
        <v>292</v>
      </c>
      <c r="J29" t="s">
        <v>348</v>
      </c>
      <c r="K29" t="s">
        <v>496</v>
      </c>
      <c r="L29" t="s">
        <v>203</v>
      </c>
      <c r="M29" t="s">
        <v>476</v>
      </c>
      <c r="N29" t="s">
        <v>26</v>
      </c>
      <c r="O29" t="s">
        <v>67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476</v>
      </c>
      <c r="AH29" t="s">
        <v>26</v>
      </c>
      <c r="AI29" t="s">
        <v>67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960.26</v>
      </c>
      <c r="AV29">
        <f>$H$29*$AB$29</f>
        <v>960.26</v>
      </c>
      <c r="AW29">
        <f>$H$29*$AC$29</f>
        <v>960.26</v>
      </c>
      <c r="AX29">
        <f>$H$29*$AD$29</f>
        <v>960.26</v>
      </c>
      <c r="AY29">
        <f>$H$29*$AE$29</f>
        <v>960.26</v>
      </c>
      <c r="AZ29">
        <f>$H$29*$AF$29</f>
        <v>960.26</v>
      </c>
    </row>
    <row r="30" spans="1:52" x14ac:dyDescent="0.25">
      <c r="A30">
        <v>68</v>
      </c>
      <c r="B30" t="s">
        <v>283</v>
      </c>
      <c r="C30" t="s">
        <v>349</v>
      </c>
      <c r="D30">
        <v>4</v>
      </c>
      <c r="E30">
        <v>71.08</v>
      </c>
      <c r="F30" t="s">
        <v>290</v>
      </c>
      <c r="G30">
        <v>17.77</v>
      </c>
      <c r="H30">
        <v>85.3</v>
      </c>
      <c r="I30" t="s">
        <v>292</v>
      </c>
      <c r="J30" t="s">
        <v>350</v>
      </c>
      <c r="K30" t="s">
        <v>497</v>
      </c>
      <c r="L30" t="s">
        <v>203</v>
      </c>
      <c r="M30" t="s">
        <v>468</v>
      </c>
      <c r="N30" t="s">
        <v>27</v>
      </c>
      <c r="O30" t="s">
        <v>66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468</v>
      </c>
      <c r="AH30" t="s">
        <v>27</v>
      </c>
      <c r="AI30" t="s">
        <v>66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85.3</v>
      </c>
      <c r="AS30">
        <f>$H$30*$Y$30</f>
        <v>85.3</v>
      </c>
      <c r="AT30">
        <f>$H$30*$Z$30</f>
        <v>85.3</v>
      </c>
      <c r="AU30">
        <f>$H$30*$AA$30</f>
        <v>85.3</v>
      </c>
      <c r="AV30">
        <f>$H$30*$AB$30</f>
        <v>85.3</v>
      </c>
      <c r="AW30">
        <f>$H$30*$AC$30</f>
        <v>85.3</v>
      </c>
      <c r="AX30">
        <f>$H$30*$AD$30</f>
        <v>85.3</v>
      </c>
      <c r="AY30">
        <f>$H$30*$AE$30</f>
        <v>85.3</v>
      </c>
      <c r="AZ30">
        <f>$H$30*$AF$30</f>
        <v>85.3</v>
      </c>
    </row>
    <row r="31" spans="1:52" x14ac:dyDescent="0.25">
      <c r="A31">
        <v>69</v>
      </c>
      <c r="B31" t="s">
        <v>283</v>
      </c>
      <c r="C31" t="s">
        <v>351</v>
      </c>
      <c r="D31">
        <v>2</v>
      </c>
      <c r="E31">
        <v>41.5</v>
      </c>
      <c r="F31" t="s">
        <v>290</v>
      </c>
      <c r="G31">
        <v>20.75</v>
      </c>
      <c r="H31">
        <v>49.8</v>
      </c>
      <c r="I31" t="s">
        <v>292</v>
      </c>
      <c r="J31" t="s">
        <v>352</v>
      </c>
      <c r="K31" t="s">
        <v>498</v>
      </c>
      <c r="L31" t="s">
        <v>203</v>
      </c>
      <c r="M31" t="s">
        <v>492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492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49.8</v>
      </c>
      <c r="AS31">
        <f>$H$31*$Y$31</f>
        <v>49.8</v>
      </c>
      <c r="AT31">
        <f>$H$31*$Z$31</f>
        <v>49.8</v>
      </c>
      <c r="AU31">
        <f>$H$31*$AA$31</f>
        <v>49.8</v>
      </c>
      <c r="AV31">
        <f>$H$31*$AB$31</f>
        <v>49.8</v>
      </c>
      <c r="AW31">
        <f>$H$31*$AC$31</f>
        <v>49.8</v>
      </c>
      <c r="AX31">
        <f>$H$31*$AD$31</f>
        <v>49.8</v>
      </c>
      <c r="AY31">
        <f>$H$31*$AE$31</f>
        <v>49.8</v>
      </c>
      <c r="AZ31">
        <f>$H$31*$AF$31</f>
        <v>49.8</v>
      </c>
    </row>
    <row r="32" spans="1:52" x14ac:dyDescent="0.25">
      <c r="A32">
        <v>70</v>
      </c>
      <c r="B32" t="s">
        <v>283</v>
      </c>
      <c r="C32" t="s">
        <v>353</v>
      </c>
      <c r="D32">
        <v>1200</v>
      </c>
      <c r="E32">
        <v>4296</v>
      </c>
      <c r="F32" t="s">
        <v>303</v>
      </c>
      <c r="G32">
        <v>3.58</v>
      </c>
      <c r="H32">
        <v>5155.2</v>
      </c>
      <c r="I32" t="s">
        <v>292</v>
      </c>
      <c r="J32" t="s">
        <v>354</v>
      </c>
      <c r="K32" t="s">
        <v>499</v>
      </c>
      <c r="L32" t="s">
        <v>203</v>
      </c>
      <c r="M32" t="s">
        <v>468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0.6</v>
      </c>
      <c r="Y32">
        <v>0.6</v>
      </c>
      <c r="Z32">
        <v>0.6</v>
      </c>
      <c r="AA32">
        <v>0.6</v>
      </c>
      <c r="AB32">
        <v>0.6</v>
      </c>
      <c r="AC32">
        <v>0.6</v>
      </c>
      <c r="AD32">
        <v>0.6</v>
      </c>
      <c r="AE32">
        <v>0.6</v>
      </c>
      <c r="AF32">
        <v>0.6</v>
      </c>
      <c r="AG32" t="s">
        <v>468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3093.12</v>
      </c>
      <c r="AS32">
        <f>$H$32*$Y$32</f>
        <v>3093.12</v>
      </c>
      <c r="AT32">
        <f>$H$32*$Z$32</f>
        <v>3093.12</v>
      </c>
      <c r="AU32">
        <f>$H$32*$AA$32</f>
        <v>3093.12</v>
      </c>
      <c r="AV32">
        <f>$H$32*$AB$32</f>
        <v>3093.12</v>
      </c>
      <c r="AW32">
        <f>$H$32*$AC$32</f>
        <v>3093.12</v>
      </c>
      <c r="AX32">
        <f>$H$32*$AD$32</f>
        <v>3093.12</v>
      </c>
      <c r="AY32">
        <f>$H$32*$AE$32</f>
        <v>3093.12</v>
      </c>
      <c r="AZ32">
        <f>$H$32*$AF$32</f>
        <v>3093.12</v>
      </c>
    </row>
    <row r="33" spans="1:52" x14ac:dyDescent="0.25">
      <c r="A33">
        <v>71</v>
      </c>
      <c r="B33" t="s">
        <v>283</v>
      </c>
      <c r="C33" t="s">
        <v>355</v>
      </c>
      <c r="D33">
        <v>40</v>
      </c>
      <c r="E33">
        <v>39.6</v>
      </c>
      <c r="F33" t="s">
        <v>285</v>
      </c>
      <c r="G33">
        <v>0.99</v>
      </c>
      <c r="H33">
        <v>47.52</v>
      </c>
      <c r="I33" t="s">
        <v>292</v>
      </c>
      <c r="J33" t="s">
        <v>356</v>
      </c>
      <c r="K33" t="s">
        <v>500</v>
      </c>
      <c r="L33" t="s">
        <v>203</v>
      </c>
      <c r="M33" t="s">
        <v>468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0.6</v>
      </c>
      <c r="Y33">
        <v>0.6</v>
      </c>
      <c r="Z33">
        <v>0.6</v>
      </c>
      <c r="AA33">
        <v>0.6</v>
      </c>
      <c r="AB33">
        <v>0.6</v>
      </c>
      <c r="AC33">
        <v>0.6</v>
      </c>
      <c r="AD33">
        <v>0.6</v>
      </c>
      <c r="AE33">
        <v>0.6</v>
      </c>
      <c r="AF33">
        <v>0.6</v>
      </c>
      <c r="AG33" t="s">
        <v>468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28.512</v>
      </c>
      <c r="AS33">
        <f>$H$33*$Y$33</f>
        <v>28.512</v>
      </c>
      <c r="AT33">
        <f>$H$33*$Z$33</f>
        <v>28.512</v>
      </c>
      <c r="AU33">
        <f>$H$33*$AA$33</f>
        <v>28.512</v>
      </c>
      <c r="AV33">
        <f>$H$33*$AB$33</f>
        <v>28.512</v>
      </c>
      <c r="AW33">
        <f>$H$33*$AC$33</f>
        <v>28.512</v>
      </c>
      <c r="AX33">
        <f>$H$33*$AD$33</f>
        <v>28.512</v>
      </c>
      <c r="AY33">
        <f>$H$33*$AE$33</f>
        <v>28.512</v>
      </c>
      <c r="AZ33">
        <f>$H$33*$AF$33</f>
        <v>28.512</v>
      </c>
    </row>
    <row r="34" spans="1:52" x14ac:dyDescent="0.25">
      <c r="A34">
        <v>73</v>
      </c>
      <c r="B34" t="s">
        <v>283</v>
      </c>
      <c r="C34" t="s">
        <v>307</v>
      </c>
      <c r="D34">
        <v>3</v>
      </c>
      <c r="E34">
        <v>13.32</v>
      </c>
      <c r="F34" t="s">
        <v>285</v>
      </c>
      <c r="G34">
        <v>4.4400000000000004</v>
      </c>
      <c r="H34">
        <v>15.98</v>
      </c>
      <c r="I34" t="s">
        <v>286</v>
      </c>
      <c r="J34" t="s">
        <v>308</v>
      </c>
      <c r="K34" t="s">
        <v>477</v>
      </c>
      <c r="L34" t="s">
        <v>203</v>
      </c>
      <c r="M34" t="s">
        <v>468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468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15.98</v>
      </c>
      <c r="AV34">
        <f>$H$34*$AB$34</f>
        <v>15.98</v>
      </c>
      <c r="AW34">
        <f>$H$34*$AC$34</f>
        <v>15.98</v>
      </c>
      <c r="AX34">
        <f>$H$34*$AD$34</f>
        <v>15.98</v>
      </c>
      <c r="AY34">
        <f>$H$34*$AE$34</f>
        <v>15.98</v>
      </c>
      <c r="AZ34">
        <f>$H$34*$AF$34</f>
        <v>15.98</v>
      </c>
    </row>
    <row r="35" spans="1:52" x14ac:dyDescent="0.25">
      <c r="A35">
        <v>74</v>
      </c>
      <c r="B35" t="s">
        <v>283</v>
      </c>
      <c r="C35" t="s">
        <v>309</v>
      </c>
      <c r="D35">
        <v>3</v>
      </c>
      <c r="E35">
        <v>34.65</v>
      </c>
      <c r="F35" t="s">
        <v>285</v>
      </c>
      <c r="G35">
        <v>11.55</v>
      </c>
      <c r="H35">
        <v>41.59</v>
      </c>
      <c r="I35" t="s">
        <v>289</v>
      </c>
      <c r="J35" t="s">
        <v>310</v>
      </c>
      <c r="K35" t="s">
        <v>478</v>
      </c>
      <c r="L35" t="s">
        <v>203</v>
      </c>
      <c r="M35" t="s">
        <v>468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468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41.59</v>
      </c>
      <c r="AV35">
        <f>$H$35*$AB$35</f>
        <v>41.59</v>
      </c>
      <c r="AW35">
        <f>$H$35*$AC$35</f>
        <v>41.59</v>
      </c>
      <c r="AX35">
        <f>$H$35*$AD$35</f>
        <v>41.59</v>
      </c>
      <c r="AY35">
        <f>$H$35*$AE$35</f>
        <v>41.59</v>
      </c>
      <c r="AZ35">
        <f>$H$35*$AF$35</f>
        <v>41.59</v>
      </c>
    </row>
    <row r="36" spans="1:52" x14ac:dyDescent="0.25">
      <c r="A36">
        <v>75</v>
      </c>
      <c r="B36" t="s">
        <v>283</v>
      </c>
      <c r="C36" t="s">
        <v>357</v>
      </c>
      <c r="D36">
        <v>3</v>
      </c>
      <c r="E36">
        <v>14.25</v>
      </c>
      <c r="F36" t="s">
        <v>285</v>
      </c>
      <c r="G36">
        <v>4.75</v>
      </c>
      <c r="H36">
        <v>17.11</v>
      </c>
      <c r="I36" t="s">
        <v>289</v>
      </c>
      <c r="J36" t="s">
        <v>358</v>
      </c>
      <c r="K36" t="s">
        <v>501</v>
      </c>
      <c r="L36" t="s">
        <v>203</v>
      </c>
      <c r="M36" t="s">
        <v>468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1</v>
      </c>
      <c r="AD36">
        <v>1</v>
      </c>
      <c r="AE36">
        <v>1</v>
      </c>
      <c r="AF36">
        <v>1</v>
      </c>
      <c r="AG36" t="s">
        <v>468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0</v>
      </c>
      <c r="AV36">
        <f>$H$36*$AB$36</f>
        <v>0</v>
      </c>
      <c r="AW36">
        <f>$H$36*$AC$36</f>
        <v>17.11</v>
      </c>
      <c r="AX36">
        <f>$H$36*$AD$36</f>
        <v>17.11</v>
      </c>
      <c r="AY36">
        <f>$H$36*$AE$36</f>
        <v>17.11</v>
      </c>
      <c r="AZ36">
        <f>$H$36*$AF$36</f>
        <v>17.11</v>
      </c>
    </row>
    <row r="37" spans="1:52" x14ac:dyDescent="0.25">
      <c r="A37">
        <v>76</v>
      </c>
      <c r="B37" t="s">
        <v>283</v>
      </c>
      <c r="C37" t="s">
        <v>311</v>
      </c>
      <c r="D37">
        <v>86</v>
      </c>
      <c r="E37">
        <v>84.28</v>
      </c>
      <c r="F37" t="s">
        <v>303</v>
      </c>
      <c r="G37">
        <v>0.98</v>
      </c>
      <c r="H37">
        <v>101.14</v>
      </c>
      <c r="I37" t="s">
        <v>286</v>
      </c>
      <c r="J37" t="s">
        <v>312</v>
      </c>
      <c r="K37" t="s">
        <v>479</v>
      </c>
      <c r="L37" t="s">
        <v>203</v>
      </c>
      <c r="M37" t="s">
        <v>468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468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101.14</v>
      </c>
      <c r="AO37">
        <f>$H$37*$U$37</f>
        <v>101.14</v>
      </c>
      <c r="AP37">
        <f>$H$37*$V$37</f>
        <v>101.14</v>
      </c>
      <c r="AQ37">
        <f>$H$37*$W$37</f>
        <v>101.14</v>
      </c>
      <c r="AR37">
        <f>$H$37*$X$37</f>
        <v>101.14</v>
      </c>
      <c r="AS37">
        <f>$H$37*$Y$37</f>
        <v>101.14</v>
      </c>
      <c r="AT37">
        <f>$H$37*$Z$37</f>
        <v>101.14</v>
      </c>
      <c r="AU37">
        <f>$H$37*$AA$37</f>
        <v>101.14</v>
      </c>
      <c r="AV37">
        <f>$H$37*$AB$37</f>
        <v>101.14</v>
      </c>
      <c r="AW37">
        <f>$H$37*$AC$37</f>
        <v>101.14</v>
      </c>
      <c r="AX37">
        <f>$H$37*$AD$37</f>
        <v>101.14</v>
      </c>
      <c r="AY37">
        <f>$H$37*$AE$37</f>
        <v>101.14</v>
      </c>
      <c r="AZ37">
        <f>$H$37*$AF$37</f>
        <v>101.14</v>
      </c>
    </row>
    <row r="38" spans="1:52" x14ac:dyDescent="0.25">
      <c r="A38">
        <v>77</v>
      </c>
      <c r="B38" t="s">
        <v>283</v>
      </c>
      <c r="C38" t="s">
        <v>313</v>
      </c>
      <c r="D38">
        <v>86</v>
      </c>
      <c r="E38">
        <v>202.1</v>
      </c>
      <c r="F38" t="s">
        <v>303</v>
      </c>
      <c r="G38">
        <v>2.35</v>
      </c>
      <c r="H38">
        <v>242.52</v>
      </c>
      <c r="I38" t="s">
        <v>314</v>
      </c>
      <c r="J38" t="s">
        <v>315</v>
      </c>
      <c r="K38" t="s">
        <v>480</v>
      </c>
      <c r="L38" t="s">
        <v>203</v>
      </c>
      <c r="M38" t="s">
        <v>468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0.25</v>
      </c>
      <c r="T38">
        <v>0.25</v>
      </c>
      <c r="U38">
        <v>0.25</v>
      </c>
      <c r="V38">
        <v>0.25</v>
      </c>
      <c r="W38">
        <v>0.25</v>
      </c>
      <c r="X38">
        <v>0.5</v>
      </c>
      <c r="Y38">
        <v>0.5</v>
      </c>
      <c r="Z38">
        <v>0.5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468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60.63</v>
      </c>
      <c r="AN38">
        <f>$H$38*$T$38</f>
        <v>60.63</v>
      </c>
      <c r="AO38">
        <f>$H$38*$U$38</f>
        <v>60.63</v>
      </c>
      <c r="AP38">
        <f>$H$38*$V$38</f>
        <v>60.63</v>
      </c>
      <c r="AQ38">
        <f>$H$38*$W$38</f>
        <v>60.63</v>
      </c>
      <c r="AR38">
        <f>$H$38*$X$38</f>
        <v>121.26</v>
      </c>
      <c r="AS38">
        <f>$H$38*$Y$38</f>
        <v>121.26</v>
      </c>
      <c r="AT38">
        <f>$H$38*$Z$38</f>
        <v>121.26</v>
      </c>
      <c r="AU38">
        <f>$H$38*$AA$38</f>
        <v>242.52</v>
      </c>
      <c r="AV38">
        <f>$H$38*$AB$38</f>
        <v>242.52</v>
      </c>
      <c r="AW38">
        <f>$H$38*$AC$38</f>
        <v>242.52</v>
      </c>
      <c r="AX38">
        <f>$H$38*$AD$38</f>
        <v>242.52</v>
      </c>
      <c r="AY38">
        <f>$H$38*$AE$38</f>
        <v>242.52</v>
      </c>
      <c r="AZ38">
        <f>$H$38*$AF$38</f>
        <v>242.52</v>
      </c>
    </row>
    <row r="39" spans="1:52" x14ac:dyDescent="0.25">
      <c r="A39">
        <v>78</v>
      </c>
      <c r="B39" t="s">
        <v>283</v>
      </c>
      <c r="C39" t="s">
        <v>316</v>
      </c>
      <c r="D39">
        <v>1</v>
      </c>
      <c r="E39">
        <v>40.14</v>
      </c>
      <c r="F39" t="s">
        <v>290</v>
      </c>
      <c r="G39">
        <v>40.14</v>
      </c>
      <c r="H39">
        <v>48.16</v>
      </c>
      <c r="I39" t="s">
        <v>317</v>
      </c>
      <c r="J39" t="s">
        <v>318</v>
      </c>
      <c r="K39" t="s">
        <v>481</v>
      </c>
      <c r="L39" t="s">
        <v>203</v>
      </c>
      <c r="M39" t="s">
        <v>468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468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48.16</v>
      </c>
      <c r="AU39">
        <f>$H$39*$AA$39</f>
        <v>48.16</v>
      </c>
      <c r="AV39">
        <f>$H$39*$AB$39</f>
        <v>48.16</v>
      </c>
      <c r="AW39">
        <f>$H$39*$AC$39</f>
        <v>48.16</v>
      </c>
      <c r="AX39">
        <f>$H$39*$AD$39</f>
        <v>48.16</v>
      </c>
      <c r="AY39">
        <f>$H$39*$AE$39</f>
        <v>48.16</v>
      </c>
      <c r="AZ39">
        <f>$H$39*$AF$39</f>
        <v>48.16</v>
      </c>
    </row>
    <row r="40" spans="1:52" x14ac:dyDescent="0.25">
      <c r="A40">
        <v>79</v>
      </c>
      <c r="B40" t="s">
        <v>283</v>
      </c>
      <c r="C40" t="s">
        <v>319</v>
      </c>
      <c r="D40">
        <v>1</v>
      </c>
      <c r="E40">
        <v>365.09</v>
      </c>
      <c r="F40" t="s">
        <v>290</v>
      </c>
      <c r="G40">
        <v>365.09</v>
      </c>
      <c r="H40">
        <v>438.11</v>
      </c>
      <c r="I40" t="s">
        <v>320</v>
      </c>
      <c r="J40" t="s">
        <v>321</v>
      </c>
      <c r="K40" t="s">
        <v>482</v>
      </c>
      <c r="L40" t="s">
        <v>203</v>
      </c>
      <c r="M40" t="s">
        <v>468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468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438.11</v>
      </c>
      <c r="AO40">
        <f>$H$40*$U$40</f>
        <v>438.11</v>
      </c>
      <c r="AP40">
        <f>$H$40*$V$40</f>
        <v>438.11</v>
      </c>
      <c r="AQ40">
        <f>$H$40*$W$40</f>
        <v>438.11</v>
      </c>
      <c r="AR40">
        <f>$H$40*$X$40</f>
        <v>438.11</v>
      </c>
      <c r="AS40">
        <f>$H$40*$Y$40</f>
        <v>438.11</v>
      </c>
      <c r="AT40">
        <f>$H$40*$Z$40</f>
        <v>438.11</v>
      </c>
      <c r="AU40">
        <f>$H$40*$AA$40</f>
        <v>438.11</v>
      </c>
      <c r="AV40">
        <f>$H$40*$AB$40</f>
        <v>438.11</v>
      </c>
      <c r="AW40">
        <f>$H$40*$AC$40</f>
        <v>438.11</v>
      </c>
      <c r="AX40">
        <f>$H$40*$AD$40</f>
        <v>438.11</v>
      </c>
      <c r="AY40">
        <f>$H$40*$AE$40</f>
        <v>438.11</v>
      </c>
      <c r="AZ40">
        <f>$H$40*$AF$40</f>
        <v>438.11</v>
      </c>
    </row>
    <row r="41" spans="1:52" x14ac:dyDescent="0.25">
      <c r="A41">
        <v>80</v>
      </c>
      <c r="B41" t="s">
        <v>283</v>
      </c>
      <c r="C41" t="s">
        <v>322</v>
      </c>
      <c r="D41">
        <v>2</v>
      </c>
      <c r="E41">
        <v>62.72</v>
      </c>
      <c r="F41" t="s">
        <v>290</v>
      </c>
      <c r="G41">
        <v>31.36</v>
      </c>
      <c r="H41">
        <v>75.260000000000005</v>
      </c>
      <c r="I41" t="s">
        <v>286</v>
      </c>
      <c r="J41" t="s">
        <v>323</v>
      </c>
      <c r="K41" t="s">
        <v>483</v>
      </c>
      <c r="L41" t="s">
        <v>203</v>
      </c>
      <c r="M41" t="s">
        <v>468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468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75.260000000000005</v>
      </c>
      <c r="AN41">
        <f>$H$41*$T$41</f>
        <v>75.260000000000005</v>
      </c>
      <c r="AO41">
        <f>$H$41*$U$41</f>
        <v>75.260000000000005</v>
      </c>
      <c r="AP41">
        <f>$H$41*$V$41</f>
        <v>75.260000000000005</v>
      </c>
      <c r="AQ41">
        <f>$H$41*$W$41</f>
        <v>75.260000000000005</v>
      </c>
      <c r="AR41">
        <f>$H$41*$X$41</f>
        <v>75.260000000000005</v>
      </c>
      <c r="AS41">
        <f>$H$41*$Y$41</f>
        <v>75.260000000000005</v>
      </c>
      <c r="AT41">
        <f>$H$41*$Z$41</f>
        <v>75.260000000000005</v>
      </c>
      <c r="AU41">
        <f>$H$41*$AA$41</f>
        <v>75.260000000000005</v>
      </c>
      <c r="AV41">
        <f>$H$41*$AB$41</f>
        <v>75.260000000000005</v>
      </c>
      <c r="AW41">
        <f>$H$41*$AC$41</f>
        <v>75.260000000000005</v>
      </c>
      <c r="AX41">
        <f>$H$41*$AD$41</f>
        <v>75.260000000000005</v>
      </c>
      <c r="AY41">
        <f>$H$41*$AE$41</f>
        <v>75.260000000000005</v>
      </c>
      <c r="AZ41">
        <f>$H$41*$AF$41</f>
        <v>75.260000000000005</v>
      </c>
    </row>
    <row r="42" spans="1:52" x14ac:dyDescent="0.25">
      <c r="A42">
        <v>81</v>
      </c>
      <c r="B42" t="s">
        <v>283</v>
      </c>
      <c r="C42" t="s">
        <v>324</v>
      </c>
      <c r="D42">
        <v>2</v>
      </c>
      <c r="E42">
        <v>77.86</v>
      </c>
      <c r="F42" t="s">
        <v>290</v>
      </c>
      <c r="G42">
        <v>38.93</v>
      </c>
      <c r="H42">
        <v>93.44</v>
      </c>
      <c r="I42" t="s">
        <v>286</v>
      </c>
      <c r="J42" t="s">
        <v>320</v>
      </c>
      <c r="K42" t="s">
        <v>484</v>
      </c>
      <c r="L42" t="s">
        <v>203</v>
      </c>
      <c r="M42" t="s">
        <v>468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468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93.44</v>
      </c>
      <c r="AN42">
        <f>$H$42*$T$42</f>
        <v>93.44</v>
      </c>
      <c r="AO42">
        <f>$H$42*$U$42</f>
        <v>93.44</v>
      </c>
      <c r="AP42">
        <f>$H$42*$V$42</f>
        <v>93.44</v>
      </c>
      <c r="AQ42">
        <f>$H$42*$W$42</f>
        <v>93.44</v>
      </c>
      <c r="AR42">
        <f>$H$42*$X$42</f>
        <v>93.44</v>
      </c>
      <c r="AS42">
        <f>$H$42*$Y$42</f>
        <v>93.44</v>
      </c>
      <c r="AT42">
        <f>$H$42*$Z$42</f>
        <v>93.44</v>
      </c>
      <c r="AU42">
        <f>$H$42*$AA$42</f>
        <v>93.44</v>
      </c>
      <c r="AV42">
        <f>$H$42*$AB$42</f>
        <v>93.44</v>
      </c>
      <c r="AW42">
        <f>$H$42*$AC$42</f>
        <v>93.44</v>
      </c>
      <c r="AX42">
        <f>$H$42*$AD$42</f>
        <v>93.44</v>
      </c>
      <c r="AY42">
        <f>$H$42*$AE$42</f>
        <v>93.44</v>
      </c>
      <c r="AZ42">
        <f>$H$42*$AF$42</f>
        <v>93.44</v>
      </c>
    </row>
    <row r="43" spans="1:52" x14ac:dyDescent="0.25">
      <c r="A43">
        <v>82</v>
      </c>
      <c r="B43" t="s">
        <v>257</v>
      </c>
      <c r="C43" t="s">
        <v>359</v>
      </c>
      <c r="D43">
        <v>1</v>
      </c>
      <c r="E43">
        <v>27.56</v>
      </c>
      <c r="F43" t="s">
        <v>290</v>
      </c>
      <c r="G43">
        <v>27.56</v>
      </c>
      <c r="H43">
        <v>33.08</v>
      </c>
      <c r="I43" t="s">
        <v>317</v>
      </c>
      <c r="J43" t="s">
        <v>360</v>
      </c>
      <c r="K43" t="s">
        <v>502</v>
      </c>
      <c r="L43" t="s">
        <v>203</v>
      </c>
      <c r="M43" t="s">
        <v>257</v>
      </c>
      <c r="N43" t="s">
        <v>51</v>
      </c>
      <c r="O43" t="s">
        <v>13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257</v>
      </c>
      <c r="AH43" t="s">
        <v>51</v>
      </c>
      <c r="AI43" t="s">
        <v>13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0</v>
      </c>
      <c r="AT43">
        <f>$H$43*$Z$43</f>
        <v>0</v>
      </c>
      <c r="AU43">
        <f>$H$43*$AA$43</f>
        <v>33.08</v>
      </c>
      <c r="AV43">
        <f>$H$43*$AB$43</f>
        <v>33.08</v>
      </c>
      <c r="AW43">
        <f>$H$43*$AC$43</f>
        <v>33.08</v>
      </c>
      <c r="AX43">
        <f>$H$43*$AD$43</f>
        <v>33.08</v>
      </c>
      <c r="AY43">
        <f>$H$43*$AE$43</f>
        <v>33.08</v>
      </c>
      <c r="AZ43">
        <f>$H$43*$AF$43</f>
        <v>33.08</v>
      </c>
    </row>
    <row r="44" spans="1:52" x14ac:dyDescent="0.25">
      <c r="A44">
        <v>83</v>
      </c>
      <c r="B44" t="s">
        <v>257</v>
      </c>
      <c r="C44" t="s">
        <v>361</v>
      </c>
      <c r="D44">
        <v>1</v>
      </c>
      <c r="E44">
        <v>24.93</v>
      </c>
      <c r="F44" t="s">
        <v>290</v>
      </c>
      <c r="G44">
        <v>24.93</v>
      </c>
      <c r="H44">
        <v>29.91</v>
      </c>
      <c r="I44" t="s">
        <v>317</v>
      </c>
      <c r="J44" t="s">
        <v>362</v>
      </c>
      <c r="K44" t="s">
        <v>503</v>
      </c>
      <c r="L44" t="s">
        <v>203</v>
      </c>
      <c r="M44" t="s">
        <v>257</v>
      </c>
      <c r="N44" t="s">
        <v>51</v>
      </c>
      <c r="O44" t="s">
        <v>13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257</v>
      </c>
      <c r="AH44" t="s">
        <v>51</v>
      </c>
      <c r="AI44" t="s">
        <v>13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29.91</v>
      </c>
      <c r="AT44">
        <f>$H$44*$Z$44</f>
        <v>29.91</v>
      </c>
      <c r="AU44">
        <f>$H$44*$AA$44</f>
        <v>29.91</v>
      </c>
      <c r="AV44">
        <f>$H$44*$AB$44</f>
        <v>29.91</v>
      </c>
      <c r="AW44">
        <f>$H$44*$AC$44</f>
        <v>29.91</v>
      </c>
      <c r="AX44">
        <f>$H$44*$AD$44</f>
        <v>29.91</v>
      </c>
      <c r="AY44">
        <f>$H$44*$AE$44</f>
        <v>29.91</v>
      </c>
      <c r="AZ44">
        <f>$H$44*$AF$44</f>
        <v>29.91</v>
      </c>
    </row>
    <row r="45" spans="1:52" x14ac:dyDescent="0.25">
      <c r="A45">
        <v>84</v>
      </c>
      <c r="B45" t="s">
        <v>257</v>
      </c>
      <c r="C45" t="s">
        <v>363</v>
      </c>
      <c r="D45">
        <v>1</v>
      </c>
      <c r="E45">
        <v>25.92</v>
      </c>
      <c r="F45" t="s">
        <v>290</v>
      </c>
      <c r="G45">
        <v>25.92</v>
      </c>
      <c r="H45">
        <v>31.1</v>
      </c>
      <c r="I45" t="s">
        <v>317</v>
      </c>
      <c r="J45" t="s">
        <v>364</v>
      </c>
      <c r="K45" t="s">
        <v>504</v>
      </c>
      <c r="L45" t="s">
        <v>203</v>
      </c>
      <c r="M45" t="s">
        <v>257</v>
      </c>
      <c r="N45" t="s">
        <v>51</v>
      </c>
      <c r="O45" t="s">
        <v>13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257</v>
      </c>
      <c r="AH45" t="s">
        <v>51</v>
      </c>
      <c r="AI45" t="s">
        <v>13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31.1</v>
      </c>
      <c r="AV45">
        <f>$H$45*$AB$45</f>
        <v>31.1</v>
      </c>
      <c r="AW45">
        <f>$H$45*$AC$45</f>
        <v>31.1</v>
      </c>
      <c r="AX45">
        <f>$H$45*$AD$45</f>
        <v>31.1</v>
      </c>
      <c r="AY45">
        <f>$H$45*$AE$45</f>
        <v>31.1</v>
      </c>
      <c r="AZ45">
        <f>$H$45*$AF$45</f>
        <v>31.1</v>
      </c>
    </row>
    <row r="46" spans="1:52" x14ac:dyDescent="0.25">
      <c r="A46">
        <v>85</v>
      </c>
      <c r="B46" t="s">
        <v>257</v>
      </c>
      <c r="C46" t="s">
        <v>307</v>
      </c>
      <c r="D46">
        <v>10</v>
      </c>
      <c r="E46">
        <v>44.4</v>
      </c>
      <c r="F46" t="s">
        <v>285</v>
      </c>
      <c r="G46">
        <v>4.4400000000000004</v>
      </c>
      <c r="H46">
        <v>53.28</v>
      </c>
      <c r="I46" t="s">
        <v>286</v>
      </c>
      <c r="J46" t="s">
        <v>308</v>
      </c>
      <c r="K46" t="s">
        <v>477</v>
      </c>
      <c r="L46" t="s">
        <v>203</v>
      </c>
      <c r="M46" t="s">
        <v>257</v>
      </c>
      <c r="N46" t="s">
        <v>51</v>
      </c>
      <c r="O46" t="s">
        <v>13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257</v>
      </c>
      <c r="AH46" t="s">
        <v>51</v>
      </c>
      <c r="AI46" t="s">
        <v>13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53.28</v>
      </c>
      <c r="AV46">
        <f>$H$46*$AB$46</f>
        <v>53.28</v>
      </c>
      <c r="AW46">
        <f>$H$46*$AC$46</f>
        <v>53.28</v>
      </c>
      <c r="AX46">
        <f>$H$46*$AD$46</f>
        <v>53.28</v>
      </c>
      <c r="AY46">
        <f>$H$46*$AE$46</f>
        <v>53.28</v>
      </c>
      <c r="AZ46">
        <f>$H$46*$AF$46</f>
        <v>53.28</v>
      </c>
    </row>
    <row r="47" spans="1:52" x14ac:dyDescent="0.25">
      <c r="A47">
        <v>86</v>
      </c>
      <c r="B47" t="s">
        <v>257</v>
      </c>
      <c r="C47" t="s">
        <v>309</v>
      </c>
      <c r="D47">
        <v>10</v>
      </c>
      <c r="E47">
        <v>115.5</v>
      </c>
      <c r="F47" t="s">
        <v>285</v>
      </c>
      <c r="G47">
        <v>11.55</v>
      </c>
      <c r="H47">
        <v>138.6</v>
      </c>
      <c r="I47" t="s">
        <v>289</v>
      </c>
      <c r="J47" t="s">
        <v>310</v>
      </c>
      <c r="K47" t="s">
        <v>478</v>
      </c>
      <c r="L47" t="s">
        <v>203</v>
      </c>
      <c r="M47" t="s">
        <v>257</v>
      </c>
      <c r="N47" t="s">
        <v>51</v>
      </c>
      <c r="O47" t="s">
        <v>13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257</v>
      </c>
      <c r="AH47" t="s">
        <v>51</v>
      </c>
      <c r="AI47" t="s">
        <v>13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138.6</v>
      </c>
      <c r="AV47">
        <f>$H$47*$AB$47</f>
        <v>138.6</v>
      </c>
      <c r="AW47">
        <f>$H$47*$AC$47</f>
        <v>138.6</v>
      </c>
      <c r="AX47">
        <f>$H$47*$AD$47</f>
        <v>138.6</v>
      </c>
      <c r="AY47">
        <f>$H$47*$AE$47</f>
        <v>138.6</v>
      </c>
      <c r="AZ47">
        <f>$H$47*$AF$47</f>
        <v>138.6</v>
      </c>
    </row>
    <row r="48" spans="1:52" x14ac:dyDescent="0.25">
      <c r="A48">
        <v>87</v>
      </c>
      <c r="B48" t="s">
        <v>257</v>
      </c>
      <c r="C48" t="s">
        <v>365</v>
      </c>
      <c r="D48">
        <v>2</v>
      </c>
      <c r="E48">
        <v>26.54</v>
      </c>
      <c r="F48" t="s">
        <v>290</v>
      </c>
      <c r="G48">
        <v>13.27</v>
      </c>
      <c r="H48">
        <v>31.84</v>
      </c>
      <c r="I48" t="s">
        <v>292</v>
      </c>
      <c r="J48" t="s">
        <v>366</v>
      </c>
      <c r="K48" t="s">
        <v>505</v>
      </c>
      <c r="L48" t="s">
        <v>203</v>
      </c>
      <c r="M48" t="s">
        <v>257</v>
      </c>
      <c r="N48" t="s">
        <v>51</v>
      </c>
      <c r="O48" t="s">
        <v>13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257</v>
      </c>
      <c r="AH48" t="s">
        <v>51</v>
      </c>
      <c r="AI48" t="s">
        <v>13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31.84</v>
      </c>
      <c r="AS48">
        <f>$H$48*$Y$48</f>
        <v>31.84</v>
      </c>
      <c r="AT48">
        <f>$H$48*$Z$48</f>
        <v>31.84</v>
      </c>
      <c r="AU48">
        <f>$H$48*$AA$48</f>
        <v>31.84</v>
      </c>
      <c r="AV48">
        <f>$H$48*$AB$48</f>
        <v>31.84</v>
      </c>
      <c r="AW48">
        <f>$H$48*$AC$48</f>
        <v>31.84</v>
      </c>
      <c r="AX48">
        <f>$H$48*$AD$48</f>
        <v>31.84</v>
      </c>
      <c r="AY48">
        <f>$H$48*$AE$48</f>
        <v>31.84</v>
      </c>
      <c r="AZ48">
        <f>$H$48*$AF$48</f>
        <v>31.84</v>
      </c>
    </row>
    <row r="49" spans="1:52" x14ac:dyDescent="0.25">
      <c r="A49">
        <v>88</v>
      </c>
      <c r="B49" t="s">
        <v>257</v>
      </c>
      <c r="C49" t="s">
        <v>367</v>
      </c>
      <c r="D49">
        <v>6</v>
      </c>
      <c r="E49">
        <v>112.38</v>
      </c>
      <c r="F49" t="s">
        <v>303</v>
      </c>
      <c r="G49">
        <v>18.73</v>
      </c>
      <c r="H49">
        <v>134.86000000000001</v>
      </c>
      <c r="I49" t="s">
        <v>368</v>
      </c>
      <c r="J49" t="s">
        <v>321</v>
      </c>
      <c r="K49" t="s">
        <v>506</v>
      </c>
      <c r="L49" t="s">
        <v>203</v>
      </c>
      <c r="M49" t="s">
        <v>257</v>
      </c>
      <c r="N49" t="s">
        <v>51</v>
      </c>
      <c r="O49" t="s">
        <v>13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257</v>
      </c>
      <c r="AH49" t="s">
        <v>51</v>
      </c>
      <c r="AI49" t="s">
        <v>13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134.86000000000001</v>
      </c>
      <c r="AV49">
        <f>$H$49*$AB$49</f>
        <v>134.86000000000001</v>
      </c>
      <c r="AW49">
        <f>$H$49*$AC$49</f>
        <v>134.86000000000001</v>
      </c>
      <c r="AX49">
        <f>$H$49*$AD$49</f>
        <v>134.86000000000001</v>
      </c>
      <c r="AY49">
        <f>$H$49*$AE$49</f>
        <v>134.86000000000001</v>
      </c>
      <c r="AZ49">
        <f>$H$49*$AF$49</f>
        <v>134.86000000000001</v>
      </c>
    </row>
    <row r="50" spans="1:52" x14ac:dyDescent="0.25">
      <c r="A50">
        <v>89</v>
      </c>
      <c r="B50" t="s">
        <v>257</v>
      </c>
      <c r="C50" t="s">
        <v>369</v>
      </c>
      <c r="D50">
        <v>0.75</v>
      </c>
      <c r="E50">
        <v>412.99</v>
      </c>
      <c r="F50" t="s">
        <v>290</v>
      </c>
      <c r="G50">
        <v>550.65</v>
      </c>
      <c r="H50">
        <v>495.59</v>
      </c>
      <c r="I50" t="s">
        <v>304</v>
      </c>
      <c r="J50" t="s">
        <v>370</v>
      </c>
      <c r="K50" t="s">
        <v>507</v>
      </c>
      <c r="L50" t="s">
        <v>203</v>
      </c>
      <c r="M50" t="s">
        <v>257</v>
      </c>
      <c r="N50" t="s">
        <v>51</v>
      </c>
      <c r="O50" t="s">
        <v>13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257</v>
      </c>
      <c r="AH50" t="s">
        <v>51</v>
      </c>
      <c r="AI50" t="s">
        <v>13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495.59</v>
      </c>
      <c r="AV50">
        <f>$H$50*$AB$50</f>
        <v>495.59</v>
      </c>
      <c r="AW50">
        <f>$H$50*$AC$50</f>
        <v>495.59</v>
      </c>
      <c r="AX50">
        <f>$H$50*$AD$50</f>
        <v>495.59</v>
      </c>
      <c r="AY50">
        <f>$H$50*$AE$50</f>
        <v>495.59</v>
      </c>
      <c r="AZ50">
        <f>$H$50*$AF$50</f>
        <v>495.59</v>
      </c>
    </row>
    <row r="51" spans="1:52" x14ac:dyDescent="0.25">
      <c r="A51">
        <v>90</v>
      </c>
      <c r="B51" t="s">
        <v>257</v>
      </c>
      <c r="C51" t="s">
        <v>369</v>
      </c>
      <c r="D51">
        <v>0.75</v>
      </c>
      <c r="E51">
        <v>412.99</v>
      </c>
      <c r="F51" t="s">
        <v>290</v>
      </c>
      <c r="G51">
        <v>550.65</v>
      </c>
      <c r="H51">
        <v>495.59</v>
      </c>
      <c r="I51" t="s">
        <v>304</v>
      </c>
      <c r="J51" t="s">
        <v>370</v>
      </c>
      <c r="K51" t="s">
        <v>507</v>
      </c>
      <c r="L51" t="s">
        <v>203</v>
      </c>
      <c r="M51" t="s">
        <v>257</v>
      </c>
      <c r="N51" t="s">
        <v>51</v>
      </c>
      <c r="O51" t="s">
        <v>13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257</v>
      </c>
      <c r="AH51" t="s">
        <v>51</v>
      </c>
      <c r="AI51" t="s">
        <v>13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495.59</v>
      </c>
      <c r="AV51">
        <f>$H$51*$AB$51</f>
        <v>495.59</v>
      </c>
      <c r="AW51">
        <f>$H$51*$AC$51</f>
        <v>495.59</v>
      </c>
      <c r="AX51">
        <f>$H$51*$AD$51</f>
        <v>495.59</v>
      </c>
      <c r="AY51">
        <f>$H$51*$AE$51</f>
        <v>495.59</v>
      </c>
      <c r="AZ51">
        <f>$H$51*$AF$51</f>
        <v>495.59</v>
      </c>
    </row>
    <row r="52" spans="1:52" x14ac:dyDescent="0.25">
      <c r="A52">
        <v>91</v>
      </c>
      <c r="B52" t="s">
        <v>257</v>
      </c>
      <c r="C52" t="s">
        <v>369</v>
      </c>
      <c r="D52">
        <v>0.25</v>
      </c>
      <c r="E52">
        <v>137.66</v>
      </c>
      <c r="F52" t="s">
        <v>290</v>
      </c>
      <c r="G52">
        <v>550.65</v>
      </c>
      <c r="H52">
        <v>165.2</v>
      </c>
      <c r="I52" t="s">
        <v>304</v>
      </c>
      <c r="J52" t="s">
        <v>370</v>
      </c>
      <c r="K52" t="s">
        <v>507</v>
      </c>
      <c r="L52" t="s">
        <v>203</v>
      </c>
      <c r="M52" t="s">
        <v>257</v>
      </c>
      <c r="N52" t="s">
        <v>51</v>
      </c>
      <c r="O52" t="s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257</v>
      </c>
      <c r="AH52" t="s">
        <v>51</v>
      </c>
      <c r="AI52" t="s">
        <v>13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165.2</v>
      </c>
      <c r="AV52">
        <f>$H$52*$AB$52</f>
        <v>165.2</v>
      </c>
      <c r="AW52">
        <f>$H$52*$AC$52</f>
        <v>165.2</v>
      </c>
      <c r="AX52">
        <f>$H$52*$AD$52</f>
        <v>165.2</v>
      </c>
      <c r="AY52">
        <f>$H$52*$AE$52</f>
        <v>165.2</v>
      </c>
      <c r="AZ52">
        <f>$H$52*$AF$52</f>
        <v>165.2</v>
      </c>
    </row>
    <row r="53" spans="1:52" x14ac:dyDescent="0.25">
      <c r="A53">
        <v>92</v>
      </c>
      <c r="B53" t="s">
        <v>257</v>
      </c>
      <c r="C53" t="s">
        <v>369</v>
      </c>
      <c r="D53">
        <v>0.25</v>
      </c>
      <c r="E53">
        <v>137.66</v>
      </c>
      <c r="F53" t="s">
        <v>290</v>
      </c>
      <c r="G53">
        <v>550.65</v>
      </c>
      <c r="H53">
        <v>165.2</v>
      </c>
      <c r="I53" t="s">
        <v>304</v>
      </c>
      <c r="J53" t="s">
        <v>370</v>
      </c>
      <c r="K53" t="s">
        <v>507</v>
      </c>
      <c r="L53" t="s">
        <v>203</v>
      </c>
      <c r="M53" t="s">
        <v>257</v>
      </c>
      <c r="N53" t="s">
        <v>51</v>
      </c>
      <c r="O53" t="s">
        <v>13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257</v>
      </c>
      <c r="AH53" t="s">
        <v>51</v>
      </c>
      <c r="AI53" t="s">
        <v>13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165.2</v>
      </c>
      <c r="AV53">
        <f>$H$53*$AB$53</f>
        <v>165.2</v>
      </c>
      <c r="AW53">
        <f>$H$53*$AC$53</f>
        <v>165.2</v>
      </c>
      <c r="AX53">
        <f>$H$53*$AD$53</f>
        <v>165.2</v>
      </c>
      <c r="AY53">
        <f>$H$53*$AE$53</f>
        <v>165.2</v>
      </c>
      <c r="AZ53">
        <f>$H$53*$AF$53</f>
        <v>165.2</v>
      </c>
    </row>
    <row r="54" spans="1:52" x14ac:dyDescent="0.25">
      <c r="A54">
        <v>93</v>
      </c>
      <c r="B54" t="s">
        <v>257</v>
      </c>
      <c r="C54" t="s">
        <v>371</v>
      </c>
      <c r="D54">
        <v>1</v>
      </c>
      <c r="E54">
        <v>39.43</v>
      </c>
      <c r="F54" t="s">
        <v>290</v>
      </c>
      <c r="G54">
        <v>39.43</v>
      </c>
      <c r="H54">
        <v>47.31</v>
      </c>
      <c r="I54" t="s">
        <v>304</v>
      </c>
      <c r="J54" t="s">
        <v>372</v>
      </c>
      <c r="K54" t="s">
        <v>508</v>
      </c>
      <c r="L54" t="s">
        <v>203</v>
      </c>
      <c r="M54" t="s">
        <v>257</v>
      </c>
      <c r="N54" t="s">
        <v>51</v>
      </c>
      <c r="O54" t="s">
        <v>13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257</v>
      </c>
      <c r="AH54" t="s">
        <v>51</v>
      </c>
      <c r="AI54" t="s">
        <v>13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47.31</v>
      </c>
      <c r="AT54">
        <f>$H$54*$Z$54</f>
        <v>47.31</v>
      </c>
      <c r="AU54">
        <f>$H$54*$AA$54</f>
        <v>47.31</v>
      </c>
      <c r="AV54">
        <f>$H$54*$AB$54</f>
        <v>47.31</v>
      </c>
      <c r="AW54">
        <f>$H$54*$AC$54</f>
        <v>47.31</v>
      </c>
      <c r="AX54">
        <f>$H$54*$AD$54</f>
        <v>47.31</v>
      </c>
      <c r="AY54">
        <f>$H$54*$AE$54</f>
        <v>47.31</v>
      </c>
      <c r="AZ54">
        <f>$H$54*$AF$54</f>
        <v>47.31</v>
      </c>
    </row>
    <row r="55" spans="1:52" x14ac:dyDescent="0.25">
      <c r="A55">
        <v>94</v>
      </c>
      <c r="B55" t="s">
        <v>257</v>
      </c>
      <c r="C55" t="s">
        <v>373</v>
      </c>
      <c r="D55">
        <v>1</v>
      </c>
      <c r="E55">
        <v>419.17</v>
      </c>
      <c r="F55" t="s">
        <v>290</v>
      </c>
      <c r="G55">
        <v>419.17</v>
      </c>
      <c r="H55">
        <v>503.01</v>
      </c>
      <c r="I55" t="s">
        <v>304</v>
      </c>
      <c r="J55" t="s">
        <v>374</v>
      </c>
      <c r="K55" t="s">
        <v>509</v>
      </c>
      <c r="L55" t="s">
        <v>203</v>
      </c>
      <c r="M55" t="s">
        <v>257</v>
      </c>
      <c r="N55" t="s">
        <v>51</v>
      </c>
      <c r="O55" t="s">
        <v>13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257</v>
      </c>
      <c r="AH55" t="s">
        <v>51</v>
      </c>
      <c r="AI55" t="s">
        <v>13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503.01</v>
      </c>
      <c r="AT55">
        <f>$H$55*$Z$55</f>
        <v>503.01</v>
      </c>
      <c r="AU55">
        <f>$H$55*$AA$55</f>
        <v>503.01</v>
      </c>
      <c r="AV55">
        <f>$H$55*$AB$55</f>
        <v>503.01</v>
      </c>
      <c r="AW55">
        <f>$H$55*$AC$55</f>
        <v>503.01</v>
      </c>
      <c r="AX55">
        <f>$H$55*$AD$55</f>
        <v>503.01</v>
      </c>
      <c r="AY55">
        <f>$H$55*$AE$55</f>
        <v>503.01</v>
      </c>
      <c r="AZ55">
        <f>$H$55*$AF$55</f>
        <v>503.01</v>
      </c>
    </row>
    <row r="56" spans="1:52" x14ac:dyDescent="0.25">
      <c r="A56">
        <v>95</v>
      </c>
      <c r="B56" t="s">
        <v>257</v>
      </c>
      <c r="C56" t="s">
        <v>375</v>
      </c>
      <c r="D56">
        <v>1</v>
      </c>
      <c r="E56">
        <v>773</v>
      </c>
      <c r="F56" t="s">
        <v>290</v>
      </c>
      <c r="G56">
        <v>773</v>
      </c>
      <c r="H56">
        <v>927.6</v>
      </c>
      <c r="I56" t="s">
        <v>304</v>
      </c>
      <c r="J56" t="s">
        <v>376</v>
      </c>
      <c r="K56" t="s">
        <v>510</v>
      </c>
      <c r="L56" t="s">
        <v>203</v>
      </c>
      <c r="M56" t="s">
        <v>257</v>
      </c>
      <c r="N56" t="s">
        <v>51</v>
      </c>
      <c r="O56" t="s">
        <v>13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257</v>
      </c>
      <c r="AH56" t="s">
        <v>51</v>
      </c>
      <c r="AI56" t="s">
        <v>13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927.6</v>
      </c>
      <c r="AT56">
        <f>$H$56*$Z$56</f>
        <v>927.6</v>
      </c>
      <c r="AU56">
        <f>$H$56*$AA$56</f>
        <v>927.6</v>
      </c>
      <c r="AV56">
        <f>$H$56*$AB$56</f>
        <v>927.6</v>
      </c>
      <c r="AW56">
        <f>$H$56*$AC$56</f>
        <v>927.6</v>
      </c>
      <c r="AX56">
        <f>$H$56*$AD$56</f>
        <v>927.6</v>
      </c>
      <c r="AY56">
        <f>$H$56*$AE$56</f>
        <v>927.6</v>
      </c>
      <c r="AZ56">
        <f>$H$56*$AF$56</f>
        <v>927.6</v>
      </c>
    </row>
    <row r="57" spans="1:52" x14ac:dyDescent="0.25">
      <c r="A57">
        <v>96</v>
      </c>
      <c r="B57" t="s">
        <v>257</v>
      </c>
      <c r="C57" t="s">
        <v>377</v>
      </c>
      <c r="D57">
        <v>1</v>
      </c>
      <c r="E57">
        <v>34.520000000000003</v>
      </c>
      <c r="F57" t="s">
        <v>290</v>
      </c>
      <c r="G57">
        <v>34.520000000000003</v>
      </c>
      <c r="H57">
        <v>41.42</v>
      </c>
      <c r="I57" t="s">
        <v>317</v>
      </c>
      <c r="J57" t="s">
        <v>378</v>
      </c>
      <c r="K57" t="s">
        <v>511</v>
      </c>
      <c r="L57" t="s">
        <v>203</v>
      </c>
      <c r="M57" t="s">
        <v>257</v>
      </c>
      <c r="N57" t="s">
        <v>51</v>
      </c>
      <c r="O57" t="s">
        <v>13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257</v>
      </c>
      <c r="AH57" t="s">
        <v>51</v>
      </c>
      <c r="AI57" t="s">
        <v>13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41.42</v>
      </c>
      <c r="AV57">
        <f>$H$57*$AB$57</f>
        <v>41.42</v>
      </c>
      <c r="AW57">
        <f>$H$57*$AC$57</f>
        <v>41.42</v>
      </c>
      <c r="AX57">
        <f>$H$57*$AD$57</f>
        <v>41.42</v>
      </c>
      <c r="AY57">
        <f>$H$57*$AE$57</f>
        <v>41.42</v>
      </c>
      <c r="AZ57">
        <f>$H$57*$AF$57</f>
        <v>41.42</v>
      </c>
    </row>
    <row r="58" spans="1:52" x14ac:dyDescent="0.25">
      <c r="A58">
        <v>97</v>
      </c>
      <c r="B58" t="s">
        <v>257</v>
      </c>
      <c r="C58" t="s">
        <v>379</v>
      </c>
      <c r="D58">
        <v>1</v>
      </c>
      <c r="E58">
        <v>357.65</v>
      </c>
      <c r="F58" t="s">
        <v>290</v>
      </c>
      <c r="G58">
        <v>357.65</v>
      </c>
      <c r="H58">
        <v>429.19</v>
      </c>
      <c r="I58" t="s">
        <v>304</v>
      </c>
      <c r="J58" t="s">
        <v>380</v>
      </c>
      <c r="K58" t="s">
        <v>512</v>
      </c>
      <c r="L58" t="s">
        <v>203</v>
      </c>
      <c r="M58" t="s">
        <v>257</v>
      </c>
      <c r="N58" t="s">
        <v>51</v>
      </c>
      <c r="O58" t="s">
        <v>13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257</v>
      </c>
      <c r="AH58" t="s">
        <v>51</v>
      </c>
      <c r="AI58" t="s">
        <v>13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0</v>
      </c>
      <c r="AS58">
        <f>$H$58*$Y$58</f>
        <v>0</v>
      </c>
      <c r="AT58">
        <f>$H$58*$Z$58</f>
        <v>429.19</v>
      </c>
      <c r="AU58">
        <f>$H$58*$AA$58</f>
        <v>429.19</v>
      </c>
      <c r="AV58">
        <f>$H$58*$AB$58</f>
        <v>429.19</v>
      </c>
      <c r="AW58">
        <f>$H$58*$AC$58</f>
        <v>429.19</v>
      </c>
      <c r="AX58">
        <f>$H$58*$AD$58</f>
        <v>429.19</v>
      </c>
      <c r="AY58">
        <f>$H$58*$AE$58</f>
        <v>429.19</v>
      </c>
      <c r="AZ58">
        <f>$H$58*$AF$58</f>
        <v>429.19</v>
      </c>
    </row>
    <row r="59" spans="1:52" x14ac:dyDescent="0.25">
      <c r="A59">
        <v>98</v>
      </c>
      <c r="B59" t="s">
        <v>257</v>
      </c>
      <c r="C59" t="s">
        <v>381</v>
      </c>
      <c r="D59">
        <v>1</v>
      </c>
      <c r="E59">
        <v>259.22000000000003</v>
      </c>
      <c r="F59" t="s">
        <v>290</v>
      </c>
      <c r="G59">
        <v>259.22000000000003</v>
      </c>
      <c r="H59">
        <v>311.06</v>
      </c>
      <c r="I59" t="s">
        <v>304</v>
      </c>
      <c r="J59" t="s">
        <v>382</v>
      </c>
      <c r="K59" t="s">
        <v>513</v>
      </c>
      <c r="L59" t="s">
        <v>203</v>
      </c>
      <c r="M59" t="s">
        <v>257</v>
      </c>
      <c r="N59" t="s">
        <v>51</v>
      </c>
      <c r="O59" t="s">
        <v>13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257</v>
      </c>
      <c r="AH59" t="s">
        <v>51</v>
      </c>
      <c r="AI59" t="s">
        <v>13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311.06</v>
      </c>
      <c r="AV59">
        <f>$H$59*$AB$59</f>
        <v>311.06</v>
      </c>
      <c r="AW59">
        <f>$H$59*$AC$59</f>
        <v>311.06</v>
      </c>
      <c r="AX59">
        <f>$H$59*$AD$59</f>
        <v>311.06</v>
      </c>
      <c r="AY59">
        <f>$H$59*$AE$59</f>
        <v>311.06</v>
      </c>
      <c r="AZ59">
        <f>$H$59*$AF$59</f>
        <v>311.06</v>
      </c>
    </row>
    <row r="60" spans="1:52" x14ac:dyDescent="0.25">
      <c r="A60">
        <v>99</v>
      </c>
      <c r="B60" t="s">
        <v>257</v>
      </c>
      <c r="C60" t="s">
        <v>383</v>
      </c>
      <c r="D60">
        <v>10</v>
      </c>
      <c r="E60">
        <v>65.7</v>
      </c>
      <c r="F60" t="s">
        <v>285</v>
      </c>
      <c r="G60">
        <v>6.57</v>
      </c>
      <c r="H60">
        <v>78.84</v>
      </c>
      <c r="I60" t="s">
        <v>298</v>
      </c>
      <c r="J60" t="s">
        <v>384</v>
      </c>
      <c r="K60" t="s">
        <v>514</v>
      </c>
      <c r="L60" t="s">
        <v>203</v>
      </c>
      <c r="M60" t="s">
        <v>257</v>
      </c>
      <c r="N60" t="s">
        <v>51</v>
      </c>
      <c r="O60" t="s">
        <v>13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1</v>
      </c>
      <c r="AF60">
        <v>1</v>
      </c>
      <c r="AG60" t="s">
        <v>257</v>
      </c>
      <c r="AH60" t="s">
        <v>51</v>
      </c>
      <c r="AI60" t="s">
        <v>13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0</v>
      </c>
      <c r="AV60">
        <f>$H$60*$AB$60</f>
        <v>0</v>
      </c>
      <c r="AW60">
        <f>$H$60*$AC$60</f>
        <v>0</v>
      </c>
      <c r="AX60">
        <f>$H$60*$AD$60</f>
        <v>78.84</v>
      </c>
      <c r="AY60">
        <f>$H$60*$AE$60</f>
        <v>78.84</v>
      </c>
      <c r="AZ60">
        <f>$H$60*$AF$60</f>
        <v>78.84</v>
      </c>
    </row>
    <row r="61" spans="1:52" x14ac:dyDescent="0.25">
      <c r="A61">
        <v>100</v>
      </c>
      <c r="B61" t="s">
        <v>257</v>
      </c>
      <c r="C61" t="s">
        <v>385</v>
      </c>
      <c r="D61">
        <v>1</v>
      </c>
      <c r="E61">
        <v>89.58</v>
      </c>
      <c r="F61" t="s">
        <v>290</v>
      </c>
      <c r="G61">
        <v>89.58</v>
      </c>
      <c r="H61">
        <v>107.5</v>
      </c>
      <c r="I61" t="s">
        <v>298</v>
      </c>
      <c r="J61" t="s">
        <v>386</v>
      </c>
      <c r="K61" t="s">
        <v>515</v>
      </c>
      <c r="L61" t="s">
        <v>203</v>
      </c>
      <c r="M61" t="s">
        <v>257</v>
      </c>
      <c r="N61" t="s">
        <v>51</v>
      </c>
      <c r="O61" t="s">
        <v>13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1</v>
      </c>
      <c r="AF61">
        <v>1</v>
      </c>
      <c r="AG61" t="s">
        <v>257</v>
      </c>
      <c r="AH61" t="s">
        <v>51</v>
      </c>
      <c r="AI61" t="s">
        <v>13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0</v>
      </c>
      <c r="AV61">
        <f>$H$61*$AB$61</f>
        <v>0</v>
      </c>
      <c r="AW61">
        <f>$H$61*$AC$61</f>
        <v>0</v>
      </c>
      <c r="AX61">
        <f>$H$61*$AD$61</f>
        <v>107.5</v>
      </c>
      <c r="AY61">
        <f>$H$61*$AE$61</f>
        <v>107.5</v>
      </c>
      <c r="AZ61">
        <f>$H$61*$AF$61</f>
        <v>107.5</v>
      </c>
    </row>
    <row r="62" spans="1:52" x14ac:dyDescent="0.25">
      <c r="A62">
        <v>101</v>
      </c>
      <c r="B62" t="s">
        <v>257</v>
      </c>
      <c r="C62" t="s">
        <v>387</v>
      </c>
      <c r="D62">
        <v>1</v>
      </c>
      <c r="E62">
        <v>89.45</v>
      </c>
      <c r="F62" t="s">
        <v>290</v>
      </c>
      <c r="G62">
        <v>89.45</v>
      </c>
      <c r="H62">
        <v>107.35</v>
      </c>
      <c r="I62" t="s">
        <v>295</v>
      </c>
      <c r="J62" t="s">
        <v>388</v>
      </c>
      <c r="K62" t="s">
        <v>516</v>
      </c>
      <c r="L62" t="s">
        <v>203</v>
      </c>
      <c r="M62" t="s">
        <v>257</v>
      </c>
      <c r="N62" t="s">
        <v>51</v>
      </c>
      <c r="O62" t="s">
        <v>13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1</v>
      </c>
      <c r="AF62">
        <v>1</v>
      </c>
      <c r="AG62" t="s">
        <v>257</v>
      </c>
      <c r="AH62" t="s">
        <v>51</v>
      </c>
      <c r="AI62" t="s">
        <v>13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0</v>
      </c>
      <c r="AV62">
        <f>$H$62*$AB$62</f>
        <v>0</v>
      </c>
      <c r="AW62">
        <f>$H$62*$AC$62</f>
        <v>0</v>
      </c>
      <c r="AX62">
        <f>$H$62*$AD$62</f>
        <v>107.35</v>
      </c>
      <c r="AY62">
        <f>$H$62*$AE$62</f>
        <v>107.35</v>
      </c>
      <c r="AZ62">
        <f>$H$62*$AF$62</f>
        <v>107.35</v>
      </c>
    </row>
    <row r="63" spans="1:52" x14ac:dyDescent="0.25">
      <c r="A63">
        <v>102</v>
      </c>
      <c r="B63" t="s">
        <v>257</v>
      </c>
      <c r="C63" t="s">
        <v>316</v>
      </c>
      <c r="D63">
        <v>1</v>
      </c>
      <c r="E63">
        <v>40.14</v>
      </c>
      <c r="F63" t="s">
        <v>290</v>
      </c>
      <c r="G63">
        <v>40.14</v>
      </c>
      <c r="H63">
        <v>48.16</v>
      </c>
      <c r="I63" t="s">
        <v>317</v>
      </c>
      <c r="J63" t="s">
        <v>318</v>
      </c>
      <c r="K63" t="s">
        <v>481</v>
      </c>
      <c r="L63" t="s">
        <v>203</v>
      </c>
      <c r="M63" t="s">
        <v>257</v>
      </c>
      <c r="N63" t="s">
        <v>51</v>
      </c>
      <c r="O63" t="s">
        <v>13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257</v>
      </c>
      <c r="AH63" t="s">
        <v>51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48.16</v>
      </c>
      <c r="AU63">
        <f>$H$63*$AA$63</f>
        <v>48.16</v>
      </c>
      <c r="AV63">
        <f>$H$63*$AB$63</f>
        <v>48.16</v>
      </c>
      <c r="AW63">
        <f>$H$63*$AC$63</f>
        <v>48.16</v>
      </c>
      <c r="AX63">
        <f>$H$63*$AD$63</f>
        <v>48.16</v>
      </c>
      <c r="AY63">
        <f>$H$63*$AE$63</f>
        <v>48.16</v>
      </c>
      <c r="AZ63">
        <f>$H$63*$AF$63</f>
        <v>48.16</v>
      </c>
    </row>
    <row r="64" spans="1:52" x14ac:dyDescent="0.25">
      <c r="A64">
        <v>103</v>
      </c>
      <c r="B64" t="s">
        <v>257</v>
      </c>
      <c r="C64" t="s">
        <v>324</v>
      </c>
      <c r="D64">
        <v>2</v>
      </c>
      <c r="E64">
        <v>77.86</v>
      </c>
      <c r="F64" t="s">
        <v>290</v>
      </c>
      <c r="G64">
        <v>38.93</v>
      </c>
      <c r="H64">
        <v>93.44</v>
      </c>
      <c r="I64" t="s">
        <v>286</v>
      </c>
      <c r="J64" t="s">
        <v>320</v>
      </c>
      <c r="K64" t="s">
        <v>484</v>
      </c>
      <c r="L64" t="s">
        <v>203</v>
      </c>
      <c r="M64" t="s">
        <v>257</v>
      </c>
      <c r="N64" t="s">
        <v>51</v>
      </c>
      <c r="O64" t="s">
        <v>13</v>
      </c>
      <c r="P64">
        <v>0</v>
      </c>
      <c r="Q64">
        <v>0</v>
      </c>
      <c r="R64">
        <v>0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257</v>
      </c>
      <c r="AH64" t="s">
        <v>51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93.44</v>
      </c>
      <c r="AN64">
        <f>$H$64*$T$64</f>
        <v>93.44</v>
      </c>
      <c r="AO64">
        <f>$H$64*$U$64</f>
        <v>93.44</v>
      </c>
      <c r="AP64">
        <f>$H$64*$V$64</f>
        <v>93.44</v>
      </c>
      <c r="AQ64">
        <f>$H$64*$W$64</f>
        <v>93.44</v>
      </c>
      <c r="AR64">
        <f>$H$64*$X$64</f>
        <v>93.44</v>
      </c>
      <c r="AS64">
        <f>$H$64*$Y$64</f>
        <v>93.44</v>
      </c>
      <c r="AT64">
        <f>$H$64*$Z$64</f>
        <v>93.44</v>
      </c>
      <c r="AU64">
        <f>$H$64*$AA$64</f>
        <v>93.44</v>
      </c>
      <c r="AV64">
        <f>$H$64*$AB$64</f>
        <v>93.44</v>
      </c>
      <c r="AW64">
        <f>$H$64*$AC$64</f>
        <v>93.44</v>
      </c>
      <c r="AX64">
        <f>$H$64*$AD$64</f>
        <v>93.44</v>
      </c>
      <c r="AY64">
        <f>$H$64*$AE$64</f>
        <v>93.44</v>
      </c>
      <c r="AZ64">
        <f>$H$64*$AF$64</f>
        <v>93.44</v>
      </c>
    </row>
    <row r="65" spans="1:52" x14ac:dyDescent="0.25">
      <c r="A65">
        <v>104</v>
      </c>
      <c r="B65" t="s">
        <v>257</v>
      </c>
      <c r="C65" t="s">
        <v>389</v>
      </c>
      <c r="D65">
        <v>1</v>
      </c>
      <c r="E65">
        <v>292.48</v>
      </c>
      <c r="F65" t="s">
        <v>290</v>
      </c>
      <c r="G65">
        <v>292.48</v>
      </c>
      <c r="H65">
        <v>350.98</v>
      </c>
      <c r="I65" t="s">
        <v>320</v>
      </c>
      <c r="J65" t="s">
        <v>390</v>
      </c>
      <c r="K65" t="s">
        <v>517</v>
      </c>
      <c r="L65" t="s">
        <v>203</v>
      </c>
      <c r="M65" t="s">
        <v>257</v>
      </c>
      <c r="N65" t="s">
        <v>51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257</v>
      </c>
      <c r="AH65" t="s">
        <v>51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350.98</v>
      </c>
      <c r="AO65">
        <f>$H$65*$U$65</f>
        <v>350.98</v>
      </c>
      <c r="AP65">
        <f>$H$65*$V$65</f>
        <v>350.98</v>
      </c>
      <c r="AQ65">
        <f>$H$65*$W$65</f>
        <v>350.98</v>
      </c>
      <c r="AR65">
        <f>$H$65*$X$65</f>
        <v>350.98</v>
      </c>
      <c r="AS65">
        <f>$H$65*$Y$65</f>
        <v>350.98</v>
      </c>
      <c r="AT65">
        <f>$H$65*$Z$65</f>
        <v>350.98</v>
      </c>
      <c r="AU65">
        <f>$H$65*$AA$65</f>
        <v>350.98</v>
      </c>
      <c r="AV65">
        <f>$H$65*$AB$65</f>
        <v>350.98</v>
      </c>
      <c r="AW65">
        <f>$H$65*$AC$65</f>
        <v>350.98</v>
      </c>
      <c r="AX65">
        <f>$H$65*$AD$65</f>
        <v>350.98</v>
      </c>
      <c r="AY65">
        <f>$H$65*$AE$65</f>
        <v>350.98</v>
      </c>
      <c r="AZ65">
        <f>$H$65*$AF$65</f>
        <v>350.98</v>
      </c>
    </row>
    <row r="66" spans="1:52" x14ac:dyDescent="0.25">
      <c r="A66">
        <v>105</v>
      </c>
      <c r="B66" t="s">
        <v>257</v>
      </c>
      <c r="C66" t="s">
        <v>391</v>
      </c>
      <c r="D66">
        <v>1</v>
      </c>
      <c r="E66">
        <v>37</v>
      </c>
      <c r="F66" t="s">
        <v>290</v>
      </c>
      <c r="G66">
        <v>37</v>
      </c>
      <c r="H66">
        <v>44.4</v>
      </c>
      <c r="I66" t="s">
        <v>292</v>
      </c>
      <c r="J66" t="s">
        <v>392</v>
      </c>
      <c r="K66" t="s">
        <v>518</v>
      </c>
      <c r="L66" t="s">
        <v>203</v>
      </c>
      <c r="M66" t="s">
        <v>257</v>
      </c>
      <c r="N66" t="s">
        <v>51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0.6</v>
      </c>
      <c r="Y66">
        <v>0.6</v>
      </c>
      <c r="Z66">
        <v>0.6</v>
      </c>
      <c r="AA66">
        <v>0.6</v>
      </c>
      <c r="AB66">
        <v>0.6</v>
      </c>
      <c r="AC66">
        <v>0.6</v>
      </c>
      <c r="AD66">
        <v>1</v>
      </c>
      <c r="AE66">
        <v>1</v>
      </c>
      <c r="AF66">
        <v>1</v>
      </c>
      <c r="AG66" t="s">
        <v>257</v>
      </c>
      <c r="AH66" t="s">
        <v>51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26.639999999999997</v>
      </c>
      <c r="AS66">
        <f>$H$66*$Y$66</f>
        <v>26.639999999999997</v>
      </c>
      <c r="AT66">
        <f>$H$66*$Z$66</f>
        <v>26.639999999999997</v>
      </c>
      <c r="AU66">
        <f>$H$66*$AA$66</f>
        <v>26.639999999999997</v>
      </c>
      <c r="AV66">
        <f>$H$66*$AB$66</f>
        <v>26.639999999999997</v>
      </c>
      <c r="AW66">
        <f>$H$66*$AC$66</f>
        <v>26.639999999999997</v>
      </c>
      <c r="AX66">
        <f>$H$66*$AD$66</f>
        <v>44.4</v>
      </c>
      <c r="AY66">
        <f>$H$66*$AE$66</f>
        <v>44.4</v>
      </c>
      <c r="AZ66">
        <f>$H$66*$AF$66</f>
        <v>44.4</v>
      </c>
    </row>
    <row r="67" spans="1:52" x14ac:dyDescent="0.25">
      <c r="A67">
        <v>106</v>
      </c>
      <c r="B67" t="s">
        <v>257</v>
      </c>
      <c r="C67" t="s">
        <v>393</v>
      </c>
      <c r="D67">
        <v>3</v>
      </c>
      <c r="E67">
        <v>448.2</v>
      </c>
      <c r="F67" t="s">
        <v>285</v>
      </c>
      <c r="G67">
        <v>149.4</v>
      </c>
      <c r="H67">
        <v>537.84</v>
      </c>
      <c r="I67" t="s">
        <v>394</v>
      </c>
      <c r="J67" t="s">
        <v>395</v>
      </c>
      <c r="K67" t="s">
        <v>519</v>
      </c>
      <c r="L67" t="s">
        <v>203</v>
      </c>
      <c r="M67" t="s">
        <v>257</v>
      </c>
      <c r="N67" t="s">
        <v>51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257</v>
      </c>
      <c r="AH67" t="s">
        <v>51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537.84</v>
      </c>
      <c r="AO67">
        <f>$H$67*$U$67</f>
        <v>537.84</v>
      </c>
      <c r="AP67">
        <f>$H$67*$V$67</f>
        <v>537.84</v>
      </c>
      <c r="AQ67">
        <f>$H$67*$W$67</f>
        <v>537.84</v>
      </c>
      <c r="AR67">
        <f>$H$67*$X$67</f>
        <v>537.84</v>
      </c>
      <c r="AS67">
        <f>$H$67*$Y$67</f>
        <v>537.84</v>
      </c>
      <c r="AT67">
        <f>$H$67*$Z$67</f>
        <v>537.84</v>
      </c>
      <c r="AU67">
        <f>$H$67*$AA$67</f>
        <v>537.84</v>
      </c>
      <c r="AV67">
        <f>$H$67*$AB$67</f>
        <v>537.84</v>
      </c>
      <c r="AW67">
        <f>$H$67*$AC$67</f>
        <v>537.84</v>
      </c>
      <c r="AX67">
        <f>$H$67*$AD$67</f>
        <v>537.84</v>
      </c>
      <c r="AY67">
        <f>$H$67*$AE$67</f>
        <v>537.84</v>
      </c>
      <c r="AZ67">
        <f>$H$67*$AF$67</f>
        <v>537.84</v>
      </c>
    </row>
    <row r="68" spans="1:52" x14ac:dyDescent="0.25">
      <c r="A68">
        <v>107</v>
      </c>
      <c r="B68" t="s">
        <v>257</v>
      </c>
      <c r="C68" t="s">
        <v>396</v>
      </c>
      <c r="D68">
        <v>3</v>
      </c>
      <c r="E68">
        <v>28.92</v>
      </c>
      <c r="F68" t="s">
        <v>285</v>
      </c>
      <c r="G68">
        <v>9.64</v>
      </c>
      <c r="H68">
        <v>34.700000000000003</v>
      </c>
      <c r="I68" t="s">
        <v>394</v>
      </c>
      <c r="J68" t="s">
        <v>397</v>
      </c>
      <c r="K68" t="s">
        <v>520</v>
      </c>
      <c r="L68" t="s">
        <v>203</v>
      </c>
      <c r="M68" t="s">
        <v>257</v>
      </c>
      <c r="N68" t="s">
        <v>51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257</v>
      </c>
      <c r="AH68" t="s">
        <v>51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34.700000000000003</v>
      </c>
      <c r="AU68">
        <f>$H$68*$AA$68</f>
        <v>34.700000000000003</v>
      </c>
      <c r="AV68">
        <f>$H$68*$AB$68</f>
        <v>34.700000000000003</v>
      </c>
      <c r="AW68">
        <f>$H$68*$AC$68</f>
        <v>34.700000000000003</v>
      </c>
      <c r="AX68">
        <f>$H$68*$AD$68</f>
        <v>34.700000000000003</v>
      </c>
      <c r="AY68">
        <f>$H$68*$AE$68</f>
        <v>34.700000000000003</v>
      </c>
      <c r="AZ68">
        <f>$H$68*$AF$68</f>
        <v>34.700000000000003</v>
      </c>
    </row>
    <row r="69" spans="1:52" x14ac:dyDescent="0.25">
      <c r="A69">
        <v>108</v>
      </c>
      <c r="B69" t="s">
        <v>257</v>
      </c>
      <c r="C69" t="s">
        <v>398</v>
      </c>
      <c r="D69">
        <v>3</v>
      </c>
      <c r="E69">
        <v>112.11</v>
      </c>
      <c r="F69" t="s">
        <v>285</v>
      </c>
      <c r="G69">
        <v>37.369999999999997</v>
      </c>
      <c r="H69">
        <v>134.53</v>
      </c>
      <c r="I69" t="s">
        <v>394</v>
      </c>
      <c r="J69" t="s">
        <v>399</v>
      </c>
      <c r="K69" t="s">
        <v>521</v>
      </c>
      <c r="L69" t="s">
        <v>203</v>
      </c>
      <c r="M69" t="s">
        <v>257</v>
      </c>
      <c r="N69" t="s">
        <v>51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257</v>
      </c>
      <c r="AH69" t="s">
        <v>51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134.53</v>
      </c>
      <c r="AU69">
        <f>$H$69*$AA$69</f>
        <v>134.53</v>
      </c>
      <c r="AV69">
        <f>$H$69*$AB$69</f>
        <v>134.53</v>
      </c>
      <c r="AW69">
        <f>$H$69*$AC$69</f>
        <v>134.53</v>
      </c>
      <c r="AX69">
        <f>$H$69*$AD$69</f>
        <v>134.53</v>
      </c>
      <c r="AY69">
        <f>$H$69*$AE$69</f>
        <v>134.53</v>
      </c>
      <c r="AZ69">
        <f>$H$69*$AF$69</f>
        <v>134.53</v>
      </c>
    </row>
    <row r="70" spans="1:52" x14ac:dyDescent="0.25">
      <c r="A70">
        <v>109</v>
      </c>
      <c r="B70" t="s">
        <v>257</v>
      </c>
      <c r="C70" t="s">
        <v>400</v>
      </c>
      <c r="D70">
        <v>1</v>
      </c>
      <c r="E70">
        <v>176.94</v>
      </c>
      <c r="F70" t="s">
        <v>290</v>
      </c>
      <c r="G70">
        <v>176.94</v>
      </c>
      <c r="H70">
        <v>212.32</v>
      </c>
      <c r="I70" t="s">
        <v>304</v>
      </c>
      <c r="J70" t="s">
        <v>401</v>
      </c>
      <c r="K70" t="s">
        <v>522</v>
      </c>
      <c r="L70" t="s">
        <v>203</v>
      </c>
      <c r="M70" t="s">
        <v>257</v>
      </c>
      <c r="N70" t="s">
        <v>51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257</v>
      </c>
      <c r="AH70" t="s">
        <v>51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212.32</v>
      </c>
      <c r="AV70">
        <f>$H$70*$AB$70</f>
        <v>212.32</v>
      </c>
      <c r="AW70">
        <f>$H$70*$AC$70</f>
        <v>212.32</v>
      </c>
      <c r="AX70">
        <f>$H$70*$AD$70</f>
        <v>212.32</v>
      </c>
      <c r="AY70">
        <f>$H$70*$AE$70</f>
        <v>212.32</v>
      </c>
      <c r="AZ70">
        <f>$H$70*$AF$70</f>
        <v>212.32</v>
      </c>
    </row>
    <row r="71" spans="1:52" x14ac:dyDescent="0.25">
      <c r="A71">
        <v>110</v>
      </c>
      <c r="B71" t="s">
        <v>257</v>
      </c>
      <c r="C71" t="s">
        <v>369</v>
      </c>
      <c r="D71">
        <v>0.75</v>
      </c>
      <c r="E71">
        <v>412.99</v>
      </c>
      <c r="F71" t="s">
        <v>290</v>
      </c>
      <c r="G71">
        <v>550.65</v>
      </c>
      <c r="H71">
        <v>495.59</v>
      </c>
      <c r="I71" t="s">
        <v>304</v>
      </c>
      <c r="J71" t="s">
        <v>370</v>
      </c>
      <c r="K71" t="s">
        <v>507</v>
      </c>
      <c r="L71" t="s">
        <v>203</v>
      </c>
      <c r="M71" t="s">
        <v>257</v>
      </c>
      <c r="N71" t="s">
        <v>51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257</v>
      </c>
      <c r="AH71" t="s">
        <v>51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495.59</v>
      </c>
      <c r="AV71">
        <f>$H$71*$AB$71</f>
        <v>495.59</v>
      </c>
      <c r="AW71">
        <f>$H$71*$AC$71</f>
        <v>495.59</v>
      </c>
      <c r="AX71">
        <f>$H$71*$AD$71</f>
        <v>495.59</v>
      </c>
      <c r="AY71">
        <f>$H$71*$AE$71</f>
        <v>495.59</v>
      </c>
      <c r="AZ71">
        <f>$H$71*$AF$71</f>
        <v>495.59</v>
      </c>
    </row>
    <row r="72" spans="1:52" x14ac:dyDescent="0.25">
      <c r="A72">
        <v>111</v>
      </c>
      <c r="B72" t="s">
        <v>257</v>
      </c>
      <c r="C72" t="s">
        <v>369</v>
      </c>
      <c r="D72">
        <v>0.25</v>
      </c>
      <c r="E72">
        <v>137.66</v>
      </c>
      <c r="F72" t="s">
        <v>290</v>
      </c>
      <c r="G72">
        <v>550.65</v>
      </c>
      <c r="H72">
        <v>165.2</v>
      </c>
      <c r="I72" t="s">
        <v>304</v>
      </c>
      <c r="J72" t="s">
        <v>370</v>
      </c>
      <c r="K72" t="s">
        <v>507</v>
      </c>
      <c r="L72" t="s">
        <v>203</v>
      </c>
      <c r="M72" t="s">
        <v>257</v>
      </c>
      <c r="N72" t="s">
        <v>51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257</v>
      </c>
      <c r="AH72" t="s">
        <v>51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165.2</v>
      </c>
      <c r="AV72">
        <f>$H$72*$AB$72</f>
        <v>165.2</v>
      </c>
      <c r="AW72">
        <f>$H$72*$AC$72</f>
        <v>165.2</v>
      </c>
      <c r="AX72">
        <f>$H$72*$AD$72</f>
        <v>165.2</v>
      </c>
      <c r="AY72">
        <f>$H$72*$AE$72</f>
        <v>165.2</v>
      </c>
      <c r="AZ72">
        <f>$H$72*$AF$72</f>
        <v>165.2</v>
      </c>
    </row>
    <row r="73" spans="1:52" x14ac:dyDescent="0.25">
      <c r="A73">
        <v>112</v>
      </c>
      <c r="B73" t="s">
        <v>257</v>
      </c>
      <c r="C73" t="s">
        <v>402</v>
      </c>
      <c r="D73">
        <v>1</v>
      </c>
      <c r="E73">
        <v>198.39</v>
      </c>
      <c r="F73" t="s">
        <v>290</v>
      </c>
      <c r="G73">
        <v>198.39</v>
      </c>
      <c r="H73">
        <v>238.07</v>
      </c>
      <c r="I73" t="s">
        <v>304</v>
      </c>
      <c r="J73" t="s">
        <v>403</v>
      </c>
      <c r="K73" t="s">
        <v>523</v>
      </c>
      <c r="L73" t="s">
        <v>203</v>
      </c>
      <c r="M73" t="s">
        <v>257</v>
      </c>
      <c r="N73" t="s">
        <v>51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257</v>
      </c>
      <c r="AH73" t="s">
        <v>51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238.07</v>
      </c>
      <c r="AV73">
        <f>$H$73*$AB$73</f>
        <v>238.07</v>
      </c>
      <c r="AW73">
        <f>$H$73*$AC$73</f>
        <v>238.07</v>
      </c>
      <c r="AX73">
        <f>$H$73*$AD$73</f>
        <v>238.07</v>
      </c>
      <c r="AY73">
        <f>$H$73*$AE$73</f>
        <v>238.07</v>
      </c>
      <c r="AZ73">
        <f>$H$73*$AF$73</f>
        <v>238.07</v>
      </c>
    </row>
    <row r="74" spans="1:52" x14ac:dyDescent="0.25">
      <c r="A74">
        <v>113</v>
      </c>
      <c r="B74" t="s">
        <v>257</v>
      </c>
      <c r="C74" t="s">
        <v>311</v>
      </c>
      <c r="D74">
        <v>188</v>
      </c>
      <c r="E74">
        <v>184.24</v>
      </c>
      <c r="F74" t="s">
        <v>303</v>
      </c>
      <c r="G74">
        <v>0.98</v>
      </c>
      <c r="H74">
        <v>221.08</v>
      </c>
      <c r="I74" t="s">
        <v>286</v>
      </c>
      <c r="J74" t="s">
        <v>312</v>
      </c>
      <c r="K74" t="s">
        <v>479</v>
      </c>
      <c r="L74" t="s">
        <v>203</v>
      </c>
      <c r="M74" t="s">
        <v>257</v>
      </c>
      <c r="N74" t="s">
        <v>51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257</v>
      </c>
      <c r="AH74" t="s">
        <v>51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221.08</v>
      </c>
      <c r="AO74">
        <f>$H$74*$U$74</f>
        <v>221.08</v>
      </c>
      <c r="AP74">
        <f>$H$74*$V$74</f>
        <v>221.08</v>
      </c>
      <c r="AQ74">
        <f>$H$74*$W$74</f>
        <v>221.08</v>
      </c>
      <c r="AR74">
        <f>$H$74*$X$74</f>
        <v>221.08</v>
      </c>
      <c r="AS74">
        <f>$H$74*$Y$74</f>
        <v>221.08</v>
      </c>
      <c r="AT74">
        <f>$H$74*$Z$74</f>
        <v>221.08</v>
      </c>
      <c r="AU74">
        <f>$H$74*$AA$74</f>
        <v>221.08</v>
      </c>
      <c r="AV74">
        <f>$H$74*$AB$74</f>
        <v>221.08</v>
      </c>
      <c r="AW74">
        <f>$H$74*$AC$74</f>
        <v>221.08</v>
      </c>
      <c r="AX74">
        <f>$H$74*$AD$74</f>
        <v>221.08</v>
      </c>
      <c r="AY74">
        <f>$H$74*$AE$74</f>
        <v>221.08</v>
      </c>
      <c r="AZ74">
        <f>$H$74*$AF$74</f>
        <v>221.08</v>
      </c>
    </row>
    <row r="75" spans="1:52" x14ac:dyDescent="0.25">
      <c r="A75">
        <v>114</v>
      </c>
      <c r="B75" t="s">
        <v>257</v>
      </c>
      <c r="C75" t="s">
        <v>404</v>
      </c>
      <c r="D75">
        <v>188</v>
      </c>
      <c r="E75">
        <v>501.96</v>
      </c>
      <c r="F75" t="s">
        <v>303</v>
      </c>
      <c r="G75">
        <v>2.67</v>
      </c>
      <c r="H75">
        <v>602.36</v>
      </c>
      <c r="I75" t="s">
        <v>314</v>
      </c>
      <c r="J75" t="s">
        <v>405</v>
      </c>
      <c r="K75" t="s">
        <v>524</v>
      </c>
      <c r="L75" t="s">
        <v>203</v>
      </c>
      <c r="M75" t="s">
        <v>257</v>
      </c>
      <c r="N75" t="s">
        <v>51</v>
      </c>
      <c r="O75" t="s">
        <v>13</v>
      </c>
      <c r="P75">
        <v>0</v>
      </c>
      <c r="Q75">
        <v>0</v>
      </c>
      <c r="R75">
        <v>0</v>
      </c>
      <c r="S75">
        <v>0.25</v>
      </c>
      <c r="T75">
        <v>0.25</v>
      </c>
      <c r="U75">
        <v>0.25</v>
      </c>
      <c r="V75">
        <v>0.25</v>
      </c>
      <c r="W75">
        <v>0.25</v>
      </c>
      <c r="X75">
        <v>0.5</v>
      </c>
      <c r="Y75">
        <v>0.5</v>
      </c>
      <c r="Z75">
        <v>0.5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257</v>
      </c>
      <c r="AH75" t="s">
        <v>51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150.59</v>
      </c>
      <c r="AN75">
        <f>$H$75*$T$75</f>
        <v>150.59</v>
      </c>
      <c r="AO75">
        <f>$H$75*$U$75</f>
        <v>150.59</v>
      </c>
      <c r="AP75">
        <f>$H$75*$V$75</f>
        <v>150.59</v>
      </c>
      <c r="AQ75">
        <f>$H$75*$W$75</f>
        <v>150.59</v>
      </c>
      <c r="AR75">
        <f>$H$75*$X$75</f>
        <v>301.18</v>
      </c>
      <c r="AS75">
        <f>$H$75*$Y$75</f>
        <v>301.18</v>
      </c>
      <c r="AT75">
        <f>$H$75*$Z$75</f>
        <v>301.18</v>
      </c>
      <c r="AU75">
        <f>$H$75*$AA$75</f>
        <v>602.36</v>
      </c>
      <c r="AV75">
        <f>$H$75*$AB$75</f>
        <v>602.36</v>
      </c>
      <c r="AW75">
        <f>$H$75*$AC$75</f>
        <v>602.36</v>
      </c>
      <c r="AX75">
        <f>$H$75*$AD$75</f>
        <v>602.36</v>
      </c>
      <c r="AY75">
        <f>$H$75*$AE$75</f>
        <v>602.36</v>
      </c>
      <c r="AZ75">
        <f>$H$75*$AF$75</f>
        <v>602.36</v>
      </c>
    </row>
    <row r="76" spans="1:52" x14ac:dyDescent="0.25">
      <c r="A76">
        <v>115</v>
      </c>
      <c r="B76" t="s">
        <v>257</v>
      </c>
      <c r="C76" t="s">
        <v>406</v>
      </c>
      <c r="D76">
        <v>11.75</v>
      </c>
      <c r="E76">
        <v>10.69</v>
      </c>
      <c r="F76" t="s">
        <v>285</v>
      </c>
      <c r="G76">
        <v>0.91</v>
      </c>
      <c r="H76">
        <v>12.83</v>
      </c>
      <c r="I76" t="s">
        <v>286</v>
      </c>
      <c r="J76" t="s">
        <v>407</v>
      </c>
      <c r="K76" t="s">
        <v>525</v>
      </c>
      <c r="L76" t="s">
        <v>203</v>
      </c>
      <c r="M76" t="s">
        <v>257</v>
      </c>
      <c r="N76" t="s">
        <v>51</v>
      </c>
      <c r="O76" t="s">
        <v>13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257</v>
      </c>
      <c r="AH76" t="s">
        <v>51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12.83</v>
      </c>
      <c r="AN76">
        <f>$H$76*$T$76</f>
        <v>12.83</v>
      </c>
      <c r="AO76">
        <f>$H$76*$U$76</f>
        <v>12.83</v>
      </c>
      <c r="AP76">
        <f>$H$76*$V$76</f>
        <v>12.83</v>
      </c>
      <c r="AQ76">
        <f>$H$76*$W$76</f>
        <v>12.83</v>
      </c>
      <c r="AR76">
        <f>$H$76*$X$76</f>
        <v>12.83</v>
      </c>
      <c r="AS76">
        <f>$H$76*$Y$76</f>
        <v>12.83</v>
      </c>
      <c r="AT76">
        <f>$H$76*$Z$76</f>
        <v>12.83</v>
      </c>
      <c r="AU76">
        <f>$H$76*$AA$76</f>
        <v>12.83</v>
      </c>
      <c r="AV76">
        <f>$H$76*$AB$76</f>
        <v>12.83</v>
      </c>
      <c r="AW76">
        <f>$H$76*$AC$76</f>
        <v>12.83</v>
      </c>
      <c r="AX76">
        <f>$H$76*$AD$76</f>
        <v>12.83</v>
      </c>
      <c r="AY76">
        <f>$H$76*$AE$76</f>
        <v>12.83</v>
      </c>
      <c r="AZ76">
        <f>$H$76*$AF$76</f>
        <v>12.83</v>
      </c>
    </row>
    <row r="77" spans="1:52" x14ac:dyDescent="0.25">
      <c r="A77">
        <v>116</v>
      </c>
      <c r="B77" t="s">
        <v>257</v>
      </c>
      <c r="C77" t="s">
        <v>408</v>
      </c>
      <c r="D77">
        <v>11.75</v>
      </c>
      <c r="E77">
        <v>60.16</v>
      </c>
      <c r="F77" t="s">
        <v>285</v>
      </c>
      <c r="G77">
        <v>5.12</v>
      </c>
      <c r="H77">
        <v>72.2</v>
      </c>
      <c r="I77" t="s">
        <v>289</v>
      </c>
      <c r="J77" t="s">
        <v>409</v>
      </c>
      <c r="K77" t="s">
        <v>526</v>
      </c>
      <c r="L77" t="s">
        <v>203</v>
      </c>
      <c r="M77" t="s">
        <v>257</v>
      </c>
      <c r="N77" t="s">
        <v>51</v>
      </c>
      <c r="O77" t="s">
        <v>13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257</v>
      </c>
      <c r="AH77" t="s">
        <v>51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72.2</v>
      </c>
      <c r="AN77">
        <f>$H$77*$T$77</f>
        <v>72.2</v>
      </c>
      <c r="AO77">
        <f>$H$77*$U$77</f>
        <v>72.2</v>
      </c>
      <c r="AP77">
        <f>$H$77*$V$77</f>
        <v>72.2</v>
      </c>
      <c r="AQ77">
        <f>$H$77*$W$77</f>
        <v>72.2</v>
      </c>
      <c r="AR77">
        <f>$H$77*$X$77</f>
        <v>72.2</v>
      </c>
      <c r="AS77">
        <f>$H$77*$Y$77</f>
        <v>72.2</v>
      </c>
      <c r="AT77">
        <f>$H$77*$Z$77</f>
        <v>72.2</v>
      </c>
      <c r="AU77">
        <f>$H$77*$AA$77</f>
        <v>72.2</v>
      </c>
      <c r="AV77">
        <f>$H$77*$AB$77</f>
        <v>72.2</v>
      </c>
      <c r="AW77">
        <f>$H$77*$AC$77</f>
        <v>72.2</v>
      </c>
      <c r="AX77">
        <f>$H$77*$AD$77</f>
        <v>72.2</v>
      </c>
      <c r="AY77">
        <f>$H$77*$AE$77</f>
        <v>72.2</v>
      </c>
      <c r="AZ77">
        <f>$H$77*$AF$77</f>
        <v>72.2</v>
      </c>
    </row>
    <row r="78" spans="1:52" x14ac:dyDescent="0.25">
      <c r="A78">
        <v>117</v>
      </c>
      <c r="B78" t="s">
        <v>257</v>
      </c>
      <c r="C78" t="s">
        <v>404</v>
      </c>
      <c r="D78">
        <v>32.630000000000003</v>
      </c>
      <c r="E78">
        <v>87.12</v>
      </c>
      <c r="F78" t="s">
        <v>303</v>
      </c>
      <c r="G78">
        <v>2.67</v>
      </c>
      <c r="H78">
        <v>104.54</v>
      </c>
      <c r="I78" t="s">
        <v>314</v>
      </c>
      <c r="J78" t="s">
        <v>405</v>
      </c>
      <c r="K78" t="s">
        <v>524</v>
      </c>
      <c r="L78" t="s">
        <v>203</v>
      </c>
      <c r="M78" t="s">
        <v>257</v>
      </c>
      <c r="N78" t="s">
        <v>51</v>
      </c>
      <c r="O78" t="s">
        <v>13</v>
      </c>
      <c r="P78">
        <v>0</v>
      </c>
      <c r="Q78">
        <v>0</v>
      </c>
      <c r="R78">
        <v>0</v>
      </c>
      <c r="S78">
        <v>0.25</v>
      </c>
      <c r="T78">
        <v>0.25</v>
      </c>
      <c r="U78">
        <v>0.25</v>
      </c>
      <c r="V78">
        <v>0.25</v>
      </c>
      <c r="W78">
        <v>0.25</v>
      </c>
      <c r="X78">
        <v>0.5</v>
      </c>
      <c r="Y78">
        <v>0.5</v>
      </c>
      <c r="Z78">
        <v>0.5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257</v>
      </c>
      <c r="AH78" t="s">
        <v>51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26.135000000000002</v>
      </c>
      <c r="AN78">
        <f>$H$78*$T$78</f>
        <v>26.135000000000002</v>
      </c>
      <c r="AO78">
        <f>$H$78*$U$78</f>
        <v>26.135000000000002</v>
      </c>
      <c r="AP78">
        <f>$H$78*$V$78</f>
        <v>26.135000000000002</v>
      </c>
      <c r="AQ78">
        <f>$H$78*$W$78</f>
        <v>26.135000000000002</v>
      </c>
      <c r="AR78">
        <f>$H$78*$X$78</f>
        <v>52.27</v>
      </c>
      <c r="AS78">
        <f>$H$78*$Y$78</f>
        <v>52.27</v>
      </c>
      <c r="AT78">
        <f>$H$78*$Z$78</f>
        <v>52.27</v>
      </c>
      <c r="AU78">
        <f>$H$78*$AA$78</f>
        <v>104.54</v>
      </c>
      <c r="AV78">
        <f>$H$78*$AB$78</f>
        <v>104.54</v>
      </c>
      <c r="AW78">
        <f>$H$78*$AC$78</f>
        <v>104.54</v>
      </c>
      <c r="AX78">
        <f>$H$78*$AD$78</f>
        <v>104.54</v>
      </c>
      <c r="AY78">
        <f>$H$78*$AE$78</f>
        <v>104.54</v>
      </c>
      <c r="AZ78">
        <f>$H$78*$AF$78</f>
        <v>104.54</v>
      </c>
    </row>
    <row r="79" spans="1:52" x14ac:dyDescent="0.25">
      <c r="A79">
        <v>118</v>
      </c>
      <c r="B79" t="s">
        <v>257</v>
      </c>
      <c r="C79" t="s">
        <v>410</v>
      </c>
      <c r="D79">
        <v>32.630000000000003</v>
      </c>
      <c r="E79">
        <v>20.56</v>
      </c>
      <c r="F79" t="s">
        <v>303</v>
      </c>
      <c r="G79">
        <v>0.63</v>
      </c>
      <c r="H79">
        <v>24.68</v>
      </c>
      <c r="I79" t="s">
        <v>286</v>
      </c>
      <c r="J79" t="s">
        <v>411</v>
      </c>
      <c r="K79" t="s">
        <v>527</v>
      </c>
      <c r="L79" t="s">
        <v>203</v>
      </c>
      <c r="M79" t="s">
        <v>257</v>
      </c>
      <c r="N79" t="s">
        <v>51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1</v>
      </c>
      <c r="AF79">
        <v>1</v>
      </c>
      <c r="AG79" t="s">
        <v>257</v>
      </c>
      <c r="AH79" t="s">
        <v>51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0</v>
      </c>
      <c r="AV79">
        <f>$H$79*$AB$79</f>
        <v>0</v>
      </c>
      <c r="AW79">
        <f>$H$79*$AC$79</f>
        <v>0</v>
      </c>
      <c r="AX79">
        <f>$H$79*$AD$79</f>
        <v>24.68</v>
      </c>
      <c r="AY79">
        <f>$H$79*$AE$79</f>
        <v>24.68</v>
      </c>
      <c r="AZ79">
        <f>$H$79*$AF$79</f>
        <v>24.68</v>
      </c>
    </row>
    <row r="80" spans="1:52" x14ac:dyDescent="0.25">
      <c r="A80">
        <v>119</v>
      </c>
      <c r="B80" t="s">
        <v>257</v>
      </c>
      <c r="C80" t="s">
        <v>412</v>
      </c>
      <c r="D80">
        <v>32.630000000000003</v>
      </c>
      <c r="E80">
        <v>22.51</v>
      </c>
      <c r="F80" t="s">
        <v>303</v>
      </c>
      <c r="G80">
        <v>0.69</v>
      </c>
      <c r="H80">
        <v>27.01</v>
      </c>
      <c r="I80" t="s">
        <v>286</v>
      </c>
      <c r="J80" t="s">
        <v>413</v>
      </c>
      <c r="K80" t="s">
        <v>528</v>
      </c>
      <c r="L80" t="s">
        <v>203</v>
      </c>
      <c r="M80" t="s">
        <v>257</v>
      </c>
      <c r="N80" t="s">
        <v>51</v>
      </c>
      <c r="O80" t="s">
        <v>13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257</v>
      </c>
      <c r="AH80" t="s">
        <v>51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27.01</v>
      </c>
      <c r="AN80">
        <f>$H$80*$T$80</f>
        <v>27.01</v>
      </c>
      <c r="AO80">
        <f>$H$80*$U$80</f>
        <v>27.01</v>
      </c>
      <c r="AP80">
        <f>$H$80*$V$80</f>
        <v>27.01</v>
      </c>
      <c r="AQ80">
        <f>$H$80*$W$80</f>
        <v>27.01</v>
      </c>
      <c r="AR80">
        <f>$H$80*$X$80</f>
        <v>27.01</v>
      </c>
      <c r="AS80">
        <f>$H$80*$Y$80</f>
        <v>27.01</v>
      </c>
      <c r="AT80">
        <f>$H$80*$Z$80</f>
        <v>27.01</v>
      </c>
      <c r="AU80">
        <f>$H$80*$AA$80</f>
        <v>27.01</v>
      </c>
      <c r="AV80">
        <f>$H$80*$AB$80</f>
        <v>27.01</v>
      </c>
      <c r="AW80">
        <f>$H$80*$AC$80</f>
        <v>27.01</v>
      </c>
      <c r="AX80">
        <f>$H$80*$AD$80</f>
        <v>27.01</v>
      </c>
      <c r="AY80">
        <f>$H$80*$AE$80</f>
        <v>27.01</v>
      </c>
      <c r="AZ80">
        <f>$H$80*$AF$80</f>
        <v>27.01</v>
      </c>
    </row>
    <row r="81" spans="1:52" x14ac:dyDescent="0.25">
      <c r="A81">
        <v>120</v>
      </c>
      <c r="B81" t="s">
        <v>257</v>
      </c>
      <c r="C81" t="s">
        <v>414</v>
      </c>
      <c r="D81">
        <v>7.5</v>
      </c>
      <c r="E81">
        <v>30.23</v>
      </c>
      <c r="F81" t="s">
        <v>303</v>
      </c>
      <c r="G81">
        <v>4.03</v>
      </c>
      <c r="H81">
        <v>36.270000000000003</v>
      </c>
      <c r="I81" t="s">
        <v>415</v>
      </c>
      <c r="J81" t="s">
        <v>416</v>
      </c>
      <c r="K81" t="s">
        <v>529</v>
      </c>
      <c r="L81" t="s">
        <v>203</v>
      </c>
      <c r="M81" t="s">
        <v>257</v>
      </c>
      <c r="N81" t="s">
        <v>51</v>
      </c>
      <c r="O81" t="s">
        <v>13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257</v>
      </c>
      <c r="AH81" t="s">
        <v>51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36.270000000000003</v>
      </c>
      <c r="AN81">
        <f>$H$81*$T$81</f>
        <v>36.270000000000003</v>
      </c>
      <c r="AO81">
        <f>$H$81*$U$81</f>
        <v>36.270000000000003</v>
      </c>
      <c r="AP81">
        <f>$H$81*$V$81</f>
        <v>36.270000000000003</v>
      </c>
      <c r="AQ81">
        <f>$H$81*$W$81</f>
        <v>36.270000000000003</v>
      </c>
      <c r="AR81">
        <f>$H$81*$X$81</f>
        <v>36.270000000000003</v>
      </c>
      <c r="AS81">
        <f>$H$81*$Y$81</f>
        <v>36.270000000000003</v>
      </c>
      <c r="AT81">
        <f>$H$81*$Z$81</f>
        <v>36.270000000000003</v>
      </c>
      <c r="AU81">
        <f>$H$81*$AA$81</f>
        <v>36.270000000000003</v>
      </c>
      <c r="AV81">
        <f>$H$81*$AB$81</f>
        <v>36.270000000000003</v>
      </c>
      <c r="AW81">
        <f>$H$81*$AC$81</f>
        <v>36.270000000000003</v>
      </c>
      <c r="AX81">
        <f>$H$81*$AD$81</f>
        <v>36.270000000000003</v>
      </c>
      <c r="AY81">
        <f>$H$81*$AE$81</f>
        <v>36.270000000000003</v>
      </c>
      <c r="AZ81">
        <f>$H$81*$AF$81</f>
        <v>36.270000000000003</v>
      </c>
    </row>
    <row r="82" spans="1:52" x14ac:dyDescent="0.25">
      <c r="A82">
        <v>121</v>
      </c>
      <c r="B82" t="s">
        <v>257</v>
      </c>
      <c r="C82" t="s">
        <v>417</v>
      </c>
      <c r="D82">
        <v>30.02</v>
      </c>
      <c r="E82">
        <v>20.11</v>
      </c>
      <c r="F82" t="s">
        <v>303</v>
      </c>
      <c r="G82">
        <v>0.67</v>
      </c>
      <c r="H82">
        <v>24.13</v>
      </c>
      <c r="I82" t="s">
        <v>326</v>
      </c>
      <c r="J82" t="s">
        <v>418</v>
      </c>
      <c r="K82" t="s">
        <v>530</v>
      </c>
      <c r="L82" t="s">
        <v>203</v>
      </c>
      <c r="M82" t="s">
        <v>257</v>
      </c>
      <c r="N82" t="s">
        <v>51</v>
      </c>
      <c r="O82" t="s">
        <v>13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257</v>
      </c>
      <c r="AH82" t="s">
        <v>51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24.13</v>
      </c>
      <c r="AN82">
        <f>$H$82*$T$82</f>
        <v>24.13</v>
      </c>
      <c r="AO82">
        <f>$H$82*$U$82</f>
        <v>24.13</v>
      </c>
      <c r="AP82">
        <f>$H$82*$V$82</f>
        <v>24.13</v>
      </c>
      <c r="AQ82">
        <f>$H$82*$W$82</f>
        <v>24.13</v>
      </c>
      <c r="AR82">
        <f>$H$82*$X$82</f>
        <v>24.13</v>
      </c>
      <c r="AS82">
        <f>$H$82*$Y$82</f>
        <v>24.13</v>
      </c>
      <c r="AT82">
        <f>$H$82*$Z$82</f>
        <v>24.13</v>
      </c>
      <c r="AU82">
        <f>$H$82*$AA$82</f>
        <v>24.13</v>
      </c>
      <c r="AV82">
        <f>$H$82*$AB$82</f>
        <v>24.13</v>
      </c>
      <c r="AW82">
        <f>$H$82*$AC$82</f>
        <v>24.13</v>
      </c>
      <c r="AX82">
        <f>$H$82*$AD$82</f>
        <v>24.13</v>
      </c>
      <c r="AY82">
        <f>$H$82*$AE$82</f>
        <v>24.13</v>
      </c>
      <c r="AZ82">
        <f>$H$82*$AF$82</f>
        <v>24.13</v>
      </c>
    </row>
    <row r="83" spans="1:52" x14ac:dyDescent="0.25">
      <c r="A83">
        <v>122</v>
      </c>
      <c r="B83" t="s">
        <v>257</v>
      </c>
      <c r="C83" t="s">
        <v>419</v>
      </c>
      <c r="D83">
        <v>30.02</v>
      </c>
      <c r="E83">
        <v>96.66</v>
      </c>
      <c r="F83" t="s">
        <v>303</v>
      </c>
      <c r="G83">
        <v>3.22</v>
      </c>
      <c r="H83">
        <v>116</v>
      </c>
      <c r="I83" t="s">
        <v>326</v>
      </c>
      <c r="J83" t="s">
        <v>416</v>
      </c>
      <c r="K83" t="s">
        <v>531</v>
      </c>
      <c r="L83" t="s">
        <v>203</v>
      </c>
      <c r="M83" t="s">
        <v>257</v>
      </c>
      <c r="N83" t="s">
        <v>51</v>
      </c>
      <c r="O83" t="s">
        <v>13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257</v>
      </c>
      <c r="AH83" t="s">
        <v>51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116</v>
      </c>
      <c r="AN83">
        <f>$H$83*$T$83</f>
        <v>116</v>
      </c>
      <c r="AO83">
        <f>$H$83*$U$83</f>
        <v>116</v>
      </c>
      <c r="AP83">
        <f>$H$83*$V$83</f>
        <v>116</v>
      </c>
      <c r="AQ83">
        <f>$H$83*$W$83</f>
        <v>116</v>
      </c>
      <c r="AR83">
        <f>$H$83*$X$83</f>
        <v>116</v>
      </c>
      <c r="AS83">
        <f>$H$83*$Y$83</f>
        <v>116</v>
      </c>
      <c r="AT83">
        <f>$H$83*$Z$83</f>
        <v>116</v>
      </c>
      <c r="AU83">
        <f>$H$83*$AA$83</f>
        <v>116</v>
      </c>
      <c r="AV83">
        <f>$H$83*$AB$83</f>
        <v>116</v>
      </c>
      <c r="AW83">
        <f>$H$83*$AC$83</f>
        <v>116</v>
      </c>
      <c r="AX83">
        <f>$H$83*$AD$83</f>
        <v>116</v>
      </c>
      <c r="AY83">
        <f>$H$83*$AE$83</f>
        <v>116</v>
      </c>
      <c r="AZ83">
        <f>$H$83*$AF$83</f>
        <v>116</v>
      </c>
    </row>
    <row r="84" spans="1:52" x14ac:dyDescent="0.25">
      <c r="A84">
        <v>123</v>
      </c>
      <c r="B84" t="s">
        <v>259</v>
      </c>
      <c r="C84" t="s">
        <v>365</v>
      </c>
      <c r="D84">
        <v>2</v>
      </c>
      <c r="E84">
        <v>26.54</v>
      </c>
      <c r="F84" t="s">
        <v>290</v>
      </c>
      <c r="G84">
        <v>13.27</v>
      </c>
      <c r="H84">
        <v>31.84</v>
      </c>
      <c r="I84" t="s">
        <v>292</v>
      </c>
      <c r="J84" t="s">
        <v>366</v>
      </c>
      <c r="K84" t="s">
        <v>505</v>
      </c>
      <c r="L84" t="s">
        <v>203</v>
      </c>
      <c r="M84" t="s">
        <v>259</v>
      </c>
      <c r="N84" t="s">
        <v>12</v>
      </c>
      <c r="O84" t="s">
        <v>260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259</v>
      </c>
      <c r="AH84" t="s">
        <v>12</v>
      </c>
      <c r="AI84" t="s">
        <v>260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31.84</v>
      </c>
      <c r="AS84">
        <f>$H$84*$Y$84</f>
        <v>31.84</v>
      </c>
      <c r="AT84">
        <f>$H$84*$Z$84</f>
        <v>31.84</v>
      </c>
      <c r="AU84">
        <f>$H$84*$AA$84</f>
        <v>31.84</v>
      </c>
      <c r="AV84">
        <f>$H$84*$AB$84</f>
        <v>31.84</v>
      </c>
      <c r="AW84">
        <f>$H$84*$AC$84</f>
        <v>31.84</v>
      </c>
      <c r="AX84">
        <f>$H$84*$AD$84</f>
        <v>31.84</v>
      </c>
      <c r="AY84">
        <f>$H$84*$AE$84</f>
        <v>31.84</v>
      </c>
      <c r="AZ84">
        <f>$H$84*$AF$84</f>
        <v>31.84</v>
      </c>
    </row>
    <row r="85" spans="1:52" x14ac:dyDescent="0.25">
      <c r="A85">
        <v>124</v>
      </c>
      <c r="B85" t="s">
        <v>259</v>
      </c>
      <c r="C85" t="s">
        <v>391</v>
      </c>
      <c r="D85">
        <v>1</v>
      </c>
      <c r="E85">
        <v>37</v>
      </c>
      <c r="F85" t="s">
        <v>290</v>
      </c>
      <c r="G85">
        <v>37</v>
      </c>
      <c r="H85">
        <v>44.4</v>
      </c>
      <c r="I85" t="s">
        <v>292</v>
      </c>
      <c r="J85" t="s">
        <v>392</v>
      </c>
      <c r="K85" t="s">
        <v>518</v>
      </c>
      <c r="L85" t="s">
        <v>203</v>
      </c>
      <c r="M85" t="s">
        <v>259</v>
      </c>
      <c r="N85" t="s">
        <v>12</v>
      </c>
      <c r="O85" t="s">
        <v>260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0.6</v>
      </c>
      <c r="Y85">
        <v>0.6</v>
      </c>
      <c r="Z85">
        <v>0.6</v>
      </c>
      <c r="AA85">
        <v>0.6</v>
      </c>
      <c r="AB85">
        <v>0.6</v>
      </c>
      <c r="AC85">
        <v>0.6</v>
      </c>
      <c r="AD85">
        <v>1</v>
      </c>
      <c r="AE85">
        <v>1</v>
      </c>
      <c r="AF85">
        <v>1</v>
      </c>
      <c r="AG85" t="s">
        <v>259</v>
      </c>
      <c r="AH85" t="s">
        <v>12</v>
      </c>
      <c r="AI85" t="s">
        <v>260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26.639999999999997</v>
      </c>
      <c r="AS85">
        <f>$H$85*$Y$85</f>
        <v>26.639999999999997</v>
      </c>
      <c r="AT85">
        <f>$H$85*$Z$85</f>
        <v>26.639999999999997</v>
      </c>
      <c r="AU85">
        <f>$H$85*$AA$85</f>
        <v>26.639999999999997</v>
      </c>
      <c r="AV85">
        <f>$H$85*$AB$85</f>
        <v>26.639999999999997</v>
      </c>
      <c r="AW85">
        <f>$H$85*$AC$85</f>
        <v>26.639999999999997</v>
      </c>
      <c r="AX85">
        <f>$H$85*$AD$85</f>
        <v>44.4</v>
      </c>
      <c r="AY85">
        <f>$H$85*$AE$85</f>
        <v>44.4</v>
      </c>
      <c r="AZ85">
        <f>$H$85*$AF$85</f>
        <v>44.4</v>
      </c>
    </row>
    <row r="86" spans="1:52" x14ac:dyDescent="0.25">
      <c r="A86">
        <v>125</v>
      </c>
      <c r="B86" t="s">
        <v>259</v>
      </c>
      <c r="C86" t="s">
        <v>420</v>
      </c>
      <c r="D86">
        <v>1</v>
      </c>
      <c r="E86">
        <v>36.590000000000003</v>
      </c>
      <c r="F86" t="s">
        <v>290</v>
      </c>
      <c r="G86">
        <v>36.590000000000003</v>
      </c>
      <c r="H86">
        <v>43.91</v>
      </c>
      <c r="I86" t="s">
        <v>317</v>
      </c>
      <c r="J86" t="s">
        <v>421</v>
      </c>
      <c r="K86" t="s">
        <v>532</v>
      </c>
      <c r="L86" t="s">
        <v>203</v>
      </c>
      <c r="M86" t="s">
        <v>259</v>
      </c>
      <c r="N86" t="s">
        <v>12</v>
      </c>
      <c r="O86" t="s">
        <v>260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259</v>
      </c>
      <c r="AH86" t="s">
        <v>12</v>
      </c>
      <c r="AI86" t="s">
        <v>260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43.91</v>
      </c>
      <c r="AV86">
        <f>$H$86*$AB$86</f>
        <v>43.91</v>
      </c>
      <c r="AW86">
        <f>$H$86*$AC$86</f>
        <v>43.91</v>
      </c>
      <c r="AX86">
        <f>$H$86*$AD$86</f>
        <v>43.91</v>
      </c>
      <c r="AY86">
        <f>$H$86*$AE$86</f>
        <v>43.91</v>
      </c>
      <c r="AZ86">
        <f>$H$86*$AF$86</f>
        <v>43.91</v>
      </c>
    </row>
    <row r="87" spans="1:52" x14ac:dyDescent="0.25">
      <c r="A87">
        <v>126</v>
      </c>
      <c r="B87" t="s">
        <v>259</v>
      </c>
      <c r="C87" t="s">
        <v>307</v>
      </c>
      <c r="D87">
        <v>10</v>
      </c>
      <c r="E87">
        <v>44.4</v>
      </c>
      <c r="F87" t="s">
        <v>285</v>
      </c>
      <c r="G87">
        <v>4.4400000000000004</v>
      </c>
      <c r="H87">
        <v>53.28</v>
      </c>
      <c r="I87" t="s">
        <v>286</v>
      </c>
      <c r="J87" t="s">
        <v>308</v>
      </c>
      <c r="K87" t="s">
        <v>477</v>
      </c>
      <c r="L87" t="s">
        <v>203</v>
      </c>
      <c r="M87" t="s">
        <v>259</v>
      </c>
      <c r="N87" t="s">
        <v>12</v>
      </c>
      <c r="O87" t="s">
        <v>260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259</v>
      </c>
      <c r="AH87" t="s">
        <v>12</v>
      </c>
      <c r="AI87" t="s">
        <v>260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53.28</v>
      </c>
      <c r="AV87">
        <f>$H$87*$AB$87</f>
        <v>53.28</v>
      </c>
      <c r="AW87">
        <f>$H$87*$AC$87</f>
        <v>53.28</v>
      </c>
      <c r="AX87">
        <f>$H$87*$AD$87</f>
        <v>53.28</v>
      </c>
      <c r="AY87">
        <f>$H$87*$AE$87</f>
        <v>53.28</v>
      </c>
      <c r="AZ87">
        <f>$H$87*$AF$87</f>
        <v>53.28</v>
      </c>
    </row>
    <row r="88" spans="1:52" x14ac:dyDescent="0.25">
      <c r="A88">
        <v>127</v>
      </c>
      <c r="B88" t="s">
        <v>259</v>
      </c>
      <c r="C88" t="s">
        <v>309</v>
      </c>
      <c r="D88">
        <v>10</v>
      </c>
      <c r="E88">
        <v>115.5</v>
      </c>
      <c r="F88" t="s">
        <v>285</v>
      </c>
      <c r="G88">
        <v>11.55</v>
      </c>
      <c r="H88">
        <v>138.6</v>
      </c>
      <c r="I88" t="s">
        <v>289</v>
      </c>
      <c r="J88" t="s">
        <v>310</v>
      </c>
      <c r="K88" t="s">
        <v>478</v>
      </c>
      <c r="L88" t="s">
        <v>203</v>
      </c>
      <c r="M88" t="s">
        <v>259</v>
      </c>
      <c r="N88" t="s">
        <v>12</v>
      </c>
      <c r="O88" t="s">
        <v>260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259</v>
      </c>
      <c r="AH88" t="s">
        <v>12</v>
      </c>
      <c r="AI88" t="s">
        <v>260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138.6</v>
      </c>
      <c r="AV88">
        <f>$H$88*$AB$88</f>
        <v>138.6</v>
      </c>
      <c r="AW88">
        <f>$H$88*$AC$88</f>
        <v>138.6</v>
      </c>
      <c r="AX88">
        <f>$H$88*$AD$88</f>
        <v>138.6</v>
      </c>
      <c r="AY88">
        <f>$H$88*$AE$88</f>
        <v>138.6</v>
      </c>
      <c r="AZ88">
        <f>$H$88*$AF$88</f>
        <v>138.6</v>
      </c>
    </row>
    <row r="89" spans="1:52" x14ac:dyDescent="0.25">
      <c r="A89">
        <v>128</v>
      </c>
      <c r="B89" t="s">
        <v>259</v>
      </c>
      <c r="C89" t="s">
        <v>367</v>
      </c>
      <c r="D89">
        <v>6</v>
      </c>
      <c r="E89">
        <v>112.38</v>
      </c>
      <c r="F89" t="s">
        <v>303</v>
      </c>
      <c r="G89">
        <v>18.73</v>
      </c>
      <c r="H89">
        <v>134.86000000000001</v>
      </c>
      <c r="I89" t="s">
        <v>368</v>
      </c>
      <c r="J89" t="s">
        <v>321</v>
      </c>
      <c r="K89" t="s">
        <v>506</v>
      </c>
      <c r="L89" t="s">
        <v>203</v>
      </c>
      <c r="M89" t="s">
        <v>259</v>
      </c>
      <c r="N89" t="s">
        <v>12</v>
      </c>
      <c r="O89" t="s">
        <v>260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259</v>
      </c>
      <c r="AH89" t="s">
        <v>12</v>
      </c>
      <c r="AI89" t="s">
        <v>260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134.86000000000001</v>
      </c>
      <c r="AV89">
        <f>$H$89*$AB$89</f>
        <v>134.86000000000001</v>
      </c>
      <c r="AW89">
        <f>$H$89*$AC$89</f>
        <v>134.86000000000001</v>
      </c>
      <c r="AX89">
        <f>$H$89*$AD$89</f>
        <v>134.86000000000001</v>
      </c>
      <c r="AY89">
        <f>$H$89*$AE$89</f>
        <v>134.86000000000001</v>
      </c>
      <c r="AZ89">
        <f>$H$89*$AF$89</f>
        <v>134.86000000000001</v>
      </c>
    </row>
    <row r="90" spans="1:52" x14ac:dyDescent="0.25">
      <c r="A90">
        <v>129</v>
      </c>
      <c r="B90" t="s">
        <v>259</v>
      </c>
      <c r="C90" t="s">
        <v>369</v>
      </c>
      <c r="D90">
        <v>0.75</v>
      </c>
      <c r="E90">
        <v>412.99</v>
      </c>
      <c r="F90" t="s">
        <v>290</v>
      </c>
      <c r="G90">
        <v>550.65</v>
      </c>
      <c r="H90">
        <v>495.59</v>
      </c>
      <c r="I90" t="s">
        <v>304</v>
      </c>
      <c r="J90" t="s">
        <v>370</v>
      </c>
      <c r="K90" t="s">
        <v>507</v>
      </c>
      <c r="L90" t="s">
        <v>203</v>
      </c>
      <c r="M90" t="s">
        <v>259</v>
      </c>
      <c r="N90" t="s">
        <v>12</v>
      </c>
      <c r="O90" t="s">
        <v>260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259</v>
      </c>
      <c r="AH90" t="s">
        <v>12</v>
      </c>
      <c r="AI90" t="s">
        <v>260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495.59</v>
      </c>
      <c r="AV90">
        <f>$H$90*$AB$90</f>
        <v>495.59</v>
      </c>
      <c r="AW90">
        <f>$H$90*$AC$90</f>
        <v>495.59</v>
      </c>
      <c r="AX90">
        <f>$H$90*$AD$90</f>
        <v>495.59</v>
      </c>
      <c r="AY90">
        <f>$H$90*$AE$90</f>
        <v>495.59</v>
      </c>
      <c r="AZ90">
        <f>$H$90*$AF$90</f>
        <v>495.59</v>
      </c>
    </row>
    <row r="91" spans="1:52" x14ac:dyDescent="0.25">
      <c r="A91">
        <v>130</v>
      </c>
      <c r="B91" t="s">
        <v>259</v>
      </c>
      <c r="C91" t="s">
        <v>369</v>
      </c>
      <c r="D91">
        <v>0.25</v>
      </c>
      <c r="E91">
        <v>137.66</v>
      </c>
      <c r="F91" t="s">
        <v>290</v>
      </c>
      <c r="G91">
        <v>550.65</v>
      </c>
      <c r="H91">
        <v>165.2</v>
      </c>
      <c r="I91" t="s">
        <v>304</v>
      </c>
      <c r="J91" t="s">
        <v>370</v>
      </c>
      <c r="K91" t="s">
        <v>507</v>
      </c>
      <c r="L91" t="s">
        <v>203</v>
      </c>
      <c r="M91" t="s">
        <v>259</v>
      </c>
      <c r="N91" t="s">
        <v>12</v>
      </c>
      <c r="O91" t="s">
        <v>260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259</v>
      </c>
      <c r="AH91" t="s">
        <v>12</v>
      </c>
      <c r="AI91" t="s">
        <v>260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165.2</v>
      </c>
      <c r="AV91">
        <f>$H$91*$AB$91</f>
        <v>165.2</v>
      </c>
      <c r="AW91">
        <f>$H$91*$AC$91</f>
        <v>165.2</v>
      </c>
      <c r="AX91">
        <f>$H$91*$AD$91</f>
        <v>165.2</v>
      </c>
      <c r="AY91">
        <f>$H$91*$AE$91</f>
        <v>165.2</v>
      </c>
      <c r="AZ91">
        <f>$H$91*$AF$91</f>
        <v>165.2</v>
      </c>
    </row>
    <row r="92" spans="1:52" x14ac:dyDescent="0.25">
      <c r="A92">
        <v>131</v>
      </c>
      <c r="B92" t="s">
        <v>259</v>
      </c>
      <c r="C92" t="s">
        <v>371</v>
      </c>
      <c r="D92">
        <v>1</v>
      </c>
      <c r="E92">
        <v>39.43</v>
      </c>
      <c r="F92" t="s">
        <v>290</v>
      </c>
      <c r="G92">
        <v>39.43</v>
      </c>
      <c r="H92">
        <v>47.31</v>
      </c>
      <c r="I92" t="s">
        <v>304</v>
      </c>
      <c r="J92" t="s">
        <v>372</v>
      </c>
      <c r="K92" t="s">
        <v>508</v>
      </c>
      <c r="L92" t="s">
        <v>203</v>
      </c>
      <c r="M92" t="s">
        <v>259</v>
      </c>
      <c r="N92" t="s">
        <v>12</v>
      </c>
      <c r="O92" t="s">
        <v>260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259</v>
      </c>
      <c r="AH92" t="s">
        <v>12</v>
      </c>
      <c r="AI92" t="s">
        <v>260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47.31</v>
      </c>
      <c r="AT92">
        <f>$H$92*$Z$92</f>
        <v>47.31</v>
      </c>
      <c r="AU92">
        <f>$H$92*$AA$92</f>
        <v>47.31</v>
      </c>
      <c r="AV92">
        <f>$H$92*$AB$92</f>
        <v>47.31</v>
      </c>
      <c r="AW92">
        <f>$H$92*$AC$92</f>
        <v>47.31</v>
      </c>
      <c r="AX92">
        <f>$H$92*$AD$92</f>
        <v>47.31</v>
      </c>
      <c r="AY92">
        <f>$H$92*$AE$92</f>
        <v>47.31</v>
      </c>
      <c r="AZ92">
        <f>$H$92*$AF$92</f>
        <v>47.31</v>
      </c>
    </row>
    <row r="93" spans="1:52" x14ac:dyDescent="0.25">
      <c r="A93">
        <v>132</v>
      </c>
      <c r="B93" t="s">
        <v>259</v>
      </c>
      <c r="C93" t="s">
        <v>373</v>
      </c>
      <c r="D93">
        <v>1</v>
      </c>
      <c r="E93">
        <v>419.17</v>
      </c>
      <c r="F93" t="s">
        <v>290</v>
      </c>
      <c r="G93">
        <v>419.17</v>
      </c>
      <c r="H93">
        <v>503.01</v>
      </c>
      <c r="I93" t="s">
        <v>304</v>
      </c>
      <c r="J93" t="s">
        <v>374</v>
      </c>
      <c r="K93" t="s">
        <v>509</v>
      </c>
      <c r="L93" t="s">
        <v>203</v>
      </c>
      <c r="M93" t="s">
        <v>259</v>
      </c>
      <c r="N93" t="s">
        <v>12</v>
      </c>
      <c r="O93" t="s">
        <v>260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259</v>
      </c>
      <c r="AH93" t="s">
        <v>12</v>
      </c>
      <c r="AI93" t="s">
        <v>260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503.01</v>
      </c>
      <c r="AT93">
        <f>$H$93*$Z$93</f>
        <v>503.01</v>
      </c>
      <c r="AU93">
        <f>$H$93*$AA$93</f>
        <v>503.01</v>
      </c>
      <c r="AV93">
        <f>$H$93*$AB$93</f>
        <v>503.01</v>
      </c>
      <c r="AW93">
        <f>$H$93*$AC$93</f>
        <v>503.01</v>
      </c>
      <c r="AX93">
        <f>$H$93*$AD$93</f>
        <v>503.01</v>
      </c>
      <c r="AY93">
        <f>$H$93*$AE$93</f>
        <v>503.01</v>
      </c>
      <c r="AZ93">
        <f>$H$93*$AF$93</f>
        <v>503.01</v>
      </c>
    </row>
    <row r="94" spans="1:52" x14ac:dyDescent="0.25">
      <c r="A94">
        <v>133</v>
      </c>
      <c r="B94" t="s">
        <v>259</v>
      </c>
      <c r="C94" t="s">
        <v>383</v>
      </c>
      <c r="D94">
        <v>10</v>
      </c>
      <c r="E94">
        <v>65.7</v>
      </c>
      <c r="F94" t="s">
        <v>285</v>
      </c>
      <c r="G94">
        <v>6.57</v>
      </c>
      <c r="H94">
        <v>78.84</v>
      </c>
      <c r="I94" t="s">
        <v>298</v>
      </c>
      <c r="J94" t="s">
        <v>384</v>
      </c>
      <c r="K94" t="s">
        <v>514</v>
      </c>
      <c r="L94" t="s">
        <v>203</v>
      </c>
      <c r="M94" t="s">
        <v>259</v>
      </c>
      <c r="N94" t="s">
        <v>12</v>
      </c>
      <c r="O94" t="s">
        <v>260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1</v>
      </c>
      <c r="AE94">
        <v>1</v>
      </c>
      <c r="AF94">
        <v>1</v>
      </c>
      <c r="AG94" t="s">
        <v>259</v>
      </c>
      <c r="AH94" t="s">
        <v>12</v>
      </c>
      <c r="AI94" t="s">
        <v>260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0</v>
      </c>
      <c r="AV94">
        <f>$H$94*$AB$94</f>
        <v>0</v>
      </c>
      <c r="AW94">
        <f>$H$94*$AC$94</f>
        <v>0</v>
      </c>
      <c r="AX94">
        <f>$H$94*$AD$94</f>
        <v>78.84</v>
      </c>
      <c r="AY94">
        <f>$H$94*$AE$94</f>
        <v>78.84</v>
      </c>
      <c r="AZ94">
        <f>$H$94*$AF$94</f>
        <v>78.84</v>
      </c>
    </row>
    <row r="95" spans="1:52" x14ac:dyDescent="0.25">
      <c r="A95">
        <v>134</v>
      </c>
      <c r="B95" t="s">
        <v>259</v>
      </c>
      <c r="C95" t="s">
        <v>385</v>
      </c>
      <c r="D95">
        <v>1</v>
      </c>
      <c r="E95">
        <v>89.58</v>
      </c>
      <c r="F95" t="s">
        <v>290</v>
      </c>
      <c r="G95">
        <v>89.58</v>
      </c>
      <c r="H95">
        <v>107.5</v>
      </c>
      <c r="I95" t="s">
        <v>298</v>
      </c>
      <c r="J95" t="s">
        <v>386</v>
      </c>
      <c r="K95" t="s">
        <v>515</v>
      </c>
      <c r="L95" t="s">
        <v>203</v>
      </c>
      <c r="M95" t="s">
        <v>259</v>
      </c>
      <c r="N95" t="s">
        <v>12</v>
      </c>
      <c r="O95" t="s">
        <v>260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1</v>
      </c>
      <c r="AE95">
        <v>1</v>
      </c>
      <c r="AF95">
        <v>1</v>
      </c>
      <c r="AG95" t="s">
        <v>259</v>
      </c>
      <c r="AH95" t="s">
        <v>12</v>
      </c>
      <c r="AI95" t="s">
        <v>260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0</v>
      </c>
      <c r="AV95">
        <f>$H$95*$AB$95</f>
        <v>0</v>
      </c>
      <c r="AW95">
        <f>$H$95*$AC$95</f>
        <v>0</v>
      </c>
      <c r="AX95">
        <f>$H$95*$AD$95</f>
        <v>107.5</v>
      </c>
      <c r="AY95">
        <f>$H$95*$AE$95</f>
        <v>107.5</v>
      </c>
      <c r="AZ95">
        <f>$H$95*$AF$95</f>
        <v>107.5</v>
      </c>
    </row>
    <row r="96" spans="1:52" x14ac:dyDescent="0.25">
      <c r="A96">
        <v>135</v>
      </c>
      <c r="B96" t="s">
        <v>259</v>
      </c>
      <c r="C96" t="s">
        <v>422</v>
      </c>
      <c r="D96">
        <v>1</v>
      </c>
      <c r="E96">
        <v>75.66</v>
      </c>
      <c r="F96" t="s">
        <v>290</v>
      </c>
      <c r="G96">
        <v>75.66</v>
      </c>
      <c r="H96">
        <v>90.8</v>
      </c>
      <c r="I96" t="s">
        <v>295</v>
      </c>
      <c r="J96" t="s">
        <v>423</v>
      </c>
      <c r="K96" t="s">
        <v>533</v>
      </c>
      <c r="L96" t="s">
        <v>203</v>
      </c>
      <c r="M96" t="s">
        <v>259</v>
      </c>
      <c r="N96" t="s">
        <v>12</v>
      </c>
      <c r="O96" t="s">
        <v>260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1</v>
      </c>
      <c r="AE96">
        <v>1</v>
      </c>
      <c r="AF96">
        <v>1</v>
      </c>
      <c r="AG96" t="s">
        <v>259</v>
      </c>
      <c r="AH96" t="s">
        <v>12</v>
      </c>
      <c r="AI96" t="s">
        <v>260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0</v>
      </c>
      <c r="AU96">
        <f>$H$96*$AA$96</f>
        <v>0</v>
      </c>
      <c r="AV96">
        <f>$H$96*$AB$96</f>
        <v>0</v>
      </c>
      <c r="AW96">
        <f>$H$96*$AC$96</f>
        <v>0</v>
      </c>
      <c r="AX96">
        <f>$H$96*$AD$96</f>
        <v>90.8</v>
      </c>
      <c r="AY96">
        <f>$H$96*$AE$96</f>
        <v>90.8</v>
      </c>
      <c r="AZ96">
        <f>$H$96*$AF$96</f>
        <v>90.8</v>
      </c>
    </row>
    <row r="97" spans="1:52" x14ac:dyDescent="0.25">
      <c r="A97">
        <v>136</v>
      </c>
      <c r="B97" t="s">
        <v>259</v>
      </c>
      <c r="C97" t="s">
        <v>316</v>
      </c>
      <c r="D97">
        <v>1</v>
      </c>
      <c r="E97">
        <v>40.14</v>
      </c>
      <c r="F97" t="s">
        <v>290</v>
      </c>
      <c r="G97">
        <v>40.14</v>
      </c>
      <c r="H97">
        <v>48.16</v>
      </c>
      <c r="I97" t="s">
        <v>317</v>
      </c>
      <c r="J97" t="s">
        <v>318</v>
      </c>
      <c r="K97" t="s">
        <v>481</v>
      </c>
      <c r="L97" t="s">
        <v>203</v>
      </c>
      <c r="M97" t="s">
        <v>259</v>
      </c>
      <c r="N97" t="s">
        <v>12</v>
      </c>
      <c r="O97" t="s">
        <v>260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259</v>
      </c>
      <c r="AH97" t="s">
        <v>12</v>
      </c>
      <c r="AI97" t="s">
        <v>260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48.16</v>
      </c>
      <c r="AU97">
        <f>$H$97*$AA$97</f>
        <v>48.16</v>
      </c>
      <c r="AV97">
        <f>$H$97*$AB$97</f>
        <v>48.16</v>
      </c>
      <c r="AW97">
        <f>$H$97*$AC$97</f>
        <v>48.16</v>
      </c>
      <c r="AX97">
        <f>$H$97*$AD$97</f>
        <v>48.16</v>
      </c>
      <c r="AY97">
        <f>$H$97*$AE$97</f>
        <v>48.16</v>
      </c>
      <c r="AZ97">
        <f>$H$97*$AF$97</f>
        <v>48.16</v>
      </c>
    </row>
    <row r="98" spans="1:52" x14ac:dyDescent="0.25">
      <c r="A98">
        <v>137</v>
      </c>
      <c r="B98" t="s">
        <v>259</v>
      </c>
      <c r="C98" t="s">
        <v>324</v>
      </c>
      <c r="D98">
        <v>2</v>
      </c>
      <c r="E98">
        <v>77.86</v>
      </c>
      <c r="F98" t="s">
        <v>290</v>
      </c>
      <c r="G98">
        <v>38.93</v>
      </c>
      <c r="H98">
        <v>93.44</v>
      </c>
      <c r="I98" t="s">
        <v>286</v>
      </c>
      <c r="J98" t="s">
        <v>320</v>
      </c>
      <c r="K98" t="s">
        <v>484</v>
      </c>
      <c r="L98" t="s">
        <v>203</v>
      </c>
      <c r="M98" t="s">
        <v>259</v>
      </c>
      <c r="N98" t="s">
        <v>12</v>
      </c>
      <c r="O98" t="s">
        <v>260</v>
      </c>
      <c r="P98">
        <v>0</v>
      </c>
      <c r="Q98">
        <v>0</v>
      </c>
      <c r="R98">
        <v>0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259</v>
      </c>
      <c r="AH98" t="s">
        <v>12</v>
      </c>
      <c r="AI98" t="s">
        <v>260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93.44</v>
      </c>
      <c r="AN98">
        <f>$H$98*$T$98</f>
        <v>93.44</v>
      </c>
      <c r="AO98">
        <f>$H$98*$U$98</f>
        <v>93.44</v>
      </c>
      <c r="AP98">
        <f>$H$98*$V$98</f>
        <v>93.44</v>
      </c>
      <c r="AQ98">
        <f>$H$98*$W$98</f>
        <v>93.44</v>
      </c>
      <c r="AR98">
        <f>$H$98*$X$98</f>
        <v>93.44</v>
      </c>
      <c r="AS98">
        <f>$H$98*$Y$98</f>
        <v>93.44</v>
      </c>
      <c r="AT98">
        <f>$H$98*$Z$98</f>
        <v>93.44</v>
      </c>
      <c r="AU98">
        <f>$H$98*$AA$98</f>
        <v>93.44</v>
      </c>
      <c r="AV98">
        <f>$H$98*$AB$98</f>
        <v>93.44</v>
      </c>
      <c r="AW98">
        <f>$H$98*$AC$98</f>
        <v>93.44</v>
      </c>
      <c r="AX98">
        <f>$H$98*$AD$98</f>
        <v>93.44</v>
      </c>
      <c r="AY98">
        <f>$H$98*$AE$98</f>
        <v>93.44</v>
      </c>
      <c r="AZ98">
        <f>$H$98*$AF$98</f>
        <v>93.44</v>
      </c>
    </row>
    <row r="99" spans="1:52" x14ac:dyDescent="0.25">
      <c r="A99">
        <v>138</v>
      </c>
      <c r="B99" t="s">
        <v>259</v>
      </c>
      <c r="C99" t="s">
        <v>424</v>
      </c>
      <c r="D99">
        <v>1</v>
      </c>
      <c r="E99">
        <v>322.02</v>
      </c>
      <c r="F99" t="s">
        <v>290</v>
      </c>
      <c r="G99">
        <v>322.02</v>
      </c>
      <c r="H99">
        <v>386.42</v>
      </c>
      <c r="I99" t="s">
        <v>320</v>
      </c>
      <c r="J99" t="s">
        <v>425</v>
      </c>
      <c r="K99" t="s">
        <v>534</v>
      </c>
      <c r="L99" t="s">
        <v>203</v>
      </c>
      <c r="M99" t="s">
        <v>259</v>
      </c>
      <c r="N99" t="s">
        <v>12</v>
      </c>
      <c r="O99" t="s">
        <v>260</v>
      </c>
      <c r="P99">
        <v>0</v>
      </c>
      <c r="Q99">
        <v>0</v>
      </c>
      <c r="R99">
        <v>0</v>
      </c>
      <c r="S99">
        <v>0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259</v>
      </c>
      <c r="AH99" t="s">
        <v>12</v>
      </c>
      <c r="AI99" t="s">
        <v>260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386.42</v>
      </c>
      <c r="AO99">
        <f>$H$99*$U$99</f>
        <v>386.42</v>
      </c>
      <c r="AP99">
        <f>$H$99*$V$99</f>
        <v>386.42</v>
      </c>
      <c r="AQ99">
        <f>$H$99*$W$99</f>
        <v>386.42</v>
      </c>
      <c r="AR99">
        <f>$H$99*$X$99</f>
        <v>386.42</v>
      </c>
      <c r="AS99">
        <f>$H$99*$Y$99</f>
        <v>386.42</v>
      </c>
      <c r="AT99">
        <f>$H$99*$Z$99</f>
        <v>386.42</v>
      </c>
      <c r="AU99">
        <f>$H$99*$AA$99</f>
        <v>386.42</v>
      </c>
      <c r="AV99">
        <f>$H$99*$AB$99</f>
        <v>386.42</v>
      </c>
      <c r="AW99">
        <f>$H$99*$AC$99</f>
        <v>386.42</v>
      </c>
      <c r="AX99">
        <f>$H$99*$AD$99</f>
        <v>386.42</v>
      </c>
      <c r="AY99">
        <f>$H$99*$AE$99</f>
        <v>386.42</v>
      </c>
      <c r="AZ99">
        <f>$H$99*$AF$99</f>
        <v>386.42</v>
      </c>
    </row>
    <row r="100" spans="1:52" x14ac:dyDescent="0.25">
      <c r="A100">
        <v>139</v>
      </c>
      <c r="B100" t="s">
        <v>259</v>
      </c>
      <c r="C100" t="s">
        <v>393</v>
      </c>
      <c r="D100">
        <v>2.5</v>
      </c>
      <c r="E100">
        <v>373.5</v>
      </c>
      <c r="F100" t="s">
        <v>285</v>
      </c>
      <c r="G100">
        <v>149.4</v>
      </c>
      <c r="H100">
        <v>448.2</v>
      </c>
      <c r="I100" t="s">
        <v>394</v>
      </c>
      <c r="J100" t="s">
        <v>395</v>
      </c>
      <c r="K100" t="s">
        <v>519</v>
      </c>
      <c r="L100" t="s">
        <v>203</v>
      </c>
      <c r="M100" t="s">
        <v>259</v>
      </c>
      <c r="N100" t="s">
        <v>12</v>
      </c>
      <c r="O100" t="s">
        <v>260</v>
      </c>
      <c r="P100">
        <v>0</v>
      </c>
      <c r="Q100">
        <v>0</v>
      </c>
      <c r="R100">
        <v>0</v>
      </c>
      <c r="S100">
        <v>0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259</v>
      </c>
      <c r="AH100" t="s">
        <v>12</v>
      </c>
      <c r="AI100" t="s">
        <v>260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448.2</v>
      </c>
      <c r="AO100">
        <f>$H$100*$U$100</f>
        <v>448.2</v>
      </c>
      <c r="AP100">
        <f>$H$100*$V$100</f>
        <v>448.2</v>
      </c>
      <c r="AQ100">
        <f>$H$100*$W$100</f>
        <v>448.2</v>
      </c>
      <c r="AR100">
        <f>$H$100*$X$100</f>
        <v>448.2</v>
      </c>
      <c r="AS100">
        <f>$H$100*$Y$100</f>
        <v>448.2</v>
      </c>
      <c r="AT100">
        <f>$H$100*$Z$100</f>
        <v>448.2</v>
      </c>
      <c r="AU100">
        <f>$H$100*$AA$100</f>
        <v>448.2</v>
      </c>
      <c r="AV100">
        <f>$H$100*$AB$100</f>
        <v>448.2</v>
      </c>
      <c r="AW100">
        <f>$H$100*$AC$100</f>
        <v>448.2</v>
      </c>
      <c r="AX100">
        <f>$H$100*$AD$100</f>
        <v>448.2</v>
      </c>
      <c r="AY100">
        <f>$H$100*$AE$100</f>
        <v>448.2</v>
      </c>
      <c r="AZ100">
        <f>$H$100*$AF$100</f>
        <v>448.2</v>
      </c>
    </row>
    <row r="101" spans="1:52" x14ac:dyDescent="0.25">
      <c r="A101">
        <v>140</v>
      </c>
      <c r="B101" t="s">
        <v>259</v>
      </c>
      <c r="C101" t="s">
        <v>396</v>
      </c>
      <c r="D101">
        <v>2.5</v>
      </c>
      <c r="E101">
        <v>24.1</v>
      </c>
      <c r="F101" t="s">
        <v>285</v>
      </c>
      <c r="G101">
        <v>9.64</v>
      </c>
      <c r="H101">
        <v>28.92</v>
      </c>
      <c r="I101" t="s">
        <v>394</v>
      </c>
      <c r="J101" t="s">
        <v>397</v>
      </c>
      <c r="K101" t="s">
        <v>520</v>
      </c>
      <c r="L101" t="s">
        <v>203</v>
      </c>
      <c r="M101" t="s">
        <v>259</v>
      </c>
      <c r="N101" t="s">
        <v>12</v>
      </c>
      <c r="O101" t="s">
        <v>260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259</v>
      </c>
      <c r="AH101" t="s">
        <v>12</v>
      </c>
      <c r="AI101" t="s">
        <v>260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28.92</v>
      </c>
      <c r="AU101">
        <f>$H$101*$AA$101</f>
        <v>28.92</v>
      </c>
      <c r="AV101">
        <f>$H$101*$AB$101</f>
        <v>28.92</v>
      </c>
      <c r="AW101">
        <f>$H$101*$AC$101</f>
        <v>28.92</v>
      </c>
      <c r="AX101">
        <f>$H$101*$AD$101</f>
        <v>28.92</v>
      </c>
      <c r="AY101">
        <f>$H$101*$AE$101</f>
        <v>28.92</v>
      </c>
      <c r="AZ101">
        <f>$H$101*$AF$101</f>
        <v>28.92</v>
      </c>
    </row>
    <row r="102" spans="1:52" x14ac:dyDescent="0.25">
      <c r="A102">
        <v>141</v>
      </c>
      <c r="B102" t="s">
        <v>259</v>
      </c>
      <c r="C102" t="s">
        <v>398</v>
      </c>
      <c r="D102">
        <v>2.5</v>
      </c>
      <c r="E102">
        <v>93.43</v>
      </c>
      <c r="F102" t="s">
        <v>285</v>
      </c>
      <c r="G102">
        <v>37.369999999999997</v>
      </c>
      <c r="H102">
        <v>112.11</v>
      </c>
      <c r="I102" t="s">
        <v>394</v>
      </c>
      <c r="J102" t="s">
        <v>399</v>
      </c>
      <c r="K102" t="s">
        <v>521</v>
      </c>
      <c r="L102" t="s">
        <v>203</v>
      </c>
      <c r="M102" t="s">
        <v>259</v>
      </c>
      <c r="N102" t="s">
        <v>12</v>
      </c>
      <c r="O102" t="s">
        <v>260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259</v>
      </c>
      <c r="AH102" t="s">
        <v>12</v>
      </c>
      <c r="AI102" t="s">
        <v>260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112.11</v>
      </c>
      <c r="AU102">
        <f>$H$102*$AA$102</f>
        <v>112.11</v>
      </c>
      <c r="AV102">
        <f>$H$102*$AB$102</f>
        <v>112.11</v>
      </c>
      <c r="AW102">
        <f>$H$102*$AC$102</f>
        <v>112.11</v>
      </c>
      <c r="AX102">
        <f>$H$102*$AD$102</f>
        <v>112.11</v>
      </c>
      <c r="AY102">
        <f>$H$102*$AE$102</f>
        <v>112.11</v>
      </c>
      <c r="AZ102">
        <f>$H$102*$AF$102</f>
        <v>112.11</v>
      </c>
    </row>
    <row r="103" spans="1:52" x14ac:dyDescent="0.25">
      <c r="A103">
        <v>142</v>
      </c>
      <c r="B103" t="s">
        <v>259</v>
      </c>
      <c r="C103" t="s">
        <v>400</v>
      </c>
      <c r="D103">
        <v>1</v>
      </c>
      <c r="E103">
        <v>176.94</v>
      </c>
      <c r="F103" t="s">
        <v>290</v>
      </c>
      <c r="G103">
        <v>176.94</v>
      </c>
      <c r="H103">
        <v>212.32</v>
      </c>
      <c r="I103" t="s">
        <v>304</v>
      </c>
      <c r="J103" t="s">
        <v>401</v>
      </c>
      <c r="K103" t="s">
        <v>522</v>
      </c>
      <c r="L103" t="s">
        <v>203</v>
      </c>
      <c r="M103" t="s">
        <v>259</v>
      </c>
      <c r="N103" t="s">
        <v>12</v>
      </c>
      <c r="O103" t="s">
        <v>260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259</v>
      </c>
      <c r="AH103" t="s">
        <v>12</v>
      </c>
      <c r="AI103" t="s">
        <v>260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212.32</v>
      </c>
      <c r="AV103">
        <f>$H$103*$AB$103</f>
        <v>212.32</v>
      </c>
      <c r="AW103">
        <f>$H$103*$AC$103</f>
        <v>212.32</v>
      </c>
      <c r="AX103">
        <f>$H$103*$AD$103</f>
        <v>212.32</v>
      </c>
      <c r="AY103">
        <f>$H$103*$AE$103</f>
        <v>212.32</v>
      </c>
      <c r="AZ103">
        <f>$H$103*$AF$103</f>
        <v>212.32</v>
      </c>
    </row>
    <row r="104" spans="1:52" x14ac:dyDescent="0.25">
      <c r="A104">
        <v>143</v>
      </c>
      <c r="B104" t="s">
        <v>259</v>
      </c>
      <c r="C104" t="s">
        <v>369</v>
      </c>
      <c r="D104">
        <v>0.75</v>
      </c>
      <c r="E104">
        <v>412.99</v>
      </c>
      <c r="F104" t="s">
        <v>290</v>
      </c>
      <c r="G104">
        <v>550.65</v>
      </c>
      <c r="H104">
        <v>495.59</v>
      </c>
      <c r="I104" t="s">
        <v>304</v>
      </c>
      <c r="J104" t="s">
        <v>370</v>
      </c>
      <c r="K104" t="s">
        <v>507</v>
      </c>
      <c r="L104" t="s">
        <v>203</v>
      </c>
      <c r="M104" t="s">
        <v>259</v>
      </c>
      <c r="N104" t="s">
        <v>12</v>
      </c>
      <c r="O104" t="s">
        <v>260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259</v>
      </c>
      <c r="AH104" t="s">
        <v>12</v>
      </c>
      <c r="AI104" t="s">
        <v>260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0</v>
      </c>
      <c r="AT104">
        <f>$H$104*$Z$104</f>
        <v>0</v>
      </c>
      <c r="AU104">
        <f>$H$104*$AA$104</f>
        <v>495.59</v>
      </c>
      <c r="AV104">
        <f>$H$104*$AB$104</f>
        <v>495.59</v>
      </c>
      <c r="AW104">
        <f>$H$104*$AC$104</f>
        <v>495.59</v>
      </c>
      <c r="AX104">
        <f>$H$104*$AD$104</f>
        <v>495.59</v>
      </c>
      <c r="AY104">
        <f>$H$104*$AE$104</f>
        <v>495.59</v>
      </c>
      <c r="AZ104">
        <f>$H$104*$AF$104</f>
        <v>495.59</v>
      </c>
    </row>
    <row r="105" spans="1:52" x14ac:dyDescent="0.25">
      <c r="A105">
        <v>144</v>
      </c>
      <c r="B105" t="s">
        <v>259</v>
      </c>
      <c r="C105" t="s">
        <v>369</v>
      </c>
      <c r="D105">
        <v>0.25</v>
      </c>
      <c r="E105">
        <v>137.66</v>
      </c>
      <c r="F105" t="s">
        <v>290</v>
      </c>
      <c r="G105">
        <v>550.65</v>
      </c>
      <c r="H105">
        <v>165.2</v>
      </c>
      <c r="I105" t="s">
        <v>304</v>
      </c>
      <c r="J105" t="s">
        <v>370</v>
      </c>
      <c r="K105" t="s">
        <v>507</v>
      </c>
      <c r="L105" t="s">
        <v>203</v>
      </c>
      <c r="M105" t="s">
        <v>259</v>
      </c>
      <c r="N105" t="s">
        <v>12</v>
      </c>
      <c r="O105" t="s">
        <v>260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259</v>
      </c>
      <c r="AH105" t="s">
        <v>12</v>
      </c>
      <c r="AI105" t="s">
        <v>260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0</v>
      </c>
      <c r="AT105">
        <f>$H$105*$Z$105</f>
        <v>0</v>
      </c>
      <c r="AU105">
        <f>$H$105*$AA$105</f>
        <v>165.2</v>
      </c>
      <c r="AV105">
        <f>$H$105*$AB$105</f>
        <v>165.2</v>
      </c>
      <c r="AW105">
        <f>$H$105*$AC$105</f>
        <v>165.2</v>
      </c>
      <c r="AX105">
        <f>$H$105*$AD$105</f>
        <v>165.2</v>
      </c>
      <c r="AY105">
        <f>$H$105*$AE$105</f>
        <v>165.2</v>
      </c>
      <c r="AZ105">
        <f>$H$105*$AF$105</f>
        <v>165.2</v>
      </c>
    </row>
    <row r="106" spans="1:52" x14ac:dyDescent="0.25">
      <c r="A106">
        <v>145</v>
      </c>
      <c r="B106" t="s">
        <v>259</v>
      </c>
      <c r="C106" t="s">
        <v>402</v>
      </c>
      <c r="D106">
        <v>1</v>
      </c>
      <c r="E106">
        <v>198.39</v>
      </c>
      <c r="F106" t="s">
        <v>290</v>
      </c>
      <c r="G106">
        <v>198.39</v>
      </c>
      <c r="H106">
        <v>238.07</v>
      </c>
      <c r="I106" t="s">
        <v>304</v>
      </c>
      <c r="J106" t="s">
        <v>403</v>
      </c>
      <c r="K106" t="s">
        <v>523</v>
      </c>
      <c r="L106" t="s">
        <v>203</v>
      </c>
      <c r="M106" t="s">
        <v>259</v>
      </c>
      <c r="N106" t="s">
        <v>12</v>
      </c>
      <c r="O106" t="s">
        <v>260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259</v>
      </c>
      <c r="AH106" t="s">
        <v>12</v>
      </c>
      <c r="AI106" t="s">
        <v>260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0</v>
      </c>
      <c r="AT106">
        <f>$H$106*$Z$106</f>
        <v>0</v>
      </c>
      <c r="AU106">
        <f>$H$106*$AA$106</f>
        <v>238.07</v>
      </c>
      <c r="AV106">
        <f>$H$106*$AB$106</f>
        <v>238.07</v>
      </c>
      <c r="AW106">
        <f>$H$106*$AC$106</f>
        <v>238.07</v>
      </c>
      <c r="AX106">
        <f>$H$106*$AD$106</f>
        <v>238.07</v>
      </c>
      <c r="AY106">
        <f>$H$106*$AE$106</f>
        <v>238.07</v>
      </c>
      <c r="AZ106">
        <f>$H$106*$AF$106</f>
        <v>238.07</v>
      </c>
    </row>
    <row r="107" spans="1:52" x14ac:dyDescent="0.25">
      <c r="A107">
        <v>146</v>
      </c>
      <c r="B107" t="s">
        <v>259</v>
      </c>
      <c r="C107" t="s">
        <v>311</v>
      </c>
      <c r="D107">
        <v>144</v>
      </c>
      <c r="E107">
        <v>141.12</v>
      </c>
      <c r="F107" t="s">
        <v>303</v>
      </c>
      <c r="G107">
        <v>0.98</v>
      </c>
      <c r="H107">
        <v>169.34</v>
      </c>
      <c r="I107" t="s">
        <v>286</v>
      </c>
      <c r="J107" t="s">
        <v>312</v>
      </c>
      <c r="K107" t="s">
        <v>479</v>
      </c>
      <c r="L107" t="s">
        <v>203</v>
      </c>
      <c r="M107" t="s">
        <v>259</v>
      </c>
      <c r="N107" t="s">
        <v>12</v>
      </c>
      <c r="O107" t="s">
        <v>260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259</v>
      </c>
      <c r="AH107" t="s">
        <v>12</v>
      </c>
      <c r="AI107" t="s">
        <v>260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169.34</v>
      </c>
      <c r="AO107">
        <f>$H$107*$U$107</f>
        <v>169.34</v>
      </c>
      <c r="AP107">
        <f>$H$107*$V$107</f>
        <v>169.34</v>
      </c>
      <c r="AQ107">
        <f>$H$107*$W$107</f>
        <v>169.34</v>
      </c>
      <c r="AR107">
        <f>$H$107*$X$107</f>
        <v>169.34</v>
      </c>
      <c r="AS107">
        <f>$H$107*$Y$107</f>
        <v>169.34</v>
      </c>
      <c r="AT107">
        <f>$H$107*$Z$107</f>
        <v>169.34</v>
      </c>
      <c r="AU107">
        <f>$H$107*$AA$107</f>
        <v>169.34</v>
      </c>
      <c r="AV107">
        <f>$H$107*$AB$107</f>
        <v>169.34</v>
      </c>
      <c r="AW107">
        <f>$H$107*$AC$107</f>
        <v>169.34</v>
      </c>
      <c r="AX107">
        <f>$H$107*$AD$107</f>
        <v>169.34</v>
      </c>
      <c r="AY107">
        <f>$H$107*$AE$107</f>
        <v>169.34</v>
      </c>
      <c r="AZ107">
        <f>$H$107*$AF$107</f>
        <v>169.34</v>
      </c>
    </row>
    <row r="108" spans="1:52" x14ac:dyDescent="0.25">
      <c r="A108">
        <v>147</v>
      </c>
      <c r="B108" t="s">
        <v>259</v>
      </c>
      <c r="C108" t="s">
        <v>404</v>
      </c>
      <c r="D108">
        <v>144</v>
      </c>
      <c r="E108">
        <v>384.48</v>
      </c>
      <c r="F108" t="s">
        <v>303</v>
      </c>
      <c r="G108">
        <v>2.67</v>
      </c>
      <c r="H108">
        <v>461.38</v>
      </c>
      <c r="I108" t="s">
        <v>314</v>
      </c>
      <c r="J108" t="s">
        <v>405</v>
      </c>
      <c r="K108" t="s">
        <v>524</v>
      </c>
      <c r="L108" t="s">
        <v>203</v>
      </c>
      <c r="M108" t="s">
        <v>259</v>
      </c>
      <c r="N108" t="s">
        <v>12</v>
      </c>
      <c r="O108" t="s">
        <v>260</v>
      </c>
      <c r="P108">
        <v>0</v>
      </c>
      <c r="Q108">
        <v>0</v>
      </c>
      <c r="R108">
        <v>0</v>
      </c>
      <c r="S108">
        <v>0.25</v>
      </c>
      <c r="T108">
        <v>0.25</v>
      </c>
      <c r="U108">
        <v>0.25</v>
      </c>
      <c r="V108">
        <v>0.25</v>
      </c>
      <c r="W108">
        <v>0.25</v>
      </c>
      <c r="X108">
        <v>0.5</v>
      </c>
      <c r="Y108">
        <v>0.5</v>
      </c>
      <c r="Z108">
        <v>0.5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259</v>
      </c>
      <c r="AH108" t="s">
        <v>12</v>
      </c>
      <c r="AI108" t="s">
        <v>260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115.345</v>
      </c>
      <c r="AN108">
        <f>$H$108*$T$108</f>
        <v>115.345</v>
      </c>
      <c r="AO108">
        <f>$H$108*$U$108</f>
        <v>115.345</v>
      </c>
      <c r="AP108">
        <f>$H$108*$V$108</f>
        <v>115.345</v>
      </c>
      <c r="AQ108">
        <f>$H$108*$W$108</f>
        <v>115.345</v>
      </c>
      <c r="AR108">
        <f>$H$108*$X$108</f>
        <v>230.69</v>
      </c>
      <c r="AS108">
        <f>$H$108*$Y$108</f>
        <v>230.69</v>
      </c>
      <c r="AT108">
        <f>$H$108*$Z$108</f>
        <v>230.69</v>
      </c>
      <c r="AU108">
        <f>$H$108*$AA$108</f>
        <v>461.38</v>
      </c>
      <c r="AV108">
        <f>$H$108*$AB$108</f>
        <v>461.38</v>
      </c>
      <c r="AW108">
        <f>$H$108*$AC$108</f>
        <v>461.38</v>
      </c>
      <c r="AX108">
        <f>$H$108*$AD$108</f>
        <v>461.38</v>
      </c>
      <c r="AY108">
        <f>$H$108*$AE$108</f>
        <v>461.38</v>
      </c>
      <c r="AZ108">
        <f>$H$108*$AF$108</f>
        <v>461.38</v>
      </c>
    </row>
    <row r="109" spans="1:52" x14ac:dyDescent="0.25">
      <c r="A109">
        <v>148</v>
      </c>
      <c r="B109" t="s">
        <v>259</v>
      </c>
      <c r="C109" t="s">
        <v>406</v>
      </c>
      <c r="D109">
        <v>9</v>
      </c>
      <c r="E109">
        <v>8.19</v>
      </c>
      <c r="F109" t="s">
        <v>285</v>
      </c>
      <c r="G109">
        <v>0.91</v>
      </c>
      <c r="H109">
        <v>9.83</v>
      </c>
      <c r="I109" t="s">
        <v>286</v>
      </c>
      <c r="J109" t="s">
        <v>407</v>
      </c>
      <c r="K109" t="s">
        <v>525</v>
      </c>
      <c r="L109" t="s">
        <v>203</v>
      </c>
      <c r="M109" t="s">
        <v>259</v>
      </c>
      <c r="N109" t="s">
        <v>12</v>
      </c>
      <c r="O109" t="s">
        <v>260</v>
      </c>
      <c r="P109">
        <v>0</v>
      </c>
      <c r="Q109">
        <v>0</v>
      </c>
      <c r="R109">
        <v>0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259</v>
      </c>
      <c r="AH109" t="s">
        <v>12</v>
      </c>
      <c r="AI109" t="s">
        <v>260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9.83</v>
      </c>
      <c r="AN109">
        <f>$H$109*$T$109</f>
        <v>9.83</v>
      </c>
      <c r="AO109">
        <f>$H$109*$U$109</f>
        <v>9.83</v>
      </c>
      <c r="AP109">
        <f>$H$109*$V$109</f>
        <v>9.83</v>
      </c>
      <c r="AQ109">
        <f>$H$109*$W$109</f>
        <v>9.83</v>
      </c>
      <c r="AR109">
        <f>$H$109*$X$109</f>
        <v>9.83</v>
      </c>
      <c r="AS109">
        <f>$H$109*$Y$109</f>
        <v>9.83</v>
      </c>
      <c r="AT109">
        <f>$H$109*$Z$109</f>
        <v>9.83</v>
      </c>
      <c r="AU109">
        <f>$H$109*$AA$109</f>
        <v>9.83</v>
      </c>
      <c r="AV109">
        <f>$H$109*$AB$109</f>
        <v>9.83</v>
      </c>
      <c r="AW109">
        <f>$H$109*$AC$109</f>
        <v>9.83</v>
      </c>
      <c r="AX109">
        <f>$H$109*$AD$109</f>
        <v>9.83</v>
      </c>
      <c r="AY109">
        <f>$H$109*$AE$109</f>
        <v>9.83</v>
      </c>
      <c r="AZ109">
        <f>$H$109*$AF$109</f>
        <v>9.83</v>
      </c>
    </row>
    <row r="110" spans="1:52" x14ac:dyDescent="0.25">
      <c r="A110">
        <v>149</v>
      </c>
      <c r="B110" t="s">
        <v>259</v>
      </c>
      <c r="C110" t="s">
        <v>408</v>
      </c>
      <c r="D110">
        <v>9</v>
      </c>
      <c r="E110">
        <v>46.08</v>
      </c>
      <c r="F110" t="s">
        <v>285</v>
      </c>
      <c r="G110">
        <v>5.12</v>
      </c>
      <c r="H110">
        <v>55.3</v>
      </c>
      <c r="I110" t="s">
        <v>289</v>
      </c>
      <c r="J110" t="s">
        <v>409</v>
      </c>
      <c r="K110" t="s">
        <v>526</v>
      </c>
      <c r="L110" t="s">
        <v>203</v>
      </c>
      <c r="M110" t="s">
        <v>259</v>
      </c>
      <c r="N110" t="s">
        <v>12</v>
      </c>
      <c r="O110" t="s">
        <v>260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259</v>
      </c>
      <c r="AH110" t="s">
        <v>12</v>
      </c>
      <c r="AI110" t="s">
        <v>260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55.3</v>
      </c>
      <c r="AN110">
        <f>$H$110*$T$110</f>
        <v>55.3</v>
      </c>
      <c r="AO110">
        <f>$H$110*$U$110</f>
        <v>55.3</v>
      </c>
      <c r="AP110">
        <f>$H$110*$V$110</f>
        <v>55.3</v>
      </c>
      <c r="AQ110">
        <f>$H$110*$W$110</f>
        <v>55.3</v>
      </c>
      <c r="AR110">
        <f>$H$110*$X$110</f>
        <v>55.3</v>
      </c>
      <c r="AS110">
        <f>$H$110*$Y$110</f>
        <v>55.3</v>
      </c>
      <c r="AT110">
        <f>$H$110*$Z$110</f>
        <v>55.3</v>
      </c>
      <c r="AU110">
        <f>$H$110*$AA$110</f>
        <v>55.3</v>
      </c>
      <c r="AV110">
        <f>$H$110*$AB$110</f>
        <v>55.3</v>
      </c>
      <c r="AW110">
        <f>$H$110*$AC$110</f>
        <v>55.3</v>
      </c>
      <c r="AX110">
        <f>$H$110*$AD$110</f>
        <v>55.3</v>
      </c>
      <c r="AY110">
        <f>$H$110*$AE$110</f>
        <v>55.3</v>
      </c>
      <c r="AZ110">
        <f>$H$110*$AF$110</f>
        <v>55.3</v>
      </c>
    </row>
    <row r="111" spans="1:52" x14ac:dyDescent="0.25">
      <c r="A111">
        <v>150</v>
      </c>
      <c r="B111" t="s">
        <v>259</v>
      </c>
      <c r="C111" t="s">
        <v>404</v>
      </c>
      <c r="D111">
        <v>20.25</v>
      </c>
      <c r="E111">
        <v>54.07</v>
      </c>
      <c r="F111" t="s">
        <v>303</v>
      </c>
      <c r="G111">
        <v>2.67</v>
      </c>
      <c r="H111">
        <v>64.89</v>
      </c>
      <c r="I111" t="s">
        <v>314</v>
      </c>
      <c r="J111" t="s">
        <v>405</v>
      </c>
      <c r="K111" t="s">
        <v>524</v>
      </c>
      <c r="L111" t="s">
        <v>203</v>
      </c>
      <c r="M111" t="s">
        <v>259</v>
      </c>
      <c r="N111" t="s">
        <v>12</v>
      </c>
      <c r="O111" t="s">
        <v>260</v>
      </c>
      <c r="P111">
        <v>0</v>
      </c>
      <c r="Q111">
        <v>0</v>
      </c>
      <c r="R111">
        <v>0</v>
      </c>
      <c r="S111">
        <v>0.25</v>
      </c>
      <c r="T111">
        <v>0.25</v>
      </c>
      <c r="U111">
        <v>0.25</v>
      </c>
      <c r="V111">
        <v>0.25</v>
      </c>
      <c r="W111">
        <v>0.25</v>
      </c>
      <c r="X111">
        <v>0.5</v>
      </c>
      <c r="Y111">
        <v>0.5</v>
      </c>
      <c r="Z111">
        <v>0.5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259</v>
      </c>
      <c r="AH111" t="s">
        <v>12</v>
      </c>
      <c r="AI111" t="s">
        <v>260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16.2225</v>
      </c>
      <c r="AN111">
        <f>$H$111*$T$111</f>
        <v>16.2225</v>
      </c>
      <c r="AO111">
        <f>$H$111*$U$111</f>
        <v>16.2225</v>
      </c>
      <c r="AP111">
        <f>$H$111*$V$111</f>
        <v>16.2225</v>
      </c>
      <c r="AQ111">
        <f>$H$111*$W$111</f>
        <v>16.2225</v>
      </c>
      <c r="AR111">
        <f>$H$111*$X$111</f>
        <v>32.445</v>
      </c>
      <c r="AS111">
        <f>$H$111*$Y$111</f>
        <v>32.445</v>
      </c>
      <c r="AT111">
        <f>$H$111*$Z$111</f>
        <v>32.445</v>
      </c>
      <c r="AU111">
        <f>$H$111*$AA$111</f>
        <v>64.89</v>
      </c>
      <c r="AV111">
        <f>$H$111*$AB$111</f>
        <v>64.89</v>
      </c>
      <c r="AW111">
        <f>$H$111*$AC$111</f>
        <v>64.89</v>
      </c>
      <c r="AX111">
        <f>$H$111*$AD$111</f>
        <v>64.89</v>
      </c>
      <c r="AY111">
        <f>$H$111*$AE$111</f>
        <v>64.89</v>
      </c>
      <c r="AZ111">
        <f>$H$111*$AF$111</f>
        <v>64.89</v>
      </c>
    </row>
    <row r="112" spans="1:52" x14ac:dyDescent="0.25">
      <c r="A112">
        <v>151</v>
      </c>
      <c r="B112" t="s">
        <v>259</v>
      </c>
      <c r="C112" t="s">
        <v>410</v>
      </c>
      <c r="D112">
        <v>20.25</v>
      </c>
      <c r="E112">
        <v>12.76</v>
      </c>
      <c r="F112" t="s">
        <v>303</v>
      </c>
      <c r="G112">
        <v>0.63</v>
      </c>
      <c r="H112">
        <v>15.32</v>
      </c>
      <c r="I112" t="s">
        <v>286</v>
      </c>
      <c r="J112" t="s">
        <v>411</v>
      </c>
      <c r="K112" t="s">
        <v>527</v>
      </c>
      <c r="L112" t="s">
        <v>203</v>
      </c>
      <c r="M112" t="s">
        <v>259</v>
      </c>
      <c r="N112" t="s">
        <v>12</v>
      </c>
      <c r="O112" t="s">
        <v>260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1</v>
      </c>
      <c r="AE112">
        <v>1</v>
      </c>
      <c r="AF112">
        <v>1</v>
      </c>
      <c r="AG112" t="s">
        <v>259</v>
      </c>
      <c r="AH112" t="s">
        <v>12</v>
      </c>
      <c r="AI112" t="s">
        <v>260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0</v>
      </c>
      <c r="AV112">
        <f>$H$112*$AB$112</f>
        <v>0</v>
      </c>
      <c r="AW112">
        <f>$H$112*$AC$112</f>
        <v>0</v>
      </c>
      <c r="AX112">
        <f>$H$112*$AD$112</f>
        <v>15.32</v>
      </c>
      <c r="AY112">
        <f>$H$112*$AE$112</f>
        <v>15.32</v>
      </c>
      <c r="AZ112">
        <f>$H$112*$AF$112</f>
        <v>15.32</v>
      </c>
    </row>
    <row r="113" spans="1:52" x14ac:dyDescent="0.25">
      <c r="A113">
        <v>152</v>
      </c>
      <c r="B113" t="s">
        <v>259</v>
      </c>
      <c r="C113" t="s">
        <v>412</v>
      </c>
      <c r="D113">
        <v>20.25</v>
      </c>
      <c r="E113">
        <v>13.97</v>
      </c>
      <c r="F113" t="s">
        <v>303</v>
      </c>
      <c r="G113">
        <v>0.69</v>
      </c>
      <c r="H113">
        <v>16.77</v>
      </c>
      <c r="I113" t="s">
        <v>286</v>
      </c>
      <c r="J113" t="s">
        <v>413</v>
      </c>
      <c r="K113" t="s">
        <v>528</v>
      </c>
      <c r="L113" t="s">
        <v>203</v>
      </c>
      <c r="M113" t="s">
        <v>259</v>
      </c>
      <c r="N113" t="s">
        <v>12</v>
      </c>
      <c r="O113" t="s">
        <v>260</v>
      </c>
      <c r="P113">
        <v>0</v>
      </c>
      <c r="Q113">
        <v>0</v>
      </c>
      <c r="R113">
        <v>0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259</v>
      </c>
      <c r="AH113" t="s">
        <v>12</v>
      </c>
      <c r="AI113" t="s">
        <v>260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16.77</v>
      </c>
      <c r="AN113">
        <f>$H$113*$T$113</f>
        <v>16.77</v>
      </c>
      <c r="AO113">
        <f>$H$113*$U$113</f>
        <v>16.77</v>
      </c>
      <c r="AP113">
        <f>$H$113*$V$113</f>
        <v>16.77</v>
      </c>
      <c r="AQ113">
        <f>$H$113*$W$113</f>
        <v>16.77</v>
      </c>
      <c r="AR113">
        <f>$H$113*$X$113</f>
        <v>16.77</v>
      </c>
      <c r="AS113">
        <f>$H$113*$Y$113</f>
        <v>16.77</v>
      </c>
      <c r="AT113">
        <f>$H$113*$Z$113</f>
        <v>16.77</v>
      </c>
      <c r="AU113">
        <f>$H$113*$AA$113</f>
        <v>16.77</v>
      </c>
      <c r="AV113">
        <f>$H$113*$AB$113</f>
        <v>16.77</v>
      </c>
      <c r="AW113">
        <f>$H$113*$AC$113</f>
        <v>16.77</v>
      </c>
      <c r="AX113">
        <f>$H$113*$AD$113</f>
        <v>16.77</v>
      </c>
      <c r="AY113">
        <f>$H$113*$AE$113</f>
        <v>16.77</v>
      </c>
      <c r="AZ113">
        <f>$H$113*$AF$113</f>
        <v>16.77</v>
      </c>
    </row>
    <row r="114" spans="1:52" x14ac:dyDescent="0.25">
      <c r="A114">
        <v>153</v>
      </c>
      <c r="B114" t="s">
        <v>259</v>
      </c>
      <c r="C114" t="s">
        <v>414</v>
      </c>
      <c r="D114">
        <v>4.66</v>
      </c>
      <c r="E114">
        <v>18.78</v>
      </c>
      <c r="F114" t="s">
        <v>303</v>
      </c>
      <c r="G114">
        <v>4.03</v>
      </c>
      <c r="H114">
        <v>22.54</v>
      </c>
      <c r="I114" t="s">
        <v>415</v>
      </c>
      <c r="J114" t="s">
        <v>416</v>
      </c>
      <c r="K114" t="s">
        <v>529</v>
      </c>
      <c r="L114" t="s">
        <v>203</v>
      </c>
      <c r="M114" t="s">
        <v>259</v>
      </c>
      <c r="N114" t="s">
        <v>12</v>
      </c>
      <c r="O114" t="s">
        <v>260</v>
      </c>
      <c r="P114">
        <v>0</v>
      </c>
      <c r="Q114">
        <v>0</v>
      </c>
      <c r="R114">
        <v>0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259</v>
      </c>
      <c r="AH114" t="s">
        <v>12</v>
      </c>
      <c r="AI114" t="s">
        <v>260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22.54</v>
      </c>
      <c r="AN114">
        <f>$H$114*$T$114</f>
        <v>22.54</v>
      </c>
      <c r="AO114">
        <f>$H$114*$U$114</f>
        <v>22.54</v>
      </c>
      <c r="AP114">
        <f>$H$114*$V$114</f>
        <v>22.54</v>
      </c>
      <c r="AQ114">
        <f>$H$114*$W$114</f>
        <v>22.54</v>
      </c>
      <c r="AR114">
        <f>$H$114*$X$114</f>
        <v>22.54</v>
      </c>
      <c r="AS114">
        <f>$H$114*$Y$114</f>
        <v>22.54</v>
      </c>
      <c r="AT114">
        <f>$H$114*$Z$114</f>
        <v>22.54</v>
      </c>
      <c r="AU114">
        <f>$H$114*$AA$114</f>
        <v>22.54</v>
      </c>
      <c r="AV114">
        <f>$H$114*$AB$114</f>
        <v>22.54</v>
      </c>
      <c r="AW114">
        <f>$H$114*$AC$114</f>
        <v>22.54</v>
      </c>
      <c r="AX114">
        <f>$H$114*$AD$114</f>
        <v>22.54</v>
      </c>
      <c r="AY114">
        <f>$H$114*$AE$114</f>
        <v>22.54</v>
      </c>
      <c r="AZ114">
        <f>$H$114*$AF$114</f>
        <v>22.54</v>
      </c>
    </row>
    <row r="115" spans="1:52" x14ac:dyDescent="0.25">
      <c r="A115">
        <v>154</v>
      </c>
      <c r="B115" t="s">
        <v>259</v>
      </c>
      <c r="C115" t="s">
        <v>417</v>
      </c>
      <c r="D115">
        <v>18.63</v>
      </c>
      <c r="E115">
        <v>12.48</v>
      </c>
      <c r="F115" t="s">
        <v>303</v>
      </c>
      <c r="G115">
        <v>0.67</v>
      </c>
      <c r="H115">
        <v>14.98</v>
      </c>
      <c r="I115" t="s">
        <v>326</v>
      </c>
      <c r="J115" t="s">
        <v>418</v>
      </c>
      <c r="K115" t="s">
        <v>530</v>
      </c>
      <c r="L115" t="s">
        <v>203</v>
      </c>
      <c r="M115" t="s">
        <v>259</v>
      </c>
      <c r="N115" t="s">
        <v>12</v>
      </c>
      <c r="O115" t="s">
        <v>260</v>
      </c>
      <c r="P115">
        <v>0</v>
      </c>
      <c r="Q115">
        <v>0</v>
      </c>
      <c r="R115">
        <v>0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259</v>
      </c>
      <c r="AH115" t="s">
        <v>12</v>
      </c>
      <c r="AI115" t="s">
        <v>260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14.98</v>
      </c>
      <c r="AN115">
        <f>$H$115*$T$115</f>
        <v>14.98</v>
      </c>
      <c r="AO115">
        <f>$H$115*$U$115</f>
        <v>14.98</v>
      </c>
      <c r="AP115">
        <f>$H$115*$V$115</f>
        <v>14.98</v>
      </c>
      <c r="AQ115">
        <f>$H$115*$W$115</f>
        <v>14.98</v>
      </c>
      <c r="AR115">
        <f>$H$115*$X$115</f>
        <v>14.98</v>
      </c>
      <c r="AS115">
        <f>$H$115*$Y$115</f>
        <v>14.98</v>
      </c>
      <c r="AT115">
        <f>$H$115*$Z$115</f>
        <v>14.98</v>
      </c>
      <c r="AU115">
        <f>$H$115*$AA$115</f>
        <v>14.98</v>
      </c>
      <c r="AV115">
        <f>$H$115*$AB$115</f>
        <v>14.98</v>
      </c>
      <c r="AW115">
        <f>$H$115*$AC$115</f>
        <v>14.98</v>
      </c>
      <c r="AX115">
        <f>$H$115*$AD$115</f>
        <v>14.98</v>
      </c>
      <c r="AY115">
        <f>$H$115*$AE$115</f>
        <v>14.98</v>
      </c>
      <c r="AZ115">
        <f>$H$115*$AF$115</f>
        <v>14.98</v>
      </c>
    </row>
    <row r="116" spans="1:52" x14ac:dyDescent="0.25">
      <c r="A116">
        <v>155</v>
      </c>
      <c r="B116" t="s">
        <v>259</v>
      </c>
      <c r="C116" t="s">
        <v>419</v>
      </c>
      <c r="D116">
        <v>18.63</v>
      </c>
      <c r="E116">
        <v>59.99</v>
      </c>
      <c r="F116" t="s">
        <v>303</v>
      </c>
      <c r="G116">
        <v>3.22</v>
      </c>
      <c r="H116">
        <v>71.989999999999995</v>
      </c>
      <c r="I116" t="s">
        <v>326</v>
      </c>
      <c r="J116" t="s">
        <v>416</v>
      </c>
      <c r="K116" t="s">
        <v>531</v>
      </c>
      <c r="L116" t="s">
        <v>203</v>
      </c>
      <c r="M116" t="s">
        <v>259</v>
      </c>
      <c r="N116" t="s">
        <v>12</v>
      </c>
      <c r="O116" t="s">
        <v>260</v>
      </c>
      <c r="P116">
        <v>0</v>
      </c>
      <c r="Q116">
        <v>0</v>
      </c>
      <c r="R116">
        <v>0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259</v>
      </c>
      <c r="AH116" t="s">
        <v>12</v>
      </c>
      <c r="AI116" t="s">
        <v>260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71.989999999999995</v>
      </c>
      <c r="AN116">
        <f>$H$116*$T$116</f>
        <v>71.989999999999995</v>
      </c>
      <c r="AO116">
        <f>$H$116*$U$116</f>
        <v>71.989999999999995</v>
      </c>
      <c r="AP116">
        <f>$H$116*$V$116</f>
        <v>71.989999999999995</v>
      </c>
      <c r="AQ116">
        <f>$H$116*$W$116</f>
        <v>71.989999999999995</v>
      </c>
      <c r="AR116">
        <f>$H$116*$X$116</f>
        <v>71.989999999999995</v>
      </c>
      <c r="AS116">
        <f>$H$116*$Y$116</f>
        <v>71.989999999999995</v>
      </c>
      <c r="AT116">
        <f>$H$116*$Z$116</f>
        <v>71.989999999999995</v>
      </c>
      <c r="AU116">
        <f>$H$116*$AA$116</f>
        <v>71.989999999999995</v>
      </c>
      <c r="AV116">
        <f>$H$116*$AB$116</f>
        <v>71.989999999999995</v>
      </c>
      <c r="AW116">
        <f>$H$116*$AC$116</f>
        <v>71.989999999999995</v>
      </c>
      <c r="AX116">
        <f>$H$116*$AD$116</f>
        <v>71.989999999999995</v>
      </c>
      <c r="AY116">
        <f>$H$116*$AE$116</f>
        <v>71.989999999999995</v>
      </c>
      <c r="AZ116">
        <f>$H$116*$AF$116</f>
        <v>71.989999999999995</v>
      </c>
    </row>
    <row r="117" spans="1:52" x14ac:dyDescent="0.25">
      <c r="A117">
        <v>156</v>
      </c>
      <c r="B117" t="s">
        <v>267</v>
      </c>
      <c r="C117" t="s">
        <v>365</v>
      </c>
      <c r="D117">
        <v>6</v>
      </c>
      <c r="E117">
        <v>79.62</v>
      </c>
      <c r="F117" t="s">
        <v>290</v>
      </c>
      <c r="G117">
        <v>13.27</v>
      </c>
      <c r="H117">
        <v>95.54</v>
      </c>
      <c r="I117" t="s">
        <v>292</v>
      </c>
      <c r="J117" t="s">
        <v>366</v>
      </c>
      <c r="K117" t="s">
        <v>505</v>
      </c>
      <c r="L117" t="s">
        <v>203</v>
      </c>
      <c r="M117" t="s">
        <v>267</v>
      </c>
      <c r="N117" t="s">
        <v>51</v>
      </c>
      <c r="O117" t="s">
        <v>15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267</v>
      </c>
      <c r="AH117" t="s">
        <v>51</v>
      </c>
      <c r="AI117" t="s">
        <v>15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95.54</v>
      </c>
      <c r="AS117">
        <f>$H$117*$Y$117</f>
        <v>95.54</v>
      </c>
      <c r="AT117">
        <f>$H$117*$Z$117</f>
        <v>95.54</v>
      </c>
      <c r="AU117">
        <f>$H$117*$AA$117</f>
        <v>95.54</v>
      </c>
      <c r="AV117">
        <f>$H$117*$AB$117</f>
        <v>95.54</v>
      </c>
      <c r="AW117">
        <f>$H$117*$AC$117</f>
        <v>95.54</v>
      </c>
      <c r="AX117">
        <f>$H$117*$AD$117</f>
        <v>95.54</v>
      </c>
      <c r="AY117">
        <f>$H$117*$AE$117</f>
        <v>95.54</v>
      </c>
      <c r="AZ117">
        <f>$H$117*$AF$117</f>
        <v>95.54</v>
      </c>
    </row>
    <row r="118" spans="1:52" x14ac:dyDescent="0.25">
      <c r="A118">
        <v>157</v>
      </c>
      <c r="B118" t="s">
        <v>267</v>
      </c>
      <c r="C118" t="s">
        <v>307</v>
      </c>
      <c r="D118">
        <v>11</v>
      </c>
      <c r="E118">
        <v>48.84</v>
      </c>
      <c r="F118" t="s">
        <v>285</v>
      </c>
      <c r="G118">
        <v>4.4400000000000004</v>
      </c>
      <c r="H118">
        <v>58.6</v>
      </c>
      <c r="I118" t="s">
        <v>286</v>
      </c>
      <c r="J118" t="s">
        <v>308</v>
      </c>
      <c r="K118" t="s">
        <v>477</v>
      </c>
      <c r="L118" t="s">
        <v>203</v>
      </c>
      <c r="M118" t="s">
        <v>267</v>
      </c>
      <c r="N118" t="s">
        <v>51</v>
      </c>
      <c r="O118" t="s">
        <v>15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267</v>
      </c>
      <c r="AH118" t="s">
        <v>51</v>
      </c>
      <c r="AI118" t="s">
        <v>15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58.6</v>
      </c>
      <c r="AV118">
        <f>$H$118*$AB$118</f>
        <v>58.6</v>
      </c>
      <c r="AW118">
        <f>$H$118*$AC$118</f>
        <v>58.6</v>
      </c>
      <c r="AX118">
        <f>$H$118*$AD$118</f>
        <v>58.6</v>
      </c>
      <c r="AY118">
        <f>$H$118*$AE$118</f>
        <v>58.6</v>
      </c>
      <c r="AZ118">
        <f>$H$118*$AF$118</f>
        <v>58.6</v>
      </c>
    </row>
    <row r="119" spans="1:52" x14ac:dyDescent="0.25">
      <c r="A119">
        <v>158</v>
      </c>
      <c r="B119" t="s">
        <v>267</v>
      </c>
      <c r="C119" t="s">
        <v>309</v>
      </c>
      <c r="D119">
        <v>11</v>
      </c>
      <c r="E119">
        <v>127.05</v>
      </c>
      <c r="F119" t="s">
        <v>285</v>
      </c>
      <c r="G119">
        <v>11.55</v>
      </c>
      <c r="H119">
        <v>152.47</v>
      </c>
      <c r="I119" t="s">
        <v>289</v>
      </c>
      <c r="J119" t="s">
        <v>310</v>
      </c>
      <c r="K119" t="s">
        <v>478</v>
      </c>
      <c r="L119" t="s">
        <v>203</v>
      </c>
      <c r="M119" t="s">
        <v>267</v>
      </c>
      <c r="N119" t="s">
        <v>51</v>
      </c>
      <c r="O119" t="s">
        <v>15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267</v>
      </c>
      <c r="AH119" t="s">
        <v>51</v>
      </c>
      <c r="AI119" t="s">
        <v>15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152.47</v>
      </c>
      <c r="AV119">
        <f>$H$119*$AB$119</f>
        <v>152.47</v>
      </c>
      <c r="AW119">
        <f>$H$119*$AC$119</f>
        <v>152.47</v>
      </c>
      <c r="AX119">
        <f>$H$119*$AD$119</f>
        <v>152.47</v>
      </c>
      <c r="AY119">
        <f>$H$119*$AE$119</f>
        <v>152.47</v>
      </c>
      <c r="AZ119">
        <f>$H$119*$AF$119</f>
        <v>152.47</v>
      </c>
    </row>
    <row r="120" spans="1:52" x14ac:dyDescent="0.25">
      <c r="A120">
        <v>159</v>
      </c>
      <c r="B120" t="s">
        <v>267</v>
      </c>
      <c r="C120" t="s">
        <v>426</v>
      </c>
      <c r="D120">
        <v>1</v>
      </c>
      <c r="E120">
        <v>48.06</v>
      </c>
      <c r="F120" t="s">
        <v>290</v>
      </c>
      <c r="G120">
        <v>48.06</v>
      </c>
      <c r="H120">
        <v>57.68</v>
      </c>
      <c r="I120" t="s">
        <v>295</v>
      </c>
      <c r="J120" t="s">
        <v>390</v>
      </c>
      <c r="K120" t="s">
        <v>535</v>
      </c>
      <c r="L120" t="s">
        <v>203</v>
      </c>
      <c r="M120" t="s">
        <v>267</v>
      </c>
      <c r="N120" t="s">
        <v>51</v>
      </c>
      <c r="O120" t="s">
        <v>15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1</v>
      </c>
      <c r="AE120">
        <v>1</v>
      </c>
      <c r="AF120">
        <v>1</v>
      </c>
      <c r="AG120" t="s">
        <v>267</v>
      </c>
      <c r="AH120" t="s">
        <v>51</v>
      </c>
      <c r="AI120" t="s">
        <v>15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0</v>
      </c>
      <c r="AV120">
        <f>$H$120*$AB$120</f>
        <v>0</v>
      </c>
      <c r="AW120">
        <f>$H$120*$AC$120</f>
        <v>0</v>
      </c>
      <c r="AX120">
        <f>$H$120*$AD$120</f>
        <v>57.68</v>
      </c>
      <c r="AY120">
        <f>$H$120*$AE$120</f>
        <v>57.68</v>
      </c>
      <c r="AZ120">
        <f>$H$120*$AF$120</f>
        <v>57.68</v>
      </c>
    </row>
    <row r="121" spans="1:52" x14ac:dyDescent="0.25">
      <c r="A121">
        <v>160</v>
      </c>
      <c r="B121" t="s">
        <v>267</v>
      </c>
      <c r="C121" t="s">
        <v>427</v>
      </c>
      <c r="D121">
        <v>1</v>
      </c>
      <c r="E121">
        <v>47.96</v>
      </c>
      <c r="F121" t="s">
        <v>290</v>
      </c>
      <c r="G121">
        <v>47.96</v>
      </c>
      <c r="H121">
        <v>57.56</v>
      </c>
      <c r="I121" t="s">
        <v>317</v>
      </c>
      <c r="J121" t="s">
        <v>428</v>
      </c>
      <c r="K121" t="s">
        <v>536</v>
      </c>
      <c r="L121" t="s">
        <v>203</v>
      </c>
      <c r="M121" t="s">
        <v>267</v>
      </c>
      <c r="N121" t="s">
        <v>51</v>
      </c>
      <c r="O121" t="s">
        <v>15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267</v>
      </c>
      <c r="AH121" t="s">
        <v>51</v>
      </c>
      <c r="AI121" t="s">
        <v>15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57.56</v>
      </c>
      <c r="AV121">
        <f>$H$121*$AB$121</f>
        <v>57.56</v>
      </c>
      <c r="AW121">
        <f>$H$121*$AC$121</f>
        <v>57.56</v>
      </c>
      <c r="AX121">
        <f>$H$121*$AD$121</f>
        <v>57.56</v>
      </c>
      <c r="AY121">
        <f>$H$121*$AE$121</f>
        <v>57.56</v>
      </c>
      <c r="AZ121">
        <f>$H$121*$AF$121</f>
        <v>57.56</v>
      </c>
    </row>
    <row r="122" spans="1:52" x14ac:dyDescent="0.25">
      <c r="A122">
        <v>161</v>
      </c>
      <c r="B122" t="s">
        <v>267</v>
      </c>
      <c r="C122" t="s">
        <v>324</v>
      </c>
      <c r="D122">
        <v>2</v>
      </c>
      <c r="E122">
        <v>77.86</v>
      </c>
      <c r="F122" t="s">
        <v>290</v>
      </c>
      <c r="G122">
        <v>38.93</v>
      </c>
      <c r="H122">
        <v>93.44</v>
      </c>
      <c r="I122" t="s">
        <v>286</v>
      </c>
      <c r="J122" t="s">
        <v>320</v>
      </c>
      <c r="K122" t="s">
        <v>484</v>
      </c>
      <c r="L122" t="s">
        <v>203</v>
      </c>
      <c r="M122" t="s">
        <v>267</v>
      </c>
      <c r="N122" t="s">
        <v>51</v>
      </c>
      <c r="O122" t="s">
        <v>15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267</v>
      </c>
      <c r="AH122" t="s">
        <v>51</v>
      </c>
      <c r="AI122" t="s">
        <v>15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93.44</v>
      </c>
      <c r="AN122">
        <f>$H$122*$T$122</f>
        <v>93.44</v>
      </c>
      <c r="AO122">
        <f>$H$122*$U$122</f>
        <v>93.44</v>
      </c>
      <c r="AP122">
        <f>$H$122*$V$122</f>
        <v>93.44</v>
      </c>
      <c r="AQ122">
        <f>$H$122*$W$122</f>
        <v>93.44</v>
      </c>
      <c r="AR122">
        <f>$H$122*$X$122</f>
        <v>93.44</v>
      </c>
      <c r="AS122">
        <f>$H$122*$Y$122</f>
        <v>93.44</v>
      </c>
      <c r="AT122">
        <f>$H$122*$Z$122</f>
        <v>93.44</v>
      </c>
      <c r="AU122">
        <f>$H$122*$AA$122</f>
        <v>93.44</v>
      </c>
      <c r="AV122">
        <f>$H$122*$AB$122</f>
        <v>93.44</v>
      </c>
      <c r="AW122">
        <f>$H$122*$AC$122</f>
        <v>93.44</v>
      </c>
      <c r="AX122">
        <f>$H$122*$AD$122</f>
        <v>93.44</v>
      </c>
      <c r="AY122">
        <f>$H$122*$AE$122</f>
        <v>93.44</v>
      </c>
      <c r="AZ122">
        <f>$H$122*$AF$122</f>
        <v>93.44</v>
      </c>
    </row>
    <row r="123" spans="1:52" x14ac:dyDescent="0.25">
      <c r="A123">
        <v>162</v>
      </c>
      <c r="B123" t="s">
        <v>267</v>
      </c>
      <c r="C123" t="s">
        <v>319</v>
      </c>
      <c r="D123">
        <v>1</v>
      </c>
      <c r="E123">
        <v>365.09</v>
      </c>
      <c r="F123" t="s">
        <v>290</v>
      </c>
      <c r="G123">
        <v>365.09</v>
      </c>
      <c r="H123">
        <v>438.11</v>
      </c>
      <c r="I123" t="s">
        <v>320</v>
      </c>
      <c r="J123" t="s">
        <v>321</v>
      </c>
      <c r="K123" t="s">
        <v>482</v>
      </c>
      <c r="L123" t="s">
        <v>203</v>
      </c>
      <c r="M123" t="s">
        <v>267</v>
      </c>
      <c r="N123" t="s">
        <v>51</v>
      </c>
      <c r="O123" t="s">
        <v>15</v>
      </c>
      <c r="P123">
        <v>0</v>
      </c>
      <c r="Q123">
        <v>0</v>
      </c>
      <c r="R123">
        <v>0</v>
      </c>
      <c r="S123">
        <v>0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267</v>
      </c>
      <c r="AH123" t="s">
        <v>51</v>
      </c>
      <c r="AI123" t="s">
        <v>15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438.11</v>
      </c>
      <c r="AO123">
        <f>$H$123*$U$123</f>
        <v>438.11</v>
      </c>
      <c r="AP123">
        <f>$H$123*$V$123</f>
        <v>438.11</v>
      </c>
      <c r="AQ123">
        <f>$H$123*$W$123</f>
        <v>438.11</v>
      </c>
      <c r="AR123">
        <f>$H$123*$X$123</f>
        <v>438.11</v>
      </c>
      <c r="AS123">
        <f>$H$123*$Y$123</f>
        <v>438.11</v>
      </c>
      <c r="AT123">
        <f>$H$123*$Z$123</f>
        <v>438.11</v>
      </c>
      <c r="AU123">
        <f>$H$123*$AA$123</f>
        <v>438.11</v>
      </c>
      <c r="AV123">
        <f>$H$123*$AB$123</f>
        <v>438.11</v>
      </c>
      <c r="AW123">
        <f>$H$123*$AC$123</f>
        <v>438.11</v>
      </c>
      <c r="AX123">
        <f>$H$123*$AD$123</f>
        <v>438.11</v>
      </c>
      <c r="AY123">
        <f>$H$123*$AE$123</f>
        <v>438.11</v>
      </c>
      <c r="AZ123">
        <f>$H$123*$AF$123</f>
        <v>438.11</v>
      </c>
    </row>
    <row r="124" spans="1:52" x14ac:dyDescent="0.25">
      <c r="A124">
        <v>163</v>
      </c>
      <c r="B124" t="s">
        <v>267</v>
      </c>
      <c r="C124" t="s">
        <v>311</v>
      </c>
      <c r="D124">
        <v>173.33</v>
      </c>
      <c r="E124">
        <v>169.86</v>
      </c>
      <c r="F124" t="s">
        <v>303</v>
      </c>
      <c r="G124">
        <v>0.98</v>
      </c>
      <c r="H124">
        <v>203.84</v>
      </c>
      <c r="I124" t="s">
        <v>286</v>
      </c>
      <c r="J124" t="s">
        <v>312</v>
      </c>
      <c r="K124" t="s">
        <v>479</v>
      </c>
      <c r="L124" t="s">
        <v>203</v>
      </c>
      <c r="M124" t="s">
        <v>267</v>
      </c>
      <c r="N124" t="s">
        <v>51</v>
      </c>
      <c r="O124" t="s">
        <v>15</v>
      </c>
      <c r="P124">
        <v>0</v>
      </c>
      <c r="Q124">
        <v>0</v>
      </c>
      <c r="R124">
        <v>0</v>
      </c>
      <c r="S124">
        <v>0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267</v>
      </c>
      <c r="AH124" t="s">
        <v>51</v>
      </c>
      <c r="AI124" t="s">
        <v>15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203.84</v>
      </c>
      <c r="AO124">
        <f>$H$124*$U$124</f>
        <v>203.84</v>
      </c>
      <c r="AP124">
        <f>$H$124*$V$124</f>
        <v>203.84</v>
      </c>
      <c r="AQ124">
        <f>$H$124*$W$124</f>
        <v>203.84</v>
      </c>
      <c r="AR124">
        <f>$H$124*$X$124</f>
        <v>203.84</v>
      </c>
      <c r="AS124">
        <f>$H$124*$Y$124</f>
        <v>203.84</v>
      </c>
      <c r="AT124">
        <f>$H$124*$Z$124</f>
        <v>203.84</v>
      </c>
      <c r="AU124">
        <f>$H$124*$AA$124</f>
        <v>203.84</v>
      </c>
      <c r="AV124">
        <f>$H$124*$AB$124</f>
        <v>203.84</v>
      </c>
      <c r="AW124">
        <f>$H$124*$AC$124</f>
        <v>203.84</v>
      </c>
      <c r="AX124">
        <f>$H$124*$AD$124</f>
        <v>203.84</v>
      </c>
      <c r="AY124">
        <f>$H$124*$AE$124</f>
        <v>203.84</v>
      </c>
      <c r="AZ124">
        <f>$H$124*$AF$124</f>
        <v>203.84</v>
      </c>
    </row>
    <row r="125" spans="1:52" x14ac:dyDescent="0.25">
      <c r="A125">
        <v>164</v>
      </c>
      <c r="B125" t="s">
        <v>267</v>
      </c>
      <c r="C125" t="s">
        <v>404</v>
      </c>
      <c r="D125">
        <v>173.33</v>
      </c>
      <c r="E125">
        <v>462.79</v>
      </c>
      <c r="F125" t="s">
        <v>303</v>
      </c>
      <c r="G125">
        <v>2.67</v>
      </c>
      <c r="H125">
        <v>555.35</v>
      </c>
      <c r="I125" t="s">
        <v>314</v>
      </c>
      <c r="J125" t="s">
        <v>405</v>
      </c>
      <c r="K125" t="s">
        <v>524</v>
      </c>
      <c r="L125" t="s">
        <v>203</v>
      </c>
      <c r="M125" t="s">
        <v>267</v>
      </c>
      <c r="N125" t="s">
        <v>51</v>
      </c>
      <c r="O125" t="s">
        <v>15</v>
      </c>
      <c r="P125">
        <v>0</v>
      </c>
      <c r="Q125">
        <v>0</v>
      </c>
      <c r="R125">
        <v>0</v>
      </c>
      <c r="S125">
        <v>0.25</v>
      </c>
      <c r="T125">
        <v>0.25</v>
      </c>
      <c r="U125">
        <v>0.25</v>
      </c>
      <c r="V125">
        <v>0.25</v>
      </c>
      <c r="W125">
        <v>0.25</v>
      </c>
      <c r="X125">
        <v>0.5</v>
      </c>
      <c r="Y125">
        <v>0.5</v>
      </c>
      <c r="Z125">
        <v>0.5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267</v>
      </c>
      <c r="AH125" t="s">
        <v>51</v>
      </c>
      <c r="AI125" t="s">
        <v>15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138.83750000000001</v>
      </c>
      <c r="AN125">
        <f>$H$125*$T$125</f>
        <v>138.83750000000001</v>
      </c>
      <c r="AO125">
        <f>$H$125*$U$125</f>
        <v>138.83750000000001</v>
      </c>
      <c r="AP125">
        <f>$H$125*$V$125</f>
        <v>138.83750000000001</v>
      </c>
      <c r="AQ125">
        <f>$H$125*$W$125</f>
        <v>138.83750000000001</v>
      </c>
      <c r="AR125">
        <f>$H$125*$X$125</f>
        <v>277.67500000000001</v>
      </c>
      <c r="AS125">
        <f>$H$125*$Y$125</f>
        <v>277.67500000000001</v>
      </c>
      <c r="AT125">
        <f>$H$125*$Z$125</f>
        <v>277.67500000000001</v>
      </c>
      <c r="AU125">
        <f>$H$125*$AA$125</f>
        <v>555.35</v>
      </c>
      <c r="AV125">
        <f>$H$125*$AB$125</f>
        <v>555.35</v>
      </c>
      <c r="AW125">
        <f>$H$125*$AC$125</f>
        <v>555.35</v>
      </c>
      <c r="AX125">
        <f>$H$125*$AD$125</f>
        <v>555.35</v>
      </c>
      <c r="AY125">
        <f>$H$125*$AE$125</f>
        <v>555.35</v>
      </c>
      <c r="AZ125">
        <f>$H$125*$AF$125</f>
        <v>555.35</v>
      </c>
    </row>
    <row r="126" spans="1:52" x14ac:dyDescent="0.25">
      <c r="A126">
        <v>165</v>
      </c>
      <c r="B126" t="s">
        <v>267</v>
      </c>
      <c r="C126" t="s">
        <v>429</v>
      </c>
      <c r="D126">
        <v>21.67</v>
      </c>
      <c r="E126">
        <v>76.28</v>
      </c>
      <c r="F126" t="s">
        <v>285</v>
      </c>
      <c r="G126">
        <v>3.52</v>
      </c>
      <c r="H126">
        <v>91.54</v>
      </c>
      <c r="I126" t="s">
        <v>289</v>
      </c>
      <c r="J126" t="s">
        <v>407</v>
      </c>
      <c r="K126" t="s">
        <v>537</v>
      </c>
      <c r="L126" t="s">
        <v>203</v>
      </c>
      <c r="M126" t="s">
        <v>267</v>
      </c>
      <c r="N126" t="s">
        <v>51</v>
      </c>
      <c r="O126" t="s">
        <v>15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267</v>
      </c>
      <c r="AH126" t="s">
        <v>51</v>
      </c>
      <c r="AI126" t="s">
        <v>15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91.54</v>
      </c>
      <c r="AN126">
        <f>$H$126*$T$126</f>
        <v>91.54</v>
      </c>
      <c r="AO126">
        <f>$H$126*$U$126</f>
        <v>91.54</v>
      </c>
      <c r="AP126">
        <f>$H$126*$V$126</f>
        <v>91.54</v>
      </c>
      <c r="AQ126">
        <f>$H$126*$W$126</f>
        <v>91.54</v>
      </c>
      <c r="AR126">
        <f>$H$126*$X$126</f>
        <v>91.54</v>
      </c>
      <c r="AS126">
        <f>$H$126*$Y$126</f>
        <v>91.54</v>
      </c>
      <c r="AT126">
        <f>$H$126*$Z$126</f>
        <v>91.54</v>
      </c>
      <c r="AU126">
        <f>$H$126*$AA$126</f>
        <v>91.54</v>
      </c>
      <c r="AV126">
        <f>$H$126*$AB$126</f>
        <v>91.54</v>
      </c>
      <c r="AW126">
        <f>$H$126*$AC$126</f>
        <v>91.54</v>
      </c>
      <c r="AX126">
        <f>$H$126*$AD$126</f>
        <v>91.54</v>
      </c>
      <c r="AY126">
        <f>$H$126*$AE$126</f>
        <v>91.54</v>
      </c>
      <c r="AZ126">
        <f>$H$126*$AF$126</f>
        <v>91.54</v>
      </c>
    </row>
    <row r="127" spans="1:52" x14ac:dyDescent="0.25">
      <c r="A127">
        <v>166</v>
      </c>
      <c r="B127" t="s">
        <v>267</v>
      </c>
      <c r="C127" t="s">
        <v>404</v>
      </c>
      <c r="D127">
        <v>28.5</v>
      </c>
      <c r="E127">
        <v>76.099999999999994</v>
      </c>
      <c r="F127" t="s">
        <v>303</v>
      </c>
      <c r="G127">
        <v>2.67</v>
      </c>
      <c r="H127">
        <v>91.32</v>
      </c>
      <c r="I127" t="s">
        <v>314</v>
      </c>
      <c r="J127" t="s">
        <v>405</v>
      </c>
      <c r="K127" t="s">
        <v>524</v>
      </c>
      <c r="L127" t="s">
        <v>203</v>
      </c>
      <c r="M127" t="s">
        <v>267</v>
      </c>
      <c r="N127" t="s">
        <v>51</v>
      </c>
      <c r="O127" t="s">
        <v>15</v>
      </c>
      <c r="P127">
        <v>0</v>
      </c>
      <c r="Q127">
        <v>0</v>
      </c>
      <c r="R127">
        <v>0</v>
      </c>
      <c r="S127">
        <v>0.25</v>
      </c>
      <c r="T127">
        <v>0.25</v>
      </c>
      <c r="U127">
        <v>0.25</v>
      </c>
      <c r="V127">
        <v>0.25</v>
      </c>
      <c r="W127">
        <v>0.25</v>
      </c>
      <c r="X127">
        <v>0.5</v>
      </c>
      <c r="Y127">
        <v>0.5</v>
      </c>
      <c r="Z127">
        <v>0.5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267</v>
      </c>
      <c r="AH127" t="s">
        <v>51</v>
      </c>
      <c r="AI127" t="s">
        <v>15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22.83</v>
      </c>
      <c r="AN127">
        <f>$H$127*$T$127</f>
        <v>22.83</v>
      </c>
      <c r="AO127">
        <f>$H$127*$U$127</f>
        <v>22.83</v>
      </c>
      <c r="AP127">
        <f>$H$127*$V$127</f>
        <v>22.83</v>
      </c>
      <c r="AQ127">
        <f>$H$127*$W$127</f>
        <v>22.83</v>
      </c>
      <c r="AR127">
        <f>$H$127*$X$127</f>
        <v>45.66</v>
      </c>
      <c r="AS127">
        <f>$H$127*$Y$127</f>
        <v>45.66</v>
      </c>
      <c r="AT127">
        <f>$H$127*$Z$127</f>
        <v>45.66</v>
      </c>
      <c r="AU127">
        <f>$H$127*$AA$127</f>
        <v>91.32</v>
      </c>
      <c r="AV127">
        <f>$H$127*$AB$127</f>
        <v>91.32</v>
      </c>
      <c r="AW127">
        <f>$H$127*$AC$127</f>
        <v>91.32</v>
      </c>
      <c r="AX127">
        <f>$H$127*$AD$127</f>
        <v>91.32</v>
      </c>
      <c r="AY127">
        <f>$H$127*$AE$127</f>
        <v>91.32</v>
      </c>
      <c r="AZ127">
        <f>$H$127*$AF$127</f>
        <v>91.32</v>
      </c>
    </row>
    <row r="128" spans="1:52" x14ac:dyDescent="0.25">
      <c r="A128">
        <v>167</v>
      </c>
      <c r="B128" t="s">
        <v>267</v>
      </c>
      <c r="C128" t="s">
        <v>410</v>
      </c>
      <c r="D128">
        <v>28.5</v>
      </c>
      <c r="E128">
        <v>17.96</v>
      </c>
      <c r="F128" t="s">
        <v>303</v>
      </c>
      <c r="G128">
        <v>0.63</v>
      </c>
      <c r="H128">
        <v>21.56</v>
      </c>
      <c r="I128" t="s">
        <v>286</v>
      </c>
      <c r="J128" t="s">
        <v>411</v>
      </c>
      <c r="K128" t="s">
        <v>527</v>
      </c>
      <c r="L128" t="s">
        <v>203</v>
      </c>
      <c r="M128" t="s">
        <v>267</v>
      </c>
      <c r="N128" t="s">
        <v>51</v>
      </c>
      <c r="O128" t="s">
        <v>15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1</v>
      </c>
      <c r="AE128">
        <v>1</v>
      </c>
      <c r="AF128">
        <v>1</v>
      </c>
      <c r="AG128" t="s">
        <v>267</v>
      </c>
      <c r="AH128" t="s">
        <v>51</v>
      </c>
      <c r="AI128" t="s">
        <v>15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0</v>
      </c>
      <c r="AV128">
        <f>$H$128*$AB$128</f>
        <v>0</v>
      </c>
      <c r="AW128">
        <f>$H$128*$AC$128</f>
        <v>0</v>
      </c>
      <c r="AX128">
        <f>$H$128*$AD$128</f>
        <v>21.56</v>
      </c>
      <c r="AY128">
        <f>$H$128*$AE$128</f>
        <v>21.56</v>
      </c>
      <c r="AZ128">
        <f>$H$128*$AF$128</f>
        <v>21.56</v>
      </c>
    </row>
    <row r="129" spans="1:52" x14ac:dyDescent="0.25">
      <c r="A129">
        <v>168</v>
      </c>
      <c r="B129" t="s">
        <v>267</v>
      </c>
      <c r="C129" t="s">
        <v>412</v>
      </c>
      <c r="D129">
        <v>28.5</v>
      </c>
      <c r="E129">
        <v>19.670000000000002</v>
      </c>
      <c r="F129" t="s">
        <v>303</v>
      </c>
      <c r="G129">
        <v>0.69</v>
      </c>
      <c r="H129">
        <v>23.61</v>
      </c>
      <c r="I129" t="s">
        <v>286</v>
      </c>
      <c r="J129" t="s">
        <v>413</v>
      </c>
      <c r="K129" t="s">
        <v>528</v>
      </c>
      <c r="L129" t="s">
        <v>203</v>
      </c>
      <c r="M129" t="s">
        <v>267</v>
      </c>
      <c r="N129" t="s">
        <v>51</v>
      </c>
      <c r="O129" t="s">
        <v>15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267</v>
      </c>
      <c r="AH129" t="s">
        <v>51</v>
      </c>
      <c r="AI129" t="s">
        <v>15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23.61</v>
      </c>
      <c r="AN129">
        <f>$H$129*$T$129</f>
        <v>23.61</v>
      </c>
      <c r="AO129">
        <f>$H$129*$U$129</f>
        <v>23.61</v>
      </c>
      <c r="AP129">
        <f>$H$129*$V$129</f>
        <v>23.61</v>
      </c>
      <c r="AQ129">
        <f>$H$129*$W$129</f>
        <v>23.61</v>
      </c>
      <c r="AR129">
        <f>$H$129*$X$129</f>
        <v>23.61</v>
      </c>
      <c r="AS129">
        <f>$H$129*$Y$129</f>
        <v>23.61</v>
      </c>
      <c r="AT129">
        <f>$H$129*$Z$129</f>
        <v>23.61</v>
      </c>
      <c r="AU129">
        <f>$H$129*$AA$129</f>
        <v>23.61</v>
      </c>
      <c r="AV129">
        <f>$H$129*$AB$129</f>
        <v>23.61</v>
      </c>
      <c r="AW129">
        <f>$H$129*$AC$129</f>
        <v>23.61</v>
      </c>
      <c r="AX129">
        <f>$H$129*$AD$129</f>
        <v>23.61</v>
      </c>
      <c r="AY129">
        <f>$H$129*$AE$129</f>
        <v>23.61</v>
      </c>
      <c r="AZ129">
        <f>$H$129*$AF$129</f>
        <v>23.61</v>
      </c>
    </row>
    <row r="130" spans="1:52" x14ac:dyDescent="0.25">
      <c r="A130">
        <v>169</v>
      </c>
      <c r="B130" t="s">
        <v>267</v>
      </c>
      <c r="C130" t="s">
        <v>414</v>
      </c>
      <c r="D130">
        <v>6.56</v>
      </c>
      <c r="E130">
        <v>26.44</v>
      </c>
      <c r="F130" t="s">
        <v>303</v>
      </c>
      <c r="G130">
        <v>4.03</v>
      </c>
      <c r="H130">
        <v>31.72</v>
      </c>
      <c r="I130" t="s">
        <v>415</v>
      </c>
      <c r="J130" t="s">
        <v>416</v>
      </c>
      <c r="K130" t="s">
        <v>529</v>
      </c>
      <c r="L130" t="s">
        <v>203</v>
      </c>
      <c r="M130" t="s">
        <v>267</v>
      </c>
      <c r="N130" t="s">
        <v>51</v>
      </c>
      <c r="O130" t="s">
        <v>15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267</v>
      </c>
      <c r="AH130" t="s">
        <v>51</v>
      </c>
      <c r="AI130" t="s">
        <v>15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31.72</v>
      </c>
      <c r="AN130">
        <f>$H$130*$T$130</f>
        <v>31.72</v>
      </c>
      <c r="AO130">
        <f>$H$130*$U$130</f>
        <v>31.72</v>
      </c>
      <c r="AP130">
        <f>$H$130*$V$130</f>
        <v>31.72</v>
      </c>
      <c r="AQ130">
        <f>$H$130*$W$130</f>
        <v>31.72</v>
      </c>
      <c r="AR130">
        <f>$H$130*$X$130</f>
        <v>31.72</v>
      </c>
      <c r="AS130">
        <f>$H$130*$Y$130</f>
        <v>31.72</v>
      </c>
      <c r="AT130">
        <f>$H$130*$Z$130</f>
        <v>31.72</v>
      </c>
      <c r="AU130">
        <f>$H$130*$AA$130</f>
        <v>31.72</v>
      </c>
      <c r="AV130">
        <f>$H$130*$AB$130</f>
        <v>31.72</v>
      </c>
      <c r="AW130">
        <f>$H$130*$AC$130</f>
        <v>31.72</v>
      </c>
      <c r="AX130">
        <f>$H$130*$AD$130</f>
        <v>31.72</v>
      </c>
      <c r="AY130">
        <f>$H$130*$AE$130</f>
        <v>31.72</v>
      </c>
      <c r="AZ130">
        <f>$H$130*$AF$130</f>
        <v>31.72</v>
      </c>
    </row>
    <row r="131" spans="1:52" x14ac:dyDescent="0.25">
      <c r="A131">
        <v>170</v>
      </c>
      <c r="B131" t="s">
        <v>267</v>
      </c>
      <c r="C131" t="s">
        <v>417</v>
      </c>
      <c r="D131">
        <v>26.22</v>
      </c>
      <c r="E131">
        <v>17.57</v>
      </c>
      <c r="F131" t="s">
        <v>303</v>
      </c>
      <c r="G131">
        <v>0.67</v>
      </c>
      <c r="H131">
        <v>21.09</v>
      </c>
      <c r="I131" t="s">
        <v>326</v>
      </c>
      <c r="J131" t="s">
        <v>418</v>
      </c>
      <c r="K131" t="s">
        <v>530</v>
      </c>
      <c r="L131" t="s">
        <v>203</v>
      </c>
      <c r="M131" t="s">
        <v>267</v>
      </c>
      <c r="N131" t="s">
        <v>51</v>
      </c>
      <c r="O131" t="s">
        <v>15</v>
      </c>
      <c r="P131">
        <v>0</v>
      </c>
      <c r="Q131">
        <v>0</v>
      </c>
      <c r="R131">
        <v>0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267</v>
      </c>
      <c r="AH131" t="s">
        <v>51</v>
      </c>
      <c r="AI131" t="s">
        <v>15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21.09</v>
      </c>
      <c r="AN131">
        <f>$H$131*$T$131</f>
        <v>21.09</v>
      </c>
      <c r="AO131">
        <f>$H$131*$U$131</f>
        <v>21.09</v>
      </c>
      <c r="AP131">
        <f>$H$131*$V$131</f>
        <v>21.09</v>
      </c>
      <c r="AQ131">
        <f>$H$131*$W$131</f>
        <v>21.09</v>
      </c>
      <c r="AR131">
        <f>$H$131*$X$131</f>
        <v>21.09</v>
      </c>
      <c r="AS131">
        <f>$H$131*$Y$131</f>
        <v>21.09</v>
      </c>
      <c r="AT131">
        <f>$H$131*$Z$131</f>
        <v>21.09</v>
      </c>
      <c r="AU131">
        <f>$H$131*$AA$131</f>
        <v>21.09</v>
      </c>
      <c r="AV131">
        <f>$H$131*$AB$131</f>
        <v>21.09</v>
      </c>
      <c r="AW131">
        <f>$H$131*$AC$131</f>
        <v>21.09</v>
      </c>
      <c r="AX131">
        <f>$H$131*$AD$131</f>
        <v>21.09</v>
      </c>
      <c r="AY131">
        <f>$H$131*$AE$131</f>
        <v>21.09</v>
      </c>
      <c r="AZ131">
        <f>$H$131*$AF$131</f>
        <v>21.09</v>
      </c>
    </row>
    <row r="132" spans="1:52" x14ac:dyDescent="0.25">
      <c r="A132">
        <v>171</v>
      </c>
      <c r="B132" t="s">
        <v>267</v>
      </c>
      <c r="C132" t="s">
        <v>419</v>
      </c>
      <c r="D132">
        <v>26.22</v>
      </c>
      <c r="E132">
        <v>84.43</v>
      </c>
      <c r="F132" t="s">
        <v>303</v>
      </c>
      <c r="G132">
        <v>3.22</v>
      </c>
      <c r="H132">
        <v>101.31</v>
      </c>
      <c r="I132" t="s">
        <v>326</v>
      </c>
      <c r="J132" t="s">
        <v>416</v>
      </c>
      <c r="K132" t="s">
        <v>531</v>
      </c>
      <c r="L132" t="s">
        <v>203</v>
      </c>
      <c r="M132" t="s">
        <v>267</v>
      </c>
      <c r="N132" t="s">
        <v>51</v>
      </c>
      <c r="O132" t="s">
        <v>15</v>
      </c>
      <c r="P132">
        <v>0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267</v>
      </c>
      <c r="AH132" t="s">
        <v>51</v>
      </c>
      <c r="AI132" t="s">
        <v>15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101.31</v>
      </c>
      <c r="AN132">
        <f>$H$132*$T$132</f>
        <v>101.31</v>
      </c>
      <c r="AO132">
        <f>$H$132*$U$132</f>
        <v>101.31</v>
      </c>
      <c r="AP132">
        <f>$H$132*$V$132</f>
        <v>101.31</v>
      </c>
      <c r="AQ132">
        <f>$H$132*$W$132</f>
        <v>101.31</v>
      </c>
      <c r="AR132">
        <f>$H$132*$X$132</f>
        <v>101.31</v>
      </c>
      <c r="AS132">
        <f>$H$132*$Y$132</f>
        <v>101.31</v>
      </c>
      <c r="AT132">
        <f>$H$132*$Z$132</f>
        <v>101.31</v>
      </c>
      <c r="AU132">
        <f>$H$132*$AA$132</f>
        <v>101.31</v>
      </c>
      <c r="AV132">
        <f>$H$132*$AB$132</f>
        <v>101.31</v>
      </c>
      <c r="AW132">
        <f>$H$132*$AC$132</f>
        <v>101.31</v>
      </c>
      <c r="AX132">
        <f>$H$132*$AD$132</f>
        <v>101.31</v>
      </c>
      <c r="AY132">
        <f>$H$132*$AE$132</f>
        <v>101.31</v>
      </c>
      <c r="AZ132">
        <f>$H$132*$AF$132</f>
        <v>101.31</v>
      </c>
    </row>
    <row r="133" spans="1:52" x14ac:dyDescent="0.25">
      <c r="A133">
        <v>172</v>
      </c>
      <c r="B133" t="s">
        <v>261</v>
      </c>
      <c r="C133" t="s">
        <v>291</v>
      </c>
      <c r="D133">
        <v>1</v>
      </c>
      <c r="E133">
        <v>39.700000000000003</v>
      </c>
      <c r="F133" t="s">
        <v>290</v>
      </c>
      <c r="G133">
        <v>39.700000000000003</v>
      </c>
      <c r="H133">
        <v>47.64</v>
      </c>
      <c r="I133" t="s">
        <v>292</v>
      </c>
      <c r="J133" t="s">
        <v>293</v>
      </c>
      <c r="K133" t="s">
        <v>470</v>
      </c>
      <c r="L133" t="s">
        <v>203</v>
      </c>
      <c r="M133" t="s">
        <v>261</v>
      </c>
      <c r="N133" t="s">
        <v>51</v>
      </c>
      <c r="O133" t="s">
        <v>4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1</v>
      </c>
      <c r="AE133">
        <v>1</v>
      </c>
      <c r="AF133">
        <v>1</v>
      </c>
      <c r="AG133" t="s">
        <v>261</v>
      </c>
      <c r="AH133" t="s">
        <v>51</v>
      </c>
      <c r="AI133" t="s">
        <v>4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0</v>
      </c>
      <c r="AU133">
        <f>$H$133*$AA$133</f>
        <v>0</v>
      </c>
      <c r="AV133">
        <f>$H$133*$AB$133</f>
        <v>0</v>
      </c>
      <c r="AW133">
        <f>$H$133*$AC$133</f>
        <v>0</v>
      </c>
      <c r="AX133">
        <f>$H$133*$AD$133</f>
        <v>47.64</v>
      </c>
      <c r="AY133">
        <f>$H$133*$AE$133</f>
        <v>47.64</v>
      </c>
      <c r="AZ133">
        <f>$H$133*$AF$133</f>
        <v>47.64</v>
      </c>
    </row>
    <row r="134" spans="1:52" x14ac:dyDescent="0.25">
      <c r="A134">
        <v>173</v>
      </c>
      <c r="B134" t="s">
        <v>261</v>
      </c>
      <c r="C134" t="s">
        <v>307</v>
      </c>
      <c r="D134">
        <v>4</v>
      </c>
      <c r="E134">
        <v>17.760000000000002</v>
      </c>
      <c r="F134" t="s">
        <v>285</v>
      </c>
      <c r="G134">
        <v>4.4400000000000004</v>
      </c>
      <c r="H134">
        <v>21.32</v>
      </c>
      <c r="I134" t="s">
        <v>286</v>
      </c>
      <c r="J134" t="s">
        <v>308</v>
      </c>
      <c r="K134" t="s">
        <v>477</v>
      </c>
      <c r="L134" t="s">
        <v>203</v>
      </c>
      <c r="M134" t="s">
        <v>261</v>
      </c>
      <c r="N134" t="s">
        <v>51</v>
      </c>
      <c r="O134" t="s">
        <v>4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261</v>
      </c>
      <c r="AH134" t="s">
        <v>51</v>
      </c>
      <c r="AI134" t="s">
        <v>4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21.32</v>
      </c>
      <c r="AV134">
        <f>$H$134*$AB$134</f>
        <v>21.32</v>
      </c>
      <c r="AW134">
        <f>$H$134*$AC$134</f>
        <v>21.32</v>
      </c>
      <c r="AX134">
        <f>$H$134*$AD$134</f>
        <v>21.32</v>
      </c>
      <c r="AY134">
        <f>$H$134*$AE$134</f>
        <v>21.32</v>
      </c>
      <c r="AZ134">
        <f>$H$134*$AF$134</f>
        <v>21.32</v>
      </c>
    </row>
    <row r="135" spans="1:52" x14ac:dyDescent="0.25">
      <c r="A135">
        <v>174</v>
      </c>
      <c r="B135" t="s">
        <v>261</v>
      </c>
      <c r="C135" t="s">
        <v>309</v>
      </c>
      <c r="D135">
        <v>4</v>
      </c>
      <c r="E135">
        <v>46.2</v>
      </c>
      <c r="F135" t="s">
        <v>285</v>
      </c>
      <c r="G135">
        <v>11.55</v>
      </c>
      <c r="H135">
        <v>55.44</v>
      </c>
      <c r="I135" t="s">
        <v>289</v>
      </c>
      <c r="J135" t="s">
        <v>310</v>
      </c>
      <c r="K135" t="s">
        <v>478</v>
      </c>
      <c r="L135" t="s">
        <v>203</v>
      </c>
      <c r="M135" t="s">
        <v>261</v>
      </c>
      <c r="N135" t="s">
        <v>51</v>
      </c>
      <c r="O135" t="s">
        <v>4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261</v>
      </c>
      <c r="AH135" t="s">
        <v>51</v>
      </c>
      <c r="AI135" t="s">
        <v>4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55.44</v>
      </c>
      <c r="AV135">
        <f>$H$135*$AB$135</f>
        <v>55.44</v>
      </c>
      <c r="AW135">
        <f>$H$135*$AC$135</f>
        <v>55.44</v>
      </c>
      <c r="AX135">
        <f>$H$135*$AD$135</f>
        <v>55.44</v>
      </c>
      <c r="AY135">
        <f>$H$135*$AE$135</f>
        <v>55.44</v>
      </c>
      <c r="AZ135">
        <f>$H$135*$AF$135</f>
        <v>55.44</v>
      </c>
    </row>
    <row r="136" spans="1:52" x14ac:dyDescent="0.25">
      <c r="A136">
        <v>175</v>
      </c>
      <c r="B136" t="s">
        <v>261</v>
      </c>
      <c r="C136" t="s">
        <v>357</v>
      </c>
      <c r="D136">
        <v>4</v>
      </c>
      <c r="E136">
        <v>19</v>
      </c>
      <c r="F136" t="s">
        <v>285</v>
      </c>
      <c r="G136">
        <v>4.75</v>
      </c>
      <c r="H136">
        <v>22.8</v>
      </c>
      <c r="I136" t="s">
        <v>289</v>
      </c>
      <c r="J136" t="s">
        <v>358</v>
      </c>
      <c r="K136" t="s">
        <v>501</v>
      </c>
      <c r="L136" t="s">
        <v>203</v>
      </c>
      <c r="M136" t="s">
        <v>261</v>
      </c>
      <c r="N136" t="s">
        <v>51</v>
      </c>
      <c r="O136" t="s">
        <v>4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1</v>
      </c>
      <c r="AD136">
        <v>1</v>
      </c>
      <c r="AE136">
        <v>1</v>
      </c>
      <c r="AF136">
        <v>1</v>
      </c>
      <c r="AG136" t="s">
        <v>261</v>
      </c>
      <c r="AH136" t="s">
        <v>51</v>
      </c>
      <c r="AI136" t="s">
        <v>4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0</v>
      </c>
      <c r="AV136">
        <f>$H$136*$AB$136</f>
        <v>0</v>
      </c>
      <c r="AW136">
        <f>$H$136*$AC$136</f>
        <v>22.8</v>
      </c>
      <c r="AX136">
        <f>$H$136*$AD$136</f>
        <v>22.8</v>
      </c>
      <c r="AY136">
        <f>$H$136*$AE$136</f>
        <v>22.8</v>
      </c>
      <c r="AZ136">
        <f>$H$136*$AF$136</f>
        <v>22.8</v>
      </c>
    </row>
    <row r="137" spans="1:52" x14ac:dyDescent="0.25">
      <c r="A137">
        <v>176</v>
      </c>
      <c r="B137" t="s">
        <v>261</v>
      </c>
      <c r="C137" t="s">
        <v>365</v>
      </c>
      <c r="D137">
        <v>5</v>
      </c>
      <c r="E137">
        <v>66.349999999999994</v>
      </c>
      <c r="F137" t="s">
        <v>290</v>
      </c>
      <c r="G137">
        <v>13.27</v>
      </c>
      <c r="H137">
        <v>79.63</v>
      </c>
      <c r="I137" t="s">
        <v>292</v>
      </c>
      <c r="J137" t="s">
        <v>366</v>
      </c>
      <c r="K137" t="s">
        <v>505</v>
      </c>
      <c r="L137" t="s">
        <v>203</v>
      </c>
      <c r="M137" t="s">
        <v>261</v>
      </c>
      <c r="N137" t="s">
        <v>51</v>
      </c>
      <c r="O137" t="s">
        <v>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261</v>
      </c>
      <c r="AH137" t="s">
        <v>51</v>
      </c>
      <c r="AI137" t="s">
        <v>4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79.63</v>
      </c>
      <c r="AS137">
        <f>$H$137*$Y$137</f>
        <v>79.63</v>
      </c>
      <c r="AT137">
        <f>$H$137*$Z$137</f>
        <v>79.63</v>
      </c>
      <c r="AU137">
        <f>$H$137*$AA$137</f>
        <v>79.63</v>
      </c>
      <c r="AV137">
        <f>$H$137*$AB$137</f>
        <v>79.63</v>
      </c>
      <c r="AW137">
        <f>$H$137*$AC$137</f>
        <v>79.63</v>
      </c>
      <c r="AX137">
        <f>$H$137*$AD$137</f>
        <v>79.63</v>
      </c>
      <c r="AY137">
        <f>$H$137*$AE$137</f>
        <v>79.63</v>
      </c>
      <c r="AZ137">
        <f>$H$137*$AF$137</f>
        <v>79.63</v>
      </c>
    </row>
    <row r="138" spans="1:52" x14ac:dyDescent="0.25">
      <c r="A138">
        <v>177</v>
      </c>
      <c r="B138" t="s">
        <v>261</v>
      </c>
      <c r="C138" t="s">
        <v>426</v>
      </c>
      <c r="D138">
        <v>1</v>
      </c>
      <c r="E138">
        <v>48.06</v>
      </c>
      <c r="F138" t="s">
        <v>290</v>
      </c>
      <c r="G138">
        <v>48.06</v>
      </c>
      <c r="H138">
        <v>57.68</v>
      </c>
      <c r="I138" t="s">
        <v>295</v>
      </c>
      <c r="J138" t="s">
        <v>390</v>
      </c>
      <c r="K138" t="s">
        <v>535</v>
      </c>
      <c r="L138" t="s">
        <v>203</v>
      </c>
      <c r="M138" t="s">
        <v>261</v>
      </c>
      <c r="N138" t="s">
        <v>51</v>
      </c>
      <c r="O138" t="s">
        <v>4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1</v>
      </c>
      <c r="AE138">
        <v>1</v>
      </c>
      <c r="AF138">
        <v>1</v>
      </c>
      <c r="AG138" t="s">
        <v>261</v>
      </c>
      <c r="AH138" t="s">
        <v>51</v>
      </c>
      <c r="AI138" t="s">
        <v>4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0</v>
      </c>
      <c r="AV138">
        <f>$H$138*$AB$138</f>
        <v>0</v>
      </c>
      <c r="AW138">
        <f>$H$138*$AC$138</f>
        <v>0</v>
      </c>
      <c r="AX138">
        <f>$H$138*$AD$138</f>
        <v>57.68</v>
      </c>
      <c r="AY138">
        <f>$H$138*$AE$138</f>
        <v>57.68</v>
      </c>
      <c r="AZ138">
        <f>$H$138*$AF$138</f>
        <v>57.68</v>
      </c>
    </row>
    <row r="139" spans="1:52" x14ac:dyDescent="0.25">
      <c r="A139">
        <v>178</v>
      </c>
      <c r="B139" t="s">
        <v>261</v>
      </c>
      <c r="C139" t="s">
        <v>427</v>
      </c>
      <c r="D139">
        <v>1</v>
      </c>
      <c r="E139">
        <v>47.96</v>
      </c>
      <c r="F139" t="s">
        <v>290</v>
      </c>
      <c r="G139">
        <v>47.96</v>
      </c>
      <c r="H139">
        <v>57.56</v>
      </c>
      <c r="I139" t="s">
        <v>317</v>
      </c>
      <c r="J139" t="s">
        <v>428</v>
      </c>
      <c r="K139" t="s">
        <v>536</v>
      </c>
      <c r="L139" t="s">
        <v>203</v>
      </c>
      <c r="M139" t="s">
        <v>261</v>
      </c>
      <c r="N139" t="s">
        <v>51</v>
      </c>
      <c r="O139" t="s">
        <v>4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261</v>
      </c>
      <c r="AH139" t="s">
        <v>51</v>
      </c>
      <c r="AI139" t="s">
        <v>4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0</v>
      </c>
      <c r="AT139">
        <f>$H$139*$Z$139</f>
        <v>0</v>
      </c>
      <c r="AU139">
        <f>$H$139*$AA$139</f>
        <v>57.56</v>
      </c>
      <c r="AV139">
        <f>$H$139*$AB$139</f>
        <v>57.56</v>
      </c>
      <c r="AW139">
        <f>$H$139*$AC$139</f>
        <v>57.56</v>
      </c>
      <c r="AX139">
        <f>$H$139*$AD$139</f>
        <v>57.56</v>
      </c>
      <c r="AY139">
        <f>$H$139*$AE$139</f>
        <v>57.56</v>
      </c>
      <c r="AZ139">
        <f>$H$139*$AF$139</f>
        <v>57.56</v>
      </c>
    </row>
    <row r="140" spans="1:52" x14ac:dyDescent="0.25">
      <c r="A140">
        <v>179</v>
      </c>
      <c r="B140" t="s">
        <v>261</v>
      </c>
      <c r="C140" t="s">
        <v>430</v>
      </c>
      <c r="D140">
        <v>2</v>
      </c>
      <c r="E140">
        <v>110.04</v>
      </c>
      <c r="F140" t="s">
        <v>290</v>
      </c>
      <c r="G140">
        <v>55.02</v>
      </c>
      <c r="H140">
        <v>132.04</v>
      </c>
      <c r="I140" t="s">
        <v>286</v>
      </c>
      <c r="J140" t="s">
        <v>431</v>
      </c>
      <c r="K140" t="s">
        <v>538</v>
      </c>
      <c r="L140" t="s">
        <v>203</v>
      </c>
      <c r="M140" t="s">
        <v>261</v>
      </c>
      <c r="N140" t="s">
        <v>51</v>
      </c>
      <c r="O140" t="s">
        <v>4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261</v>
      </c>
      <c r="AH140" t="s">
        <v>51</v>
      </c>
      <c r="AI140" t="s">
        <v>4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132.04</v>
      </c>
      <c r="AN140">
        <f>$H$140*$T$140</f>
        <v>132.04</v>
      </c>
      <c r="AO140">
        <f>$H$140*$U$140</f>
        <v>132.04</v>
      </c>
      <c r="AP140">
        <f>$H$140*$V$140</f>
        <v>132.04</v>
      </c>
      <c r="AQ140">
        <f>$H$140*$W$140</f>
        <v>132.04</v>
      </c>
      <c r="AR140">
        <f>$H$140*$X$140</f>
        <v>132.04</v>
      </c>
      <c r="AS140">
        <f>$H$140*$Y$140</f>
        <v>132.04</v>
      </c>
      <c r="AT140">
        <f>$H$140*$Z$140</f>
        <v>132.04</v>
      </c>
      <c r="AU140">
        <f>$H$140*$AA$140</f>
        <v>132.04</v>
      </c>
      <c r="AV140">
        <f>$H$140*$AB$140</f>
        <v>132.04</v>
      </c>
      <c r="AW140">
        <f>$H$140*$AC$140</f>
        <v>132.04</v>
      </c>
      <c r="AX140">
        <f>$H$140*$AD$140</f>
        <v>132.04</v>
      </c>
      <c r="AY140">
        <f>$H$140*$AE$140</f>
        <v>132.04</v>
      </c>
      <c r="AZ140">
        <f>$H$140*$AF$140</f>
        <v>132.04</v>
      </c>
    </row>
    <row r="141" spans="1:52" x14ac:dyDescent="0.25">
      <c r="A141">
        <v>180</v>
      </c>
      <c r="B141" t="s">
        <v>261</v>
      </c>
      <c r="C141" t="s">
        <v>432</v>
      </c>
      <c r="D141">
        <v>1</v>
      </c>
      <c r="E141">
        <v>376.12</v>
      </c>
      <c r="F141" t="s">
        <v>290</v>
      </c>
      <c r="G141">
        <v>376.12</v>
      </c>
      <c r="H141">
        <v>451.34</v>
      </c>
      <c r="I141" t="s">
        <v>320</v>
      </c>
      <c r="J141" t="s">
        <v>433</v>
      </c>
      <c r="K141" t="s">
        <v>539</v>
      </c>
      <c r="L141" t="s">
        <v>203</v>
      </c>
      <c r="M141" t="s">
        <v>261</v>
      </c>
      <c r="N141" t="s">
        <v>51</v>
      </c>
      <c r="O141" t="s">
        <v>4</v>
      </c>
      <c r="P141">
        <v>0</v>
      </c>
      <c r="Q141">
        <v>0</v>
      </c>
      <c r="R141">
        <v>0</v>
      </c>
      <c r="S141">
        <v>0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261</v>
      </c>
      <c r="AH141" t="s">
        <v>51</v>
      </c>
      <c r="AI141" t="s">
        <v>4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451.34</v>
      </c>
      <c r="AO141">
        <f>$H$141*$U$141</f>
        <v>451.34</v>
      </c>
      <c r="AP141">
        <f>$H$141*$V$141</f>
        <v>451.34</v>
      </c>
      <c r="AQ141">
        <f>$H$141*$W$141</f>
        <v>451.34</v>
      </c>
      <c r="AR141">
        <f>$H$141*$X$141</f>
        <v>451.34</v>
      </c>
      <c r="AS141">
        <f>$H$141*$Y$141</f>
        <v>451.34</v>
      </c>
      <c r="AT141">
        <f>$H$141*$Z$141</f>
        <v>451.34</v>
      </c>
      <c r="AU141">
        <f>$H$141*$AA$141</f>
        <v>451.34</v>
      </c>
      <c r="AV141">
        <f>$H$141*$AB$141</f>
        <v>451.34</v>
      </c>
      <c r="AW141">
        <f>$H$141*$AC$141</f>
        <v>451.34</v>
      </c>
      <c r="AX141">
        <f>$H$141*$AD$141</f>
        <v>451.34</v>
      </c>
      <c r="AY141">
        <f>$H$141*$AE$141</f>
        <v>451.34</v>
      </c>
      <c r="AZ141">
        <f>$H$141*$AF$141</f>
        <v>451.34</v>
      </c>
    </row>
    <row r="142" spans="1:52" x14ac:dyDescent="0.25">
      <c r="A142">
        <v>181</v>
      </c>
      <c r="B142" t="s">
        <v>261</v>
      </c>
      <c r="C142" t="s">
        <v>324</v>
      </c>
      <c r="D142">
        <v>2</v>
      </c>
      <c r="E142">
        <v>77.86</v>
      </c>
      <c r="F142" t="s">
        <v>290</v>
      </c>
      <c r="G142">
        <v>38.93</v>
      </c>
      <c r="H142">
        <v>93.44</v>
      </c>
      <c r="I142" t="s">
        <v>286</v>
      </c>
      <c r="J142" t="s">
        <v>320</v>
      </c>
      <c r="K142" t="s">
        <v>484</v>
      </c>
      <c r="L142" t="s">
        <v>203</v>
      </c>
      <c r="M142" t="s">
        <v>261</v>
      </c>
      <c r="N142" t="s">
        <v>51</v>
      </c>
      <c r="O142" t="s">
        <v>4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261</v>
      </c>
      <c r="AH142" t="s">
        <v>51</v>
      </c>
      <c r="AI142" t="s">
        <v>4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93.44</v>
      </c>
      <c r="AN142">
        <f>$H$142*$T$142</f>
        <v>93.44</v>
      </c>
      <c r="AO142">
        <f>$H$142*$U$142</f>
        <v>93.44</v>
      </c>
      <c r="AP142">
        <f>$H$142*$V$142</f>
        <v>93.44</v>
      </c>
      <c r="AQ142">
        <f>$H$142*$W$142</f>
        <v>93.44</v>
      </c>
      <c r="AR142">
        <f>$H$142*$X$142</f>
        <v>93.44</v>
      </c>
      <c r="AS142">
        <f>$H$142*$Y$142</f>
        <v>93.44</v>
      </c>
      <c r="AT142">
        <f>$H$142*$Z$142</f>
        <v>93.44</v>
      </c>
      <c r="AU142">
        <f>$H$142*$AA$142</f>
        <v>93.44</v>
      </c>
      <c r="AV142">
        <f>$H$142*$AB$142</f>
        <v>93.44</v>
      </c>
      <c r="AW142">
        <f>$H$142*$AC$142</f>
        <v>93.44</v>
      </c>
      <c r="AX142">
        <f>$H$142*$AD$142</f>
        <v>93.44</v>
      </c>
      <c r="AY142">
        <f>$H$142*$AE$142</f>
        <v>93.44</v>
      </c>
      <c r="AZ142">
        <f>$H$142*$AF$142</f>
        <v>93.44</v>
      </c>
    </row>
    <row r="143" spans="1:52" x14ac:dyDescent="0.25">
      <c r="A143">
        <v>182</v>
      </c>
      <c r="B143" t="s">
        <v>261</v>
      </c>
      <c r="C143" t="s">
        <v>319</v>
      </c>
      <c r="D143">
        <v>1</v>
      </c>
      <c r="E143">
        <v>365.09</v>
      </c>
      <c r="F143" t="s">
        <v>290</v>
      </c>
      <c r="G143">
        <v>365.09</v>
      </c>
      <c r="H143">
        <v>438.11</v>
      </c>
      <c r="I143" t="s">
        <v>320</v>
      </c>
      <c r="J143" t="s">
        <v>321</v>
      </c>
      <c r="K143" t="s">
        <v>482</v>
      </c>
      <c r="L143" t="s">
        <v>203</v>
      </c>
      <c r="M143" t="s">
        <v>261</v>
      </c>
      <c r="N143" t="s">
        <v>51</v>
      </c>
      <c r="O143" t="s">
        <v>4</v>
      </c>
      <c r="P143">
        <v>0</v>
      </c>
      <c r="Q143">
        <v>0</v>
      </c>
      <c r="R143">
        <v>0</v>
      </c>
      <c r="S143">
        <v>0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261</v>
      </c>
      <c r="AH143" t="s">
        <v>51</v>
      </c>
      <c r="AI143" t="s">
        <v>4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438.11</v>
      </c>
      <c r="AO143">
        <f>$H$143*$U$143</f>
        <v>438.11</v>
      </c>
      <c r="AP143">
        <f>$H$143*$V$143</f>
        <v>438.11</v>
      </c>
      <c r="AQ143">
        <f>$H$143*$W$143</f>
        <v>438.11</v>
      </c>
      <c r="AR143">
        <f>$H$143*$X$143</f>
        <v>438.11</v>
      </c>
      <c r="AS143">
        <f>$H$143*$Y$143</f>
        <v>438.11</v>
      </c>
      <c r="AT143">
        <f>$H$143*$Z$143</f>
        <v>438.11</v>
      </c>
      <c r="AU143">
        <f>$H$143*$AA$143</f>
        <v>438.11</v>
      </c>
      <c r="AV143">
        <f>$H$143*$AB$143</f>
        <v>438.11</v>
      </c>
      <c r="AW143">
        <f>$H$143*$AC$143</f>
        <v>438.11</v>
      </c>
      <c r="AX143">
        <f>$H$143*$AD$143</f>
        <v>438.11</v>
      </c>
      <c r="AY143">
        <f>$H$143*$AE$143</f>
        <v>438.11</v>
      </c>
      <c r="AZ143">
        <f>$H$143*$AF$143</f>
        <v>438.11</v>
      </c>
    </row>
    <row r="144" spans="1:52" x14ac:dyDescent="0.25">
      <c r="A144">
        <v>183</v>
      </c>
      <c r="B144" t="s">
        <v>261</v>
      </c>
      <c r="C144" t="s">
        <v>311</v>
      </c>
      <c r="D144">
        <v>288</v>
      </c>
      <c r="E144">
        <v>282.24</v>
      </c>
      <c r="F144" t="s">
        <v>303</v>
      </c>
      <c r="G144">
        <v>0.98</v>
      </c>
      <c r="H144">
        <v>338.68</v>
      </c>
      <c r="I144" t="s">
        <v>286</v>
      </c>
      <c r="J144" t="s">
        <v>312</v>
      </c>
      <c r="K144" t="s">
        <v>479</v>
      </c>
      <c r="L144" t="s">
        <v>203</v>
      </c>
      <c r="M144" t="s">
        <v>261</v>
      </c>
      <c r="N144" t="s">
        <v>51</v>
      </c>
      <c r="O144" t="s">
        <v>4</v>
      </c>
      <c r="P144">
        <v>0</v>
      </c>
      <c r="Q144">
        <v>0</v>
      </c>
      <c r="R144">
        <v>0</v>
      </c>
      <c r="S144">
        <v>0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261</v>
      </c>
      <c r="AH144" t="s">
        <v>51</v>
      </c>
      <c r="AI144" t="s">
        <v>4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338.68</v>
      </c>
      <c r="AO144">
        <f>$H$144*$U$144</f>
        <v>338.68</v>
      </c>
      <c r="AP144">
        <f>$H$144*$V$144</f>
        <v>338.68</v>
      </c>
      <c r="AQ144">
        <f>$H$144*$W$144</f>
        <v>338.68</v>
      </c>
      <c r="AR144">
        <f>$H$144*$X$144</f>
        <v>338.68</v>
      </c>
      <c r="AS144">
        <f>$H$144*$Y$144</f>
        <v>338.68</v>
      </c>
      <c r="AT144">
        <f>$H$144*$Z$144</f>
        <v>338.68</v>
      </c>
      <c r="AU144">
        <f>$H$144*$AA$144</f>
        <v>338.68</v>
      </c>
      <c r="AV144">
        <f>$H$144*$AB$144</f>
        <v>338.68</v>
      </c>
      <c r="AW144">
        <f>$H$144*$AC$144</f>
        <v>338.68</v>
      </c>
      <c r="AX144">
        <f>$H$144*$AD$144</f>
        <v>338.68</v>
      </c>
      <c r="AY144">
        <f>$H$144*$AE$144</f>
        <v>338.68</v>
      </c>
      <c r="AZ144">
        <f>$H$144*$AF$144</f>
        <v>338.68</v>
      </c>
    </row>
    <row r="145" spans="1:52" x14ac:dyDescent="0.25">
      <c r="A145">
        <v>184</v>
      </c>
      <c r="B145" t="s">
        <v>261</v>
      </c>
      <c r="C145" t="s">
        <v>404</v>
      </c>
      <c r="D145">
        <v>288</v>
      </c>
      <c r="E145">
        <v>768.96</v>
      </c>
      <c r="F145" t="s">
        <v>303</v>
      </c>
      <c r="G145">
        <v>2.67</v>
      </c>
      <c r="H145">
        <v>922.76</v>
      </c>
      <c r="I145" t="s">
        <v>314</v>
      </c>
      <c r="J145" t="s">
        <v>405</v>
      </c>
      <c r="K145" t="s">
        <v>524</v>
      </c>
      <c r="L145" t="s">
        <v>203</v>
      </c>
      <c r="M145" t="s">
        <v>261</v>
      </c>
      <c r="N145" t="s">
        <v>51</v>
      </c>
      <c r="O145" t="s">
        <v>4</v>
      </c>
      <c r="P145">
        <v>0</v>
      </c>
      <c r="Q145">
        <v>0</v>
      </c>
      <c r="R145">
        <v>0</v>
      </c>
      <c r="S145">
        <v>0.25</v>
      </c>
      <c r="T145">
        <v>0.25</v>
      </c>
      <c r="U145">
        <v>0.25</v>
      </c>
      <c r="V145">
        <v>0.25</v>
      </c>
      <c r="W145">
        <v>0.25</v>
      </c>
      <c r="X145">
        <v>0.5</v>
      </c>
      <c r="Y145">
        <v>0.5</v>
      </c>
      <c r="Z145">
        <v>0.5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261</v>
      </c>
      <c r="AH145" t="s">
        <v>51</v>
      </c>
      <c r="AI145" t="s">
        <v>4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230.69</v>
      </c>
      <c r="AN145">
        <f>$H$145*$T$145</f>
        <v>230.69</v>
      </c>
      <c r="AO145">
        <f>$H$145*$U$145</f>
        <v>230.69</v>
      </c>
      <c r="AP145">
        <f>$H$145*$V$145</f>
        <v>230.69</v>
      </c>
      <c r="AQ145">
        <f>$H$145*$W$145</f>
        <v>230.69</v>
      </c>
      <c r="AR145">
        <f>$H$145*$X$145</f>
        <v>461.38</v>
      </c>
      <c r="AS145">
        <f>$H$145*$Y$145</f>
        <v>461.38</v>
      </c>
      <c r="AT145">
        <f>$H$145*$Z$145</f>
        <v>461.38</v>
      </c>
      <c r="AU145">
        <f>$H$145*$AA$145</f>
        <v>922.76</v>
      </c>
      <c r="AV145">
        <f>$H$145*$AB$145</f>
        <v>922.76</v>
      </c>
      <c r="AW145">
        <f>$H$145*$AC$145</f>
        <v>922.76</v>
      </c>
      <c r="AX145">
        <f>$H$145*$AD$145</f>
        <v>922.76</v>
      </c>
      <c r="AY145">
        <f>$H$145*$AE$145</f>
        <v>922.76</v>
      </c>
      <c r="AZ145">
        <f>$H$145*$AF$145</f>
        <v>922.76</v>
      </c>
    </row>
    <row r="146" spans="1:52" x14ac:dyDescent="0.25">
      <c r="A146">
        <v>185</v>
      </c>
      <c r="B146" t="s">
        <v>261</v>
      </c>
      <c r="C146" t="s">
        <v>429</v>
      </c>
      <c r="D146">
        <v>36</v>
      </c>
      <c r="E146">
        <v>126.72</v>
      </c>
      <c r="F146" t="s">
        <v>285</v>
      </c>
      <c r="G146">
        <v>3.52</v>
      </c>
      <c r="H146">
        <v>152.06</v>
      </c>
      <c r="I146" t="s">
        <v>289</v>
      </c>
      <c r="J146" t="s">
        <v>407</v>
      </c>
      <c r="K146" t="s">
        <v>537</v>
      </c>
      <c r="L146" t="s">
        <v>203</v>
      </c>
      <c r="M146" t="s">
        <v>261</v>
      </c>
      <c r="N146" t="s">
        <v>51</v>
      </c>
      <c r="O146" t="s">
        <v>4</v>
      </c>
      <c r="P146">
        <v>0</v>
      </c>
      <c r="Q146">
        <v>0</v>
      </c>
      <c r="R146">
        <v>0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261</v>
      </c>
      <c r="AH146" t="s">
        <v>51</v>
      </c>
      <c r="AI146" t="s">
        <v>4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152.06</v>
      </c>
      <c r="AN146">
        <f>$H$146*$T$146</f>
        <v>152.06</v>
      </c>
      <c r="AO146">
        <f>$H$146*$U$146</f>
        <v>152.06</v>
      </c>
      <c r="AP146">
        <f>$H$146*$V$146</f>
        <v>152.06</v>
      </c>
      <c r="AQ146">
        <f>$H$146*$W$146</f>
        <v>152.06</v>
      </c>
      <c r="AR146">
        <f>$H$146*$X$146</f>
        <v>152.06</v>
      </c>
      <c r="AS146">
        <f>$H$146*$Y$146</f>
        <v>152.06</v>
      </c>
      <c r="AT146">
        <f>$H$146*$Z$146</f>
        <v>152.06</v>
      </c>
      <c r="AU146">
        <f>$H$146*$AA$146</f>
        <v>152.06</v>
      </c>
      <c r="AV146">
        <f>$H$146*$AB$146</f>
        <v>152.06</v>
      </c>
      <c r="AW146">
        <f>$H$146*$AC$146</f>
        <v>152.06</v>
      </c>
      <c r="AX146">
        <f>$H$146*$AD$146</f>
        <v>152.06</v>
      </c>
      <c r="AY146">
        <f>$H$146*$AE$146</f>
        <v>152.06</v>
      </c>
      <c r="AZ146">
        <f>$H$146*$AF$146</f>
        <v>152.06</v>
      </c>
    </row>
    <row r="147" spans="1:52" x14ac:dyDescent="0.25">
      <c r="A147">
        <v>186</v>
      </c>
      <c r="B147" t="s">
        <v>261</v>
      </c>
      <c r="C147" t="s">
        <v>404</v>
      </c>
      <c r="D147">
        <v>81</v>
      </c>
      <c r="E147">
        <v>216.27</v>
      </c>
      <c r="F147" t="s">
        <v>303</v>
      </c>
      <c r="G147">
        <v>2.67</v>
      </c>
      <c r="H147">
        <v>259.52999999999997</v>
      </c>
      <c r="I147" t="s">
        <v>314</v>
      </c>
      <c r="J147" t="s">
        <v>405</v>
      </c>
      <c r="K147" t="s">
        <v>524</v>
      </c>
      <c r="L147" t="s">
        <v>203</v>
      </c>
      <c r="M147" t="s">
        <v>261</v>
      </c>
      <c r="N147" t="s">
        <v>51</v>
      </c>
      <c r="O147" t="s">
        <v>4</v>
      </c>
      <c r="P147">
        <v>0</v>
      </c>
      <c r="Q147">
        <v>0</v>
      </c>
      <c r="R147">
        <v>0</v>
      </c>
      <c r="S147">
        <v>0.25</v>
      </c>
      <c r="T147">
        <v>0.25</v>
      </c>
      <c r="U147">
        <v>0.25</v>
      </c>
      <c r="V147">
        <v>0.25</v>
      </c>
      <c r="W147">
        <v>0.25</v>
      </c>
      <c r="X147">
        <v>0.5</v>
      </c>
      <c r="Y147">
        <v>0.5</v>
      </c>
      <c r="Z147">
        <v>0.5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261</v>
      </c>
      <c r="AH147" t="s">
        <v>51</v>
      </c>
      <c r="AI147" t="s">
        <v>4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64.882499999999993</v>
      </c>
      <c r="AN147">
        <f>$H$147*$T$147</f>
        <v>64.882499999999993</v>
      </c>
      <c r="AO147">
        <f>$H$147*$U$147</f>
        <v>64.882499999999993</v>
      </c>
      <c r="AP147">
        <f>$H$147*$V$147</f>
        <v>64.882499999999993</v>
      </c>
      <c r="AQ147">
        <f>$H$147*$W$147</f>
        <v>64.882499999999993</v>
      </c>
      <c r="AR147">
        <f>$H$147*$X$147</f>
        <v>129.76499999999999</v>
      </c>
      <c r="AS147">
        <f>$H$147*$Y$147</f>
        <v>129.76499999999999</v>
      </c>
      <c r="AT147">
        <f>$H$147*$Z$147</f>
        <v>129.76499999999999</v>
      </c>
      <c r="AU147">
        <f>$H$147*$AA$147</f>
        <v>259.52999999999997</v>
      </c>
      <c r="AV147">
        <f>$H$147*$AB$147</f>
        <v>259.52999999999997</v>
      </c>
      <c r="AW147">
        <f>$H$147*$AC$147</f>
        <v>259.52999999999997</v>
      </c>
      <c r="AX147">
        <f>$H$147*$AD$147</f>
        <v>259.52999999999997</v>
      </c>
      <c r="AY147">
        <f>$H$147*$AE$147</f>
        <v>259.52999999999997</v>
      </c>
      <c r="AZ147">
        <f>$H$147*$AF$147</f>
        <v>259.52999999999997</v>
      </c>
    </row>
    <row r="148" spans="1:52" x14ac:dyDescent="0.25">
      <c r="A148">
        <v>187</v>
      </c>
      <c r="B148" t="s">
        <v>261</v>
      </c>
      <c r="C148" t="s">
        <v>410</v>
      </c>
      <c r="D148">
        <v>81</v>
      </c>
      <c r="E148">
        <v>51.03</v>
      </c>
      <c r="F148" t="s">
        <v>303</v>
      </c>
      <c r="G148">
        <v>0.63</v>
      </c>
      <c r="H148">
        <v>61.23</v>
      </c>
      <c r="I148" t="s">
        <v>286</v>
      </c>
      <c r="J148" t="s">
        <v>411</v>
      </c>
      <c r="K148" t="s">
        <v>527</v>
      </c>
      <c r="L148" t="s">
        <v>203</v>
      </c>
      <c r="M148" t="s">
        <v>261</v>
      </c>
      <c r="N148" t="s">
        <v>51</v>
      </c>
      <c r="O148" t="s">
        <v>4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1</v>
      </c>
      <c r="AE148">
        <v>1</v>
      </c>
      <c r="AF148">
        <v>1</v>
      </c>
      <c r="AG148" t="s">
        <v>261</v>
      </c>
      <c r="AH148" t="s">
        <v>51</v>
      </c>
      <c r="AI148" t="s">
        <v>4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0</v>
      </c>
      <c r="AV148">
        <f>$H$148*$AB$148</f>
        <v>0</v>
      </c>
      <c r="AW148">
        <f>$H$148*$AC$148</f>
        <v>0</v>
      </c>
      <c r="AX148">
        <f>$H$148*$AD$148</f>
        <v>61.23</v>
      </c>
      <c r="AY148">
        <f>$H$148*$AE$148</f>
        <v>61.23</v>
      </c>
      <c r="AZ148">
        <f>$H$148*$AF$148</f>
        <v>61.23</v>
      </c>
    </row>
    <row r="149" spans="1:52" x14ac:dyDescent="0.25">
      <c r="A149">
        <v>188</v>
      </c>
      <c r="B149" t="s">
        <v>261</v>
      </c>
      <c r="C149" t="s">
        <v>412</v>
      </c>
      <c r="D149">
        <v>81</v>
      </c>
      <c r="E149">
        <v>55.89</v>
      </c>
      <c r="F149" t="s">
        <v>303</v>
      </c>
      <c r="G149">
        <v>0.69</v>
      </c>
      <c r="H149">
        <v>67.069999999999993</v>
      </c>
      <c r="I149" t="s">
        <v>286</v>
      </c>
      <c r="J149" t="s">
        <v>413</v>
      </c>
      <c r="K149" t="s">
        <v>528</v>
      </c>
      <c r="L149" t="s">
        <v>203</v>
      </c>
      <c r="M149" t="s">
        <v>261</v>
      </c>
      <c r="N149" t="s">
        <v>51</v>
      </c>
      <c r="O149" t="s">
        <v>4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261</v>
      </c>
      <c r="AH149" t="s">
        <v>51</v>
      </c>
      <c r="AI149" t="s">
        <v>4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67.069999999999993</v>
      </c>
      <c r="AN149">
        <f>$H$149*$T$149</f>
        <v>67.069999999999993</v>
      </c>
      <c r="AO149">
        <f>$H$149*$U$149</f>
        <v>67.069999999999993</v>
      </c>
      <c r="AP149">
        <f>$H$149*$V$149</f>
        <v>67.069999999999993</v>
      </c>
      <c r="AQ149">
        <f>$H$149*$W$149</f>
        <v>67.069999999999993</v>
      </c>
      <c r="AR149">
        <f>$H$149*$X$149</f>
        <v>67.069999999999993</v>
      </c>
      <c r="AS149">
        <f>$H$149*$Y$149</f>
        <v>67.069999999999993</v>
      </c>
      <c r="AT149">
        <f>$H$149*$Z$149</f>
        <v>67.069999999999993</v>
      </c>
      <c r="AU149">
        <f>$H$149*$AA$149</f>
        <v>67.069999999999993</v>
      </c>
      <c r="AV149">
        <f>$H$149*$AB$149</f>
        <v>67.069999999999993</v>
      </c>
      <c r="AW149">
        <f>$H$149*$AC$149</f>
        <v>67.069999999999993</v>
      </c>
      <c r="AX149">
        <f>$H$149*$AD$149</f>
        <v>67.069999999999993</v>
      </c>
      <c r="AY149">
        <f>$H$149*$AE$149</f>
        <v>67.069999999999993</v>
      </c>
      <c r="AZ149">
        <f>$H$149*$AF$149</f>
        <v>67.069999999999993</v>
      </c>
    </row>
    <row r="150" spans="1:52" x14ac:dyDescent="0.25">
      <c r="A150">
        <v>189</v>
      </c>
      <c r="B150" t="s">
        <v>261</v>
      </c>
      <c r="C150" t="s">
        <v>414</v>
      </c>
      <c r="D150">
        <v>18.63</v>
      </c>
      <c r="E150">
        <v>75.08</v>
      </c>
      <c r="F150" t="s">
        <v>303</v>
      </c>
      <c r="G150">
        <v>4.03</v>
      </c>
      <c r="H150">
        <v>90.1</v>
      </c>
      <c r="I150" t="s">
        <v>415</v>
      </c>
      <c r="J150" t="s">
        <v>416</v>
      </c>
      <c r="K150" t="s">
        <v>529</v>
      </c>
      <c r="L150" t="s">
        <v>203</v>
      </c>
      <c r="M150" t="s">
        <v>261</v>
      </c>
      <c r="N150" t="s">
        <v>51</v>
      </c>
      <c r="O150" t="s">
        <v>4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261</v>
      </c>
      <c r="AH150" t="s">
        <v>51</v>
      </c>
      <c r="AI150" t="s">
        <v>4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90.1</v>
      </c>
      <c r="AN150">
        <f>$H$150*$T$150</f>
        <v>90.1</v>
      </c>
      <c r="AO150">
        <f>$H$150*$U$150</f>
        <v>90.1</v>
      </c>
      <c r="AP150">
        <f>$H$150*$V$150</f>
        <v>90.1</v>
      </c>
      <c r="AQ150">
        <f>$H$150*$W$150</f>
        <v>90.1</v>
      </c>
      <c r="AR150">
        <f>$H$150*$X$150</f>
        <v>90.1</v>
      </c>
      <c r="AS150">
        <f>$H$150*$Y$150</f>
        <v>90.1</v>
      </c>
      <c r="AT150">
        <f>$H$150*$Z$150</f>
        <v>90.1</v>
      </c>
      <c r="AU150">
        <f>$H$150*$AA$150</f>
        <v>90.1</v>
      </c>
      <c r="AV150">
        <f>$H$150*$AB$150</f>
        <v>90.1</v>
      </c>
      <c r="AW150">
        <f>$H$150*$AC$150</f>
        <v>90.1</v>
      </c>
      <c r="AX150">
        <f>$H$150*$AD$150</f>
        <v>90.1</v>
      </c>
      <c r="AY150">
        <f>$H$150*$AE$150</f>
        <v>90.1</v>
      </c>
      <c r="AZ150">
        <f>$H$150*$AF$150</f>
        <v>90.1</v>
      </c>
    </row>
    <row r="151" spans="1:52" x14ac:dyDescent="0.25">
      <c r="A151">
        <v>190</v>
      </c>
      <c r="B151" t="s">
        <v>261</v>
      </c>
      <c r="C151" t="s">
        <v>417</v>
      </c>
      <c r="D151">
        <v>74.52</v>
      </c>
      <c r="E151">
        <v>49.93</v>
      </c>
      <c r="F151" t="s">
        <v>303</v>
      </c>
      <c r="G151">
        <v>0.67</v>
      </c>
      <c r="H151">
        <v>59.91</v>
      </c>
      <c r="I151" t="s">
        <v>326</v>
      </c>
      <c r="J151" t="s">
        <v>418</v>
      </c>
      <c r="K151" t="s">
        <v>530</v>
      </c>
      <c r="L151" t="s">
        <v>203</v>
      </c>
      <c r="M151" t="s">
        <v>261</v>
      </c>
      <c r="N151" t="s">
        <v>51</v>
      </c>
      <c r="O151" t="s">
        <v>4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261</v>
      </c>
      <c r="AH151" t="s">
        <v>51</v>
      </c>
      <c r="AI151" t="s">
        <v>4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59.91</v>
      </c>
      <c r="AN151">
        <f>$H$151*$T$151</f>
        <v>59.91</v>
      </c>
      <c r="AO151">
        <f>$H$151*$U$151</f>
        <v>59.91</v>
      </c>
      <c r="AP151">
        <f>$H$151*$V$151</f>
        <v>59.91</v>
      </c>
      <c r="AQ151">
        <f>$H$151*$W$151</f>
        <v>59.91</v>
      </c>
      <c r="AR151">
        <f>$H$151*$X$151</f>
        <v>59.91</v>
      </c>
      <c r="AS151">
        <f>$H$151*$Y$151</f>
        <v>59.91</v>
      </c>
      <c r="AT151">
        <f>$H$151*$Z$151</f>
        <v>59.91</v>
      </c>
      <c r="AU151">
        <f>$H$151*$AA$151</f>
        <v>59.91</v>
      </c>
      <c r="AV151">
        <f>$H$151*$AB$151</f>
        <v>59.91</v>
      </c>
      <c r="AW151">
        <f>$H$151*$AC$151</f>
        <v>59.91</v>
      </c>
      <c r="AX151">
        <f>$H$151*$AD$151</f>
        <v>59.91</v>
      </c>
      <c r="AY151">
        <f>$H$151*$AE$151</f>
        <v>59.91</v>
      </c>
      <c r="AZ151">
        <f>$H$151*$AF$151</f>
        <v>59.91</v>
      </c>
    </row>
    <row r="152" spans="1:52" x14ac:dyDescent="0.25">
      <c r="A152">
        <v>191</v>
      </c>
      <c r="B152" t="s">
        <v>261</v>
      </c>
      <c r="C152" t="s">
        <v>419</v>
      </c>
      <c r="D152">
        <v>74.52</v>
      </c>
      <c r="E152">
        <v>239.95</v>
      </c>
      <c r="F152" t="s">
        <v>303</v>
      </c>
      <c r="G152">
        <v>3.22</v>
      </c>
      <c r="H152">
        <v>287.95</v>
      </c>
      <c r="I152" t="s">
        <v>326</v>
      </c>
      <c r="J152" t="s">
        <v>416</v>
      </c>
      <c r="K152" t="s">
        <v>531</v>
      </c>
      <c r="L152" t="s">
        <v>203</v>
      </c>
      <c r="M152" t="s">
        <v>261</v>
      </c>
      <c r="N152" t="s">
        <v>51</v>
      </c>
      <c r="O152" t="s">
        <v>4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261</v>
      </c>
      <c r="AH152" t="s">
        <v>51</v>
      </c>
      <c r="AI152" t="s">
        <v>4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287.95</v>
      </c>
      <c r="AN152">
        <f>$H$152*$T$152</f>
        <v>287.95</v>
      </c>
      <c r="AO152">
        <f>$H$152*$U$152</f>
        <v>287.95</v>
      </c>
      <c r="AP152">
        <f>$H$152*$V$152</f>
        <v>287.95</v>
      </c>
      <c r="AQ152">
        <f>$H$152*$W$152</f>
        <v>287.95</v>
      </c>
      <c r="AR152">
        <f>$H$152*$X$152</f>
        <v>287.95</v>
      </c>
      <c r="AS152">
        <f>$H$152*$Y$152</f>
        <v>287.95</v>
      </c>
      <c r="AT152">
        <f>$H$152*$Z$152</f>
        <v>287.95</v>
      </c>
      <c r="AU152">
        <f>$H$152*$AA$152</f>
        <v>287.95</v>
      </c>
      <c r="AV152">
        <f>$H$152*$AB$152</f>
        <v>287.95</v>
      </c>
      <c r="AW152">
        <f>$H$152*$AC$152</f>
        <v>287.95</v>
      </c>
      <c r="AX152">
        <f>$H$152*$AD$152</f>
        <v>287.95</v>
      </c>
      <c r="AY152">
        <f>$H$152*$AE$152</f>
        <v>287.95</v>
      </c>
      <c r="AZ152">
        <f>$H$152*$AF$152</f>
        <v>287.95</v>
      </c>
    </row>
    <row r="153" spans="1:52" x14ac:dyDescent="0.25">
      <c r="A153">
        <v>192</v>
      </c>
      <c r="B153" t="s">
        <v>7</v>
      </c>
      <c r="C153" t="s">
        <v>434</v>
      </c>
      <c r="D153">
        <v>1</v>
      </c>
      <c r="E153">
        <v>33.1</v>
      </c>
      <c r="F153" t="s">
        <v>290</v>
      </c>
      <c r="G153">
        <v>33.1</v>
      </c>
      <c r="H153">
        <v>39.72</v>
      </c>
      <c r="I153" t="s">
        <v>292</v>
      </c>
      <c r="J153" t="s">
        <v>435</v>
      </c>
      <c r="K153" t="s">
        <v>540</v>
      </c>
      <c r="L153" t="s">
        <v>203</v>
      </c>
      <c r="M153" t="s">
        <v>7</v>
      </c>
      <c r="N153" t="s">
        <v>12</v>
      </c>
      <c r="O153" t="s">
        <v>7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7</v>
      </c>
      <c r="AH153" t="s">
        <v>12</v>
      </c>
      <c r="AI153" t="s">
        <v>7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39.72</v>
      </c>
      <c r="AQ153">
        <f>$H$153*$W$153</f>
        <v>39.72</v>
      </c>
      <c r="AR153">
        <f>$H$153*$X$153</f>
        <v>39.72</v>
      </c>
      <c r="AS153">
        <f>$H$153*$Y$153</f>
        <v>39.72</v>
      </c>
      <c r="AT153">
        <f>$H$153*$Z$153</f>
        <v>39.72</v>
      </c>
      <c r="AU153">
        <f>$H$153*$AA$153</f>
        <v>39.72</v>
      </c>
      <c r="AV153">
        <f>$H$153*$AB$153</f>
        <v>39.72</v>
      </c>
      <c r="AW153">
        <f>$H$153*$AC$153</f>
        <v>39.72</v>
      </c>
      <c r="AX153">
        <f>$H$153*$AD$153</f>
        <v>39.72</v>
      </c>
      <c r="AY153">
        <f>$H$153*$AE$153</f>
        <v>39.72</v>
      </c>
      <c r="AZ153">
        <f>$H$153*$AF$153</f>
        <v>39.72</v>
      </c>
    </row>
    <row r="154" spans="1:52" x14ac:dyDescent="0.25">
      <c r="A154">
        <v>193</v>
      </c>
      <c r="B154" t="s">
        <v>7</v>
      </c>
      <c r="C154" t="s">
        <v>391</v>
      </c>
      <c r="D154">
        <v>2</v>
      </c>
      <c r="E154">
        <v>74</v>
      </c>
      <c r="F154" t="s">
        <v>290</v>
      </c>
      <c r="G154">
        <v>37</v>
      </c>
      <c r="H154">
        <v>88.8</v>
      </c>
      <c r="I154" t="s">
        <v>292</v>
      </c>
      <c r="J154" t="s">
        <v>392</v>
      </c>
      <c r="K154" t="s">
        <v>518</v>
      </c>
      <c r="L154" t="s">
        <v>203</v>
      </c>
      <c r="M154" t="s">
        <v>7</v>
      </c>
      <c r="N154" t="s">
        <v>12</v>
      </c>
      <c r="O154" t="s">
        <v>7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0.6</v>
      </c>
      <c r="Y154">
        <v>0.6</v>
      </c>
      <c r="Z154">
        <v>0.6</v>
      </c>
      <c r="AA154">
        <v>0.6</v>
      </c>
      <c r="AB154">
        <v>0.6</v>
      </c>
      <c r="AC154">
        <v>0.6</v>
      </c>
      <c r="AD154">
        <v>1</v>
      </c>
      <c r="AE154">
        <v>1</v>
      </c>
      <c r="AF154">
        <v>1</v>
      </c>
      <c r="AG154" t="s">
        <v>7</v>
      </c>
      <c r="AH154" t="s">
        <v>12</v>
      </c>
      <c r="AI154" t="s">
        <v>7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53.279999999999994</v>
      </c>
      <c r="AS154">
        <f>$H$154*$Y$154</f>
        <v>53.279999999999994</v>
      </c>
      <c r="AT154">
        <f>$H$154*$Z$154</f>
        <v>53.279999999999994</v>
      </c>
      <c r="AU154">
        <f>$H$154*$AA$154</f>
        <v>53.279999999999994</v>
      </c>
      <c r="AV154">
        <f>$H$154*$AB$154</f>
        <v>53.279999999999994</v>
      </c>
      <c r="AW154">
        <f>$H$154*$AC$154</f>
        <v>53.279999999999994</v>
      </c>
      <c r="AX154">
        <f>$H$154*$AD$154</f>
        <v>88.8</v>
      </c>
      <c r="AY154">
        <f>$H$154*$AE$154</f>
        <v>88.8</v>
      </c>
      <c r="AZ154">
        <f>$H$154*$AF$154</f>
        <v>88.8</v>
      </c>
    </row>
    <row r="155" spans="1:52" x14ac:dyDescent="0.25">
      <c r="A155">
        <v>194</v>
      </c>
      <c r="B155" t="s">
        <v>7</v>
      </c>
      <c r="C155" t="s">
        <v>365</v>
      </c>
      <c r="D155">
        <v>4</v>
      </c>
      <c r="E155">
        <v>53.08</v>
      </c>
      <c r="F155" t="s">
        <v>290</v>
      </c>
      <c r="G155">
        <v>13.27</v>
      </c>
      <c r="H155">
        <v>63.7</v>
      </c>
      <c r="I155" t="s">
        <v>292</v>
      </c>
      <c r="J155" t="s">
        <v>366</v>
      </c>
      <c r="K155" t="s">
        <v>505</v>
      </c>
      <c r="L155" t="s">
        <v>203</v>
      </c>
      <c r="M155" t="s">
        <v>7</v>
      </c>
      <c r="N155" t="s">
        <v>12</v>
      </c>
      <c r="O155" t="s">
        <v>7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7</v>
      </c>
      <c r="AH155" t="s">
        <v>12</v>
      </c>
      <c r="AI155" t="s">
        <v>7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63.7</v>
      </c>
      <c r="AS155">
        <f>$H$155*$Y$155</f>
        <v>63.7</v>
      </c>
      <c r="AT155">
        <f>$H$155*$Z$155</f>
        <v>63.7</v>
      </c>
      <c r="AU155">
        <f>$H$155*$AA$155</f>
        <v>63.7</v>
      </c>
      <c r="AV155">
        <f>$H$155*$AB$155</f>
        <v>63.7</v>
      </c>
      <c r="AW155">
        <f>$H$155*$AC$155</f>
        <v>63.7</v>
      </c>
      <c r="AX155">
        <f>$H$155*$AD$155</f>
        <v>63.7</v>
      </c>
      <c r="AY155">
        <f>$H$155*$AE$155</f>
        <v>63.7</v>
      </c>
      <c r="AZ155">
        <f>$H$155*$AF$155</f>
        <v>63.7</v>
      </c>
    </row>
    <row r="156" spans="1:52" x14ac:dyDescent="0.25">
      <c r="A156">
        <v>195</v>
      </c>
      <c r="B156" t="s">
        <v>7</v>
      </c>
      <c r="C156" t="s">
        <v>365</v>
      </c>
      <c r="D156">
        <v>2</v>
      </c>
      <c r="E156">
        <v>26.54</v>
      </c>
      <c r="F156" t="s">
        <v>290</v>
      </c>
      <c r="G156">
        <v>13.27</v>
      </c>
      <c r="H156">
        <v>31.84</v>
      </c>
      <c r="I156" t="s">
        <v>292</v>
      </c>
      <c r="J156" t="s">
        <v>366</v>
      </c>
      <c r="K156" t="s">
        <v>505</v>
      </c>
      <c r="L156" t="s">
        <v>203</v>
      </c>
      <c r="M156" t="s">
        <v>7</v>
      </c>
      <c r="N156" t="s">
        <v>12</v>
      </c>
      <c r="O156" t="s">
        <v>7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7</v>
      </c>
      <c r="AH156" t="s">
        <v>12</v>
      </c>
      <c r="AI156" t="s">
        <v>7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31.84</v>
      </c>
      <c r="AS156">
        <f>$H$156*$Y$156</f>
        <v>31.84</v>
      </c>
      <c r="AT156">
        <f>$H$156*$Z$156</f>
        <v>31.84</v>
      </c>
      <c r="AU156">
        <f>$H$156*$AA$156</f>
        <v>31.84</v>
      </c>
      <c r="AV156">
        <f>$H$156*$AB$156</f>
        <v>31.84</v>
      </c>
      <c r="AW156">
        <f>$H$156*$AC$156</f>
        <v>31.84</v>
      </c>
      <c r="AX156">
        <f>$H$156*$AD$156</f>
        <v>31.84</v>
      </c>
      <c r="AY156">
        <f>$H$156*$AE$156</f>
        <v>31.84</v>
      </c>
      <c r="AZ156">
        <f>$H$156*$AF$156</f>
        <v>31.84</v>
      </c>
    </row>
    <row r="157" spans="1:52" x14ac:dyDescent="0.25">
      <c r="A157">
        <v>196</v>
      </c>
      <c r="B157" t="s">
        <v>7</v>
      </c>
      <c r="C157" t="s">
        <v>369</v>
      </c>
      <c r="D157">
        <v>1</v>
      </c>
      <c r="E157">
        <v>550.65</v>
      </c>
      <c r="F157" t="s">
        <v>290</v>
      </c>
      <c r="G157">
        <v>550.65</v>
      </c>
      <c r="H157">
        <v>660.79</v>
      </c>
      <c r="I157" t="s">
        <v>304</v>
      </c>
      <c r="J157" t="s">
        <v>370</v>
      </c>
      <c r="K157" t="s">
        <v>507</v>
      </c>
      <c r="L157" t="s">
        <v>203</v>
      </c>
      <c r="M157" t="s">
        <v>7</v>
      </c>
      <c r="N157" t="s">
        <v>12</v>
      </c>
      <c r="O157" t="s">
        <v>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7</v>
      </c>
      <c r="AH157" t="s">
        <v>12</v>
      </c>
      <c r="AI157" t="s">
        <v>7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660.79</v>
      </c>
      <c r="AV157">
        <f>$H$157*$AB$157</f>
        <v>660.79</v>
      </c>
      <c r="AW157">
        <f>$H$157*$AC$157</f>
        <v>660.79</v>
      </c>
      <c r="AX157">
        <f>$H$157*$AD$157</f>
        <v>660.79</v>
      </c>
      <c r="AY157">
        <f>$H$157*$AE$157</f>
        <v>660.79</v>
      </c>
      <c r="AZ157">
        <f>$H$157*$AF$157</f>
        <v>660.79</v>
      </c>
    </row>
    <row r="158" spans="1:52" x14ac:dyDescent="0.25">
      <c r="A158">
        <v>197</v>
      </c>
      <c r="B158" t="s">
        <v>7</v>
      </c>
      <c r="C158" t="s">
        <v>436</v>
      </c>
      <c r="D158">
        <v>1</v>
      </c>
      <c r="E158">
        <v>203.94</v>
      </c>
      <c r="F158" t="s">
        <v>290</v>
      </c>
      <c r="G158">
        <v>203.94</v>
      </c>
      <c r="H158">
        <v>244.72</v>
      </c>
      <c r="I158" t="s">
        <v>304</v>
      </c>
      <c r="J158" t="s">
        <v>437</v>
      </c>
      <c r="K158" t="s">
        <v>541</v>
      </c>
      <c r="L158" t="s">
        <v>203</v>
      </c>
      <c r="M158" t="s">
        <v>7</v>
      </c>
      <c r="N158" t="s">
        <v>12</v>
      </c>
      <c r="O158" t="s">
        <v>7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7</v>
      </c>
      <c r="AH158" t="s">
        <v>12</v>
      </c>
      <c r="AI158" t="s">
        <v>7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0</v>
      </c>
      <c r="AT158">
        <f>$H$158*$Z$158</f>
        <v>0</v>
      </c>
      <c r="AU158">
        <f>$H$158*$AA$158</f>
        <v>244.72</v>
      </c>
      <c r="AV158">
        <f>$H$158*$AB$158</f>
        <v>244.72</v>
      </c>
      <c r="AW158">
        <f>$H$158*$AC$158</f>
        <v>244.72</v>
      </c>
      <c r="AX158">
        <f>$H$158*$AD$158</f>
        <v>244.72</v>
      </c>
      <c r="AY158">
        <f>$H$158*$AE$158</f>
        <v>244.72</v>
      </c>
      <c r="AZ158">
        <f>$H$158*$AF$158</f>
        <v>244.72</v>
      </c>
    </row>
    <row r="159" spans="1:52" x14ac:dyDescent="0.25">
      <c r="A159">
        <v>198</v>
      </c>
      <c r="B159" t="s">
        <v>7</v>
      </c>
      <c r="C159" t="s">
        <v>438</v>
      </c>
      <c r="D159">
        <v>1</v>
      </c>
      <c r="E159">
        <v>332.7</v>
      </c>
      <c r="F159" t="s">
        <v>290</v>
      </c>
      <c r="G159">
        <v>332.7</v>
      </c>
      <c r="H159">
        <v>399.24</v>
      </c>
      <c r="I159" t="s">
        <v>304</v>
      </c>
      <c r="J159" t="s">
        <v>439</v>
      </c>
      <c r="K159" t="s">
        <v>542</v>
      </c>
      <c r="L159" t="s">
        <v>203</v>
      </c>
      <c r="M159" t="s">
        <v>7</v>
      </c>
      <c r="N159" t="s">
        <v>12</v>
      </c>
      <c r="O159" t="s">
        <v>7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7</v>
      </c>
      <c r="AH159" t="s">
        <v>12</v>
      </c>
      <c r="AI159" t="s">
        <v>7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399.24</v>
      </c>
      <c r="AV159">
        <f>$H$159*$AB$159</f>
        <v>399.24</v>
      </c>
      <c r="AW159">
        <f>$H$159*$AC$159</f>
        <v>399.24</v>
      </c>
      <c r="AX159">
        <f>$H$159*$AD$159</f>
        <v>399.24</v>
      </c>
      <c r="AY159">
        <f>$H$159*$AE$159</f>
        <v>399.24</v>
      </c>
      <c r="AZ159">
        <f>$H$159*$AF$159</f>
        <v>399.24</v>
      </c>
    </row>
    <row r="160" spans="1:52" x14ac:dyDescent="0.25">
      <c r="A160">
        <v>199</v>
      </c>
      <c r="B160" t="s">
        <v>7</v>
      </c>
      <c r="C160" t="s">
        <v>440</v>
      </c>
      <c r="D160">
        <v>1</v>
      </c>
      <c r="E160">
        <v>91.55</v>
      </c>
      <c r="F160" t="s">
        <v>290</v>
      </c>
      <c r="G160">
        <v>91.55</v>
      </c>
      <c r="H160">
        <v>109.87</v>
      </c>
      <c r="I160" t="s">
        <v>295</v>
      </c>
      <c r="J160" t="s">
        <v>441</v>
      </c>
      <c r="K160" t="s">
        <v>543</v>
      </c>
      <c r="L160" t="s">
        <v>203</v>
      </c>
      <c r="M160" t="s">
        <v>7</v>
      </c>
      <c r="N160" t="s">
        <v>12</v>
      </c>
      <c r="O160" t="s">
        <v>7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7</v>
      </c>
      <c r="AH160" t="s">
        <v>12</v>
      </c>
      <c r="AI160" t="s">
        <v>7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0</v>
      </c>
      <c r="AV160">
        <f>$H$160*$AB$160</f>
        <v>109.87</v>
      </c>
      <c r="AW160">
        <f>$H$160*$AC$160</f>
        <v>109.87</v>
      </c>
      <c r="AX160">
        <f>$H$160*$AD$160</f>
        <v>109.87</v>
      </c>
      <c r="AY160">
        <f>$H$160*$AE$160</f>
        <v>109.87</v>
      </c>
      <c r="AZ160">
        <f>$H$160*$AF$160</f>
        <v>109.87</v>
      </c>
    </row>
    <row r="161" spans="1:52" x14ac:dyDescent="0.25">
      <c r="A161">
        <v>200</v>
      </c>
      <c r="B161" t="s">
        <v>7</v>
      </c>
      <c r="C161" t="s">
        <v>442</v>
      </c>
      <c r="D161">
        <v>1</v>
      </c>
      <c r="E161">
        <v>65.8</v>
      </c>
      <c r="F161" t="s">
        <v>290</v>
      </c>
      <c r="G161">
        <v>65.8</v>
      </c>
      <c r="H161">
        <v>78.959999999999994</v>
      </c>
      <c r="I161" t="s">
        <v>443</v>
      </c>
      <c r="J161" t="s">
        <v>444</v>
      </c>
      <c r="K161" t="s">
        <v>544</v>
      </c>
      <c r="L161" t="s">
        <v>203</v>
      </c>
      <c r="M161" t="s">
        <v>7</v>
      </c>
      <c r="N161" t="s">
        <v>12</v>
      </c>
      <c r="O161" t="s">
        <v>7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7</v>
      </c>
      <c r="AH161" t="s">
        <v>12</v>
      </c>
      <c r="AI161" t="s">
        <v>7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78.959999999999994</v>
      </c>
      <c r="AQ161">
        <f>$H$161*$W$161</f>
        <v>78.959999999999994</v>
      </c>
      <c r="AR161">
        <f>$H$161*$X$161</f>
        <v>78.959999999999994</v>
      </c>
      <c r="AS161">
        <f>$H$161*$Y$161</f>
        <v>78.959999999999994</v>
      </c>
      <c r="AT161">
        <f>$H$161*$Z$161</f>
        <v>78.959999999999994</v>
      </c>
      <c r="AU161">
        <f>$H$161*$AA$161</f>
        <v>78.959999999999994</v>
      </c>
      <c r="AV161">
        <f>$H$161*$AB$161</f>
        <v>78.959999999999994</v>
      </c>
      <c r="AW161">
        <f>$H$161*$AC$161</f>
        <v>78.959999999999994</v>
      </c>
      <c r="AX161">
        <f>$H$161*$AD$161</f>
        <v>78.959999999999994</v>
      </c>
      <c r="AY161">
        <f>$H$161*$AE$161</f>
        <v>78.959999999999994</v>
      </c>
      <c r="AZ161">
        <f>$H$161*$AF$161</f>
        <v>78.959999999999994</v>
      </c>
    </row>
    <row r="162" spans="1:52" x14ac:dyDescent="0.25">
      <c r="A162">
        <v>201</v>
      </c>
      <c r="B162" t="s">
        <v>7</v>
      </c>
      <c r="C162" t="s">
        <v>445</v>
      </c>
      <c r="D162">
        <v>28</v>
      </c>
      <c r="E162">
        <v>267.95999999999998</v>
      </c>
      <c r="F162" t="s">
        <v>290</v>
      </c>
      <c r="G162">
        <v>9.57</v>
      </c>
      <c r="H162">
        <v>321.56</v>
      </c>
      <c r="I162" t="s">
        <v>394</v>
      </c>
      <c r="J162" t="s">
        <v>446</v>
      </c>
      <c r="K162" t="s">
        <v>545</v>
      </c>
      <c r="L162" t="s">
        <v>203</v>
      </c>
      <c r="M162" t="s">
        <v>7</v>
      </c>
      <c r="N162" t="s">
        <v>12</v>
      </c>
      <c r="O162" t="s">
        <v>7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7</v>
      </c>
      <c r="AH162" t="s">
        <v>12</v>
      </c>
      <c r="AI162" t="s">
        <v>7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321.56</v>
      </c>
      <c r="AU162">
        <f>$H$162*$AA$162</f>
        <v>321.56</v>
      </c>
      <c r="AV162">
        <f>$H$162*$AB$162</f>
        <v>321.56</v>
      </c>
      <c r="AW162">
        <f>$H$162*$AC$162</f>
        <v>321.56</v>
      </c>
      <c r="AX162">
        <f>$H$162*$AD$162</f>
        <v>321.56</v>
      </c>
      <c r="AY162">
        <f>$H$162*$AE$162</f>
        <v>321.56</v>
      </c>
      <c r="AZ162">
        <f>$H$162*$AF$162</f>
        <v>321.56</v>
      </c>
    </row>
    <row r="163" spans="1:52" x14ac:dyDescent="0.25">
      <c r="A163">
        <v>202</v>
      </c>
      <c r="B163" t="s">
        <v>7</v>
      </c>
      <c r="C163" t="s">
        <v>447</v>
      </c>
      <c r="D163">
        <v>14</v>
      </c>
      <c r="E163">
        <v>2241.8200000000002</v>
      </c>
      <c r="F163" t="s">
        <v>285</v>
      </c>
      <c r="G163">
        <v>160.13</v>
      </c>
      <c r="H163">
        <v>2690.18</v>
      </c>
      <c r="I163" t="s">
        <v>394</v>
      </c>
      <c r="J163" t="s">
        <v>448</v>
      </c>
      <c r="K163" t="s">
        <v>546</v>
      </c>
      <c r="L163" t="s">
        <v>203</v>
      </c>
      <c r="M163" t="s">
        <v>7</v>
      </c>
      <c r="N163" t="s">
        <v>12</v>
      </c>
      <c r="O163" t="s">
        <v>7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7</v>
      </c>
      <c r="AH163" t="s">
        <v>12</v>
      </c>
      <c r="AI163" t="s">
        <v>7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0</v>
      </c>
      <c r="AV163">
        <f>$H$163*$AB$163</f>
        <v>2690.18</v>
      </c>
      <c r="AW163">
        <f>$H$163*$AC$163</f>
        <v>2690.18</v>
      </c>
      <c r="AX163">
        <f>$H$163*$AD$163</f>
        <v>2690.18</v>
      </c>
      <c r="AY163">
        <f>$H$163*$AE$163</f>
        <v>2690.18</v>
      </c>
      <c r="AZ163">
        <f>$H$163*$AF$163</f>
        <v>2690.18</v>
      </c>
    </row>
    <row r="164" spans="1:52" x14ac:dyDescent="0.25">
      <c r="A164">
        <v>203</v>
      </c>
      <c r="B164" t="s">
        <v>7</v>
      </c>
      <c r="C164" t="s">
        <v>449</v>
      </c>
      <c r="D164">
        <v>16</v>
      </c>
      <c r="E164">
        <v>2763.36</v>
      </c>
      <c r="F164" t="s">
        <v>285</v>
      </c>
      <c r="G164">
        <v>172.71</v>
      </c>
      <c r="H164">
        <v>3316.04</v>
      </c>
      <c r="I164" t="s">
        <v>394</v>
      </c>
      <c r="J164" t="s">
        <v>450</v>
      </c>
      <c r="K164" t="s">
        <v>547</v>
      </c>
      <c r="L164" t="s">
        <v>203</v>
      </c>
      <c r="M164" t="s">
        <v>7</v>
      </c>
      <c r="N164" t="s">
        <v>12</v>
      </c>
      <c r="O164" t="s">
        <v>7</v>
      </c>
      <c r="P164">
        <v>0</v>
      </c>
      <c r="Q164">
        <v>0</v>
      </c>
      <c r="R164">
        <v>0</v>
      </c>
      <c r="S164">
        <v>0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7</v>
      </c>
      <c r="AH164" t="s">
        <v>12</v>
      </c>
      <c r="AI164" t="s">
        <v>7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3316.04</v>
      </c>
      <c r="AO164">
        <f>$H$164*$U$164</f>
        <v>3316.04</v>
      </c>
      <c r="AP164">
        <f>$H$164*$V$164</f>
        <v>3316.04</v>
      </c>
      <c r="AQ164">
        <f>$H$164*$W$164</f>
        <v>3316.04</v>
      </c>
      <c r="AR164">
        <f>$H$164*$X$164</f>
        <v>3316.04</v>
      </c>
      <c r="AS164">
        <f>$H$164*$Y$164</f>
        <v>3316.04</v>
      </c>
      <c r="AT164">
        <f>$H$164*$Z$164</f>
        <v>3316.04</v>
      </c>
      <c r="AU164">
        <f>$H$164*$AA$164</f>
        <v>3316.04</v>
      </c>
      <c r="AV164">
        <f>$H$164*$AB$164</f>
        <v>3316.04</v>
      </c>
      <c r="AW164">
        <f>$H$164*$AC$164</f>
        <v>3316.04</v>
      </c>
      <c r="AX164">
        <f>$H$164*$AD$164</f>
        <v>3316.04</v>
      </c>
      <c r="AY164">
        <f>$H$164*$AE$164</f>
        <v>3316.04</v>
      </c>
      <c r="AZ164">
        <f>$H$164*$AF$164</f>
        <v>3316.04</v>
      </c>
    </row>
    <row r="165" spans="1:52" x14ac:dyDescent="0.25">
      <c r="A165">
        <v>204</v>
      </c>
      <c r="B165" t="s">
        <v>7</v>
      </c>
      <c r="C165" t="s">
        <v>451</v>
      </c>
      <c r="D165">
        <v>18</v>
      </c>
      <c r="E165">
        <v>1286.82</v>
      </c>
      <c r="F165" t="s">
        <v>285</v>
      </c>
      <c r="G165">
        <v>71.489999999999995</v>
      </c>
      <c r="H165">
        <v>1544.18</v>
      </c>
      <c r="I165" t="s">
        <v>394</v>
      </c>
      <c r="J165" t="s">
        <v>452</v>
      </c>
      <c r="K165" t="s">
        <v>548</v>
      </c>
      <c r="L165" t="s">
        <v>203</v>
      </c>
      <c r="M165" t="s">
        <v>7</v>
      </c>
      <c r="N165" t="s">
        <v>12</v>
      </c>
      <c r="O165" t="s">
        <v>7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7</v>
      </c>
      <c r="AH165" t="s">
        <v>12</v>
      </c>
      <c r="AI165" t="s">
        <v>7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1544.18</v>
      </c>
      <c r="AU165">
        <f>$H$165*$AA$165</f>
        <v>1544.18</v>
      </c>
      <c r="AV165">
        <f>$H$165*$AB$165</f>
        <v>1544.18</v>
      </c>
      <c r="AW165">
        <f>$H$165*$AC$165</f>
        <v>1544.18</v>
      </c>
      <c r="AX165">
        <f>$H$165*$AD$165</f>
        <v>1544.18</v>
      </c>
      <c r="AY165">
        <f>$H$165*$AE$165</f>
        <v>1544.18</v>
      </c>
      <c r="AZ165">
        <f>$H$165*$AF$165</f>
        <v>1544.18</v>
      </c>
    </row>
    <row r="166" spans="1:52" x14ac:dyDescent="0.25">
      <c r="A166">
        <v>205</v>
      </c>
      <c r="B166" t="s">
        <v>7</v>
      </c>
      <c r="C166" t="s">
        <v>453</v>
      </c>
      <c r="D166">
        <v>1</v>
      </c>
      <c r="E166">
        <v>75.59</v>
      </c>
      <c r="F166" t="s">
        <v>290</v>
      </c>
      <c r="G166">
        <v>75.59</v>
      </c>
      <c r="H166">
        <v>90.71</v>
      </c>
      <c r="I166" t="s">
        <v>292</v>
      </c>
      <c r="J166" t="s">
        <v>454</v>
      </c>
      <c r="K166" t="s">
        <v>549</v>
      </c>
      <c r="L166" t="s">
        <v>203</v>
      </c>
      <c r="M166" t="s">
        <v>7</v>
      </c>
      <c r="N166" t="s">
        <v>12</v>
      </c>
      <c r="O166" t="s">
        <v>7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0.6</v>
      </c>
      <c r="Y166">
        <v>0.6</v>
      </c>
      <c r="Z166">
        <v>0.6</v>
      </c>
      <c r="AA166">
        <v>0.6</v>
      </c>
      <c r="AB166">
        <v>0.6</v>
      </c>
      <c r="AC166">
        <v>0.6</v>
      </c>
      <c r="AD166">
        <v>1</v>
      </c>
      <c r="AE166">
        <v>1</v>
      </c>
      <c r="AF166">
        <v>1</v>
      </c>
      <c r="AG166" t="s">
        <v>7</v>
      </c>
      <c r="AH166" t="s">
        <v>12</v>
      </c>
      <c r="AI166" t="s">
        <v>7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54.425999999999995</v>
      </c>
      <c r="AS166">
        <f>$H$166*$Y$166</f>
        <v>54.425999999999995</v>
      </c>
      <c r="AT166">
        <f>$H$166*$Z$166</f>
        <v>54.425999999999995</v>
      </c>
      <c r="AU166">
        <f>$H$166*$AA$166</f>
        <v>54.425999999999995</v>
      </c>
      <c r="AV166">
        <f>$H$166*$AB$166</f>
        <v>54.425999999999995</v>
      </c>
      <c r="AW166">
        <f>$H$166*$AC$166</f>
        <v>54.425999999999995</v>
      </c>
      <c r="AX166">
        <f>$H$166*$AD$166</f>
        <v>90.71</v>
      </c>
      <c r="AY166">
        <f>$H$166*$AE$166</f>
        <v>90.71</v>
      </c>
      <c r="AZ166">
        <f>$H$166*$AF$166</f>
        <v>90.71</v>
      </c>
    </row>
    <row r="167" spans="1:52" x14ac:dyDescent="0.25">
      <c r="A167">
        <v>206</v>
      </c>
      <c r="B167" t="s">
        <v>7</v>
      </c>
      <c r="C167" t="s">
        <v>455</v>
      </c>
      <c r="D167">
        <v>1</v>
      </c>
      <c r="E167">
        <v>159.74</v>
      </c>
      <c r="F167" t="s">
        <v>290</v>
      </c>
      <c r="G167">
        <v>159.74</v>
      </c>
      <c r="H167">
        <v>191.68</v>
      </c>
      <c r="I167" t="s">
        <v>443</v>
      </c>
      <c r="J167" t="s">
        <v>456</v>
      </c>
      <c r="K167" t="s">
        <v>550</v>
      </c>
      <c r="L167" t="s">
        <v>203</v>
      </c>
      <c r="M167" t="s">
        <v>7</v>
      </c>
      <c r="N167" t="s">
        <v>12</v>
      </c>
      <c r="O167" t="s">
        <v>7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1</v>
      </c>
      <c r="AD167">
        <v>1</v>
      </c>
      <c r="AE167">
        <v>1</v>
      </c>
      <c r="AF167">
        <v>1</v>
      </c>
      <c r="AG167" t="s">
        <v>7</v>
      </c>
      <c r="AH167" t="s">
        <v>12</v>
      </c>
      <c r="AI167" t="s">
        <v>7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191.68</v>
      </c>
      <c r="AX167">
        <f>$H$167*$AD$167</f>
        <v>191.68</v>
      </c>
      <c r="AY167">
        <f>$H$167*$AE$167</f>
        <v>191.68</v>
      </c>
      <c r="AZ167">
        <f>$H$167*$AF$167</f>
        <v>191.68</v>
      </c>
    </row>
    <row r="168" spans="1:52" x14ac:dyDescent="0.25">
      <c r="A168">
        <v>207</v>
      </c>
      <c r="B168" t="s">
        <v>7</v>
      </c>
      <c r="C168" t="s">
        <v>457</v>
      </c>
      <c r="D168">
        <v>1</v>
      </c>
      <c r="E168">
        <v>525.38</v>
      </c>
      <c r="F168" t="s">
        <v>290</v>
      </c>
      <c r="G168">
        <v>525.38</v>
      </c>
      <c r="H168">
        <v>630.46</v>
      </c>
      <c r="I168" t="s">
        <v>443</v>
      </c>
      <c r="J168" t="s">
        <v>458</v>
      </c>
      <c r="K168" t="s">
        <v>551</v>
      </c>
      <c r="L168" t="s">
        <v>203</v>
      </c>
      <c r="M168" t="s">
        <v>7</v>
      </c>
      <c r="N168" t="s">
        <v>12</v>
      </c>
      <c r="O168" t="s">
        <v>7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7</v>
      </c>
      <c r="AH168" t="s">
        <v>12</v>
      </c>
      <c r="AI168" t="s">
        <v>7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630.46</v>
      </c>
      <c r="AQ168">
        <f>$H$168*$W$168</f>
        <v>630.46</v>
      </c>
      <c r="AR168">
        <f>$H$168*$X$168</f>
        <v>630.46</v>
      </c>
      <c r="AS168">
        <f>$H$168*$Y$168</f>
        <v>630.46</v>
      </c>
      <c r="AT168">
        <f>$H$168*$Z$168</f>
        <v>630.46</v>
      </c>
      <c r="AU168">
        <f>$H$168*$AA$168</f>
        <v>630.46</v>
      </c>
      <c r="AV168">
        <f>$H$168*$AB$168</f>
        <v>630.46</v>
      </c>
      <c r="AW168">
        <f>$H$168*$AC$168</f>
        <v>630.46</v>
      </c>
      <c r="AX168">
        <f>$H$168*$AD$168</f>
        <v>630.46</v>
      </c>
      <c r="AY168">
        <f>$H$168*$AE$168</f>
        <v>630.46</v>
      </c>
      <c r="AZ168">
        <f>$H$168*$AF$168</f>
        <v>630.46</v>
      </c>
    </row>
    <row r="169" spans="1:52" x14ac:dyDescent="0.25">
      <c r="A169">
        <v>208</v>
      </c>
      <c r="B169" t="s">
        <v>7</v>
      </c>
      <c r="C169" t="s">
        <v>459</v>
      </c>
      <c r="D169">
        <v>1</v>
      </c>
      <c r="E169">
        <v>723.78</v>
      </c>
      <c r="F169" t="s">
        <v>290</v>
      </c>
      <c r="G169">
        <v>723.78</v>
      </c>
      <c r="H169">
        <v>868.54</v>
      </c>
      <c r="I169" t="s">
        <v>443</v>
      </c>
      <c r="J169" t="s">
        <v>460</v>
      </c>
      <c r="K169" t="s">
        <v>552</v>
      </c>
      <c r="L169" t="s">
        <v>203</v>
      </c>
      <c r="M169" t="s">
        <v>7</v>
      </c>
      <c r="N169" t="s">
        <v>12</v>
      </c>
      <c r="O169" t="s">
        <v>7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7</v>
      </c>
      <c r="AH169" t="s">
        <v>12</v>
      </c>
      <c r="AI169" t="s">
        <v>7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868.54</v>
      </c>
      <c r="AQ169">
        <f>$H$169*$W$169</f>
        <v>868.54</v>
      </c>
      <c r="AR169">
        <f>$H$169*$X$169</f>
        <v>868.54</v>
      </c>
      <c r="AS169">
        <f>$H$169*$Y$169</f>
        <v>868.54</v>
      </c>
      <c r="AT169">
        <f>$H$169*$Z$169</f>
        <v>868.54</v>
      </c>
      <c r="AU169">
        <f>$H$169*$AA$169</f>
        <v>868.54</v>
      </c>
      <c r="AV169">
        <f>$H$169*$AB$169</f>
        <v>868.54</v>
      </c>
      <c r="AW169">
        <f>$H$169*$AC$169</f>
        <v>868.54</v>
      </c>
      <c r="AX169">
        <f>$H$169*$AD$169</f>
        <v>868.54</v>
      </c>
      <c r="AY169">
        <f>$H$169*$AE$169</f>
        <v>868.54</v>
      </c>
      <c r="AZ169">
        <f>$H$169*$AF$169</f>
        <v>868.54</v>
      </c>
    </row>
    <row r="170" spans="1:52" x14ac:dyDescent="0.25">
      <c r="A170">
        <v>209</v>
      </c>
      <c r="B170" t="s">
        <v>7</v>
      </c>
      <c r="C170" t="s">
        <v>461</v>
      </c>
      <c r="D170">
        <v>1</v>
      </c>
      <c r="E170">
        <v>941.11</v>
      </c>
      <c r="F170" t="s">
        <v>290</v>
      </c>
      <c r="G170">
        <v>941.11</v>
      </c>
      <c r="H170">
        <v>1129.33</v>
      </c>
      <c r="I170" t="s">
        <v>443</v>
      </c>
      <c r="J170" t="s">
        <v>462</v>
      </c>
      <c r="K170" t="s">
        <v>553</v>
      </c>
      <c r="L170" t="s">
        <v>203</v>
      </c>
      <c r="M170" t="s">
        <v>7</v>
      </c>
      <c r="N170" t="s">
        <v>12</v>
      </c>
      <c r="O170" t="s">
        <v>7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7</v>
      </c>
      <c r="AH170" t="s">
        <v>12</v>
      </c>
      <c r="AI170" t="s">
        <v>7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1129.33</v>
      </c>
      <c r="AQ170">
        <f>$H$170*$W$170</f>
        <v>1129.33</v>
      </c>
      <c r="AR170">
        <f>$H$170*$X$170</f>
        <v>1129.33</v>
      </c>
      <c r="AS170">
        <f>$H$170*$Y$170</f>
        <v>1129.33</v>
      </c>
      <c r="AT170">
        <f>$H$170*$Z$170</f>
        <v>1129.33</v>
      </c>
      <c r="AU170">
        <f>$H$170*$AA$170</f>
        <v>1129.33</v>
      </c>
      <c r="AV170">
        <f>$H$170*$AB$170</f>
        <v>1129.33</v>
      </c>
      <c r="AW170">
        <f>$H$170*$AC$170</f>
        <v>1129.33</v>
      </c>
      <c r="AX170">
        <f>$H$170*$AD$170</f>
        <v>1129.33</v>
      </c>
      <c r="AY170">
        <f>$H$170*$AE$170</f>
        <v>1129.33</v>
      </c>
      <c r="AZ170">
        <f>$H$170*$AF$170</f>
        <v>1129.33</v>
      </c>
    </row>
    <row r="171" spans="1:52" x14ac:dyDescent="0.25">
      <c r="A171">
        <v>210</v>
      </c>
      <c r="B171" t="s">
        <v>7</v>
      </c>
      <c r="C171" t="s">
        <v>311</v>
      </c>
      <c r="D171">
        <v>302.67</v>
      </c>
      <c r="E171">
        <v>296.62</v>
      </c>
      <c r="F171" t="s">
        <v>303</v>
      </c>
      <c r="G171">
        <v>0.98</v>
      </c>
      <c r="H171">
        <v>355.94</v>
      </c>
      <c r="I171" t="s">
        <v>286</v>
      </c>
      <c r="J171" t="s">
        <v>312</v>
      </c>
      <c r="K171" t="s">
        <v>479</v>
      </c>
      <c r="L171" t="s">
        <v>203</v>
      </c>
      <c r="M171" t="s">
        <v>7</v>
      </c>
      <c r="N171" t="s">
        <v>12</v>
      </c>
      <c r="O171" t="s">
        <v>7</v>
      </c>
      <c r="P171">
        <v>0</v>
      </c>
      <c r="Q171">
        <v>0</v>
      </c>
      <c r="R171">
        <v>0</v>
      </c>
      <c r="S171">
        <v>0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7</v>
      </c>
      <c r="AH171" t="s">
        <v>12</v>
      </c>
      <c r="AI171" t="s">
        <v>7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355.94</v>
      </c>
      <c r="AO171">
        <f>$H$171*$U$171</f>
        <v>355.94</v>
      </c>
      <c r="AP171">
        <f>$H$171*$V$171</f>
        <v>355.94</v>
      </c>
      <c r="AQ171">
        <f>$H$171*$W$171</f>
        <v>355.94</v>
      </c>
      <c r="AR171">
        <f>$H$171*$X$171</f>
        <v>355.94</v>
      </c>
      <c r="AS171">
        <f>$H$171*$Y$171</f>
        <v>355.94</v>
      </c>
      <c r="AT171">
        <f>$H$171*$Z$171</f>
        <v>355.94</v>
      </c>
      <c r="AU171">
        <f>$H$171*$AA$171</f>
        <v>355.94</v>
      </c>
      <c r="AV171">
        <f>$H$171*$AB$171</f>
        <v>355.94</v>
      </c>
      <c r="AW171">
        <f>$H$171*$AC$171</f>
        <v>355.94</v>
      </c>
      <c r="AX171">
        <f>$H$171*$AD$171</f>
        <v>355.94</v>
      </c>
      <c r="AY171">
        <f>$H$171*$AE$171</f>
        <v>355.94</v>
      </c>
      <c r="AZ171">
        <f>$H$171*$AF$171</f>
        <v>355.94</v>
      </c>
    </row>
    <row r="172" spans="1:52" x14ac:dyDescent="0.25">
      <c r="A172">
        <v>211</v>
      </c>
      <c r="B172" t="s">
        <v>7</v>
      </c>
      <c r="C172" t="s">
        <v>404</v>
      </c>
      <c r="D172">
        <v>302.67</v>
      </c>
      <c r="E172">
        <v>808.13</v>
      </c>
      <c r="F172" t="s">
        <v>303</v>
      </c>
      <c r="G172">
        <v>2.67</v>
      </c>
      <c r="H172">
        <v>969.75</v>
      </c>
      <c r="I172" t="s">
        <v>314</v>
      </c>
      <c r="J172" t="s">
        <v>405</v>
      </c>
      <c r="K172" t="s">
        <v>524</v>
      </c>
      <c r="L172" t="s">
        <v>203</v>
      </c>
      <c r="M172" t="s">
        <v>7</v>
      </c>
      <c r="N172" t="s">
        <v>12</v>
      </c>
      <c r="O172" t="s">
        <v>7</v>
      </c>
      <c r="P172">
        <v>0</v>
      </c>
      <c r="Q172">
        <v>0</v>
      </c>
      <c r="R172">
        <v>0</v>
      </c>
      <c r="S172">
        <v>0.25</v>
      </c>
      <c r="T172">
        <v>0.25</v>
      </c>
      <c r="U172">
        <v>0.25</v>
      </c>
      <c r="V172">
        <v>0.25</v>
      </c>
      <c r="W172">
        <v>0.25</v>
      </c>
      <c r="X172">
        <v>0.5</v>
      </c>
      <c r="Y172">
        <v>0.5</v>
      </c>
      <c r="Z172">
        <v>0.5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7</v>
      </c>
      <c r="AH172" t="s">
        <v>12</v>
      </c>
      <c r="AI172" t="s">
        <v>7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242.4375</v>
      </c>
      <c r="AN172">
        <f>$H$172*$T$172</f>
        <v>242.4375</v>
      </c>
      <c r="AO172">
        <f>$H$172*$U$172</f>
        <v>242.4375</v>
      </c>
      <c r="AP172">
        <f>$H$172*$V$172</f>
        <v>242.4375</v>
      </c>
      <c r="AQ172">
        <f>$H$172*$W$172</f>
        <v>242.4375</v>
      </c>
      <c r="AR172">
        <f>$H$172*$X$172</f>
        <v>484.875</v>
      </c>
      <c r="AS172">
        <f>$H$172*$Y$172</f>
        <v>484.875</v>
      </c>
      <c r="AT172">
        <f>$H$172*$Z$172</f>
        <v>484.875</v>
      </c>
      <c r="AU172">
        <f>$H$172*$AA$172</f>
        <v>969.75</v>
      </c>
      <c r="AV172">
        <f>$H$172*$AB$172</f>
        <v>969.75</v>
      </c>
      <c r="AW172">
        <f>$H$172*$AC$172</f>
        <v>969.75</v>
      </c>
      <c r="AX172">
        <f>$H$172*$AD$172</f>
        <v>969.75</v>
      </c>
      <c r="AY172">
        <f>$H$172*$AE$172</f>
        <v>969.75</v>
      </c>
      <c r="AZ172">
        <f>$H$172*$AF$172</f>
        <v>969.75</v>
      </c>
    </row>
    <row r="173" spans="1:52" x14ac:dyDescent="0.25">
      <c r="A173">
        <v>212</v>
      </c>
      <c r="B173" t="s">
        <v>7</v>
      </c>
      <c r="C173" t="s">
        <v>406</v>
      </c>
      <c r="D173">
        <v>18.920000000000002</v>
      </c>
      <c r="E173">
        <v>17.22</v>
      </c>
      <c r="F173" t="s">
        <v>285</v>
      </c>
      <c r="G173">
        <v>0.91</v>
      </c>
      <c r="H173">
        <v>20.66</v>
      </c>
      <c r="I173" t="s">
        <v>286</v>
      </c>
      <c r="J173" t="s">
        <v>407</v>
      </c>
      <c r="K173" t="s">
        <v>525</v>
      </c>
      <c r="L173" t="s">
        <v>203</v>
      </c>
      <c r="M173" t="s">
        <v>7</v>
      </c>
      <c r="N173" t="s">
        <v>12</v>
      </c>
      <c r="O173" t="s">
        <v>7</v>
      </c>
      <c r="P173">
        <v>0</v>
      </c>
      <c r="Q173">
        <v>0</v>
      </c>
      <c r="R173">
        <v>0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7</v>
      </c>
      <c r="AH173" t="s">
        <v>12</v>
      </c>
      <c r="AI173" t="s">
        <v>7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20.66</v>
      </c>
      <c r="AN173">
        <f>$H$173*$T$173</f>
        <v>20.66</v>
      </c>
      <c r="AO173">
        <f>$H$173*$U$173</f>
        <v>20.66</v>
      </c>
      <c r="AP173">
        <f>$H$173*$V$173</f>
        <v>20.66</v>
      </c>
      <c r="AQ173">
        <f>$H$173*$W$173</f>
        <v>20.66</v>
      </c>
      <c r="AR173">
        <f>$H$173*$X$173</f>
        <v>20.66</v>
      </c>
      <c r="AS173">
        <f>$H$173*$Y$173</f>
        <v>20.66</v>
      </c>
      <c r="AT173">
        <f>$H$173*$Z$173</f>
        <v>20.66</v>
      </c>
      <c r="AU173">
        <f>$H$173*$AA$173</f>
        <v>20.66</v>
      </c>
      <c r="AV173">
        <f>$H$173*$AB$173</f>
        <v>20.66</v>
      </c>
      <c r="AW173">
        <f>$H$173*$AC$173</f>
        <v>20.66</v>
      </c>
      <c r="AX173">
        <f>$H$173*$AD$173</f>
        <v>20.66</v>
      </c>
      <c r="AY173">
        <f>$H$173*$AE$173</f>
        <v>20.66</v>
      </c>
      <c r="AZ173">
        <f>$H$173*$AF$173</f>
        <v>20.66</v>
      </c>
    </row>
    <row r="174" spans="1:52" x14ac:dyDescent="0.25">
      <c r="A174">
        <v>213</v>
      </c>
      <c r="B174" t="s">
        <v>7</v>
      </c>
      <c r="C174" t="s">
        <v>408</v>
      </c>
      <c r="D174">
        <v>18.920000000000002</v>
      </c>
      <c r="E174">
        <v>96.87</v>
      </c>
      <c r="F174" t="s">
        <v>285</v>
      </c>
      <c r="G174">
        <v>5.12</v>
      </c>
      <c r="H174">
        <v>116.25</v>
      </c>
      <c r="I174" t="s">
        <v>289</v>
      </c>
      <c r="J174" t="s">
        <v>409</v>
      </c>
      <c r="K174" t="s">
        <v>526</v>
      </c>
      <c r="L174" t="s">
        <v>203</v>
      </c>
      <c r="M174" t="s">
        <v>7</v>
      </c>
      <c r="N174" t="s">
        <v>12</v>
      </c>
      <c r="O174" t="s">
        <v>7</v>
      </c>
      <c r="P174">
        <v>0</v>
      </c>
      <c r="Q174">
        <v>0</v>
      </c>
      <c r="R174">
        <v>0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7</v>
      </c>
      <c r="AH174" t="s">
        <v>12</v>
      </c>
      <c r="AI174" t="s">
        <v>7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116.25</v>
      </c>
      <c r="AN174">
        <f>$H$174*$T$174</f>
        <v>116.25</v>
      </c>
      <c r="AO174">
        <f>$H$174*$U$174</f>
        <v>116.25</v>
      </c>
      <c r="AP174">
        <f>$H$174*$V$174</f>
        <v>116.25</v>
      </c>
      <c r="AQ174">
        <f>$H$174*$W$174</f>
        <v>116.25</v>
      </c>
      <c r="AR174">
        <f>$H$174*$X$174</f>
        <v>116.25</v>
      </c>
      <c r="AS174">
        <f>$H$174*$Y$174</f>
        <v>116.25</v>
      </c>
      <c r="AT174">
        <f>$H$174*$Z$174</f>
        <v>116.25</v>
      </c>
      <c r="AU174">
        <f>$H$174*$AA$174</f>
        <v>116.25</v>
      </c>
      <c r="AV174">
        <f>$H$174*$AB$174</f>
        <v>116.25</v>
      </c>
      <c r="AW174">
        <f>$H$174*$AC$174</f>
        <v>116.25</v>
      </c>
      <c r="AX174">
        <f>$H$174*$AD$174</f>
        <v>116.25</v>
      </c>
      <c r="AY174">
        <f>$H$174*$AE$174</f>
        <v>116.25</v>
      </c>
      <c r="AZ174">
        <f>$H$174*$AF$174</f>
        <v>116.25</v>
      </c>
    </row>
    <row r="175" spans="1:52" x14ac:dyDescent="0.25">
      <c r="A175">
        <v>214</v>
      </c>
      <c r="B175" t="s">
        <v>7</v>
      </c>
      <c r="C175" t="s">
        <v>404</v>
      </c>
      <c r="D175">
        <v>89.25</v>
      </c>
      <c r="E175">
        <v>238.3</v>
      </c>
      <c r="F175" t="s">
        <v>303</v>
      </c>
      <c r="G175">
        <v>2.67</v>
      </c>
      <c r="H175">
        <v>285.95999999999998</v>
      </c>
      <c r="I175" t="s">
        <v>314</v>
      </c>
      <c r="J175" t="s">
        <v>405</v>
      </c>
      <c r="K175" t="s">
        <v>524</v>
      </c>
      <c r="L175" t="s">
        <v>203</v>
      </c>
      <c r="M175" t="s">
        <v>7</v>
      </c>
      <c r="N175" t="s">
        <v>12</v>
      </c>
      <c r="O175" t="s">
        <v>7</v>
      </c>
      <c r="P175">
        <v>0</v>
      </c>
      <c r="Q175">
        <v>0</v>
      </c>
      <c r="R175">
        <v>0</v>
      </c>
      <c r="S175">
        <v>0.25</v>
      </c>
      <c r="T175">
        <v>0.25</v>
      </c>
      <c r="U175">
        <v>0.25</v>
      </c>
      <c r="V175">
        <v>0.25</v>
      </c>
      <c r="W175">
        <v>0.25</v>
      </c>
      <c r="X175">
        <v>0.5</v>
      </c>
      <c r="Y175">
        <v>0.5</v>
      </c>
      <c r="Z175">
        <v>0.5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7</v>
      </c>
      <c r="AH175" t="s">
        <v>12</v>
      </c>
      <c r="AI175" t="s">
        <v>7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71.489999999999995</v>
      </c>
      <c r="AN175">
        <f>$H$175*$T$175</f>
        <v>71.489999999999995</v>
      </c>
      <c r="AO175">
        <f>$H$175*$U$175</f>
        <v>71.489999999999995</v>
      </c>
      <c r="AP175">
        <f>$H$175*$V$175</f>
        <v>71.489999999999995</v>
      </c>
      <c r="AQ175">
        <f>$H$175*$W$175</f>
        <v>71.489999999999995</v>
      </c>
      <c r="AR175">
        <f>$H$175*$X$175</f>
        <v>142.97999999999999</v>
      </c>
      <c r="AS175">
        <f>$H$175*$Y$175</f>
        <v>142.97999999999999</v>
      </c>
      <c r="AT175">
        <f>$H$175*$Z$175</f>
        <v>142.97999999999999</v>
      </c>
      <c r="AU175">
        <f>$H$175*$AA$175</f>
        <v>285.95999999999998</v>
      </c>
      <c r="AV175">
        <f>$H$175*$AB$175</f>
        <v>285.95999999999998</v>
      </c>
      <c r="AW175">
        <f>$H$175*$AC$175</f>
        <v>285.95999999999998</v>
      </c>
      <c r="AX175">
        <f>$H$175*$AD$175</f>
        <v>285.95999999999998</v>
      </c>
      <c r="AY175">
        <f>$H$175*$AE$175</f>
        <v>285.95999999999998</v>
      </c>
      <c r="AZ175">
        <f>$H$175*$AF$175</f>
        <v>285.95999999999998</v>
      </c>
    </row>
    <row r="176" spans="1:52" x14ac:dyDescent="0.25">
      <c r="A176">
        <v>215</v>
      </c>
      <c r="B176" t="s">
        <v>7</v>
      </c>
      <c r="C176" t="s">
        <v>410</v>
      </c>
      <c r="D176">
        <v>89.25</v>
      </c>
      <c r="E176">
        <v>56.23</v>
      </c>
      <c r="F176" t="s">
        <v>303</v>
      </c>
      <c r="G176">
        <v>0.63</v>
      </c>
      <c r="H176">
        <v>67.47</v>
      </c>
      <c r="I176" t="s">
        <v>286</v>
      </c>
      <c r="J176" t="s">
        <v>411</v>
      </c>
      <c r="K176" t="s">
        <v>527</v>
      </c>
      <c r="L176" t="s">
        <v>203</v>
      </c>
      <c r="M176" t="s">
        <v>7</v>
      </c>
      <c r="N176" t="s">
        <v>12</v>
      </c>
      <c r="O176" t="s">
        <v>7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1</v>
      </c>
      <c r="AE176">
        <v>1</v>
      </c>
      <c r="AF176">
        <v>1</v>
      </c>
      <c r="AG176" t="s">
        <v>7</v>
      </c>
      <c r="AH176" t="s">
        <v>12</v>
      </c>
      <c r="AI176" t="s">
        <v>7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0</v>
      </c>
      <c r="AV176">
        <f>$H$176*$AB$176</f>
        <v>0</v>
      </c>
      <c r="AW176">
        <f>$H$176*$AC$176</f>
        <v>0</v>
      </c>
      <c r="AX176">
        <f>$H$176*$AD$176</f>
        <v>67.47</v>
      </c>
      <c r="AY176">
        <f>$H$176*$AE$176</f>
        <v>67.47</v>
      </c>
      <c r="AZ176">
        <f>$H$176*$AF$176</f>
        <v>67.47</v>
      </c>
    </row>
    <row r="177" spans="1:52" x14ac:dyDescent="0.25">
      <c r="A177">
        <v>216</v>
      </c>
      <c r="B177" t="s">
        <v>7</v>
      </c>
      <c r="C177" t="s">
        <v>412</v>
      </c>
      <c r="D177">
        <v>89.25</v>
      </c>
      <c r="E177">
        <v>61.58</v>
      </c>
      <c r="F177" t="s">
        <v>303</v>
      </c>
      <c r="G177">
        <v>0.69</v>
      </c>
      <c r="H177">
        <v>73.900000000000006</v>
      </c>
      <c r="I177" t="s">
        <v>286</v>
      </c>
      <c r="J177" t="s">
        <v>413</v>
      </c>
      <c r="K177" t="s">
        <v>528</v>
      </c>
      <c r="L177" t="s">
        <v>203</v>
      </c>
      <c r="M177" t="s">
        <v>7</v>
      </c>
      <c r="N177" t="s">
        <v>12</v>
      </c>
      <c r="O177" t="s">
        <v>7</v>
      </c>
      <c r="P177">
        <v>0</v>
      </c>
      <c r="Q177">
        <v>0</v>
      </c>
      <c r="R177">
        <v>0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7</v>
      </c>
      <c r="AH177" t="s">
        <v>12</v>
      </c>
      <c r="AI177" t="s">
        <v>7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73.900000000000006</v>
      </c>
      <c r="AN177">
        <f>$H$177*$T$177</f>
        <v>73.900000000000006</v>
      </c>
      <c r="AO177">
        <f>$H$177*$U$177</f>
        <v>73.900000000000006</v>
      </c>
      <c r="AP177">
        <f>$H$177*$V$177</f>
        <v>73.900000000000006</v>
      </c>
      <c r="AQ177">
        <f>$H$177*$W$177</f>
        <v>73.900000000000006</v>
      </c>
      <c r="AR177">
        <f>$H$177*$X$177</f>
        <v>73.900000000000006</v>
      </c>
      <c r="AS177">
        <f>$H$177*$Y$177</f>
        <v>73.900000000000006</v>
      </c>
      <c r="AT177">
        <f>$H$177*$Z$177</f>
        <v>73.900000000000006</v>
      </c>
      <c r="AU177">
        <f>$H$177*$AA$177</f>
        <v>73.900000000000006</v>
      </c>
      <c r="AV177">
        <f>$H$177*$AB$177</f>
        <v>73.900000000000006</v>
      </c>
      <c r="AW177">
        <f>$H$177*$AC$177</f>
        <v>73.900000000000006</v>
      </c>
      <c r="AX177">
        <f>$H$177*$AD$177</f>
        <v>73.900000000000006</v>
      </c>
      <c r="AY177">
        <f>$H$177*$AE$177</f>
        <v>73.900000000000006</v>
      </c>
      <c r="AZ177">
        <f>$H$177*$AF$177</f>
        <v>73.900000000000006</v>
      </c>
    </row>
    <row r="178" spans="1:52" x14ac:dyDescent="0.25">
      <c r="A178">
        <v>217</v>
      </c>
      <c r="B178" t="s">
        <v>7</v>
      </c>
      <c r="C178" t="s">
        <v>414</v>
      </c>
      <c r="D178">
        <v>20.53</v>
      </c>
      <c r="E178">
        <v>82.74</v>
      </c>
      <c r="F178" t="s">
        <v>303</v>
      </c>
      <c r="G178">
        <v>4.03</v>
      </c>
      <c r="H178">
        <v>99.28</v>
      </c>
      <c r="I178" t="s">
        <v>415</v>
      </c>
      <c r="J178" t="s">
        <v>416</v>
      </c>
      <c r="K178" t="s">
        <v>529</v>
      </c>
      <c r="L178" t="s">
        <v>203</v>
      </c>
      <c r="M178" t="s">
        <v>7</v>
      </c>
      <c r="N178" t="s">
        <v>12</v>
      </c>
      <c r="O178" t="s">
        <v>7</v>
      </c>
      <c r="P178">
        <v>0</v>
      </c>
      <c r="Q178">
        <v>0</v>
      </c>
      <c r="R178">
        <v>0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7</v>
      </c>
      <c r="AH178" t="s">
        <v>12</v>
      </c>
      <c r="AI178" t="s">
        <v>7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99.28</v>
      </c>
      <c r="AN178">
        <f>$H$178*$T$178</f>
        <v>99.28</v>
      </c>
      <c r="AO178">
        <f>$H$178*$U$178</f>
        <v>99.28</v>
      </c>
      <c r="AP178">
        <f>$H$178*$V$178</f>
        <v>99.28</v>
      </c>
      <c r="AQ178">
        <f>$H$178*$W$178</f>
        <v>99.28</v>
      </c>
      <c r="AR178">
        <f>$H$178*$X$178</f>
        <v>99.28</v>
      </c>
      <c r="AS178">
        <f>$H$178*$Y$178</f>
        <v>99.28</v>
      </c>
      <c r="AT178">
        <f>$H$178*$Z$178</f>
        <v>99.28</v>
      </c>
      <c r="AU178">
        <f>$H$178*$AA$178</f>
        <v>99.28</v>
      </c>
      <c r="AV178">
        <f>$H$178*$AB$178</f>
        <v>99.28</v>
      </c>
      <c r="AW178">
        <f>$H$178*$AC$178</f>
        <v>99.28</v>
      </c>
      <c r="AX178">
        <f>$H$178*$AD$178</f>
        <v>99.28</v>
      </c>
      <c r="AY178">
        <f>$H$178*$AE$178</f>
        <v>99.28</v>
      </c>
      <c r="AZ178">
        <f>$H$178*$AF$178</f>
        <v>99.28</v>
      </c>
    </row>
    <row r="179" spans="1:52" x14ac:dyDescent="0.25">
      <c r="A179">
        <v>218</v>
      </c>
      <c r="B179" t="s">
        <v>7</v>
      </c>
      <c r="C179" t="s">
        <v>417</v>
      </c>
      <c r="D179">
        <v>82.11</v>
      </c>
      <c r="E179">
        <v>55.01</v>
      </c>
      <c r="F179" t="s">
        <v>303</v>
      </c>
      <c r="G179">
        <v>0.67</v>
      </c>
      <c r="H179">
        <v>66.010000000000005</v>
      </c>
      <c r="I179" t="s">
        <v>326</v>
      </c>
      <c r="J179" t="s">
        <v>418</v>
      </c>
      <c r="K179" t="s">
        <v>530</v>
      </c>
      <c r="L179" t="s">
        <v>203</v>
      </c>
      <c r="M179" t="s">
        <v>7</v>
      </c>
      <c r="N179" t="s">
        <v>12</v>
      </c>
      <c r="O179" t="s">
        <v>7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7</v>
      </c>
      <c r="AH179" t="s">
        <v>12</v>
      </c>
      <c r="AI179" t="s">
        <v>7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66.010000000000005</v>
      </c>
      <c r="AN179">
        <f>$H$179*$T$179</f>
        <v>66.010000000000005</v>
      </c>
      <c r="AO179">
        <f>$H$179*$U$179</f>
        <v>66.010000000000005</v>
      </c>
      <c r="AP179">
        <f>$H$179*$V$179</f>
        <v>66.010000000000005</v>
      </c>
      <c r="AQ179">
        <f>$H$179*$W$179</f>
        <v>66.010000000000005</v>
      </c>
      <c r="AR179">
        <f>$H$179*$X$179</f>
        <v>66.010000000000005</v>
      </c>
      <c r="AS179">
        <f>$H$179*$Y$179</f>
        <v>66.010000000000005</v>
      </c>
      <c r="AT179">
        <f>$H$179*$Z$179</f>
        <v>66.010000000000005</v>
      </c>
      <c r="AU179">
        <f>$H$179*$AA$179</f>
        <v>66.010000000000005</v>
      </c>
      <c r="AV179">
        <f>$H$179*$AB$179</f>
        <v>66.010000000000005</v>
      </c>
      <c r="AW179">
        <f>$H$179*$AC$179</f>
        <v>66.010000000000005</v>
      </c>
      <c r="AX179">
        <f>$H$179*$AD$179</f>
        <v>66.010000000000005</v>
      </c>
      <c r="AY179">
        <f>$H$179*$AE$179</f>
        <v>66.010000000000005</v>
      </c>
      <c r="AZ179">
        <f>$H$179*$AF$179</f>
        <v>66.010000000000005</v>
      </c>
    </row>
    <row r="180" spans="1:52" x14ac:dyDescent="0.25">
      <c r="A180">
        <v>219</v>
      </c>
      <c r="B180" t="s">
        <v>7</v>
      </c>
      <c r="C180" t="s">
        <v>419</v>
      </c>
      <c r="D180">
        <v>82.11</v>
      </c>
      <c r="E180">
        <v>264.39</v>
      </c>
      <c r="F180" t="s">
        <v>303</v>
      </c>
      <c r="G180">
        <v>3.22</v>
      </c>
      <c r="H180">
        <v>317.27</v>
      </c>
      <c r="I180" t="s">
        <v>326</v>
      </c>
      <c r="J180" t="s">
        <v>416</v>
      </c>
      <c r="K180" t="s">
        <v>531</v>
      </c>
      <c r="L180" t="s">
        <v>203</v>
      </c>
      <c r="M180" t="s">
        <v>7</v>
      </c>
      <c r="N180" t="s">
        <v>12</v>
      </c>
      <c r="O180" t="s">
        <v>7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7</v>
      </c>
      <c r="AH180" t="s">
        <v>12</v>
      </c>
      <c r="AI180" t="s">
        <v>7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317.27</v>
      </c>
      <c r="AN180">
        <f>$H$180*$T$180</f>
        <v>317.27</v>
      </c>
      <c r="AO180">
        <f>$H$180*$U$180</f>
        <v>317.27</v>
      </c>
      <c r="AP180">
        <f>$H$180*$V$180</f>
        <v>317.27</v>
      </c>
      <c r="AQ180">
        <f>$H$180*$W$180</f>
        <v>317.27</v>
      </c>
      <c r="AR180">
        <f>$H$180*$X$180</f>
        <v>317.27</v>
      </c>
      <c r="AS180">
        <f>$H$180*$Y$180</f>
        <v>317.27</v>
      </c>
      <c r="AT180">
        <f>$H$180*$Z$180</f>
        <v>317.27</v>
      </c>
      <c r="AU180">
        <f>$H$180*$AA$180</f>
        <v>317.27</v>
      </c>
      <c r="AV180">
        <f>$H$180*$AB$180</f>
        <v>317.27</v>
      </c>
      <c r="AW180">
        <f>$H$180*$AC$180</f>
        <v>317.27</v>
      </c>
      <c r="AX180">
        <f>$H$180*$AD$180</f>
        <v>317.27</v>
      </c>
      <c r="AY180">
        <f>$H$180*$AE$180</f>
        <v>317.27</v>
      </c>
      <c r="AZ180">
        <f>$H$180*$AF$180</f>
        <v>317.27</v>
      </c>
    </row>
    <row r="181" spans="1:52" x14ac:dyDescent="0.25">
      <c r="A181">
        <v>220</v>
      </c>
      <c r="B181" t="s">
        <v>262</v>
      </c>
      <c r="C181" t="s">
        <v>291</v>
      </c>
      <c r="D181">
        <v>1</v>
      </c>
      <c r="E181">
        <v>39.700000000000003</v>
      </c>
      <c r="F181" t="s">
        <v>290</v>
      </c>
      <c r="G181">
        <v>39.700000000000003</v>
      </c>
      <c r="H181">
        <v>47.64</v>
      </c>
      <c r="I181" t="s">
        <v>292</v>
      </c>
      <c r="J181" t="s">
        <v>293</v>
      </c>
      <c r="K181" t="s">
        <v>470</v>
      </c>
      <c r="L181" t="s">
        <v>203</v>
      </c>
      <c r="M181" t="s">
        <v>262</v>
      </c>
      <c r="N181" t="s">
        <v>51</v>
      </c>
      <c r="O181" t="s">
        <v>4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1</v>
      </c>
      <c r="AE181">
        <v>1</v>
      </c>
      <c r="AF181">
        <v>1</v>
      </c>
      <c r="AG181" t="s">
        <v>262</v>
      </c>
      <c r="AH181" t="s">
        <v>51</v>
      </c>
      <c r="AI181" t="s">
        <v>4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0</v>
      </c>
      <c r="AT181">
        <f>$H$181*$Z$181</f>
        <v>0</v>
      </c>
      <c r="AU181">
        <f>$H$181*$AA$181</f>
        <v>0</v>
      </c>
      <c r="AV181">
        <f>$H$181*$AB$181</f>
        <v>0</v>
      </c>
      <c r="AW181">
        <f>$H$181*$AC$181</f>
        <v>0</v>
      </c>
      <c r="AX181">
        <f>$H$181*$AD$181</f>
        <v>47.64</v>
      </c>
      <c r="AY181">
        <f>$H$181*$AE$181</f>
        <v>47.64</v>
      </c>
      <c r="AZ181">
        <f>$H$181*$AF$181</f>
        <v>47.64</v>
      </c>
    </row>
    <row r="182" spans="1:52" x14ac:dyDescent="0.25">
      <c r="A182">
        <v>221</v>
      </c>
      <c r="B182" t="s">
        <v>262</v>
      </c>
      <c r="C182" t="s">
        <v>307</v>
      </c>
      <c r="D182">
        <v>4</v>
      </c>
      <c r="E182">
        <v>17.760000000000002</v>
      </c>
      <c r="F182" t="s">
        <v>285</v>
      </c>
      <c r="G182">
        <v>4.4400000000000004</v>
      </c>
      <c r="H182">
        <v>21.32</v>
      </c>
      <c r="I182" t="s">
        <v>286</v>
      </c>
      <c r="J182" t="s">
        <v>308</v>
      </c>
      <c r="K182" t="s">
        <v>477</v>
      </c>
      <c r="L182" t="s">
        <v>203</v>
      </c>
      <c r="M182" t="s">
        <v>262</v>
      </c>
      <c r="N182" t="s">
        <v>51</v>
      </c>
      <c r="O182" t="s">
        <v>4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262</v>
      </c>
      <c r="AH182" t="s">
        <v>51</v>
      </c>
      <c r="AI182" t="s">
        <v>4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0</v>
      </c>
      <c r="AT182">
        <f>$H$182*$Z$182</f>
        <v>0</v>
      </c>
      <c r="AU182">
        <f>$H$182*$AA$182</f>
        <v>21.32</v>
      </c>
      <c r="AV182">
        <f>$H$182*$AB$182</f>
        <v>21.32</v>
      </c>
      <c r="AW182">
        <f>$H$182*$AC$182</f>
        <v>21.32</v>
      </c>
      <c r="AX182">
        <f>$H$182*$AD$182</f>
        <v>21.32</v>
      </c>
      <c r="AY182">
        <f>$H$182*$AE$182</f>
        <v>21.32</v>
      </c>
      <c r="AZ182">
        <f>$H$182*$AF$182</f>
        <v>21.32</v>
      </c>
    </row>
    <row r="183" spans="1:52" x14ac:dyDescent="0.25">
      <c r="A183">
        <v>222</v>
      </c>
      <c r="B183" t="s">
        <v>262</v>
      </c>
      <c r="C183" t="s">
        <v>309</v>
      </c>
      <c r="D183">
        <v>4</v>
      </c>
      <c r="E183">
        <v>46.2</v>
      </c>
      <c r="F183" t="s">
        <v>285</v>
      </c>
      <c r="G183">
        <v>11.55</v>
      </c>
      <c r="H183">
        <v>55.44</v>
      </c>
      <c r="I183" t="s">
        <v>289</v>
      </c>
      <c r="J183" t="s">
        <v>310</v>
      </c>
      <c r="K183" t="s">
        <v>478</v>
      </c>
      <c r="L183" t="s">
        <v>203</v>
      </c>
      <c r="M183" t="s">
        <v>262</v>
      </c>
      <c r="N183" t="s">
        <v>51</v>
      </c>
      <c r="O183" t="s">
        <v>4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262</v>
      </c>
      <c r="AH183" t="s">
        <v>51</v>
      </c>
      <c r="AI183" t="s">
        <v>4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55.44</v>
      </c>
      <c r="AV183">
        <f>$H$183*$AB$183</f>
        <v>55.44</v>
      </c>
      <c r="AW183">
        <f>$H$183*$AC$183</f>
        <v>55.44</v>
      </c>
      <c r="AX183">
        <f>$H$183*$AD$183</f>
        <v>55.44</v>
      </c>
      <c r="AY183">
        <f>$H$183*$AE$183</f>
        <v>55.44</v>
      </c>
      <c r="AZ183">
        <f>$H$183*$AF$183</f>
        <v>55.44</v>
      </c>
    </row>
    <row r="184" spans="1:52" x14ac:dyDescent="0.25">
      <c r="A184">
        <v>223</v>
      </c>
      <c r="B184" t="s">
        <v>262</v>
      </c>
      <c r="C184" t="s">
        <v>357</v>
      </c>
      <c r="D184">
        <v>4</v>
      </c>
      <c r="E184">
        <v>19</v>
      </c>
      <c r="F184" t="s">
        <v>285</v>
      </c>
      <c r="G184">
        <v>4.75</v>
      </c>
      <c r="H184">
        <v>22.8</v>
      </c>
      <c r="I184" t="s">
        <v>289</v>
      </c>
      <c r="J184" t="s">
        <v>358</v>
      </c>
      <c r="K184" t="s">
        <v>501</v>
      </c>
      <c r="L184" t="s">
        <v>203</v>
      </c>
      <c r="M184" t="s">
        <v>262</v>
      </c>
      <c r="N184" t="s">
        <v>51</v>
      </c>
      <c r="O184" t="s">
        <v>4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1</v>
      </c>
      <c r="AD184">
        <v>1</v>
      </c>
      <c r="AE184">
        <v>1</v>
      </c>
      <c r="AF184">
        <v>1</v>
      </c>
      <c r="AG184" t="s">
        <v>262</v>
      </c>
      <c r="AH184" t="s">
        <v>51</v>
      </c>
      <c r="AI184" t="s">
        <v>4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0</v>
      </c>
      <c r="AV184">
        <f>$H$184*$AB$184</f>
        <v>0</v>
      </c>
      <c r="AW184">
        <f>$H$184*$AC$184</f>
        <v>22.8</v>
      </c>
      <c r="AX184">
        <f>$H$184*$AD$184</f>
        <v>22.8</v>
      </c>
      <c r="AY184">
        <f>$H$184*$AE$184</f>
        <v>22.8</v>
      </c>
      <c r="AZ184">
        <f>$H$184*$AF$184</f>
        <v>22.8</v>
      </c>
    </row>
    <row r="185" spans="1:52" x14ac:dyDescent="0.25">
      <c r="A185">
        <v>224</v>
      </c>
      <c r="B185" t="s">
        <v>262</v>
      </c>
      <c r="C185" t="s">
        <v>365</v>
      </c>
      <c r="D185">
        <v>5</v>
      </c>
      <c r="E185">
        <v>66.349999999999994</v>
      </c>
      <c r="F185" t="s">
        <v>290</v>
      </c>
      <c r="G185">
        <v>13.27</v>
      </c>
      <c r="H185">
        <v>79.63</v>
      </c>
      <c r="I185" t="s">
        <v>292</v>
      </c>
      <c r="J185" t="s">
        <v>366</v>
      </c>
      <c r="K185" t="s">
        <v>505</v>
      </c>
      <c r="L185" t="s">
        <v>203</v>
      </c>
      <c r="M185" t="s">
        <v>262</v>
      </c>
      <c r="N185" t="s">
        <v>51</v>
      </c>
      <c r="O185" t="s">
        <v>4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262</v>
      </c>
      <c r="AH185" t="s">
        <v>51</v>
      </c>
      <c r="AI185" t="s">
        <v>4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79.63</v>
      </c>
      <c r="AS185">
        <f>$H$185*$Y$185</f>
        <v>79.63</v>
      </c>
      <c r="AT185">
        <f>$H$185*$Z$185</f>
        <v>79.63</v>
      </c>
      <c r="AU185">
        <f>$H$185*$AA$185</f>
        <v>79.63</v>
      </c>
      <c r="AV185">
        <f>$H$185*$AB$185</f>
        <v>79.63</v>
      </c>
      <c r="AW185">
        <f>$H$185*$AC$185</f>
        <v>79.63</v>
      </c>
      <c r="AX185">
        <f>$H$185*$AD$185</f>
        <v>79.63</v>
      </c>
      <c r="AY185">
        <f>$H$185*$AE$185</f>
        <v>79.63</v>
      </c>
      <c r="AZ185">
        <f>$H$185*$AF$185</f>
        <v>79.63</v>
      </c>
    </row>
    <row r="186" spans="1:52" x14ac:dyDescent="0.25">
      <c r="A186">
        <v>225</v>
      </c>
      <c r="B186" t="s">
        <v>262</v>
      </c>
      <c r="C186" t="s">
        <v>426</v>
      </c>
      <c r="D186">
        <v>1</v>
      </c>
      <c r="E186">
        <v>48.06</v>
      </c>
      <c r="F186" t="s">
        <v>290</v>
      </c>
      <c r="G186">
        <v>48.06</v>
      </c>
      <c r="H186">
        <v>57.68</v>
      </c>
      <c r="I186" t="s">
        <v>295</v>
      </c>
      <c r="J186" t="s">
        <v>390</v>
      </c>
      <c r="K186" t="s">
        <v>535</v>
      </c>
      <c r="L186" t="s">
        <v>203</v>
      </c>
      <c r="M186" t="s">
        <v>262</v>
      </c>
      <c r="N186" t="s">
        <v>51</v>
      </c>
      <c r="O186" t="s">
        <v>4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1</v>
      </c>
      <c r="AE186">
        <v>1</v>
      </c>
      <c r="AF186">
        <v>1</v>
      </c>
      <c r="AG186" t="s">
        <v>262</v>
      </c>
      <c r="AH186" t="s">
        <v>51</v>
      </c>
      <c r="AI186" t="s">
        <v>4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0</v>
      </c>
      <c r="AU186">
        <f>$H$186*$AA$186</f>
        <v>0</v>
      </c>
      <c r="AV186">
        <f>$H$186*$AB$186</f>
        <v>0</v>
      </c>
      <c r="AW186">
        <f>$H$186*$AC$186</f>
        <v>0</v>
      </c>
      <c r="AX186">
        <f>$H$186*$AD$186</f>
        <v>57.68</v>
      </c>
      <c r="AY186">
        <f>$H$186*$AE$186</f>
        <v>57.68</v>
      </c>
      <c r="AZ186">
        <f>$H$186*$AF$186</f>
        <v>57.68</v>
      </c>
    </row>
    <row r="187" spans="1:52" x14ac:dyDescent="0.25">
      <c r="A187">
        <v>226</v>
      </c>
      <c r="B187" t="s">
        <v>262</v>
      </c>
      <c r="C187" t="s">
        <v>427</v>
      </c>
      <c r="D187">
        <v>1</v>
      </c>
      <c r="E187">
        <v>47.96</v>
      </c>
      <c r="F187" t="s">
        <v>290</v>
      </c>
      <c r="G187">
        <v>47.96</v>
      </c>
      <c r="H187">
        <v>57.56</v>
      </c>
      <c r="I187" t="s">
        <v>317</v>
      </c>
      <c r="J187" t="s">
        <v>428</v>
      </c>
      <c r="K187" t="s">
        <v>536</v>
      </c>
      <c r="L187" t="s">
        <v>203</v>
      </c>
      <c r="M187" t="s">
        <v>262</v>
      </c>
      <c r="N187" t="s">
        <v>51</v>
      </c>
      <c r="O187" t="s">
        <v>4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262</v>
      </c>
      <c r="AH187" t="s">
        <v>51</v>
      </c>
      <c r="AI187" t="s">
        <v>4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57.56</v>
      </c>
      <c r="AV187">
        <f>$H$187*$AB$187</f>
        <v>57.56</v>
      </c>
      <c r="AW187">
        <f>$H$187*$AC$187</f>
        <v>57.56</v>
      </c>
      <c r="AX187">
        <f>$H$187*$AD$187</f>
        <v>57.56</v>
      </c>
      <c r="AY187">
        <f>$H$187*$AE$187</f>
        <v>57.56</v>
      </c>
      <c r="AZ187">
        <f>$H$187*$AF$187</f>
        <v>57.56</v>
      </c>
    </row>
    <row r="188" spans="1:52" x14ac:dyDescent="0.25">
      <c r="A188">
        <v>227</v>
      </c>
      <c r="B188" t="s">
        <v>262</v>
      </c>
      <c r="C188" t="s">
        <v>430</v>
      </c>
      <c r="D188">
        <v>2</v>
      </c>
      <c r="E188">
        <v>110.04</v>
      </c>
      <c r="F188" t="s">
        <v>290</v>
      </c>
      <c r="G188">
        <v>55.02</v>
      </c>
      <c r="H188">
        <v>132.04</v>
      </c>
      <c r="I188" t="s">
        <v>286</v>
      </c>
      <c r="J188" t="s">
        <v>431</v>
      </c>
      <c r="K188" t="s">
        <v>538</v>
      </c>
      <c r="L188" t="s">
        <v>203</v>
      </c>
      <c r="M188" t="s">
        <v>262</v>
      </c>
      <c r="N188" t="s">
        <v>51</v>
      </c>
      <c r="O188" t="s">
        <v>4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262</v>
      </c>
      <c r="AH188" t="s">
        <v>51</v>
      </c>
      <c r="AI188" t="s">
        <v>4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132.04</v>
      </c>
      <c r="AN188">
        <f>$H$188*$T$188</f>
        <v>132.04</v>
      </c>
      <c r="AO188">
        <f>$H$188*$U$188</f>
        <v>132.04</v>
      </c>
      <c r="AP188">
        <f>$H$188*$V$188</f>
        <v>132.04</v>
      </c>
      <c r="AQ188">
        <f>$H$188*$W$188</f>
        <v>132.04</v>
      </c>
      <c r="AR188">
        <f>$H$188*$X$188</f>
        <v>132.04</v>
      </c>
      <c r="AS188">
        <f>$H$188*$Y$188</f>
        <v>132.04</v>
      </c>
      <c r="AT188">
        <f>$H$188*$Z$188</f>
        <v>132.04</v>
      </c>
      <c r="AU188">
        <f>$H$188*$AA$188</f>
        <v>132.04</v>
      </c>
      <c r="AV188">
        <f>$H$188*$AB$188</f>
        <v>132.04</v>
      </c>
      <c r="AW188">
        <f>$H$188*$AC$188</f>
        <v>132.04</v>
      </c>
      <c r="AX188">
        <f>$H$188*$AD$188</f>
        <v>132.04</v>
      </c>
      <c r="AY188">
        <f>$H$188*$AE$188</f>
        <v>132.04</v>
      </c>
      <c r="AZ188">
        <f>$H$188*$AF$188</f>
        <v>132.04</v>
      </c>
    </row>
    <row r="189" spans="1:52" x14ac:dyDescent="0.25">
      <c r="A189">
        <v>228</v>
      </c>
      <c r="B189" t="s">
        <v>262</v>
      </c>
      <c r="C189" t="s">
        <v>432</v>
      </c>
      <c r="D189">
        <v>1</v>
      </c>
      <c r="E189">
        <v>376.12</v>
      </c>
      <c r="F189" t="s">
        <v>290</v>
      </c>
      <c r="G189">
        <v>376.12</v>
      </c>
      <c r="H189">
        <v>451.34</v>
      </c>
      <c r="I189" t="s">
        <v>320</v>
      </c>
      <c r="J189" t="s">
        <v>433</v>
      </c>
      <c r="K189" t="s">
        <v>539</v>
      </c>
      <c r="L189" t="s">
        <v>203</v>
      </c>
      <c r="M189" t="s">
        <v>262</v>
      </c>
      <c r="N189" t="s">
        <v>51</v>
      </c>
      <c r="O189" t="s">
        <v>4</v>
      </c>
      <c r="P189">
        <v>0</v>
      </c>
      <c r="Q189">
        <v>0</v>
      </c>
      <c r="R189">
        <v>0</v>
      </c>
      <c r="S189">
        <v>0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262</v>
      </c>
      <c r="AH189" t="s">
        <v>51</v>
      </c>
      <c r="AI189" t="s">
        <v>4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451.34</v>
      </c>
      <c r="AO189">
        <f>$H$189*$U$189</f>
        <v>451.34</v>
      </c>
      <c r="AP189">
        <f>$H$189*$V$189</f>
        <v>451.34</v>
      </c>
      <c r="AQ189">
        <f>$H$189*$W$189</f>
        <v>451.34</v>
      </c>
      <c r="AR189">
        <f>$H$189*$X$189</f>
        <v>451.34</v>
      </c>
      <c r="AS189">
        <f>$H$189*$Y$189</f>
        <v>451.34</v>
      </c>
      <c r="AT189">
        <f>$H$189*$Z$189</f>
        <v>451.34</v>
      </c>
      <c r="AU189">
        <f>$H$189*$AA$189</f>
        <v>451.34</v>
      </c>
      <c r="AV189">
        <f>$H$189*$AB$189</f>
        <v>451.34</v>
      </c>
      <c r="AW189">
        <f>$H$189*$AC$189</f>
        <v>451.34</v>
      </c>
      <c r="AX189">
        <f>$H$189*$AD$189</f>
        <v>451.34</v>
      </c>
      <c r="AY189">
        <f>$H$189*$AE$189</f>
        <v>451.34</v>
      </c>
      <c r="AZ189">
        <f>$H$189*$AF$189</f>
        <v>451.34</v>
      </c>
    </row>
    <row r="190" spans="1:52" x14ac:dyDescent="0.25">
      <c r="A190">
        <v>229</v>
      </c>
      <c r="B190" t="s">
        <v>262</v>
      </c>
      <c r="C190" t="s">
        <v>324</v>
      </c>
      <c r="D190">
        <v>2</v>
      </c>
      <c r="E190">
        <v>77.86</v>
      </c>
      <c r="F190" t="s">
        <v>290</v>
      </c>
      <c r="G190">
        <v>38.93</v>
      </c>
      <c r="H190">
        <v>93.44</v>
      </c>
      <c r="I190" t="s">
        <v>286</v>
      </c>
      <c r="J190" t="s">
        <v>320</v>
      </c>
      <c r="K190" t="s">
        <v>484</v>
      </c>
      <c r="L190" t="s">
        <v>203</v>
      </c>
      <c r="M190" t="s">
        <v>262</v>
      </c>
      <c r="N190" t="s">
        <v>51</v>
      </c>
      <c r="O190" t="s">
        <v>4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262</v>
      </c>
      <c r="AH190" t="s">
        <v>51</v>
      </c>
      <c r="AI190" t="s">
        <v>4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93.44</v>
      </c>
      <c r="AN190">
        <f>$H$190*$T$190</f>
        <v>93.44</v>
      </c>
      <c r="AO190">
        <f>$H$190*$U$190</f>
        <v>93.44</v>
      </c>
      <c r="AP190">
        <f>$H$190*$V$190</f>
        <v>93.44</v>
      </c>
      <c r="AQ190">
        <f>$H$190*$W$190</f>
        <v>93.44</v>
      </c>
      <c r="AR190">
        <f>$H$190*$X$190</f>
        <v>93.44</v>
      </c>
      <c r="AS190">
        <f>$H$190*$Y$190</f>
        <v>93.44</v>
      </c>
      <c r="AT190">
        <f>$H$190*$Z$190</f>
        <v>93.44</v>
      </c>
      <c r="AU190">
        <f>$H$190*$AA$190</f>
        <v>93.44</v>
      </c>
      <c r="AV190">
        <f>$H$190*$AB$190</f>
        <v>93.44</v>
      </c>
      <c r="AW190">
        <f>$H$190*$AC$190</f>
        <v>93.44</v>
      </c>
      <c r="AX190">
        <f>$H$190*$AD$190</f>
        <v>93.44</v>
      </c>
      <c r="AY190">
        <f>$H$190*$AE$190</f>
        <v>93.44</v>
      </c>
      <c r="AZ190">
        <f>$H$190*$AF$190</f>
        <v>93.44</v>
      </c>
    </row>
    <row r="191" spans="1:52" x14ac:dyDescent="0.25">
      <c r="A191">
        <v>230</v>
      </c>
      <c r="B191" t="s">
        <v>262</v>
      </c>
      <c r="C191" t="s">
        <v>319</v>
      </c>
      <c r="D191">
        <v>1</v>
      </c>
      <c r="E191">
        <v>365.09</v>
      </c>
      <c r="F191" t="s">
        <v>290</v>
      </c>
      <c r="G191">
        <v>365.09</v>
      </c>
      <c r="H191">
        <v>438.11</v>
      </c>
      <c r="I191" t="s">
        <v>320</v>
      </c>
      <c r="J191" t="s">
        <v>321</v>
      </c>
      <c r="K191" t="s">
        <v>482</v>
      </c>
      <c r="L191" t="s">
        <v>203</v>
      </c>
      <c r="M191" t="s">
        <v>262</v>
      </c>
      <c r="N191" t="s">
        <v>51</v>
      </c>
      <c r="O191" t="s">
        <v>4</v>
      </c>
      <c r="P191">
        <v>0</v>
      </c>
      <c r="Q191">
        <v>0</v>
      </c>
      <c r="R191">
        <v>0</v>
      </c>
      <c r="S191">
        <v>0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262</v>
      </c>
      <c r="AH191" t="s">
        <v>51</v>
      </c>
      <c r="AI191" t="s">
        <v>4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438.11</v>
      </c>
      <c r="AO191">
        <f>$H$191*$U$191</f>
        <v>438.11</v>
      </c>
      <c r="AP191">
        <f>$H$191*$V$191</f>
        <v>438.11</v>
      </c>
      <c r="AQ191">
        <f>$H$191*$W$191</f>
        <v>438.11</v>
      </c>
      <c r="AR191">
        <f>$H$191*$X$191</f>
        <v>438.11</v>
      </c>
      <c r="AS191">
        <f>$H$191*$Y$191</f>
        <v>438.11</v>
      </c>
      <c r="AT191">
        <f>$H$191*$Z$191</f>
        <v>438.11</v>
      </c>
      <c r="AU191">
        <f>$H$191*$AA$191</f>
        <v>438.11</v>
      </c>
      <c r="AV191">
        <f>$H$191*$AB$191</f>
        <v>438.11</v>
      </c>
      <c r="AW191">
        <f>$H$191*$AC$191</f>
        <v>438.11</v>
      </c>
      <c r="AX191">
        <f>$H$191*$AD$191</f>
        <v>438.11</v>
      </c>
      <c r="AY191">
        <f>$H$191*$AE$191</f>
        <v>438.11</v>
      </c>
      <c r="AZ191">
        <f>$H$191*$AF$191</f>
        <v>438.11</v>
      </c>
    </row>
    <row r="192" spans="1:52" x14ac:dyDescent="0.25">
      <c r="A192">
        <v>231</v>
      </c>
      <c r="B192" t="s">
        <v>262</v>
      </c>
      <c r="C192" t="s">
        <v>311</v>
      </c>
      <c r="D192">
        <v>376</v>
      </c>
      <c r="E192">
        <v>368.48</v>
      </c>
      <c r="F192" t="s">
        <v>303</v>
      </c>
      <c r="G192">
        <v>0.98</v>
      </c>
      <c r="H192">
        <v>442.18</v>
      </c>
      <c r="I192" t="s">
        <v>286</v>
      </c>
      <c r="J192" t="s">
        <v>312</v>
      </c>
      <c r="K192" t="s">
        <v>479</v>
      </c>
      <c r="L192" t="s">
        <v>203</v>
      </c>
      <c r="M192" t="s">
        <v>262</v>
      </c>
      <c r="N192" t="s">
        <v>51</v>
      </c>
      <c r="O192" t="s">
        <v>4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262</v>
      </c>
      <c r="AH192" t="s">
        <v>51</v>
      </c>
      <c r="AI192" t="s">
        <v>4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442.18</v>
      </c>
      <c r="AO192">
        <f>$H$192*$U$192</f>
        <v>442.18</v>
      </c>
      <c r="AP192">
        <f>$H$192*$V$192</f>
        <v>442.18</v>
      </c>
      <c r="AQ192">
        <f>$H$192*$W$192</f>
        <v>442.18</v>
      </c>
      <c r="AR192">
        <f>$H$192*$X$192</f>
        <v>442.18</v>
      </c>
      <c r="AS192">
        <f>$H$192*$Y$192</f>
        <v>442.18</v>
      </c>
      <c r="AT192">
        <f>$H$192*$Z$192</f>
        <v>442.18</v>
      </c>
      <c r="AU192">
        <f>$H$192*$AA$192</f>
        <v>442.18</v>
      </c>
      <c r="AV192">
        <f>$H$192*$AB$192</f>
        <v>442.18</v>
      </c>
      <c r="AW192">
        <f>$H$192*$AC$192</f>
        <v>442.18</v>
      </c>
      <c r="AX192">
        <f>$H$192*$AD$192</f>
        <v>442.18</v>
      </c>
      <c r="AY192">
        <f>$H$192*$AE$192</f>
        <v>442.18</v>
      </c>
      <c r="AZ192">
        <f>$H$192*$AF$192</f>
        <v>442.18</v>
      </c>
    </row>
    <row r="193" spans="1:52" x14ac:dyDescent="0.25">
      <c r="A193">
        <v>232</v>
      </c>
      <c r="B193" t="s">
        <v>262</v>
      </c>
      <c r="C193" t="s">
        <v>404</v>
      </c>
      <c r="D193">
        <v>376</v>
      </c>
      <c r="E193">
        <v>1003.92</v>
      </c>
      <c r="F193" t="s">
        <v>303</v>
      </c>
      <c r="G193">
        <v>2.67</v>
      </c>
      <c r="H193">
        <v>1204.7</v>
      </c>
      <c r="I193" t="s">
        <v>314</v>
      </c>
      <c r="J193" t="s">
        <v>405</v>
      </c>
      <c r="K193" t="s">
        <v>524</v>
      </c>
      <c r="L193" t="s">
        <v>203</v>
      </c>
      <c r="M193" t="s">
        <v>262</v>
      </c>
      <c r="N193" t="s">
        <v>51</v>
      </c>
      <c r="O193" t="s">
        <v>4</v>
      </c>
      <c r="P193">
        <v>0</v>
      </c>
      <c r="Q193">
        <v>0</v>
      </c>
      <c r="R193">
        <v>0</v>
      </c>
      <c r="S193">
        <v>0.25</v>
      </c>
      <c r="T193">
        <v>0.25</v>
      </c>
      <c r="U193">
        <v>0.25</v>
      </c>
      <c r="V193">
        <v>0.25</v>
      </c>
      <c r="W193">
        <v>0.25</v>
      </c>
      <c r="X193">
        <v>0.5</v>
      </c>
      <c r="Y193">
        <v>0.5</v>
      </c>
      <c r="Z193">
        <v>0.5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262</v>
      </c>
      <c r="AH193" t="s">
        <v>51</v>
      </c>
      <c r="AI193" t="s">
        <v>4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301.17500000000001</v>
      </c>
      <c r="AN193">
        <f>$H$193*$T$193</f>
        <v>301.17500000000001</v>
      </c>
      <c r="AO193">
        <f>$H$193*$U$193</f>
        <v>301.17500000000001</v>
      </c>
      <c r="AP193">
        <f>$H$193*$V$193</f>
        <v>301.17500000000001</v>
      </c>
      <c r="AQ193">
        <f>$H$193*$W$193</f>
        <v>301.17500000000001</v>
      </c>
      <c r="AR193">
        <f>$H$193*$X$193</f>
        <v>602.35</v>
      </c>
      <c r="AS193">
        <f>$H$193*$Y$193</f>
        <v>602.35</v>
      </c>
      <c r="AT193">
        <f>$H$193*$Z$193</f>
        <v>602.35</v>
      </c>
      <c r="AU193">
        <f>$H$193*$AA$193</f>
        <v>1204.7</v>
      </c>
      <c r="AV193">
        <f>$H$193*$AB$193</f>
        <v>1204.7</v>
      </c>
      <c r="AW193">
        <f>$H$193*$AC$193</f>
        <v>1204.7</v>
      </c>
      <c r="AX193">
        <f>$H$193*$AD$193</f>
        <v>1204.7</v>
      </c>
      <c r="AY193">
        <f>$H$193*$AE$193</f>
        <v>1204.7</v>
      </c>
      <c r="AZ193">
        <f>$H$193*$AF$193</f>
        <v>1204.7</v>
      </c>
    </row>
    <row r="194" spans="1:52" x14ac:dyDescent="0.25">
      <c r="A194">
        <v>233</v>
      </c>
      <c r="B194" t="s">
        <v>262</v>
      </c>
      <c r="C194" t="s">
        <v>429</v>
      </c>
      <c r="D194">
        <v>47</v>
      </c>
      <c r="E194">
        <v>165.44</v>
      </c>
      <c r="F194" t="s">
        <v>285</v>
      </c>
      <c r="G194">
        <v>3.52</v>
      </c>
      <c r="H194">
        <v>198.52</v>
      </c>
      <c r="I194" t="s">
        <v>289</v>
      </c>
      <c r="J194" t="s">
        <v>407</v>
      </c>
      <c r="K194" t="s">
        <v>537</v>
      </c>
      <c r="L194" t="s">
        <v>203</v>
      </c>
      <c r="M194" t="s">
        <v>262</v>
      </c>
      <c r="N194" t="s">
        <v>51</v>
      </c>
      <c r="O194" t="s">
        <v>4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262</v>
      </c>
      <c r="AH194" t="s">
        <v>51</v>
      </c>
      <c r="AI194" t="s">
        <v>4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198.52</v>
      </c>
      <c r="AN194">
        <f>$H$194*$T$194</f>
        <v>198.52</v>
      </c>
      <c r="AO194">
        <f>$H$194*$U$194</f>
        <v>198.52</v>
      </c>
      <c r="AP194">
        <f>$H$194*$V$194</f>
        <v>198.52</v>
      </c>
      <c r="AQ194">
        <f>$H$194*$W$194</f>
        <v>198.52</v>
      </c>
      <c r="AR194">
        <f>$H$194*$X$194</f>
        <v>198.52</v>
      </c>
      <c r="AS194">
        <f>$H$194*$Y$194</f>
        <v>198.52</v>
      </c>
      <c r="AT194">
        <f>$H$194*$Z$194</f>
        <v>198.52</v>
      </c>
      <c r="AU194">
        <f>$H$194*$AA$194</f>
        <v>198.52</v>
      </c>
      <c r="AV194">
        <f>$H$194*$AB$194</f>
        <v>198.52</v>
      </c>
      <c r="AW194">
        <f>$H$194*$AC$194</f>
        <v>198.52</v>
      </c>
      <c r="AX194">
        <f>$H$194*$AD$194</f>
        <v>198.52</v>
      </c>
      <c r="AY194">
        <f>$H$194*$AE$194</f>
        <v>198.52</v>
      </c>
      <c r="AZ194">
        <f>$H$194*$AF$194</f>
        <v>198.52</v>
      </c>
    </row>
    <row r="195" spans="1:52" x14ac:dyDescent="0.25">
      <c r="A195">
        <v>234</v>
      </c>
      <c r="B195" t="s">
        <v>262</v>
      </c>
      <c r="C195" t="s">
        <v>404</v>
      </c>
      <c r="D195">
        <v>137.22</v>
      </c>
      <c r="E195">
        <v>366.38</v>
      </c>
      <c r="F195" t="s">
        <v>303</v>
      </c>
      <c r="G195">
        <v>2.67</v>
      </c>
      <c r="H195">
        <v>439.66</v>
      </c>
      <c r="I195" t="s">
        <v>314</v>
      </c>
      <c r="J195" t="s">
        <v>405</v>
      </c>
      <c r="K195" t="s">
        <v>524</v>
      </c>
      <c r="L195" t="s">
        <v>203</v>
      </c>
      <c r="M195" t="s">
        <v>262</v>
      </c>
      <c r="N195" t="s">
        <v>51</v>
      </c>
      <c r="O195" t="s">
        <v>4</v>
      </c>
      <c r="P195">
        <v>0</v>
      </c>
      <c r="Q195">
        <v>0</v>
      </c>
      <c r="R195">
        <v>0</v>
      </c>
      <c r="S195">
        <v>0.25</v>
      </c>
      <c r="T195">
        <v>0.25</v>
      </c>
      <c r="U195">
        <v>0.25</v>
      </c>
      <c r="V195">
        <v>0.25</v>
      </c>
      <c r="W195">
        <v>0.25</v>
      </c>
      <c r="X195">
        <v>0.5</v>
      </c>
      <c r="Y195">
        <v>0.5</v>
      </c>
      <c r="Z195">
        <v>0.5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262</v>
      </c>
      <c r="AH195" t="s">
        <v>51</v>
      </c>
      <c r="AI195" t="s">
        <v>4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109.91500000000001</v>
      </c>
      <c r="AN195">
        <f>$H$195*$T$195</f>
        <v>109.91500000000001</v>
      </c>
      <c r="AO195">
        <f>$H$195*$U$195</f>
        <v>109.91500000000001</v>
      </c>
      <c r="AP195">
        <f>$H$195*$V$195</f>
        <v>109.91500000000001</v>
      </c>
      <c r="AQ195">
        <f>$H$195*$W$195</f>
        <v>109.91500000000001</v>
      </c>
      <c r="AR195">
        <f>$H$195*$X$195</f>
        <v>219.83</v>
      </c>
      <c r="AS195">
        <f>$H$195*$Y$195</f>
        <v>219.83</v>
      </c>
      <c r="AT195">
        <f>$H$195*$Z$195</f>
        <v>219.83</v>
      </c>
      <c r="AU195">
        <f>$H$195*$AA$195</f>
        <v>439.66</v>
      </c>
      <c r="AV195">
        <f>$H$195*$AB$195</f>
        <v>439.66</v>
      </c>
      <c r="AW195">
        <f>$H$195*$AC$195</f>
        <v>439.66</v>
      </c>
      <c r="AX195">
        <f>$H$195*$AD$195</f>
        <v>439.66</v>
      </c>
      <c r="AY195">
        <f>$H$195*$AE$195</f>
        <v>439.66</v>
      </c>
      <c r="AZ195">
        <f>$H$195*$AF$195</f>
        <v>439.66</v>
      </c>
    </row>
    <row r="196" spans="1:52" x14ac:dyDescent="0.25">
      <c r="A196">
        <v>235</v>
      </c>
      <c r="B196" t="s">
        <v>262</v>
      </c>
      <c r="C196" t="s">
        <v>410</v>
      </c>
      <c r="D196">
        <v>137.22</v>
      </c>
      <c r="E196">
        <v>86.45</v>
      </c>
      <c r="F196" t="s">
        <v>303</v>
      </c>
      <c r="G196">
        <v>0.63</v>
      </c>
      <c r="H196">
        <v>103.75</v>
      </c>
      <c r="I196" t="s">
        <v>286</v>
      </c>
      <c r="J196" t="s">
        <v>411</v>
      </c>
      <c r="K196" t="s">
        <v>527</v>
      </c>
      <c r="L196" t="s">
        <v>203</v>
      </c>
      <c r="M196" t="s">
        <v>262</v>
      </c>
      <c r="N196" t="s">
        <v>51</v>
      </c>
      <c r="O196" t="s">
        <v>4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1</v>
      </c>
      <c r="AE196">
        <v>1</v>
      </c>
      <c r="AF196">
        <v>1</v>
      </c>
      <c r="AG196" t="s">
        <v>262</v>
      </c>
      <c r="AH196" t="s">
        <v>51</v>
      </c>
      <c r="AI196" t="s">
        <v>4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0</v>
      </c>
      <c r="AV196">
        <f>$H$196*$AB$196</f>
        <v>0</v>
      </c>
      <c r="AW196">
        <f>$H$196*$AC$196</f>
        <v>0</v>
      </c>
      <c r="AX196">
        <f>$H$196*$AD$196</f>
        <v>103.75</v>
      </c>
      <c r="AY196">
        <f>$H$196*$AE$196</f>
        <v>103.75</v>
      </c>
      <c r="AZ196">
        <f>$H$196*$AF$196</f>
        <v>103.75</v>
      </c>
    </row>
    <row r="197" spans="1:52" x14ac:dyDescent="0.25">
      <c r="A197">
        <v>236</v>
      </c>
      <c r="B197" t="s">
        <v>262</v>
      </c>
      <c r="C197" t="s">
        <v>412</v>
      </c>
      <c r="D197">
        <v>137.22</v>
      </c>
      <c r="E197">
        <v>94.68</v>
      </c>
      <c r="F197" t="s">
        <v>303</v>
      </c>
      <c r="G197">
        <v>0.69</v>
      </c>
      <c r="H197">
        <v>113.62</v>
      </c>
      <c r="I197" t="s">
        <v>286</v>
      </c>
      <c r="J197" t="s">
        <v>413</v>
      </c>
      <c r="K197" t="s">
        <v>528</v>
      </c>
      <c r="L197" t="s">
        <v>203</v>
      </c>
      <c r="M197" t="s">
        <v>262</v>
      </c>
      <c r="N197" t="s">
        <v>51</v>
      </c>
      <c r="O197" t="s">
        <v>4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262</v>
      </c>
      <c r="AH197" t="s">
        <v>51</v>
      </c>
      <c r="AI197" t="s">
        <v>4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113.62</v>
      </c>
      <c r="AN197">
        <f>$H$197*$T$197</f>
        <v>113.62</v>
      </c>
      <c r="AO197">
        <f>$H$197*$U$197</f>
        <v>113.62</v>
      </c>
      <c r="AP197">
        <f>$H$197*$V$197</f>
        <v>113.62</v>
      </c>
      <c r="AQ197">
        <f>$H$197*$W$197</f>
        <v>113.62</v>
      </c>
      <c r="AR197">
        <f>$H$197*$X$197</f>
        <v>113.62</v>
      </c>
      <c r="AS197">
        <f>$H$197*$Y$197</f>
        <v>113.62</v>
      </c>
      <c r="AT197">
        <f>$H$197*$Z$197</f>
        <v>113.62</v>
      </c>
      <c r="AU197">
        <f>$H$197*$AA$197</f>
        <v>113.62</v>
      </c>
      <c r="AV197">
        <f>$H$197*$AB$197</f>
        <v>113.62</v>
      </c>
      <c r="AW197">
        <f>$H$197*$AC$197</f>
        <v>113.62</v>
      </c>
      <c r="AX197">
        <f>$H$197*$AD$197</f>
        <v>113.62</v>
      </c>
      <c r="AY197">
        <f>$H$197*$AE$197</f>
        <v>113.62</v>
      </c>
      <c r="AZ197">
        <f>$H$197*$AF$197</f>
        <v>113.62</v>
      </c>
    </row>
    <row r="198" spans="1:52" x14ac:dyDescent="0.25">
      <c r="A198">
        <v>237</v>
      </c>
      <c r="B198" t="s">
        <v>262</v>
      </c>
      <c r="C198" t="s">
        <v>414</v>
      </c>
      <c r="D198">
        <v>31.56</v>
      </c>
      <c r="E198">
        <v>127.19</v>
      </c>
      <c r="F198" t="s">
        <v>303</v>
      </c>
      <c r="G198">
        <v>4.03</v>
      </c>
      <c r="H198">
        <v>152.63</v>
      </c>
      <c r="I198" t="s">
        <v>415</v>
      </c>
      <c r="J198" t="s">
        <v>416</v>
      </c>
      <c r="K198" t="s">
        <v>529</v>
      </c>
      <c r="L198" t="s">
        <v>203</v>
      </c>
      <c r="M198" t="s">
        <v>262</v>
      </c>
      <c r="N198" t="s">
        <v>51</v>
      </c>
      <c r="O198" t="s">
        <v>4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262</v>
      </c>
      <c r="AH198" t="s">
        <v>51</v>
      </c>
      <c r="AI198" t="s">
        <v>4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152.63</v>
      </c>
      <c r="AN198">
        <f>$H$198*$T$198</f>
        <v>152.63</v>
      </c>
      <c r="AO198">
        <f>$H$198*$U$198</f>
        <v>152.63</v>
      </c>
      <c r="AP198">
        <f>$H$198*$V$198</f>
        <v>152.63</v>
      </c>
      <c r="AQ198">
        <f>$H$198*$W$198</f>
        <v>152.63</v>
      </c>
      <c r="AR198">
        <f>$H$198*$X$198</f>
        <v>152.63</v>
      </c>
      <c r="AS198">
        <f>$H$198*$Y$198</f>
        <v>152.63</v>
      </c>
      <c r="AT198">
        <f>$H$198*$Z$198</f>
        <v>152.63</v>
      </c>
      <c r="AU198">
        <f>$H$198*$AA$198</f>
        <v>152.63</v>
      </c>
      <c r="AV198">
        <f>$H$198*$AB$198</f>
        <v>152.63</v>
      </c>
      <c r="AW198">
        <f>$H$198*$AC$198</f>
        <v>152.63</v>
      </c>
      <c r="AX198">
        <f>$H$198*$AD$198</f>
        <v>152.63</v>
      </c>
      <c r="AY198">
        <f>$H$198*$AE$198</f>
        <v>152.63</v>
      </c>
      <c r="AZ198">
        <f>$H$198*$AF$198</f>
        <v>152.63</v>
      </c>
    </row>
    <row r="199" spans="1:52" x14ac:dyDescent="0.25">
      <c r="A199">
        <v>238</v>
      </c>
      <c r="B199" t="s">
        <v>262</v>
      </c>
      <c r="C199" t="s">
        <v>417</v>
      </c>
      <c r="D199">
        <v>126.24</v>
      </c>
      <c r="E199">
        <v>84.58</v>
      </c>
      <c r="F199" t="s">
        <v>303</v>
      </c>
      <c r="G199">
        <v>0.67</v>
      </c>
      <c r="H199">
        <v>101.5</v>
      </c>
      <c r="I199" t="s">
        <v>326</v>
      </c>
      <c r="J199" t="s">
        <v>418</v>
      </c>
      <c r="K199" t="s">
        <v>530</v>
      </c>
      <c r="L199" t="s">
        <v>203</v>
      </c>
      <c r="M199" t="s">
        <v>262</v>
      </c>
      <c r="N199" t="s">
        <v>51</v>
      </c>
      <c r="O199" t="s">
        <v>4</v>
      </c>
      <c r="P199">
        <v>0</v>
      </c>
      <c r="Q199">
        <v>0</v>
      </c>
      <c r="R199">
        <v>0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262</v>
      </c>
      <c r="AH199" t="s">
        <v>51</v>
      </c>
      <c r="AI199" t="s">
        <v>4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101.5</v>
      </c>
      <c r="AN199">
        <f>$H$199*$T$199</f>
        <v>101.5</v>
      </c>
      <c r="AO199">
        <f>$H$199*$U$199</f>
        <v>101.5</v>
      </c>
      <c r="AP199">
        <f>$H$199*$V$199</f>
        <v>101.5</v>
      </c>
      <c r="AQ199">
        <f>$H$199*$W$199</f>
        <v>101.5</v>
      </c>
      <c r="AR199">
        <f>$H$199*$X$199</f>
        <v>101.5</v>
      </c>
      <c r="AS199">
        <f>$H$199*$Y$199</f>
        <v>101.5</v>
      </c>
      <c r="AT199">
        <f>$H$199*$Z$199</f>
        <v>101.5</v>
      </c>
      <c r="AU199">
        <f>$H$199*$AA$199</f>
        <v>101.5</v>
      </c>
      <c r="AV199">
        <f>$H$199*$AB$199</f>
        <v>101.5</v>
      </c>
      <c r="AW199">
        <f>$H$199*$AC$199</f>
        <v>101.5</v>
      </c>
      <c r="AX199">
        <f>$H$199*$AD$199</f>
        <v>101.5</v>
      </c>
      <c r="AY199">
        <f>$H$199*$AE$199</f>
        <v>101.5</v>
      </c>
      <c r="AZ199">
        <f>$H$199*$AF$199</f>
        <v>101.5</v>
      </c>
    </row>
    <row r="200" spans="1:52" x14ac:dyDescent="0.25">
      <c r="A200">
        <v>239</v>
      </c>
      <c r="B200" t="s">
        <v>262</v>
      </c>
      <c r="C200" t="s">
        <v>419</v>
      </c>
      <c r="D200">
        <v>126.24</v>
      </c>
      <c r="E200">
        <v>406.49</v>
      </c>
      <c r="F200" t="s">
        <v>303</v>
      </c>
      <c r="G200">
        <v>3.22</v>
      </c>
      <c r="H200">
        <v>487.79</v>
      </c>
      <c r="I200" t="s">
        <v>326</v>
      </c>
      <c r="J200" t="s">
        <v>416</v>
      </c>
      <c r="K200" t="s">
        <v>531</v>
      </c>
      <c r="L200" t="s">
        <v>203</v>
      </c>
      <c r="M200" t="s">
        <v>262</v>
      </c>
      <c r="N200" t="s">
        <v>51</v>
      </c>
      <c r="O200" t="s">
        <v>4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262</v>
      </c>
      <c r="AH200" t="s">
        <v>51</v>
      </c>
      <c r="AI200" t="s">
        <v>4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487.79</v>
      </c>
      <c r="AN200">
        <f>$H$200*$T$200</f>
        <v>487.79</v>
      </c>
      <c r="AO200">
        <f>$H$200*$U$200</f>
        <v>487.79</v>
      </c>
      <c r="AP200">
        <f>$H$200*$V$200</f>
        <v>487.79</v>
      </c>
      <c r="AQ200">
        <f>$H$200*$W$200</f>
        <v>487.79</v>
      </c>
      <c r="AR200">
        <f>$H$200*$X$200</f>
        <v>487.79</v>
      </c>
      <c r="AS200">
        <f>$H$200*$Y$200</f>
        <v>487.79</v>
      </c>
      <c r="AT200">
        <f>$H$200*$Z$200</f>
        <v>487.79</v>
      </c>
      <c r="AU200">
        <f>$H$200*$AA$200</f>
        <v>487.79</v>
      </c>
      <c r="AV200">
        <f>$H$200*$AB$200</f>
        <v>487.79</v>
      </c>
      <c r="AW200">
        <f>$H$200*$AC$200</f>
        <v>487.79</v>
      </c>
      <c r="AX200">
        <f>$H$200*$AD$200</f>
        <v>487.79</v>
      </c>
      <c r="AY200">
        <f>$H$200*$AE$200</f>
        <v>487.79</v>
      </c>
      <c r="AZ200">
        <f>$H$200*$AF$200</f>
        <v>487.79</v>
      </c>
    </row>
    <row r="201" spans="1:52" x14ac:dyDescent="0.25">
      <c r="A201">
        <v>240</v>
      </c>
      <c r="B201" t="s">
        <v>4</v>
      </c>
      <c r="C201" t="s">
        <v>291</v>
      </c>
      <c r="D201">
        <v>1</v>
      </c>
      <c r="E201">
        <v>39.700000000000003</v>
      </c>
      <c r="F201" t="s">
        <v>290</v>
      </c>
      <c r="G201">
        <v>39.700000000000003</v>
      </c>
      <c r="H201">
        <v>47.64</v>
      </c>
      <c r="I201" t="s">
        <v>292</v>
      </c>
      <c r="J201" t="s">
        <v>293</v>
      </c>
      <c r="K201" t="s">
        <v>470</v>
      </c>
      <c r="L201" t="s">
        <v>203</v>
      </c>
      <c r="M201" t="s">
        <v>4</v>
      </c>
      <c r="N201" t="s">
        <v>51</v>
      </c>
      <c r="O201" t="s">
        <v>4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</v>
      </c>
      <c r="AE201">
        <v>1</v>
      </c>
      <c r="AF201">
        <v>1</v>
      </c>
      <c r="AG201" t="s">
        <v>4</v>
      </c>
      <c r="AH201" t="s">
        <v>51</v>
      </c>
      <c r="AI201" t="s">
        <v>4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0</v>
      </c>
      <c r="AV201">
        <f>$H$201*$AB$201</f>
        <v>0</v>
      </c>
      <c r="AW201">
        <f>$H$201*$AC$201</f>
        <v>0</v>
      </c>
      <c r="AX201">
        <f>$H$201*$AD$201</f>
        <v>47.64</v>
      </c>
      <c r="AY201">
        <f>$H$201*$AE$201</f>
        <v>47.64</v>
      </c>
      <c r="AZ201">
        <f>$H$201*$AF$201</f>
        <v>47.64</v>
      </c>
    </row>
    <row r="202" spans="1:52" x14ac:dyDescent="0.25">
      <c r="A202">
        <v>241</v>
      </c>
      <c r="B202" t="s">
        <v>4</v>
      </c>
      <c r="C202" t="s">
        <v>307</v>
      </c>
      <c r="D202">
        <v>4</v>
      </c>
      <c r="E202">
        <v>17.760000000000002</v>
      </c>
      <c r="F202" t="s">
        <v>285</v>
      </c>
      <c r="G202">
        <v>4.4400000000000004</v>
      </c>
      <c r="H202">
        <v>21.32</v>
      </c>
      <c r="I202" t="s">
        <v>286</v>
      </c>
      <c r="J202" t="s">
        <v>308</v>
      </c>
      <c r="K202" t="s">
        <v>477</v>
      </c>
      <c r="L202" t="s">
        <v>203</v>
      </c>
      <c r="M202" t="s">
        <v>4</v>
      </c>
      <c r="N202" t="s">
        <v>51</v>
      </c>
      <c r="O202" t="s">
        <v>4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4</v>
      </c>
      <c r="AH202" t="s">
        <v>51</v>
      </c>
      <c r="AI202" t="s">
        <v>4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21.32</v>
      </c>
      <c r="AV202">
        <f>$H$202*$AB$202</f>
        <v>21.32</v>
      </c>
      <c r="AW202">
        <f>$H$202*$AC$202</f>
        <v>21.32</v>
      </c>
      <c r="AX202">
        <f>$H$202*$AD$202</f>
        <v>21.32</v>
      </c>
      <c r="AY202">
        <f>$H$202*$AE$202</f>
        <v>21.32</v>
      </c>
      <c r="AZ202">
        <f>$H$202*$AF$202</f>
        <v>21.32</v>
      </c>
    </row>
    <row r="203" spans="1:52" x14ac:dyDescent="0.25">
      <c r="A203">
        <v>242</v>
      </c>
      <c r="B203" t="s">
        <v>4</v>
      </c>
      <c r="C203" t="s">
        <v>309</v>
      </c>
      <c r="D203">
        <v>4</v>
      </c>
      <c r="E203">
        <v>46.2</v>
      </c>
      <c r="F203" t="s">
        <v>285</v>
      </c>
      <c r="G203">
        <v>11.55</v>
      </c>
      <c r="H203">
        <v>55.44</v>
      </c>
      <c r="I203" t="s">
        <v>289</v>
      </c>
      <c r="J203" t="s">
        <v>310</v>
      </c>
      <c r="K203" t="s">
        <v>478</v>
      </c>
      <c r="L203" t="s">
        <v>203</v>
      </c>
      <c r="M203" t="s">
        <v>4</v>
      </c>
      <c r="N203" t="s">
        <v>51</v>
      </c>
      <c r="O203" t="s">
        <v>4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4</v>
      </c>
      <c r="AH203" t="s">
        <v>51</v>
      </c>
      <c r="AI203" t="s">
        <v>4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0</v>
      </c>
      <c r="AT203">
        <f>$H$203*$Z$203</f>
        <v>0</v>
      </c>
      <c r="AU203">
        <f>$H$203*$AA$203</f>
        <v>55.44</v>
      </c>
      <c r="AV203">
        <f>$H$203*$AB$203</f>
        <v>55.44</v>
      </c>
      <c r="AW203">
        <f>$H$203*$AC$203</f>
        <v>55.44</v>
      </c>
      <c r="AX203">
        <f>$H$203*$AD$203</f>
        <v>55.44</v>
      </c>
      <c r="AY203">
        <f>$H$203*$AE$203</f>
        <v>55.44</v>
      </c>
      <c r="AZ203">
        <f>$H$203*$AF$203</f>
        <v>55.44</v>
      </c>
    </row>
    <row r="204" spans="1:52" x14ac:dyDescent="0.25">
      <c r="A204">
        <v>243</v>
      </c>
      <c r="B204" t="s">
        <v>4</v>
      </c>
      <c r="C204" t="s">
        <v>357</v>
      </c>
      <c r="D204">
        <v>4</v>
      </c>
      <c r="E204">
        <v>19</v>
      </c>
      <c r="F204" t="s">
        <v>285</v>
      </c>
      <c r="G204">
        <v>4.75</v>
      </c>
      <c r="H204">
        <v>22.8</v>
      </c>
      <c r="I204" t="s">
        <v>289</v>
      </c>
      <c r="J204" t="s">
        <v>358</v>
      </c>
      <c r="K204" t="s">
        <v>501</v>
      </c>
      <c r="L204" t="s">
        <v>203</v>
      </c>
      <c r="M204" t="s">
        <v>4</v>
      </c>
      <c r="N204" t="s">
        <v>51</v>
      </c>
      <c r="O204" t="s">
        <v>4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  <c r="AF204">
        <v>1</v>
      </c>
      <c r="AG204" t="s">
        <v>4</v>
      </c>
      <c r="AH204" t="s">
        <v>51</v>
      </c>
      <c r="AI204" t="s">
        <v>4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0</v>
      </c>
      <c r="AU204">
        <f>$H$204*$AA$204</f>
        <v>0</v>
      </c>
      <c r="AV204">
        <f>$H$204*$AB$204</f>
        <v>0</v>
      </c>
      <c r="AW204">
        <f>$H$204*$AC$204</f>
        <v>22.8</v>
      </c>
      <c r="AX204">
        <f>$H$204*$AD$204</f>
        <v>22.8</v>
      </c>
      <c r="AY204">
        <f>$H$204*$AE$204</f>
        <v>22.8</v>
      </c>
      <c r="AZ204">
        <f>$H$204*$AF$204</f>
        <v>22.8</v>
      </c>
    </row>
    <row r="205" spans="1:52" x14ac:dyDescent="0.25">
      <c r="A205">
        <v>244</v>
      </c>
      <c r="B205" t="s">
        <v>4</v>
      </c>
      <c r="C205" t="s">
        <v>365</v>
      </c>
      <c r="D205">
        <v>5</v>
      </c>
      <c r="E205">
        <v>66.349999999999994</v>
      </c>
      <c r="F205" t="s">
        <v>290</v>
      </c>
      <c r="G205">
        <v>13.27</v>
      </c>
      <c r="H205">
        <v>79.63</v>
      </c>
      <c r="I205" t="s">
        <v>292</v>
      </c>
      <c r="J205" t="s">
        <v>366</v>
      </c>
      <c r="K205" t="s">
        <v>505</v>
      </c>
      <c r="L205" t="s">
        <v>203</v>
      </c>
      <c r="M205" t="s">
        <v>4</v>
      </c>
      <c r="N205" t="s">
        <v>51</v>
      </c>
      <c r="O205" t="s">
        <v>4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4</v>
      </c>
      <c r="AH205" t="s">
        <v>51</v>
      </c>
      <c r="AI205" t="s">
        <v>4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79.63</v>
      </c>
      <c r="AS205">
        <f>$H$205*$Y$205</f>
        <v>79.63</v>
      </c>
      <c r="AT205">
        <f>$H$205*$Z$205</f>
        <v>79.63</v>
      </c>
      <c r="AU205">
        <f>$H$205*$AA$205</f>
        <v>79.63</v>
      </c>
      <c r="AV205">
        <f>$H$205*$AB$205</f>
        <v>79.63</v>
      </c>
      <c r="AW205">
        <f>$H$205*$AC$205</f>
        <v>79.63</v>
      </c>
      <c r="AX205">
        <f>$H$205*$AD$205</f>
        <v>79.63</v>
      </c>
      <c r="AY205">
        <f>$H$205*$AE$205</f>
        <v>79.63</v>
      </c>
      <c r="AZ205">
        <f>$H$205*$AF$205</f>
        <v>79.63</v>
      </c>
    </row>
    <row r="206" spans="1:52" x14ac:dyDescent="0.25">
      <c r="A206">
        <v>245</v>
      </c>
      <c r="B206" t="s">
        <v>4</v>
      </c>
      <c r="C206" t="s">
        <v>426</v>
      </c>
      <c r="D206">
        <v>1</v>
      </c>
      <c r="E206">
        <v>48.06</v>
      </c>
      <c r="F206" t="s">
        <v>290</v>
      </c>
      <c r="G206">
        <v>48.06</v>
      </c>
      <c r="H206">
        <v>57.68</v>
      </c>
      <c r="I206" t="s">
        <v>295</v>
      </c>
      <c r="J206" t="s">
        <v>390</v>
      </c>
      <c r="K206" t="s">
        <v>535</v>
      </c>
      <c r="L206" t="s">
        <v>203</v>
      </c>
      <c r="M206" t="s">
        <v>4</v>
      </c>
      <c r="N206" t="s">
        <v>51</v>
      </c>
      <c r="O206" t="s">
        <v>4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1</v>
      </c>
      <c r="AE206">
        <v>1</v>
      </c>
      <c r="AF206">
        <v>1</v>
      </c>
      <c r="AG206" t="s">
        <v>4</v>
      </c>
      <c r="AH206" t="s">
        <v>51</v>
      </c>
      <c r="AI206" t="s">
        <v>4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0</v>
      </c>
      <c r="AV206">
        <f>$H$206*$AB$206</f>
        <v>0</v>
      </c>
      <c r="AW206">
        <f>$H$206*$AC$206</f>
        <v>0</v>
      </c>
      <c r="AX206">
        <f>$H$206*$AD$206</f>
        <v>57.68</v>
      </c>
      <c r="AY206">
        <f>$H$206*$AE$206</f>
        <v>57.68</v>
      </c>
      <c r="AZ206">
        <f>$H$206*$AF$206</f>
        <v>57.68</v>
      </c>
    </row>
    <row r="207" spans="1:52" x14ac:dyDescent="0.25">
      <c r="A207">
        <v>246</v>
      </c>
      <c r="B207" t="s">
        <v>4</v>
      </c>
      <c r="C207" t="s">
        <v>427</v>
      </c>
      <c r="D207">
        <v>1</v>
      </c>
      <c r="E207">
        <v>47.96</v>
      </c>
      <c r="F207" t="s">
        <v>290</v>
      </c>
      <c r="G207">
        <v>47.96</v>
      </c>
      <c r="H207">
        <v>57.56</v>
      </c>
      <c r="I207" t="s">
        <v>317</v>
      </c>
      <c r="J207" t="s">
        <v>428</v>
      </c>
      <c r="K207" t="s">
        <v>536</v>
      </c>
      <c r="L207" t="s">
        <v>203</v>
      </c>
      <c r="M207" t="s">
        <v>4</v>
      </c>
      <c r="N207" t="s">
        <v>51</v>
      </c>
      <c r="O207" t="s">
        <v>4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4</v>
      </c>
      <c r="AH207" t="s">
        <v>51</v>
      </c>
      <c r="AI207" t="s">
        <v>4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0</v>
      </c>
      <c r="AU207">
        <f>$H$207*$AA$207</f>
        <v>57.56</v>
      </c>
      <c r="AV207">
        <f>$H$207*$AB$207</f>
        <v>57.56</v>
      </c>
      <c r="AW207">
        <f>$H$207*$AC$207</f>
        <v>57.56</v>
      </c>
      <c r="AX207">
        <f>$H$207*$AD$207</f>
        <v>57.56</v>
      </c>
      <c r="AY207">
        <f>$H$207*$AE$207</f>
        <v>57.56</v>
      </c>
      <c r="AZ207">
        <f>$H$207*$AF$207</f>
        <v>57.56</v>
      </c>
    </row>
    <row r="208" spans="1:52" x14ac:dyDescent="0.25">
      <c r="A208">
        <v>247</v>
      </c>
      <c r="B208" t="s">
        <v>4</v>
      </c>
      <c r="C208" t="s">
        <v>430</v>
      </c>
      <c r="D208">
        <v>2</v>
      </c>
      <c r="E208">
        <v>110.04</v>
      </c>
      <c r="F208" t="s">
        <v>290</v>
      </c>
      <c r="G208">
        <v>55.02</v>
      </c>
      <c r="H208">
        <v>132.04</v>
      </c>
      <c r="I208" t="s">
        <v>286</v>
      </c>
      <c r="J208" t="s">
        <v>431</v>
      </c>
      <c r="K208" t="s">
        <v>538</v>
      </c>
      <c r="L208" t="s">
        <v>203</v>
      </c>
      <c r="M208" t="s">
        <v>4</v>
      </c>
      <c r="N208" t="s">
        <v>51</v>
      </c>
      <c r="O208" t="s">
        <v>4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4</v>
      </c>
      <c r="AH208" t="s">
        <v>51</v>
      </c>
      <c r="AI208" t="s">
        <v>4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132.04</v>
      </c>
      <c r="AN208">
        <f>$H$208*$T$208</f>
        <v>132.04</v>
      </c>
      <c r="AO208">
        <f>$H$208*$U$208</f>
        <v>132.04</v>
      </c>
      <c r="AP208">
        <f>$H$208*$V$208</f>
        <v>132.04</v>
      </c>
      <c r="AQ208">
        <f>$H$208*$W$208</f>
        <v>132.04</v>
      </c>
      <c r="AR208">
        <f>$H$208*$X$208</f>
        <v>132.04</v>
      </c>
      <c r="AS208">
        <f>$H$208*$Y$208</f>
        <v>132.04</v>
      </c>
      <c r="AT208">
        <f>$H$208*$Z$208</f>
        <v>132.04</v>
      </c>
      <c r="AU208">
        <f>$H$208*$AA$208</f>
        <v>132.04</v>
      </c>
      <c r="AV208">
        <f>$H$208*$AB$208</f>
        <v>132.04</v>
      </c>
      <c r="AW208">
        <f>$H$208*$AC$208</f>
        <v>132.04</v>
      </c>
      <c r="AX208">
        <f>$H$208*$AD$208</f>
        <v>132.04</v>
      </c>
      <c r="AY208">
        <f>$H$208*$AE$208</f>
        <v>132.04</v>
      </c>
      <c r="AZ208">
        <f>$H$208*$AF$208</f>
        <v>132.04</v>
      </c>
    </row>
    <row r="209" spans="1:52" x14ac:dyDescent="0.25">
      <c r="A209">
        <v>248</v>
      </c>
      <c r="B209" t="s">
        <v>4</v>
      </c>
      <c r="C209" t="s">
        <v>432</v>
      </c>
      <c r="D209">
        <v>1</v>
      </c>
      <c r="E209">
        <v>376.12</v>
      </c>
      <c r="F209" t="s">
        <v>290</v>
      </c>
      <c r="G209">
        <v>376.12</v>
      </c>
      <c r="H209">
        <v>451.34</v>
      </c>
      <c r="I209" t="s">
        <v>320</v>
      </c>
      <c r="J209" t="s">
        <v>433</v>
      </c>
      <c r="K209" t="s">
        <v>539</v>
      </c>
      <c r="L209" t="s">
        <v>203</v>
      </c>
      <c r="M209" t="s">
        <v>4</v>
      </c>
      <c r="N209" t="s">
        <v>51</v>
      </c>
      <c r="O209" t="s">
        <v>4</v>
      </c>
      <c r="P209">
        <v>0</v>
      </c>
      <c r="Q209">
        <v>0</v>
      </c>
      <c r="R209">
        <v>0</v>
      </c>
      <c r="S209">
        <v>0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4</v>
      </c>
      <c r="AH209" t="s">
        <v>51</v>
      </c>
      <c r="AI209" t="s">
        <v>4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451.34</v>
      </c>
      <c r="AO209">
        <f>$H$209*$U$209</f>
        <v>451.34</v>
      </c>
      <c r="AP209">
        <f>$H$209*$V$209</f>
        <v>451.34</v>
      </c>
      <c r="AQ209">
        <f>$H$209*$W$209</f>
        <v>451.34</v>
      </c>
      <c r="AR209">
        <f>$H$209*$X$209</f>
        <v>451.34</v>
      </c>
      <c r="AS209">
        <f>$H$209*$Y$209</f>
        <v>451.34</v>
      </c>
      <c r="AT209">
        <f>$H$209*$Z$209</f>
        <v>451.34</v>
      </c>
      <c r="AU209">
        <f>$H$209*$AA$209</f>
        <v>451.34</v>
      </c>
      <c r="AV209">
        <f>$H$209*$AB$209</f>
        <v>451.34</v>
      </c>
      <c r="AW209">
        <f>$H$209*$AC$209</f>
        <v>451.34</v>
      </c>
      <c r="AX209">
        <f>$H$209*$AD$209</f>
        <v>451.34</v>
      </c>
      <c r="AY209">
        <f>$H$209*$AE$209</f>
        <v>451.34</v>
      </c>
      <c r="AZ209">
        <f>$H$209*$AF$209</f>
        <v>451.34</v>
      </c>
    </row>
    <row r="210" spans="1:52" x14ac:dyDescent="0.25">
      <c r="A210">
        <v>249</v>
      </c>
      <c r="B210" t="s">
        <v>4</v>
      </c>
      <c r="C210" t="s">
        <v>324</v>
      </c>
      <c r="D210">
        <v>2</v>
      </c>
      <c r="E210">
        <v>77.86</v>
      </c>
      <c r="F210" t="s">
        <v>290</v>
      </c>
      <c r="G210">
        <v>38.93</v>
      </c>
      <c r="H210">
        <v>93.44</v>
      </c>
      <c r="I210" t="s">
        <v>286</v>
      </c>
      <c r="J210" t="s">
        <v>320</v>
      </c>
      <c r="K210" t="s">
        <v>484</v>
      </c>
      <c r="L210" t="s">
        <v>203</v>
      </c>
      <c r="M210" t="s">
        <v>4</v>
      </c>
      <c r="N210" t="s">
        <v>51</v>
      </c>
      <c r="O210" t="s">
        <v>4</v>
      </c>
      <c r="P210">
        <v>0</v>
      </c>
      <c r="Q210">
        <v>0</v>
      </c>
      <c r="R210">
        <v>0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4</v>
      </c>
      <c r="AH210" t="s">
        <v>51</v>
      </c>
      <c r="AI210" t="s">
        <v>4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93.44</v>
      </c>
      <c r="AN210">
        <f>$H$210*$T$210</f>
        <v>93.44</v>
      </c>
      <c r="AO210">
        <f>$H$210*$U$210</f>
        <v>93.44</v>
      </c>
      <c r="AP210">
        <f>$H$210*$V$210</f>
        <v>93.44</v>
      </c>
      <c r="AQ210">
        <f>$H$210*$W$210</f>
        <v>93.44</v>
      </c>
      <c r="AR210">
        <f>$H$210*$X$210</f>
        <v>93.44</v>
      </c>
      <c r="AS210">
        <f>$H$210*$Y$210</f>
        <v>93.44</v>
      </c>
      <c r="AT210">
        <f>$H$210*$Z$210</f>
        <v>93.44</v>
      </c>
      <c r="AU210">
        <f>$H$210*$AA$210</f>
        <v>93.44</v>
      </c>
      <c r="AV210">
        <f>$H$210*$AB$210</f>
        <v>93.44</v>
      </c>
      <c r="AW210">
        <f>$H$210*$AC$210</f>
        <v>93.44</v>
      </c>
      <c r="AX210">
        <f>$H$210*$AD$210</f>
        <v>93.44</v>
      </c>
      <c r="AY210">
        <f>$H$210*$AE$210</f>
        <v>93.44</v>
      </c>
      <c r="AZ210">
        <f>$H$210*$AF$210</f>
        <v>93.44</v>
      </c>
    </row>
    <row r="211" spans="1:52" x14ac:dyDescent="0.25">
      <c r="A211">
        <v>250</v>
      </c>
      <c r="B211" t="s">
        <v>4</v>
      </c>
      <c r="C211" t="s">
        <v>319</v>
      </c>
      <c r="D211">
        <v>1</v>
      </c>
      <c r="E211">
        <v>365.09</v>
      </c>
      <c r="F211" t="s">
        <v>290</v>
      </c>
      <c r="G211">
        <v>365.09</v>
      </c>
      <c r="H211">
        <v>438.11</v>
      </c>
      <c r="I211" t="s">
        <v>320</v>
      </c>
      <c r="J211" t="s">
        <v>321</v>
      </c>
      <c r="K211" t="s">
        <v>482</v>
      </c>
      <c r="L211" t="s">
        <v>203</v>
      </c>
      <c r="M211" t="s">
        <v>4</v>
      </c>
      <c r="N211" t="s">
        <v>51</v>
      </c>
      <c r="O211" t="s">
        <v>4</v>
      </c>
      <c r="P211">
        <v>0</v>
      </c>
      <c r="Q211">
        <v>0</v>
      </c>
      <c r="R211">
        <v>0</v>
      </c>
      <c r="S211">
        <v>0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4</v>
      </c>
      <c r="AH211" t="s">
        <v>51</v>
      </c>
      <c r="AI211" t="s">
        <v>4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438.11</v>
      </c>
      <c r="AO211">
        <f>$H$211*$U$211</f>
        <v>438.11</v>
      </c>
      <c r="AP211">
        <f>$H$211*$V$211</f>
        <v>438.11</v>
      </c>
      <c r="AQ211">
        <f>$H$211*$W$211</f>
        <v>438.11</v>
      </c>
      <c r="AR211">
        <f>$H$211*$X$211</f>
        <v>438.11</v>
      </c>
      <c r="AS211">
        <f>$H$211*$Y$211</f>
        <v>438.11</v>
      </c>
      <c r="AT211">
        <f>$H$211*$Z$211</f>
        <v>438.11</v>
      </c>
      <c r="AU211">
        <f>$H$211*$AA$211</f>
        <v>438.11</v>
      </c>
      <c r="AV211">
        <f>$H$211*$AB$211</f>
        <v>438.11</v>
      </c>
      <c r="AW211">
        <f>$H$211*$AC$211</f>
        <v>438.11</v>
      </c>
      <c r="AX211">
        <f>$H$211*$AD$211</f>
        <v>438.11</v>
      </c>
      <c r="AY211">
        <f>$H$211*$AE$211</f>
        <v>438.11</v>
      </c>
      <c r="AZ211">
        <f>$H$211*$AF$211</f>
        <v>438.11</v>
      </c>
    </row>
    <row r="212" spans="1:52" x14ac:dyDescent="0.25">
      <c r="A212">
        <v>251</v>
      </c>
      <c r="B212" t="s">
        <v>4</v>
      </c>
      <c r="C212" t="s">
        <v>311</v>
      </c>
      <c r="D212">
        <v>288</v>
      </c>
      <c r="E212">
        <v>282.24</v>
      </c>
      <c r="F212" t="s">
        <v>303</v>
      </c>
      <c r="G212">
        <v>0.98</v>
      </c>
      <c r="H212">
        <v>338.68</v>
      </c>
      <c r="I212" t="s">
        <v>286</v>
      </c>
      <c r="J212" t="s">
        <v>312</v>
      </c>
      <c r="K212" t="s">
        <v>479</v>
      </c>
      <c r="L212" t="s">
        <v>203</v>
      </c>
      <c r="M212" t="s">
        <v>4</v>
      </c>
      <c r="N212" t="s">
        <v>51</v>
      </c>
      <c r="O212" t="s">
        <v>4</v>
      </c>
      <c r="P212">
        <v>0</v>
      </c>
      <c r="Q212">
        <v>0</v>
      </c>
      <c r="R212">
        <v>0</v>
      </c>
      <c r="S212">
        <v>0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4</v>
      </c>
      <c r="AH212" t="s">
        <v>51</v>
      </c>
      <c r="AI212" t="s">
        <v>4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338.68</v>
      </c>
      <c r="AO212">
        <f>$H$212*$U$212</f>
        <v>338.68</v>
      </c>
      <c r="AP212">
        <f>$H$212*$V$212</f>
        <v>338.68</v>
      </c>
      <c r="AQ212">
        <f>$H$212*$W$212</f>
        <v>338.68</v>
      </c>
      <c r="AR212">
        <f>$H$212*$X$212</f>
        <v>338.68</v>
      </c>
      <c r="AS212">
        <f>$H$212*$Y$212</f>
        <v>338.68</v>
      </c>
      <c r="AT212">
        <f>$H$212*$Z$212</f>
        <v>338.68</v>
      </c>
      <c r="AU212">
        <f>$H$212*$AA$212</f>
        <v>338.68</v>
      </c>
      <c r="AV212">
        <f>$H$212*$AB$212</f>
        <v>338.68</v>
      </c>
      <c r="AW212">
        <f>$H$212*$AC$212</f>
        <v>338.68</v>
      </c>
      <c r="AX212">
        <f>$H$212*$AD$212</f>
        <v>338.68</v>
      </c>
      <c r="AY212">
        <f>$H$212*$AE$212</f>
        <v>338.68</v>
      </c>
      <c r="AZ212">
        <f>$H$212*$AF$212</f>
        <v>338.68</v>
      </c>
    </row>
    <row r="213" spans="1:52" x14ac:dyDescent="0.25">
      <c r="A213">
        <v>252</v>
      </c>
      <c r="B213" t="s">
        <v>4</v>
      </c>
      <c r="C213" t="s">
        <v>404</v>
      </c>
      <c r="D213">
        <v>288</v>
      </c>
      <c r="E213">
        <v>768.96</v>
      </c>
      <c r="F213" t="s">
        <v>303</v>
      </c>
      <c r="G213">
        <v>2.67</v>
      </c>
      <c r="H213">
        <v>922.76</v>
      </c>
      <c r="I213" t="s">
        <v>314</v>
      </c>
      <c r="J213" t="s">
        <v>405</v>
      </c>
      <c r="K213" t="s">
        <v>524</v>
      </c>
      <c r="L213" t="s">
        <v>203</v>
      </c>
      <c r="M213" t="s">
        <v>4</v>
      </c>
      <c r="N213" t="s">
        <v>51</v>
      </c>
      <c r="O213" t="s">
        <v>4</v>
      </c>
      <c r="P213">
        <v>0</v>
      </c>
      <c r="Q213">
        <v>0</v>
      </c>
      <c r="R213">
        <v>0</v>
      </c>
      <c r="S213">
        <v>0.25</v>
      </c>
      <c r="T213">
        <v>0.25</v>
      </c>
      <c r="U213">
        <v>0.25</v>
      </c>
      <c r="V213">
        <v>0.25</v>
      </c>
      <c r="W213">
        <v>0.25</v>
      </c>
      <c r="X213">
        <v>0.5</v>
      </c>
      <c r="Y213">
        <v>0.5</v>
      </c>
      <c r="Z213">
        <v>0.5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4</v>
      </c>
      <c r="AH213" t="s">
        <v>51</v>
      </c>
      <c r="AI213" t="s">
        <v>4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230.69</v>
      </c>
      <c r="AN213">
        <f>$H$213*$T$213</f>
        <v>230.69</v>
      </c>
      <c r="AO213">
        <f>$H$213*$U$213</f>
        <v>230.69</v>
      </c>
      <c r="AP213">
        <f>$H$213*$V$213</f>
        <v>230.69</v>
      </c>
      <c r="AQ213">
        <f>$H$213*$W$213</f>
        <v>230.69</v>
      </c>
      <c r="AR213">
        <f>$H$213*$X$213</f>
        <v>461.38</v>
      </c>
      <c r="AS213">
        <f>$H$213*$Y$213</f>
        <v>461.38</v>
      </c>
      <c r="AT213">
        <f>$H$213*$Z$213</f>
        <v>461.38</v>
      </c>
      <c r="AU213">
        <f>$H$213*$AA$213</f>
        <v>922.76</v>
      </c>
      <c r="AV213">
        <f>$H$213*$AB$213</f>
        <v>922.76</v>
      </c>
      <c r="AW213">
        <f>$H$213*$AC$213</f>
        <v>922.76</v>
      </c>
      <c r="AX213">
        <f>$H$213*$AD$213</f>
        <v>922.76</v>
      </c>
      <c r="AY213">
        <f>$H$213*$AE$213</f>
        <v>922.76</v>
      </c>
      <c r="AZ213">
        <f>$H$213*$AF$213</f>
        <v>922.76</v>
      </c>
    </row>
    <row r="214" spans="1:52" x14ac:dyDescent="0.25">
      <c r="A214">
        <v>253</v>
      </c>
      <c r="B214" t="s">
        <v>4</v>
      </c>
      <c r="C214" t="s">
        <v>429</v>
      </c>
      <c r="D214">
        <v>36</v>
      </c>
      <c r="E214">
        <v>126.72</v>
      </c>
      <c r="F214" t="s">
        <v>285</v>
      </c>
      <c r="G214">
        <v>3.52</v>
      </c>
      <c r="H214">
        <v>152.06</v>
      </c>
      <c r="I214" t="s">
        <v>289</v>
      </c>
      <c r="J214" t="s">
        <v>407</v>
      </c>
      <c r="K214" t="s">
        <v>537</v>
      </c>
      <c r="L214" t="s">
        <v>203</v>
      </c>
      <c r="M214" t="s">
        <v>4</v>
      </c>
      <c r="N214" t="s">
        <v>51</v>
      </c>
      <c r="O214" t="s">
        <v>4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4</v>
      </c>
      <c r="AH214" t="s">
        <v>51</v>
      </c>
      <c r="AI214" t="s">
        <v>4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152.06</v>
      </c>
      <c r="AN214">
        <f>$H$214*$T$214</f>
        <v>152.06</v>
      </c>
      <c r="AO214">
        <f>$H$214*$U$214</f>
        <v>152.06</v>
      </c>
      <c r="AP214">
        <f>$H$214*$V$214</f>
        <v>152.06</v>
      </c>
      <c r="AQ214">
        <f>$H$214*$W$214</f>
        <v>152.06</v>
      </c>
      <c r="AR214">
        <f>$H$214*$X$214</f>
        <v>152.06</v>
      </c>
      <c r="AS214">
        <f>$H$214*$Y$214</f>
        <v>152.06</v>
      </c>
      <c r="AT214">
        <f>$H$214*$Z$214</f>
        <v>152.06</v>
      </c>
      <c r="AU214">
        <f>$H$214*$AA$214</f>
        <v>152.06</v>
      </c>
      <c r="AV214">
        <f>$H$214*$AB$214</f>
        <v>152.06</v>
      </c>
      <c r="AW214">
        <f>$H$214*$AC$214</f>
        <v>152.06</v>
      </c>
      <c r="AX214">
        <f>$H$214*$AD$214</f>
        <v>152.06</v>
      </c>
      <c r="AY214">
        <f>$H$214*$AE$214</f>
        <v>152.06</v>
      </c>
      <c r="AZ214">
        <f>$H$214*$AF$214</f>
        <v>152.06</v>
      </c>
    </row>
    <row r="215" spans="1:52" x14ac:dyDescent="0.25">
      <c r="A215">
        <v>254</v>
      </c>
      <c r="B215" t="s">
        <v>4</v>
      </c>
      <c r="C215" t="s">
        <v>404</v>
      </c>
      <c r="D215">
        <v>81</v>
      </c>
      <c r="E215">
        <v>216.27</v>
      </c>
      <c r="F215" t="s">
        <v>303</v>
      </c>
      <c r="G215">
        <v>2.67</v>
      </c>
      <c r="H215">
        <v>259.52999999999997</v>
      </c>
      <c r="I215" t="s">
        <v>314</v>
      </c>
      <c r="J215" t="s">
        <v>405</v>
      </c>
      <c r="K215" t="s">
        <v>524</v>
      </c>
      <c r="L215" t="s">
        <v>203</v>
      </c>
      <c r="M215" t="s">
        <v>4</v>
      </c>
      <c r="N215" t="s">
        <v>51</v>
      </c>
      <c r="O215" t="s">
        <v>4</v>
      </c>
      <c r="P215">
        <v>0</v>
      </c>
      <c r="Q215">
        <v>0</v>
      </c>
      <c r="R215">
        <v>0</v>
      </c>
      <c r="S215">
        <v>0.25</v>
      </c>
      <c r="T215">
        <v>0.25</v>
      </c>
      <c r="U215">
        <v>0.25</v>
      </c>
      <c r="V215">
        <v>0.25</v>
      </c>
      <c r="W215">
        <v>0.25</v>
      </c>
      <c r="X215">
        <v>0.5</v>
      </c>
      <c r="Y215">
        <v>0.5</v>
      </c>
      <c r="Z215">
        <v>0.5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4</v>
      </c>
      <c r="AH215" t="s">
        <v>51</v>
      </c>
      <c r="AI215" t="s">
        <v>4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64.882499999999993</v>
      </c>
      <c r="AN215">
        <f>$H$215*$T$215</f>
        <v>64.882499999999993</v>
      </c>
      <c r="AO215">
        <f>$H$215*$U$215</f>
        <v>64.882499999999993</v>
      </c>
      <c r="AP215">
        <f>$H$215*$V$215</f>
        <v>64.882499999999993</v>
      </c>
      <c r="AQ215">
        <f>$H$215*$W$215</f>
        <v>64.882499999999993</v>
      </c>
      <c r="AR215">
        <f>$H$215*$X$215</f>
        <v>129.76499999999999</v>
      </c>
      <c r="AS215">
        <f>$H$215*$Y$215</f>
        <v>129.76499999999999</v>
      </c>
      <c r="AT215">
        <f>$H$215*$Z$215</f>
        <v>129.76499999999999</v>
      </c>
      <c r="AU215">
        <f>$H$215*$AA$215</f>
        <v>259.52999999999997</v>
      </c>
      <c r="AV215">
        <f>$H$215*$AB$215</f>
        <v>259.52999999999997</v>
      </c>
      <c r="AW215">
        <f>$H$215*$AC$215</f>
        <v>259.52999999999997</v>
      </c>
      <c r="AX215">
        <f>$H$215*$AD$215</f>
        <v>259.52999999999997</v>
      </c>
      <c r="AY215">
        <f>$H$215*$AE$215</f>
        <v>259.52999999999997</v>
      </c>
      <c r="AZ215">
        <f>$H$215*$AF$215</f>
        <v>259.52999999999997</v>
      </c>
    </row>
    <row r="216" spans="1:52" x14ac:dyDescent="0.25">
      <c r="A216">
        <v>255</v>
      </c>
      <c r="B216" t="s">
        <v>4</v>
      </c>
      <c r="C216" t="s">
        <v>410</v>
      </c>
      <c r="D216">
        <v>81</v>
      </c>
      <c r="E216">
        <v>51.03</v>
      </c>
      <c r="F216" t="s">
        <v>303</v>
      </c>
      <c r="G216">
        <v>0.63</v>
      </c>
      <c r="H216">
        <v>61.23</v>
      </c>
      <c r="I216" t="s">
        <v>286</v>
      </c>
      <c r="J216" t="s">
        <v>411</v>
      </c>
      <c r="K216" t="s">
        <v>527</v>
      </c>
      <c r="L216" t="s">
        <v>203</v>
      </c>
      <c r="M216" t="s">
        <v>4</v>
      </c>
      <c r="N216" t="s">
        <v>51</v>
      </c>
      <c r="O216" t="s">
        <v>4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1</v>
      </c>
      <c r="AE216">
        <v>1</v>
      </c>
      <c r="AF216">
        <v>1</v>
      </c>
      <c r="AG216" t="s">
        <v>4</v>
      </c>
      <c r="AH216" t="s">
        <v>51</v>
      </c>
      <c r="AI216" t="s">
        <v>4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0</v>
      </c>
      <c r="AQ216">
        <f>$H$216*$W$216</f>
        <v>0</v>
      </c>
      <c r="AR216">
        <f>$H$216*$X$216</f>
        <v>0</v>
      </c>
      <c r="AS216">
        <f>$H$216*$Y$216</f>
        <v>0</v>
      </c>
      <c r="AT216">
        <f>$H$216*$Z$216</f>
        <v>0</v>
      </c>
      <c r="AU216">
        <f>$H$216*$AA$216</f>
        <v>0</v>
      </c>
      <c r="AV216">
        <f>$H$216*$AB$216</f>
        <v>0</v>
      </c>
      <c r="AW216">
        <f>$H$216*$AC$216</f>
        <v>0</v>
      </c>
      <c r="AX216">
        <f>$H$216*$AD$216</f>
        <v>61.23</v>
      </c>
      <c r="AY216">
        <f>$H$216*$AE$216</f>
        <v>61.23</v>
      </c>
      <c r="AZ216">
        <f>$H$216*$AF$216</f>
        <v>61.23</v>
      </c>
    </row>
    <row r="217" spans="1:52" x14ac:dyDescent="0.25">
      <c r="A217">
        <v>256</v>
      </c>
      <c r="B217" t="s">
        <v>4</v>
      </c>
      <c r="C217" t="s">
        <v>412</v>
      </c>
      <c r="D217">
        <v>81</v>
      </c>
      <c r="E217">
        <v>55.89</v>
      </c>
      <c r="F217" t="s">
        <v>303</v>
      </c>
      <c r="G217">
        <v>0.69</v>
      </c>
      <c r="H217">
        <v>67.069999999999993</v>
      </c>
      <c r="I217" t="s">
        <v>286</v>
      </c>
      <c r="J217" t="s">
        <v>413</v>
      </c>
      <c r="K217" t="s">
        <v>528</v>
      </c>
      <c r="L217" t="s">
        <v>203</v>
      </c>
      <c r="M217" t="s">
        <v>4</v>
      </c>
      <c r="N217" t="s">
        <v>51</v>
      </c>
      <c r="O217" t="s">
        <v>4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4</v>
      </c>
      <c r="AH217" t="s">
        <v>51</v>
      </c>
      <c r="AI217" t="s">
        <v>4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67.069999999999993</v>
      </c>
      <c r="AN217">
        <f>$H$217*$T$217</f>
        <v>67.069999999999993</v>
      </c>
      <c r="AO217">
        <f>$H$217*$U$217</f>
        <v>67.069999999999993</v>
      </c>
      <c r="AP217">
        <f>$H$217*$V$217</f>
        <v>67.069999999999993</v>
      </c>
      <c r="AQ217">
        <f>$H$217*$W$217</f>
        <v>67.069999999999993</v>
      </c>
      <c r="AR217">
        <f>$H$217*$X$217</f>
        <v>67.069999999999993</v>
      </c>
      <c r="AS217">
        <f>$H$217*$Y$217</f>
        <v>67.069999999999993</v>
      </c>
      <c r="AT217">
        <f>$H$217*$Z$217</f>
        <v>67.069999999999993</v>
      </c>
      <c r="AU217">
        <f>$H$217*$AA$217</f>
        <v>67.069999999999993</v>
      </c>
      <c r="AV217">
        <f>$H$217*$AB$217</f>
        <v>67.069999999999993</v>
      </c>
      <c r="AW217">
        <f>$H$217*$AC$217</f>
        <v>67.069999999999993</v>
      </c>
      <c r="AX217">
        <f>$H$217*$AD$217</f>
        <v>67.069999999999993</v>
      </c>
      <c r="AY217">
        <f>$H$217*$AE$217</f>
        <v>67.069999999999993</v>
      </c>
      <c r="AZ217">
        <f>$H$217*$AF$217</f>
        <v>67.069999999999993</v>
      </c>
    </row>
    <row r="218" spans="1:52" x14ac:dyDescent="0.25">
      <c r="A218">
        <v>257</v>
      </c>
      <c r="B218" t="s">
        <v>4</v>
      </c>
      <c r="C218" t="s">
        <v>414</v>
      </c>
      <c r="D218">
        <v>18.63</v>
      </c>
      <c r="E218">
        <v>75.08</v>
      </c>
      <c r="F218" t="s">
        <v>303</v>
      </c>
      <c r="G218">
        <v>4.03</v>
      </c>
      <c r="H218">
        <v>90.1</v>
      </c>
      <c r="I218" t="s">
        <v>415</v>
      </c>
      <c r="J218" t="s">
        <v>416</v>
      </c>
      <c r="K218" t="s">
        <v>529</v>
      </c>
      <c r="L218" t="s">
        <v>203</v>
      </c>
      <c r="M218" t="s">
        <v>4</v>
      </c>
      <c r="N218" t="s">
        <v>51</v>
      </c>
      <c r="O218" t="s">
        <v>4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4</v>
      </c>
      <c r="AH218" t="s">
        <v>51</v>
      </c>
      <c r="AI218" t="s">
        <v>4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90.1</v>
      </c>
      <c r="AN218">
        <f>$H$218*$T$218</f>
        <v>90.1</v>
      </c>
      <c r="AO218">
        <f>$H$218*$U$218</f>
        <v>90.1</v>
      </c>
      <c r="AP218">
        <f>$H$218*$V$218</f>
        <v>90.1</v>
      </c>
      <c r="AQ218">
        <f>$H$218*$W$218</f>
        <v>90.1</v>
      </c>
      <c r="AR218">
        <f>$H$218*$X$218</f>
        <v>90.1</v>
      </c>
      <c r="AS218">
        <f>$H$218*$Y$218</f>
        <v>90.1</v>
      </c>
      <c r="AT218">
        <f>$H$218*$Z$218</f>
        <v>90.1</v>
      </c>
      <c r="AU218">
        <f>$H$218*$AA$218</f>
        <v>90.1</v>
      </c>
      <c r="AV218">
        <f>$H$218*$AB$218</f>
        <v>90.1</v>
      </c>
      <c r="AW218">
        <f>$H$218*$AC$218</f>
        <v>90.1</v>
      </c>
      <c r="AX218">
        <f>$H$218*$AD$218</f>
        <v>90.1</v>
      </c>
      <c r="AY218">
        <f>$H$218*$AE$218</f>
        <v>90.1</v>
      </c>
      <c r="AZ218">
        <f>$H$218*$AF$218</f>
        <v>90.1</v>
      </c>
    </row>
    <row r="219" spans="1:52" x14ac:dyDescent="0.25">
      <c r="A219">
        <v>258</v>
      </c>
      <c r="B219" t="s">
        <v>4</v>
      </c>
      <c r="C219" t="s">
        <v>417</v>
      </c>
      <c r="D219">
        <v>74.52</v>
      </c>
      <c r="E219">
        <v>49.93</v>
      </c>
      <c r="F219" t="s">
        <v>303</v>
      </c>
      <c r="G219">
        <v>0.67</v>
      </c>
      <c r="H219">
        <v>59.91</v>
      </c>
      <c r="I219" t="s">
        <v>326</v>
      </c>
      <c r="J219" t="s">
        <v>418</v>
      </c>
      <c r="K219" t="s">
        <v>530</v>
      </c>
      <c r="L219" t="s">
        <v>203</v>
      </c>
      <c r="M219" t="s">
        <v>4</v>
      </c>
      <c r="N219" t="s">
        <v>51</v>
      </c>
      <c r="O219" t="s">
        <v>4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4</v>
      </c>
      <c r="AH219" t="s">
        <v>51</v>
      </c>
      <c r="AI219" t="s">
        <v>4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59.91</v>
      </c>
      <c r="AN219">
        <f>$H$219*$T$219</f>
        <v>59.91</v>
      </c>
      <c r="AO219">
        <f>$H$219*$U$219</f>
        <v>59.91</v>
      </c>
      <c r="AP219">
        <f>$H$219*$V$219</f>
        <v>59.91</v>
      </c>
      <c r="AQ219">
        <f>$H$219*$W$219</f>
        <v>59.91</v>
      </c>
      <c r="AR219">
        <f>$H$219*$X$219</f>
        <v>59.91</v>
      </c>
      <c r="AS219">
        <f>$H$219*$Y$219</f>
        <v>59.91</v>
      </c>
      <c r="AT219">
        <f>$H$219*$Z$219</f>
        <v>59.91</v>
      </c>
      <c r="AU219">
        <f>$H$219*$AA$219</f>
        <v>59.91</v>
      </c>
      <c r="AV219">
        <f>$H$219*$AB$219</f>
        <v>59.91</v>
      </c>
      <c r="AW219">
        <f>$H$219*$AC$219</f>
        <v>59.91</v>
      </c>
      <c r="AX219">
        <f>$H$219*$AD$219</f>
        <v>59.91</v>
      </c>
      <c r="AY219">
        <f>$H$219*$AE$219</f>
        <v>59.91</v>
      </c>
      <c r="AZ219">
        <f>$H$219*$AF$219</f>
        <v>59.91</v>
      </c>
    </row>
    <row r="220" spans="1:52" x14ac:dyDescent="0.25">
      <c r="A220">
        <v>259</v>
      </c>
      <c r="B220" t="s">
        <v>4</v>
      </c>
      <c r="C220" t="s">
        <v>419</v>
      </c>
      <c r="D220">
        <v>74.52</v>
      </c>
      <c r="E220">
        <v>239.95</v>
      </c>
      <c r="F220" t="s">
        <v>303</v>
      </c>
      <c r="G220">
        <v>3.22</v>
      </c>
      <c r="H220">
        <v>287.95</v>
      </c>
      <c r="I220" t="s">
        <v>326</v>
      </c>
      <c r="J220" t="s">
        <v>416</v>
      </c>
      <c r="K220" t="s">
        <v>531</v>
      </c>
      <c r="L220" t="s">
        <v>203</v>
      </c>
      <c r="M220" t="s">
        <v>4</v>
      </c>
      <c r="N220" t="s">
        <v>51</v>
      </c>
      <c r="O220" t="s">
        <v>4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4</v>
      </c>
      <c r="AH220" t="s">
        <v>51</v>
      </c>
      <c r="AI220" t="s">
        <v>4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287.95</v>
      </c>
      <c r="AN220">
        <f>$H$220*$T$220</f>
        <v>287.95</v>
      </c>
      <c r="AO220">
        <f>$H$220*$U$220</f>
        <v>287.95</v>
      </c>
      <c r="AP220">
        <f>$H$220*$V$220</f>
        <v>287.95</v>
      </c>
      <c r="AQ220">
        <f>$H$220*$W$220</f>
        <v>287.95</v>
      </c>
      <c r="AR220">
        <f>$H$220*$X$220</f>
        <v>287.95</v>
      </c>
      <c r="AS220">
        <f>$H$220*$Y$220</f>
        <v>287.95</v>
      </c>
      <c r="AT220">
        <f>$H$220*$Z$220</f>
        <v>287.95</v>
      </c>
      <c r="AU220">
        <f>$H$220*$AA$220</f>
        <v>287.95</v>
      </c>
      <c r="AV220">
        <f>$H$220*$AB$220</f>
        <v>287.95</v>
      </c>
      <c r="AW220">
        <f>$H$220*$AC$220</f>
        <v>287.95</v>
      </c>
      <c r="AX220">
        <f>$H$220*$AD$220</f>
        <v>287.95</v>
      </c>
      <c r="AY220">
        <f>$H$220*$AE$220</f>
        <v>287.95</v>
      </c>
      <c r="AZ220">
        <f>$H$220*$AF$220</f>
        <v>287.95</v>
      </c>
    </row>
    <row r="221" spans="1:52" x14ac:dyDescent="0.25">
      <c r="A221">
        <v>260</v>
      </c>
      <c r="B221" t="s">
        <v>5</v>
      </c>
      <c r="C221" t="s">
        <v>365</v>
      </c>
      <c r="D221">
        <v>4</v>
      </c>
      <c r="E221">
        <v>53.08</v>
      </c>
      <c r="F221" t="s">
        <v>290</v>
      </c>
      <c r="G221">
        <v>13.27</v>
      </c>
      <c r="H221">
        <v>63.7</v>
      </c>
      <c r="I221" t="s">
        <v>292</v>
      </c>
      <c r="J221" t="s">
        <v>366</v>
      </c>
      <c r="K221" t="s">
        <v>505</v>
      </c>
      <c r="L221" t="s">
        <v>203</v>
      </c>
      <c r="M221" t="s">
        <v>5</v>
      </c>
      <c r="N221" t="s">
        <v>12</v>
      </c>
      <c r="O221" t="s">
        <v>5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5</v>
      </c>
      <c r="AH221" t="s">
        <v>12</v>
      </c>
      <c r="AI221" t="s">
        <v>5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0</v>
      </c>
      <c r="AQ221">
        <f>$H$221*$W$221</f>
        <v>0</v>
      </c>
      <c r="AR221">
        <f>$H$221*$X$221</f>
        <v>63.7</v>
      </c>
      <c r="AS221">
        <f>$H$221*$Y$221</f>
        <v>63.7</v>
      </c>
      <c r="AT221">
        <f>$H$221*$Z$221</f>
        <v>63.7</v>
      </c>
      <c r="AU221">
        <f>$H$221*$AA$221</f>
        <v>63.7</v>
      </c>
      <c r="AV221">
        <f>$H$221*$AB$221</f>
        <v>63.7</v>
      </c>
      <c r="AW221">
        <f>$H$221*$AC$221</f>
        <v>63.7</v>
      </c>
      <c r="AX221">
        <f>$H$221*$AD$221</f>
        <v>63.7</v>
      </c>
      <c r="AY221">
        <f>$H$221*$AE$221</f>
        <v>63.7</v>
      </c>
      <c r="AZ221">
        <f>$H$221*$AF$221</f>
        <v>63.7</v>
      </c>
    </row>
    <row r="222" spans="1:52" x14ac:dyDescent="0.25">
      <c r="A222">
        <v>261</v>
      </c>
      <c r="B222" t="s">
        <v>5</v>
      </c>
      <c r="C222" t="s">
        <v>426</v>
      </c>
      <c r="D222">
        <v>1</v>
      </c>
      <c r="E222">
        <v>48.06</v>
      </c>
      <c r="F222" t="s">
        <v>290</v>
      </c>
      <c r="G222">
        <v>48.06</v>
      </c>
      <c r="H222">
        <v>57.68</v>
      </c>
      <c r="I222" t="s">
        <v>295</v>
      </c>
      <c r="J222" t="s">
        <v>390</v>
      </c>
      <c r="K222" t="s">
        <v>535</v>
      </c>
      <c r="L222" t="s">
        <v>203</v>
      </c>
      <c r="M222" t="s">
        <v>5</v>
      </c>
      <c r="N222" t="s">
        <v>12</v>
      </c>
      <c r="O222" t="s">
        <v>5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1</v>
      </c>
      <c r="AE222">
        <v>1</v>
      </c>
      <c r="AF222">
        <v>1</v>
      </c>
      <c r="AG222" t="s">
        <v>5</v>
      </c>
      <c r="AH222" t="s">
        <v>12</v>
      </c>
      <c r="AI222" t="s">
        <v>5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0</v>
      </c>
      <c r="AT222">
        <f>$H$222*$Z$222</f>
        <v>0</v>
      </c>
      <c r="AU222">
        <f>$H$222*$AA$222</f>
        <v>0</v>
      </c>
      <c r="AV222">
        <f>$H$222*$AB$222</f>
        <v>0</v>
      </c>
      <c r="AW222">
        <f>$H$222*$AC$222</f>
        <v>0</v>
      </c>
      <c r="AX222">
        <f>$H$222*$AD$222</f>
        <v>57.68</v>
      </c>
      <c r="AY222">
        <f>$H$222*$AE$222</f>
        <v>57.68</v>
      </c>
      <c r="AZ222">
        <f>$H$222*$AF$222</f>
        <v>57.68</v>
      </c>
    </row>
    <row r="223" spans="1:52" x14ac:dyDescent="0.25">
      <c r="A223">
        <v>262</v>
      </c>
      <c r="B223" t="s">
        <v>5</v>
      </c>
      <c r="C223" t="s">
        <v>311</v>
      </c>
      <c r="D223">
        <v>202.67</v>
      </c>
      <c r="E223">
        <v>198.62</v>
      </c>
      <c r="F223" t="s">
        <v>303</v>
      </c>
      <c r="G223">
        <v>0.98</v>
      </c>
      <c r="H223">
        <v>238.34</v>
      </c>
      <c r="I223" t="s">
        <v>286</v>
      </c>
      <c r="J223" t="s">
        <v>312</v>
      </c>
      <c r="K223" t="s">
        <v>479</v>
      </c>
      <c r="L223" t="s">
        <v>203</v>
      </c>
      <c r="M223" t="s">
        <v>5</v>
      </c>
      <c r="N223" t="s">
        <v>12</v>
      </c>
      <c r="O223" t="s">
        <v>5</v>
      </c>
      <c r="P223">
        <v>0</v>
      </c>
      <c r="Q223">
        <v>0</v>
      </c>
      <c r="R223">
        <v>0</v>
      </c>
      <c r="S223">
        <v>0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5</v>
      </c>
      <c r="AH223" t="s">
        <v>12</v>
      </c>
      <c r="AI223" t="s">
        <v>5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238.34</v>
      </c>
      <c r="AO223">
        <f>$H$223*$U$223</f>
        <v>238.34</v>
      </c>
      <c r="AP223">
        <f>$H$223*$V$223</f>
        <v>238.34</v>
      </c>
      <c r="AQ223">
        <f>$H$223*$W$223</f>
        <v>238.34</v>
      </c>
      <c r="AR223">
        <f>$H$223*$X$223</f>
        <v>238.34</v>
      </c>
      <c r="AS223">
        <f>$H$223*$Y$223</f>
        <v>238.34</v>
      </c>
      <c r="AT223">
        <f>$H$223*$Z$223</f>
        <v>238.34</v>
      </c>
      <c r="AU223">
        <f>$H$223*$AA$223</f>
        <v>238.34</v>
      </c>
      <c r="AV223">
        <f>$H$223*$AB$223</f>
        <v>238.34</v>
      </c>
      <c r="AW223">
        <f>$H$223*$AC$223</f>
        <v>238.34</v>
      </c>
      <c r="AX223">
        <f>$H$223*$AD$223</f>
        <v>238.34</v>
      </c>
      <c r="AY223">
        <f>$H$223*$AE$223</f>
        <v>238.34</v>
      </c>
      <c r="AZ223">
        <f>$H$223*$AF$223</f>
        <v>238.34</v>
      </c>
    </row>
    <row r="224" spans="1:52" x14ac:dyDescent="0.25">
      <c r="A224">
        <v>263</v>
      </c>
      <c r="B224" t="s">
        <v>5</v>
      </c>
      <c r="C224" t="s">
        <v>404</v>
      </c>
      <c r="D224">
        <v>202.67</v>
      </c>
      <c r="E224">
        <v>541.13</v>
      </c>
      <c r="F224" t="s">
        <v>303</v>
      </c>
      <c r="G224">
        <v>2.67</v>
      </c>
      <c r="H224">
        <v>649.35</v>
      </c>
      <c r="I224" t="s">
        <v>314</v>
      </c>
      <c r="J224" t="s">
        <v>405</v>
      </c>
      <c r="K224" t="s">
        <v>524</v>
      </c>
      <c r="L224" t="s">
        <v>203</v>
      </c>
      <c r="M224" t="s">
        <v>5</v>
      </c>
      <c r="N224" t="s">
        <v>12</v>
      </c>
      <c r="O224" t="s">
        <v>5</v>
      </c>
      <c r="P224">
        <v>0</v>
      </c>
      <c r="Q224">
        <v>0</v>
      </c>
      <c r="R224">
        <v>0</v>
      </c>
      <c r="S224">
        <v>0.25</v>
      </c>
      <c r="T224">
        <v>0.25</v>
      </c>
      <c r="U224">
        <v>0.25</v>
      </c>
      <c r="V224">
        <v>0.25</v>
      </c>
      <c r="W224">
        <v>0.25</v>
      </c>
      <c r="X224">
        <v>0.5</v>
      </c>
      <c r="Y224">
        <v>0.5</v>
      </c>
      <c r="Z224">
        <v>0.5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5</v>
      </c>
      <c r="AH224" t="s">
        <v>12</v>
      </c>
      <c r="AI224" t="s">
        <v>5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162.33750000000001</v>
      </c>
      <c r="AN224">
        <f>$H$224*$T$224</f>
        <v>162.33750000000001</v>
      </c>
      <c r="AO224">
        <f>$H$224*$U$224</f>
        <v>162.33750000000001</v>
      </c>
      <c r="AP224">
        <f>$H$224*$V$224</f>
        <v>162.33750000000001</v>
      </c>
      <c r="AQ224">
        <f>$H$224*$W$224</f>
        <v>162.33750000000001</v>
      </c>
      <c r="AR224">
        <f>$H$224*$X$224</f>
        <v>324.67500000000001</v>
      </c>
      <c r="AS224">
        <f>$H$224*$Y$224</f>
        <v>324.67500000000001</v>
      </c>
      <c r="AT224">
        <f>$H$224*$Z$224</f>
        <v>324.67500000000001</v>
      </c>
      <c r="AU224">
        <f>$H$224*$AA$224</f>
        <v>649.35</v>
      </c>
      <c r="AV224">
        <f>$H$224*$AB$224</f>
        <v>649.35</v>
      </c>
      <c r="AW224">
        <f>$H$224*$AC$224</f>
        <v>649.35</v>
      </c>
      <c r="AX224">
        <f>$H$224*$AD$224</f>
        <v>649.35</v>
      </c>
      <c r="AY224">
        <f>$H$224*$AE$224</f>
        <v>649.35</v>
      </c>
      <c r="AZ224">
        <f>$H$224*$AF$224</f>
        <v>649.35</v>
      </c>
    </row>
    <row r="225" spans="1:52" x14ac:dyDescent="0.25">
      <c r="A225">
        <v>264</v>
      </c>
      <c r="B225" t="s">
        <v>5</v>
      </c>
      <c r="C225" t="s">
        <v>429</v>
      </c>
      <c r="D225">
        <v>25.33</v>
      </c>
      <c r="E225">
        <v>89.16</v>
      </c>
      <c r="F225" t="s">
        <v>285</v>
      </c>
      <c r="G225">
        <v>3.52</v>
      </c>
      <c r="H225">
        <v>107</v>
      </c>
      <c r="I225" t="s">
        <v>289</v>
      </c>
      <c r="J225" t="s">
        <v>407</v>
      </c>
      <c r="K225" t="s">
        <v>537</v>
      </c>
      <c r="L225" t="s">
        <v>203</v>
      </c>
      <c r="M225" t="s">
        <v>5</v>
      </c>
      <c r="N225" t="s">
        <v>12</v>
      </c>
      <c r="O225" t="s">
        <v>5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5</v>
      </c>
      <c r="AH225" t="s">
        <v>12</v>
      </c>
      <c r="AI225" t="s">
        <v>5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107</v>
      </c>
      <c r="AN225">
        <f>$H$225*$T$225</f>
        <v>107</v>
      </c>
      <c r="AO225">
        <f>$H$225*$U$225</f>
        <v>107</v>
      </c>
      <c r="AP225">
        <f>$H$225*$V$225</f>
        <v>107</v>
      </c>
      <c r="AQ225">
        <f>$H$225*$W$225</f>
        <v>107</v>
      </c>
      <c r="AR225">
        <f>$H$225*$X$225</f>
        <v>107</v>
      </c>
      <c r="AS225">
        <f>$H$225*$Y$225</f>
        <v>107</v>
      </c>
      <c r="AT225">
        <f>$H$225*$Z$225</f>
        <v>107</v>
      </c>
      <c r="AU225">
        <f>$H$225*$AA$225</f>
        <v>107</v>
      </c>
      <c r="AV225">
        <f>$H$225*$AB$225</f>
        <v>107</v>
      </c>
      <c r="AW225">
        <f>$H$225*$AC$225</f>
        <v>107</v>
      </c>
      <c r="AX225">
        <f>$H$225*$AD$225</f>
        <v>107</v>
      </c>
      <c r="AY225">
        <f>$H$225*$AE$225</f>
        <v>107</v>
      </c>
      <c r="AZ225">
        <f>$H$225*$AF$225</f>
        <v>107</v>
      </c>
    </row>
    <row r="226" spans="1:52" x14ac:dyDescent="0.25">
      <c r="A226">
        <v>265</v>
      </c>
      <c r="B226" t="s">
        <v>5</v>
      </c>
      <c r="C226" t="s">
        <v>404</v>
      </c>
      <c r="D226">
        <v>39.270000000000003</v>
      </c>
      <c r="E226">
        <v>104.85</v>
      </c>
      <c r="F226" t="s">
        <v>303</v>
      </c>
      <c r="G226">
        <v>2.67</v>
      </c>
      <c r="H226">
        <v>125.83</v>
      </c>
      <c r="I226" t="s">
        <v>314</v>
      </c>
      <c r="J226" t="s">
        <v>405</v>
      </c>
      <c r="K226" t="s">
        <v>524</v>
      </c>
      <c r="L226" t="s">
        <v>203</v>
      </c>
      <c r="M226" t="s">
        <v>5</v>
      </c>
      <c r="N226" t="s">
        <v>12</v>
      </c>
      <c r="O226" t="s">
        <v>5</v>
      </c>
      <c r="P226">
        <v>0</v>
      </c>
      <c r="Q226">
        <v>0</v>
      </c>
      <c r="R226">
        <v>0</v>
      </c>
      <c r="S226">
        <v>0.25</v>
      </c>
      <c r="T226">
        <v>0.25</v>
      </c>
      <c r="U226">
        <v>0.25</v>
      </c>
      <c r="V226">
        <v>0.25</v>
      </c>
      <c r="W226">
        <v>0.25</v>
      </c>
      <c r="X226">
        <v>0.5</v>
      </c>
      <c r="Y226">
        <v>0.5</v>
      </c>
      <c r="Z226">
        <v>0.5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5</v>
      </c>
      <c r="AH226" t="s">
        <v>12</v>
      </c>
      <c r="AI226" t="s">
        <v>5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31.4575</v>
      </c>
      <c r="AN226">
        <f>$H$226*$T$226</f>
        <v>31.4575</v>
      </c>
      <c r="AO226">
        <f>$H$226*$U$226</f>
        <v>31.4575</v>
      </c>
      <c r="AP226">
        <f>$H$226*$V$226</f>
        <v>31.4575</v>
      </c>
      <c r="AQ226">
        <f>$H$226*$W$226</f>
        <v>31.4575</v>
      </c>
      <c r="AR226">
        <f>$H$226*$X$226</f>
        <v>62.914999999999999</v>
      </c>
      <c r="AS226">
        <f>$H$226*$Y$226</f>
        <v>62.914999999999999</v>
      </c>
      <c r="AT226">
        <f>$H$226*$Z$226</f>
        <v>62.914999999999999</v>
      </c>
      <c r="AU226">
        <f>$H$226*$AA$226</f>
        <v>125.83</v>
      </c>
      <c r="AV226">
        <f>$H$226*$AB$226</f>
        <v>125.83</v>
      </c>
      <c r="AW226">
        <f>$H$226*$AC$226</f>
        <v>125.83</v>
      </c>
      <c r="AX226">
        <f>$H$226*$AD$226</f>
        <v>125.83</v>
      </c>
      <c r="AY226">
        <f>$H$226*$AE$226</f>
        <v>125.83</v>
      </c>
      <c r="AZ226">
        <f>$H$226*$AF$226</f>
        <v>125.83</v>
      </c>
    </row>
    <row r="227" spans="1:52" x14ac:dyDescent="0.25">
      <c r="A227">
        <v>266</v>
      </c>
      <c r="B227" t="s">
        <v>5</v>
      </c>
      <c r="C227" t="s">
        <v>410</v>
      </c>
      <c r="D227">
        <v>39.270000000000003</v>
      </c>
      <c r="E227">
        <v>24.74</v>
      </c>
      <c r="F227" t="s">
        <v>303</v>
      </c>
      <c r="G227">
        <v>0.63</v>
      </c>
      <c r="H227">
        <v>29.68</v>
      </c>
      <c r="I227" t="s">
        <v>286</v>
      </c>
      <c r="J227" t="s">
        <v>411</v>
      </c>
      <c r="K227" t="s">
        <v>527</v>
      </c>
      <c r="L227" t="s">
        <v>203</v>
      </c>
      <c r="M227" t="s">
        <v>5</v>
      </c>
      <c r="N227" t="s">
        <v>12</v>
      </c>
      <c r="O227" t="s">
        <v>5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1</v>
      </c>
      <c r="AE227">
        <v>1</v>
      </c>
      <c r="AF227">
        <v>1</v>
      </c>
      <c r="AG227" t="s">
        <v>5</v>
      </c>
      <c r="AH227" t="s">
        <v>12</v>
      </c>
      <c r="AI227" t="s">
        <v>5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0</v>
      </c>
      <c r="AV227">
        <f>$H$227*$AB$227</f>
        <v>0</v>
      </c>
      <c r="AW227">
        <f>$H$227*$AC$227</f>
        <v>0</v>
      </c>
      <c r="AX227">
        <f>$H$227*$AD$227</f>
        <v>29.68</v>
      </c>
      <c r="AY227">
        <f>$H$227*$AE$227</f>
        <v>29.68</v>
      </c>
      <c r="AZ227">
        <f>$H$227*$AF$227</f>
        <v>29.68</v>
      </c>
    </row>
    <row r="228" spans="1:52" x14ac:dyDescent="0.25">
      <c r="A228">
        <v>267</v>
      </c>
      <c r="B228" t="s">
        <v>5</v>
      </c>
      <c r="C228" t="s">
        <v>412</v>
      </c>
      <c r="D228">
        <v>39.270000000000003</v>
      </c>
      <c r="E228">
        <v>27.1</v>
      </c>
      <c r="F228" t="s">
        <v>303</v>
      </c>
      <c r="G228">
        <v>0.69</v>
      </c>
      <c r="H228">
        <v>32.520000000000003</v>
      </c>
      <c r="I228" t="s">
        <v>286</v>
      </c>
      <c r="J228" t="s">
        <v>413</v>
      </c>
      <c r="K228" t="s">
        <v>528</v>
      </c>
      <c r="L228" t="s">
        <v>203</v>
      </c>
      <c r="M228" t="s">
        <v>5</v>
      </c>
      <c r="N228" t="s">
        <v>12</v>
      </c>
      <c r="O228" t="s">
        <v>5</v>
      </c>
      <c r="P228">
        <v>0</v>
      </c>
      <c r="Q228">
        <v>0</v>
      </c>
      <c r="R228">
        <v>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5</v>
      </c>
      <c r="AH228" t="s">
        <v>12</v>
      </c>
      <c r="AI228" t="s">
        <v>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32.520000000000003</v>
      </c>
      <c r="AN228">
        <f>$H$228*$T$228</f>
        <v>32.520000000000003</v>
      </c>
      <c r="AO228">
        <f>$H$228*$U$228</f>
        <v>32.520000000000003</v>
      </c>
      <c r="AP228">
        <f>$H$228*$V$228</f>
        <v>32.520000000000003</v>
      </c>
      <c r="AQ228">
        <f>$H$228*$W$228</f>
        <v>32.520000000000003</v>
      </c>
      <c r="AR228">
        <f>$H$228*$X$228</f>
        <v>32.520000000000003</v>
      </c>
      <c r="AS228">
        <f>$H$228*$Y$228</f>
        <v>32.520000000000003</v>
      </c>
      <c r="AT228">
        <f>$H$228*$Z$228</f>
        <v>32.520000000000003</v>
      </c>
      <c r="AU228">
        <f>$H$228*$AA$228</f>
        <v>32.520000000000003</v>
      </c>
      <c r="AV228">
        <f>$H$228*$AB$228</f>
        <v>32.520000000000003</v>
      </c>
      <c r="AW228">
        <f>$H$228*$AC$228</f>
        <v>32.520000000000003</v>
      </c>
      <c r="AX228">
        <f>$H$228*$AD$228</f>
        <v>32.520000000000003</v>
      </c>
      <c r="AY228">
        <f>$H$228*$AE$228</f>
        <v>32.520000000000003</v>
      </c>
      <c r="AZ228">
        <f>$H$228*$AF$228</f>
        <v>32.520000000000003</v>
      </c>
    </row>
    <row r="229" spans="1:52" x14ac:dyDescent="0.25">
      <c r="A229">
        <v>268</v>
      </c>
      <c r="B229" t="s">
        <v>5</v>
      </c>
      <c r="C229" t="s">
        <v>414</v>
      </c>
      <c r="D229">
        <v>9.0299999999999994</v>
      </c>
      <c r="E229">
        <v>36.39</v>
      </c>
      <c r="F229" t="s">
        <v>303</v>
      </c>
      <c r="G229">
        <v>4.03</v>
      </c>
      <c r="H229">
        <v>43.67</v>
      </c>
      <c r="I229" t="s">
        <v>415</v>
      </c>
      <c r="J229" t="s">
        <v>416</v>
      </c>
      <c r="K229" t="s">
        <v>529</v>
      </c>
      <c r="L229" t="s">
        <v>203</v>
      </c>
      <c r="M229" t="s">
        <v>5</v>
      </c>
      <c r="N229" t="s">
        <v>12</v>
      </c>
      <c r="O229" t="s">
        <v>5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5</v>
      </c>
      <c r="AH229" t="s">
        <v>12</v>
      </c>
      <c r="AI229" t="s">
        <v>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43.67</v>
      </c>
      <c r="AN229">
        <f>$H$229*$T$229</f>
        <v>43.67</v>
      </c>
      <c r="AO229">
        <f>$H$229*$U$229</f>
        <v>43.67</v>
      </c>
      <c r="AP229">
        <f>$H$229*$V$229</f>
        <v>43.67</v>
      </c>
      <c r="AQ229">
        <f>$H$229*$W$229</f>
        <v>43.67</v>
      </c>
      <c r="AR229">
        <f>$H$229*$X$229</f>
        <v>43.67</v>
      </c>
      <c r="AS229">
        <f>$H$229*$Y$229</f>
        <v>43.67</v>
      </c>
      <c r="AT229">
        <f>$H$229*$Z$229</f>
        <v>43.67</v>
      </c>
      <c r="AU229">
        <f>$H$229*$AA$229</f>
        <v>43.67</v>
      </c>
      <c r="AV229">
        <f>$H$229*$AB$229</f>
        <v>43.67</v>
      </c>
      <c r="AW229">
        <f>$H$229*$AC$229</f>
        <v>43.67</v>
      </c>
      <c r="AX229">
        <f>$H$229*$AD$229</f>
        <v>43.67</v>
      </c>
      <c r="AY229">
        <f>$H$229*$AE$229</f>
        <v>43.67</v>
      </c>
      <c r="AZ229">
        <f>$H$229*$AF$229</f>
        <v>43.67</v>
      </c>
    </row>
    <row r="230" spans="1:52" x14ac:dyDescent="0.25">
      <c r="A230">
        <v>269</v>
      </c>
      <c r="B230" t="s">
        <v>5</v>
      </c>
      <c r="C230" t="s">
        <v>417</v>
      </c>
      <c r="D230">
        <v>36.130000000000003</v>
      </c>
      <c r="E230">
        <v>24.21</v>
      </c>
      <c r="F230" t="s">
        <v>303</v>
      </c>
      <c r="G230">
        <v>0.67</v>
      </c>
      <c r="H230">
        <v>29.05</v>
      </c>
      <c r="I230" t="s">
        <v>326</v>
      </c>
      <c r="J230" t="s">
        <v>418</v>
      </c>
      <c r="K230" t="s">
        <v>530</v>
      </c>
      <c r="L230" t="s">
        <v>203</v>
      </c>
      <c r="M230" t="s">
        <v>5</v>
      </c>
      <c r="N230" t="s">
        <v>12</v>
      </c>
      <c r="O230" t="s">
        <v>5</v>
      </c>
      <c r="P230">
        <v>0</v>
      </c>
      <c r="Q230">
        <v>0</v>
      </c>
      <c r="R230">
        <v>0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5</v>
      </c>
      <c r="AH230" t="s">
        <v>12</v>
      </c>
      <c r="AI230" t="s">
        <v>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29.05</v>
      </c>
      <c r="AN230">
        <f>$H$230*$T$230</f>
        <v>29.05</v>
      </c>
      <c r="AO230">
        <f>$H$230*$U$230</f>
        <v>29.05</v>
      </c>
      <c r="AP230">
        <f>$H$230*$V$230</f>
        <v>29.05</v>
      </c>
      <c r="AQ230">
        <f>$H$230*$W$230</f>
        <v>29.05</v>
      </c>
      <c r="AR230">
        <f>$H$230*$X$230</f>
        <v>29.05</v>
      </c>
      <c r="AS230">
        <f>$H$230*$Y$230</f>
        <v>29.05</v>
      </c>
      <c r="AT230">
        <f>$H$230*$Z$230</f>
        <v>29.05</v>
      </c>
      <c r="AU230">
        <f>$H$230*$AA$230</f>
        <v>29.05</v>
      </c>
      <c r="AV230">
        <f>$H$230*$AB$230</f>
        <v>29.05</v>
      </c>
      <c r="AW230">
        <f>$H$230*$AC$230</f>
        <v>29.05</v>
      </c>
      <c r="AX230">
        <f>$H$230*$AD$230</f>
        <v>29.05</v>
      </c>
      <c r="AY230">
        <f>$H$230*$AE$230</f>
        <v>29.05</v>
      </c>
      <c r="AZ230">
        <f>$H$230*$AF$230</f>
        <v>29.05</v>
      </c>
    </row>
    <row r="231" spans="1:52" x14ac:dyDescent="0.25">
      <c r="A231">
        <v>270</v>
      </c>
      <c r="B231" t="s">
        <v>5</v>
      </c>
      <c r="C231" t="s">
        <v>419</v>
      </c>
      <c r="D231">
        <v>36.130000000000003</v>
      </c>
      <c r="E231">
        <v>116.34</v>
      </c>
      <c r="F231" t="s">
        <v>303</v>
      </c>
      <c r="G231">
        <v>3.22</v>
      </c>
      <c r="H231">
        <v>139.6</v>
      </c>
      <c r="I231" t="s">
        <v>326</v>
      </c>
      <c r="J231" t="s">
        <v>416</v>
      </c>
      <c r="K231" t="s">
        <v>531</v>
      </c>
      <c r="L231" t="s">
        <v>203</v>
      </c>
      <c r="M231" t="s">
        <v>5</v>
      </c>
      <c r="N231" t="s">
        <v>12</v>
      </c>
      <c r="O231" t="s">
        <v>5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5</v>
      </c>
      <c r="AH231" t="s">
        <v>12</v>
      </c>
      <c r="AI231" t="s">
        <v>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139.6</v>
      </c>
      <c r="AN231">
        <f>$H$231*$T$231</f>
        <v>139.6</v>
      </c>
      <c r="AO231">
        <f>$H$231*$U$231</f>
        <v>139.6</v>
      </c>
      <c r="AP231">
        <f>$H$231*$V$231</f>
        <v>139.6</v>
      </c>
      <c r="AQ231">
        <f>$H$231*$W$231</f>
        <v>139.6</v>
      </c>
      <c r="AR231">
        <f>$H$231*$X$231</f>
        <v>139.6</v>
      </c>
      <c r="AS231">
        <f>$H$231*$Y$231</f>
        <v>139.6</v>
      </c>
      <c r="AT231">
        <f>$H$231*$Z$231</f>
        <v>139.6</v>
      </c>
      <c r="AU231">
        <f>$H$231*$AA$231</f>
        <v>139.6</v>
      </c>
      <c r="AV231">
        <f>$H$231*$AB$231</f>
        <v>139.6</v>
      </c>
      <c r="AW231">
        <f>$H$231*$AC$231</f>
        <v>139.6</v>
      </c>
      <c r="AX231">
        <f>$H$231*$AD$231</f>
        <v>139.6</v>
      </c>
      <c r="AY231">
        <f>$H$231*$AE$231</f>
        <v>139.6</v>
      </c>
      <c r="AZ231">
        <f>$H$231*$AF$231</f>
        <v>139.6</v>
      </c>
    </row>
    <row r="232" spans="1:52" x14ac:dyDescent="0.25">
      <c r="A232">
        <v>271</v>
      </c>
      <c r="B232" t="s">
        <v>264</v>
      </c>
      <c r="C232" t="s">
        <v>365</v>
      </c>
      <c r="D232">
        <v>6</v>
      </c>
      <c r="E232">
        <v>79.62</v>
      </c>
      <c r="F232" t="s">
        <v>290</v>
      </c>
      <c r="G232">
        <v>13.27</v>
      </c>
      <c r="H232">
        <v>95.54</v>
      </c>
      <c r="I232" t="s">
        <v>292</v>
      </c>
      <c r="J232" t="s">
        <v>366</v>
      </c>
      <c r="K232" t="s">
        <v>505</v>
      </c>
      <c r="L232" t="s">
        <v>203</v>
      </c>
      <c r="M232" t="s">
        <v>264</v>
      </c>
      <c r="N232" t="s">
        <v>12</v>
      </c>
      <c r="O232" t="s">
        <v>14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264</v>
      </c>
      <c r="AH232" t="s">
        <v>12</v>
      </c>
      <c r="AI232" t="s">
        <v>14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95.54</v>
      </c>
      <c r="AS232">
        <f>$H$232*$Y$232</f>
        <v>95.54</v>
      </c>
      <c r="AT232">
        <f>$H$232*$Z$232</f>
        <v>95.54</v>
      </c>
      <c r="AU232">
        <f>$H$232*$AA$232</f>
        <v>95.54</v>
      </c>
      <c r="AV232">
        <f>$H$232*$AB$232</f>
        <v>95.54</v>
      </c>
      <c r="AW232">
        <f>$H$232*$AC$232</f>
        <v>95.54</v>
      </c>
      <c r="AX232">
        <f>$H$232*$AD$232</f>
        <v>95.54</v>
      </c>
      <c r="AY232">
        <f>$H$232*$AE$232</f>
        <v>95.54</v>
      </c>
      <c r="AZ232">
        <f>$H$232*$AF$232</f>
        <v>95.54</v>
      </c>
    </row>
    <row r="233" spans="1:52" x14ac:dyDescent="0.25">
      <c r="A233">
        <v>272</v>
      </c>
      <c r="B233" t="s">
        <v>264</v>
      </c>
      <c r="C233" t="s">
        <v>426</v>
      </c>
      <c r="D233">
        <v>1</v>
      </c>
      <c r="E233">
        <v>48.06</v>
      </c>
      <c r="F233" t="s">
        <v>290</v>
      </c>
      <c r="G233">
        <v>48.06</v>
      </c>
      <c r="H233">
        <v>57.68</v>
      </c>
      <c r="I233" t="s">
        <v>295</v>
      </c>
      <c r="J233" t="s">
        <v>390</v>
      </c>
      <c r="K233" t="s">
        <v>535</v>
      </c>
      <c r="L233" t="s">
        <v>203</v>
      </c>
      <c r="M233" t="s">
        <v>264</v>
      </c>
      <c r="N233" t="s">
        <v>12</v>
      </c>
      <c r="O233" t="s">
        <v>14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1</v>
      </c>
      <c r="AE233">
        <v>1</v>
      </c>
      <c r="AF233">
        <v>1</v>
      </c>
      <c r="AG233" t="s">
        <v>264</v>
      </c>
      <c r="AH233" t="s">
        <v>12</v>
      </c>
      <c r="AI233" t="s">
        <v>14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0</v>
      </c>
      <c r="AT233">
        <f>$H$233*$Z$233</f>
        <v>0</v>
      </c>
      <c r="AU233">
        <f>$H$233*$AA$233</f>
        <v>0</v>
      </c>
      <c r="AV233">
        <f>$H$233*$AB$233</f>
        <v>0</v>
      </c>
      <c r="AW233">
        <f>$H$233*$AC$233</f>
        <v>0</v>
      </c>
      <c r="AX233">
        <f>$H$233*$AD$233</f>
        <v>57.68</v>
      </c>
      <c r="AY233">
        <f>$H$233*$AE$233</f>
        <v>57.68</v>
      </c>
      <c r="AZ233">
        <f>$H$233*$AF$233</f>
        <v>57.68</v>
      </c>
    </row>
    <row r="234" spans="1:52" x14ac:dyDescent="0.25">
      <c r="A234">
        <v>273</v>
      </c>
      <c r="B234" t="s">
        <v>264</v>
      </c>
      <c r="C234" t="s">
        <v>311</v>
      </c>
      <c r="D234">
        <v>492</v>
      </c>
      <c r="E234">
        <v>482.16</v>
      </c>
      <c r="F234" t="s">
        <v>303</v>
      </c>
      <c r="G234">
        <v>0.98</v>
      </c>
      <c r="H234">
        <v>578.6</v>
      </c>
      <c r="I234" t="s">
        <v>286</v>
      </c>
      <c r="J234" t="s">
        <v>312</v>
      </c>
      <c r="K234" t="s">
        <v>479</v>
      </c>
      <c r="L234" t="s">
        <v>203</v>
      </c>
      <c r="M234" t="s">
        <v>264</v>
      </c>
      <c r="N234" t="s">
        <v>12</v>
      </c>
      <c r="O234" t="s">
        <v>14</v>
      </c>
      <c r="P234">
        <v>0</v>
      </c>
      <c r="Q234">
        <v>0</v>
      </c>
      <c r="R234">
        <v>0</v>
      </c>
      <c r="S234">
        <v>0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264</v>
      </c>
      <c r="AH234" t="s">
        <v>12</v>
      </c>
      <c r="AI234" t="s">
        <v>14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578.6</v>
      </c>
      <c r="AO234">
        <f>$H$234*$U$234</f>
        <v>578.6</v>
      </c>
      <c r="AP234">
        <f>$H$234*$V$234</f>
        <v>578.6</v>
      </c>
      <c r="AQ234">
        <f>$H$234*$W$234</f>
        <v>578.6</v>
      </c>
      <c r="AR234">
        <f>$H$234*$X$234</f>
        <v>578.6</v>
      </c>
      <c r="AS234">
        <f>$H$234*$Y$234</f>
        <v>578.6</v>
      </c>
      <c r="AT234">
        <f>$H$234*$Z$234</f>
        <v>578.6</v>
      </c>
      <c r="AU234">
        <f>$H$234*$AA$234</f>
        <v>578.6</v>
      </c>
      <c r="AV234">
        <f>$H$234*$AB$234</f>
        <v>578.6</v>
      </c>
      <c r="AW234">
        <f>$H$234*$AC$234</f>
        <v>578.6</v>
      </c>
      <c r="AX234">
        <f>$H$234*$AD$234</f>
        <v>578.6</v>
      </c>
      <c r="AY234">
        <f>$H$234*$AE$234</f>
        <v>578.6</v>
      </c>
      <c r="AZ234">
        <f>$H$234*$AF$234</f>
        <v>578.6</v>
      </c>
    </row>
    <row r="235" spans="1:52" x14ac:dyDescent="0.25">
      <c r="A235">
        <v>274</v>
      </c>
      <c r="B235" t="s">
        <v>264</v>
      </c>
      <c r="C235" t="s">
        <v>404</v>
      </c>
      <c r="D235">
        <v>492</v>
      </c>
      <c r="E235">
        <v>1313.64</v>
      </c>
      <c r="F235" t="s">
        <v>303</v>
      </c>
      <c r="G235">
        <v>2.67</v>
      </c>
      <c r="H235">
        <v>1576.36</v>
      </c>
      <c r="I235" t="s">
        <v>314</v>
      </c>
      <c r="J235" t="s">
        <v>405</v>
      </c>
      <c r="K235" t="s">
        <v>524</v>
      </c>
      <c r="L235" t="s">
        <v>203</v>
      </c>
      <c r="M235" t="s">
        <v>264</v>
      </c>
      <c r="N235" t="s">
        <v>12</v>
      </c>
      <c r="O235" t="s">
        <v>14</v>
      </c>
      <c r="P235">
        <v>0</v>
      </c>
      <c r="Q235">
        <v>0</v>
      </c>
      <c r="R235">
        <v>0</v>
      </c>
      <c r="S235">
        <v>0.25</v>
      </c>
      <c r="T235">
        <v>0.25</v>
      </c>
      <c r="U235">
        <v>0.25</v>
      </c>
      <c r="V235">
        <v>0.25</v>
      </c>
      <c r="W235">
        <v>0.25</v>
      </c>
      <c r="X235">
        <v>0.5</v>
      </c>
      <c r="Y235">
        <v>0.5</v>
      </c>
      <c r="Z235">
        <v>0.5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264</v>
      </c>
      <c r="AH235" t="s">
        <v>12</v>
      </c>
      <c r="AI235" t="s">
        <v>14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394.09</v>
      </c>
      <c r="AN235">
        <f>$H$235*$T$235</f>
        <v>394.09</v>
      </c>
      <c r="AO235">
        <f>$H$235*$U$235</f>
        <v>394.09</v>
      </c>
      <c r="AP235">
        <f>$H$235*$V$235</f>
        <v>394.09</v>
      </c>
      <c r="AQ235">
        <f>$H$235*$W$235</f>
        <v>394.09</v>
      </c>
      <c r="AR235">
        <f>$H$235*$X$235</f>
        <v>788.18</v>
      </c>
      <c r="AS235">
        <f>$H$235*$Y$235</f>
        <v>788.18</v>
      </c>
      <c r="AT235">
        <f>$H$235*$Z$235</f>
        <v>788.18</v>
      </c>
      <c r="AU235">
        <f>$H$235*$AA$235</f>
        <v>1576.36</v>
      </c>
      <c r="AV235">
        <f>$H$235*$AB$235</f>
        <v>1576.36</v>
      </c>
      <c r="AW235">
        <f>$H$235*$AC$235</f>
        <v>1576.36</v>
      </c>
      <c r="AX235">
        <f>$H$235*$AD$235</f>
        <v>1576.36</v>
      </c>
      <c r="AY235">
        <f>$H$235*$AE$235</f>
        <v>1576.36</v>
      </c>
      <c r="AZ235">
        <f>$H$235*$AF$235</f>
        <v>1576.36</v>
      </c>
    </row>
    <row r="236" spans="1:52" x14ac:dyDescent="0.25">
      <c r="A236">
        <v>275</v>
      </c>
      <c r="B236" t="s">
        <v>264</v>
      </c>
      <c r="C236" t="s">
        <v>429</v>
      </c>
      <c r="D236">
        <v>61.5</v>
      </c>
      <c r="E236">
        <v>216.48</v>
      </c>
      <c r="F236" t="s">
        <v>285</v>
      </c>
      <c r="G236">
        <v>3.52</v>
      </c>
      <c r="H236">
        <v>259.77999999999997</v>
      </c>
      <c r="I236" t="s">
        <v>289</v>
      </c>
      <c r="J236" t="s">
        <v>407</v>
      </c>
      <c r="K236" t="s">
        <v>537</v>
      </c>
      <c r="L236" t="s">
        <v>203</v>
      </c>
      <c r="M236" t="s">
        <v>264</v>
      </c>
      <c r="N236" t="s">
        <v>12</v>
      </c>
      <c r="O236" t="s">
        <v>14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264</v>
      </c>
      <c r="AH236" t="s">
        <v>12</v>
      </c>
      <c r="AI236" t="s">
        <v>14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259.77999999999997</v>
      </c>
      <c r="AN236">
        <f>$H$236*$T$236</f>
        <v>259.77999999999997</v>
      </c>
      <c r="AO236">
        <f>$H$236*$U$236</f>
        <v>259.77999999999997</v>
      </c>
      <c r="AP236">
        <f>$H$236*$V$236</f>
        <v>259.77999999999997</v>
      </c>
      <c r="AQ236">
        <f>$H$236*$W$236</f>
        <v>259.77999999999997</v>
      </c>
      <c r="AR236">
        <f>$H$236*$X$236</f>
        <v>259.77999999999997</v>
      </c>
      <c r="AS236">
        <f>$H$236*$Y$236</f>
        <v>259.77999999999997</v>
      </c>
      <c r="AT236">
        <f>$H$236*$Z$236</f>
        <v>259.77999999999997</v>
      </c>
      <c r="AU236">
        <f>$H$236*$AA$236</f>
        <v>259.77999999999997</v>
      </c>
      <c r="AV236">
        <f>$H$236*$AB$236</f>
        <v>259.77999999999997</v>
      </c>
      <c r="AW236">
        <f>$H$236*$AC$236</f>
        <v>259.77999999999997</v>
      </c>
      <c r="AX236">
        <f>$H$236*$AD$236</f>
        <v>259.77999999999997</v>
      </c>
      <c r="AY236">
        <f>$H$236*$AE$236</f>
        <v>259.77999999999997</v>
      </c>
      <c r="AZ236">
        <f>$H$236*$AF$236</f>
        <v>259.77999999999997</v>
      </c>
    </row>
    <row r="237" spans="1:52" x14ac:dyDescent="0.25">
      <c r="A237">
        <v>276</v>
      </c>
      <c r="B237" t="s">
        <v>264</v>
      </c>
      <c r="C237" t="s">
        <v>404</v>
      </c>
      <c r="D237">
        <v>229.06</v>
      </c>
      <c r="E237">
        <v>611.59</v>
      </c>
      <c r="F237" t="s">
        <v>303</v>
      </c>
      <c r="G237">
        <v>2.67</v>
      </c>
      <c r="H237">
        <v>733.91</v>
      </c>
      <c r="I237" t="s">
        <v>314</v>
      </c>
      <c r="J237" t="s">
        <v>405</v>
      </c>
      <c r="K237" t="s">
        <v>524</v>
      </c>
      <c r="L237" t="s">
        <v>203</v>
      </c>
      <c r="M237" t="s">
        <v>264</v>
      </c>
      <c r="N237" t="s">
        <v>12</v>
      </c>
      <c r="O237" t="s">
        <v>14</v>
      </c>
      <c r="P237">
        <v>0</v>
      </c>
      <c r="Q237">
        <v>0</v>
      </c>
      <c r="R237">
        <v>0</v>
      </c>
      <c r="S237">
        <v>0.25</v>
      </c>
      <c r="T237">
        <v>0.25</v>
      </c>
      <c r="U237">
        <v>0.25</v>
      </c>
      <c r="V237">
        <v>0.25</v>
      </c>
      <c r="W237">
        <v>0.25</v>
      </c>
      <c r="X237">
        <v>0.5</v>
      </c>
      <c r="Y237">
        <v>0.5</v>
      </c>
      <c r="Z237">
        <v>0.5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264</v>
      </c>
      <c r="AH237" t="s">
        <v>12</v>
      </c>
      <c r="AI237" t="s">
        <v>14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183.47749999999999</v>
      </c>
      <c r="AN237">
        <f>$H$237*$T$237</f>
        <v>183.47749999999999</v>
      </c>
      <c r="AO237">
        <f>$H$237*$U$237</f>
        <v>183.47749999999999</v>
      </c>
      <c r="AP237">
        <f>$H$237*$V$237</f>
        <v>183.47749999999999</v>
      </c>
      <c r="AQ237">
        <f>$H$237*$W$237</f>
        <v>183.47749999999999</v>
      </c>
      <c r="AR237">
        <f>$H$237*$X$237</f>
        <v>366.95499999999998</v>
      </c>
      <c r="AS237">
        <f>$H$237*$Y$237</f>
        <v>366.95499999999998</v>
      </c>
      <c r="AT237">
        <f>$H$237*$Z$237</f>
        <v>366.95499999999998</v>
      </c>
      <c r="AU237">
        <f>$H$237*$AA$237</f>
        <v>733.91</v>
      </c>
      <c r="AV237">
        <f>$H$237*$AB$237</f>
        <v>733.91</v>
      </c>
      <c r="AW237">
        <f>$H$237*$AC$237</f>
        <v>733.91</v>
      </c>
      <c r="AX237">
        <f>$H$237*$AD$237</f>
        <v>733.91</v>
      </c>
      <c r="AY237">
        <f>$H$237*$AE$237</f>
        <v>733.91</v>
      </c>
      <c r="AZ237">
        <f>$H$237*$AF$237</f>
        <v>733.91</v>
      </c>
    </row>
    <row r="238" spans="1:52" x14ac:dyDescent="0.25">
      <c r="A238">
        <v>277</v>
      </c>
      <c r="B238" t="s">
        <v>264</v>
      </c>
      <c r="C238" t="s">
        <v>410</v>
      </c>
      <c r="D238">
        <v>229.06</v>
      </c>
      <c r="E238">
        <v>144.31</v>
      </c>
      <c r="F238" t="s">
        <v>303</v>
      </c>
      <c r="G238">
        <v>0.63</v>
      </c>
      <c r="H238">
        <v>173.17</v>
      </c>
      <c r="I238" t="s">
        <v>286</v>
      </c>
      <c r="J238" t="s">
        <v>411</v>
      </c>
      <c r="K238" t="s">
        <v>527</v>
      </c>
      <c r="L238" t="s">
        <v>203</v>
      </c>
      <c r="M238" t="s">
        <v>264</v>
      </c>
      <c r="N238" t="s">
        <v>12</v>
      </c>
      <c r="O238" t="s">
        <v>14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1</v>
      </c>
      <c r="AE238">
        <v>1</v>
      </c>
      <c r="AF238">
        <v>1</v>
      </c>
      <c r="AG238" t="s">
        <v>264</v>
      </c>
      <c r="AH238" t="s">
        <v>12</v>
      </c>
      <c r="AI238" t="s">
        <v>14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0</v>
      </c>
      <c r="AN238">
        <f>$H$238*$T$238</f>
        <v>0</v>
      </c>
      <c r="AO238">
        <f>$H$238*$U$238</f>
        <v>0</v>
      </c>
      <c r="AP238">
        <f>$H$238*$V$238</f>
        <v>0</v>
      </c>
      <c r="AQ238">
        <f>$H$238*$W$238</f>
        <v>0</v>
      </c>
      <c r="AR238">
        <f>$H$238*$X$238</f>
        <v>0</v>
      </c>
      <c r="AS238">
        <f>$H$238*$Y$238</f>
        <v>0</v>
      </c>
      <c r="AT238">
        <f>$H$238*$Z$238</f>
        <v>0</v>
      </c>
      <c r="AU238">
        <f>$H$238*$AA$238</f>
        <v>0</v>
      </c>
      <c r="AV238">
        <f>$H$238*$AB$238</f>
        <v>0</v>
      </c>
      <c r="AW238">
        <f>$H$238*$AC$238</f>
        <v>0</v>
      </c>
      <c r="AX238">
        <f>$H$238*$AD$238</f>
        <v>173.17</v>
      </c>
      <c r="AY238">
        <f>$H$238*$AE$238</f>
        <v>173.17</v>
      </c>
      <c r="AZ238">
        <f>$H$238*$AF$238</f>
        <v>173.17</v>
      </c>
    </row>
    <row r="239" spans="1:52" x14ac:dyDescent="0.25">
      <c r="A239">
        <v>278</v>
      </c>
      <c r="B239" t="s">
        <v>264</v>
      </c>
      <c r="C239" t="s">
        <v>412</v>
      </c>
      <c r="D239">
        <v>229.06</v>
      </c>
      <c r="E239">
        <v>158.05000000000001</v>
      </c>
      <c r="F239" t="s">
        <v>303</v>
      </c>
      <c r="G239">
        <v>0.69</v>
      </c>
      <c r="H239">
        <v>189.67</v>
      </c>
      <c r="I239" t="s">
        <v>286</v>
      </c>
      <c r="J239" t="s">
        <v>413</v>
      </c>
      <c r="K239" t="s">
        <v>528</v>
      </c>
      <c r="L239" t="s">
        <v>203</v>
      </c>
      <c r="M239" t="s">
        <v>264</v>
      </c>
      <c r="N239" t="s">
        <v>12</v>
      </c>
      <c r="O239" t="s">
        <v>14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264</v>
      </c>
      <c r="AH239" t="s">
        <v>12</v>
      </c>
      <c r="AI239" t="s">
        <v>14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189.67</v>
      </c>
      <c r="AN239">
        <f>$H$239*$T$239</f>
        <v>189.67</v>
      </c>
      <c r="AO239">
        <f>$H$239*$U$239</f>
        <v>189.67</v>
      </c>
      <c r="AP239">
        <f>$H$239*$V$239</f>
        <v>189.67</v>
      </c>
      <c r="AQ239">
        <f>$H$239*$W$239</f>
        <v>189.67</v>
      </c>
      <c r="AR239">
        <f>$H$239*$X$239</f>
        <v>189.67</v>
      </c>
      <c r="AS239">
        <f>$H$239*$Y$239</f>
        <v>189.67</v>
      </c>
      <c r="AT239">
        <f>$H$239*$Z$239</f>
        <v>189.67</v>
      </c>
      <c r="AU239">
        <f>$H$239*$AA$239</f>
        <v>189.67</v>
      </c>
      <c r="AV239">
        <f>$H$239*$AB$239</f>
        <v>189.67</v>
      </c>
      <c r="AW239">
        <f>$H$239*$AC$239</f>
        <v>189.67</v>
      </c>
      <c r="AX239">
        <f>$H$239*$AD$239</f>
        <v>189.67</v>
      </c>
      <c r="AY239">
        <f>$H$239*$AE$239</f>
        <v>189.67</v>
      </c>
      <c r="AZ239">
        <f>$H$239*$AF$239</f>
        <v>189.67</v>
      </c>
    </row>
    <row r="240" spans="1:52" x14ac:dyDescent="0.25">
      <c r="A240">
        <v>279</v>
      </c>
      <c r="B240" t="s">
        <v>264</v>
      </c>
      <c r="C240" t="s">
        <v>414</v>
      </c>
      <c r="D240">
        <v>52.68</v>
      </c>
      <c r="E240">
        <v>212.3</v>
      </c>
      <c r="F240" t="s">
        <v>303</v>
      </c>
      <c r="G240">
        <v>4.03</v>
      </c>
      <c r="H240">
        <v>254.76</v>
      </c>
      <c r="I240" t="s">
        <v>415</v>
      </c>
      <c r="J240" t="s">
        <v>416</v>
      </c>
      <c r="K240" t="s">
        <v>529</v>
      </c>
      <c r="L240" t="s">
        <v>203</v>
      </c>
      <c r="M240" t="s">
        <v>264</v>
      </c>
      <c r="N240" t="s">
        <v>12</v>
      </c>
      <c r="O240" t="s">
        <v>14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264</v>
      </c>
      <c r="AH240" t="s">
        <v>12</v>
      </c>
      <c r="AI240" t="s">
        <v>14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254.76</v>
      </c>
      <c r="AN240">
        <f>$H$240*$T$240</f>
        <v>254.76</v>
      </c>
      <c r="AO240">
        <f>$H$240*$U$240</f>
        <v>254.76</v>
      </c>
      <c r="AP240">
        <f>$H$240*$V$240</f>
        <v>254.76</v>
      </c>
      <c r="AQ240">
        <f>$H$240*$W$240</f>
        <v>254.76</v>
      </c>
      <c r="AR240">
        <f>$H$240*$X$240</f>
        <v>254.76</v>
      </c>
      <c r="AS240">
        <f>$H$240*$Y$240</f>
        <v>254.76</v>
      </c>
      <c r="AT240">
        <f>$H$240*$Z$240</f>
        <v>254.76</v>
      </c>
      <c r="AU240">
        <f>$H$240*$AA$240</f>
        <v>254.76</v>
      </c>
      <c r="AV240">
        <f>$H$240*$AB$240</f>
        <v>254.76</v>
      </c>
      <c r="AW240">
        <f>$H$240*$AC$240</f>
        <v>254.76</v>
      </c>
      <c r="AX240">
        <f>$H$240*$AD$240</f>
        <v>254.76</v>
      </c>
      <c r="AY240">
        <f>$H$240*$AE$240</f>
        <v>254.76</v>
      </c>
      <c r="AZ240">
        <f>$H$240*$AF$240</f>
        <v>254.76</v>
      </c>
    </row>
    <row r="241" spans="1:52" x14ac:dyDescent="0.25">
      <c r="A241">
        <v>280</v>
      </c>
      <c r="B241" t="s">
        <v>264</v>
      </c>
      <c r="C241" t="s">
        <v>417</v>
      </c>
      <c r="D241">
        <v>210.73</v>
      </c>
      <c r="E241">
        <v>141.19</v>
      </c>
      <c r="F241" t="s">
        <v>303</v>
      </c>
      <c r="G241">
        <v>0.67</v>
      </c>
      <c r="H241">
        <v>169.43</v>
      </c>
      <c r="I241" t="s">
        <v>326</v>
      </c>
      <c r="J241" t="s">
        <v>418</v>
      </c>
      <c r="K241" t="s">
        <v>530</v>
      </c>
      <c r="L241" t="s">
        <v>203</v>
      </c>
      <c r="M241" t="s">
        <v>264</v>
      </c>
      <c r="N241" t="s">
        <v>12</v>
      </c>
      <c r="O241" t="s">
        <v>14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264</v>
      </c>
      <c r="AH241" t="s">
        <v>12</v>
      </c>
      <c r="AI241" t="s">
        <v>14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169.43</v>
      </c>
      <c r="AN241">
        <f>$H$241*$T$241</f>
        <v>169.43</v>
      </c>
      <c r="AO241">
        <f>$H$241*$U$241</f>
        <v>169.43</v>
      </c>
      <c r="AP241">
        <f>$H$241*$V$241</f>
        <v>169.43</v>
      </c>
      <c r="AQ241">
        <f>$H$241*$W$241</f>
        <v>169.43</v>
      </c>
      <c r="AR241">
        <f>$H$241*$X$241</f>
        <v>169.43</v>
      </c>
      <c r="AS241">
        <f>$H$241*$Y$241</f>
        <v>169.43</v>
      </c>
      <c r="AT241">
        <f>$H$241*$Z$241</f>
        <v>169.43</v>
      </c>
      <c r="AU241">
        <f>$H$241*$AA$241</f>
        <v>169.43</v>
      </c>
      <c r="AV241">
        <f>$H$241*$AB$241</f>
        <v>169.43</v>
      </c>
      <c r="AW241">
        <f>$H$241*$AC$241</f>
        <v>169.43</v>
      </c>
      <c r="AX241">
        <f>$H$241*$AD$241</f>
        <v>169.43</v>
      </c>
      <c r="AY241">
        <f>$H$241*$AE$241</f>
        <v>169.43</v>
      </c>
      <c r="AZ241">
        <f>$H$241*$AF$241</f>
        <v>169.43</v>
      </c>
    </row>
    <row r="242" spans="1:52" x14ac:dyDescent="0.25">
      <c r="A242">
        <v>281</v>
      </c>
      <c r="B242" t="s">
        <v>264</v>
      </c>
      <c r="C242" t="s">
        <v>419</v>
      </c>
      <c r="D242">
        <v>210.73</v>
      </c>
      <c r="E242">
        <v>678.55</v>
      </c>
      <c r="F242" t="s">
        <v>303</v>
      </c>
      <c r="G242">
        <v>3.22</v>
      </c>
      <c r="H242">
        <v>814.27</v>
      </c>
      <c r="I242" t="s">
        <v>326</v>
      </c>
      <c r="J242" t="s">
        <v>416</v>
      </c>
      <c r="K242" t="s">
        <v>531</v>
      </c>
      <c r="L242" t="s">
        <v>203</v>
      </c>
      <c r="M242" t="s">
        <v>264</v>
      </c>
      <c r="N242" t="s">
        <v>12</v>
      </c>
      <c r="O242" t="s">
        <v>14</v>
      </c>
      <c r="P242">
        <v>0</v>
      </c>
      <c r="Q242">
        <v>0</v>
      </c>
      <c r="R242">
        <v>0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264</v>
      </c>
      <c r="AH242" t="s">
        <v>12</v>
      </c>
      <c r="AI242" t="s">
        <v>14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814.27</v>
      </c>
      <c r="AN242">
        <f>$H$242*$T$242</f>
        <v>814.27</v>
      </c>
      <c r="AO242">
        <f>$H$242*$U$242</f>
        <v>814.27</v>
      </c>
      <c r="AP242">
        <f>$H$242*$V$242</f>
        <v>814.27</v>
      </c>
      <c r="AQ242">
        <f>$H$242*$W$242</f>
        <v>814.27</v>
      </c>
      <c r="AR242">
        <f>$H$242*$X$242</f>
        <v>814.27</v>
      </c>
      <c r="AS242">
        <f>$H$242*$Y$242</f>
        <v>814.27</v>
      </c>
      <c r="AT242">
        <f>$H$242*$Z$242</f>
        <v>814.27</v>
      </c>
      <c r="AU242">
        <f>$H$242*$AA$242</f>
        <v>814.27</v>
      </c>
      <c r="AV242">
        <f>$H$242*$AB$242</f>
        <v>814.27</v>
      </c>
      <c r="AW242">
        <f>$H$242*$AC$242</f>
        <v>814.27</v>
      </c>
      <c r="AX242">
        <f>$H$242*$AD$242</f>
        <v>814.27</v>
      </c>
      <c r="AY242">
        <f>$H$242*$AE$242</f>
        <v>814.27</v>
      </c>
      <c r="AZ242">
        <f>$H$242*$AF$242</f>
        <v>814.27</v>
      </c>
    </row>
    <row r="243" spans="1:52" x14ac:dyDescent="0.25">
      <c r="A243">
        <v>284</v>
      </c>
      <c r="B243" t="s">
        <v>463</v>
      </c>
      <c r="C243" t="s">
        <v>365</v>
      </c>
      <c r="D243">
        <v>1</v>
      </c>
      <c r="E243">
        <v>13.27</v>
      </c>
      <c r="F243" t="s">
        <v>290</v>
      </c>
      <c r="G243">
        <v>13.27</v>
      </c>
      <c r="H243">
        <v>15.93</v>
      </c>
      <c r="I243" t="s">
        <v>292</v>
      </c>
      <c r="J243" t="s">
        <v>366</v>
      </c>
      <c r="K243" t="s">
        <v>505</v>
      </c>
      <c r="L243" t="s">
        <v>203</v>
      </c>
      <c r="M243" t="s">
        <v>492</v>
      </c>
      <c r="N243" t="s">
        <v>12</v>
      </c>
      <c r="O243" t="s">
        <v>68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492</v>
      </c>
      <c r="AH243" t="s">
        <v>12</v>
      </c>
      <c r="AI243" t="s">
        <v>68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15.93</v>
      </c>
      <c r="AS243">
        <f>$H$243*$Y$243</f>
        <v>15.93</v>
      </c>
      <c r="AT243">
        <f>$H$243*$Z$243</f>
        <v>15.93</v>
      </c>
      <c r="AU243">
        <f>$H$243*$AA$243</f>
        <v>15.93</v>
      </c>
      <c r="AV243">
        <f>$H$243*$AB$243</f>
        <v>15.93</v>
      </c>
      <c r="AW243">
        <f>$H$243*$AC$243</f>
        <v>15.93</v>
      </c>
      <c r="AX243">
        <f>$H$243*$AD$243</f>
        <v>15.93</v>
      </c>
      <c r="AY243">
        <f>$H$243*$AE$243</f>
        <v>15.93</v>
      </c>
      <c r="AZ243">
        <f>$H$243*$AF$243</f>
        <v>15.93</v>
      </c>
    </row>
    <row r="244" spans="1:52" x14ac:dyDescent="0.25">
      <c r="A244">
        <v>285</v>
      </c>
      <c r="B244" t="s">
        <v>463</v>
      </c>
      <c r="C244" t="s">
        <v>391</v>
      </c>
      <c r="D244">
        <v>1</v>
      </c>
      <c r="E244">
        <v>37</v>
      </c>
      <c r="F244" t="s">
        <v>290</v>
      </c>
      <c r="G244">
        <v>37</v>
      </c>
      <c r="H244">
        <v>44.4</v>
      </c>
      <c r="I244" t="s">
        <v>292</v>
      </c>
      <c r="J244" t="s">
        <v>392</v>
      </c>
      <c r="K244" t="s">
        <v>518</v>
      </c>
      <c r="L244" t="s">
        <v>203</v>
      </c>
      <c r="M244" t="s">
        <v>492</v>
      </c>
      <c r="N244" t="s">
        <v>12</v>
      </c>
      <c r="O244" t="s">
        <v>68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0.6</v>
      </c>
      <c r="Y244">
        <v>0.6</v>
      </c>
      <c r="Z244">
        <v>0.6</v>
      </c>
      <c r="AA244">
        <v>0.6</v>
      </c>
      <c r="AB244">
        <v>0.6</v>
      </c>
      <c r="AC244">
        <v>0.6</v>
      </c>
      <c r="AD244">
        <v>1</v>
      </c>
      <c r="AE244">
        <v>1</v>
      </c>
      <c r="AF244">
        <v>1</v>
      </c>
      <c r="AG244" t="s">
        <v>492</v>
      </c>
      <c r="AH244" t="s">
        <v>12</v>
      </c>
      <c r="AI244" t="s">
        <v>68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26.639999999999997</v>
      </c>
      <c r="AS244">
        <f>$H$244*$Y$244</f>
        <v>26.639999999999997</v>
      </c>
      <c r="AT244">
        <f>$H$244*$Z$244</f>
        <v>26.639999999999997</v>
      </c>
      <c r="AU244">
        <f>$H$244*$AA$244</f>
        <v>26.639999999999997</v>
      </c>
      <c r="AV244">
        <f>$H$244*$AB$244</f>
        <v>26.639999999999997</v>
      </c>
      <c r="AW244">
        <f>$H$244*$AC$244</f>
        <v>26.639999999999997</v>
      </c>
      <c r="AX244">
        <f>$H$244*$AD$244</f>
        <v>44.4</v>
      </c>
      <c r="AY244">
        <f>$H$244*$AE$244</f>
        <v>44.4</v>
      </c>
      <c r="AZ244">
        <f>$H$244*$AF$244</f>
        <v>44.4</v>
      </c>
    </row>
    <row r="245" spans="1:52" x14ac:dyDescent="0.25">
      <c r="A245">
        <v>286</v>
      </c>
      <c r="B245" t="s">
        <v>463</v>
      </c>
      <c r="C245" t="s">
        <v>339</v>
      </c>
      <c r="D245">
        <v>1</v>
      </c>
      <c r="E245">
        <v>65.650000000000006</v>
      </c>
      <c r="F245" t="s">
        <v>290</v>
      </c>
      <c r="G245">
        <v>65.650000000000006</v>
      </c>
      <c r="H245">
        <v>78.790000000000006</v>
      </c>
      <c r="I245" t="s">
        <v>295</v>
      </c>
      <c r="J245" t="s">
        <v>340</v>
      </c>
      <c r="K245" t="s">
        <v>491</v>
      </c>
      <c r="L245" t="s">
        <v>203</v>
      </c>
      <c r="M245" t="s">
        <v>492</v>
      </c>
      <c r="N245" t="s">
        <v>12</v>
      </c>
      <c r="O245" t="s">
        <v>68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1</v>
      </c>
      <c r="AE245">
        <v>1</v>
      </c>
      <c r="AF245">
        <v>1</v>
      </c>
      <c r="AG245" t="s">
        <v>492</v>
      </c>
      <c r="AH245" t="s">
        <v>12</v>
      </c>
      <c r="AI245" t="s">
        <v>68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0</v>
      </c>
      <c r="AV245">
        <f>$H$245*$AB$245</f>
        <v>0</v>
      </c>
      <c r="AW245">
        <f>$H$245*$AC$245</f>
        <v>0</v>
      </c>
      <c r="AX245">
        <f>$H$245*$AD$245</f>
        <v>78.790000000000006</v>
      </c>
      <c r="AY245">
        <f>$H$245*$AE$245</f>
        <v>78.790000000000006</v>
      </c>
      <c r="AZ245">
        <f>$H$245*$AF$245</f>
        <v>78.790000000000006</v>
      </c>
    </row>
    <row r="246" spans="1:52" x14ac:dyDescent="0.25">
      <c r="A246">
        <v>295</v>
      </c>
      <c r="B246" t="s">
        <v>6</v>
      </c>
      <c r="C246" t="s">
        <v>291</v>
      </c>
      <c r="D246">
        <v>1</v>
      </c>
      <c r="E246">
        <v>39.700000000000003</v>
      </c>
      <c r="F246" t="s">
        <v>290</v>
      </c>
      <c r="G246">
        <v>39.700000000000003</v>
      </c>
      <c r="H246">
        <v>47.64</v>
      </c>
      <c r="I246" t="s">
        <v>292</v>
      </c>
      <c r="J246" t="s">
        <v>293</v>
      </c>
      <c r="K246" t="s">
        <v>470</v>
      </c>
      <c r="L246" t="s">
        <v>203</v>
      </c>
      <c r="M246" t="s">
        <v>6</v>
      </c>
      <c r="N246" t="s">
        <v>51</v>
      </c>
      <c r="O246" t="s">
        <v>6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1</v>
      </c>
      <c r="AE246">
        <v>1</v>
      </c>
      <c r="AF246">
        <v>1</v>
      </c>
      <c r="AG246" t="s">
        <v>6</v>
      </c>
      <c r="AH246" t="s">
        <v>51</v>
      </c>
      <c r="AI246" t="s">
        <v>6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0</v>
      </c>
      <c r="AV246">
        <f>$H$246*$AB$246</f>
        <v>0</v>
      </c>
      <c r="AW246">
        <f>$H$246*$AC$246</f>
        <v>0</v>
      </c>
      <c r="AX246">
        <f>$H$246*$AD$246</f>
        <v>47.64</v>
      </c>
      <c r="AY246">
        <f>$H$246*$AE$246</f>
        <v>47.64</v>
      </c>
      <c r="AZ246">
        <f>$H$246*$AF$246</f>
        <v>47.64</v>
      </c>
    </row>
    <row r="247" spans="1:52" x14ac:dyDescent="0.25">
      <c r="A247">
        <v>296</v>
      </c>
      <c r="B247" t="s">
        <v>6</v>
      </c>
      <c r="C247" t="s">
        <v>365</v>
      </c>
      <c r="D247">
        <v>1</v>
      </c>
      <c r="E247">
        <v>13.27</v>
      </c>
      <c r="F247" t="s">
        <v>290</v>
      </c>
      <c r="G247">
        <v>13.27</v>
      </c>
      <c r="H247">
        <v>15.93</v>
      </c>
      <c r="I247" t="s">
        <v>292</v>
      </c>
      <c r="J247" t="s">
        <v>366</v>
      </c>
      <c r="K247" t="s">
        <v>505</v>
      </c>
      <c r="L247" t="s">
        <v>203</v>
      </c>
      <c r="M247" t="s">
        <v>6</v>
      </c>
      <c r="N247" t="s">
        <v>51</v>
      </c>
      <c r="O247" t="s">
        <v>6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6</v>
      </c>
      <c r="AH247" t="s">
        <v>51</v>
      </c>
      <c r="AI247" t="s">
        <v>6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15.93</v>
      </c>
      <c r="AS247">
        <f>$H$247*$Y$247</f>
        <v>15.93</v>
      </c>
      <c r="AT247">
        <f>$H$247*$Z$247</f>
        <v>15.93</v>
      </c>
      <c r="AU247">
        <f>$H$247*$AA$247</f>
        <v>15.93</v>
      </c>
      <c r="AV247">
        <f>$H$247*$AB$247</f>
        <v>15.93</v>
      </c>
      <c r="AW247">
        <f>$H$247*$AC$247</f>
        <v>15.93</v>
      </c>
      <c r="AX247">
        <f>$H$247*$AD$247</f>
        <v>15.93</v>
      </c>
      <c r="AY247">
        <f>$H$247*$AE$247</f>
        <v>15.93</v>
      </c>
      <c r="AZ247">
        <f>$H$247*$AF$247</f>
        <v>15.93</v>
      </c>
    </row>
    <row r="248" spans="1:52" x14ac:dyDescent="0.25">
      <c r="A248">
        <v>297</v>
      </c>
      <c r="B248" t="s">
        <v>6</v>
      </c>
      <c r="C248" t="s">
        <v>426</v>
      </c>
      <c r="D248">
        <v>1</v>
      </c>
      <c r="E248">
        <v>48.06</v>
      </c>
      <c r="F248" t="s">
        <v>290</v>
      </c>
      <c r="G248">
        <v>48.06</v>
      </c>
      <c r="H248">
        <v>57.68</v>
      </c>
      <c r="I248" t="s">
        <v>295</v>
      </c>
      <c r="J248" t="s">
        <v>390</v>
      </c>
      <c r="K248" t="s">
        <v>535</v>
      </c>
      <c r="L248" t="s">
        <v>203</v>
      </c>
      <c r="M248" t="s">
        <v>6</v>
      </c>
      <c r="N248" t="s">
        <v>51</v>
      </c>
      <c r="O248" t="s">
        <v>6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1</v>
      </c>
      <c r="AE248">
        <v>1</v>
      </c>
      <c r="AF248">
        <v>1</v>
      </c>
      <c r="AG248" t="s">
        <v>6</v>
      </c>
      <c r="AH248" t="s">
        <v>51</v>
      </c>
      <c r="AI248" t="s">
        <v>6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0</v>
      </c>
      <c r="AS248">
        <f>$H$248*$Y$248</f>
        <v>0</v>
      </c>
      <c r="AT248">
        <f>$H$248*$Z$248</f>
        <v>0</v>
      </c>
      <c r="AU248">
        <f>$H$248*$AA$248</f>
        <v>0</v>
      </c>
      <c r="AV248">
        <f>$H$248*$AB$248</f>
        <v>0</v>
      </c>
      <c r="AW248">
        <f>$H$248*$AC$248</f>
        <v>0</v>
      </c>
      <c r="AX248">
        <f>$H$248*$AD$248</f>
        <v>57.68</v>
      </c>
      <c r="AY248">
        <f>$H$248*$AE$248</f>
        <v>57.68</v>
      </c>
      <c r="AZ248">
        <f>$H$248*$AF$248</f>
        <v>57.68</v>
      </c>
    </row>
    <row r="249" spans="1:52" x14ac:dyDescent="0.25">
      <c r="A249">
        <v>298</v>
      </c>
      <c r="B249" t="s">
        <v>6</v>
      </c>
      <c r="C249" t="s">
        <v>311</v>
      </c>
      <c r="D249">
        <v>188</v>
      </c>
      <c r="E249">
        <v>184.24</v>
      </c>
      <c r="F249" t="s">
        <v>303</v>
      </c>
      <c r="G249">
        <v>0.98</v>
      </c>
      <c r="H249">
        <v>221.08</v>
      </c>
      <c r="I249" t="s">
        <v>286</v>
      </c>
      <c r="J249" t="s">
        <v>312</v>
      </c>
      <c r="K249" t="s">
        <v>479</v>
      </c>
      <c r="L249" t="s">
        <v>203</v>
      </c>
      <c r="M249" t="s">
        <v>6</v>
      </c>
      <c r="N249" t="s">
        <v>51</v>
      </c>
      <c r="O249" t="s">
        <v>6</v>
      </c>
      <c r="P249">
        <v>0</v>
      </c>
      <c r="Q249">
        <v>0</v>
      </c>
      <c r="R249">
        <v>0</v>
      </c>
      <c r="S249">
        <v>0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6</v>
      </c>
      <c r="AH249" t="s">
        <v>51</v>
      </c>
      <c r="AI249" t="s">
        <v>6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221.08</v>
      </c>
      <c r="AO249">
        <f>$H$249*$U$249</f>
        <v>221.08</v>
      </c>
      <c r="AP249">
        <f>$H$249*$V$249</f>
        <v>221.08</v>
      </c>
      <c r="AQ249">
        <f>$H$249*$W$249</f>
        <v>221.08</v>
      </c>
      <c r="AR249">
        <f>$H$249*$X$249</f>
        <v>221.08</v>
      </c>
      <c r="AS249">
        <f>$H$249*$Y$249</f>
        <v>221.08</v>
      </c>
      <c r="AT249">
        <f>$H$249*$Z$249</f>
        <v>221.08</v>
      </c>
      <c r="AU249">
        <f>$H$249*$AA$249</f>
        <v>221.08</v>
      </c>
      <c r="AV249">
        <f>$H$249*$AB$249</f>
        <v>221.08</v>
      </c>
      <c r="AW249">
        <f>$H$249*$AC$249</f>
        <v>221.08</v>
      </c>
      <c r="AX249">
        <f>$H$249*$AD$249</f>
        <v>221.08</v>
      </c>
      <c r="AY249">
        <f>$H$249*$AE$249</f>
        <v>221.08</v>
      </c>
      <c r="AZ249">
        <f>$H$249*$AF$249</f>
        <v>221.08</v>
      </c>
    </row>
    <row r="250" spans="1:52" x14ac:dyDescent="0.25">
      <c r="A250">
        <v>299</v>
      </c>
      <c r="B250" t="s">
        <v>6</v>
      </c>
      <c r="C250" t="s">
        <v>404</v>
      </c>
      <c r="D250">
        <v>188</v>
      </c>
      <c r="E250">
        <v>501.96</v>
      </c>
      <c r="F250" t="s">
        <v>303</v>
      </c>
      <c r="G250">
        <v>2.67</v>
      </c>
      <c r="H250">
        <v>602.36</v>
      </c>
      <c r="I250" t="s">
        <v>314</v>
      </c>
      <c r="J250" t="s">
        <v>405</v>
      </c>
      <c r="K250" t="s">
        <v>524</v>
      </c>
      <c r="L250" t="s">
        <v>203</v>
      </c>
      <c r="M250" t="s">
        <v>6</v>
      </c>
      <c r="N250" t="s">
        <v>51</v>
      </c>
      <c r="O250" t="s">
        <v>6</v>
      </c>
      <c r="P250">
        <v>0</v>
      </c>
      <c r="Q250">
        <v>0</v>
      </c>
      <c r="R250">
        <v>0</v>
      </c>
      <c r="S250">
        <v>0.25</v>
      </c>
      <c r="T250">
        <v>0.25</v>
      </c>
      <c r="U250">
        <v>0.25</v>
      </c>
      <c r="V250">
        <v>0.25</v>
      </c>
      <c r="W250">
        <v>0.25</v>
      </c>
      <c r="X250">
        <v>0.5</v>
      </c>
      <c r="Y250">
        <v>0.5</v>
      </c>
      <c r="Z250">
        <v>0.5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6</v>
      </c>
      <c r="AH250" t="s">
        <v>51</v>
      </c>
      <c r="AI250" t="s">
        <v>6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150.59</v>
      </c>
      <c r="AN250">
        <f>$H$250*$T$250</f>
        <v>150.59</v>
      </c>
      <c r="AO250">
        <f>$H$250*$U$250</f>
        <v>150.59</v>
      </c>
      <c r="AP250">
        <f>$H$250*$V$250</f>
        <v>150.59</v>
      </c>
      <c r="AQ250">
        <f>$H$250*$W$250</f>
        <v>150.59</v>
      </c>
      <c r="AR250">
        <f>$H$250*$X$250</f>
        <v>301.18</v>
      </c>
      <c r="AS250">
        <f>$H$250*$Y$250</f>
        <v>301.18</v>
      </c>
      <c r="AT250">
        <f>$H$250*$Z$250</f>
        <v>301.18</v>
      </c>
      <c r="AU250">
        <f>$H$250*$AA$250</f>
        <v>602.36</v>
      </c>
      <c r="AV250">
        <f>$H$250*$AB$250</f>
        <v>602.36</v>
      </c>
      <c r="AW250">
        <f>$H$250*$AC$250</f>
        <v>602.36</v>
      </c>
      <c r="AX250">
        <f>$H$250*$AD$250</f>
        <v>602.36</v>
      </c>
      <c r="AY250">
        <f>$H$250*$AE$250</f>
        <v>602.36</v>
      </c>
      <c r="AZ250">
        <f>$H$250*$AF$250</f>
        <v>602.36</v>
      </c>
    </row>
    <row r="251" spans="1:52" x14ac:dyDescent="0.25">
      <c r="A251">
        <v>300</v>
      </c>
      <c r="B251" t="s">
        <v>6</v>
      </c>
      <c r="C251" t="s">
        <v>429</v>
      </c>
      <c r="D251">
        <v>23.5</v>
      </c>
      <c r="E251">
        <v>82.72</v>
      </c>
      <c r="F251" t="s">
        <v>285</v>
      </c>
      <c r="G251">
        <v>3.52</v>
      </c>
      <c r="H251">
        <v>99.26</v>
      </c>
      <c r="I251" t="s">
        <v>289</v>
      </c>
      <c r="J251" t="s">
        <v>407</v>
      </c>
      <c r="K251" t="s">
        <v>537</v>
      </c>
      <c r="L251" t="s">
        <v>203</v>
      </c>
      <c r="M251" t="s">
        <v>6</v>
      </c>
      <c r="N251" t="s">
        <v>51</v>
      </c>
      <c r="O251" t="s">
        <v>6</v>
      </c>
      <c r="P251">
        <v>0</v>
      </c>
      <c r="Q251">
        <v>0</v>
      </c>
      <c r="R251">
        <v>0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6</v>
      </c>
      <c r="AH251" t="s">
        <v>51</v>
      </c>
      <c r="AI251" t="s">
        <v>6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99.26</v>
      </c>
      <c r="AN251">
        <f>$H$251*$T$251</f>
        <v>99.26</v>
      </c>
      <c r="AO251">
        <f>$H$251*$U$251</f>
        <v>99.26</v>
      </c>
      <c r="AP251">
        <f>$H$251*$V$251</f>
        <v>99.26</v>
      </c>
      <c r="AQ251">
        <f>$H$251*$W$251</f>
        <v>99.26</v>
      </c>
      <c r="AR251">
        <f>$H$251*$X$251</f>
        <v>99.26</v>
      </c>
      <c r="AS251">
        <f>$H$251*$Y$251</f>
        <v>99.26</v>
      </c>
      <c r="AT251">
        <f>$H$251*$Z$251</f>
        <v>99.26</v>
      </c>
      <c r="AU251">
        <f>$H$251*$AA$251</f>
        <v>99.26</v>
      </c>
      <c r="AV251">
        <f>$H$251*$AB$251</f>
        <v>99.26</v>
      </c>
      <c r="AW251">
        <f>$H$251*$AC$251</f>
        <v>99.26</v>
      </c>
      <c r="AX251">
        <f>$H$251*$AD$251</f>
        <v>99.26</v>
      </c>
      <c r="AY251">
        <f>$H$251*$AE$251</f>
        <v>99.26</v>
      </c>
      <c r="AZ251">
        <f>$H$251*$AF$251</f>
        <v>99.26</v>
      </c>
    </row>
    <row r="252" spans="1:52" x14ac:dyDescent="0.25">
      <c r="A252">
        <v>301</v>
      </c>
      <c r="B252" t="s">
        <v>6</v>
      </c>
      <c r="C252" t="s">
        <v>404</v>
      </c>
      <c r="D252">
        <v>24.75</v>
      </c>
      <c r="E252">
        <v>66.08</v>
      </c>
      <c r="F252" t="s">
        <v>303</v>
      </c>
      <c r="G252">
        <v>2.67</v>
      </c>
      <c r="H252">
        <v>79.3</v>
      </c>
      <c r="I252" t="s">
        <v>314</v>
      </c>
      <c r="J252" t="s">
        <v>405</v>
      </c>
      <c r="K252" t="s">
        <v>524</v>
      </c>
      <c r="L252" t="s">
        <v>203</v>
      </c>
      <c r="M252" t="s">
        <v>6</v>
      </c>
      <c r="N252" t="s">
        <v>51</v>
      </c>
      <c r="O252" t="s">
        <v>6</v>
      </c>
      <c r="P252">
        <v>0</v>
      </c>
      <c r="Q252">
        <v>0</v>
      </c>
      <c r="R252">
        <v>0</v>
      </c>
      <c r="S252">
        <v>0.25</v>
      </c>
      <c r="T252">
        <v>0.25</v>
      </c>
      <c r="U252">
        <v>0.25</v>
      </c>
      <c r="V252">
        <v>0.25</v>
      </c>
      <c r="W252">
        <v>0.25</v>
      </c>
      <c r="X252">
        <v>0.5</v>
      </c>
      <c r="Y252">
        <v>0.5</v>
      </c>
      <c r="Z252">
        <v>0.5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6</v>
      </c>
      <c r="AH252" t="s">
        <v>51</v>
      </c>
      <c r="AI252" t="s">
        <v>6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19.824999999999999</v>
      </c>
      <c r="AN252">
        <f>$H$252*$T$252</f>
        <v>19.824999999999999</v>
      </c>
      <c r="AO252">
        <f>$H$252*$U$252</f>
        <v>19.824999999999999</v>
      </c>
      <c r="AP252">
        <f>$H$252*$V$252</f>
        <v>19.824999999999999</v>
      </c>
      <c r="AQ252">
        <f>$H$252*$W$252</f>
        <v>19.824999999999999</v>
      </c>
      <c r="AR252">
        <f>$H$252*$X$252</f>
        <v>39.65</v>
      </c>
      <c r="AS252">
        <f>$H$252*$Y$252</f>
        <v>39.65</v>
      </c>
      <c r="AT252">
        <f>$H$252*$Z$252</f>
        <v>39.65</v>
      </c>
      <c r="AU252">
        <f>$H$252*$AA$252</f>
        <v>79.3</v>
      </c>
      <c r="AV252">
        <f>$H$252*$AB$252</f>
        <v>79.3</v>
      </c>
      <c r="AW252">
        <f>$H$252*$AC$252</f>
        <v>79.3</v>
      </c>
      <c r="AX252">
        <f>$H$252*$AD$252</f>
        <v>79.3</v>
      </c>
      <c r="AY252">
        <f>$H$252*$AE$252</f>
        <v>79.3</v>
      </c>
      <c r="AZ252">
        <f>$H$252*$AF$252</f>
        <v>79.3</v>
      </c>
    </row>
    <row r="253" spans="1:52" x14ac:dyDescent="0.25">
      <c r="A253">
        <v>302</v>
      </c>
      <c r="B253" t="s">
        <v>6</v>
      </c>
      <c r="C253" t="s">
        <v>410</v>
      </c>
      <c r="D253">
        <v>24.75</v>
      </c>
      <c r="E253">
        <v>15.59</v>
      </c>
      <c r="F253" t="s">
        <v>303</v>
      </c>
      <c r="G253">
        <v>0.63</v>
      </c>
      <c r="H253">
        <v>18.71</v>
      </c>
      <c r="I253" t="s">
        <v>286</v>
      </c>
      <c r="J253" t="s">
        <v>411</v>
      </c>
      <c r="K253" t="s">
        <v>527</v>
      </c>
      <c r="L253" t="s">
        <v>203</v>
      </c>
      <c r="M253" t="s">
        <v>6</v>
      </c>
      <c r="N253" t="s">
        <v>51</v>
      </c>
      <c r="O253" t="s">
        <v>6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1</v>
      </c>
      <c r="AE253">
        <v>1</v>
      </c>
      <c r="AF253">
        <v>1</v>
      </c>
      <c r="AG253" t="s">
        <v>6</v>
      </c>
      <c r="AH253" t="s">
        <v>51</v>
      </c>
      <c r="AI253" t="s">
        <v>6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0</v>
      </c>
      <c r="AV253">
        <f>$H$253*$AB$253</f>
        <v>0</v>
      </c>
      <c r="AW253">
        <f>$H$253*$AC$253</f>
        <v>0</v>
      </c>
      <c r="AX253">
        <f>$H$253*$AD$253</f>
        <v>18.71</v>
      </c>
      <c r="AY253">
        <f>$H$253*$AE$253</f>
        <v>18.71</v>
      </c>
      <c r="AZ253">
        <f>$H$253*$AF$253</f>
        <v>18.71</v>
      </c>
    </row>
    <row r="254" spans="1:52" x14ac:dyDescent="0.25">
      <c r="A254">
        <v>303</v>
      </c>
      <c r="B254" t="s">
        <v>6</v>
      </c>
      <c r="C254" t="s">
        <v>412</v>
      </c>
      <c r="D254">
        <v>24.75</v>
      </c>
      <c r="E254">
        <v>17.079999999999998</v>
      </c>
      <c r="F254" t="s">
        <v>303</v>
      </c>
      <c r="G254">
        <v>0.69</v>
      </c>
      <c r="H254">
        <v>20.5</v>
      </c>
      <c r="I254" t="s">
        <v>286</v>
      </c>
      <c r="J254" t="s">
        <v>413</v>
      </c>
      <c r="K254" t="s">
        <v>528</v>
      </c>
      <c r="L254" t="s">
        <v>203</v>
      </c>
      <c r="M254" t="s">
        <v>6</v>
      </c>
      <c r="N254" t="s">
        <v>51</v>
      </c>
      <c r="O254" t="s">
        <v>6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6</v>
      </c>
      <c r="AH254" t="s">
        <v>51</v>
      </c>
      <c r="AI254" t="s">
        <v>6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20.5</v>
      </c>
      <c r="AN254">
        <f>$H$254*$T$254</f>
        <v>20.5</v>
      </c>
      <c r="AO254">
        <f>$H$254*$U$254</f>
        <v>20.5</v>
      </c>
      <c r="AP254">
        <f>$H$254*$V$254</f>
        <v>20.5</v>
      </c>
      <c r="AQ254">
        <f>$H$254*$W$254</f>
        <v>20.5</v>
      </c>
      <c r="AR254">
        <f>$H$254*$X$254</f>
        <v>20.5</v>
      </c>
      <c r="AS254">
        <f>$H$254*$Y$254</f>
        <v>20.5</v>
      </c>
      <c r="AT254">
        <f>$H$254*$Z$254</f>
        <v>20.5</v>
      </c>
      <c r="AU254">
        <f>$H$254*$AA$254</f>
        <v>20.5</v>
      </c>
      <c r="AV254">
        <f>$H$254*$AB$254</f>
        <v>20.5</v>
      </c>
      <c r="AW254">
        <f>$H$254*$AC$254</f>
        <v>20.5</v>
      </c>
      <c r="AX254">
        <f>$H$254*$AD$254</f>
        <v>20.5</v>
      </c>
      <c r="AY254">
        <f>$H$254*$AE$254</f>
        <v>20.5</v>
      </c>
      <c r="AZ254">
        <f>$H$254*$AF$254</f>
        <v>20.5</v>
      </c>
    </row>
    <row r="255" spans="1:52" x14ac:dyDescent="0.25">
      <c r="A255">
        <v>304</v>
      </c>
      <c r="B255" t="s">
        <v>6</v>
      </c>
      <c r="C255" t="s">
        <v>414</v>
      </c>
      <c r="D255">
        <v>5.69</v>
      </c>
      <c r="E255">
        <v>22.93</v>
      </c>
      <c r="F255" t="s">
        <v>303</v>
      </c>
      <c r="G255">
        <v>4.03</v>
      </c>
      <c r="H255">
        <v>27.51</v>
      </c>
      <c r="I255" t="s">
        <v>415</v>
      </c>
      <c r="J255" t="s">
        <v>416</v>
      </c>
      <c r="K255" t="s">
        <v>529</v>
      </c>
      <c r="L255" t="s">
        <v>203</v>
      </c>
      <c r="M255" t="s">
        <v>6</v>
      </c>
      <c r="N255" t="s">
        <v>51</v>
      </c>
      <c r="O255" t="s">
        <v>6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6</v>
      </c>
      <c r="AH255" t="s">
        <v>51</v>
      </c>
      <c r="AI255" t="s">
        <v>6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27.51</v>
      </c>
      <c r="AN255">
        <f>$H$255*$T$255</f>
        <v>27.51</v>
      </c>
      <c r="AO255">
        <f>$H$255*$U$255</f>
        <v>27.51</v>
      </c>
      <c r="AP255">
        <f>$H$255*$V$255</f>
        <v>27.51</v>
      </c>
      <c r="AQ255">
        <f>$H$255*$W$255</f>
        <v>27.51</v>
      </c>
      <c r="AR255">
        <f>$H$255*$X$255</f>
        <v>27.51</v>
      </c>
      <c r="AS255">
        <f>$H$255*$Y$255</f>
        <v>27.51</v>
      </c>
      <c r="AT255">
        <f>$H$255*$Z$255</f>
        <v>27.51</v>
      </c>
      <c r="AU255">
        <f>$H$255*$AA$255</f>
        <v>27.51</v>
      </c>
      <c r="AV255">
        <f>$H$255*$AB$255</f>
        <v>27.51</v>
      </c>
      <c r="AW255">
        <f>$H$255*$AC$255</f>
        <v>27.51</v>
      </c>
      <c r="AX255">
        <f>$H$255*$AD$255</f>
        <v>27.51</v>
      </c>
      <c r="AY255">
        <f>$H$255*$AE$255</f>
        <v>27.51</v>
      </c>
      <c r="AZ255">
        <f>$H$255*$AF$255</f>
        <v>27.51</v>
      </c>
    </row>
    <row r="256" spans="1:52" x14ac:dyDescent="0.25">
      <c r="A256">
        <v>305</v>
      </c>
      <c r="B256" t="s">
        <v>6</v>
      </c>
      <c r="C256" t="s">
        <v>417</v>
      </c>
      <c r="D256">
        <v>22.77</v>
      </c>
      <c r="E256">
        <v>15.26</v>
      </c>
      <c r="F256" t="s">
        <v>303</v>
      </c>
      <c r="G256">
        <v>0.67</v>
      </c>
      <c r="H256">
        <v>18.32</v>
      </c>
      <c r="I256" t="s">
        <v>326</v>
      </c>
      <c r="J256" t="s">
        <v>418</v>
      </c>
      <c r="K256" t="s">
        <v>530</v>
      </c>
      <c r="L256" t="s">
        <v>203</v>
      </c>
      <c r="M256" t="s">
        <v>6</v>
      </c>
      <c r="N256" t="s">
        <v>51</v>
      </c>
      <c r="O256" t="s">
        <v>6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6</v>
      </c>
      <c r="AH256" t="s">
        <v>51</v>
      </c>
      <c r="AI256" t="s">
        <v>6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18.32</v>
      </c>
      <c r="AN256">
        <f>$H$256*$T$256</f>
        <v>18.32</v>
      </c>
      <c r="AO256">
        <f>$H$256*$U$256</f>
        <v>18.32</v>
      </c>
      <c r="AP256">
        <f>$H$256*$V$256</f>
        <v>18.32</v>
      </c>
      <c r="AQ256">
        <f>$H$256*$W$256</f>
        <v>18.32</v>
      </c>
      <c r="AR256">
        <f>$H$256*$X$256</f>
        <v>18.32</v>
      </c>
      <c r="AS256">
        <f>$H$256*$Y$256</f>
        <v>18.32</v>
      </c>
      <c r="AT256">
        <f>$H$256*$Z$256</f>
        <v>18.32</v>
      </c>
      <c r="AU256">
        <f>$H$256*$AA$256</f>
        <v>18.32</v>
      </c>
      <c r="AV256">
        <f>$H$256*$AB$256</f>
        <v>18.32</v>
      </c>
      <c r="AW256">
        <f>$H$256*$AC$256</f>
        <v>18.32</v>
      </c>
      <c r="AX256">
        <f>$H$256*$AD$256</f>
        <v>18.32</v>
      </c>
      <c r="AY256">
        <f>$H$256*$AE$256</f>
        <v>18.32</v>
      </c>
      <c r="AZ256">
        <f>$H$256*$AF$256</f>
        <v>18.32</v>
      </c>
    </row>
    <row r="257" spans="1:52" x14ac:dyDescent="0.25">
      <c r="A257">
        <v>306</v>
      </c>
      <c r="B257" t="s">
        <v>6</v>
      </c>
      <c r="C257" t="s">
        <v>419</v>
      </c>
      <c r="D257">
        <v>22.77</v>
      </c>
      <c r="E257">
        <v>73.319999999999993</v>
      </c>
      <c r="F257" t="s">
        <v>303</v>
      </c>
      <c r="G257">
        <v>3.22</v>
      </c>
      <c r="H257">
        <v>87.98</v>
      </c>
      <c r="I257" t="s">
        <v>326</v>
      </c>
      <c r="J257" t="s">
        <v>416</v>
      </c>
      <c r="K257" t="s">
        <v>531</v>
      </c>
      <c r="L257" t="s">
        <v>203</v>
      </c>
      <c r="M257" t="s">
        <v>6</v>
      </c>
      <c r="N257" t="s">
        <v>51</v>
      </c>
      <c r="O257" t="s">
        <v>6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6</v>
      </c>
      <c r="AH257" t="s">
        <v>51</v>
      </c>
      <c r="AI257" t="s">
        <v>6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87.98</v>
      </c>
      <c r="AN257">
        <f>$H$257*$T$257</f>
        <v>87.98</v>
      </c>
      <c r="AO257">
        <f>$H$257*$U$257</f>
        <v>87.98</v>
      </c>
      <c r="AP257">
        <f>$H$257*$V$257</f>
        <v>87.98</v>
      </c>
      <c r="AQ257">
        <f>$H$257*$W$257</f>
        <v>87.98</v>
      </c>
      <c r="AR257">
        <f>$H$257*$X$257</f>
        <v>87.98</v>
      </c>
      <c r="AS257">
        <f>$H$257*$Y$257</f>
        <v>87.98</v>
      </c>
      <c r="AT257">
        <f>$H$257*$Z$257</f>
        <v>87.98</v>
      </c>
      <c r="AU257">
        <f>$H$257*$AA$257</f>
        <v>87.98</v>
      </c>
      <c r="AV257">
        <f>$H$257*$AB$257</f>
        <v>87.98</v>
      </c>
      <c r="AW257">
        <f>$H$257*$AC$257</f>
        <v>87.98</v>
      </c>
      <c r="AX257">
        <f>$H$257*$AD$257</f>
        <v>87.98</v>
      </c>
      <c r="AY257">
        <f>$H$257*$AE$257</f>
        <v>87.98</v>
      </c>
      <c r="AZ257">
        <f>$H$257*$AF$257</f>
        <v>87.98</v>
      </c>
    </row>
    <row r="258" spans="1:52" x14ac:dyDescent="0.25">
      <c r="A258">
        <v>307</v>
      </c>
      <c r="B258" t="s">
        <v>265</v>
      </c>
      <c r="C258" t="s">
        <v>365</v>
      </c>
      <c r="D258">
        <v>4</v>
      </c>
      <c r="E258">
        <v>53.08</v>
      </c>
      <c r="F258" t="s">
        <v>290</v>
      </c>
      <c r="G258">
        <v>13.27</v>
      </c>
      <c r="H258">
        <v>63.7</v>
      </c>
      <c r="I258" t="s">
        <v>292</v>
      </c>
      <c r="J258" t="s">
        <v>366</v>
      </c>
      <c r="K258" t="s">
        <v>505</v>
      </c>
      <c r="L258" t="s">
        <v>203</v>
      </c>
      <c r="M258" t="s">
        <v>265</v>
      </c>
      <c r="N258" t="s">
        <v>12</v>
      </c>
      <c r="O258" t="s">
        <v>266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265</v>
      </c>
      <c r="AH258" t="s">
        <v>12</v>
      </c>
      <c r="AI258" t="s">
        <v>266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63.7</v>
      </c>
      <c r="AS258">
        <f>$H$258*$Y$258</f>
        <v>63.7</v>
      </c>
      <c r="AT258">
        <f>$H$258*$Z$258</f>
        <v>63.7</v>
      </c>
      <c r="AU258">
        <f>$H$258*$AA$258</f>
        <v>63.7</v>
      </c>
      <c r="AV258">
        <f>$H$258*$AB$258</f>
        <v>63.7</v>
      </c>
      <c r="AW258">
        <f>$H$258*$AC$258</f>
        <v>63.7</v>
      </c>
      <c r="AX258">
        <f>$H$258*$AD$258</f>
        <v>63.7</v>
      </c>
      <c r="AY258">
        <f>$H$258*$AE$258</f>
        <v>63.7</v>
      </c>
      <c r="AZ258">
        <f>$H$258*$AF$258</f>
        <v>63.7</v>
      </c>
    </row>
    <row r="259" spans="1:52" x14ac:dyDescent="0.25">
      <c r="A259">
        <v>308</v>
      </c>
      <c r="B259" t="s">
        <v>265</v>
      </c>
      <c r="C259" t="s">
        <v>464</v>
      </c>
      <c r="D259">
        <v>1</v>
      </c>
      <c r="E259">
        <v>63.51</v>
      </c>
      <c r="F259" t="s">
        <v>290</v>
      </c>
      <c r="G259">
        <v>63.51</v>
      </c>
      <c r="H259">
        <v>76.209999999999994</v>
      </c>
      <c r="I259" t="s">
        <v>295</v>
      </c>
      <c r="J259" t="s">
        <v>321</v>
      </c>
      <c r="K259" t="s">
        <v>554</v>
      </c>
      <c r="L259" t="s">
        <v>203</v>
      </c>
      <c r="M259" t="s">
        <v>265</v>
      </c>
      <c r="N259" t="s">
        <v>12</v>
      </c>
      <c r="O259" t="s">
        <v>266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1</v>
      </c>
      <c r="AE259">
        <v>1</v>
      </c>
      <c r="AF259">
        <v>1</v>
      </c>
      <c r="AG259" t="s">
        <v>265</v>
      </c>
      <c r="AH259" t="s">
        <v>12</v>
      </c>
      <c r="AI259" t="s">
        <v>266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0</v>
      </c>
      <c r="AQ259">
        <f>$H$259*$W$259</f>
        <v>0</v>
      </c>
      <c r="AR259">
        <f>$H$259*$X$259</f>
        <v>0</v>
      </c>
      <c r="AS259">
        <f>$H$259*$Y$259</f>
        <v>0</v>
      </c>
      <c r="AT259">
        <f>$H$259*$Z$259</f>
        <v>0</v>
      </c>
      <c r="AU259">
        <f>$H$259*$AA$259</f>
        <v>0</v>
      </c>
      <c r="AV259">
        <f>$H$259*$AB$259</f>
        <v>0</v>
      </c>
      <c r="AW259">
        <f>$H$259*$AC$259</f>
        <v>0</v>
      </c>
      <c r="AX259">
        <f>$H$259*$AD$259</f>
        <v>76.209999999999994</v>
      </c>
      <c r="AY259">
        <f>$H$259*$AE$259</f>
        <v>76.209999999999994</v>
      </c>
      <c r="AZ259">
        <f>$H$259*$AF$259</f>
        <v>76.209999999999994</v>
      </c>
    </row>
    <row r="260" spans="1:52" x14ac:dyDescent="0.25">
      <c r="A260">
        <v>309</v>
      </c>
      <c r="B260" t="s">
        <v>265</v>
      </c>
      <c r="C260" t="s">
        <v>311</v>
      </c>
      <c r="D260">
        <v>346.67</v>
      </c>
      <c r="E260">
        <v>339.74</v>
      </c>
      <c r="F260" t="s">
        <v>303</v>
      </c>
      <c r="G260">
        <v>0.98</v>
      </c>
      <c r="H260">
        <v>407.68</v>
      </c>
      <c r="I260" t="s">
        <v>286</v>
      </c>
      <c r="J260" t="s">
        <v>312</v>
      </c>
      <c r="K260" t="s">
        <v>479</v>
      </c>
      <c r="L260" t="s">
        <v>203</v>
      </c>
      <c r="M260" t="s">
        <v>265</v>
      </c>
      <c r="N260" t="s">
        <v>12</v>
      </c>
      <c r="O260" t="s">
        <v>266</v>
      </c>
      <c r="P260">
        <v>0</v>
      </c>
      <c r="Q260">
        <v>0</v>
      </c>
      <c r="R260">
        <v>0</v>
      </c>
      <c r="S260">
        <v>0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265</v>
      </c>
      <c r="AH260" t="s">
        <v>12</v>
      </c>
      <c r="AI260" t="s">
        <v>266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407.68</v>
      </c>
      <c r="AO260">
        <f>$H$260*$U$260</f>
        <v>407.68</v>
      </c>
      <c r="AP260">
        <f>$H$260*$V$260</f>
        <v>407.68</v>
      </c>
      <c r="AQ260">
        <f>$H$260*$W$260</f>
        <v>407.68</v>
      </c>
      <c r="AR260">
        <f>$H$260*$X$260</f>
        <v>407.68</v>
      </c>
      <c r="AS260">
        <f>$H$260*$Y$260</f>
        <v>407.68</v>
      </c>
      <c r="AT260">
        <f>$H$260*$Z$260</f>
        <v>407.68</v>
      </c>
      <c r="AU260">
        <f>$H$260*$AA$260</f>
        <v>407.68</v>
      </c>
      <c r="AV260">
        <f>$H$260*$AB$260</f>
        <v>407.68</v>
      </c>
      <c r="AW260">
        <f>$H$260*$AC$260</f>
        <v>407.68</v>
      </c>
      <c r="AX260">
        <f>$H$260*$AD$260</f>
        <v>407.68</v>
      </c>
      <c r="AY260">
        <f>$H$260*$AE$260</f>
        <v>407.68</v>
      </c>
      <c r="AZ260">
        <f>$H$260*$AF$260</f>
        <v>407.68</v>
      </c>
    </row>
    <row r="261" spans="1:52" x14ac:dyDescent="0.25">
      <c r="A261">
        <v>310</v>
      </c>
      <c r="B261" t="s">
        <v>265</v>
      </c>
      <c r="C261" t="s">
        <v>404</v>
      </c>
      <c r="D261">
        <v>346.67</v>
      </c>
      <c r="E261">
        <v>925.61</v>
      </c>
      <c r="F261" t="s">
        <v>303</v>
      </c>
      <c r="G261">
        <v>2.67</v>
      </c>
      <c r="H261">
        <v>1110.73</v>
      </c>
      <c r="I261" t="s">
        <v>314</v>
      </c>
      <c r="J261" t="s">
        <v>405</v>
      </c>
      <c r="K261" t="s">
        <v>524</v>
      </c>
      <c r="L261" t="s">
        <v>203</v>
      </c>
      <c r="M261" t="s">
        <v>265</v>
      </c>
      <c r="N261" t="s">
        <v>12</v>
      </c>
      <c r="O261" t="s">
        <v>266</v>
      </c>
      <c r="P261">
        <v>0</v>
      </c>
      <c r="Q261">
        <v>0</v>
      </c>
      <c r="R261">
        <v>0</v>
      </c>
      <c r="S261">
        <v>0.25</v>
      </c>
      <c r="T261">
        <v>0.25</v>
      </c>
      <c r="U261">
        <v>0.25</v>
      </c>
      <c r="V261">
        <v>0.25</v>
      </c>
      <c r="W261">
        <v>0.25</v>
      </c>
      <c r="X261">
        <v>0.5</v>
      </c>
      <c r="Y261">
        <v>0.5</v>
      </c>
      <c r="Z261">
        <v>0.5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265</v>
      </c>
      <c r="AH261" t="s">
        <v>12</v>
      </c>
      <c r="AI261" t="s">
        <v>266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277.6825</v>
      </c>
      <c r="AN261">
        <f>$H$261*$T$261</f>
        <v>277.6825</v>
      </c>
      <c r="AO261">
        <f>$H$261*$U$261</f>
        <v>277.6825</v>
      </c>
      <c r="AP261">
        <f>$H$261*$V$261</f>
        <v>277.6825</v>
      </c>
      <c r="AQ261">
        <f>$H$261*$W$261</f>
        <v>277.6825</v>
      </c>
      <c r="AR261">
        <f>$H$261*$X$261</f>
        <v>555.36500000000001</v>
      </c>
      <c r="AS261">
        <f>$H$261*$Y$261</f>
        <v>555.36500000000001</v>
      </c>
      <c r="AT261">
        <f>$H$261*$Z$261</f>
        <v>555.36500000000001</v>
      </c>
      <c r="AU261">
        <f>$H$261*$AA$261</f>
        <v>1110.73</v>
      </c>
      <c r="AV261">
        <f>$H$261*$AB$261</f>
        <v>1110.73</v>
      </c>
      <c r="AW261">
        <f>$H$261*$AC$261</f>
        <v>1110.73</v>
      </c>
      <c r="AX261">
        <f>$H$261*$AD$261</f>
        <v>1110.73</v>
      </c>
      <c r="AY261">
        <f>$H$261*$AE$261</f>
        <v>1110.73</v>
      </c>
      <c r="AZ261">
        <f>$H$261*$AF$261</f>
        <v>1110.73</v>
      </c>
    </row>
    <row r="262" spans="1:52" x14ac:dyDescent="0.25">
      <c r="A262">
        <v>311</v>
      </c>
      <c r="B262" t="s">
        <v>265</v>
      </c>
      <c r="C262" t="s">
        <v>429</v>
      </c>
      <c r="D262">
        <v>43.33</v>
      </c>
      <c r="E262">
        <v>152.52000000000001</v>
      </c>
      <c r="F262" t="s">
        <v>285</v>
      </c>
      <c r="G262">
        <v>3.52</v>
      </c>
      <c r="H262">
        <v>183.02</v>
      </c>
      <c r="I262" t="s">
        <v>289</v>
      </c>
      <c r="J262" t="s">
        <v>407</v>
      </c>
      <c r="K262" t="s">
        <v>537</v>
      </c>
      <c r="L262" t="s">
        <v>203</v>
      </c>
      <c r="M262" t="s">
        <v>265</v>
      </c>
      <c r="N262" t="s">
        <v>12</v>
      </c>
      <c r="O262" t="s">
        <v>266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265</v>
      </c>
      <c r="AH262" t="s">
        <v>12</v>
      </c>
      <c r="AI262" t="s">
        <v>266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183.02</v>
      </c>
      <c r="AN262">
        <f>$H$262*$T$262</f>
        <v>183.02</v>
      </c>
      <c r="AO262">
        <f>$H$262*$U$262</f>
        <v>183.02</v>
      </c>
      <c r="AP262">
        <f>$H$262*$V$262</f>
        <v>183.02</v>
      </c>
      <c r="AQ262">
        <f>$H$262*$W$262</f>
        <v>183.02</v>
      </c>
      <c r="AR262">
        <f>$H$262*$X$262</f>
        <v>183.02</v>
      </c>
      <c r="AS262">
        <f>$H$262*$Y$262</f>
        <v>183.02</v>
      </c>
      <c r="AT262">
        <f>$H$262*$Z$262</f>
        <v>183.02</v>
      </c>
      <c r="AU262">
        <f>$H$262*$AA$262</f>
        <v>183.02</v>
      </c>
      <c r="AV262">
        <f>$H$262*$AB$262</f>
        <v>183.02</v>
      </c>
      <c r="AW262">
        <f>$H$262*$AC$262</f>
        <v>183.02</v>
      </c>
      <c r="AX262">
        <f>$H$262*$AD$262</f>
        <v>183.02</v>
      </c>
      <c r="AY262">
        <f>$H$262*$AE$262</f>
        <v>183.02</v>
      </c>
      <c r="AZ262">
        <f>$H$262*$AF$262</f>
        <v>183.02</v>
      </c>
    </row>
    <row r="263" spans="1:52" x14ac:dyDescent="0.25">
      <c r="A263">
        <v>312</v>
      </c>
      <c r="B263" t="s">
        <v>265</v>
      </c>
      <c r="C263" t="s">
        <v>404</v>
      </c>
      <c r="D263">
        <v>114</v>
      </c>
      <c r="E263">
        <v>304.38</v>
      </c>
      <c r="F263" t="s">
        <v>303</v>
      </c>
      <c r="G263">
        <v>2.67</v>
      </c>
      <c r="H263">
        <v>365.26</v>
      </c>
      <c r="I263" t="s">
        <v>314</v>
      </c>
      <c r="J263" t="s">
        <v>405</v>
      </c>
      <c r="K263" t="s">
        <v>524</v>
      </c>
      <c r="L263" t="s">
        <v>203</v>
      </c>
      <c r="M263" t="s">
        <v>265</v>
      </c>
      <c r="N263" t="s">
        <v>12</v>
      </c>
      <c r="O263" t="s">
        <v>266</v>
      </c>
      <c r="P263">
        <v>0</v>
      </c>
      <c r="Q263">
        <v>0</v>
      </c>
      <c r="R263">
        <v>0</v>
      </c>
      <c r="S263">
        <v>0.25</v>
      </c>
      <c r="T263">
        <v>0.25</v>
      </c>
      <c r="U263">
        <v>0.25</v>
      </c>
      <c r="V263">
        <v>0.25</v>
      </c>
      <c r="W263">
        <v>0.25</v>
      </c>
      <c r="X263">
        <v>0.5</v>
      </c>
      <c r="Y263">
        <v>0.5</v>
      </c>
      <c r="Z263">
        <v>0.5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265</v>
      </c>
      <c r="AH263" t="s">
        <v>12</v>
      </c>
      <c r="AI263" t="s">
        <v>266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91.314999999999998</v>
      </c>
      <c r="AN263">
        <f>$H$263*$T$263</f>
        <v>91.314999999999998</v>
      </c>
      <c r="AO263">
        <f>$H$263*$U$263</f>
        <v>91.314999999999998</v>
      </c>
      <c r="AP263">
        <f>$H$263*$V$263</f>
        <v>91.314999999999998</v>
      </c>
      <c r="AQ263">
        <f>$H$263*$W$263</f>
        <v>91.314999999999998</v>
      </c>
      <c r="AR263">
        <f>$H$263*$X$263</f>
        <v>182.63</v>
      </c>
      <c r="AS263">
        <f>$H$263*$Y$263</f>
        <v>182.63</v>
      </c>
      <c r="AT263">
        <f>$H$263*$Z$263</f>
        <v>182.63</v>
      </c>
      <c r="AU263">
        <f>$H$263*$AA$263</f>
        <v>365.26</v>
      </c>
      <c r="AV263">
        <f>$H$263*$AB$263</f>
        <v>365.26</v>
      </c>
      <c r="AW263">
        <f>$H$263*$AC$263</f>
        <v>365.26</v>
      </c>
      <c r="AX263">
        <f>$H$263*$AD$263</f>
        <v>365.26</v>
      </c>
      <c r="AY263">
        <f>$H$263*$AE$263</f>
        <v>365.26</v>
      </c>
      <c r="AZ263">
        <f>$H$263*$AF$263</f>
        <v>365.26</v>
      </c>
    </row>
    <row r="264" spans="1:52" x14ac:dyDescent="0.25">
      <c r="A264">
        <v>313</v>
      </c>
      <c r="B264" t="s">
        <v>265</v>
      </c>
      <c r="C264" t="s">
        <v>410</v>
      </c>
      <c r="D264">
        <v>114</v>
      </c>
      <c r="E264">
        <v>71.819999999999993</v>
      </c>
      <c r="F264" t="s">
        <v>303</v>
      </c>
      <c r="G264">
        <v>0.63</v>
      </c>
      <c r="H264">
        <v>86.18</v>
      </c>
      <c r="I264" t="s">
        <v>286</v>
      </c>
      <c r="J264" t="s">
        <v>411</v>
      </c>
      <c r="K264" t="s">
        <v>527</v>
      </c>
      <c r="L264" t="s">
        <v>203</v>
      </c>
      <c r="M264" t="s">
        <v>265</v>
      </c>
      <c r="N264" t="s">
        <v>12</v>
      </c>
      <c r="O264" t="s">
        <v>266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1</v>
      </c>
      <c r="AE264">
        <v>1</v>
      </c>
      <c r="AF264">
        <v>1</v>
      </c>
      <c r="AG264" t="s">
        <v>265</v>
      </c>
      <c r="AH264" t="s">
        <v>12</v>
      </c>
      <c r="AI264" t="s">
        <v>266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0</v>
      </c>
      <c r="AO264">
        <f>$H$264*$U$264</f>
        <v>0</v>
      </c>
      <c r="AP264">
        <f>$H$264*$V$264</f>
        <v>0</v>
      </c>
      <c r="AQ264">
        <f>$H$264*$W$264</f>
        <v>0</v>
      </c>
      <c r="AR264">
        <f>$H$264*$X$264</f>
        <v>0</v>
      </c>
      <c r="AS264">
        <f>$H$264*$Y$264</f>
        <v>0</v>
      </c>
      <c r="AT264">
        <f>$H$264*$Z$264</f>
        <v>0</v>
      </c>
      <c r="AU264">
        <f>$H$264*$AA$264</f>
        <v>0</v>
      </c>
      <c r="AV264">
        <f>$H$264*$AB$264</f>
        <v>0</v>
      </c>
      <c r="AW264">
        <f>$H$264*$AC$264</f>
        <v>0</v>
      </c>
      <c r="AX264">
        <f>$H$264*$AD$264</f>
        <v>86.18</v>
      </c>
      <c r="AY264">
        <f>$H$264*$AE$264</f>
        <v>86.18</v>
      </c>
      <c r="AZ264">
        <f>$H$264*$AF$264</f>
        <v>86.18</v>
      </c>
    </row>
    <row r="265" spans="1:52" x14ac:dyDescent="0.25">
      <c r="A265">
        <v>314</v>
      </c>
      <c r="B265" t="s">
        <v>265</v>
      </c>
      <c r="C265" t="s">
        <v>412</v>
      </c>
      <c r="D265">
        <v>114</v>
      </c>
      <c r="E265">
        <v>78.66</v>
      </c>
      <c r="F265" t="s">
        <v>303</v>
      </c>
      <c r="G265">
        <v>0.69</v>
      </c>
      <c r="H265">
        <v>94.4</v>
      </c>
      <c r="I265" t="s">
        <v>286</v>
      </c>
      <c r="J265" t="s">
        <v>413</v>
      </c>
      <c r="K265" t="s">
        <v>528</v>
      </c>
      <c r="L265" t="s">
        <v>203</v>
      </c>
      <c r="M265" t="s">
        <v>265</v>
      </c>
      <c r="N265" t="s">
        <v>12</v>
      </c>
      <c r="O265" t="s">
        <v>266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265</v>
      </c>
      <c r="AH265" t="s">
        <v>12</v>
      </c>
      <c r="AI265" t="s">
        <v>266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94.4</v>
      </c>
      <c r="AN265">
        <f>$H$265*$T$265</f>
        <v>94.4</v>
      </c>
      <c r="AO265">
        <f>$H$265*$U$265</f>
        <v>94.4</v>
      </c>
      <c r="AP265">
        <f>$H$265*$V$265</f>
        <v>94.4</v>
      </c>
      <c r="AQ265">
        <f>$H$265*$W$265</f>
        <v>94.4</v>
      </c>
      <c r="AR265">
        <f>$H$265*$X$265</f>
        <v>94.4</v>
      </c>
      <c r="AS265">
        <f>$H$265*$Y$265</f>
        <v>94.4</v>
      </c>
      <c r="AT265">
        <f>$H$265*$Z$265</f>
        <v>94.4</v>
      </c>
      <c r="AU265">
        <f>$H$265*$AA$265</f>
        <v>94.4</v>
      </c>
      <c r="AV265">
        <f>$H$265*$AB$265</f>
        <v>94.4</v>
      </c>
      <c r="AW265">
        <f>$H$265*$AC$265</f>
        <v>94.4</v>
      </c>
      <c r="AX265">
        <f>$H$265*$AD$265</f>
        <v>94.4</v>
      </c>
      <c r="AY265">
        <f>$H$265*$AE$265</f>
        <v>94.4</v>
      </c>
      <c r="AZ265">
        <f>$H$265*$AF$265</f>
        <v>94.4</v>
      </c>
    </row>
    <row r="266" spans="1:52" x14ac:dyDescent="0.25">
      <c r="A266">
        <v>315</v>
      </c>
      <c r="B266" t="s">
        <v>265</v>
      </c>
      <c r="C266" t="s">
        <v>414</v>
      </c>
      <c r="D266">
        <v>26.22</v>
      </c>
      <c r="E266">
        <v>105.67</v>
      </c>
      <c r="F266" t="s">
        <v>303</v>
      </c>
      <c r="G266">
        <v>4.03</v>
      </c>
      <c r="H266">
        <v>126.81</v>
      </c>
      <c r="I266" t="s">
        <v>415</v>
      </c>
      <c r="J266" t="s">
        <v>416</v>
      </c>
      <c r="K266" t="s">
        <v>529</v>
      </c>
      <c r="L266" t="s">
        <v>203</v>
      </c>
      <c r="M266" t="s">
        <v>265</v>
      </c>
      <c r="N266" t="s">
        <v>12</v>
      </c>
      <c r="O266" t="s">
        <v>266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265</v>
      </c>
      <c r="AH266" t="s">
        <v>12</v>
      </c>
      <c r="AI266" t="s">
        <v>266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126.81</v>
      </c>
      <c r="AN266">
        <f>$H$266*$T$266</f>
        <v>126.81</v>
      </c>
      <c r="AO266">
        <f>$H$266*$U$266</f>
        <v>126.81</v>
      </c>
      <c r="AP266">
        <f>$H$266*$V$266</f>
        <v>126.81</v>
      </c>
      <c r="AQ266">
        <f>$H$266*$W$266</f>
        <v>126.81</v>
      </c>
      <c r="AR266">
        <f>$H$266*$X$266</f>
        <v>126.81</v>
      </c>
      <c r="AS266">
        <f>$H$266*$Y$266</f>
        <v>126.81</v>
      </c>
      <c r="AT266">
        <f>$H$266*$Z$266</f>
        <v>126.81</v>
      </c>
      <c r="AU266">
        <f>$H$266*$AA$266</f>
        <v>126.81</v>
      </c>
      <c r="AV266">
        <f>$H$266*$AB$266</f>
        <v>126.81</v>
      </c>
      <c r="AW266">
        <f>$H$266*$AC$266</f>
        <v>126.81</v>
      </c>
      <c r="AX266">
        <f>$H$266*$AD$266</f>
        <v>126.81</v>
      </c>
      <c r="AY266">
        <f>$H$266*$AE$266</f>
        <v>126.81</v>
      </c>
      <c r="AZ266">
        <f>$H$266*$AF$266</f>
        <v>126.81</v>
      </c>
    </row>
    <row r="267" spans="1:52" x14ac:dyDescent="0.25">
      <c r="A267">
        <v>316</v>
      </c>
      <c r="B267" t="s">
        <v>265</v>
      </c>
      <c r="C267" t="s">
        <v>417</v>
      </c>
      <c r="D267">
        <v>104.88</v>
      </c>
      <c r="E267">
        <v>70.27</v>
      </c>
      <c r="F267" t="s">
        <v>303</v>
      </c>
      <c r="G267">
        <v>0.67</v>
      </c>
      <c r="H267">
        <v>84.33</v>
      </c>
      <c r="I267" t="s">
        <v>326</v>
      </c>
      <c r="J267" t="s">
        <v>418</v>
      </c>
      <c r="K267" t="s">
        <v>530</v>
      </c>
      <c r="L267" t="s">
        <v>203</v>
      </c>
      <c r="M267" t="s">
        <v>265</v>
      </c>
      <c r="N267" t="s">
        <v>12</v>
      </c>
      <c r="O267" t="s">
        <v>266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265</v>
      </c>
      <c r="AH267" t="s">
        <v>12</v>
      </c>
      <c r="AI267" t="s">
        <v>266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84.33</v>
      </c>
      <c r="AN267">
        <f>$H$267*$T$267</f>
        <v>84.33</v>
      </c>
      <c r="AO267">
        <f>$H$267*$U$267</f>
        <v>84.33</v>
      </c>
      <c r="AP267">
        <f>$H$267*$V$267</f>
        <v>84.33</v>
      </c>
      <c r="AQ267">
        <f>$H$267*$W$267</f>
        <v>84.33</v>
      </c>
      <c r="AR267">
        <f>$H$267*$X$267</f>
        <v>84.33</v>
      </c>
      <c r="AS267">
        <f>$H$267*$Y$267</f>
        <v>84.33</v>
      </c>
      <c r="AT267">
        <f>$H$267*$Z$267</f>
        <v>84.33</v>
      </c>
      <c r="AU267">
        <f>$H$267*$AA$267</f>
        <v>84.33</v>
      </c>
      <c r="AV267">
        <f>$H$267*$AB$267</f>
        <v>84.33</v>
      </c>
      <c r="AW267">
        <f>$H$267*$AC$267</f>
        <v>84.33</v>
      </c>
      <c r="AX267">
        <f>$H$267*$AD$267</f>
        <v>84.33</v>
      </c>
      <c r="AY267">
        <f>$H$267*$AE$267</f>
        <v>84.33</v>
      </c>
      <c r="AZ267">
        <f>$H$267*$AF$267</f>
        <v>84.33</v>
      </c>
    </row>
    <row r="268" spans="1:52" x14ac:dyDescent="0.25">
      <c r="A268">
        <v>317</v>
      </c>
      <c r="B268" t="s">
        <v>265</v>
      </c>
      <c r="C268" t="s">
        <v>419</v>
      </c>
      <c r="D268">
        <v>104.88</v>
      </c>
      <c r="E268">
        <v>337.71</v>
      </c>
      <c r="F268" t="s">
        <v>303</v>
      </c>
      <c r="G268">
        <v>3.22</v>
      </c>
      <c r="H268">
        <v>405.25</v>
      </c>
      <c r="I268" t="s">
        <v>326</v>
      </c>
      <c r="J268" t="s">
        <v>416</v>
      </c>
      <c r="K268" t="s">
        <v>531</v>
      </c>
      <c r="L268" t="s">
        <v>203</v>
      </c>
      <c r="M268" t="s">
        <v>265</v>
      </c>
      <c r="N268" t="s">
        <v>12</v>
      </c>
      <c r="O268" t="s">
        <v>266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265</v>
      </c>
      <c r="AH268" t="s">
        <v>12</v>
      </c>
      <c r="AI268" t="s">
        <v>266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405.25</v>
      </c>
      <c r="AN268">
        <f>$H$268*$T$268</f>
        <v>405.25</v>
      </c>
      <c r="AO268">
        <f>$H$268*$U$268</f>
        <v>405.25</v>
      </c>
      <c r="AP268">
        <f>$H$268*$V$268</f>
        <v>405.25</v>
      </c>
      <c r="AQ268">
        <f>$H$268*$W$268</f>
        <v>405.25</v>
      </c>
      <c r="AR268">
        <f>$H$268*$X$268</f>
        <v>405.25</v>
      </c>
      <c r="AS268">
        <f>$H$268*$Y$268</f>
        <v>405.25</v>
      </c>
      <c r="AT268">
        <f>$H$268*$Z$268</f>
        <v>405.25</v>
      </c>
      <c r="AU268">
        <f>$H$268*$AA$268</f>
        <v>405.25</v>
      </c>
      <c r="AV268">
        <f>$H$268*$AB$268</f>
        <v>405.25</v>
      </c>
      <c r="AW268">
        <f>$H$268*$AC$268</f>
        <v>405.25</v>
      </c>
      <c r="AX268">
        <f>$H$268*$AD$268</f>
        <v>405.25</v>
      </c>
      <c r="AY268">
        <f>$H$268*$AE$268</f>
        <v>405.25</v>
      </c>
      <c r="AZ268">
        <f>$H$268*$AF$268</f>
        <v>405.25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3"/>
  <sheetViews>
    <sheetView workbookViewId="0">
      <selection activeCell="I20" sqref="I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257</v>
      </c>
      <c r="B2">
        <v>32.619999999999997</v>
      </c>
      <c r="D2" t="s">
        <v>556</v>
      </c>
      <c r="E2">
        <v>7</v>
      </c>
      <c r="F2">
        <v>3</v>
      </c>
      <c r="G2">
        <v>4</v>
      </c>
      <c r="H2">
        <v>6</v>
      </c>
      <c r="I2">
        <v>8</v>
      </c>
      <c r="J2">
        <v>0</v>
      </c>
    </row>
    <row r="3" spans="1:10" x14ac:dyDescent="0.25">
      <c r="A3" t="s">
        <v>259</v>
      </c>
      <c r="B3">
        <v>20.25</v>
      </c>
      <c r="D3" t="s">
        <v>557</v>
      </c>
      <c r="E3">
        <v>4</v>
      </c>
      <c r="F3">
        <v>6</v>
      </c>
      <c r="G3">
        <v>4</v>
      </c>
      <c r="H3">
        <v>6</v>
      </c>
      <c r="I3">
        <v>8</v>
      </c>
      <c r="J3">
        <v>0</v>
      </c>
    </row>
    <row r="4" spans="1:10" x14ac:dyDescent="0.25">
      <c r="A4" t="s">
        <v>267</v>
      </c>
      <c r="B4">
        <v>28.5</v>
      </c>
      <c r="D4" t="s">
        <v>558</v>
      </c>
      <c r="E4">
        <v>6</v>
      </c>
      <c r="F4">
        <v>4</v>
      </c>
      <c r="G4">
        <v>4</v>
      </c>
      <c r="H4">
        <v>6</v>
      </c>
      <c r="I4">
        <v>8</v>
      </c>
      <c r="J4">
        <v>0</v>
      </c>
    </row>
    <row r="5" spans="1:10" x14ac:dyDescent="0.25">
      <c r="A5" t="s">
        <v>261</v>
      </c>
      <c r="B5">
        <v>81</v>
      </c>
      <c r="D5" t="s">
        <v>559</v>
      </c>
      <c r="E5">
        <v>9</v>
      </c>
      <c r="F5">
        <v>0</v>
      </c>
      <c r="G5">
        <v>9</v>
      </c>
      <c r="H5">
        <v>0</v>
      </c>
      <c r="I5">
        <v>8</v>
      </c>
      <c r="J5">
        <v>0</v>
      </c>
    </row>
    <row r="6" spans="1:10" x14ac:dyDescent="0.25">
      <c r="A6" t="s">
        <v>7</v>
      </c>
      <c r="B6">
        <v>89.25</v>
      </c>
      <c r="D6" t="s">
        <v>560</v>
      </c>
      <c r="E6">
        <v>9</v>
      </c>
      <c r="F6">
        <v>11</v>
      </c>
      <c r="G6">
        <v>9</v>
      </c>
      <c r="H6">
        <v>0</v>
      </c>
      <c r="I6">
        <v>8</v>
      </c>
      <c r="J6">
        <v>0</v>
      </c>
    </row>
    <row r="7" spans="1:10" x14ac:dyDescent="0.25">
      <c r="A7" t="s">
        <v>262</v>
      </c>
      <c r="B7">
        <v>137.22</v>
      </c>
      <c r="D7" t="s">
        <v>561</v>
      </c>
      <c r="E7">
        <v>12</v>
      </c>
      <c r="F7">
        <v>8</v>
      </c>
      <c r="G7">
        <v>10</v>
      </c>
      <c r="H7">
        <v>10</v>
      </c>
      <c r="I7">
        <v>8</v>
      </c>
      <c r="J7">
        <v>0</v>
      </c>
    </row>
    <row r="8" spans="1:10" x14ac:dyDescent="0.25">
      <c r="A8" t="s">
        <v>4</v>
      </c>
      <c r="B8">
        <v>81</v>
      </c>
      <c r="D8" t="s">
        <v>559</v>
      </c>
      <c r="E8">
        <v>9</v>
      </c>
      <c r="F8">
        <v>0</v>
      </c>
      <c r="G8">
        <v>9</v>
      </c>
      <c r="H8">
        <v>0</v>
      </c>
      <c r="I8">
        <v>8</v>
      </c>
      <c r="J8">
        <v>0</v>
      </c>
    </row>
    <row r="9" spans="1:10" x14ac:dyDescent="0.25">
      <c r="A9" t="s">
        <v>5</v>
      </c>
      <c r="B9">
        <v>39.270000000000003</v>
      </c>
      <c r="D9" t="s">
        <v>562</v>
      </c>
      <c r="E9">
        <v>7</v>
      </c>
      <c r="F9">
        <v>3</v>
      </c>
      <c r="G9">
        <v>5</v>
      </c>
      <c r="H9">
        <v>5</v>
      </c>
      <c r="I9">
        <v>8</v>
      </c>
      <c r="J9">
        <v>0</v>
      </c>
    </row>
    <row r="10" spans="1:10" x14ac:dyDescent="0.25">
      <c r="A10" t="s">
        <v>264</v>
      </c>
      <c r="B10">
        <v>229.06</v>
      </c>
      <c r="D10" t="s">
        <v>563</v>
      </c>
      <c r="E10">
        <v>18</v>
      </c>
      <c r="F10">
        <v>1</v>
      </c>
      <c r="G10">
        <v>12</v>
      </c>
      <c r="H10">
        <v>8</v>
      </c>
      <c r="I10">
        <v>8</v>
      </c>
      <c r="J10">
        <v>0</v>
      </c>
    </row>
    <row r="11" spans="1:10" x14ac:dyDescent="0.25">
      <c r="A11" t="s">
        <v>463</v>
      </c>
      <c r="B11">
        <v>50.17</v>
      </c>
      <c r="D11" t="s">
        <v>564</v>
      </c>
      <c r="E11">
        <v>7</v>
      </c>
      <c r="F11">
        <v>1</v>
      </c>
      <c r="G11">
        <v>7</v>
      </c>
      <c r="H11">
        <v>1</v>
      </c>
      <c r="I11">
        <v>8</v>
      </c>
      <c r="J11">
        <v>0</v>
      </c>
    </row>
    <row r="12" spans="1:10" x14ac:dyDescent="0.25">
      <c r="A12" t="s">
        <v>6</v>
      </c>
      <c r="B12">
        <v>24.75</v>
      </c>
      <c r="D12" t="s">
        <v>565</v>
      </c>
      <c r="E12">
        <v>9</v>
      </c>
      <c r="F12">
        <v>0</v>
      </c>
      <c r="G12">
        <v>2</v>
      </c>
      <c r="H12">
        <v>9</v>
      </c>
      <c r="I12">
        <v>8</v>
      </c>
      <c r="J12">
        <v>0</v>
      </c>
    </row>
    <row r="13" spans="1:10" x14ac:dyDescent="0.25">
      <c r="A13" t="s">
        <v>265</v>
      </c>
      <c r="B13">
        <v>114</v>
      </c>
      <c r="D13" t="s">
        <v>566</v>
      </c>
      <c r="E13">
        <v>12</v>
      </c>
      <c r="F13">
        <v>8</v>
      </c>
      <c r="G13">
        <v>9</v>
      </c>
      <c r="H13">
        <v>0</v>
      </c>
      <c r="I13">
        <v>8</v>
      </c>
      <c r="J13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7"/>
  <sheetViews>
    <sheetView workbookViewId="0">
      <selection activeCell="H14" sqref="H14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567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07:59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476</v>
      </c>
      <c r="H3" s="66" t="s">
        <v>189</v>
      </c>
      <c r="I3" s="66" t="s">
        <v>189</v>
      </c>
      <c r="J3" s="65" t="s">
        <v>26</v>
      </c>
      <c r="K3" s="65" t="s">
        <v>67</v>
      </c>
      <c r="L3" s="65"/>
      <c r="M3" s="65" t="s">
        <v>189</v>
      </c>
      <c r="N3" s="89" t="s">
        <v>189</v>
      </c>
      <c r="O3" s="89" t="s">
        <v>189</v>
      </c>
    </row>
    <row r="4" spans="1:16" x14ac:dyDescent="0.25">
      <c r="A4" s="46"/>
      <c r="B4" s="46"/>
      <c r="C4" s="46"/>
      <c r="D4" s="1"/>
      <c r="E4" s="1"/>
      <c r="G4" s="65" t="s">
        <v>468</v>
      </c>
      <c r="H4" s="66" t="s">
        <v>189</v>
      </c>
      <c r="I4" s="66">
        <v>55.741799999999998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1616.5121999999999</v>
      </c>
    </row>
    <row r="5" spans="1:16" x14ac:dyDescent="0.25">
      <c r="A5" s="41"/>
      <c r="B5" s="41"/>
      <c r="C5" s="41"/>
      <c r="D5" s="41"/>
      <c r="E5" s="41"/>
      <c r="G5" s="65" t="s">
        <v>492</v>
      </c>
      <c r="H5" s="66" t="s">
        <v>189</v>
      </c>
      <c r="I5" s="66" t="s">
        <v>189</v>
      </c>
      <c r="J5" s="65" t="s">
        <v>12</v>
      </c>
      <c r="K5" s="65" t="s">
        <v>68</v>
      </c>
      <c r="L5" s="65"/>
      <c r="M5" s="65" t="s">
        <v>189</v>
      </c>
      <c r="N5" s="89" t="s">
        <v>189</v>
      </c>
      <c r="O5" s="89" t="s">
        <v>189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259</v>
      </c>
      <c r="H6" s="65">
        <v>20.25</v>
      </c>
      <c r="I6" s="65">
        <v>1.88</v>
      </c>
      <c r="J6" s="65" t="s">
        <v>12</v>
      </c>
      <c r="K6" s="65" t="s">
        <v>260</v>
      </c>
      <c r="L6" s="65" t="s">
        <v>569</v>
      </c>
      <c r="M6" s="65" t="s">
        <v>128</v>
      </c>
      <c r="N6" s="89">
        <v>238</v>
      </c>
      <c r="O6" s="89">
        <v>447.44</v>
      </c>
      <c r="P6" s="93"/>
    </row>
    <row r="7" spans="1:16" x14ac:dyDescent="0.25">
      <c r="A7" s="2" t="s">
        <v>17</v>
      </c>
      <c r="B7" s="67">
        <v>1200</v>
      </c>
      <c r="C7" s="69">
        <v>111.48</v>
      </c>
      <c r="D7" s="1"/>
      <c r="E7" s="1"/>
      <c r="G7" s="65" t="s">
        <v>7</v>
      </c>
      <c r="H7" s="65">
        <v>89.25</v>
      </c>
      <c r="I7" s="65">
        <v>8.2899999999999991</v>
      </c>
      <c r="J7" s="65" t="s">
        <v>12</v>
      </c>
      <c r="K7" s="65" t="s">
        <v>7</v>
      </c>
      <c r="L7" s="65" t="s">
        <v>572</v>
      </c>
      <c r="M7" s="65" t="s">
        <v>128</v>
      </c>
      <c r="N7" s="89">
        <v>238</v>
      </c>
      <c r="O7" s="89">
        <v>1973.0199999999998</v>
      </c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5</v>
      </c>
      <c r="H8" s="65">
        <v>39.270000000000003</v>
      </c>
      <c r="I8" s="65">
        <v>3.65</v>
      </c>
      <c r="J8" s="65" t="s">
        <v>12</v>
      </c>
      <c r="K8" s="65" t="s">
        <v>5</v>
      </c>
      <c r="L8" s="65" t="s">
        <v>574</v>
      </c>
      <c r="M8" s="65" t="s">
        <v>124</v>
      </c>
      <c r="N8" s="89">
        <v>119</v>
      </c>
      <c r="O8" s="89">
        <v>434.34999999999997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264</v>
      </c>
      <c r="H9" s="65">
        <v>229.06</v>
      </c>
      <c r="I9" s="65">
        <v>21.28</v>
      </c>
      <c r="J9" s="65" t="s">
        <v>12</v>
      </c>
      <c r="K9" s="65" t="s">
        <v>14</v>
      </c>
      <c r="L9" s="65" t="s">
        <v>575</v>
      </c>
      <c r="M9" s="65" t="s">
        <v>124</v>
      </c>
      <c r="N9" s="89">
        <v>119</v>
      </c>
      <c r="O9" s="89">
        <v>2532.3200000000002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265</v>
      </c>
      <c r="H10" s="65">
        <v>114</v>
      </c>
      <c r="I10" s="65">
        <v>10.59</v>
      </c>
      <c r="J10" s="65" t="s">
        <v>12</v>
      </c>
      <c r="K10" s="65" t="s">
        <v>266</v>
      </c>
      <c r="L10" s="65" t="s">
        <v>577</v>
      </c>
      <c r="M10" s="65" t="s">
        <v>124</v>
      </c>
      <c r="N10" s="89">
        <v>119</v>
      </c>
      <c r="O10" s="89">
        <v>1260.21</v>
      </c>
    </row>
    <row r="11" spans="1:16" x14ac:dyDescent="0.25">
      <c r="A11" s="1" t="s">
        <v>57</v>
      </c>
      <c r="B11" s="42">
        <f>C14</f>
        <v>600</v>
      </c>
      <c r="C11" s="42">
        <f>C16</f>
        <v>55.741799999999998</v>
      </c>
      <c r="D11" s="1"/>
      <c r="E11" s="1"/>
      <c r="G11" s="65" t="s">
        <v>130</v>
      </c>
      <c r="H11" s="65" t="s">
        <v>189</v>
      </c>
      <c r="I11" s="65">
        <v>55.741799999999998</v>
      </c>
      <c r="J11" s="65" t="s">
        <v>11</v>
      </c>
      <c r="K11" s="65" t="s">
        <v>130</v>
      </c>
      <c r="L11" s="65"/>
      <c r="M11" s="65" t="s">
        <v>130</v>
      </c>
      <c r="N11" s="89">
        <v>34</v>
      </c>
      <c r="O11" s="89">
        <v>1895.2212</v>
      </c>
    </row>
    <row r="12" spans="1:16" x14ac:dyDescent="0.25">
      <c r="A12" s="1"/>
      <c r="B12" s="1"/>
      <c r="C12" s="1"/>
      <c r="D12" s="1"/>
      <c r="E12" s="1"/>
      <c r="G12" s="65" t="s">
        <v>257</v>
      </c>
      <c r="H12" s="65">
        <v>32.619999999999997</v>
      </c>
      <c r="I12" s="65">
        <v>3.03</v>
      </c>
      <c r="J12" s="65" t="s">
        <v>51</v>
      </c>
      <c r="K12" s="65" t="s">
        <v>13</v>
      </c>
      <c r="L12" s="65" t="s">
        <v>568</v>
      </c>
      <c r="M12" s="65" t="s">
        <v>128</v>
      </c>
      <c r="N12" s="89">
        <v>238</v>
      </c>
      <c r="O12" s="89">
        <v>721.14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267</v>
      </c>
      <c r="H13" s="65">
        <v>28.5</v>
      </c>
      <c r="I13" s="65">
        <v>2.65</v>
      </c>
      <c r="J13" s="65" t="s">
        <v>51</v>
      </c>
      <c r="K13" s="65" t="s">
        <v>15</v>
      </c>
      <c r="L13" s="65" t="s">
        <v>570</v>
      </c>
      <c r="M13" s="65" t="s">
        <v>124</v>
      </c>
      <c r="N13" s="89">
        <v>119</v>
      </c>
      <c r="O13" s="89">
        <v>315.34999999999997</v>
      </c>
    </row>
    <row r="14" spans="1:16" x14ac:dyDescent="0.25">
      <c r="A14" s="4" t="s">
        <v>49</v>
      </c>
      <c r="B14" s="42">
        <f>C14+D14+E14</f>
        <v>1200</v>
      </c>
      <c r="C14" s="42">
        <f>B7/B8</f>
        <v>600</v>
      </c>
      <c r="D14" s="42">
        <f>C14*B9</f>
        <v>0</v>
      </c>
      <c r="E14" s="42">
        <f>B7-C14</f>
        <v>600</v>
      </c>
      <c r="F14"/>
      <c r="G14" s="65" t="s">
        <v>261</v>
      </c>
      <c r="H14" s="65">
        <v>81</v>
      </c>
      <c r="I14" s="65">
        <v>7.53</v>
      </c>
      <c r="J14" s="65" t="s">
        <v>51</v>
      </c>
      <c r="K14" s="65" t="s">
        <v>4</v>
      </c>
      <c r="L14" s="65" t="s">
        <v>571</v>
      </c>
      <c r="M14" s="65" t="s">
        <v>124</v>
      </c>
      <c r="N14" s="89">
        <v>119</v>
      </c>
      <c r="O14" s="89">
        <v>896.07</v>
      </c>
    </row>
    <row r="15" spans="1:16" x14ac:dyDescent="0.25">
      <c r="A15" s="4" t="s">
        <v>50</v>
      </c>
      <c r="B15" s="42">
        <f>SUMIFS(H:H,G:G,"&lt;&gt;mech_single",G:G,"&lt;&gt;general",G:G,"&lt;&gt;general_main")</f>
        <v>876.92000000000007</v>
      </c>
      <c r="C15" s="42">
        <f>SUMIFS(H:H,G:G,"&lt;&gt;general_main",J:J,C13)</f>
        <v>491.83000000000004</v>
      </c>
      <c r="D15" s="42">
        <f>SUMIF($J:$J,D13,$H:$H)</f>
        <v>0</v>
      </c>
      <c r="E15" s="42">
        <f>SUMIF($J:$J,E13,$H:$H)</f>
        <v>385.09000000000003</v>
      </c>
      <c r="F15"/>
      <c r="G15" s="65" t="s">
        <v>262</v>
      </c>
      <c r="H15" s="65">
        <v>137.22</v>
      </c>
      <c r="I15" s="65">
        <v>12.75</v>
      </c>
      <c r="J15" s="65" t="s">
        <v>51</v>
      </c>
      <c r="K15" s="65" t="s">
        <v>4</v>
      </c>
      <c r="L15" s="65" t="s">
        <v>573</v>
      </c>
      <c r="M15" s="65" t="s">
        <v>124</v>
      </c>
      <c r="N15" s="89">
        <v>119</v>
      </c>
      <c r="O15" s="89">
        <v>1517.25</v>
      </c>
    </row>
    <row r="16" spans="1:16" x14ac:dyDescent="0.25">
      <c r="A16" s="4" t="s">
        <v>59</v>
      </c>
      <c r="B16" s="42">
        <f>B14*0.092903</f>
        <v>111.4836</v>
      </c>
      <c r="C16" s="42">
        <f t="shared" ref="C16:E17" si="0">C14*0.092903</f>
        <v>55.741799999999998</v>
      </c>
      <c r="D16" s="42">
        <f t="shared" si="0"/>
        <v>0</v>
      </c>
      <c r="E16" s="42">
        <f t="shared" si="0"/>
        <v>55.741799999999998</v>
      </c>
      <c r="F16"/>
      <c r="G16" s="65" t="s">
        <v>4</v>
      </c>
      <c r="H16" s="65">
        <v>81</v>
      </c>
      <c r="I16" s="65">
        <v>7.53</v>
      </c>
      <c r="J16" s="65" t="s">
        <v>51</v>
      </c>
      <c r="K16" s="65" t="s">
        <v>4</v>
      </c>
      <c r="L16" s="65" t="s">
        <v>571</v>
      </c>
      <c r="M16" s="65" t="s">
        <v>124</v>
      </c>
      <c r="N16" s="89">
        <v>119</v>
      </c>
      <c r="O16" s="89">
        <v>896.07</v>
      </c>
    </row>
    <row r="17" spans="1:15" x14ac:dyDescent="0.25">
      <c r="A17" s="4" t="s">
        <v>60</v>
      </c>
      <c r="B17" s="42">
        <f>B15*0.092903</f>
        <v>81.468498760000003</v>
      </c>
      <c r="C17" s="42">
        <f t="shared" si="0"/>
        <v>45.692482490000003</v>
      </c>
      <c r="D17" s="42">
        <f t="shared" si="0"/>
        <v>0</v>
      </c>
      <c r="E17" s="42">
        <f t="shared" si="0"/>
        <v>35.77601627</v>
      </c>
      <c r="F17"/>
      <c r="G17" s="65" t="s">
        <v>6</v>
      </c>
      <c r="H17" s="65">
        <v>24.75</v>
      </c>
      <c r="I17" s="65">
        <v>2.2999999999999998</v>
      </c>
      <c r="J17" s="65" t="s">
        <v>51</v>
      </c>
      <c r="K17" s="65" t="s">
        <v>6</v>
      </c>
      <c r="L17" s="65" t="s">
        <v>576</v>
      </c>
      <c r="M17" s="65" t="s">
        <v>124</v>
      </c>
      <c r="N17" s="89">
        <v>119</v>
      </c>
      <c r="O17" s="89">
        <v>273.7</v>
      </c>
    </row>
    <row r="18" spans="1:15" x14ac:dyDescent="0.25">
      <c r="A18" s="4" t="s">
        <v>44</v>
      </c>
      <c r="B18" s="43">
        <f>IF(B14&gt;0,B15/B14,"")</f>
        <v>0.73076666666666668</v>
      </c>
      <c r="C18" s="43">
        <f t="shared" ref="C18:E18" si="1">IF(C14&gt;0,C15/C14,"")</f>
        <v>0.81971666666666676</v>
      </c>
      <c r="D18" s="43" t="str">
        <f t="shared" si="1"/>
        <v/>
      </c>
      <c r="E18" s="43">
        <f t="shared" si="1"/>
        <v>0.6418166666666667</v>
      </c>
      <c r="F18"/>
      <c r="G18" s="65"/>
      <c r="H18" s="65"/>
      <c r="I18" s="65"/>
      <c r="J18" s="65"/>
      <c r="K18" s="65"/>
      <c r="L18" s="65"/>
      <c r="M18" s="65"/>
      <c r="N18" s="89"/>
      <c r="O18" s="89"/>
    </row>
    <row r="19" spans="1:15" x14ac:dyDescent="0.25">
      <c r="A19" s="1"/>
      <c r="B19" s="1"/>
      <c r="C19" s="1"/>
      <c r="D19" s="1"/>
      <c r="E19" s="1"/>
      <c r="F19"/>
      <c r="G19" s="65"/>
      <c r="H19" s="65"/>
      <c r="I19" s="65"/>
      <c r="J19" s="65"/>
      <c r="K19" s="65"/>
      <c r="L19" s="65"/>
      <c r="M19" s="65"/>
      <c r="N19" s="89"/>
      <c r="O19" s="89"/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/>
      <c r="H20" s="65"/>
      <c r="I20" s="65"/>
      <c r="J20" s="65"/>
      <c r="K20" s="65"/>
      <c r="L20" s="65"/>
      <c r="M20" s="65"/>
      <c r="N20" s="89"/>
      <c r="O20" s="89"/>
    </row>
    <row r="21" spans="1:15" x14ac:dyDescent="0.25">
      <c r="A21" s="71" t="s">
        <v>129</v>
      </c>
      <c r="B21" s="90">
        <f>SUM(C21:E21)</f>
        <v>3233.0243999999998</v>
      </c>
      <c r="C21" s="90">
        <f>C16*VLOOKUP($A21,$M$3:$N$37,2,FALSE)</f>
        <v>1616.5121999999999</v>
      </c>
      <c r="D21" s="90">
        <f t="shared" ref="D21:E21" si="2">D16*VLOOKUP($A21,$M$3:$N$37,2,FALSE)</f>
        <v>0</v>
      </c>
      <c r="E21" s="90">
        <f t="shared" si="2"/>
        <v>1616.5121999999999</v>
      </c>
      <c r="F21"/>
      <c r="G21" s="65"/>
      <c r="H21" s="65"/>
      <c r="I21" s="65"/>
      <c r="J21" s="65"/>
      <c r="K21" s="65"/>
      <c r="L21" s="65"/>
      <c r="M21" s="65"/>
      <c r="N21" s="89"/>
      <c r="O21" s="89"/>
    </row>
    <row r="22" spans="1:15" x14ac:dyDescent="0.25">
      <c r="A22" s="71" t="s">
        <v>128</v>
      </c>
      <c r="B22" s="90">
        <f t="shared" ref="B22:B24" si="3">SUM(C22:E22)</f>
        <v>3141.5999999999995</v>
      </c>
      <c r="C22" s="90">
        <f>SUMIFS($O$3:$O$37,$J$3:$J$37,C$20,$M$3:$M$37,$A22)</f>
        <v>2420.4599999999996</v>
      </c>
      <c r="D22" s="90">
        <f t="shared" ref="D22:E24" si="4">SUMIFS($O$3:$O$37,$J$3:$J$37,D$20,$M$3:$M$37,$A22)</f>
        <v>0</v>
      </c>
      <c r="E22" s="90">
        <f t="shared" si="4"/>
        <v>721.14</v>
      </c>
      <c r="F22"/>
      <c r="G22" s="65"/>
      <c r="H22" s="65"/>
      <c r="I22" s="65"/>
      <c r="J22" s="65"/>
      <c r="K22" s="65"/>
      <c r="L22" s="65"/>
      <c r="M22" s="65"/>
      <c r="N22" s="89"/>
      <c r="O22" s="89"/>
    </row>
    <row r="23" spans="1:15" x14ac:dyDescent="0.25">
      <c r="A23" s="71" t="s">
        <v>124</v>
      </c>
      <c r="B23" s="90">
        <f t="shared" si="3"/>
        <v>8125.32</v>
      </c>
      <c r="C23" s="90">
        <f t="shared" ref="C23:C24" si="5">SUMIFS($O$3:$O$37,$J$3:$J$37,C$20,$M$3:$M$37,$A23)</f>
        <v>4226.88</v>
      </c>
      <c r="D23" s="90">
        <f t="shared" si="4"/>
        <v>0</v>
      </c>
      <c r="E23" s="90">
        <f t="shared" si="4"/>
        <v>3898.44</v>
      </c>
      <c r="F23"/>
      <c r="G23" s="65"/>
      <c r="H23" s="65"/>
      <c r="I23" s="65"/>
      <c r="J23" s="65"/>
      <c r="K23" s="65"/>
      <c r="L23" s="65"/>
      <c r="M23" s="65"/>
      <c r="N23" s="89"/>
      <c r="O23" s="89"/>
    </row>
    <row r="24" spans="1:15" x14ac:dyDescent="0.25">
      <c r="A24" s="71" t="s">
        <v>130</v>
      </c>
      <c r="B24" s="90">
        <f t="shared" si="3"/>
        <v>1895.2212</v>
      </c>
      <c r="C24" s="90">
        <f t="shared" si="5"/>
        <v>0</v>
      </c>
      <c r="D24" s="90">
        <f t="shared" si="4"/>
        <v>1895.2212</v>
      </c>
      <c r="E24" s="9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89"/>
      <c r="O24" s="89"/>
    </row>
    <row r="25" spans="1:15" x14ac:dyDescent="0.25">
      <c r="A25" s="87" t="s">
        <v>1</v>
      </c>
      <c r="B25" s="90">
        <f>SUM(B21:B24)</f>
        <v>16395.1656</v>
      </c>
      <c r="C25" s="92">
        <f t="shared" ref="C25:E25" si="6">SUM(C21:C24)</f>
        <v>8263.8521999999994</v>
      </c>
      <c r="D25" s="92">
        <f t="shared" si="6"/>
        <v>1895.2212</v>
      </c>
      <c r="E25" s="92">
        <f t="shared" si="6"/>
        <v>6236.0922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147.06347480705682</v>
      </c>
      <c r="C26" s="90">
        <f t="shared" ref="C26:E26" si="7">IF(C16&gt;0,C25/C16,"")</f>
        <v>148.25233846054488</v>
      </c>
      <c r="D26" s="90" t="str">
        <f t="shared" si="7"/>
        <v/>
      </c>
      <c r="E26" s="90">
        <f t="shared" si="7"/>
        <v>111.87461115356878</v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13</v>
      </c>
      <c r="B29" s="95">
        <v>1</v>
      </c>
      <c r="C29" s="95">
        <v>0</v>
      </c>
      <c r="D29" s="95">
        <v>0</v>
      </c>
      <c r="E29" s="95">
        <v>1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260</v>
      </c>
      <c r="B30" s="95">
        <v>1</v>
      </c>
      <c r="C30" s="95">
        <v>1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15</v>
      </c>
      <c r="B31" s="95">
        <v>1</v>
      </c>
      <c r="C31" s="95">
        <v>0</v>
      </c>
      <c r="D31" s="95">
        <v>0</v>
      </c>
      <c r="E31" s="95">
        <v>1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4</v>
      </c>
      <c r="B32" s="95">
        <v>3</v>
      </c>
      <c r="C32" s="95">
        <v>0</v>
      </c>
      <c r="D32" s="95">
        <v>0</v>
      </c>
      <c r="E32" s="95">
        <v>3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7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5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14</v>
      </c>
      <c r="B35" s="95">
        <v>1</v>
      </c>
      <c r="C35" s="95">
        <v>1</v>
      </c>
      <c r="D35" s="95">
        <v>0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6</v>
      </c>
      <c r="B36" s="95">
        <v>1</v>
      </c>
      <c r="C36" s="95">
        <v>0</v>
      </c>
      <c r="D36" s="95">
        <v>0</v>
      </c>
      <c r="E36" s="95">
        <v>1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266</v>
      </c>
      <c r="B37" s="95">
        <v>1</v>
      </c>
      <c r="C37" s="95">
        <v>1</v>
      </c>
      <c r="D37" s="95">
        <v>0</v>
      </c>
      <c r="E37" s="95">
        <v>0</v>
      </c>
      <c r="G37" s="65"/>
      <c r="H37" s="65"/>
      <c r="I37" s="65"/>
      <c r="J37" s="65"/>
      <c r="K37" s="65"/>
      <c r="L37" s="65"/>
      <c r="M37" s="65"/>
      <c r="N37" s="89"/>
      <c r="O37" s="89"/>
    </row>
  </sheetData>
  <sortState xmlns:xlrd2="http://schemas.microsoft.com/office/spreadsheetml/2017/richdata2" ref="G3:O17">
    <sortCondition ref="J3:J17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5" width="7.570312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9" style="1" bestFit="1" customWidth="1"/>
    <col min="13" max="13" width="12.28515625" style="1" bestFit="1" customWidth="1"/>
    <col min="14" max="14" width="11.28515625" style="1" bestFit="1" customWidth="1"/>
    <col min="15" max="15" width="13.7109375" style="1" bestFit="1" customWidth="1"/>
    <col min="16" max="16" width="8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30</v>
      </c>
      <c r="B10" s="8">
        <v>5497.6350000000002</v>
      </c>
      <c r="C10" s="8">
        <v>0</v>
      </c>
      <c r="D10" s="8">
        <v>2371.8525000000004</v>
      </c>
      <c r="E10" s="8">
        <v>5553.8824999999988</v>
      </c>
      <c r="F10" s="8">
        <v>13423.369999999999</v>
      </c>
      <c r="G10"/>
    </row>
    <row r="11" spans="1:7" x14ac:dyDescent="0.25">
      <c r="A11" s="3" t="s">
        <v>31</v>
      </c>
      <c r="B11" s="8">
        <v>11398.195000000003</v>
      </c>
      <c r="C11" s="8">
        <v>0</v>
      </c>
      <c r="D11" s="8">
        <v>3989.6025000000004</v>
      </c>
      <c r="E11" s="8">
        <v>11314.702500000003</v>
      </c>
      <c r="F11" s="8">
        <v>26702.500000000007</v>
      </c>
      <c r="G11"/>
    </row>
    <row r="12" spans="1:7" x14ac:dyDescent="0.25">
      <c r="A12" s="3" t="s">
        <v>32</v>
      </c>
      <c r="B12" s="8">
        <v>13175.925000000003</v>
      </c>
      <c r="C12" s="8">
        <v>1500.16</v>
      </c>
      <c r="D12" s="8">
        <v>3989.6025000000004</v>
      </c>
      <c r="E12" s="8">
        <v>11314.702500000003</v>
      </c>
      <c r="F12" s="8">
        <v>29980.390000000007</v>
      </c>
      <c r="G12"/>
    </row>
    <row r="13" spans="1:7" x14ac:dyDescent="0.25">
      <c r="A13" s="3" t="s">
        <v>33</v>
      </c>
      <c r="B13" s="8">
        <v>15922.935000000005</v>
      </c>
      <c r="C13" s="8">
        <v>4965.25</v>
      </c>
      <c r="D13" s="8">
        <v>3989.6025000000004</v>
      </c>
      <c r="E13" s="8">
        <v>11314.702500000003</v>
      </c>
      <c r="F13" s="8">
        <v>36192.490000000005</v>
      </c>
      <c r="G13"/>
    </row>
    <row r="14" spans="1:7" x14ac:dyDescent="0.25">
      <c r="A14" s="3" t="s">
        <v>34</v>
      </c>
      <c r="B14" s="8">
        <v>15922.935000000005</v>
      </c>
      <c r="C14" s="8">
        <v>4965.25</v>
      </c>
      <c r="D14" s="8">
        <v>4273.7849999999999</v>
      </c>
      <c r="E14" s="8">
        <v>11314.702500000003</v>
      </c>
      <c r="F14" s="8">
        <v>36476.672500000008</v>
      </c>
      <c r="G14"/>
    </row>
    <row r="15" spans="1:7" x14ac:dyDescent="0.25">
      <c r="A15" s="3" t="s">
        <v>35</v>
      </c>
      <c r="B15" s="8">
        <v>18085.826000000012</v>
      </c>
      <c r="C15" s="8">
        <v>4965.25</v>
      </c>
      <c r="D15" s="8">
        <v>9341.7820000000011</v>
      </c>
      <c r="E15" s="8">
        <v>13234.585000000003</v>
      </c>
      <c r="F15" s="8">
        <v>45627.443000000014</v>
      </c>
      <c r="G15"/>
    </row>
    <row r="16" spans="1:7" x14ac:dyDescent="0.25">
      <c r="A16" s="3" t="s">
        <v>36</v>
      </c>
      <c r="B16" s="8">
        <v>18636.146000000015</v>
      </c>
      <c r="C16" s="8">
        <v>4965.25</v>
      </c>
      <c r="D16" s="8">
        <v>9341.7820000000011</v>
      </c>
      <c r="E16" s="8">
        <v>14742.415000000005</v>
      </c>
      <c r="F16" s="8">
        <v>47685.593000000023</v>
      </c>
      <c r="G16"/>
    </row>
    <row r="17" spans="1:23" x14ac:dyDescent="0.25">
      <c r="A17" s="3" t="s">
        <v>37</v>
      </c>
      <c r="B17" s="8">
        <v>20691.076000000012</v>
      </c>
      <c r="C17" s="8">
        <v>4965.25</v>
      </c>
      <c r="D17" s="8">
        <v>9486.2820000000011</v>
      </c>
      <c r="E17" s="8">
        <v>15388.995000000004</v>
      </c>
      <c r="F17" s="8">
        <v>50531.603000000017</v>
      </c>
      <c r="G17"/>
    </row>
    <row r="18" spans="1:23" x14ac:dyDescent="0.25">
      <c r="A18" s="3" t="s">
        <v>38</v>
      </c>
      <c r="B18" s="8">
        <v>27562.175999999992</v>
      </c>
      <c r="C18" s="8">
        <v>5925.51</v>
      </c>
      <c r="D18" s="8">
        <v>10859.032000000001</v>
      </c>
      <c r="E18" s="8">
        <v>22258.830000000005</v>
      </c>
      <c r="F18" s="8">
        <v>66605.547999999995</v>
      </c>
      <c r="G18"/>
    </row>
    <row r="19" spans="1:23" x14ac:dyDescent="0.25">
      <c r="A19" s="3" t="s">
        <v>39</v>
      </c>
      <c r="B19" s="8">
        <v>30362.225999999995</v>
      </c>
      <c r="C19" s="8">
        <v>5925.51</v>
      </c>
      <c r="D19" s="8">
        <v>14037.341999999999</v>
      </c>
      <c r="E19" s="8">
        <v>22258.830000000005</v>
      </c>
      <c r="F19" s="8">
        <v>72583.907999999996</v>
      </c>
      <c r="G19"/>
    </row>
    <row r="20" spans="1:23" x14ac:dyDescent="0.25">
      <c r="A20" s="3" t="s">
        <v>40</v>
      </c>
      <c r="B20" s="8">
        <v>30553.905999999995</v>
      </c>
      <c r="C20" s="8">
        <v>5925.51</v>
      </c>
      <c r="D20" s="8">
        <v>14656.852000000001</v>
      </c>
      <c r="E20" s="8">
        <v>22327.230000000003</v>
      </c>
      <c r="F20" s="8">
        <v>73463.497999999992</v>
      </c>
      <c r="G20"/>
    </row>
    <row r="21" spans="1:23" x14ac:dyDescent="0.25">
      <c r="A21" s="3" t="s">
        <v>41</v>
      </c>
      <c r="B21" s="8">
        <v>31738.109999999993</v>
      </c>
      <c r="C21" s="8">
        <v>5925.51</v>
      </c>
      <c r="D21" s="8">
        <v>14822.412000000002</v>
      </c>
      <c r="E21" s="8">
        <v>23408.799999999996</v>
      </c>
      <c r="F21" s="8">
        <v>75894.831999999995</v>
      </c>
      <c r="G21"/>
    </row>
    <row r="22" spans="1:23" x14ac:dyDescent="0.25">
      <c r="A22" s="3" t="s">
        <v>42</v>
      </c>
      <c r="B22" s="8">
        <v>31738.109999999993</v>
      </c>
      <c r="C22" s="8">
        <v>7977.4</v>
      </c>
      <c r="D22" s="8">
        <v>14822.412000000002</v>
      </c>
      <c r="E22" s="8">
        <v>23408.799999999996</v>
      </c>
      <c r="F22" s="8">
        <v>77946.721999999994</v>
      </c>
      <c r="G22"/>
    </row>
    <row r="23" spans="1:23" x14ac:dyDescent="0.25">
      <c r="A23" s="3" t="s">
        <v>43</v>
      </c>
      <c r="B23" s="8">
        <v>31738.109999999993</v>
      </c>
      <c r="C23" s="8">
        <v>7977.4</v>
      </c>
      <c r="D23" s="8">
        <v>14822.412000000002</v>
      </c>
      <c r="E23" s="8">
        <v>23408.799999999996</v>
      </c>
      <c r="F23" s="8">
        <v>77946.721999999994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260</v>
      </c>
      <c r="M31" t="s">
        <v>266</v>
      </c>
      <c r="N31" t="s">
        <v>28</v>
      </c>
      <c r="O31"/>
      <c r="P31"/>
      <c r="Q31"/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/>
      <c r="P32"/>
      <c r="Q32"/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/>
      <c r="P33"/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/>
      <c r="P34"/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2371.8525000000004</v>
      </c>
      <c r="C35" s="8">
        <v>0</v>
      </c>
      <c r="D35" s="8">
        <v>0</v>
      </c>
      <c r="E35" s="8">
        <v>558.60500000000002</v>
      </c>
      <c r="F35" s="8">
        <v>524.37749999999994</v>
      </c>
      <c r="G35" s="8">
        <v>4046.915</v>
      </c>
      <c r="H35" s="8">
        <v>1007.2975</v>
      </c>
      <c r="I35" s="8">
        <v>545.63499999999999</v>
      </c>
      <c r="J35" s="8">
        <v>2265.4775</v>
      </c>
      <c r="K35" s="8">
        <v>423.98500000000001</v>
      </c>
      <c r="L35" s="8">
        <v>416.41750000000008</v>
      </c>
      <c r="M35" s="8">
        <v>1262.8074999999999</v>
      </c>
      <c r="N35" s="8">
        <v>13423.369999999999</v>
      </c>
      <c r="O35"/>
      <c r="P35"/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3989.6025000000004</v>
      </c>
      <c r="C36" s="8">
        <v>0</v>
      </c>
      <c r="D36" s="8">
        <v>0</v>
      </c>
      <c r="E36" s="8">
        <v>1668.5049999999999</v>
      </c>
      <c r="F36" s="8">
        <v>1166.3274999999999</v>
      </c>
      <c r="G36" s="8">
        <v>7834.8049999999994</v>
      </c>
      <c r="H36" s="8">
        <v>4679.2775000000001</v>
      </c>
      <c r="I36" s="8">
        <v>783.97499999999991</v>
      </c>
      <c r="J36" s="8">
        <v>2844.0775000000003</v>
      </c>
      <c r="K36" s="8">
        <v>645.06500000000005</v>
      </c>
      <c r="L36" s="8">
        <v>1420.3774999999998</v>
      </c>
      <c r="M36" s="8">
        <v>1670.4875</v>
      </c>
      <c r="N36" s="8">
        <v>26702.499999999993</v>
      </c>
      <c r="O36"/>
      <c r="P36"/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3989.6025000000004</v>
      </c>
      <c r="C37" s="8">
        <v>1500.16</v>
      </c>
      <c r="D37" s="8">
        <v>1777.73</v>
      </c>
      <c r="E37" s="8">
        <v>1668.5049999999999</v>
      </c>
      <c r="F37" s="8">
        <v>1166.3274999999999</v>
      </c>
      <c r="G37" s="8">
        <v>7834.8049999999994</v>
      </c>
      <c r="H37" s="8">
        <v>4679.2775000000001</v>
      </c>
      <c r="I37" s="8">
        <v>783.97499999999991</v>
      </c>
      <c r="J37" s="8">
        <v>2844.0775000000003</v>
      </c>
      <c r="K37" s="8">
        <v>645.06500000000005</v>
      </c>
      <c r="L37" s="8">
        <v>1420.3774999999998</v>
      </c>
      <c r="M37" s="8">
        <v>1670.4875</v>
      </c>
      <c r="N37" s="8">
        <v>29980.389999999992</v>
      </c>
      <c r="O37"/>
      <c r="P37"/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3989.6025000000004</v>
      </c>
      <c r="C38" s="8">
        <v>4965.25</v>
      </c>
      <c r="D38" s="8">
        <v>1777.73</v>
      </c>
      <c r="E38" s="8">
        <v>1668.5049999999999</v>
      </c>
      <c r="F38" s="8">
        <v>1166.3274999999999</v>
      </c>
      <c r="G38" s="8">
        <v>7834.8049999999994</v>
      </c>
      <c r="H38" s="8">
        <v>7426.2874999999985</v>
      </c>
      <c r="I38" s="8">
        <v>783.97499999999991</v>
      </c>
      <c r="J38" s="8">
        <v>2844.0775000000003</v>
      </c>
      <c r="K38" s="8">
        <v>645.06500000000005</v>
      </c>
      <c r="L38" s="8">
        <v>1420.3774999999998</v>
      </c>
      <c r="M38" s="8">
        <v>1670.4875</v>
      </c>
      <c r="N38" s="8">
        <v>36192.49</v>
      </c>
      <c r="O38"/>
      <c r="P38"/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4273.7849999999999</v>
      </c>
      <c r="C39" s="8">
        <v>4965.25</v>
      </c>
      <c r="D39" s="8">
        <v>1777.73</v>
      </c>
      <c r="E39" s="8">
        <v>1668.5049999999999</v>
      </c>
      <c r="F39" s="8">
        <v>1166.3274999999999</v>
      </c>
      <c r="G39" s="8">
        <v>7834.8049999999994</v>
      </c>
      <c r="H39" s="8">
        <v>7426.2874999999985</v>
      </c>
      <c r="I39" s="8">
        <v>783.97499999999991</v>
      </c>
      <c r="J39" s="8">
        <v>2844.0775000000003</v>
      </c>
      <c r="K39" s="8">
        <v>645.06500000000005</v>
      </c>
      <c r="L39" s="8">
        <v>1420.3774999999998</v>
      </c>
      <c r="M39" s="8">
        <v>1670.4875</v>
      </c>
      <c r="N39" s="8">
        <v>36476.672500000001</v>
      </c>
      <c r="O39"/>
      <c r="P39"/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9341.7820000000011</v>
      </c>
      <c r="C40" s="8">
        <v>4965.25</v>
      </c>
      <c r="D40" s="8">
        <v>1870.1000000000001</v>
      </c>
      <c r="E40" s="8">
        <v>1903.71</v>
      </c>
      <c r="F40" s="8">
        <v>1423.5349999999999</v>
      </c>
      <c r="G40" s="8">
        <v>9075.93</v>
      </c>
      <c r="H40" s="8">
        <v>7943.4609999999975</v>
      </c>
      <c r="I40" s="8">
        <v>1041.4699999999998</v>
      </c>
      <c r="J40" s="8">
        <v>3517.1849999999995</v>
      </c>
      <c r="K40" s="8">
        <v>831.41000000000008</v>
      </c>
      <c r="L40" s="8">
        <v>1610.4249999999997</v>
      </c>
      <c r="M40" s="8">
        <v>2103.1849999999999</v>
      </c>
      <c r="N40" s="8">
        <v>45627.442999999999</v>
      </c>
      <c r="O40"/>
      <c r="P40"/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9341.7820000000011</v>
      </c>
      <c r="C41" s="8">
        <v>4965.25</v>
      </c>
      <c r="D41" s="8">
        <v>1870.1000000000001</v>
      </c>
      <c r="E41" s="8">
        <v>3411.54</v>
      </c>
      <c r="F41" s="8">
        <v>1423.5349999999999</v>
      </c>
      <c r="G41" s="8">
        <v>9075.93</v>
      </c>
      <c r="H41" s="8">
        <v>7943.4609999999975</v>
      </c>
      <c r="I41" s="8">
        <v>1041.4699999999998</v>
      </c>
      <c r="J41" s="8">
        <v>3517.1849999999995</v>
      </c>
      <c r="K41" s="8">
        <v>831.41000000000008</v>
      </c>
      <c r="L41" s="8">
        <v>2160.7449999999999</v>
      </c>
      <c r="M41" s="8">
        <v>2103.1849999999999</v>
      </c>
      <c r="N41" s="8">
        <v>47685.593000000001</v>
      </c>
      <c r="O41"/>
      <c r="P41"/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9486.2820000000011</v>
      </c>
      <c r="C42" s="8">
        <v>4965.25</v>
      </c>
      <c r="D42" s="8">
        <v>1870.1000000000001</v>
      </c>
      <c r="E42" s="8">
        <v>4058.12</v>
      </c>
      <c r="F42" s="8">
        <v>1423.5349999999999</v>
      </c>
      <c r="G42" s="8">
        <v>9075.93</v>
      </c>
      <c r="H42" s="8">
        <v>9809.2010000000009</v>
      </c>
      <c r="I42" s="8">
        <v>1041.4699999999998</v>
      </c>
      <c r="J42" s="8">
        <v>3517.1849999999995</v>
      </c>
      <c r="K42" s="8">
        <v>831.41000000000008</v>
      </c>
      <c r="L42" s="8">
        <v>2349.9349999999999</v>
      </c>
      <c r="M42" s="8">
        <v>2103.1849999999999</v>
      </c>
      <c r="N42" s="8">
        <v>50531.603000000003</v>
      </c>
      <c r="O42"/>
      <c r="P42"/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10859.032000000001</v>
      </c>
      <c r="C43" s="8">
        <v>5925.51</v>
      </c>
      <c r="D43" s="8">
        <v>2122.12</v>
      </c>
      <c r="E43" s="8">
        <v>7587.73</v>
      </c>
      <c r="F43" s="8">
        <v>2015.4999999999995</v>
      </c>
      <c r="G43" s="8">
        <v>11483.360000000002</v>
      </c>
      <c r="H43" s="8">
        <v>11741.806000000002</v>
      </c>
      <c r="I43" s="8">
        <v>1429.06</v>
      </c>
      <c r="J43" s="8">
        <v>4672.32</v>
      </c>
      <c r="K43" s="8">
        <v>1172.2399999999998</v>
      </c>
      <c r="L43" s="8">
        <v>4755.6900000000005</v>
      </c>
      <c r="M43" s="8">
        <v>2841.1800000000003</v>
      </c>
      <c r="N43" s="8">
        <v>66605.54800000001</v>
      </c>
      <c r="O43"/>
      <c r="P43"/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14037.341999999999</v>
      </c>
      <c r="C44" s="8">
        <v>5925.51</v>
      </c>
      <c r="D44" s="8">
        <v>2122.12</v>
      </c>
      <c r="E44" s="8">
        <v>7587.73</v>
      </c>
      <c r="F44" s="8">
        <v>2015.4999999999995</v>
      </c>
      <c r="G44" s="8">
        <v>11483.360000000002</v>
      </c>
      <c r="H44" s="8">
        <v>14541.856000000002</v>
      </c>
      <c r="I44" s="8">
        <v>1429.06</v>
      </c>
      <c r="J44" s="8">
        <v>4672.32</v>
      </c>
      <c r="K44" s="8">
        <v>1172.2399999999998</v>
      </c>
      <c r="L44" s="8">
        <v>4755.6900000000005</v>
      </c>
      <c r="M44" s="8">
        <v>2841.1800000000003</v>
      </c>
      <c r="N44" s="8">
        <v>72583.907999999996</v>
      </c>
      <c r="O44"/>
      <c r="P44"/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14656.852000000001</v>
      </c>
      <c r="C45" s="8">
        <v>5925.51</v>
      </c>
      <c r="D45" s="8">
        <v>2122.12</v>
      </c>
      <c r="E45" s="8">
        <v>7587.73</v>
      </c>
      <c r="F45" s="8">
        <v>2015.4999999999995</v>
      </c>
      <c r="G45" s="8">
        <v>11551.760000000002</v>
      </c>
      <c r="H45" s="8">
        <v>14733.536000000002</v>
      </c>
      <c r="I45" s="8">
        <v>1429.06</v>
      </c>
      <c r="J45" s="8">
        <v>4672.32</v>
      </c>
      <c r="K45" s="8">
        <v>1172.2399999999998</v>
      </c>
      <c r="L45" s="8">
        <v>4755.6900000000005</v>
      </c>
      <c r="M45" s="8">
        <v>2841.1800000000003</v>
      </c>
      <c r="N45" s="8">
        <v>73463.497999999992</v>
      </c>
      <c r="O45"/>
      <c r="P45"/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14822.412000000002</v>
      </c>
      <c r="C46" s="8">
        <v>5925.51</v>
      </c>
      <c r="D46" s="8">
        <v>2376.2300000000005</v>
      </c>
      <c r="E46" s="8">
        <v>7923.8599999999979</v>
      </c>
      <c r="F46" s="8">
        <v>2094.7399999999998</v>
      </c>
      <c r="G46" s="8">
        <v>12093.93</v>
      </c>
      <c r="H46" s="8">
        <v>14872.809999999998</v>
      </c>
      <c r="I46" s="8">
        <v>1516.42</v>
      </c>
      <c r="J46" s="8">
        <v>4903.17</v>
      </c>
      <c r="K46" s="8">
        <v>1296.27</v>
      </c>
      <c r="L46" s="8">
        <v>5065.91</v>
      </c>
      <c r="M46" s="8">
        <v>3003.57</v>
      </c>
      <c r="N46" s="8">
        <v>75894.832000000009</v>
      </c>
      <c r="O46"/>
      <c r="P46"/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14822.412000000002</v>
      </c>
      <c r="C47" s="8">
        <v>7977.4</v>
      </c>
      <c r="D47" s="8">
        <v>2376.2300000000005</v>
      </c>
      <c r="E47" s="8">
        <v>7923.8599999999979</v>
      </c>
      <c r="F47" s="8">
        <v>2094.7399999999998</v>
      </c>
      <c r="G47" s="8">
        <v>12093.93</v>
      </c>
      <c r="H47" s="8">
        <v>14872.809999999998</v>
      </c>
      <c r="I47" s="8">
        <v>1516.42</v>
      </c>
      <c r="J47" s="8">
        <v>4903.17</v>
      </c>
      <c r="K47" s="8">
        <v>1296.27</v>
      </c>
      <c r="L47" s="8">
        <v>5065.91</v>
      </c>
      <c r="M47" s="8">
        <v>3003.57</v>
      </c>
      <c r="N47" s="8">
        <v>77946.722000000009</v>
      </c>
      <c r="O47"/>
      <c r="P47"/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14822.412000000002</v>
      </c>
      <c r="C48" s="8">
        <v>7977.4</v>
      </c>
      <c r="D48" s="8">
        <v>2376.2300000000005</v>
      </c>
      <c r="E48" s="8">
        <v>7923.8599999999979</v>
      </c>
      <c r="F48" s="8">
        <v>2094.7399999999998</v>
      </c>
      <c r="G48" s="8">
        <v>12093.93</v>
      </c>
      <c r="H48" s="8">
        <v>14872.809999999998</v>
      </c>
      <c r="I48" s="8">
        <v>1516.42</v>
      </c>
      <c r="J48" s="8">
        <v>4903.17</v>
      </c>
      <c r="K48" s="8">
        <v>1296.27</v>
      </c>
      <c r="L48" s="8">
        <v>5065.91</v>
      </c>
      <c r="M48" s="8">
        <v>3003.57</v>
      </c>
      <c r="N48" s="8">
        <v>77946.722000000009</v>
      </c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83FC7-D976-4C92-AAE7-7A1DFCA3F464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7" customWidth="1"/>
    <col min="3" max="10" width="10.7109375" style="109" customWidth="1"/>
    <col min="11" max="11" width="14.5703125" style="109" customWidth="1"/>
    <col min="12" max="12" width="13.7109375" style="134" customWidth="1"/>
    <col min="13" max="13" width="12.7109375" style="134" customWidth="1"/>
    <col min="14" max="14" width="10.7109375" style="134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134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3" t="s">
        <v>585</v>
      </c>
      <c r="E3" s="153"/>
      <c r="F3" s="153"/>
      <c r="G3" s="153"/>
      <c r="H3" s="153"/>
      <c r="I3" s="153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2</v>
      </c>
      <c r="C4" s="121"/>
      <c r="D4" s="154" t="s">
        <v>145</v>
      </c>
      <c r="E4" s="155" t="s">
        <v>12</v>
      </c>
      <c r="F4" s="155" t="s">
        <v>26</v>
      </c>
      <c r="G4" s="155" t="s">
        <v>27</v>
      </c>
      <c r="H4" s="155" t="s">
        <v>51</v>
      </c>
      <c r="I4" s="155" t="s">
        <v>28</v>
      </c>
      <c r="J4" s="122"/>
      <c r="K4" s="123"/>
      <c r="L4" s="124"/>
      <c r="M4" s="125" t="s">
        <v>149</v>
      </c>
      <c r="N4" s="126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7" t="s">
        <v>11</v>
      </c>
      <c r="D5" s="129">
        <v>-0.9</v>
      </c>
      <c r="E5" s="130">
        <v>0</v>
      </c>
      <c r="F5" s="130">
        <v>0</v>
      </c>
      <c r="G5" s="130">
        <v>0</v>
      </c>
      <c r="H5" s="130">
        <v>0</v>
      </c>
      <c r="I5" s="130">
        <v>0</v>
      </c>
      <c r="J5" s="128"/>
      <c r="L5" s="129">
        <f>-B14</f>
        <v>-2.7</v>
      </c>
      <c r="M5" s="130">
        <f>(F7+G7/2)*$B$9</f>
        <v>0</v>
      </c>
      <c r="N5" s="130">
        <f t="shared" ref="N5:N33" si="0">M5/$B$7</f>
        <v>0</v>
      </c>
      <c r="O5" s="128"/>
      <c r="P5" s="131" t="str">
        <f t="shared" ref="P5:R33" ca="1" si="1">_xlfn.FORMULATEXT(L5)</f>
        <v>=-B14</v>
      </c>
      <c r="Q5" s="131" t="str">
        <f t="shared" ca="1" si="1"/>
        <v>=(F7+G7/2)*$B$9</v>
      </c>
      <c r="R5" s="131" t="str">
        <f t="shared" ca="1" si="1"/>
        <v>=M5/$B$7</v>
      </c>
    </row>
    <row r="6" spans="1:18" x14ac:dyDescent="0.25">
      <c r="A6" s="109" t="s">
        <v>152</v>
      </c>
      <c r="B6" s="127" t="s">
        <v>11</v>
      </c>
      <c r="D6" s="129">
        <v>-0.46</v>
      </c>
      <c r="E6" s="130">
        <v>0</v>
      </c>
      <c r="F6" s="130">
        <v>0</v>
      </c>
      <c r="G6" s="130">
        <v>0</v>
      </c>
      <c r="H6" s="130">
        <v>0</v>
      </c>
      <c r="I6" s="130">
        <v>0</v>
      </c>
      <c r="J6" s="128"/>
      <c r="L6" s="129">
        <f t="shared" ref="L6:L18" si="2">L$5+D8</f>
        <v>-2.6700000000000004</v>
      </c>
      <c r="M6" s="130">
        <f t="shared" ref="M6:M19" si="3">(F8+G8/2+$B$18)*$B$9</f>
        <v>3081.1474500000004</v>
      </c>
      <c r="N6" s="130">
        <f t="shared" si="0"/>
        <v>55.275349019945544</v>
      </c>
      <c r="O6" s="128"/>
      <c r="P6" s="131" t="str">
        <f t="shared" ca="1" si="1"/>
        <v>=L$5+D8</v>
      </c>
      <c r="Q6" s="131" t="str">
        <f t="shared" ca="1" si="1"/>
        <v>=(F8+G8/2+$B$18)*$B$9</v>
      </c>
      <c r="R6" s="131" t="str">
        <f t="shared" ca="1" si="1"/>
        <v>=M6/$B$7</v>
      </c>
    </row>
    <row r="7" spans="1:18" x14ac:dyDescent="0.25">
      <c r="A7" s="109" t="s">
        <v>153</v>
      </c>
      <c r="B7" s="132">
        <v>55.741799999999998</v>
      </c>
      <c r="D7" s="129">
        <v>0</v>
      </c>
      <c r="E7" s="130">
        <v>0</v>
      </c>
      <c r="F7" s="130">
        <v>0</v>
      </c>
      <c r="G7" s="130">
        <v>0</v>
      </c>
      <c r="H7" s="130">
        <v>0</v>
      </c>
      <c r="I7" s="130">
        <v>0</v>
      </c>
      <c r="J7" s="128"/>
      <c r="L7" s="129">
        <f t="shared" si="2"/>
        <v>-2.6500000000000004</v>
      </c>
      <c r="M7" s="130">
        <f t="shared" si="3"/>
        <v>3890.0224500000004</v>
      </c>
      <c r="N7" s="130">
        <f t="shared" si="0"/>
        <v>69.786451998320842</v>
      </c>
      <c r="O7" s="128"/>
      <c r="P7" s="131" t="str">
        <f t="shared" ca="1" si="1"/>
        <v>=L$5+D9</v>
      </c>
      <c r="Q7" s="131" t="str">
        <f t="shared" ca="1" si="1"/>
        <v>=(F9+G9/2+$B$18)*$B$9</v>
      </c>
      <c r="R7" s="131" t="str">
        <f t="shared" ca="1" si="1"/>
        <v>=M7/$B$7</v>
      </c>
    </row>
    <row r="8" spans="1:18" x14ac:dyDescent="0.25">
      <c r="A8" s="109" t="s">
        <v>154</v>
      </c>
      <c r="B8" s="127" t="s">
        <v>155</v>
      </c>
      <c r="D8" s="129">
        <v>0.03</v>
      </c>
      <c r="E8" s="130">
        <v>5497.6350000000002</v>
      </c>
      <c r="F8" s="130">
        <v>0</v>
      </c>
      <c r="G8" s="130">
        <v>2371.8525000000004</v>
      </c>
      <c r="H8" s="130">
        <v>5553.8824999999988</v>
      </c>
      <c r="I8" s="130">
        <v>13423.369999999999</v>
      </c>
      <c r="J8" s="128"/>
      <c r="L8" s="129">
        <f t="shared" si="2"/>
        <v>-2.6</v>
      </c>
      <c r="M8" s="130">
        <f t="shared" si="3"/>
        <v>5390.1824500000002</v>
      </c>
      <c r="N8" s="130">
        <f t="shared" si="0"/>
        <v>96.699110003623858</v>
      </c>
      <c r="O8" s="128"/>
      <c r="P8" s="131" t="str">
        <f t="shared" ca="1" si="1"/>
        <v>=L$5+D10</v>
      </c>
      <c r="Q8" s="131" t="str">
        <f t="shared" ca="1" si="1"/>
        <v>=(F10+G10/2+$B$18)*$B$9</v>
      </c>
      <c r="R8" s="131" t="str">
        <f t="shared" ca="1" si="1"/>
        <v>=M8/$B$7</v>
      </c>
    </row>
    <row r="9" spans="1:18" x14ac:dyDescent="0.25">
      <c r="A9" s="109" t="s">
        <v>156</v>
      </c>
      <c r="B9" s="127">
        <v>1</v>
      </c>
      <c r="D9" s="129">
        <v>0.05</v>
      </c>
      <c r="E9" s="130">
        <v>11398.195000000003</v>
      </c>
      <c r="F9" s="130">
        <v>0</v>
      </c>
      <c r="G9" s="130">
        <v>3989.6025000000004</v>
      </c>
      <c r="H9" s="130">
        <v>11314.702500000003</v>
      </c>
      <c r="I9" s="130">
        <v>26702.500000000007</v>
      </c>
      <c r="J9" s="128"/>
      <c r="L9" s="129">
        <f t="shared" si="2"/>
        <v>-2.5500000000000003</v>
      </c>
      <c r="M9" s="130">
        <f t="shared" si="3"/>
        <v>8855.2724500000004</v>
      </c>
      <c r="N9" s="130">
        <f t="shared" si="0"/>
        <v>158.86233401146001</v>
      </c>
      <c r="O9" s="128"/>
      <c r="P9" s="131" t="str">
        <f t="shared" ca="1" si="1"/>
        <v>=L$5+D11</v>
      </c>
      <c r="Q9" s="131" t="str">
        <f t="shared" ca="1" si="1"/>
        <v>=(F11+G11/2+$B$18)*$B$9</v>
      </c>
      <c r="R9" s="131" t="str">
        <f t="shared" ca="1" si="1"/>
        <v>=M9/$B$7</v>
      </c>
    </row>
    <row r="10" spans="1:18" x14ac:dyDescent="0.25">
      <c r="A10" s="109" t="s">
        <v>157</v>
      </c>
      <c r="B10" s="133" t="b">
        <f>(E21+F21+G21+B17+B18)*B9=M33</f>
        <v>1</v>
      </c>
      <c r="D10" s="129">
        <v>0.1</v>
      </c>
      <c r="E10" s="130">
        <v>13175.925000000003</v>
      </c>
      <c r="F10" s="130">
        <v>1500.16</v>
      </c>
      <c r="G10" s="130">
        <v>3989.6025000000004</v>
      </c>
      <c r="H10" s="130">
        <v>11314.702500000003</v>
      </c>
      <c r="I10" s="130">
        <v>29980.390000000007</v>
      </c>
      <c r="J10" s="128"/>
      <c r="L10" s="129">
        <f t="shared" si="2"/>
        <v>-2.4000000000000004</v>
      </c>
      <c r="M10" s="130">
        <f t="shared" si="3"/>
        <v>8997.3636999999999</v>
      </c>
      <c r="N10" s="130">
        <f t="shared" si="0"/>
        <v>161.41143091898718</v>
      </c>
      <c r="O10" s="128"/>
      <c r="P10" s="131" t="str">
        <f t="shared" ca="1" si="1"/>
        <v>=L$5+D12</v>
      </c>
      <c r="Q10" s="131" t="str">
        <f t="shared" ca="1" si="1"/>
        <v>=(F12+G12/2+$B$18)*$B$9</v>
      </c>
      <c r="R10" s="131" t="str">
        <f t="shared" ca="1" si="1"/>
        <v>=M10/$B$7</v>
      </c>
    </row>
    <row r="11" spans="1:18" x14ac:dyDescent="0.25">
      <c r="D11" s="129">
        <v>0.15</v>
      </c>
      <c r="E11" s="130">
        <v>15922.935000000005</v>
      </c>
      <c r="F11" s="130">
        <v>4965.25</v>
      </c>
      <c r="G11" s="130">
        <v>3989.6025000000004</v>
      </c>
      <c r="H11" s="130">
        <v>11314.702500000003</v>
      </c>
      <c r="I11" s="130">
        <v>36192.490000000005</v>
      </c>
      <c r="J11" s="128"/>
      <c r="L11" s="129">
        <f t="shared" si="2"/>
        <v>-2.2400000000000002</v>
      </c>
      <c r="M11" s="130">
        <f t="shared" si="3"/>
        <v>11531.3622</v>
      </c>
      <c r="N11" s="130">
        <f t="shared" si="0"/>
        <v>206.87100524202663</v>
      </c>
      <c r="O11" s="128"/>
      <c r="P11" s="131" t="str">
        <f t="shared" ca="1" si="1"/>
        <v>=L$5+D13</v>
      </c>
      <c r="Q11" s="131" t="str">
        <f t="shared" ca="1" si="1"/>
        <v>=(F13+G13/2+$B$18)*$B$9</v>
      </c>
      <c r="R11" s="131" t="str">
        <f t="shared" ca="1" si="1"/>
        <v>=M11/$B$7</v>
      </c>
    </row>
    <row r="12" spans="1:18" x14ac:dyDescent="0.25">
      <c r="A12" s="109" t="s">
        <v>158</v>
      </c>
      <c r="B12" s="127">
        <v>8</v>
      </c>
      <c r="D12" s="129">
        <v>0.3</v>
      </c>
      <c r="E12" s="130">
        <v>15922.935000000005</v>
      </c>
      <c r="F12" s="130">
        <v>4965.25</v>
      </c>
      <c r="G12" s="130">
        <v>4273.7849999999999</v>
      </c>
      <c r="H12" s="130">
        <v>11314.702500000003</v>
      </c>
      <c r="I12" s="130">
        <v>36476.672500000008</v>
      </c>
      <c r="J12" s="128"/>
      <c r="L12" s="129">
        <f t="shared" si="2"/>
        <v>-2.0900000000000003</v>
      </c>
      <c r="M12" s="130">
        <f t="shared" si="3"/>
        <v>11531.3622</v>
      </c>
      <c r="N12" s="130">
        <f t="shared" si="0"/>
        <v>206.87100524202663</v>
      </c>
      <c r="O12" s="128"/>
      <c r="P12" s="131" t="str">
        <f t="shared" ca="1" si="1"/>
        <v>=L$5+D14</v>
      </c>
      <c r="Q12" s="131" t="str">
        <f t="shared" ca="1" si="1"/>
        <v>=(F14+G14/2+$B$18)*$B$9</v>
      </c>
      <c r="R12" s="131" t="str">
        <f t="shared" ca="1" si="1"/>
        <v>=M12/$B$7</v>
      </c>
    </row>
    <row r="13" spans="1:18" x14ac:dyDescent="0.25">
      <c r="A13" s="109" t="s">
        <v>159</v>
      </c>
      <c r="B13" s="127" t="s">
        <v>160</v>
      </c>
      <c r="D13" s="129">
        <v>0.46</v>
      </c>
      <c r="E13" s="130">
        <v>18085.826000000012</v>
      </c>
      <c r="F13" s="130">
        <v>4965.25</v>
      </c>
      <c r="G13" s="130">
        <v>9341.7820000000011</v>
      </c>
      <c r="H13" s="130">
        <v>13234.585000000003</v>
      </c>
      <c r="I13" s="130">
        <v>45627.443000000014</v>
      </c>
      <c r="J13" s="128"/>
      <c r="L13" s="129">
        <f t="shared" si="2"/>
        <v>-1.9400000000000002</v>
      </c>
      <c r="M13" s="130">
        <f t="shared" si="3"/>
        <v>11603.6122</v>
      </c>
      <c r="N13" s="130">
        <f t="shared" si="0"/>
        <v>208.16716001277317</v>
      </c>
      <c r="O13" s="128"/>
      <c r="P13" s="131" t="str">
        <f t="shared" ca="1" si="1"/>
        <v>=L$5+D15</v>
      </c>
      <c r="Q13" s="131" t="str">
        <f t="shared" ca="1" si="1"/>
        <v>=(F15+G15/2+$B$18)*$B$9</v>
      </c>
      <c r="R13" s="131" t="str">
        <f t="shared" ca="1" si="1"/>
        <v>=M13/$B$7</v>
      </c>
    </row>
    <row r="14" spans="1:18" x14ac:dyDescent="0.25">
      <c r="A14" s="109" t="s">
        <v>161</v>
      </c>
      <c r="B14" s="127">
        <v>2.7</v>
      </c>
      <c r="D14" s="129">
        <v>0.61</v>
      </c>
      <c r="E14" s="130">
        <v>18636.146000000015</v>
      </c>
      <c r="F14" s="130">
        <v>4965.25</v>
      </c>
      <c r="G14" s="130">
        <v>9341.7820000000011</v>
      </c>
      <c r="H14" s="130">
        <v>14742.415000000005</v>
      </c>
      <c r="I14" s="130">
        <v>47685.593000000023</v>
      </c>
      <c r="J14" s="128"/>
      <c r="L14" s="129">
        <f t="shared" si="2"/>
        <v>-1.79</v>
      </c>
      <c r="M14" s="130">
        <f t="shared" si="3"/>
        <v>13250.247200000002</v>
      </c>
      <c r="N14" s="130">
        <f t="shared" si="0"/>
        <v>237.70755877994614</v>
      </c>
      <c r="O14" s="128"/>
      <c r="P14" s="131" t="str">
        <f t="shared" ca="1" si="1"/>
        <v>=L$5+D16</v>
      </c>
      <c r="Q14" s="131" t="str">
        <f t="shared" ca="1" si="1"/>
        <v>=(F16+G16/2+$B$18)*$B$9</v>
      </c>
      <c r="R14" s="131" t="str">
        <f t="shared" ca="1" si="1"/>
        <v>=M14/$B$7</v>
      </c>
    </row>
    <row r="15" spans="1:18" x14ac:dyDescent="0.25">
      <c r="D15" s="129">
        <v>0.76</v>
      </c>
      <c r="E15" s="130">
        <v>20691.076000000012</v>
      </c>
      <c r="F15" s="130">
        <v>4965.25</v>
      </c>
      <c r="G15" s="130">
        <v>9486.2820000000011</v>
      </c>
      <c r="H15" s="130">
        <v>15388.995000000004</v>
      </c>
      <c r="I15" s="130">
        <v>50531.603000000017</v>
      </c>
      <c r="J15" s="128"/>
      <c r="L15" s="129">
        <f t="shared" si="2"/>
        <v>-1.6800000000000002</v>
      </c>
      <c r="M15" s="130">
        <f t="shared" si="3"/>
        <v>14839.4022</v>
      </c>
      <c r="N15" s="130">
        <f t="shared" si="0"/>
        <v>266.21677448521581</v>
      </c>
      <c r="O15" s="128"/>
      <c r="P15" s="131" t="str">
        <f t="shared" ca="1" si="1"/>
        <v>=L$5+D17</v>
      </c>
      <c r="Q15" s="131" t="str">
        <f t="shared" ca="1" si="1"/>
        <v>=(F17+G17/2+$B$18)*$B$9</v>
      </c>
      <c r="R15" s="131" t="str">
        <f t="shared" ca="1" si="1"/>
        <v>=M15/$B$7</v>
      </c>
    </row>
    <row r="16" spans="1:18" x14ac:dyDescent="0.25">
      <c r="A16" s="115" t="s">
        <v>162</v>
      </c>
      <c r="D16" s="129">
        <v>0.91</v>
      </c>
      <c r="E16" s="130">
        <v>27562.175999999992</v>
      </c>
      <c r="F16" s="130">
        <v>5925.51</v>
      </c>
      <c r="G16" s="130">
        <v>10859.032000000001</v>
      </c>
      <c r="H16" s="130">
        <v>22258.830000000005</v>
      </c>
      <c r="I16" s="130">
        <v>66605.547999999995</v>
      </c>
      <c r="J16" s="128"/>
      <c r="L16" s="129">
        <f t="shared" si="2"/>
        <v>-1.4800000000000002</v>
      </c>
      <c r="M16" s="130">
        <f t="shared" si="3"/>
        <v>15149.157200000001</v>
      </c>
      <c r="N16" s="130">
        <f t="shared" si="0"/>
        <v>271.77373532968079</v>
      </c>
      <c r="O16" s="128"/>
      <c r="P16" s="131" t="str">
        <f t="shared" ca="1" si="1"/>
        <v>=L$5+D18</v>
      </c>
      <c r="Q16" s="131" t="str">
        <f t="shared" ca="1" si="1"/>
        <v>=(F18+G18/2+$B$18)*$B$9</v>
      </c>
      <c r="R16" s="131" t="str">
        <f t="shared" ca="1" si="1"/>
        <v>=M16/$B$7</v>
      </c>
    </row>
    <row r="17" spans="1:18" x14ac:dyDescent="0.25">
      <c r="A17" s="109" t="s">
        <v>163</v>
      </c>
      <c r="B17" s="133">
        <v>8263.8521999999994</v>
      </c>
      <c r="D17" s="129">
        <v>1.02</v>
      </c>
      <c r="E17" s="130">
        <v>30362.225999999995</v>
      </c>
      <c r="F17" s="130">
        <v>5925.51</v>
      </c>
      <c r="G17" s="130">
        <v>14037.341999999999</v>
      </c>
      <c r="H17" s="130">
        <v>22258.830000000005</v>
      </c>
      <c r="I17" s="130">
        <v>72583.907999999996</v>
      </c>
      <c r="J17" s="128"/>
      <c r="L17" s="129">
        <f t="shared" si="2"/>
        <v>-1.1800000000000002</v>
      </c>
      <c r="M17" s="130">
        <f t="shared" si="3"/>
        <v>15231.9372</v>
      </c>
      <c r="N17" s="130">
        <f t="shared" si="0"/>
        <v>273.25879680957559</v>
      </c>
      <c r="O17" s="128"/>
      <c r="P17" s="131" t="str">
        <f t="shared" ca="1" si="1"/>
        <v>=L$5+D19</v>
      </c>
      <c r="Q17" s="131" t="str">
        <f t="shared" ca="1" si="1"/>
        <v>=(F19+G19/2+$B$18)*$B$9</v>
      </c>
      <c r="R17" s="131" t="str">
        <f t="shared" ca="1" si="1"/>
        <v>=M17/$B$7</v>
      </c>
    </row>
    <row r="18" spans="1:18" x14ac:dyDescent="0.25">
      <c r="A18" s="109" t="s">
        <v>164</v>
      </c>
      <c r="B18" s="133">
        <v>1895.2212</v>
      </c>
      <c r="D18" s="129">
        <v>1.22</v>
      </c>
      <c r="E18" s="130">
        <v>30553.905999999995</v>
      </c>
      <c r="F18" s="130">
        <v>5925.51</v>
      </c>
      <c r="G18" s="130">
        <v>14656.852000000001</v>
      </c>
      <c r="H18" s="130">
        <v>22327.230000000003</v>
      </c>
      <c r="I18" s="130">
        <v>73463.497999999992</v>
      </c>
      <c r="J18" s="128"/>
      <c r="L18" s="129">
        <f t="shared" si="2"/>
        <v>-0.87000000000000011</v>
      </c>
      <c r="M18" s="130">
        <f t="shared" si="3"/>
        <v>17283.8272</v>
      </c>
      <c r="N18" s="130">
        <f t="shared" si="0"/>
        <v>310.06941290019341</v>
      </c>
      <c r="O18" s="128"/>
      <c r="P18" s="131" t="str">
        <f t="shared" ca="1" si="1"/>
        <v>=L$5+D20</v>
      </c>
      <c r="Q18" s="131" t="str">
        <f t="shared" ca="1" si="1"/>
        <v>=(F20+G20/2+$B$18)*$B$9</v>
      </c>
      <c r="R18" s="131" t="str">
        <f t="shared" ca="1" si="1"/>
        <v>=M18/$B$7</v>
      </c>
    </row>
    <row r="19" spans="1:18" x14ac:dyDescent="0.25">
      <c r="A19" s="109" t="s">
        <v>165</v>
      </c>
      <c r="B19" s="133">
        <v>6236.0922</v>
      </c>
      <c r="D19" s="129">
        <v>1.52</v>
      </c>
      <c r="E19" s="130">
        <v>31738.109999999993</v>
      </c>
      <c r="F19" s="130">
        <v>5925.51</v>
      </c>
      <c r="G19" s="130">
        <v>14822.412000000002</v>
      </c>
      <c r="H19" s="130">
        <v>23408.799999999996</v>
      </c>
      <c r="I19" s="130">
        <v>75894.831999999995</v>
      </c>
      <c r="J19" s="128"/>
      <c r="L19" s="129">
        <f t="shared" ref="L19:L33" si="4">D7</f>
        <v>0</v>
      </c>
      <c r="M19" s="130">
        <f t="shared" si="3"/>
        <v>17283.8272</v>
      </c>
      <c r="N19" s="130">
        <f t="shared" si="0"/>
        <v>310.06941290019341</v>
      </c>
      <c r="O19" s="109" t="s">
        <v>166</v>
      </c>
      <c r="P19" s="131" t="str">
        <f t="shared" ca="1" si="1"/>
        <v>=D7</v>
      </c>
      <c r="Q19" s="131" t="str">
        <f t="shared" ca="1" si="1"/>
        <v>=(F21+G21/2+$B$18)*$B$9</v>
      </c>
      <c r="R19" s="131" t="str">
        <f t="shared" ca="1" si="1"/>
        <v>=M19/$B$7</v>
      </c>
    </row>
    <row r="20" spans="1:18" x14ac:dyDescent="0.25">
      <c r="D20" s="129">
        <v>1.83</v>
      </c>
      <c r="E20" s="130">
        <v>31738.109999999993</v>
      </c>
      <c r="F20" s="130">
        <v>7977.4</v>
      </c>
      <c r="G20" s="130">
        <v>14822.412000000002</v>
      </c>
      <c r="H20" s="130">
        <v>23408.799999999996</v>
      </c>
      <c r="I20" s="130">
        <v>77946.721999999994</v>
      </c>
      <c r="J20" s="128"/>
      <c r="L20" s="129">
        <f t="shared" si="4"/>
        <v>0.03</v>
      </c>
      <c r="M20" s="130">
        <f t="shared" ref="M20:M33" si="5">M$19+(E8+G8/2+$B$17)*$B$9</f>
        <v>32231.24065</v>
      </c>
      <c r="N20" s="130">
        <f t="shared" si="0"/>
        <v>578.22389391802926</v>
      </c>
      <c r="O20" s="128"/>
      <c r="P20" s="131" t="str">
        <f t="shared" ca="1" si="1"/>
        <v>=D8</v>
      </c>
      <c r="Q20" s="131" t="str">
        <f t="shared" ca="1" si="1"/>
        <v>=M$19+(E8+G8/2+$B$17)*$B$9</v>
      </c>
      <c r="R20" s="131" t="str">
        <f t="shared" ca="1" si="1"/>
        <v>=M20/$B$7</v>
      </c>
    </row>
    <row r="21" spans="1:18" x14ac:dyDescent="0.25">
      <c r="D21" s="129">
        <v>2.7</v>
      </c>
      <c r="E21" s="130">
        <v>31738.109999999993</v>
      </c>
      <c r="F21" s="130">
        <v>7977.4</v>
      </c>
      <c r="G21" s="130">
        <v>14822.412000000002</v>
      </c>
      <c r="H21" s="130">
        <v>23408.799999999996</v>
      </c>
      <c r="I21" s="130">
        <v>77946.721999999994</v>
      </c>
      <c r="J21" s="128"/>
      <c r="L21" s="129">
        <f t="shared" si="4"/>
        <v>0.05</v>
      </c>
      <c r="M21" s="130">
        <f t="shared" si="5"/>
        <v>38940.675650000005</v>
      </c>
      <c r="N21" s="130">
        <f t="shared" si="0"/>
        <v>698.59020788707949</v>
      </c>
      <c r="O21" s="128"/>
      <c r="P21" s="131" t="str">
        <f t="shared" ca="1" si="1"/>
        <v>=D9</v>
      </c>
      <c r="Q21" s="131" t="str">
        <f t="shared" ca="1" si="1"/>
        <v>=M$19+(E9+G9/2+$B$17)*$B$9</v>
      </c>
      <c r="R21" s="131" t="str">
        <f t="shared" ca="1" si="1"/>
        <v>=M21/$B$7</v>
      </c>
    </row>
    <row r="22" spans="1:18" x14ac:dyDescent="0.25">
      <c r="L22" s="129">
        <f t="shared" si="4"/>
        <v>0.1</v>
      </c>
      <c r="M22" s="130">
        <f t="shared" si="5"/>
        <v>40718.405650000001</v>
      </c>
      <c r="N22" s="130">
        <f t="shared" si="0"/>
        <v>730.48243239364353</v>
      </c>
      <c r="O22" s="128"/>
      <c r="P22" s="131" t="str">
        <f t="shared" ca="1" si="1"/>
        <v>=D10</v>
      </c>
      <c r="Q22" s="131" t="str">
        <f t="shared" ca="1" si="1"/>
        <v>=M$19+(E10+G10/2+$B$17)*$B$9</v>
      </c>
      <c r="R22" s="131" t="str">
        <f t="shared" ca="1" si="1"/>
        <v>=M22/$B$7</v>
      </c>
    </row>
    <row r="23" spans="1:18" x14ac:dyDescent="0.25">
      <c r="L23" s="129">
        <f t="shared" si="4"/>
        <v>0.15</v>
      </c>
      <c r="M23" s="130">
        <f t="shared" si="5"/>
        <v>43465.415650000003</v>
      </c>
      <c r="N23" s="130">
        <f t="shared" si="0"/>
        <v>779.7634028682246</v>
      </c>
      <c r="O23" s="128"/>
      <c r="P23" s="131" t="str">
        <f t="shared" ca="1" si="1"/>
        <v>=D11</v>
      </c>
      <c r="Q23" s="131" t="str">
        <f t="shared" ca="1" si="1"/>
        <v>=M$19+(E11+G11/2+$B$17)*$B$9</v>
      </c>
      <c r="R23" s="131" t="str">
        <f t="shared" ca="1" si="1"/>
        <v>=M23/$B$7</v>
      </c>
    </row>
    <row r="24" spans="1:18" x14ac:dyDescent="0.25">
      <c r="L24" s="129">
        <f t="shared" si="4"/>
        <v>0.3</v>
      </c>
      <c r="M24" s="130">
        <f t="shared" si="5"/>
        <v>43607.506900000008</v>
      </c>
      <c r="N24" s="130">
        <f t="shared" si="0"/>
        <v>782.31249977575192</v>
      </c>
      <c r="O24" s="128"/>
      <c r="P24" s="131" t="str">
        <f t="shared" ca="1" si="1"/>
        <v>=D12</v>
      </c>
      <c r="Q24" s="131" t="str">
        <f t="shared" ca="1" si="1"/>
        <v>=M$19+(E12+G12/2+$B$17)*$B$9</v>
      </c>
      <c r="R24" s="131" t="str">
        <f t="shared" ca="1" si="1"/>
        <v>=M24/$B$7</v>
      </c>
    </row>
    <row r="25" spans="1:18" x14ac:dyDescent="0.25">
      <c r="L25" s="129">
        <f t="shared" si="4"/>
        <v>0.46</v>
      </c>
      <c r="M25" s="130">
        <f t="shared" si="5"/>
        <v>48304.396400000012</v>
      </c>
      <c r="N25" s="130">
        <f t="shared" si="0"/>
        <v>866.5740324137364</v>
      </c>
      <c r="O25" s="128"/>
      <c r="P25" s="131" t="str">
        <f t="shared" ca="1" si="1"/>
        <v>=D13</v>
      </c>
      <c r="Q25" s="131" t="str">
        <f t="shared" ca="1" si="1"/>
        <v>=M$19+(E13+G13/2+$B$17)*$B$9</v>
      </c>
      <c r="R25" s="131" t="str">
        <f t="shared" ca="1" si="1"/>
        <v>=M25/$B$7</v>
      </c>
    </row>
    <row r="26" spans="1:18" x14ac:dyDescent="0.25">
      <c r="L26" s="129">
        <f t="shared" si="4"/>
        <v>0.61</v>
      </c>
      <c r="M26" s="130">
        <f t="shared" si="5"/>
        <v>48854.716400000012</v>
      </c>
      <c r="N26" s="130">
        <f t="shared" si="0"/>
        <v>876.44669529868099</v>
      </c>
      <c r="O26" s="128"/>
      <c r="P26" s="131" t="str">
        <f t="shared" ca="1" si="1"/>
        <v>=D14</v>
      </c>
      <c r="Q26" s="131" t="str">
        <f t="shared" ca="1" si="1"/>
        <v>=M$19+(E14+G14/2+$B$17)*$B$9</v>
      </c>
      <c r="R26" s="131" t="str">
        <f t="shared" ca="1" si="1"/>
        <v>=M26/$B$7</v>
      </c>
    </row>
    <row r="27" spans="1:18" x14ac:dyDescent="0.25">
      <c r="L27" s="129">
        <f t="shared" si="4"/>
        <v>0.76</v>
      </c>
      <c r="M27" s="130">
        <f t="shared" si="5"/>
        <v>50981.896400000012</v>
      </c>
      <c r="N27" s="130">
        <f t="shared" si="0"/>
        <v>914.608003329638</v>
      </c>
      <c r="O27" s="128"/>
      <c r="P27" s="131" t="str">
        <f t="shared" ca="1" si="1"/>
        <v>=D15</v>
      </c>
      <c r="Q27" s="131" t="str">
        <f t="shared" ca="1" si="1"/>
        <v>=M$19+(E15+G15/2+$B$17)*$B$9</v>
      </c>
      <c r="R27" s="131" t="str">
        <f t="shared" ca="1" si="1"/>
        <v>=M27/$B$7</v>
      </c>
    </row>
    <row r="28" spans="1:18" x14ac:dyDescent="0.25">
      <c r="L28" s="129">
        <f t="shared" si="4"/>
        <v>0.91</v>
      </c>
      <c r="M28" s="130">
        <f t="shared" si="5"/>
        <v>58539.371399999996</v>
      </c>
      <c r="N28" s="130">
        <f t="shared" si="0"/>
        <v>1050.1880348320292</v>
      </c>
      <c r="O28" s="128"/>
      <c r="P28" s="131" t="str">
        <f t="shared" ca="1" si="1"/>
        <v>=D16</v>
      </c>
      <c r="Q28" s="131" t="str">
        <f t="shared" ca="1" si="1"/>
        <v>=M$19+(E16+G16/2+$B$17)*$B$9</v>
      </c>
      <c r="R28" s="131" t="str">
        <f t="shared" ca="1" si="1"/>
        <v>=M28/$B$7</v>
      </c>
    </row>
    <row r="29" spans="1:18" x14ac:dyDescent="0.25">
      <c r="L29" s="129">
        <f t="shared" si="4"/>
        <v>1.02</v>
      </c>
      <c r="M29" s="130">
        <f t="shared" si="5"/>
        <v>62928.576399999998</v>
      </c>
      <c r="N29" s="130">
        <f t="shared" si="0"/>
        <v>1128.9297511024042</v>
      </c>
      <c r="O29" s="128"/>
      <c r="P29" s="131" t="str">
        <f t="shared" ca="1" si="1"/>
        <v>=D17</v>
      </c>
      <c r="Q29" s="131" t="str">
        <f t="shared" ca="1" si="1"/>
        <v>=M$19+(E17+G17/2+$B$17)*$B$9</v>
      </c>
      <c r="R29" s="131" t="str">
        <f t="shared" ca="1" si="1"/>
        <v>=M29/$B$7</v>
      </c>
    </row>
    <row r="30" spans="1:18" x14ac:dyDescent="0.25">
      <c r="L30" s="129">
        <f t="shared" si="4"/>
        <v>1.22</v>
      </c>
      <c r="M30" s="130">
        <f t="shared" si="5"/>
        <v>63430.011399999996</v>
      </c>
      <c r="N30" s="130">
        <f t="shared" si="0"/>
        <v>1137.9254240085536</v>
      </c>
      <c r="O30" s="128"/>
      <c r="P30" s="131" t="str">
        <f t="shared" ca="1" si="1"/>
        <v>=D18</v>
      </c>
      <c r="Q30" s="131" t="str">
        <f t="shared" ca="1" si="1"/>
        <v>=M$19+(E18+G18/2+$B$17)*$B$9</v>
      </c>
      <c r="R30" s="131" t="str">
        <f t="shared" ca="1" si="1"/>
        <v>=M30/$B$7</v>
      </c>
    </row>
    <row r="31" spans="1:18" x14ac:dyDescent="0.25">
      <c r="L31" s="129">
        <f t="shared" si="4"/>
        <v>1.52</v>
      </c>
      <c r="M31" s="130">
        <f t="shared" si="5"/>
        <v>64696.995399999993</v>
      </c>
      <c r="N31" s="130">
        <f t="shared" si="0"/>
        <v>1160.6549375872326</v>
      </c>
      <c r="O31" s="128"/>
      <c r="P31" s="131" t="str">
        <f t="shared" ca="1" si="1"/>
        <v>=D19</v>
      </c>
      <c r="Q31" s="131" t="str">
        <f t="shared" ca="1" si="1"/>
        <v>=M$19+(E19+G19/2+$B$17)*$B$9</v>
      </c>
      <c r="R31" s="131" t="str">
        <f t="shared" ca="1" si="1"/>
        <v>=M31/$B$7</v>
      </c>
    </row>
    <row r="32" spans="1:18" x14ac:dyDescent="0.25">
      <c r="L32" s="129">
        <f t="shared" si="4"/>
        <v>1.83</v>
      </c>
      <c r="M32" s="130">
        <f t="shared" si="5"/>
        <v>64696.995399999993</v>
      </c>
      <c r="N32" s="130">
        <f t="shared" si="0"/>
        <v>1160.6549375872326</v>
      </c>
      <c r="O32" s="128"/>
      <c r="P32" s="131" t="str">
        <f t="shared" ca="1" si="1"/>
        <v>=D20</v>
      </c>
      <c r="Q32" s="131" t="str">
        <f t="shared" ca="1" si="1"/>
        <v>=M$19+(E20+G20/2+$B$17)*$B$9</v>
      </c>
      <c r="R32" s="131" t="str">
        <f t="shared" ca="1" si="1"/>
        <v>=M32/$B$7</v>
      </c>
    </row>
    <row r="33" spans="12:18" x14ac:dyDescent="0.25">
      <c r="L33" s="129">
        <f t="shared" si="4"/>
        <v>2.7</v>
      </c>
      <c r="M33" s="130">
        <f t="shared" si="5"/>
        <v>64696.995399999993</v>
      </c>
      <c r="N33" s="130">
        <f t="shared" si="0"/>
        <v>1160.6549375872326</v>
      </c>
      <c r="O33" s="128"/>
      <c r="P33" s="131" t="str">
        <f t="shared" ca="1" si="1"/>
        <v>=D21</v>
      </c>
      <c r="Q33" s="131" t="str">
        <f t="shared" ca="1" si="1"/>
        <v>=M$19+(E21+G21/2+$B$17)*$B$9</v>
      </c>
      <c r="R33" s="131" t="str">
        <f t="shared" ca="1" si="1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B8293D8E-464C-4DF6-8FC8-6B2965885677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R21"/>
  <sheetViews>
    <sheetView workbookViewId="0">
      <selection activeCell="D3" sqref="D3:Q21"/>
    </sheetView>
  </sheetViews>
  <sheetFormatPr defaultRowHeight="15" x14ac:dyDescent="0.25"/>
  <cols>
    <col min="3" max="17" width="10.7109375" customWidth="1"/>
  </cols>
  <sheetData>
    <row r="3" spans="4:18" x14ac:dyDescent="0.25">
      <c r="D3" s="156" t="s">
        <v>586</v>
      </c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8"/>
    </row>
    <row r="4" spans="4:18" ht="45" customHeight="1" x14ac:dyDescent="0.25">
      <c r="D4" s="158" t="s">
        <v>145</v>
      </c>
      <c r="E4" s="159" t="s">
        <v>66</v>
      </c>
      <c r="F4" s="159" t="s">
        <v>67</v>
      </c>
      <c r="G4" s="159" t="s">
        <v>68</v>
      </c>
      <c r="H4" s="159" t="s">
        <v>13</v>
      </c>
      <c r="I4" s="159" t="s">
        <v>15</v>
      </c>
      <c r="J4" s="159" t="s">
        <v>4</v>
      </c>
      <c r="K4" s="159" t="s">
        <v>7</v>
      </c>
      <c r="L4" s="159" t="s">
        <v>5</v>
      </c>
      <c r="M4" s="159" t="s">
        <v>14</v>
      </c>
      <c r="N4" s="159" t="s">
        <v>6</v>
      </c>
      <c r="O4" s="159" t="s">
        <v>260</v>
      </c>
      <c r="P4" s="159" t="s">
        <v>266</v>
      </c>
      <c r="Q4" s="159" t="s">
        <v>28</v>
      </c>
      <c r="R4" s="8"/>
    </row>
    <row r="5" spans="4:18" x14ac:dyDescent="0.25">
      <c r="D5" s="145">
        <v>-0.9</v>
      </c>
      <c r="E5" s="160">
        <v>0</v>
      </c>
      <c r="F5" s="160">
        <v>0</v>
      </c>
      <c r="G5" s="160">
        <v>0</v>
      </c>
      <c r="H5" s="160">
        <v>0</v>
      </c>
      <c r="I5" s="160">
        <v>0</v>
      </c>
      <c r="J5" s="160">
        <v>0</v>
      </c>
      <c r="K5" s="160">
        <v>0</v>
      </c>
      <c r="L5" s="160">
        <v>0</v>
      </c>
      <c r="M5" s="160">
        <v>0</v>
      </c>
      <c r="N5" s="160">
        <v>0</v>
      </c>
      <c r="O5" s="160">
        <v>0</v>
      </c>
      <c r="P5" s="160">
        <v>0</v>
      </c>
      <c r="Q5" s="160">
        <v>0</v>
      </c>
      <c r="R5" s="8"/>
    </row>
    <row r="6" spans="4:18" x14ac:dyDescent="0.25">
      <c r="D6" s="145">
        <v>-0.46</v>
      </c>
      <c r="E6" s="160">
        <v>0</v>
      </c>
      <c r="F6" s="160">
        <v>0</v>
      </c>
      <c r="G6" s="160">
        <v>0</v>
      </c>
      <c r="H6" s="160">
        <v>0</v>
      </c>
      <c r="I6" s="160">
        <v>0</v>
      </c>
      <c r="J6" s="160">
        <v>0</v>
      </c>
      <c r="K6" s="160">
        <v>0</v>
      </c>
      <c r="L6" s="160">
        <v>0</v>
      </c>
      <c r="M6" s="160">
        <v>0</v>
      </c>
      <c r="N6" s="160">
        <v>0</v>
      </c>
      <c r="O6" s="160">
        <v>0</v>
      </c>
      <c r="P6" s="160">
        <v>0</v>
      </c>
      <c r="Q6" s="160">
        <v>0</v>
      </c>
      <c r="R6" s="8"/>
    </row>
    <row r="7" spans="4:18" x14ac:dyDescent="0.25">
      <c r="D7" s="145">
        <v>0</v>
      </c>
      <c r="E7" s="160">
        <v>0</v>
      </c>
      <c r="F7" s="160">
        <v>0</v>
      </c>
      <c r="G7" s="160">
        <v>0</v>
      </c>
      <c r="H7" s="160">
        <v>0</v>
      </c>
      <c r="I7" s="160">
        <v>0</v>
      </c>
      <c r="J7" s="160">
        <v>0</v>
      </c>
      <c r="K7" s="160">
        <v>0</v>
      </c>
      <c r="L7" s="160">
        <v>0</v>
      </c>
      <c r="M7" s="160">
        <v>0</v>
      </c>
      <c r="N7" s="160">
        <v>0</v>
      </c>
      <c r="O7" s="160">
        <v>0</v>
      </c>
      <c r="P7" s="160">
        <v>0</v>
      </c>
      <c r="Q7" s="160">
        <v>0</v>
      </c>
      <c r="R7" s="8"/>
    </row>
    <row r="8" spans="4:18" x14ac:dyDescent="0.25">
      <c r="D8" s="145">
        <v>0.03</v>
      </c>
      <c r="E8" s="160">
        <v>2371.8525000000004</v>
      </c>
      <c r="F8" s="160">
        <v>0</v>
      </c>
      <c r="G8" s="160">
        <v>0</v>
      </c>
      <c r="H8" s="160">
        <v>558.60500000000002</v>
      </c>
      <c r="I8" s="160">
        <v>524.37749999999994</v>
      </c>
      <c r="J8" s="160">
        <v>4046.915</v>
      </c>
      <c r="K8" s="160">
        <v>1007.2975</v>
      </c>
      <c r="L8" s="160">
        <v>545.63499999999999</v>
      </c>
      <c r="M8" s="160">
        <v>2265.4775</v>
      </c>
      <c r="N8" s="160">
        <v>423.98500000000001</v>
      </c>
      <c r="O8" s="160">
        <v>416.41750000000008</v>
      </c>
      <c r="P8" s="160">
        <v>1262.8074999999999</v>
      </c>
      <c r="Q8" s="160">
        <v>13423.369999999999</v>
      </c>
      <c r="R8" s="8"/>
    </row>
    <row r="9" spans="4:18" x14ac:dyDescent="0.25">
      <c r="D9" s="145">
        <v>0.05</v>
      </c>
      <c r="E9" s="160">
        <v>3989.6025000000004</v>
      </c>
      <c r="F9" s="160">
        <v>0</v>
      </c>
      <c r="G9" s="160">
        <v>0</v>
      </c>
      <c r="H9" s="160">
        <v>1668.5049999999999</v>
      </c>
      <c r="I9" s="160">
        <v>1166.3274999999999</v>
      </c>
      <c r="J9" s="160">
        <v>7834.8049999999994</v>
      </c>
      <c r="K9" s="160">
        <v>4679.2775000000001</v>
      </c>
      <c r="L9" s="160">
        <v>783.97499999999991</v>
      </c>
      <c r="M9" s="160">
        <v>2844.0775000000003</v>
      </c>
      <c r="N9" s="160">
        <v>645.06500000000005</v>
      </c>
      <c r="O9" s="160">
        <v>1420.3774999999998</v>
      </c>
      <c r="P9" s="160">
        <v>1670.4875</v>
      </c>
      <c r="Q9" s="160">
        <v>26702.499999999993</v>
      </c>
      <c r="R9" s="8"/>
    </row>
    <row r="10" spans="4:18" x14ac:dyDescent="0.25">
      <c r="D10" s="145">
        <v>0.1</v>
      </c>
      <c r="E10" s="160">
        <v>3989.6025000000004</v>
      </c>
      <c r="F10" s="160">
        <v>1500.16</v>
      </c>
      <c r="G10" s="160">
        <v>1777.73</v>
      </c>
      <c r="H10" s="160">
        <v>1668.5049999999999</v>
      </c>
      <c r="I10" s="160">
        <v>1166.3274999999999</v>
      </c>
      <c r="J10" s="160">
        <v>7834.8049999999994</v>
      </c>
      <c r="K10" s="160">
        <v>4679.2775000000001</v>
      </c>
      <c r="L10" s="160">
        <v>783.97499999999991</v>
      </c>
      <c r="M10" s="160">
        <v>2844.0775000000003</v>
      </c>
      <c r="N10" s="160">
        <v>645.06500000000005</v>
      </c>
      <c r="O10" s="160">
        <v>1420.3774999999998</v>
      </c>
      <c r="P10" s="160">
        <v>1670.4875</v>
      </c>
      <c r="Q10" s="160">
        <v>29980.389999999992</v>
      </c>
      <c r="R10" s="8"/>
    </row>
    <row r="11" spans="4:18" x14ac:dyDescent="0.25">
      <c r="D11" s="145">
        <v>0.15</v>
      </c>
      <c r="E11" s="160">
        <v>3989.6025000000004</v>
      </c>
      <c r="F11" s="160">
        <v>4965.25</v>
      </c>
      <c r="G11" s="160">
        <v>1777.73</v>
      </c>
      <c r="H11" s="160">
        <v>1668.5049999999999</v>
      </c>
      <c r="I11" s="160">
        <v>1166.3274999999999</v>
      </c>
      <c r="J11" s="160">
        <v>7834.8049999999994</v>
      </c>
      <c r="K11" s="160">
        <v>7426.2874999999985</v>
      </c>
      <c r="L11" s="160">
        <v>783.97499999999991</v>
      </c>
      <c r="M11" s="160">
        <v>2844.0775000000003</v>
      </c>
      <c r="N11" s="160">
        <v>645.06500000000005</v>
      </c>
      <c r="O11" s="160">
        <v>1420.3774999999998</v>
      </c>
      <c r="P11" s="160">
        <v>1670.4875</v>
      </c>
      <c r="Q11" s="160">
        <v>36192.49</v>
      </c>
      <c r="R11" s="8"/>
    </row>
    <row r="12" spans="4:18" x14ac:dyDescent="0.25">
      <c r="D12" s="145">
        <v>0.3</v>
      </c>
      <c r="E12" s="160">
        <v>4273.7849999999999</v>
      </c>
      <c r="F12" s="160">
        <v>4965.25</v>
      </c>
      <c r="G12" s="160">
        <v>1777.73</v>
      </c>
      <c r="H12" s="160">
        <v>1668.5049999999999</v>
      </c>
      <c r="I12" s="160">
        <v>1166.3274999999999</v>
      </c>
      <c r="J12" s="160">
        <v>7834.8049999999994</v>
      </c>
      <c r="K12" s="160">
        <v>7426.2874999999985</v>
      </c>
      <c r="L12" s="160">
        <v>783.97499999999991</v>
      </c>
      <c r="M12" s="160">
        <v>2844.0775000000003</v>
      </c>
      <c r="N12" s="160">
        <v>645.06500000000005</v>
      </c>
      <c r="O12" s="160">
        <v>1420.3774999999998</v>
      </c>
      <c r="P12" s="160">
        <v>1670.4875</v>
      </c>
      <c r="Q12" s="160">
        <v>36476.672500000001</v>
      </c>
      <c r="R12" s="8"/>
    </row>
    <row r="13" spans="4:18" x14ac:dyDescent="0.25">
      <c r="D13" s="145">
        <v>0.46</v>
      </c>
      <c r="E13" s="160">
        <v>9341.7820000000011</v>
      </c>
      <c r="F13" s="160">
        <v>4965.25</v>
      </c>
      <c r="G13" s="160">
        <v>1870.1000000000001</v>
      </c>
      <c r="H13" s="160">
        <v>1903.71</v>
      </c>
      <c r="I13" s="160">
        <v>1423.5349999999999</v>
      </c>
      <c r="J13" s="160">
        <v>9075.93</v>
      </c>
      <c r="K13" s="160">
        <v>7943.4609999999975</v>
      </c>
      <c r="L13" s="160">
        <v>1041.4699999999998</v>
      </c>
      <c r="M13" s="160">
        <v>3517.1849999999995</v>
      </c>
      <c r="N13" s="160">
        <v>831.41000000000008</v>
      </c>
      <c r="O13" s="160">
        <v>1610.4249999999997</v>
      </c>
      <c r="P13" s="160">
        <v>2103.1849999999999</v>
      </c>
      <c r="Q13" s="160">
        <v>45627.442999999999</v>
      </c>
      <c r="R13" s="8"/>
    </row>
    <row r="14" spans="4:18" x14ac:dyDescent="0.25">
      <c r="D14" s="145">
        <v>0.61</v>
      </c>
      <c r="E14" s="160">
        <v>9341.7820000000011</v>
      </c>
      <c r="F14" s="160">
        <v>4965.25</v>
      </c>
      <c r="G14" s="160">
        <v>1870.1000000000001</v>
      </c>
      <c r="H14" s="160">
        <v>3411.54</v>
      </c>
      <c r="I14" s="160">
        <v>1423.5349999999999</v>
      </c>
      <c r="J14" s="160">
        <v>9075.93</v>
      </c>
      <c r="K14" s="160">
        <v>7943.4609999999975</v>
      </c>
      <c r="L14" s="160">
        <v>1041.4699999999998</v>
      </c>
      <c r="M14" s="160">
        <v>3517.1849999999995</v>
      </c>
      <c r="N14" s="160">
        <v>831.41000000000008</v>
      </c>
      <c r="O14" s="160">
        <v>2160.7449999999999</v>
      </c>
      <c r="P14" s="160">
        <v>2103.1849999999999</v>
      </c>
      <c r="Q14" s="160">
        <v>47685.593000000001</v>
      </c>
      <c r="R14" s="8"/>
    </row>
    <row r="15" spans="4:18" x14ac:dyDescent="0.25">
      <c r="D15" s="145">
        <v>0.76</v>
      </c>
      <c r="E15" s="160">
        <v>9486.2820000000011</v>
      </c>
      <c r="F15" s="160">
        <v>4965.25</v>
      </c>
      <c r="G15" s="160">
        <v>1870.1000000000001</v>
      </c>
      <c r="H15" s="160">
        <v>4058.12</v>
      </c>
      <c r="I15" s="160">
        <v>1423.5349999999999</v>
      </c>
      <c r="J15" s="160">
        <v>9075.93</v>
      </c>
      <c r="K15" s="160">
        <v>9809.2010000000009</v>
      </c>
      <c r="L15" s="160">
        <v>1041.4699999999998</v>
      </c>
      <c r="M15" s="160">
        <v>3517.1849999999995</v>
      </c>
      <c r="N15" s="160">
        <v>831.41000000000008</v>
      </c>
      <c r="O15" s="160">
        <v>2349.9349999999999</v>
      </c>
      <c r="P15" s="160">
        <v>2103.1849999999999</v>
      </c>
      <c r="Q15" s="160">
        <v>50531.603000000003</v>
      </c>
      <c r="R15" s="8"/>
    </row>
    <row r="16" spans="4:18" x14ac:dyDescent="0.25">
      <c r="D16" s="145">
        <v>0.91</v>
      </c>
      <c r="E16" s="160">
        <v>10859.032000000001</v>
      </c>
      <c r="F16" s="160">
        <v>5925.51</v>
      </c>
      <c r="G16" s="160">
        <v>2122.12</v>
      </c>
      <c r="H16" s="160">
        <v>7587.73</v>
      </c>
      <c r="I16" s="160">
        <v>2015.4999999999995</v>
      </c>
      <c r="J16" s="160">
        <v>11483.360000000002</v>
      </c>
      <c r="K16" s="160">
        <v>11741.806000000002</v>
      </c>
      <c r="L16" s="160">
        <v>1429.06</v>
      </c>
      <c r="M16" s="160">
        <v>4672.32</v>
      </c>
      <c r="N16" s="160">
        <v>1172.2399999999998</v>
      </c>
      <c r="O16" s="160">
        <v>4755.6900000000005</v>
      </c>
      <c r="P16" s="160">
        <v>2841.1800000000003</v>
      </c>
      <c r="Q16" s="160">
        <v>66605.54800000001</v>
      </c>
      <c r="R16" s="8"/>
    </row>
    <row r="17" spans="4:18" x14ac:dyDescent="0.25">
      <c r="D17" s="145">
        <v>1.02</v>
      </c>
      <c r="E17" s="160">
        <v>14037.341999999999</v>
      </c>
      <c r="F17" s="160">
        <v>5925.51</v>
      </c>
      <c r="G17" s="160">
        <v>2122.12</v>
      </c>
      <c r="H17" s="160">
        <v>7587.73</v>
      </c>
      <c r="I17" s="160">
        <v>2015.4999999999995</v>
      </c>
      <c r="J17" s="160">
        <v>11483.360000000002</v>
      </c>
      <c r="K17" s="160">
        <v>14541.856000000002</v>
      </c>
      <c r="L17" s="160">
        <v>1429.06</v>
      </c>
      <c r="M17" s="160">
        <v>4672.32</v>
      </c>
      <c r="N17" s="160">
        <v>1172.2399999999998</v>
      </c>
      <c r="O17" s="160">
        <v>4755.6900000000005</v>
      </c>
      <c r="P17" s="160">
        <v>2841.1800000000003</v>
      </c>
      <c r="Q17" s="160">
        <v>72583.907999999996</v>
      </c>
      <c r="R17" s="8"/>
    </row>
    <row r="18" spans="4:18" x14ac:dyDescent="0.25">
      <c r="D18" s="145">
        <v>1.22</v>
      </c>
      <c r="E18" s="160">
        <v>14656.852000000001</v>
      </c>
      <c r="F18" s="160">
        <v>5925.51</v>
      </c>
      <c r="G18" s="160">
        <v>2122.12</v>
      </c>
      <c r="H18" s="160">
        <v>7587.73</v>
      </c>
      <c r="I18" s="160">
        <v>2015.4999999999995</v>
      </c>
      <c r="J18" s="160">
        <v>11551.760000000002</v>
      </c>
      <c r="K18" s="160">
        <v>14733.536000000002</v>
      </c>
      <c r="L18" s="160">
        <v>1429.06</v>
      </c>
      <c r="M18" s="160">
        <v>4672.32</v>
      </c>
      <c r="N18" s="160">
        <v>1172.2399999999998</v>
      </c>
      <c r="O18" s="160">
        <v>4755.6900000000005</v>
      </c>
      <c r="P18" s="160">
        <v>2841.1800000000003</v>
      </c>
      <c r="Q18" s="160">
        <v>73463.497999999992</v>
      </c>
      <c r="R18" s="8"/>
    </row>
    <row r="19" spans="4:18" x14ac:dyDescent="0.25">
      <c r="D19" s="145">
        <v>1.52</v>
      </c>
      <c r="E19" s="160">
        <v>14822.412000000002</v>
      </c>
      <c r="F19" s="160">
        <v>5925.51</v>
      </c>
      <c r="G19" s="160">
        <v>2376.2300000000005</v>
      </c>
      <c r="H19" s="160">
        <v>7923.8599999999979</v>
      </c>
      <c r="I19" s="160">
        <v>2094.7399999999998</v>
      </c>
      <c r="J19" s="160">
        <v>12093.93</v>
      </c>
      <c r="K19" s="160">
        <v>14872.809999999998</v>
      </c>
      <c r="L19" s="160">
        <v>1516.42</v>
      </c>
      <c r="M19" s="160">
        <v>4903.17</v>
      </c>
      <c r="N19" s="160">
        <v>1296.27</v>
      </c>
      <c r="O19" s="160">
        <v>5065.91</v>
      </c>
      <c r="P19" s="160">
        <v>3003.57</v>
      </c>
      <c r="Q19" s="160">
        <v>75894.832000000009</v>
      </c>
      <c r="R19" s="8"/>
    </row>
    <row r="20" spans="4:18" x14ac:dyDescent="0.25">
      <c r="D20" s="145">
        <v>1.83</v>
      </c>
      <c r="E20" s="160">
        <v>14822.412000000002</v>
      </c>
      <c r="F20" s="160">
        <v>7977.4</v>
      </c>
      <c r="G20" s="160">
        <v>2376.2300000000005</v>
      </c>
      <c r="H20" s="160">
        <v>7923.8599999999979</v>
      </c>
      <c r="I20" s="160">
        <v>2094.7399999999998</v>
      </c>
      <c r="J20" s="160">
        <v>12093.93</v>
      </c>
      <c r="K20" s="160">
        <v>14872.809999999998</v>
      </c>
      <c r="L20" s="160">
        <v>1516.42</v>
      </c>
      <c r="M20" s="160">
        <v>4903.17</v>
      </c>
      <c r="N20" s="160">
        <v>1296.27</v>
      </c>
      <c r="O20" s="160">
        <v>5065.91</v>
      </c>
      <c r="P20" s="160">
        <v>3003.57</v>
      </c>
      <c r="Q20" s="160">
        <v>77946.722000000009</v>
      </c>
      <c r="R20" s="8"/>
    </row>
    <row r="21" spans="4:18" x14ac:dyDescent="0.25">
      <c r="D21" s="145">
        <v>2.7</v>
      </c>
      <c r="E21" s="160">
        <v>14822.412000000002</v>
      </c>
      <c r="F21" s="160">
        <v>7977.4</v>
      </c>
      <c r="G21" s="160">
        <v>2376.2300000000005</v>
      </c>
      <c r="H21" s="160">
        <v>7923.8599999999979</v>
      </c>
      <c r="I21" s="160">
        <v>2094.7399999999998</v>
      </c>
      <c r="J21" s="160">
        <v>12093.93</v>
      </c>
      <c r="K21" s="160">
        <v>14872.809999999998</v>
      </c>
      <c r="L21" s="160">
        <v>1516.42</v>
      </c>
      <c r="M21" s="160">
        <v>4903.17</v>
      </c>
      <c r="N21" s="160">
        <v>1296.27</v>
      </c>
      <c r="O21" s="160">
        <v>5065.91</v>
      </c>
      <c r="P21" s="160">
        <v>3003.57</v>
      </c>
      <c r="Q21" s="160">
        <v>77946.722000000009</v>
      </c>
      <c r="R21" s="8"/>
    </row>
  </sheetData>
  <mergeCells count="1">
    <mergeCell ref="D3:Q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591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268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555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1200</v>
      </c>
    </row>
    <row r="17" spans="1:2" x14ac:dyDescent="0.25">
      <c r="A17" s="33" t="s">
        <v>114</v>
      </c>
      <c r="B17" s="55">
        <v>111.48</v>
      </c>
    </row>
    <row r="18" spans="1:2" x14ac:dyDescent="0.25">
      <c r="A18" s="33" t="s">
        <v>115</v>
      </c>
      <c r="B18" s="55" t="s">
        <v>588</v>
      </c>
    </row>
    <row r="19" spans="1:2" x14ac:dyDescent="0.25">
      <c r="A19" s="33" t="s">
        <v>116</v>
      </c>
      <c r="B19" s="55" t="s">
        <v>589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590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3081.1474500000004</v>
      </c>
    </row>
    <row r="28" spans="1:2" x14ac:dyDescent="0.25">
      <c r="A28" s="54">
        <v>-2.6500000000000004</v>
      </c>
      <c r="B28" s="53">
        <v>3890.0224500000004</v>
      </c>
    </row>
    <row r="29" spans="1:2" x14ac:dyDescent="0.25">
      <c r="A29" s="54">
        <v>-2.6</v>
      </c>
      <c r="B29" s="53">
        <v>5390.1824500000002</v>
      </c>
    </row>
    <row r="30" spans="1:2" x14ac:dyDescent="0.25">
      <c r="A30" s="54">
        <v>-2.5500000000000003</v>
      </c>
      <c r="B30" s="53">
        <v>8855.2724500000004</v>
      </c>
    </row>
    <row r="31" spans="1:2" x14ac:dyDescent="0.25">
      <c r="A31" s="54">
        <v>-2.4000000000000004</v>
      </c>
      <c r="B31" s="53">
        <v>8997.3636999999999</v>
      </c>
    </row>
    <row r="32" spans="1:2" x14ac:dyDescent="0.25">
      <c r="A32" s="54">
        <v>-2.2400000000000002</v>
      </c>
      <c r="B32" s="53">
        <v>11531.3622</v>
      </c>
    </row>
    <row r="33" spans="1:2" x14ac:dyDescent="0.25">
      <c r="A33" s="54">
        <v>-2.0900000000000003</v>
      </c>
      <c r="B33" s="53">
        <v>11531.3622</v>
      </c>
    </row>
    <row r="34" spans="1:2" x14ac:dyDescent="0.25">
      <c r="A34" s="54">
        <v>-1.9400000000000002</v>
      </c>
      <c r="B34" s="53">
        <v>11603.6122</v>
      </c>
    </row>
    <row r="35" spans="1:2" x14ac:dyDescent="0.25">
      <c r="A35" s="54">
        <v>-1.79</v>
      </c>
      <c r="B35" s="53">
        <v>13250.247200000002</v>
      </c>
    </row>
    <row r="36" spans="1:2" x14ac:dyDescent="0.25">
      <c r="A36" s="54">
        <v>-1.6800000000000002</v>
      </c>
      <c r="B36" s="53">
        <v>14839.4022</v>
      </c>
    </row>
    <row r="37" spans="1:2" x14ac:dyDescent="0.25">
      <c r="A37" s="54">
        <v>-1.4800000000000002</v>
      </c>
      <c r="B37" s="53">
        <v>15149.157200000001</v>
      </c>
    </row>
    <row r="38" spans="1:2" x14ac:dyDescent="0.25">
      <c r="A38" s="54">
        <v>-1.1800000000000002</v>
      </c>
      <c r="B38" s="53">
        <v>15231.9372</v>
      </c>
    </row>
    <row r="39" spans="1:2" x14ac:dyDescent="0.25">
      <c r="A39" s="54">
        <v>-0.87000000000000011</v>
      </c>
      <c r="B39" s="53">
        <v>17283.8272</v>
      </c>
    </row>
    <row r="40" spans="1:2" x14ac:dyDescent="0.25">
      <c r="A40" s="54">
        <v>0</v>
      </c>
      <c r="B40" s="53">
        <v>17283.8272</v>
      </c>
    </row>
    <row r="41" spans="1:2" x14ac:dyDescent="0.25">
      <c r="A41" s="54">
        <v>0.03</v>
      </c>
      <c r="B41" s="53">
        <v>32231.24065</v>
      </c>
    </row>
    <row r="42" spans="1:2" x14ac:dyDescent="0.25">
      <c r="A42" s="54">
        <v>0.05</v>
      </c>
      <c r="B42" s="53">
        <v>38940.675650000005</v>
      </c>
    </row>
    <row r="43" spans="1:2" x14ac:dyDescent="0.25">
      <c r="A43" s="54">
        <v>0.1</v>
      </c>
      <c r="B43" s="53">
        <v>40718.405650000001</v>
      </c>
    </row>
    <row r="44" spans="1:2" x14ac:dyDescent="0.25">
      <c r="A44" s="54">
        <v>0.15</v>
      </c>
      <c r="B44" s="53">
        <v>43465.415650000003</v>
      </c>
    </row>
    <row r="45" spans="1:2" x14ac:dyDescent="0.25">
      <c r="A45" s="54">
        <v>0.3</v>
      </c>
      <c r="B45" s="53">
        <v>43607.506900000008</v>
      </c>
    </row>
    <row r="46" spans="1:2" x14ac:dyDescent="0.25">
      <c r="A46" s="54">
        <v>0.46</v>
      </c>
      <c r="B46" s="53">
        <v>48304.396400000012</v>
      </c>
    </row>
    <row r="47" spans="1:2" x14ac:dyDescent="0.25">
      <c r="A47" s="54">
        <v>0.61</v>
      </c>
      <c r="B47" s="53">
        <v>48854.716400000012</v>
      </c>
    </row>
    <row r="48" spans="1:2" x14ac:dyDescent="0.25">
      <c r="A48" s="54">
        <v>0.76</v>
      </c>
      <c r="B48" s="53">
        <v>50981.896400000012</v>
      </c>
    </row>
    <row r="49" spans="1:2" x14ac:dyDescent="0.25">
      <c r="A49" s="54">
        <v>0.91</v>
      </c>
      <c r="B49" s="53">
        <v>58539.371399999996</v>
      </c>
    </row>
    <row r="50" spans="1:2" x14ac:dyDescent="0.25">
      <c r="A50" s="54">
        <v>1.02</v>
      </c>
      <c r="B50" s="53">
        <v>62928.576399999998</v>
      </c>
    </row>
    <row r="51" spans="1:2" x14ac:dyDescent="0.25">
      <c r="A51" s="54">
        <v>1.22</v>
      </c>
      <c r="B51" s="53">
        <v>63430.011399999996</v>
      </c>
    </row>
    <row r="52" spans="1:2" x14ac:dyDescent="0.25">
      <c r="A52" s="54">
        <v>1.52</v>
      </c>
      <c r="B52" s="53">
        <v>64696.995399999993</v>
      </c>
    </row>
    <row r="53" spans="1:2" x14ac:dyDescent="0.25">
      <c r="A53" s="54">
        <v>1.83</v>
      </c>
      <c r="B53" s="53">
        <v>64696.995399999993</v>
      </c>
    </row>
    <row r="54" spans="1:2" x14ac:dyDescent="0.25">
      <c r="A54" s="77">
        <v>2.7</v>
      </c>
      <c r="B54" s="72">
        <v>64696.995399999993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R_2-S-BU-EC_info</vt:lpstr>
      <vt:lpstr>R_2-S-BU-EC_NBFR_m2</vt:lpstr>
      <vt:lpstr>R_2-S-BU-EC_NBFR_struct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2023-09-18T14:01:26Z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