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1-S-C-EC_NBFR\"/>
    </mc:Choice>
  </mc:AlternateContent>
  <xr:revisionPtr revIDLastSave="0" documentId="13_ncr:1_{9959257E-E116-4BA3-A8AB-40126BA57547}" xr6:coauthVersionLast="47" xr6:coauthVersionMax="47" xr10:uidLastSave="{00000000-0000-0000-0000-000000000000}"/>
  <bookViews>
    <workbookView xWindow="25365" yWindow="420" windowWidth="23205" windowHeight="13650" tabRatio="813" firstSheet="1" activeTab="3" xr2:uid="{7C5655A8-2A5B-4B20-ABA5-441C5835F3C9}"/>
  </bookViews>
  <sheets>
    <sheet name="R_1-S-C-EC_info" sheetId="50" r:id="rId1"/>
    <sheet name="R_1-S-C-EC_NBFR_m2" sheetId="52" r:id="rId2"/>
    <sheet name="R_1-S-C-EC_NBFR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89" r:id="rId13"/>
    <pivotCache cacheId="19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201" i="51" l="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M21" i="49"/>
  <c r="N21" i="49" s="1"/>
  <c r="L21" i="49"/>
  <c r="M20" i="49"/>
  <c r="N20" i="49" s="1"/>
  <c r="L20" i="49"/>
  <c r="M19" i="49"/>
  <c r="N19" i="49" s="1"/>
  <c r="L19" i="49"/>
  <c r="M18" i="49"/>
  <c r="N18" i="49" s="1"/>
  <c r="L18" i="49"/>
  <c r="M17" i="49"/>
  <c r="N17" i="49" s="1"/>
  <c r="L17" i="49"/>
  <c r="M16" i="49"/>
  <c r="N16" i="49" s="1"/>
  <c r="L16" i="49"/>
  <c r="M15" i="49"/>
  <c r="N15" i="49" s="1"/>
  <c r="L15" i="49"/>
  <c r="M14" i="49"/>
  <c r="N14" i="49" s="1"/>
  <c r="L14" i="49"/>
  <c r="M13" i="49"/>
  <c r="N13" i="49" s="1"/>
  <c r="L13" i="49"/>
  <c r="M12" i="49"/>
  <c r="N12" i="49" s="1"/>
  <c r="L12" i="49"/>
  <c r="M11" i="49"/>
  <c r="N11" i="49" s="1"/>
  <c r="L11" i="49"/>
  <c r="M10" i="49"/>
  <c r="N10" i="49" s="1"/>
  <c r="L10" i="49"/>
  <c r="M9" i="49"/>
  <c r="N9" i="49" s="1"/>
  <c r="L9" i="49"/>
  <c r="M8" i="49"/>
  <c r="N8" i="49" s="1"/>
  <c r="L8" i="49"/>
  <c r="M7" i="49"/>
  <c r="N7" i="49" s="1"/>
  <c r="L7" i="49"/>
  <c r="M6" i="49"/>
  <c r="N6" i="49" s="1"/>
  <c r="L6" i="49"/>
  <c r="M5" i="49"/>
  <c r="N5" i="49" s="1"/>
  <c r="L5" i="49"/>
  <c r="C23" i="2"/>
  <c r="D23" i="2"/>
  <c r="E23" i="2"/>
  <c r="C24" i="2"/>
  <c r="D24" i="2"/>
  <c r="E24" i="2"/>
  <c r="D22" i="2"/>
  <c r="E22" i="2"/>
  <c r="C22" i="2"/>
  <c r="R21" i="49"/>
  <c r="P20" i="49"/>
  <c r="R17" i="49"/>
  <c r="P16" i="49"/>
  <c r="R13" i="49"/>
  <c r="P12" i="49"/>
  <c r="Q8" i="49"/>
  <c r="R7" i="49"/>
  <c r="Q16" i="49"/>
  <c r="P7" i="49"/>
  <c r="Q21" i="49"/>
  <c r="Q17" i="49"/>
  <c r="Q13" i="49"/>
  <c r="R9" i="49"/>
  <c r="P8" i="49"/>
  <c r="R5" i="49"/>
  <c r="P21" i="49"/>
  <c r="R18" i="49"/>
  <c r="P17" i="49"/>
  <c r="R14" i="49"/>
  <c r="P13" i="49"/>
  <c r="R10" i="49"/>
  <c r="Q9" i="49"/>
  <c r="Q5" i="49"/>
  <c r="Q6" i="49"/>
  <c r="P6" i="49"/>
  <c r="R8" i="49"/>
  <c r="Q18" i="49"/>
  <c r="Q14" i="49"/>
  <c r="Q10" i="49"/>
  <c r="P9" i="49"/>
  <c r="R6" i="49"/>
  <c r="P5" i="49"/>
  <c r="R19" i="49"/>
  <c r="P18" i="49"/>
  <c r="R15" i="49"/>
  <c r="P14" i="49"/>
  <c r="R11" i="49"/>
  <c r="P10" i="49"/>
  <c r="Q19" i="49"/>
  <c r="Q15" i="49"/>
  <c r="Q11" i="49"/>
  <c r="R20" i="49"/>
  <c r="P19" i="49"/>
  <c r="R16" i="49"/>
  <c r="P15" i="49"/>
  <c r="R12" i="49"/>
  <c r="P11" i="49"/>
  <c r="Q7" i="49"/>
  <c r="Q20" i="49"/>
  <c r="Q12" i="49"/>
  <c r="B10" i="49" l="1"/>
  <c r="B23" i="2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<sst xmlns="http://schemas.openxmlformats.org/spreadsheetml/2006/main" count="3219" uniqueCount="555">
  <si>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</si>
  <si>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</si>
  <si>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</si>
  <si>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</si>
  <si>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</si>
  <si>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</si>
  <si>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</si>
  <si>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</si>
  <si>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</si>
  <si>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</si>
  <si>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</si>
  <si>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</si>
  <si>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</si>
  <si>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</si>
  <si>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</si>
  <si>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</si>
  <si>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</si>
  <si>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</si>
  <si>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</si>
  <si>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</si>
  <si>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</si>
  <si>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</si>
  <si>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</si>
  <si>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</si>
  <si>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</si>
  <si>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</si>
  <si>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</si>
  <si>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</si>
  <si>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</si>
  <si>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</si>
  <si>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</si>
  <si>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</si>
  <si>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</si>
  <si>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</si>
  <si>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</si>
  <si>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</si>
  <si>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</si>
  <si>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</si>
  <si>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</si>
  <si>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</si>
  <si>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</si>
  <si>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</si>
  <si>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</si>
  <si>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</si>
  <si>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</si>
  <si>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</si>
  <si>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</si>
  <si>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</si>
  <si>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</si>
  <si>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</si>
  <si>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</si>
  <si>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</si>
  <si>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</si>
  <si>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</si>
  <si>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</si>
  <si>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</si>
  <si>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</si>
  <si>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</si>
  <si>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</si>
  <si>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</si>
  <si>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</si>
  <si>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</si>
  <si>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</si>
  <si>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</si>
  <si>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</si>
  <si>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</si>
  <si>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</si>
  <si>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</si>
  <si>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</si>
  <si>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</si>
  <si>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</si>
  <si>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</si>
  <si>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</si>
  <si>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</si>
  <si>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</si>
  <si>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</si>
  <si>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</si>
  <si>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</si>
  <si>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</si>
  <si>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</si>
  <si>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</si>
  <si>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</si>
  <si>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</si>
  <si>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</si>
  <si>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</si>
  <si>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</si>
  <si>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</si>
  <si>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</si>
  <si>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</si>
  <si>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</si>
  <si>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</si>
  <si>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</si>
  <si>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</si>
  <si>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</si>
  <si>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</si>
  <si>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</si>
  <si>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</si>
  <si>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</si>
  <si>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</si>
  <si>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</si>
  <si>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</si>
  <si>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</si>
  <si>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</si>
  <si>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</si>
  <si>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</si>
  <si>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</si>
  <si>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</si>
  <si>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</si>
  <si>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</si>
  <si>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</si>
  <si>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</si>
  <si>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</si>
  <si>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</si>
  <si>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</si>
  <si>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</si>
  <si>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</si>
  <si>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</si>
  <si>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</si>
  <si>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</si>
  <si>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</si>
  <si>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</si>
  <si>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</si>
  <si>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</si>
  <si>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</si>
  <si>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</si>
  <si>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</si>
  <si>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</si>
  <si>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</si>
  <si>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</si>
  <si>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</si>
  <si>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</si>
  <si>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</si>
  <si>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</si>
  <si>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</si>
  <si>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</si>
  <si>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</si>
  <si>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</si>
  <si>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</si>
  <si>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R_1-S-C-EC_NBFR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</si>
  <si>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</si>
  <si>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</si>
  <si>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</si>
  <si>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</si>
  <si>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</si>
  <si>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R_1-C</t>
  </si>
  <si>
    <t>Depth</t>
  </si>
  <si>
    <t>Damage</t>
  </si>
  <si>
    <t>Copy of default formula for reference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</si>
  <si>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</si>
  <si>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</si>
  <si>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</si>
  <si>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</si>
  <si>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</si>
  <si>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</si>
  <si>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</si>
  <si>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</si>
  <si>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</si>
  <si>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</si>
  <si>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</si>
  <si>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na</t>
  </si>
  <si>
    <t>joist size (nominal)</t>
  </si>
  <si>
    <t>floor to floor (m)</t>
  </si>
  <si>
    <t xml:space="preserve">Total Response Costs: </t>
  </si>
  <si>
    <t>Main</t>
  </si>
  <si>
    <t>Basement</t>
  </si>
  <si>
    <t>Upper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</si>
  <si>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</si>
  <si>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</si>
  <si>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</si>
  <si>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</si>
  <si>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</si>
  <si>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</si>
  <si>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</si>
  <si>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</si>
  <si>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residential</t>
  </si>
  <si>
    <t>small</t>
  </si>
  <si>
    <t>economy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</si>
  <si>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</si>
  <si>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</si>
  <si>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</si>
  <si>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</si>
  <si>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</si>
  <si>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</si>
  <si>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</si>
  <si>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</si>
  <si>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</si>
  <si>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</si>
  <si>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</si>
  <si>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Economy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</si>
  <si>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</si>
  <si>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</si>
  <si>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</si>
  <si>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</si>
  <si>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</si>
  <si>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</si>
  <si>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</si>
  <si>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</si>
  <si>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</si>
  <si>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</si>
  <si>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</si>
  <si>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</si>
  <si>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4-5 Corners - Square/Rectangle</t>
  </si>
  <si>
    <t>Exterior Wall Finish</t>
  </si>
  <si>
    <t>Siding - Vinyl</t>
  </si>
  <si>
    <t xml:space="preserve">Exterior Wall Construction </t>
  </si>
  <si>
    <t>wood framing 100%</t>
  </si>
  <si>
    <t>Roof Cover</t>
  </si>
  <si>
    <t>composition - 3 Tab Shingle</t>
  </si>
  <si>
    <t>rRoof Shape</t>
  </si>
  <si>
    <t>gable</t>
  </si>
  <si>
    <t>Garage/Carport</t>
  </si>
  <si>
    <t>Floor Coverings</t>
  </si>
  <si>
    <t>Carpet 80%, Sheet Vinyl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</si>
  <si>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</si>
  <si>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</si>
  <si>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</si>
  <si>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</si>
  <si>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</si>
  <si>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</si>
  <si>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</si>
  <si>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</si>
  <si>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</si>
  <si>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</si>
  <si>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</si>
  <si>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</si>
  <si>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</si>
  <si>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</si>
  <si>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</si>
  <si>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</si>
  <si>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</si>
  <si>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</si>
  <si>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</si>
  <si>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</si>
  <si>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</si>
  <si>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</si>
  <si>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specitaly systems</t>
  </si>
  <si>
    <t>electrical service</t>
  </si>
  <si>
    <t>100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</si>
  <si>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</si>
  <si>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</si>
  <si>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</si>
  <si>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</si>
  <si>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</si>
  <si>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</si>
  <si>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</si>
  <si>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</si>
  <si>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</si>
  <si>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</si>
  <si>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</si>
  <si>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</si>
  <si>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medium</t>
  </si>
  <si>
    <t>Dishwasher, Range Hood, Free Standing Range, Free Standing Refrigerator</t>
  </si>
  <si>
    <t>Plastic Laminate</t>
  </si>
  <si>
    <t>Bath</t>
  </si>
  <si>
    <t>Acrylic/Fiberglass Tub/Shower Surround</t>
  </si>
  <si>
    <t>Bedroom2</t>
  </si>
  <si>
    <t>LivingRoom</t>
  </si>
  <si>
    <t>UtilityRoom</t>
  </si>
  <si>
    <t>Fredericton,  New Brunswick</t>
  </si>
  <si>
    <t>R_1-S-C-EC_info</t>
  </si>
  <si>
    <t>R_1-S-C-EC</t>
  </si>
  <si>
    <t>R_1-S-C-EC_NBFR.xlsx</t>
  </si>
  <si>
    <t>R_1-S-C-EC_NBFR_rep.xlsx</t>
  </si>
  <si>
    <t>david.sol at 2023-09-18 10:11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</si>
  <si>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</si>
  <si>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</si>
  <si>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</si>
  <si>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</si>
  <si>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</si>
  <si>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</si>
  <si>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</si>
  <si>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</si>
  <si>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</si>
  <si>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</si>
  <si>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</si>
  <si>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</si>
  <si>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</si>
  <si>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</si>
  <si>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</si>
  <si>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</si>
  <si>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</si>
  <si>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</si>
  <si>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 - Standard grade</t>
  </si>
  <si>
    <t>ELE</t>
  </si>
  <si>
    <t>SMOKE-</t>
  </si>
  <si>
    <t>Fluorescent - one tube - 4' - fixture w/lens</t>
  </si>
  <si>
    <t>LIT</t>
  </si>
  <si>
    <t>FL1-4+</t>
  </si>
  <si>
    <t>Clothes dryer vent - installed</t>
  </si>
  <si>
    <t>HVC</t>
  </si>
  <si>
    <t>DVENT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</si>
  <si>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</si>
  <si>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</si>
  <si>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</si>
  <si>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</si>
  <si>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</si>
  <si>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</si>
  <si>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</si>
  <si>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</si>
  <si>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</si>
  <si>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</si>
  <si>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ready for texture</t>
  </si>
  <si>
    <t>DRY</t>
  </si>
  <si>
    <t>1/2-</t>
  </si>
  <si>
    <t>Door knob - interior - Standard grade</t>
  </si>
  <si>
    <t>FNH</t>
  </si>
  <si>
    <t>DORH-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</si>
  <si>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</si>
  <si>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</si>
  <si>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</si>
  <si>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</si>
  <si>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</si>
  <si>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</si>
  <si>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Batt insulation - 6" - R19 - paper / foil faced</t>
  </si>
  <si>
    <t>INS</t>
  </si>
  <si>
    <t>BTF6</t>
  </si>
  <si>
    <t>Batt insulation - 10" - R30 - paper / foil faced</t>
  </si>
  <si>
    <t>BTF10</t>
  </si>
  <si>
    <t>Thermostat - Standard grade</t>
  </si>
  <si>
    <t>TS-</t>
  </si>
  <si>
    <t>Furnace - forced air - 60 - 75,000 BTU</t>
  </si>
  <si>
    <t>FRFA&lt;</t>
  </si>
  <si>
    <t>Ductwork system - hot or cold air - up to 900 SF home</t>
  </si>
  <si>
    <t>DCT&lt;&lt;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</si>
  <si>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</si>
  <si>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</si>
  <si>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</si>
  <si>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</si>
  <si>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</si>
  <si>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</si>
  <si>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</si>
  <si>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</si>
  <si>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- 100 amp</t>
  </si>
  <si>
    <t>BPNL100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</si>
  <si>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</si>
  <si>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</si>
  <si>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</si>
  <si>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</si>
  <si>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</si>
  <si>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</si>
  <si>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</si>
  <si>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</si>
  <si>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</si>
  <si>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</si>
  <si>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Outlet</t>
  </si>
  <si>
    <t>OS</t>
  </si>
  <si>
    <t>Light fixture - Standard grade</t>
  </si>
  <si>
    <t>AV-</t>
  </si>
  <si>
    <t>Door knob - interior</t>
  </si>
  <si>
    <t>DORH</t>
  </si>
  <si>
    <t>1/2" drywall - hung, taped, floated, ready for paint</t>
  </si>
  <si>
    <t>1/2</t>
  </si>
  <si>
    <t>Baseboard - 2 1/4"</t>
  </si>
  <si>
    <t>B</t>
  </si>
  <si>
    <t>Seal the surface area w/latex based stain blocker - one coat</t>
  </si>
  <si>
    <t>S</t>
  </si>
  <si>
    <t>Paint the surface area - one coat</t>
  </si>
  <si>
    <t>P</t>
  </si>
  <si>
    <t>Vinyl floor covering (sheet goods) - Economy grade</t>
  </si>
  <si>
    <t>FCV</t>
  </si>
  <si>
    <t>AV--</t>
  </si>
  <si>
    <t>Carpet pad - Standard grade</t>
  </si>
  <si>
    <t>FCC</t>
  </si>
  <si>
    <t>PAD-</t>
  </si>
  <si>
    <t>Carpet - Economy grade</t>
  </si>
  <si>
    <t>Paint bifold door set - slab only - 2 coats (per side)</t>
  </si>
  <si>
    <t>BF</t>
  </si>
  <si>
    <t>Bifold door set - lauan/mahogany - Double</t>
  </si>
  <si>
    <t>BF-</t>
  </si>
  <si>
    <t>220 volt outlet</t>
  </si>
  <si>
    <t>OL220</t>
  </si>
  <si>
    <t>Ground fault interrupter (GFI) outlet</t>
  </si>
  <si>
    <t>GFI</t>
  </si>
  <si>
    <t>Rough in plumbing - per fixture - w/PEX - Branch system</t>
  </si>
  <si>
    <t>RFIXP-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</si>
  <si>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</si>
  <si>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</si>
  <si>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</si>
  <si>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</si>
  <si>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</si>
  <si>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</si>
  <si>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Appliance water line - 1/4"</t>
  </si>
  <si>
    <t>APP</t>
  </si>
  <si>
    <t>WL</t>
  </si>
  <si>
    <t>Cabinet knob or pull</t>
  </si>
  <si>
    <t>CAB</t>
  </si>
  <si>
    <t>KNPL</t>
  </si>
  <si>
    <t>Cabinetry - laminate upper (wall) units - Standard grade</t>
  </si>
  <si>
    <t>FUP-</t>
  </si>
  <si>
    <t>Cabinetry - laminate lower (base) units - Standard grade</t>
  </si>
  <si>
    <t>FLOW-</t>
  </si>
  <si>
    <t>Countertop - post formed plastic laminate</t>
  </si>
  <si>
    <t>CTPF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</si>
  <si>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</si>
  <si>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</si>
  <si>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</si>
  <si>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</si>
  <si>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</si>
  <si>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</si>
  <si>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</si>
  <si>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</si>
  <si>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- 14 to 18 cf</t>
  </si>
  <si>
    <t>RF14</t>
  </si>
  <si>
    <t>Paint baseboard - one coat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</si>
  <si>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</si>
  <si>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</si>
  <si>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</si>
  <si>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</si>
  <si>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</si>
  <si>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</si>
  <si>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Mirror - 1/4" plate glass</t>
  </si>
  <si>
    <t>MSD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</si>
  <si>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</si>
  <si>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</si>
  <si>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</si>
  <si>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</si>
  <si>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</si>
  <si>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</si>
  <si>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</si>
  <si>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</si>
  <si>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Fibreglass tub surround only - Standard grade</t>
  </si>
  <si>
    <t>TUBS-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</si>
  <si>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</si>
  <si>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</si>
  <si>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</si>
  <si>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</si>
  <si>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</si>
  <si>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</si>
  <si>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</si>
  <si>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</si>
  <si>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</si>
  <si>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Vanity - Standard grade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</si>
  <si>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</si>
  <si>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</si>
  <si>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</si>
  <si>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</si>
  <si>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</si>
  <si>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</si>
  <si>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</si>
  <si>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</si>
  <si>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</si>
  <si>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Patio</t>
  </si>
  <si>
    <t>Cat.Sel</t>
  </si>
  <si>
    <t>group_1</t>
  </si>
  <si>
    <t>PNT.SILL</t>
  </si>
  <si>
    <t>general</t>
  </si>
  <si>
    <t>FNC.SILL</t>
  </si>
  <si>
    <t>ELE.SMOKE-</t>
  </si>
  <si>
    <t>LIT.FL1-4+</t>
  </si>
  <si>
    <t>HVC.DVENT</t>
  </si>
  <si>
    <t>PLM.WH40</t>
  </si>
  <si>
    <t>mech_single</t>
  </si>
  <si>
    <t>PNT.SHW</t>
  </si>
  <si>
    <t>FNC.SH16</t>
  </si>
  <si>
    <t>PNT.SP</t>
  </si>
  <si>
    <t>DRY.1/2-</t>
  </si>
  <si>
    <t>FNH.DORH-</t>
  </si>
  <si>
    <t>DOR.AV</t>
  </si>
  <si>
    <t>PNT.DORT</t>
  </si>
  <si>
    <t>PNT.DOR</t>
  </si>
  <si>
    <t>INS.BTF6_c1</t>
  </si>
  <si>
    <t>general_main</t>
  </si>
  <si>
    <t>INS.BTF10_c1</t>
  </si>
  <si>
    <t>HVC.TS-</t>
  </si>
  <si>
    <t>HVC.FRFA&lt;</t>
  </si>
  <si>
    <t>HVC.DCT&lt;&lt;_m1</t>
  </si>
  <si>
    <t>LIT.X-</t>
  </si>
  <si>
    <t>FNH.DBX</t>
  </si>
  <si>
    <t>DOR.X-</t>
  </si>
  <si>
    <t>WDP.6M</t>
  </si>
  <si>
    <t>ELE.BPNL100</t>
  </si>
  <si>
    <t>ELE.OL</t>
  </si>
  <si>
    <t>ELE.XOS</t>
  </si>
  <si>
    <t>ELE.REWIRE</t>
  </si>
  <si>
    <t>ELE.LV</t>
  </si>
  <si>
    <t>FNC.CLROD</t>
  </si>
  <si>
    <t>ELE.OS</t>
  </si>
  <si>
    <t>LIT.AV-</t>
  </si>
  <si>
    <t>FNH.DORH</t>
  </si>
  <si>
    <t>DRY.1/2</t>
  </si>
  <si>
    <t>FNC.B</t>
  </si>
  <si>
    <t>PNT.S</t>
  </si>
  <si>
    <t>PNT.P</t>
  </si>
  <si>
    <t>FCV.AV--</t>
  </si>
  <si>
    <t>FCC.PAD-</t>
  </si>
  <si>
    <t>FCC.AV--</t>
  </si>
  <si>
    <t>PNT.BF</t>
  </si>
  <si>
    <t>DOR.BF-</t>
  </si>
  <si>
    <t>ELE.OL220</t>
  </si>
  <si>
    <t>ELE.GFI</t>
  </si>
  <si>
    <t>PLM.RFIXP-</t>
  </si>
  <si>
    <t>PLM.FAU-</t>
  </si>
  <si>
    <t>PLM.SNKD-</t>
  </si>
  <si>
    <t>LIT.FL2-4</t>
  </si>
  <si>
    <t>APP.WL</t>
  </si>
  <si>
    <t>CAB.KNPL</t>
  </si>
  <si>
    <t>CAB.FUP-</t>
  </si>
  <si>
    <t>CAB.FLOW-</t>
  </si>
  <si>
    <t>CAB.CTPF</t>
  </si>
  <si>
    <t>ELE.110</t>
  </si>
  <si>
    <t>APP.HD-</t>
  </si>
  <si>
    <t>APP.DW-</t>
  </si>
  <si>
    <t>APP.RG-</t>
  </si>
  <si>
    <t>APP.RF14</t>
  </si>
  <si>
    <t>PNT.B</t>
  </si>
  <si>
    <t>FNH.TR-</t>
  </si>
  <si>
    <t>FNH.TP-</t>
  </si>
  <si>
    <t>FNH.TBAR-</t>
  </si>
  <si>
    <t>MSD.AV</t>
  </si>
  <si>
    <t>PLM.TLTS-</t>
  </si>
  <si>
    <t>PLM.TLT-</t>
  </si>
  <si>
    <t>PLM.TUB-</t>
  </si>
  <si>
    <t>FNH.SROD</t>
  </si>
  <si>
    <t>PLM.TUBS-</t>
  </si>
  <si>
    <t>PLM.TSFAU-</t>
  </si>
  <si>
    <t>HVC.DCTFN3</t>
  </si>
  <si>
    <t>HVC.BVENT-</t>
  </si>
  <si>
    <t>LIT.BAR4</t>
  </si>
  <si>
    <t>DOR.AV-</t>
  </si>
  <si>
    <t>CAB.VAN-</t>
  </si>
  <si>
    <t>CAB.CTFSPL4</t>
  </si>
  <si>
    <t>CAB.CTFL-</t>
  </si>
  <si>
    <t>PLM.FAUBA-</t>
  </si>
  <si>
    <t>PLM.SNK-</t>
  </si>
  <si>
    <t>NBFR8X_SEP23</t>
  </si>
  <si>
    <t>7' x 5' x 8'</t>
  </si>
  <si>
    <t>10' 1" x 10' 1" x 8'</t>
  </si>
  <si>
    <t>11' 1" x 10' 1" x 8'</t>
  </si>
  <si>
    <t>8' x 6' x 8'</t>
  </si>
  <si>
    <t>18' 1" x 12' 1" x 8'</t>
  </si>
  <si>
    <t>8' x 5' x 8'</t>
  </si>
  <si>
    <t>15' 1" x 4' x 8'</t>
  </si>
  <si>
    <t>source: NBFR8X_SEP23</t>
  </si>
  <si>
    <t>Utility Room-small</t>
  </si>
  <si>
    <t>Bedroom-medium</t>
  </si>
  <si>
    <t>Kitchen-medium</t>
  </si>
  <si>
    <t>Nook-small</t>
  </si>
  <si>
    <t>Living Area-medium</t>
  </si>
  <si>
    <t>Full Bath-medium</t>
  </si>
  <si>
    <t>Hallway-medium</t>
  </si>
  <si>
    <t>david.sol at 2023-09-18 10:14</t>
  </si>
  <si>
    <t>group_2</t>
  </si>
  <si>
    <t>group_3</t>
  </si>
  <si>
    <t>raw_est</t>
  </si>
  <si>
    <t>level</t>
  </si>
  <si>
    <t>Depth-Replacement</t>
  </si>
  <si>
    <t>Depth-Cost</t>
  </si>
  <si>
    <t>Copy of group_2 pivot</t>
  </si>
  <si>
    <t>Copy of group_3 pivot</t>
  </si>
  <si>
    <t>R_1-S-C-EC_NBFR_m2</t>
  </si>
  <si>
    <t>DDFwork_R_1-S-C-EC_NBFR.xlsm</t>
  </si>
  <si>
    <t>david.sol</t>
  </si>
  <si>
    <t>impact</t>
  </si>
  <si>
    <t>R_1-S-C-EC_NBFR_struct</t>
  </si>
  <si>
    <t>david.sol at 2023-09-18 10:15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</si>
</sst>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59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49" fontId="3" fillId="0" borderId="0" xfId="5" quotePrefix="1" applyNumberFormat="1"/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7" fontId="0" fillId="0" borderId="0" xfId="6" applyNumberFormat="1" applyFont="1" applyAlignment="1">
      <alignment horizontal="left"/>
    </xf>
    <xf numFmtId="165" fontId="0" fillId="0" borderId="0" xfId="0" applyNumberFormat="1" applyAlignment="1">
      <alignment horizontal="left" wrapText="1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26603703701" createdVersion="3" refreshedVersion="8" minRefreshableVersion="3" recordCount="199" xr:uid="{4452919D-7123-4958-8F54-5CA1FFFBD875}">
  <cacheSource type="worksheet">
    <worksheetSource ref="AH2:AZ201" sheet="LineItems"/>
  </cacheSource>
  <cacheFields count="19">
    <cacheField name="level" numFmtId="0">
      <sharedItems/>
    </cacheField>
    <cacheField name="type" numFmtId="0">
      <sharedItems count="10">
        <s v="general-split"/>
        <s v="general-mechanical"/>
        <s v="general-main"/>
        <s v="Utility Room"/>
        <s v="Bedroom"/>
        <s v="Kitchen"/>
        <s v="Nook"/>
        <s v="Living Area"/>
        <s v="Full Bath"/>
        <s v="Hallway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4103.78"/>
    </cacheField>
    <cacheField name="0" numFmtId="0">
      <sharedItems containsSemiMixedTypes="0" containsString="0" containsNumber="1" minValue="0" maxValue="4103.78"/>
    </cacheField>
    <cacheField name="0.03" numFmtId="0">
      <sharedItems containsSemiMixedTypes="0" containsString="0" containsNumber="1" minValue="0" maxValue="4103.78"/>
    </cacheField>
    <cacheField name="0.05" numFmtId="0">
      <sharedItems containsSemiMixedTypes="0" containsString="0" containsNumber="1" minValue="0" maxValue="4103.78"/>
    </cacheField>
    <cacheField name="0.1" numFmtId="0">
      <sharedItems containsSemiMixedTypes="0" containsString="0" containsNumber="1" minValue="0" maxValue="4103.78"/>
    </cacheField>
    <cacheField name="0.15" numFmtId="0">
      <sharedItems containsSemiMixedTypes="0" containsString="0" containsNumber="1" minValue="0" maxValue="4103.78"/>
    </cacheField>
    <cacheField name="0.3" numFmtId="0">
      <sharedItems containsSemiMixedTypes="0" containsString="0" containsNumber="1" minValue="0" maxValue="4103.78"/>
    </cacheField>
    <cacheField name="0.46" numFmtId="0">
      <sharedItems containsSemiMixedTypes="0" containsString="0" containsNumber="1" minValue="0" maxValue="4103.78"/>
    </cacheField>
    <cacheField name="0.61" numFmtId="0">
      <sharedItems containsSemiMixedTypes="0" containsString="0" containsNumber="1" minValue="0" maxValue="4103.78"/>
    </cacheField>
    <cacheField name="0.76" numFmtId="0">
      <sharedItems containsSemiMixedTypes="0" containsString="0" containsNumber="1" minValue="0" maxValue="4103.78"/>
    </cacheField>
    <cacheField name="0.91" numFmtId="0">
      <sharedItems containsSemiMixedTypes="0" containsString="0" containsNumber="1" minValue="0" maxValue="4103.78"/>
    </cacheField>
    <cacheField name="1.02" numFmtId="0">
      <sharedItems containsSemiMixedTypes="0" containsString="0" containsNumber="1" minValue="0" maxValue="4103.78"/>
    </cacheField>
    <cacheField name="1.22" numFmtId="0">
      <sharedItems containsSemiMixedTypes="0" containsString="0" containsNumber="1" minValue="0" maxValue="4103.78"/>
    </cacheField>
    <cacheField name="1.52" numFmtId="0">
      <sharedItems containsSemiMixedTypes="0" containsString="0" containsNumber="1" minValue="14.19" maxValue="4103.78"/>
    </cacheField>
    <cacheField name="1.83" numFmtId="0">
      <sharedItems containsSemiMixedTypes="0" containsString="0" containsNumber="1" minValue="14.19" maxValue="4103.78"/>
    </cacheField>
    <cacheField name="2.7" numFmtId="0">
      <sharedItems containsSemiMixedTypes="0" containsString="0" containsNumber="1" minValue="14.19" maxValue="4103.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26604398148" createdVersion="3" refreshedVersion="8" minRefreshableVersion="3" recordCount="199" xr:uid="{772BA4AE-3E27-42CA-AB55-264A33F0CA93}">
  <cacheSource type="worksheet">
    <worksheetSource ref="AH2:AZ201" sheet="LineItems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4103.78"/>
    </cacheField>
    <cacheField name="0" numFmtId="0">
      <sharedItems containsSemiMixedTypes="0" containsString="0" containsNumber="1" minValue="0" maxValue="4103.78"/>
    </cacheField>
    <cacheField name="0.03" numFmtId="0">
      <sharedItems containsSemiMixedTypes="0" containsString="0" containsNumber="1" minValue="0" maxValue="4103.78"/>
    </cacheField>
    <cacheField name="0.05" numFmtId="0">
      <sharedItems containsSemiMixedTypes="0" containsString="0" containsNumber="1" minValue="0" maxValue="4103.78"/>
    </cacheField>
    <cacheField name="0.1" numFmtId="0">
      <sharedItems containsSemiMixedTypes="0" containsString="0" containsNumber="1" minValue="0" maxValue="4103.78"/>
    </cacheField>
    <cacheField name="0.15" numFmtId="0">
      <sharedItems containsSemiMixedTypes="0" containsString="0" containsNumber="1" minValue="0" maxValue="4103.78"/>
    </cacheField>
    <cacheField name="0.3" numFmtId="0">
      <sharedItems containsSemiMixedTypes="0" containsString="0" containsNumber="1" minValue="0" maxValue="4103.78"/>
    </cacheField>
    <cacheField name="0.46" numFmtId="0">
      <sharedItems containsSemiMixedTypes="0" containsString="0" containsNumber="1" minValue="0" maxValue="4103.78"/>
    </cacheField>
    <cacheField name="0.61" numFmtId="0">
      <sharedItems containsSemiMixedTypes="0" containsString="0" containsNumber="1" minValue="0" maxValue="4103.78"/>
    </cacheField>
    <cacheField name="0.76" numFmtId="0">
      <sharedItems containsSemiMixedTypes="0" containsString="0" containsNumber="1" minValue="0" maxValue="4103.78"/>
    </cacheField>
    <cacheField name="0.91" numFmtId="0">
      <sharedItems containsSemiMixedTypes="0" containsString="0" containsNumber="1" minValue="0" maxValue="4103.78"/>
    </cacheField>
    <cacheField name="1.02" numFmtId="0">
      <sharedItems containsSemiMixedTypes="0" containsString="0" containsNumber="1" minValue="0" maxValue="4103.78"/>
    </cacheField>
    <cacheField name="1.22" numFmtId="0">
      <sharedItems containsSemiMixedTypes="0" containsString="0" containsNumber="1" minValue="0" maxValue="4103.78"/>
    </cacheField>
    <cacheField name="1.52" numFmtId="0">
      <sharedItems containsSemiMixedTypes="0" containsString="0" containsNumber="1" minValue="14.19" maxValue="4103.78"/>
    </cacheField>
    <cacheField name="1.83" numFmtId="0">
      <sharedItems containsSemiMixedTypes="0" containsString="0" containsNumber="1" minValue="14.19" maxValue="4103.78"/>
    </cacheField>
    <cacheField name="2.7" numFmtId="0">
      <sharedItems containsSemiMixedTypes="0" containsString="0" containsNumber="1" minValue="14.19" maxValue="4103.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s v="split"/>
    <x v="0"/>
    <n v="0"/>
    <n v="0"/>
    <n v="0"/>
    <n v="0"/>
    <n v="0"/>
    <n v="0"/>
    <n v="0"/>
    <n v="0"/>
    <n v="0"/>
    <n v="0"/>
    <n v="0"/>
    <n v="84"/>
    <n v="84"/>
    <n v="84"/>
    <n v="84"/>
    <n v="84"/>
    <n v="84"/>
  </r>
  <r>
    <s v="split"/>
    <x v="0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split"/>
    <x v="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split"/>
    <x v="0"/>
    <n v="0"/>
    <n v="0"/>
    <n v="0"/>
    <n v="0"/>
    <n v="0"/>
    <n v="0"/>
    <n v="0"/>
    <n v="0"/>
    <n v="0"/>
    <n v="0"/>
    <n v="0"/>
    <n v="0"/>
    <n v="0"/>
    <n v="0"/>
    <n v="117.92"/>
    <n v="117.92"/>
    <n v="117.92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mechanical"/>
    <x v="1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s v="split"/>
    <x v="0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split"/>
    <x v="0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split"/>
    <x v="0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s v="split"/>
    <x v="0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s v="split"/>
    <x v="0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2"/>
    <n v="0"/>
    <n v="994.73"/>
    <n v="994.73"/>
    <n v="1243.4124999999999"/>
    <n v="1243.4124999999999"/>
    <n v="1243.4124999999999"/>
    <n v="1243.4124999999999"/>
    <n v="1243.4124999999999"/>
    <n v="1492.095"/>
    <n v="1492.095"/>
    <n v="1492.095"/>
    <n v="1492.095"/>
    <n v="1989.46"/>
    <n v="1989.46"/>
    <n v="1989.46"/>
    <n v="1989.46"/>
    <n v="1989.46"/>
  </r>
  <r>
    <s v="main"/>
    <x v="2"/>
    <n v="0"/>
    <n v="1404"/>
    <n v="1404"/>
    <n v="1755"/>
    <n v="1755"/>
    <n v="1755"/>
    <n v="1755"/>
    <n v="1755"/>
    <n v="2106"/>
    <n v="2106"/>
    <n v="2106"/>
    <n v="2106"/>
    <n v="2808"/>
    <n v="2808"/>
    <n v="2808"/>
    <n v="2808"/>
    <n v="2808"/>
  </r>
  <r>
    <s v="split"/>
    <x v="0"/>
    <n v="0"/>
    <n v="0"/>
    <n v="0"/>
    <n v="0"/>
    <n v="0"/>
    <n v="0"/>
    <n v="0"/>
    <n v="0"/>
    <n v="0"/>
    <n v="0"/>
    <n v="0"/>
    <n v="0"/>
    <n v="0"/>
    <n v="108.12"/>
    <n v="108.12"/>
    <n v="108.12"/>
    <n v="108.12"/>
  </r>
  <r>
    <s v="mechanical"/>
    <x v="1"/>
    <n v="0"/>
    <n v="0"/>
    <n v="0"/>
    <n v="0"/>
    <n v="0"/>
    <n v="0"/>
    <n v="3465.09"/>
    <n v="3465.09"/>
    <n v="3465.09"/>
    <n v="3465.09"/>
    <n v="3465.09"/>
    <n v="3465.09"/>
    <n v="3465.09"/>
    <n v="3465.09"/>
    <n v="3465.09"/>
    <n v="3465.09"/>
    <n v="3465.09"/>
  </r>
  <r>
    <s v="mechanical"/>
    <x v="1"/>
    <n v="0"/>
    <n v="4103.78"/>
    <n v="4103.78"/>
    <n v="4103.78"/>
    <n v="4103.78"/>
    <n v="4103.78"/>
    <n v="4103.78"/>
    <n v="4103.78"/>
    <n v="4103.78"/>
    <n v="4103.78"/>
    <n v="4103.78"/>
    <n v="4103.78"/>
    <n v="4103.78"/>
    <n v="4103.78"/>
    <n v="4103.78"/>
    <n v="4103.78"/>
    <n v="4103.78"/>
  </r>
  <r>
    <s v="main"/>
    <x v="2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s v="main"/>
    <x v="2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s v="mechanical"/>
    <x v="1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2319.84"/>
    <n v="2319.84"/>
    <n v="2319.84"/>
    <n v="2319.84"/>
    <n v="2319.84"/>
    <n v="2319.84"/>
    <n v="2319.84"/>
    <n v="2319.84"/>
    <n v="2319.84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s v="split"/>
    <x v="0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s v="split"/>
    <x v="0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s v="split"/>
    <x v="0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s v="split"/>
    <x v="0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s v="split"/>
    <x v="0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3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s v="main"/>
    <x v="3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s v="main"/>
    <x v="3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3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3"/>
    <n v="0"/>
    <n v="0"/>
    <n v="0"/>
    <n v="0"/>
    <n v="225.8"/>
    <n v="225.8"/>
    <n v="225.8"/>
    <n v="225.8"/>
    <n v="225.8"/>
    <n v="225.8"/>
    <n v="225.8"/>
    <n v="225.8"/>
    <n v="225.8"/>
    <n v="225.8"/>
    <n v="225.8"/>
    <n v="225.8"/>
    <n v="225.8"/>
  </r>
  <r>
    <s v="main"/>
    <x v="3"/>
    <n v="0"/>
    <n v="0"/>
    <n v="0"/>
    <n v="153.79"/>
    <n v="153.79"/>
    <n v="153.79"/>
    <n v="153.79"/>
    <n v="153.79"/>
    <n v="307.58"/>
    <n v="307.58"/>
    <n v="307.58"/>
    <n v="615.16"/>
    <n v="615.16"/>
    <n v="615.16"/>
    <n v="615.16"/>
    <n v="615.16"/>
    <n v="615.16"/>
  </r>
  <r>
    <s v="main"/>
    <x v="3"/>
    <n v="0"/>
    <n v="0"/>
    <n v="0"/>
    <n v="101.38"/>
    <n v="101.38"/>
    <n v="101.38"/>
    <n v="101.38"/>
    <n v="101.38"/>
    <n v="101.38"/>
    <n v="101.38"/>
    <n v="101.38"/>
    <n v="101.38"/>
    <n v="101.38"/>
    <n v="101.38"/>
    <n v="101.38"/>
    <n v="101.38"/>
    <n v="101.38"/>
  </r>
  <r>
    <s v="main"/>
    <x v="3"/>
    <n v="0"/>
    <n v="0"/>
    <n v="0"/>
    <n v="28.037500000000001"/>
    <n v="28.037500000000001"/>
    <n v="28.037500000000001"/>
    <n v="28.037500000000001"/>
    <n v="28.037500000000001"/>
    <n v="56.075000000000003"/>
    <n v="56.075000000000003"/>
    <n v="56.075000000000003"/>
    <n v="112.15"/>
    <n v="112.15"/>
    <n v="112.15"/>
    <n v="112.15"/>
    <n v="112.15"/>
    <n v="112.15"/>
  </r>
  <r>
    <s v="main"/>
    <x v="3"/>
    <n v="0"/>
    <n v="0"/>
    <n v="0"/>
    <n v="0"/>
    <n v="0"/>
    <n v="0"/>
    <n v="0"/>
    <n v="0"/>
    <n v="0"/>
    <n v="0"/>
    <n v="0"/>
    <n v="0"/>
    <n v="0"/>
    <n v="0"/>
    <n v="26.47"/>
    <n v="26.47"/>
    <n v="26.47"/>
  </r>
  <r>
    <s v="main"/>
    <x v="3"/>
    <n v="0"/>
    <n v="0"/>
    <n v="0"/>
    <n v="28.99"/>
    <n v="28.99"/>
    <n v="28.99"/>
    <n v="28.99"/>
    <n v="28.99"/>
    <n v="28.99"/>
    <n v="28.99"/>
    <n v="28.99"/>
    <n v="28.99"/>
    <n v="28.99"/>
    <n v="28.99"/>
    <n v="28.99"/>
    <n v="28.99"/>
    <n v="28.99"/>
  </r>
  <r>
    <s v="main"/>
    <x v="3"/>
    <n v="0"/>
    <n v="0"/>
    <n v="0"/>
    <n v="38.92"/>
    <n v="38.92"/>
    <n v="38.92"/>
    <n v="38.92"/>
    <n v="38.92"/>
    <n v="38.92"/>
    <n v="38.92"/>
    <n v="38.92"/>
    <n v="38.92"/>
    <n v="38.92"/>
    <n v="38.92"/>
    <n v="38.92"/>
    <n v="38.92"/>
    <n v="38.92"/>
  </r>
  <r>
    <s v="main"/>
    <x v="3"/>
    <n v="0"/>
    <n v="0"/>
    <n v="0"/>
    <n v="25.89"/>
    <n v="25.89"/>
    <n v="25.89"/>
    <n v="25.89"/>
    <n v="25.89"/>
    <n v="25.89"/>
    <n v="25.89"/>
    <n v="25.89"/>
    <n v="25.89"/>
    <n v="25.89"/>
    <n v="25.89"/>
    <n v="25.89"/>
    <n v="25.89"/>
    <n v="25.89"/>
  </r>
  <r>
    <s v="main"/>
    <x v="3"/>
    <n v="0"/>
    <n v="0"/>
    <n v="0"/>
    <n v="124.42"/>
    <n v="124.42"/>
    <n v="124.42"/>
    <n v="124.42"/>
    <n v="124.42"/>
    <n v="124.42"/>
    <n v="124.42"/>
    <n v="124.42"/>
    <n v="124.42"/>
    <n v="124.42"/>
    <n v="124.42"/>
    <n v="124.42"/>
    <n v="124.42"/>
    <n v="124.42"/>
  </r>
  <r>
    <s v="main"/>
    <x v="4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4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4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4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4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4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4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4"/>
    <n v="0"/>
    <n v="0"/>
    <n v="0"/>
    <n v="0"/>
    <n v="379.46"/>
    <n v="379.46"/>
    <n v="379.46"/>
    <n v="379.46"/>
    <n v="379.46"/>
    <n v="379.46"/>
    <n v="379.46"/>
    <n v="379.46"/>
    <n v="379.46"/>
    <n v="379.46"/>
    <n v="379.46"/>
    <n v="379.46"/>
    <n v="379.46"/>
  </r>
  <r>
    <s v="main"/>
    <x v="4"/>
    <n v="0"/>
    <n v="0"/>
    <n v="0"/>
    <n v="258.45749999999998"/>
    <n v="258.45749999999998"/>
    <n v="258.45749999999998"/>
    <n v="258.45749999999998"/>
    <n v="258.45749999999998"/>
    <n v="516.91499999999996"/>
    <n v="516.91499999999996"/>
    <n v="516.91499999999996"/>
    <n v="1033.83"/>
    <n v="1033.83"/>
    <n v="1033.83"/>
    <n v="1033.83"/>
    <n v="1033.83"/>
    <n v="1033.83"/>
  </r>
  <r>
    <s v="main"/>
    <x v="4"/>
    <n v="0"/>
    <n v="0"/>
    <n v="0"/>
    <n v="170.36"/>
    <n v="170.36"/>
    <n v="170.36"/>
    <n v="170.36"/>
    <n v="170.36"/>
    <n v="170.36"/>
    <n v="170.36"/>
    <n v="170.36"/>
    <n v="170.36"/>
    <n v="170.36"/>
    <n v="170.36"/>
    <n v="170.36"/>
    <n v="170.36"/>
    <n v="170.36"/>
  </r>
  <r>
    <s v="main"/>
    <x v="4"/>
    <n v="0"/>
    <n v="0"/>
    <n v="0"/>
    <n v="81.44"/>
    <n v="81.44"/>
    <n v="81.44"/>
    <n v="81.44"/>
    <n v="81.44"/>
    <n v="162.88"/>
    <n v="162.88"/>
    <n v="162.88"/>
    <n v="325.76"/>
    <n v="325.76"/>
    <n v="325.76"/>
    <n v="325.76"/>
    <n v="325.76"/>
    <n v="325.76"/>
  </r>
  <r>
    <s v="main"/>
    <x v="4"/>
    <n v="0"/>
    <n v="0"/>
    <n v="0"/>
    <n v="0"/>
    <n v="0"/>
    <n v="0"/>
    <n v="0"/>
    <n v="0"/>
    <n v="0"/>
    <n v="0"/>
    <n v="0"/>
    <n v="0"/>
    <n v="0"/>
    <n v="0"/>
    <n v="76.87"/>
    <n v="76.87"/>
    <n v="76.87"/>
  </r>
  <r>
    <s v="main"/>
    <x v="4"/>
    <n v="0"/>
    <n v="0"/>
    <n v="0"/>
    <n v="84.19"/>
    <n v="84.19"/>
    <n v="84.19"/>
    <n v="84.19"/>
    <n v="84.19"/>
    <n v="84.19"/>
    <n v="84.19"/>
    <n v="84.19"/>
    <n v="84.19"/>
    <n v="84.19"/>
    <n v="84.19"/>
    <n v="84.19"/>
    <n v="84.19"/>
    <n v="84.19"/>
  </r>
  <r>
    <s v="main"/>
    <x v="4"/>
    <n v="0"/>
    <n v="0"/>
    <n v="0"/>
    <n v="113.06"/>
    <n v="113.06"/>
    <n v="113.06"/>
    <n v="113.06"/>
    <n v="113.06"/>
    <n v="113.06"/>
    <n v="113.06"/>
    <n v="113.06"/>
    <n v="113.06"/>
    <n v="113.06"/>
    <n v="113.06"/>
    <n v="113.06"/>
    <n v="113.06"/>
    <n v="113.06"/>
  </r>
  <r>
    <s v="main"/>
    <x v="4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s v="main"/>
    <x v="4"/>
    <n v="0"/>
    <n v="0"/>
    <n v="0"/>
    <n v="361.44"/>
    <n v="361.44"/>
    <n v="361.44"/>
    <n v="361.44"/>
    <n v="361.44"/>
    <n v="361.44"/>
    <n v="361.44"/>
    <n v="361.44"/>
    <n v="361.44"/>
    <n v="361.44"/>
    <n v="361.44"/>
    <n v="361.44"/>
    <n v="361.44"/>
    <n v="361.44"/>
  </r>
  <r>
    <s v="main"/>
    <x v="5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5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5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s v="main"/>
    <x v="5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s v="main"/>
    <x v="5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s v="main"/>
    <x v="5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s v="main"/>
    <x v="5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5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5"/>
    <n v="0"/>
    <n v="0"/>
    <n v="0"/>
    <n v="0"/>
    <n v="0"/>
    <n v="0"/>
    <n v="0"/>
    <n v="0"/>
    <n v="0"/>
    <n v="0"/>
    <n v="1695.12"/>
    <n v="1695.12"/>
    <n v="1695.12"/>
    <n v="1695.12"/>
    <n v="1695.12"/>
    <n v="1695.12"/>
    <n v="1695.12"/>
  </r>
  <r>
    <s v="main"/>
    <x v="5"/>
    <n v="0"/>
    <n v="0"/>
    <n v="0"/>
    <n v="0"/>
    <n v="2407.1"/>
    <n v="2407.1"/>
    <n v="2407.1"/>
    <n v="2407.1"/>
    <n v="2407.1"/>
    <n v="2407.1"/>
    <n v="2407.1"/>
    <n v="2407.1"/>
    <n v="2407.1"/>
    <n v="2407.1"/>
    <n v="2407.1"/>
    <n v="2407.1"/>
    <n v="2407.1"/>
  </r>
  <r>
    <s v="main"/>
    <x v="5"/>
    <n v="0"/>
    <n v="0"/>
    <n v="0"/>
    <n v="0"/>
    <n v="0"/>
    <n v="0"/>
    <n v="0"/>
    <n v="0"/>
    <n v="0"/>
    <n v="0"/>
    <n v="1291.04"/>
    <n v="1291.04"/>
    <n v="1291.04"/>
    <n v="1291.04"/>
    <n v="1291.04"/>
    <n v="1291.04"/>
    <n v="1291.04"/>
  </r>
  <r>
    <s v="main"/>
    <x v="5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5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s v="main"/>
    <x v="5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s v="main"/>
    <x v="5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s v="main"/>
    <x v="5"/>
    <n v="0"/>
    <n v="0"/>
    <n v="0"/>
    <n v="0"/>
    <n v="0"/>
    <n v="0"/>
    <n v="1129.33"/>
    <n v="1129.33"/>
    <n v="1129.33"/>
    <n v="1129.33"/>
    <n v="1129.33"/>
    <n v="1129.33"/>
    <n v="1129.33"/>
    <n v="1129.33"/>
    <n v="1129.33"/>
    <n v="1129.33"/>
    <n v="1129.33"/>
  </r>
  <r>
    <s v="main"/>
    <x v="5"/>
    <n v="0"/>
    <n v="0"/>
    <n v="0"/>
    <n v="0"/>
    <n v="398.28"/>
    <n v="398.28"/>
    <n v="398.28"/>
    <n v="398.28"/>
    <n v="398.28"/>
    <n v="398.28"/>
    <n v="398.28"/>
    <n v="398.28"/>
    <n v="398.28"/>
    <n v="398.28"/>
    <n v="398.28"/>
    <n v="398.28"/>
    <n v="398.28"/>
  </r>
  <r>
    <s v="main"/>
    <x v="5"/>
    <n v="0"/>
    <n v="0"/>
    <n v="0"/>
    <n v="271.27749999999997"/>
    <n v="271.27749999999997"/>
    <n v="271.27749999999997"/>
    <n v="271.27749999999997"/>
    <n v="271.27749999999997"/>
    <n v="542.55499999999995"/>
    <n v="542.55499999999995"/>
    <n v="542.55499999999995"/>
    <n v="1085.1099999999999"/>
    <n v="1085.1099999999999"/>
    <n v="1085.1099999999999"/>
    <n v="1085.1099999999999"/>
    <n v="1085.1099999999999"/>
    <n v="1085.1099999999999"/>
  </r>
  <r>
    <s v="main"/>
    <x v="5"/>
    <n v="0"/>
    <n v="0"/>
    <n v="0"/>
    <n v="23.12"/>
    <n v="23.12"/>
    <n v="23.12"/>
    <n v="23.12"/>
    <n v="23.12"/>
    <n v="23.12"/>
    <n v="23.12"/>
    <n v="23.12"/>
    <n v="23.12"/>
    <n v="23.12"/>
    <n v="23.12"/>
    <n v="23.12"/>
    <n v="23.12"/>
    <n v="23.12"/>
  </r>
  <r>
    <s v="main"/>
    <x v="5"/>
    <n v="0"/>
    <n v="0"/>
    <n v="0"/>
    <n v="89.42"/>
    <n v="89.42"/>
    <n v="89.42"/>
    <n v="89.42"/>
    <n v="89.42"/>
    <n v="89.42"/>
    <n v="89.42"/>
    <n v="89.42"/>
    <n v="89.42"/>
    <n v="89.42"/>
    <n v="89.42"/>
    <n v="89.42"/>
    <n v="89.42"/>
    <n v="89.42"/>
  </r>
  <r>
    <s v="main"/>
    <x v="5"/>
    <n v="0"/>
    <n v="0"/>
    <n v="0"/>
    <n v="89.52"/>
    <n v="89.52"/>
    <n v="89.52"/>
    <n v="89.52"/>
    <n v="89.52"/>
    <n v="179.04"/>
    <n v="179.04"/>
    <n v="179.04"/>
    <n v="358.08"/>
    <n v="358.08"/>
    <n v="358.08"/>
    <n v="358.08"/>
    <n v="358.08"/>
    <n v="358.08"/>
  </r>
  <r>
    <s v="main"/>
    <x v="5"/>
    <n v="0"/>
    <n v="0"/>
    <n v="0"/>
    <n v="0"/>
    <n v="0"/>
    <n v="0"/>
    <n v="0"/>
    <n v="0"/>
    <n v="0"/>
    <n v="0"/>
    <n v="0"/>
    <n v="0"/>
    <n v="0"/>
    <n v="0"/>
    <n v="84.49"/>
    <n v="84.49"/>
    <n v="84.49"/>
  </r>
  <r>
    <s v="main"/>
    <x v="5"/>
    <n v="0"/>
    <n v="0"/>
    <n v="0"/>
    <n v="92.53"/>
    <n v="92.53"/>
    <n v="92.53"/>
    <n v="92.53"/>
    <n v="92.53"/>
    <n v="92.53"/>
    <n v="92.53"/>
    <n v="92.53"/>
    <n v="92.53"/>
    <n v="92.53"/>
    <n v="92.53"/>
    <n v="92.53"/>
    <n v="92.53"/>
    <n v="92.53"/>
  </r>
  <r>
    <s v="main"/>
    <x v="5"/>
    <n v="0"/>
    <n v="0"/>
    <n v="0"/>
    <n v="124.29"/>
    <n v="124.29"/>
    <n v="124.29"/>
    <n v="124.29"/>
    <n v="124.29"/>
    <n v="124.29"/>
    <n v="124.29"/>
    <n v="124.29"/>
    <n v="124.29"/>
    <n v="124.29"/>
    <n v="124.29"/>
    <n v="124.29"/>
    <n v="124.29"/>
    <n v="124.29"/>
  </r>
  <r>
    <s v="main"/>
    <x v="5"/>
    <n v="0"/>
    <n v="0"/>
    <n v="0"/>
    <n v="82.67"/>
    <n v="82.67"/>
    <n v="82.67"/>
    <n v="82.67"/>
    <n v="82.67"/>
    <n v="82.67"/>
    <n v="82.67"/>
    <n v="82.67"/>
    <n v="82.67"/>
    <n v="82.67"/>
    <n v="82.67"/>
    <n v="82.67"/>
    <n v="82.67"/>
    <n v="82.67"/>
  </r>
  <r>
    <s v="main"/>
    <x v="5"/>
    <n v="0"/>
    <n v="0"/>
    <n v="0"/>
    <n v="397.3"/>
    <n v="397.3"/>
    <n v="397.3"/>
    <n v="397.3"/>
    <n v="397.3"/>
    <n v="397.3"/>
    <n v="397.3"/>
    <n v="397.3"/>
    <n v="397.3"/>
    <n v="397.3"/>
    <n v="397.3"/>
    <n v="397.3"/>
    <n v="397.3"/>
    <n v="397.3"/>
  </r>
  <r>
    <s v="main"/>
    <x v="4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4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4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4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4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4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4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4"/>
    <n v="0"/>
    <n v="0"/>
    <n v="0"/>
    <n v="0"/>
    <n v="379.46"/>
    <n v="379.46"/>
    <n v="379.46"/>
    <n v="379.46"/>
    <n v="379.46"/>
    <n v="379.46"/>
    <n v="379.46"/>
    <n v="379.46"/>
    <n v="379.46"/>
    <n v="379.46"/>
    <n v="379.46"/>
    <n v="379.46"/>
    <n v="379.46"/>
  </r>
  <r>
    <s v="main"/>
    <x v="4"/>
    <n v="0"/>
    <n v="0"/>
    <n v="0"/>
    <n v="258.45749999999998"/>
    <n v="258.45749999999998"/>
    <n v="258.45749999999998"/>
    <n v="258.45749999999998"/>
    <n v="258.45749999999998"/>
    <n v="516.91499999999996"/>
    <n v="516.91499999999996"/>
    <n v="516.91499999999996"/>
    <n v="1033.83"/>
    <n v="1033.83"/>
    <n v="1033.83"/>
    <n v="1033.83"/>
    <n v="1033.83"/>
    <n v="1033.83"/>
  </r>
  <r>
    <s v="main"/>
    <x v="4"/>
    <n v="0"/>
    <n v="0"/>
    <n v="0"/>
    <n v="170.36"/>
    <n v="170.36"/>
    <n v="170.36"/>
    <n v="170.36"/>
    <n v="170.36"/>
    <n v="170.36"/>
    <n v="170.36"/>
    <n v="170.36"/>
    <n v="170.36"/>
    <n v="170.36"/>
    <n v="170.36"/>
    <n v="170.36"/>
    <n v="170.36"/>
    <n v="170.36"/>
  </r>
  <r>
    <s v="main"/>
    <x v="4"/>
    <n v="0"/>
    <n v="0"/>
    <n v="0"/>
    <n v="81.44"/>
    <n v="81.44"/>
    <n v="81.44"/>
    <n v="81.44"/>
    <n v="81.44"/>
    <n v="162.88"/>
    <n v="162.88"/>
    <n v="162.88"/>
    <n v="325.76"/>
    <n v="325.76"/>
    <n v="325.76"/>
    <n v="325.76"/>
    <n v="325.76"/>
    <n v="325.76"/>
  </r>
  <r>
    <s v="main"/>
    <x v="4"/>
    <n v="0"/>
    <n v="0"/>
    <n v="0"/>
    <n v="0"/>
    <n v="0"/>
    <n v="0"/>
    <n v="0"/>
    <n v="0"/>
    <n v="0"/>
    <n v="0"/>
    <n v="0"/>
    <n v="0"/>
    <n v="0"/>
    <n v="0"/>
    <n v="76.87"/>
    <n v="76.87"/>
    <n v="76.87"/>
  </r>
  <r>
    <s v="main"/>
    <x v="4"/>
    <n v="0"/>
    <n v="0"/>
    <n v="0"/>
    <n v="84.19"/>
    <n v="84.19"/>
    <n v="84.19"/>
    <n v="84.19"/>
    <n v="84.19"/>
    <n v="84.19"/>
    <n v="84.19"/>
    <n v="84.19"/>
    <n v="84.19"/>
    <n v="84.19"/>
    <n v="84.19"/>
    <n v="84.19"/>
    <n v="84.19"/>
    <n v="84.19"/>
  </r>
  <r>
    <s v="main"/>
    <x v="4"/>
    <n v="0"/>
    <n v="0"/>
    <n v="0"/>
    <n v="113.06"/>
    <n v="113.06"/>
    <n v="113.06"/>
    <n v="113.06"/>
    <n v="113.06"/>
    <n v="113.06"/>
    <n v="113.06"/>
    <n v="113.06"/>
    <n v="113.06"/>
    <n v="113.06"/>
    <n v="113.06"/>
    <n v="113.06"/>
    <n v="113.06"/>
    <n v="113.06"/>
  </r>
  <r>
    <s v="main"/>
    <x v="4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s v="main"/>
    <x v="4"/>
    <n v="0"/>
    <n v="0"/>
    <n v="0"/>
    <n v="361.44"/>
    <n v="361.44"/>
    <n v="361.44"/>
    <n v="361.44"/>
    <n v="361.44"/>
    <n v="361.44"/>
    <n v="361.44"/>
    <n v="361.44"/>
    <n v="361.44"/>
    <n v="361.44"/>
    <n v="361.44"/>
    <n v="361.44"/>
    <n v="361.44"/>
    <n v="361.44"/>
  </r>
  <r>
    <s v="main"/>
    <x v="6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6"/>
    <n v="0"/>
    <n v="0"/>
    <n v="0"/>
    <n v="0"/>
    <n v="263.42"/>
    <n v="263.42"/>
    <n v="263.42"/>
    <n v="263.42"/>
    <n v="263.42"/>
    <n v="263.42"/>
    <n v="263.42"/>
    <n v="263.42"/>
    <n v="263.42"/>
    <n v="263.42"/>
    <n v="263.42"/>
    <n v="263.42"/>
    <n v="263.42"/>
  </r>
  <r>
    <s v="main"/>
    <x v="6"/>
    <n v="0"/>
    <n v="0"/>
    <n v="0"/>
    <n v="179.42500000000001"/>
    <n v="179.42500000000001"/>
    <n v="179.42500000000001"/>
    <n v="179.42500000000001"/>
    <n v="179.42500000000001"/>
    <n v="358.85"/>
    <n v="358.85"/>
    <n v="358.85"/>
    <n v="717.7"/>
    <n v="717.7"/>
    <n v="717.7"/>
    <n v="717.7"/>
    <n v="717.7"/>
    <n v="717.7"/>
  </r>
  <r>
    <s v="main"/>
    <x v="6"/>
    <n v="0"/>
    <n v="0"/>
    <n v="0"/>
    <n v="118.28"/>
    <n v="118.28"/>
    <n v="118.28"/>
    <n v="118.28"/>
    <n v="118.28"/>
    <n v="118.28"/>
    <n v="118.28"/>
    <n v="118.28"/>
    <n v="118.28"/>
    <n v="118.28"/>
    <n v="118.28"/>
    <n v="118.28"/>
    <n v="118.28"/>
    <n v="118.28"/>
  </r>
  <r>
    <s v="main"/>
    <x v="6"/>
    <n v="0"/>
    <n v="0"/>
    <n v="0"/>
    <n v="38.450000000000003"/>
    <n v="38.450000000000003"/>
    <n v="38.450000000000003"/>
    <n v="38.450000000000003"/>
    <n v="38.450000000000003"/>
    <n v="76.900000000000006"/>
    <n v="76.900000000000006"/>
    <n v="76.900000000000006"/>
    <n v="153.80000000000001"/>
    <n v="153.80000000000001"/>
    <n v="153.80000000000001"/>
    <n v="153.80000000000001"/>
    <n v="153.80000000000001"/>
    <n v="153.80000000000001"/>
  </r>
  <r>
    <s v="main"/>
    <x v="6"/>
    <n v="0"/>
    <n v="0"/>
    <n v="0"/>
    <n v="0"/>
    <n v="0"/>
    <n v="0"/>
    <n v="0"/>
    <n v="0"/>
    <n v="0"/>
    <n v="0"/>
    <n v="0"/>
    <n v="0"/>
    <n v="0"/>
    <n v="0"/>
    <n v="36.28"/>
    <n v="36.28"/>
    <n v="36.28"/>
  </r>
  <r>
    <s v="main"/>
    <x v="6"/>
    <n v="0"/>
    <n v="0"/>
    <n v="0"/>
    <n v="39.74"/>
    <n v="39.74"/>
    <n v="39.74"/>
    <n v="39.74"/>
    <n v="39.74"/>
    <n v="39.74"/>
    <n v="39.74"/>
    <n v="39.74"/>
    <n v="39.74"/>
    <n v="39.74"/>
    <n v="39.74"/>
    <n v="39.74"/>
    <n v="39.74"/>
    <n v="39.74"/>
  </r>
  <r>
    <s v="main"/>
    <x v="6"/>
    <n v="0"/>
    <n v="0"/>
    <n v="0"/>
    <n v="53.39"/>
    <n v="53.39"/>
    <n v="53.39"/>
    <n v="53.39"/>
    <n v="53.39"/>
    <n v="53.39"/>
    <n v="53.39"/>
    <n v="53.39"/>
    <n v="53.39"/>
    <n v="53.39"/>
    <n v="53.39"/>
    <n v="53.39"/>
    <n v="53.39"/>
    <n v="53.39"/>
  </r>
  <r>
    <s v="main"/>
    <x v="6"/>
    <n v="0"/>
    <n v="0"/>
    <n v="0"/>
    <n v="35.51"/>
    <n v="35.51"/>
    <n v="35.51"/>
    <n v="35.51"/>
    <n v="35.51"/>
    <n v="35.51"/>
    <n v="35.51"/>
    <n v="35.51"/>
    <n v="35.51"/>
    <n v="35.51"/>
    <n v="35.51"/>
    <n v="35.51"/>
    <n v="35.51"/>
    <n v="35.51"/>
  </r>
  <r>
    <s v="main"/>
    <x v="6"/>
    <n v="0"/>
    <n v="0"/>
    <n v="0"/>
    <n v="170.64"/>
    <n v="170.64"/>
    <n v="170.64"/>
    <n v="170.64"/>
    <n v="170.64"/>
    <n v="170.64"/>
    <n v="170.64"/>
    <n v="170.64"/>
    <n v="170.64"/>
    <n v="170.64"/>
    <n v="170.64"/>
    <n v="170.64"/>
    <n v="170.64"/>
    <n v="170.64"/>
  </r>
  <r>
    <s v="main"/>
    <x v="7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7"/>
    <n v="0"/>
    <n v="0"/>
    <n v="0"/>
    <n v="0"/>
    <n v="567.62"/>
    <n v="567.62"/>
    <n v="567.62"/>
    <n v="567.62"/>
    <n v="567.62"/>
    <n v="567.62"/>
    <n v="567.62"/>
    <n v="567.62"/>
    <n v="567.62"/>
    <n v="567.62"/>
    <n v="567.62"/>
    <n v="567.62"/>
    <n v="567.62"/>
  </r>
  <r>
    <s v="main"/>
    <x v="7"/>
    <n v="0"/>
    <n v="0"/>
    <n v="0"/>
    <n v="386.61750000000001"/>
    <n v="386.61750000000001"/>
    <n v="386.61750000000001"/>
    <n v="386.61750000000001"/>
    <n v="386.61750000000001"/>
    <n v="773.23500000000001"/>
    <n v="773.23500000000001"/>
    <n v="773.23500000000001"/>
    <n v="1546.47"/>
    <n v="1546.47"/>
    <n v="1546.47"/>
    <n v="1546.47"/>
    <n v="1546.47"/>
    <n v="1546.47"/>
  </r>
  <r>
    <s v="main"/>
    <x v="7"/>
    <n v="0"/>
    <n v="0"/>
    <n v="0"/>
    <n v="254.84"/>
    <n v="254.84"/>
    <n v="254.84"/>
    <n v="254.84"/>
    <n v="254.84"/>
    <n v="254.84"/>
    <n v="254.84"/>
    <n v="254.84"/>
    <n v="254.84"/>
    <n v="254.84"/>
    <n v="254.84"/>
    <n v="254.84"/>
    <n v="254.84"/>
    <n v="254.84"/>
  </r>
  <r>
    <s v="main"/>
    <x v="7"/>
    <n v="0"/>
    <n v="0"/>
    <n v="0"/>
    <n v="175.02500000000001"/>
    <n v="175.02500000000001"/>
    <n v="175.02500000000001"/>
    <n v="175.02500000000001"/>
    <n v="175.02500000000001"/>
    <n v="350.05"/>
    <n v="350.05"/>
    <n v="350.05"/>
    <n v="700.1"/>
    <n v="700.1"/>
    <n v="700.1"/>
    <n v="700.1"/>
    <n v="700.1"/>
    <n v="700.1"/>
  </r>
  <r>
    <s v="main"/>
    <x v="7"/>
    <n v="0"/>
    <n v="0"/>
    <n v="0"/>
    <n v="0"/>
    <n v="0"/>
    <n v="0"/>
    <n v="0"/>
    <n v="0"/>
    <n v="0"/>
    <n v="0"/>
    <n v="0"/>
    <n v="0"/>
    <n v="0"/>
    <n v="0"/>
    <n v="165.2"/>
    <n v="165.2"/>
    <n v="165.2"/>
  </r>
  <r>
    <s v="main"/>
    <x v="7"/>
    <n v="0"/>
    <n v="0"/>
    <n v="0"/>
    <n v="180.93"/>
    <n v="180.93"/>
    <n v="180.93"/>
    <n v="180.93"/>
    <n v="180.93"/>
    <n v="180.93"/>
    <n v="180.93"/>
    <n v="180.93"/>
    <n v="180.93"/>
    <n v="180.93"/>
    <n v="180.93"/>
    <n v="180.93"/>
    <n v="180.93"/>
    <n v="180.93"/>
  </r>
  <r>
    <s v="main"/>
    <x v="7"/>
    <n v="0"/>
    <n v="0"/>
    <n v="0"/>
    <n v="243.07"/>
    <n v="243.07"/>
    <n v="243.07"/>
    <n v="243.07"/>
    <n v="243.07"/>
    <n v="243.07"/>
    <n v="243.07"/>
    <n v="243.07"/>
    <n v="243.07"/>
    <n v="243.07"/>
    <n v="243.07"/>
    <n v="243.07"/>
    <n v="243.07"/>
    <n v="243.07"/>
  </r>
  <r>
    <s v="main"/>
    <x v="7"/>
    <n v="0"/>
    <n v="0"/>
    <n v="0"/>
    <n v="161.63"/>
    <n v="161.63"/>
    <n v="161.63"/>
    <n v="161.63"/>
    <n v="161.63"/>
    <n v="161.63"/>
    <n v="161.63"/>
    <n v="161.63"/>
    <n v="161.63"/>
    <n v="161.63"/>
    <n v="161.63"/>
    <n v="161.63"/>
    <n v="161.63"/>
    <n v="161.63"/>
  </r>
  <r>
    <s v="main"/>
    <x v="7"/>
    <n v="0"/>
    <n v="0"/>
    <n v="0"/>
    <n v="776.78"/>
    <n v="776.78"/>
    <n v="776.78"/>
    <n v="776.78"/>
    <n v="776.78"/>
    <n v="776.78"/>
    <n v="776.78"/>
    <n v="776.78"/>
    <n v="776.78"/>
    <n v="776.78"/>
    <n v="776.78"/>
    <n v="776.78"/>
    <n v="776.78"/>
    <n v="776.78"/>
  </r>
  <r>
    <s v="main"/>
    <x v="8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main"/>
    <x v="8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main"/>
    <x v="8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main"/>
    <x v="8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8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8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8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8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8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8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8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8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8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8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main"/>
    <x v="8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main"/>
    <x v="8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s v="main"/>
    <x v="8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main"/>
    <x v="8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8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8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8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8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main"/>
    <x v="8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8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main"/>
    <x v="8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main"/>
    <x v="8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main"/>
    <x v="8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8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8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8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8"/>
    <n v="0"/>
    <n v="0"/>
    <n v="0"/>
    <n v="0"/>
    <n v="244.6"/>
    <n v="244.6"/>
    <n v="244.6"/>
    <n v="244.6"/>
    <n v="244.6"/>
    <n v="244.6"/>
    <n v="244.6"/>
    <n v="244.6"/>
    <n v="244.6"/>
    <n v="244.6"/>
    <n v="244.6"/>
    <n v="244.6"/>
    <n v="244.6"/>
  </r>
  <r>
    <s v="main"/>
    <x v="8"/>
    <n v="0"/>
    <n v="0"/>
    <n v="0"/>
    <n v="166.61"/>
    <n v="166.61"/>
    <n v="166.61"/>
    <n v="166.61"/>
    <n v="166.61"/>
    <n v="333.22"/>
    <n v="333.22"/>
    <n v="333.22"/>
    <n v="666.44"/>
    <n v="666.44"/>
    <n v="666.44"/>
    <n v="666.44"/>
    <n v="666.44"/>
    <n v="666.44"/>
  </r>
  <r>
    <s v="main"/>
    <x v="8"/>
    <n v="0"/>
    <n v="0"/>
    <n v="0"/>
    <n v="14.19"/>
    <n v="14.19"/>
    <n v="14.19"/>
    <n v="14.19"/>
    <n v="14.19"/>
    <n v="14.19"/>
    <n v="14.19"/>
    <n v="14.19"/>
    <n v="14.19"/>
    <n v="14.19"/>
    <n v="14.19"/>
    <n v="14.19"/>
    <n v="14.19"/>
    <n v="14.19"/>
  </r>
  <r>
    <s v="main"/>
    <x v="8"/>
    <n v="0"/>
    <n v="0"/>
    <n v="0"/>
    <n v="54.92"/>
    <n v="54.92"/>
    <n v="54.92"/>
    <n v="54.92"/>
    <n v="54.92"/>
    <n v="54.92"/>
    <n v="54.92"/>
    <n v="54.92"/>
    <n v="54.92"/>
    <n v="54.92"/>
    <n v="54.92"/>
    <n v="54.92"/>
    <n v="54.92"/>
    <n v="54.92"/>
  </r>
  <r>
    <s v="main"/>
    <x v="8"/>
    <n v="0"/>
    <n v="0"/>
    <n v="0"/>
    <n v="32.04"/>
    <n v="32.04"/>
    <n v="32.04"/>
    <n v="32.04"/>
    <n v="32.04"/>
    <n v="64.08"/>
    <n v="64.08"/>
    <n v="64.08"/>
    <n v="128.16"/>
    <n v="128.16"/>
    <n v="128.16"/>
    <n v="128.16"/>
    <n v="128.16"/>
    <n v="128.16"/>
  </r>
  <r>
    <s v="main"/>
    <x v="8"/>
    <n v="0"/>
    <n v="0"/>
    <n v="0"/>
    <n v="0"/>
    <n v="0"/>
    <n v="0"/>
    <n v="0"/>
    <n v="0"/>
    <n v="0"/>
    <n v="0"/>
    <n v="0"/>
    <n v="0"/>
    <n v="0"/>
    <n v="0"/>
    <n v="30.24"/>
    <n v="30.24"/>
    <n v="30.24"/>
  </r>
  <r>
    <s v="main"/>
    <x v="8"/>
    <n v="0"/>
    <n v="0"/>
    <n v="0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</r>
  <r>
    <s v="main"/>
    <x v="8"/>
    <n v="0"/>
    <n v="0"/>
    <n v="0"/>
    <n v="44.5"/>
    <n v="44.5"/>
    <n v="44.5"/>
    <n v="44.5"/>
    <n v="44.5"/>
    <n v="44.5"/>
    <n v="44.5"/>
    <n v="44.5"/>
    <n v="44.5"/>
    <n v="44.5"/>
    <n v="44.5"/>
    <n v="44.5"/>
    <n v="44.5"/>
    <n v="44.5"/>
  </r>
  <r>
    <s v="main"/>
    <x v="8"/>
    <n v="0"/>
    <n v="0"/>
    <n v="0"/>
    <n v="29.6"/>
    <n v="29.6"/>
    <n v="29.6"/>
    <n v="29.6"/>
    <n v="29.6"/>
    <n v="29.6"/>
    <n v="29.6"/>
    <n v="29.6"/>
    <n v="29.6"/>
    <n v="29.6"/>
    <n v="29.6"/>
    <n v="29.6"/>
    <n v="29.6"/>
    <n v="29.6"/>
  </r>
  <r>
    <s v="main"/>
    <x v="8"/>
    <n v="0"/>
    <n v="0"/>
    <n v="0"/>
    <n v="142.19999999999999"/>
    <n v="142.19999999999999"/>
    <n v="142.19999999999999"/>
    <n v="142.19999999999999"/>
    <n v="142.19999999999999"/>
    <n v="142.19999999999999"/>
    <n v="142.19999999999999"/>
    <n v="142.19999999999999"/>
    <n v="142.19999999999999"/>
    <n v="142.19999999999999"/>
    <n v="142.19999999999999"/>
    <n v="142.19999999999999"/>
    <n v="142.19999999999999"/>
    <n v="142.19999999999999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main"/>
    <x v="9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9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359.06"/>
    <n v="359.06"/>
    <n v="359.06"/>
    <n v="359.06"/>
    <n v="359.06"/>
    <n v="359.06"/>
    <n v="359.06"/>
    <n v="359.06"/>
    <n v="359.06"/>
    <n v="359.06"/>
    <n v="359.06"/>
    <n v="359.06"/>
    <n v="359.06"/>
  </r>
  <r>
    <s v="main"/>
    <x v="9"/>
    <n v="0"/>
    <n v="0"/>
    <n v="0"/>
    <n v="244.5675"/>
    <n v="244.5675"/>
    <n v="244.5675"/>
    <n v="244.5675"/>
    <n v="244.5675"/>
    <n v="489.13499999999999"/>
    <n v="489.13499999999999"/>
    <n v="489.13499999999999"/>
    <n v="978.27"/>
    <n v="978.27"/>
    <n v="978.27"/>
    <n v="978.27"/>
    <n v="978.27"/>
    <n v="978.27"/>
  </r>
  <r>
    <s v="main"/>
    <x v="9"/>
    <n v="0"/>
    <n v="0"/>
    <n v="0"/>
    <n v="161.24"/>
    <n v="161.24"/>
    <n v="161.24"/>
    <n v="161.24"/>
    <n v="161.24"/>
    <n v="161.24"/>
    <n v="161.24"/>
    <n v="161.24"/>
    <n v="161.24"/>
    <n v="161.24"/>
    <n v="161.24"/>
    <n v="161.24"/>
    <n v="161.24"/>
    <n v="161.24"/>
  </r>
  <r>
    <s v="main"/>
    <x v="9"/>
    <n v="0"/>
    <n v="0"/>
    <n v="0"/>
    <n v="48.325000000000003"/>
    <n v="48.325000000000003"/>
    <n v="48.325000000000003"/>
    <n v="48.325000000000003"/>
    <n v="48.325000000000003"/>
    <n v="96.65"/>
    <n v="96.65"/>
    <n v="96.65"/>
    <n v="193.3"/>
    <n v="193.3"/>
    <n v="193.3"/>
    <n v="193.3"/>
    <n v="193.3"/>
    <n v="193.3"/>
  </r>
  <r>
    <s v="main"/>
    <x v="9"/>
    <n v="0"/>
    <n v="0"/>
    <n v="0"/>
    <n v="0"/>
    <n v="0"/>
    <n v="0"/>
    <n v="0"/>
    <n v="0"/>
    <n v="0"/>
    <n v="0"/>
    <n v="0"/>
    <n v="0"/>
    <n v="0"/>
    <n v="0"/>
    <n v="45.61"/>
    <n v="45.61"/>
    <n v="45.61"/>
  </r>
  <r>
    <s v="main"/>
    <x v="9"/>
    <n v="0"/>
    <n v="0"/>
    <n v="0"/>
    <n v="49.95"/>
    <n v="49.95"/>
    <n v="49.95"/>
    <n v="49.95"/>
    <n v="49.95"/>
    <n v="49.95"/>
    <n v="49.95"/>
    <n v="49.95"/>
    <n v="49.95"/>
    <n v="49.95"/>
    <n v="49.95"/>
    <n v="49.95"/>
    <n v="49.95"/>
    <n v="49.95"/>
  </r>
  <r>
    <s v="main"/>
    <x v="9"/>
    <n v="0"/>
    <n v="0"/>
    <n v="0"/>
    <n v="67.12"/>
    <n v="67.12"/>
    <n v="67.12"/>
    <n v="67.12"/>
    <n v="67.12"/>
    <n v="67.12"/>
    <n v="67.12"/>
    <n v="67.12"/>
    <n v="67.12"/>
    <n v="67.12"/>
    <n v="67.12"/>
    <n v="67.12"/>
    <n v="67.12"/>
    <n v="67.12"/>
  </r>
  <r>
    <s v="main"/>
    <x v="9"/>
    <n v="0"/>
    <n v="0"/>
    <n v="0"/>
    <n v="44.63"/>
    <n v="44.63"/>
    <n v="44.63"/>
    <n v="44.63"/>
    <n v="44.63"/>
    <n v="44.63"/>
    <n v="44.63"/>
    <n v="44.63"/>
    <n v="44.63"/>
    <n v="44.63"/>
    <n v="44.63"/>
    <n v="44.63"/>
    <n v="44.63"/>
    <n v="44.63"/>
  </r>
  <r>
    <s v="main"/>
    <x v="9"/>
    <n v="0"/>
    <n v="0"/>
    <n v="0"/>
    <n v="214.48"/>
    <n v="214.48"/>
    <n v="214.48"/>
    <n v="214.48"/>
    <n v="214.48"/>
    <n v="214.48"/>
    <n v="214.48"/>
    <n v="214.48"/>
    <n v="214.48"/>
    <n v="214.48"/>
    <n v="214.48"/>
    <n v="214.48"/>
    <n v="214.48"/>
    <n v="214.4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x v="0"/>
    <s v="general-split"/>
    <n v="0"/>
    <n v="0"/>
    <n v="0"/>
    <n v="0"/>
    <n v="0"/>
    <n v="0"/>
    <n v="0"/>
    <n v="0"/>
    <n v="0"/>
    <n v="0"/>
    <n v="0"/>
    <n v="84"/>
    <n v="84"/>
    <n v="84"/>
    <n v="84"/>
    <n v="84"/>
    <n v="84"/>
  </r>
  <r>
    <x v="0"/>
    <s v="general-split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7.92"/>
    <n v="117.92"/>
    <n v="117.92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1"/>
    <s v="general-mechanical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x v="0"/>
    <s v="general-split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0"/>
    <s v="general-split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0"/>
    <s v="general-split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x v="0"/>
    <s v="general-split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x v="0"/>
    <s v="general-split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general-main"/>
    <n v="0"/>
    <n v="994.73"/>
    <n v="994.73"/>
    <n v="1243.4124999999999"/>
    <n v="1243.4124999999999"/>
    <n v="1243.4124999999999"/>
    <n v="1243.4124999999999"/>
    <n v="1243.4124999999999"/>
    <n v="1492.095"/>
    <n v="1492.095"/>
    <n v="1492.095"/>
    <n v="1492.095"/>
    <n v="1989.46"/>
    <n v="1989.46"/>
    <n v="1989.46"/>
    <n v="1989.46"/>
    <n v="1989.46"/>
  </r>
  <r>
    <x v="2"/>
    <s v="general-main"/>
    <n v="0"/>
    <n v="1404"/>
    <n v="1404"/>
    <n v="1755"/>
    <n v="1755"/>
    <n v="1755"/>
    <n v="1755"/>
    <n v="1755"/>
    <n v="2106"/>
    <n v="2106"/>
    <n v="2106"/>
    <n v="2106"/>
    <n v="2808"/>
    <n v="2808"/>
    <n v="2808"/>
    <n v="2808"/>
    <n v="2808"/>
  </r>
  <r>
    <x v="0"/>
    <s v="general-split"/>
    <n v="0"/>
    <n v="0"/>
    <n v="0"/>
    <n v="0"/>
    <n v="0"/>
    <n v="0"/>
    <n v="0"/>
    <n v="0"/>
    <n v="0"/>
    <n v="0"/>
    <n v="0"/>
    <n v="0"/>
    <n v="0"/>
    <n v="108.12"/>
    <n v="108.12"/>
    <n v="108.12"/>
    <n v="108.12"/>
  </r>
  <r>
    <x v="1"/>
    <s v="general-mechanical"/>
    <n v="0"/>
    <n v="0"/>
    <n v="0"/>
    <n v="0"/>
    <n v="0"/>
    <n v="0"/>
    <n v="3465.09"/>
    <n v="3465.09"/>
    <n v="3465.09"/>
    <n v="3465.09"/>
    <n v="3465.09"/>
    <n v="3465.09"/>
    <n v="3465.09"/>
    <n v="3465.09"/>
    <n v="3465.09"/>
    <n v="3465.09"/>
    <n v="3465.09"/>
  </r>
  <r>
    <x v="1"/>
    <s v="general-mechanical"/>
    <n v="0"/>
    <n v="4103.78"/>
    <n v="4103.78"/>
    <n v="4103.78"/>
    <n v="4103.78"/>
    <n v="4103.78"/>
    <n v="4103.78"/>
    <n v="4103.78"/>
    <n v="4103.78"/>
    <n v="4103.78"/>
    <n v="4103.78"/>
    <n v="4103.78"/>
    <n v="4103.78"/>
    <n v="4103.78"/>
    <n v="4103.78"/>
    <n v="4103.78"/>
    <n v="4103.78"/>
  </r>
  <r>
    <x v="2"/>
    <s v="general-main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x v="2"/>
    <s v="general-main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x v="1"/>
    <s v="general-mechanical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2319.84"/>
    <n v="2319.84"/>
    <n v="2319.84"/>
    <n v="2319.84"/>
    <n v="2319.84"/>
    <n v="2319.84"/>
    <n v="2319.84"/>
    <n v="2319.84"/>
    <n v="2319.84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x v="0"/>
    <s v="general-split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x v="0"/>
    <s v="general-split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x v="0"/>
    <s v="general-split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x v="0"/>
    <s v="general-split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x v="0"/>
    <s v="general-split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Utility Room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x v="2"/>
    <s v="Utility Room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x v="2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Utility Room"/>
    <n v="0"/>
    <n v="0"/>
    <n v="0"/>
    <n v="0"/>
    <n v="225.8"/>
    <n v="225.8"/>
    <n v="225.8"/>
    <n v="225.8"/>
    <n v="225.8"/>
    <n v="225.8"/>
    <n v="225.8"/>
    <n v="225.8"/>
    <n v="225.8"/>
    <n v="225.8"/>
    <n v="225.8"/>
    <n v="225.8"/>
    <n v="225.8"/>
  </r>
  <r>
    <x v="2"/>
    <s v="Utility Room"/>
    <n v="0"/>
    <n v="0"/>
    <n v="0"/>
    <n v="153.79"/>
    <n v="153.79"/>
    <n v="153.79"/>
    <n v="153.79"/>
    <n v="153.79"/>
    <n v="307.58"/>
    <n v="307.58"/>
    <n v="307.58"/>
    <n v="615.16"/>
    <n v="615.16"/>
    <n v="615.16"/>
    <n v="615.16"/>
    <n v="615.16"/>
    <n v="615.16"/>
  </r>
  <r>
    <x v="2"/>
    <s v="Utility Room"/>
    <n v="0"/>
    <n v="0"/>
    <n v="0"/>
    <n v="101.38"/>
    <n v="101.38"/>
    <n v="101.38"/>
    <n v="101.38"/>
    <n v="101.38"/>
    <n v="101.38"/>
    <n v="101.38"/>
    <n v="101.38"/>
    <n v="101.38"/>
    <n v="101.38"/>
    <n v="101.38"/>
    <n v="101.38"/>
    <n v="101.38"/>
    <n v="101.38"/>
  </r>
  <r>
    <x v="2"/>
    <s v="Utility Room"/>
    <n v="0"/>
    <n v="0"/>
    <n v="0"/>
    <n v="28.037500000000001"/>
    <n v="28.037500000000001"/>
    <n v="28.037500000000001"/>
    <n v="28.037500000000001"/>
    <n v="28.037500000000001"/>
    <n v="56.075000000000003"/>
    <n v="56.075000000000003"/>
    <n v="56.075000000000003"/>
    <n v="112.15"/>
    <n v="112.15"/>
    <n v="112.15"/>
    <n v="112.15"/>
    <n v="112.15"/>
    <n v="112.15"/>
  </r>
  <r>
    <x v="2"/>
    <s v="Utility Room"/>
    <n v="0"/>
    <n v="0"/>
    <n v="0"/>
    <n v="0"/>
    <n v="0"/>
    <n v="0"/>
    <n v="0"/>
    <n v="0"/>
    <n v="0"/>
    <n v="0"/>
    <n v="0"/>
    <n v="0"/>
    <n v="0"/>
    <n v="0"/>
    <n v="26.47"/>
    <n v="26.47"/>
    <n v="26.47"/>
  </r>
  <r>
    <x v="2"/>
    <s v="Utility Room"/>
    <n v="0"/>
    <n v="0"/>
    <n v="0"/>
    <n v="28.99"/>
    <n v="28.99"/>
    <n v="28.99"/>
    <n v="28.99"/>
    <n v="28.99"/>
    <n v="28.99"/>
    <n v="28.99"/>
    <n v="28.99"/>
    <n v="28.99"/>
    <n v="28.99"/>
    <n v="28.99"/>
    <n v="28.99"/>
    <n v="28.99"/>
    <n v="28.99"/>
  </r>
  <r>
    <x v="2"/>
    <s v="Utility Room"/>
    <n v="0"/>
    <n v="0"/>
    <n v="0"/>
    <n v="38.92"/>
    <n v="38.92"/>
    <n v="38.92"/>
    <n v="38.92"/>
    <n v="38.92"/>
    <n v="38.92"/>
    <n v="38.92"/>
    <n v="38.92"/>
    <n v="38.92"/>
    <n v="38.92"/>
    <n v="38.92"/>
    <n v="38.92"/>
    <n v="38.92"/>
    <n v="38.92"/>
  </r>
  <r>
    <x v="2"/>
    <s v="Utility Room"/>
    <n v="0"/>
    <n v="0"/>
    <n v="0"/>
    <n v="25.89"/>
    <n v="25.89"/>
    <n v="25.89"/>
    <n v="25.89"/>
    <n v="25.89"/>
    <n v="25.89"/>
    <n v="25.89"/>
    <n v="25.89"/>
    <n v="25.89"/>
    <n v="25.89"/>
    <n v="25.89"/>
    <n v="25.89"/>
    <n v="25.89"/>
    <n v="25.89"/>
  </r>
  <r>
    <x v="2"/>
    <s v="Utility Room"/>
    <n v="0"/>
    <n v="0"/>
    <n v="0"/>
    <n v="124.42"/>
    <n v="124.42"/>
    <n v="124.42"/>
    <n v="124.42"/>
    <n v="124.42"/>
    <n v="124.42"/>
    <n v="124.42"/>
    <n v="124.42"/>
    <n v="124.42"/>
    <n v="124.42"/>
    <n v="124.42"/>
    <n v="124.42"/>
    <n v="124.42"/>
    <n v="124.42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379.46"/>
    <n v="379.46"/>
    <n v="379.46"/>
    <n v="379.46"/>
    <n v="379.46"/>
    <n v="379.46"/>
    <n v="379.46"/>
    <n v="379.46"/>
    <n v="379.46"/>
    <n v="379.46"/>
    <n v="379.46"/>
    <n v="379.46"/>
    <n v="379.46"/>
  </r>
  <r>
    <x v="2"/>
    <s v="Bedroom"/>
    <n v="0"/>
    <n v="0"/>
    <n v="0"/>
    <n v="258.45749999999998"/>
    <n v="258.45749999999998"/>
    <n v="258.45749999999998"/>
    <n v="258.45749999999998"/>
    <n v="258.45749999999998"/>
    <n v="516.91499999999996"/>
    <n v="516.91499999999996"/>
    <n v="516.91499999999996"/>
    <n v="1033.83"/>
    <n v="1033.83"/>
    <n v="1033.83"/>
    <n v="1033.83"/>
    <n v="1033.83"/>
    <n v="1033.83"/>
  </r>
  <r>
    <x v="2"/>
    <s v="Bedroom"/>
    <n v="0"/>
    <n v="0"/>
    <n v="0"/>
    <n v="170.36"/>
    <n v="170.36"/>
    <n v="170.36"/>
    <n v="170.36"/>
    <n v="170.36"/>
    <n v="170.36"/>
    <n v="170.36"/>
    <n v="170.36"/>
    <n v="170.36"/>
    <n v="170.36"/>
    <n v="170.36"/>
    <n v="170.36"/>
    <n v="170.36"/>
    <n v="170.36"/>
  </r>
  <r>
    <x v="2"/>
    <s v="Bedroom"/>
    <n v="0"/>
    <n v="0"/>
    <n v="0"/>
    <n v="81.44"/>
    <n v="81.44"/>
    <n v="81.44"/>
    <n v="81.44"/>
    <n v="81.44"/>
    <n v="162.88"/>
    <n v="162.88"/>
    <n v="162.88"/>
    <n v="325.76"/>
    <n v="325.76"/>
    <n v="325.76"/>
    <n v="325.76"/>
    <n v="325.76"/>
    <n v="325.76"/>
  </r>
  <r>
    <x v="2"/>
    <s v="Bedroom"/>
    <n v="0"/>
    <n v="0"/>
    <n v="0"/>
    <n v="0"/>
    <n v="0"/>
    <n v="0"/>
    <n v="0"/>
    <n v="0"/>
    <n v="0"/>
    <n v="0"/>
    <n v="0"/>
    <n v="0"/>
    <n v="0"/>
    <n v="0"/>
    <n v="76.87"/>
    <n v="76.87"/>
    <n v="76.87"/>
  </r>
  <r>
    <x v="2"/>
    <s v="Bedroom"/>
    <n v="0"/>
    <n v="0"/>
    <n v="0"/>
    <n v="84.19"/>
    <n v="84.19"/>
    <n v="84.19"/>
    <n v="84.19"/>
    <n v="84.19"/>
    <n v="84.19"/>
    <n v="84.19"/>
    <n v="84.19"/>
    <n v="84.19"/>
    <n v="84.19"/>
    <n v="84.19"/>
    <n v="84.19"/>
    <n v="84.19"/>
    <n v="84.19"/>
  </r>
  <r>
    <x v="2"/>
    <s v="Bedroom"/>
    <n v="0"/>
    <n v="0"/>
    <n v="0"/>
    <n v="113.06"/>
    <n v="113.06"/>
    <n v="113.06"/>
    <n v="113.06"/>
    <n v="113.06"/>
    <n v="113.06"/>
    <n v="113.06"/>
    <n v="113.06"/>
    <n v="113.06"/>
    <n v="113.06"/>
    <n v="113.06"/>
    <n v="113.06"/>
    <n v="113.06"/>
    <n v="113.06"/>
  </r>
  <r>
    <x v="2"/>
    <s v="Bedroom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x v="2"/>
    <s v="Bedroom"/>
    <n v="0"/>
    <n v="0"/>
    <n v="0"/>
    <n v="361.44"/>
    <n v="361.44"/>
    <n v="361.44"/>
    <n v="361.44"/>
    <n v="361.44"/>
    <n v="361.44"/>
    <n v="361.44"/>
    <n v="361.44"/>
    <n v="361.44"/>
    <n v="361.44"/>
    <n v="361.44"/>
    <n v="361.44"/>
    <n v="361.44"/>
    <n v="361.44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x v="2"/>
    <s v="Kitchen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x v="2"/>
    <s v="Kitchen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x v="2"/>
    <s v="Kitchen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1695.12"/>
    <n v="1695.12"/>
    <n v="1695.12"/>
    <n v="1695.12"/>
    <n v="1695.12"/>
    <n v="1695.12"/>
    <n v="1695.12"/>
  </r>
  <r>
    <x v="2"/>
    <s v="Kitchen"/>
    <n v="0"/>
    <n v="0"/>
    <n v="0"/>
    <n v="0"/>
    <n v="2407.1"/>
    <n v="2407.1"/>
    <n v="2407.1"/>
    <n v="2407.1"/>
    <n v="2407.1"/>
    <n v="2407.1"/>
    <n v="2407.1"/>
    <n v="2407.1"/>
    <n v="2407.1"/>
    <n v="2407.1"/>
    <n v="2407.1"/>
    <n v="2407.1"/>
    <n v="2407.1"/>
  </r>
  <r>
    <x v="2"/>
    <s v="Kitchen"/>
    <n v="0"/>
    <n v="0"/>
    <n v="0"/>
    <n v="0"/>
    <n v="0"/>
    <n v="0"/>
    <n v="0"/>
    <n v="0"/>
    <n v="0"/>
    <n v="0"/>
    <n v="1291.04"/>
    <n v="1291.04"/>
    <n v="1291.04"/>
    <n v="1291.04"/>
    <n v="1291.04"/>
    <n v="1291.04"/>
    <n v="1291.04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x v="2"/>
    <s v="Kitchen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x v="2"/>
    <s v="Kitchen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x v="2"/>
    <s v="Kitchen"/>
    <n v="0"/>
    <n v="0"/>
    <n v="0"/>
    <n v="0"/>
    <n v="0"/>
    <n v="0"/>
    <n v="1129.33"/>
    <n v="1129.33"/>
    <n v="1129.33"/>
    <n v="1129.33"/>
    <n v="1129.33"/>
    <n v="1129.33"/>
    <n v="1129.33"/>
    <n v="1129.33"/>
    <n v="1129.33"/>
    <n v="1129.33"/>
    <n v="1129.33"/>
  </r>
  <r>
    <x v="2"/>
    <s v="Kitchen"/>
    <n v="0"/>
    <n v="0"/>
    <n v="0"/>
    <n v="0"/>
    <n v="398.28"/>
    <n v="398.28"/>
    <n v="398.28"/>
    <n v="398.28"/>
    <n v="398.28"/>
    <n v="398.28"/>
    <n v="398.28"/>
    <n v="398.28"/>
    <n v="398.28"/>
    <n v="398.28"/>
    <n v="398.28"/>
    <n v="398.28"/>
    <n v="398.28"/>
  </r>
  <r>
    <x v="2"/>
    <s v="Kitchen"/>
    <n v="0"/>
    <n v="0"/>
    <n v="0"/>
    <n v="271.27749999999997"/>
    <n v="271.27749999999997"/>
    <n v="271.27749999999997"/>
    <n v="271.27749999999997"/>
    <n v="271.27749999999997"/>
    <n v="542.55499999999995"/>
    <n v="542.55499999999995"/>
    <n v="542.55499999999995"/>
    <n v="1085.1099999999999"/>
    <n v="1085.1099999999999"/>
    <n v="1085.1099999999999"/>
    <n v="1085.1099999999999"/>
    <n v="1085.1099999999999"/>
    <n v="1085.1099999999999"/>
  </r>
  <r>
    <x v="2"/>
    <s v="Kitchen"/>
    <n v="0"/>
    <n v="0"/>
    <n v="0"/>
    <n v="23.12"/>
    <n v="23.12"/>
    <n v="23.12"/>
    <n v="23.12"/>
    <n v="23.12"/>
    <n v="23.12"/>
    <n v="23.12"/>
    <n v="23.12"/>
    <n v="23.12"/>
    <n v="23.12"/>
    <n v="23.12"/>
    <n v="23.12"/>
    <n v="23.12"/>
    <n v="23.12"/>
  </r>
  <r>
    <x v="2"/>
    <s v="Kitchen"/>
    <n v="0"/>
    <n v="0"/>
    <n v="0"/>
    <n v="89.42"/>
    <n v="89.42"/>
    <n v="89.42"/>
    <n v="89.42"/>
    <n v="89.42"/>
    <n v="89.42"/>
    <n v="89.42"/>
    <n v="89.42"/>
    <n v="89.42"/>
    <n v="89.42"/>
    <n v="89.42"/>
    <n v="89.42"/>
    <n v="89.42"/>
    <n v="89.42"/>
  </r>
  <r>
    <x v="2"/>
    <s v="Kitchen"/>
    <n v="0"/>
    <n v="0"/>
    <n v="0"/>
    <n v="89.52"/>
    <n v="89.52"/>
    <n v="89.52"/>
    <n v="89.52"/>
    <n v="89.52"/>
    <n v="179.04"/>
    <n v="179.04"/>
    <n v="179.04"/>
    <n v="358.08"/>
    <n v="358.08"/>
    <n v="358.08"/>
    <n v="358.08"/>
    <n v="358.08"/>
    <n v="358.08"/>
  </r>
  <r>
    <x v="2"/>
    <s v="Kitchen"/>
    <n v="0"/>
    <n v="0"/>
    <n v="0"/>
    <n v="0"/>
    <n v="0"/>
    <n v="0"/>
    <n v="0"/>
    <n v="0"/>
    <n v="0"/>
    <n v="0"/>
    <n v="0"/>
    <n v="0"/>
    <n v="0"/>
    <n v="0"/>
    <n v="84.49"/>
    <n v="84.49"/>
    <n v="84.49"/>
  </r>
  <r>
    <x v="2"/>
    <s v="Kitchen"/>
    <n v="0"/>
    <n v="0"/>
    <n v="0"/>
    <n v="92.53"/>
    <n v="92.53"/>
    <n v="92.53"/>
    <n v="92.53"/>
    <n v="92.53"/>
    <n v="92.53"/>
    <n v="92.53"/>
    <n v="92.53"/>
    <n v="92.53"/>
    <n v="92.53"/>
    <n v="92.53"/>
    <n v="92.53"/>
    <n v="92.53"/>
    <n v="92.53"/>
  </r>
  <r>
    <x v="2"/>
    <s v="Kitchen"/>
    <n v="0"/>
    <n v="0"/>
    <n v="0"/>
    <n v="124.29"/>
    <n v="124.29"/>
    <n v="124.29"/>
    <n v="124.29"/>
    <n v="124.29"/>
    <n v="124.29"/>
    <n v="124.29"/>
    <n v="124.29"/>
    <n v="124.29"/>
    <n v="124.29"/>
    <n v="124.29"/>
    <n v="124.29"/>
    <n v="124.29"/>
    <n v="124.29"/>
  </r>
  <r>
    <x v="2"/>
    <s v="Kitchen"/>
    <n v="0"/>
    <n v="0"/>
    <n v="0"/>
    <n v="82.67"/>
    <n v="82.67"/>
    <n v="82.67"/>
    <n v="82.67"/>
    <n v="82.67"/>
    <n v="82.67"/>
    <n v="82.67"/>
    <n v="82.67"/>
    <n v="82.67"/>
    <n v="82.67"/>
    <n v="82.67"/>
    <n v="82.67"/>
    <n v="82.67"/>
    <n v="82.67"/>
  </r>
  <r>
    <x v="2"/>
    <s v="Kitchen"/>
    <n v="0"/>
    <n v="0"/>
    <n v="0"/>
    <n v="397.3"/>
    <n v="397.3"/>
    <n v="397.3"/>
    <n v="397.3"/>
    <n v="397.3"/>
    <n v="397.3"/>
    <n v="397.3"/>
    <n v="397.3"/>
    <n v="397.3"/>
    <n v="397.3"/>
    <n v="397.3"/>
    <n v="397.3"/>
    <n v="397.3"/>
    <n v="397.3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379.46"/>
    <n v="379.46"/>
    <n v="379.46"/>
    <n v="379.46"/>
    <n v="379.46"/>
    <n v="379.46"/>
    <n v="379.46"/>
    <n v="379.46"/>
    <n v="379.46"/>
    <n v="379.46"/>
    <n v="379.46"/>
    <n v="379.46"/>
    <n v="379.46"/>
  </r>
  <r>
    <x v="2"/>
    <s v="Bedroom"/>
    <n v="0"/>
    <n v="0"/>
    <n v="0"/>
    <n v="258.45749999999998"/>
    <n v="258.45749999999998"/>
    <n v="258.45749999999998"/>
    <n v="258.45749999999998"/>
    <n v="258.45749999999998"/>
    <n v="516.91499999999996"/>
    <n v="516.91499999999996"/>
    <n v="516.91499999999996"/>
    <n v="1033.83"/>
    <n v="1033.83"/>
    <n v="1033.83"/>
    <n v="1033.83"/>
    <n v="1033.83"/>
    <n v="1033.83"/>
  </r>
  <r>
    <x v="2"/>
    <s v="Bedroom"/>
    <n v="0"/>
    <n v="0"/>
    <n v="0"/>
    <n v="170.36"/>
    <n v="170.36"/>
    <n v="170.36"/>
    <n v="170.36"/>
    <n v="170.36"/>
    <n v="170.36"/>
    <n v="170.36"/>
    <n v="170.36"/>
    <n v="170.36"/>
    <n v="170.36"/>
    <n v="170.36"/>
    <n v="170.36"/>
    <n v="170.36"/>
    <n v="170.36"/>
  </r>
  <r>
    <x v="2"/>
    <s v="Bedroom"/>
    <n v="0"/>
    <n v="0"/>
    <n v="0"/>
    <n v="81.44"/>
    <n v="81.44"/>
    <n v="81.44"/>
    <n v="81.44"/>
    <n v="81.44"/>
    <n v="162.88"/>
    <n v="162.88"/>
    <n v="162.88"/>
    <n v="325.76"/>
    <n v="325.76"/>
    <n v="325.76"/>
    <n v="325.76"/>
    <n v="325.76"/>
    <n v="325.76"/>
  </r>
  <r>
    <x v="2"/>
    <s v="Bedroom"/>
    <n v="0"/>
    <n v="0"/>
    <n v="0"/>
    <n v="0"/>
    <n v="0"/>
    <n v="0"/>
    <n v="0"/>
    <n v="0"/>
    <n v="0"/>
    <n v="0"/>
    <n v="0"/>
    <n v="0"/>
    <n v="0"/>
    <n v="0"/>
    <n v="76.87"/>
    <n v="76.87"/>
    <n v="76.87"/>
  </r>
  <r>
    <x v="2"/>
    <s v="Bedroom"/>
    <n v="0"/>
    <n v="0"/>
    <n v="0"/>
    <n v="84.19"/>
    <n v="84.19"/>
    <n v="84.19"/>
    <n v="84.19"/>
    <n v="84.19"/>
    <n v="84.19"/>
    <n v="84.19"/>
    <n v="84.19"/>
    <n v="84.19"/>
    <n v="84.19"/>
    <n v="84.19"/>
    <n v="84.19"/>
    <n v="84.19"/>
    <n v="84.19"/>
  </r>
  <r>
    <x v="2"/>
    <s v="Bedroom"/>
    <n v="0"/>
    <n v="0"/>
    <n v="0"/>
    <n v="113.06"/>
    <n v="113.06"/>
    <n v="113.06"/>
    <n v="113.06"/>
    <n v="113.06"/>
    <n v="113.06"/>
    <n v="113.06"/>
    <n v="113.06"/>
    <n v="113.06"/>
    <n v="113.06"/>
    <n v="113.06"/>
    <n v="113.06"/>
    <n v="113.06"/>
    <n v="113.06"/>
  </r>
  <r>
    <x v="2"/>
    <s v="Bedroom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x v="2"/>
    <s v="Bedroom"/>
    <n v="0"/>
    <n v="0"/>
    <n v="0"/>
    <n v="361.44"/>
    <n v="361.44"/>
    <n v="361.44"/>
    <n v="361.44"/>
    <n v="361.44"/>
    <n v="361.44"/>
    <n v="361.44"/>
    <n v="361.44"/>
    <n v="361.44"/>
    <n v="361.44"/>
    <n v="361.44"/>
    <n v="361.44"/>
    <n v="361.44"/>
    <n v="361.44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263.42"/>
    <n v="263.42"/>
    <n v="263.42"/>
    <n v="263.42"/>
    <n v="263.42"/>
    <n v="263.42"/>
    <n v="263.42"/>
    <n v="263.42"/>
    <n v="263.42"/>
    <n v="263.42"/>
    <n v="263.42"/>
    <n v="263.42"/>
    <n v="263.42"/>
  </r>
  <r>
    <x v="2"/>
    <s v="Nook"/>
    <n v="0"/>
    <n v="0"/>
    <n v="0"/>
    <n v="179.42500000000001"/>
    <n v="179.42500000000001"/>
    <n v="179.42500000000001"/>
    <n v="179.42500000000001"/>
    <n v="179.42500000000001"/>
    <n v="358.85"/>
    <n v="358.85"/>
    <n v="358.85"/>
    <n v="717.7"/>
    <n v="717.7"/>
    <n v="717.7"/>
    <n v="717.7"/>
    <n v="717.7"/>
    <n v="717.7"/>
  </r>
  <r>
    <x v="2"/>
    <s v="Nook"/>
    <n v="0"/>
    <n v="0"/>
    <n v="0"/>
    <n v="118.28"/>
    <n v="118.28"/>
    <n v="118.28"/>
    <n v="118.28"/>
    <n v="118.28"/>
    <n v="118.28"/>
    <n v="118.28"/>
    <n v="118.28"/>
    <n v="118.28"/>
    <n v="118.28"/>
    <n v="118.28"/>
    <n v="118.28"/>
    <n v="118.28"/>
    <n v="118.28"/>
  </r>
  <r>
    <x v="2"/>
    <s v="Nook"/>
    <n v="0"/>
    <n v="0"/>
    <n v="0"/>
    <n v="38.450000000000003"/>
    <n v="38.450000000000003"/>
    <n v="38.450000000000003"/>
    <n v="38.450000000000003"/>
    <n v="38.450000000000003"/>
    <n v="76.900000000000006"/>
    <n v="76.900000000000006"/>
    <n v="76.900000000000006"/>
    <n v="153.80000000000001"/>
    <n v="153.80000000000001"/>
    <n v="153.80000000000001"/>
    <n v="153.80000000000001"/>
    <n v="153.80000000000001"/>
    <n v="153.80000000000001"/>
  </r>
  <r>
    <x v="2"/>
    <s v="Nook"/>
    <n v="0"/>
    <n v="0"/>
    <n v="0"/>
    <n v="0"/>
    <n v="0"/>
    <n v="0"/>
    <n v="0"/>
    <n v="0"/>
    <n v="0"/>
    <n v="0"/>
    <n v="0"/>
    <n v="0"/>
    <n v="0"/>
    <n v="0"/>
    <n v="36.28"/>
    <n v="36.28"/>
    <n v="36.28"/>
  </r>
  <r>
    <x v="2"/>
    <s v="Nook"/>
    <n v="0"/>
    <n v="0"/>
    <n v="0"/>
    <n v="39.74"/>
    <n v="39.74"/>
    <n v="39.74"/>
    <n v="39.74"/>
    <n v="39.74"/>
    <n v="39.74"/>
    <n v="39.74"/>
    <n v="39.74"/>
    <n v="39.74"/>
    <n v="39.74"/>
    <n v="39.74"/>
    <n v="39.74"/>
    <n v="39.74"/>
    <n v="39.74"/>
  </r>
  <r>
    <x v="2"/>
    <s v="Nook"/>
    <n v="0"/>
    <n v="0"/>
    <n v="0"/>
    <n v="53.39"/>
    <n v="53.39"/>
    <n v="53.39"/>
    <n v="53.39"/>
    <n v="53.39"/>
    <n v="53.39"/>
    <n v="53.39"/>
    <n v="53.39"/>
    <n v="53.39"/>
    <n v="53.39"/>
    <n v="53.39"/>
    <n v="53.39"/>
    <n v="53.39"/>
    <n v="53.39"/>
  </r>
  <r>
    <x v="2"/>
    <s v="Nook"/>
    <n v="0"/>
    <n v="0"/>
    <n v="0"/>
    <n v="35.51"/>
    <n v="35.51"/>
    <n v="35.51"/>
    <n v="35.51"/>
    <n v="35.51"/>
    <n v="35.51"/>
    <n v="35.51"/>
    <n v="35.51"/>
    <n v="35.51"/>
    <n v="35.51"/>
    <n v="35.51"/>
    <n v="35.51"/>
    <n v="35.51"/>
    <n v="35.51"/>
  </r>
  <r>
    <x v="2"/>
    <s v="Nook"/>
    <n v="0"/>
    <n v="0"/>
    <n v="0"/>
    <n v="170.64"/>
    <n v="170.64"/>
    <n v="170.64"/>
    <n v="170.64"/>
    <n v="170.64"/>
    <n v="170.64"/>
    <n v="170.64"/>
    <n v="170.64"/>
    <n v="170.64"/>
    <n v="170.64"/>
    <n v="170.64"/>
    <n v="170.64"/>
    <n v="170.64"/>
    <n v="170.64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567.62"/>
    <n v="567.62"/>
    <n v="567.62"/>
    <n v="567.62"/>
    <n v="567.62"/>
    <n v="567.62"/>
    <n v="567.62"/>
    <n v="567.62"/>
    <n v="567.62"/>
    <n v="567.62"/>
    <n v="567.62"/>
    <n v="567.62"/>
    <n v="567.62"/>
  </r>
  <r>
    <x v="2"/>
    <s v="Living Area"/>
    <n v="0"/>
    <n v="0"/>
    <n v="0"/>
    <n v="386.61750000000001"/>
    <n v="386.61750000000001"/>
    <n v="386.61750000000001"/>
    <n v="386.61750000000001"/>
    <n v="386.61750000000001"/>
    <n v="773.23500000000001"/>
    <n v="773.23500000000001"/>
    <n v="773.23500000000001"/>
    <n v="1546.47"/>
    <n v="1546.47"/>
    <n v="1546.47"/>
    <n v="1546.47"/>
    <n v="1546.47"/>
    <n v="1546.47"/>
  </r>
  <r>
    <x v="2"/>
    <s v="Living Area"/>
    <n v="0"/>
    <n v="0"/>
    <n v="0"/>
    <n v="254.84"/>
    <n v="254.84"/>
    <n v="254.84"/>
    <n v="254.84"/>
    <n v="254.84"/>
    <n v="254.84"/>
    <n v="254.84"/>
    <n v="254.84"/>
    <n v="254.84"/>
    <n v="254.84"/>
    <n v="254.84"/>
    <n v="254.84"/>
    <n v="254.84"/>
    <n v="254.84"/>
  </r>
  <r>
    <x v="2"/>
    <s v="Living Area"/>
    <n v="0"/>
    <n v="0"/>
    <n v="0"/>
    <n v="175.02500000000001"/>
    <n v="175.02500000000001"/>
    <n v="175.02500000000001"/>
    <n v="175.02500000000001"/>
    <n v="175.02500000000001"/>
    <n v="350.05"/>
    <n v="350.05"/>
    <n v="350.05"/>
    <n v="700.1"/>
    <n v="700.1"/>
    <n v="700.1"/>
    <n v="700.1"/>
    <n v="700.1"/>
    <n v="700.1"/>
  </r>
  <r>
    <x v="2"/>
    <s v="Living Area"/>
    <n v="0"/>
    <n v="0"/>
    <n v="0"/>
    <n v="0"/>
    <n v="0"/>
    <n v="0"/>
    <n v="0"/>
    <n v="0"/>
    <n v="0"/>
    <n v="0"/>
    <n v="0"/>
    <n v="0"/>
    <n v="0"/>
    <n v="0"/>
    <n v="165.2"/>
    <n v="165.2"/>
    <n v="165.2"/>
  </r>
  <r>
    <x v="2"/>
    <s v="Living Area"/>
    <n v="0"/>
    <n v="0"/>
    <n v="0"/>
    <n v="180.93"/>
    <n v="180.93"/>
    <n v="180.93"/>
    <n v="180.93"/>
    <n v="180.93"/>
    <n v="180.93"/>
    <n v="180.93"/>
    <n v="180.93"/>
    <n v="180.93"/>
    <n v="180.93"/>
    <n v="180.93"/>
    <n v="180.93"/>
    <n v="180.93"/>
    <n v="180.93"/>
  </r>
  <r>
    <x v="2"/>
    <s v="Living Area"/>
    <n v="0"/>
    <n v="0"/>
    <n v="0"/>
    <n v="243.07"/>
    <n v="243.07"/>
    <n v="243.07"/>
    <n v="243.07"/>
    <n v="243.07"/>
    <n v="243.07"/>
    <n v="243.07"/>
    <n v="243.07"/>
    <n v="243.07"/>
    <n v="243.07"/>
    <n v="243.07"/>
    <n v="243.07"/>
    <n v="243.07"/>
    <n v="243.07"/>
  </r>
  <r>
    <x v="2"/>
    <s v="Living Area"/>
    <n v="0"/>
    <n v="0"/>
    <n v="0"/>
    <n v="161.63"/>
    <n v="161.63"/>
    <n v="161.63"/>
    <n v="161.63"/>
    <n v="161.63"/>
    <n v="161.63"/>
    <n v="161.63"/>
    <n v="161.63"/>
    <n v="161.63"/>
    <n v="161.63"/>
    <n v="161.63"/>
    <n v="161.63"/>
    <n v="161.63"/>
    <n v="161.63"/>
  </r>
  <r>
    <x v="2"/>
    <s v="Living Area"/>
    <n v="0"/>
    <n v="0"/>
    <n v="0"/>
    <n v="776.78"/>
    <n v="776.78"/>
    <n v="776.78"/>
    <n v="776.78"/>
    <n v="776.78"/>
    <n v="776.78"/>
    <n v="776.78"/>
    <n v="776.78"/>
    <n v="776.78"/>
    <n v="776.78"/>
    <n v="776.78"/>
    <n v="776.78"/>
    <n v="776.78"/>
    <n v="776.78"/>
  </r>
  <r>
    <x v="2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2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2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2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2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2"/>
    <s v="Full Bath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x v="2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2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2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2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Full Bath"/>
    <n v="0"/>
    <n v="0"/>
    <n v="0"/>
    <n v="0"/>
    <n v="244.6"/>
    <n v="244.6"/>
    <n v="244.6"/>
    <n v="244.6"/>
    <n v="244.6"/>
    <n v="244.6"/>
    <n v="244.6"/>
    <n v="244.6"/>
    <n v="244.6"/>
    <n v="244.6"/>
    <n v="244.6"/>
    <n v="244.6"/>
    <n v="244.6"/>
  </r>
  <r>
    <x v="2"/>
    <s v="Full Bath"/>
    <n v="0"/>
    <n v="0"/>
    <n v="0"/>
    <n v="166.61"/>
    <n v="166.61"/>
    <n v="166.61"/>
    <n v="166.61"/>
    <n v="166.61"/>
    <n v="333.22"/>
    <n v="333.22"/>
    <n v="333.22"/>
    <n v="666.44"/>
    <n v="666.44"/>
    <n v="666.44"/>
    <n v="666.44"/>
    <n v="666.44"/>
    <n v="666.44"/>
  </r>
  <r>
    <x v="2"/>
    <s v="Full Bath"/>
    <n v="0"/>
    <n v="0"/>
    <n v="0"/>
    <n v="14.19"/>
    <n v="14.19"/>
    <n v="14.19"/>
    <n v="14.19"/>
    <n v="14.19"/>
    <n v="14.19"/>
    <n v="14.19"/>
    <n v="14.19"/>
    <n v="14.19"/>
    <n v="14.19"/>
    <n v="14.19"/>
    <n v="14.19"/>
    <n v="14.19"/>
    <n v="14.19"/>
  </r>
  <r>
    <x v="2"/>
    <s v="Full Bath"/>
    <n v="0"/>
    <n v="0"/>
    <n v="0"/>
    <n v="54.92"/>
    <n v="54.92"/>
    <n v="54.92"/>
    <n v="54.92"/>
    <n v="54.92"/>
    <n v="54.92"/>
    <n v="54.92"/>
    <n v="54.92"/>
    <n v="54.92"/>
    <n v="54.92"/>
    <n v="54.92"/>
    <n v="54.92"/>
    <n v="54.92"/>
    <n v="54.92"/>
  </r>
  <r>
    <x v="2"/>
    <s v="Full Bath"/>
    <n v="0"/>
    <n v="0"/>
    <n v="0"/>
    <n v="32.04"/>
    <n v="32.04"/>
    <n v="32.04"/>
    <n v="32.04"/>
    <n v="32.04"/>
    <n v="64.08"/>
    <n v="64.08"/>
    <n v="64.08"/>
    <n v="128.16"/>
    <n v="128.16"/>
    <n v="128.16"/>
    <n v="128.16"/>
    <n v="128.16"/>
    <n v="128.16"/>
  </r>
  <r>
    <x v="2"/>
    <s v="Full Bath"/>
    <n v="0"/>
    <n v="0"/>
    <n v="0"/>
    <n v="0"/>
    <n v="0"/>
    <n v="0"/>
    <n v="0"/>
    <n v="0"/>
    <n v="0"/>
    <n v="0"/>
    <n v="0"/>
    <n v="0"/>
    <n v="0"/>
    <n v="0"/>
    <n v="30.24"/>
    <n v="30.24"/>
    <n v="30.24"/>
  </r>
  <r>
    <x v="2"/>
    <s v="Full Bath"/>
    <n v="0"/>
    <n v="0"/>
    <n v="0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</r>
  <r>
    <x v="2"/>
    <s v="Full Bath"/>
    <n v="0"/>
    <n v="0"/>
    <n v="0"/>
    <n v="44.5"/>
    <n v="44.5"/>
    <n v="44.5"/>
    <n v="44.5"/>
    <n v="44.5"/>
    <n v="44.5"/>
    <n v="44.5"/>
    <n v="44.5"/>
    <n v="44.5"/>
    <n v="44.5"/>
    <n v="44.5"/>
    <n v="44.5"/>
    <n v="44.5"/>
    <n v="44.5"/>
  </r>
  <r>
    <x v="2"/>
    <s v="Full Bath"/>
    <n v="0"/>
    <n v="0"/>
    <n v="0"/>
    <n v="29.6"/>
    <n v="29.6"/>
    <n v="29.6"/>
    <n v="29.6"/>
    <n v="29.6"/>
    <n v="29.6"/>
    <n v="29.6"/>
    <n v="29.6"/>
    <n v="29.6"/>
    <n v="29.6"/>
    <n v="29.6"/>
    <n v="29.6"/>
    <n v="29.6"/>
    <n v="29.6"/>
  </r>
  <r>
    <x v="2"/>
    <s v="Full Bath"/>
    <n v="0"/>
    <n v="0"/>
    <n v="0"/>
    <n v="142.19999999999999"/>
    <n v="142.19999999999999"/>
    <n v="142.19999999999999"/>
    <n v="142.19999999999999"/>
    <n v="142.19999999999999"/>
    <n v="142.19999999999999"/>
    <n v="142.19999999999999"/>
    <n v="142.19999999999999"/>
    <n v="142.19999999999999"/>
    <n v="142.19999999999999"/>
    <n v="142.19999999999999"/>
    <n v="142.19999999999999"/>
    <n v="142.19999999999999"/>
    <n v="142.19999999999999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2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Hallway"/>
    <n v="0"/>
    <n v="0"/>
    <n v="0"/>
    <n v="0"/>
    <n v="359.06"/>
    <n v="359.06"/>
    <n v="359.06"/>
    <n v="359.06"/>
    <n v="359.06"/>
    <n v="359.06"/>
    <n v="359.06"/>
    <n v="359.06"/>
    <n v="359.06"/>
    <n v="359.06"/>
    <n v="359.06"/>
    <n v="359.06"/>
    <n v="359.06"/>
  </r>
  <r>
    <x v="2"/>
    <s v="Hallway"/>
    <n v="0"/>
    <n v="0"/>
    <n v="0"/>
    <n v="244.5675"/>
    <n v="244.5675"/>
    <n v="244.5675"/>
    <n v="244.5675"/>
    <n v="244.5675"/>
    <n v="489.13499999999999"/>
    <n v="489.13499999999999"/>
    <n v="489.13499999999999"/>
    <n v="978.27"/>
    <n v="978.27"/>
    <n v="978.27"/>
    <n v="978.27"/>
    <n v="978.27"/>
    <n v="978.27"/>
  </r>
  <r>
    <x v="2"/>
    <s v="Hallway"/>
    <n v="0"/>
    <n v="0"/>
    <n v="0"/>
    <n v="161.24"/>
    <n v="161.24"/>
    <n v="161.24"/>
    <n v="161.24"/>
    <n v="161.24"/>
    <n v="161.24"/>
    <n v="161.24"/>
    <n v="161.24"/>
    <n v="161.24"/>
    <n v="161.24"/>
    <n v="161.24"/>
    <n v="161.24"/>
    <n v="161.24"/>
    <n v="161.24"/>
  </r>
  <r>
    <x v="2"/>
    <s v="Hallway"/>
    <n v="0"/>
    <n v="0"/>
    <n v="0"/>
    <n v="48.325000000000003"/>
    <n v="48.325000000000003"/>
    <n v="48.325000000000003"/>
    <n v="48.325000000000003"/>
    <n v="48.325000000000003"/>
    <n v="96.65"/>
    <n v="96.65"/>
    <n v="96.65"/>
    <n v="193.3"/>
    <n v="193.3"/>
    <n v="193.3"/>
    <n v="193.3"/>
    <n v="193.3"/>
    <n v="193.3"/>
  </r>
  <r>
    <x v="2"/>
    <s v="Hallway"/>
    <n v="0"/>
    <n v="0"/>
    <n v="0"/>
    <n v="0"/>
    <n v="0"/>
    <n v="0"/>
    <n v="0"/>
    <n v="0"/>
    <n v="0"/>
    <n v="0"/>
    <n v="0"/>
    <n v="0"/>
    <n v="0"/>
    <n v="0"/>
    <n v="45.61"/>
    <n v="45.61"/>
    <n v="45.61"/>
  </r>
  <r>
    <x v="2"/>
    <s v="Hallway"/>
    <n v="0"/>
    <n v="0"/>
    <n v="0"/>
    <n v="49.95"/>
    <n v="49.95"/>
    <n v="49.95"/>
    <n v="49.95"/>
    <n v="49.95"/>
    <n v="49.95"/>
    <n v="49.95"/>
    <n v="49.95"/>
    <n v="49.95"/>
    <n v="49.95"/>
    <n v="49.95"/>
    <n v="49.95"/>
    <n v="49.95"/>
    <n v="49.95"/>
  </r>
  <r>
    <x v="2"/>
    <s v="Hallway"/>
    <n v="0"/>
    <n v="0"/>
    <n v="0"/>
    <n v="67.12"/>
    <n v="67.12"/>
    <n v="67.12"/>
    <n v="67.12"/>
    <n v="67.12"/>
    <n v="67.12"/>
    <n v="67.12"/>
    <n v="67.12"/>
    <n v="67.12"/>
    <n v="67.12"/>
    <n v="67.12"/>
    <n v="67.12"/>
    <n v="67.12"/>
    <n v="67.12"/>
  </r>
  <r>
    <x v="2"/>
    <s v="Hallway"/>
    <n v="0"/>
    <n v="0"/>
    <n v="0"/>
    <n v="44.63"/>
    <n v="44.63"/>
    <n v="44.63"/>
    <n v="44.63"/>
    <n v="44.63"/>
    <n v="44.63"/>
    <n v="44.63"/>
    <n v="44.63"/>
    <n v="44.63"/>
    <n v="44.63"/>
    <n v="44.63"/>
    <n v="44.63"/>
    <n v="44.63"/>
    <n v="44.63"/>
  </r>
  <r>
    <x v="2"/>
    <s v="Hallway"/>
    <n v="0"/>
    <n v="0"/>
    <n v="0"/>
    <n v="214.48"/>
    <n v="214.48"/>
    <n v="214.48"/>
    <n v="214.48"/>
    <n v="214.48"/>
    <n v="214.48"/>
    <n v="214.48"/>
    <n v="214.48"/>
    <n v="214.48"/>
    <n v="214.48"/>
    <n v="214.48"/>
    <n v="214.48"/>
    <n v="214.48"/>
    <n v="214.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D2EA87-182C-48D6-A01C-3E16CAED0563}" name="grp2pivot" cacheId="19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04DBC4-9DDE-4AE0-AE45-8AB53E78C802}" name="grp3pivot" cacheId="18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L48" firstHeaderRow="1" firstDataRow="2" firstDataCol="1"/>
  <pivotFields count="19">
    <pivotField showAll="0"/>
    <pivotField axis="axisCol" showAll="0">
      <items count="11">
        <item x="0"/>
        <item x="1"/>
        <item x="2"/>
        <item x="8"/>
        <item x="3"/>
        <item x="4"/>
        <item x="5"/>
        <item x="6"/>
        <item x="7"/>
        <item x="9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7432E-523F-4591-BE3B-A86229432425}">
  <dimension ref="A1:J72"/>
  <sheetViews>
    <sheetView workbookViewId="0">
      <selection activeCell="C3" sqref="C3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4" customWidth="1"/>
    <col min="5" max="5" width="20.42578125" customWidth="1"/>
    <col min="7" max="7" width="26.42578125" style="135" customWidth="1"/>
    <col min="8" max="8" width="30.5703125" style="135" customWidth="1"/>
    <col min="9" max="9" width="17.42578125" customWidth="1"/>
    <col min="10" max="10" width="15.5703125" style="135" customWidth="1"/>
  </cols>
  <sheetData>
    <row r="1" spans="1:9" x14ac:dyDescent="0.25">
      <c r="C1" t="s">
        <v>166</v>
      </c>
      <c r="D1" s="134" t="s">
        <v>167</v>
      </c>
      <c r="E1" t="s">
        <v>168</v>
      </c>
      <c r="F1" t="s">
        <v>169</v>
      </c>
      <c r="G1" s="135" t="s">
        <v>170</v>
      </c>
      <c r="H1" s="135" t="s">
        <v>171</v>
      </c>
      <c r="I1" t="s">
        <v>172</v>
      </c>
    </row>
    <row r="2" spans="1:9" x14ac:dyDescent="0.25">
      <c r="A2" t="s">
        <v>173</v>
      </c>
      <c r="C2" t="s">
        <v>260</v>
      </c>
      <c r="D2" s="134" t="s">
        <v>174</v>
      </c>
      <c r="E2">
        <v>1</v>
      </c>
      <c r="F2" t="s">
        <v>175</v>
      </c>
      <c r="G2" s="135" t="s">
        <v>61</v>
      </c>
      <c r="H2" s="135" t="s">
        <v>159</v>
      </c>
      <c r="I2" t="s">
        <v>176</v>
      </c>
    </row>
    <row r="4" spans="1:9" x14ac:dyDescent="0.25">
      <c r="A4" t="s">
        <v>177</v>
      </c>
      <c r="C4" s="3"/>
    </row>
    <row r="5" spans="1:9" x14ac:dyDescent="0.25">
      <c r="C5" s="3"/>
    </row>
    <row r="6" spans="1:9" x14ac:dyDescent="0.25">
      <c r="C6" s="136"/>
      <c r="D6" s="137"/>
    </row>
    <row r="7" spans="1:9" x14ac:dyDescent="0.25">
      <c r="B7" t="s">
        <v>178</v>
      </c>
      <c r="C7" s="136" t="s">
        <v>179</v>
      </c>
    </row>
    <row r="8" spans="1:9" x14ac:dyDescent="0.25">
      <c r="B8" t="s">
        <v>180</v>
      </c>
      <c r="C8" s="3" t="s">
        <v>155</v>
      </c>
    </row>
    <row r="9" spans="1:9" x14ac:dyDescent="0.25">
      <c r="B9" t="s">
        <v>181</v>
      </c>
      <c r="C9" s="138">
        <v>0.1</v>
      </c>
    </row>
    <row r="10" spans="1:9" x14ac:dyDescent="0.25">
      <c r="B10" t="s">
        <v>182</v>
      </c>
      <c r="C10" s="138">
        <v>0.1</v>
      </c>
    </row>
    <row r="12" spans="1:9" x14ac:dyDescent="0.25">
      <c r="B12" s="1"/>
      <c r="C12" s="1"/>
    </row>
    <row r="15" spans="1:9" x14ac:dyDescent="0.25">
      <c r="A15" t="s">
        <v>183</v>
      </c>
    </row>
    <row r="16" spans="1:9" x14ac:dyDescent="0.25">
      <c r="C16" s="3" t="s">
        <v>184</v>
      </c>
      <c r="D16" s="134">
        <v>2000</v>
      </c>
    </row>
    <row r="17" spans="3:5" x14ac:dyDescent="0.25">
      <c r="C17" s="3" t="s">
        <v>185</v>
      </c>
      <c r="D17" s="134" t="s">
        <v>159</v>
      </c>
    </row>
    <row r="18" spans="3:5" x14ac:dyDescent="0.25">
      <c r="C18" s="3" t="s">
        <v>186</v>
      </c>
      <c r="D18" s="139">
        <v>900</v>
      </c>
    </row>
    <row r="19" spans="3:5" x14ac:dyDescent="0.25">
      <c r="C19" s="3" t="s">
        <v>187</v>
      </c>
      <c r="D19" s="134" t="s">
        <v>188</v>
      </c>
    </row>
    <row r="20" spans="3:5" x14ac:dyDescent="0.25">
      <c r="C20" s="3" t="s">
        <v>189</v>
      </c>
      <c r="D20" s="134" t="s">
        <v>188</v>
      </c>
    </row>
    <row r="21" spans="3:5" x14ac:dyDescent="0.25">
      <c r="C21" s="3" t="s">
        <v>190</v>
      </c>
      <c r="D21" s="134" t="s">
        <v>188</v>
      </c>
    </row>
    <row r="22" spans="3:5" x14ac:dyDescent="0.25">
      <c r="C22" s="3" t="s">
        <v>191</v>
      </c>
      <c r="D22" s="134" t="s">
        <v>188</v>
      </c>
    </row>
    <row r="24" spans="3:5" x14ac:dyDescent="0.25">
      <c r="C24" s="3" t="s">
        <v>192</v>
      </c>
      <c r="D24" s="134" t="s">
        <v>193</v>
      </c>
    </row>
    <row r="25" spans="3:5" x14ac:dyDescent="0.25">
      <c r="C25" s="3" t="s">
        <v>10</v>
      </c>
      <c r="D25" s="134">
        <v>1</v>
      </c>
    </row>
    <row r="26" spans="3:5" x14ac:dyDescent="0.25">
      <c r="C26" s="3" t="s">
        <v>194</v>
      </c>
      <c r="D26" s="134" t="s">
        <v>61</v>
      </c>
      <c r="E26" s="140">
        <v>1</v>
      </c>
    </row>
    <row r="27" spans="3:5" x14ac:dyDescent="0.25">
      <c r="C27" s="3" t="s">
        <v>195</v>
      </c>
      <c r="D27" s="141">
        <v>0</v>
      </c>
    </row>
    <row r="28" spans="3:5" x14ac:dyDescent="0.25">
      <c r="C28" s="3" t="s">
        <v>196</v>
      </c>
      <c r="D28" s="134" t="s">
        <v>159</v>
      </c>
    </row>
    <row r="29" spans="3:5" x14ac:dyDescent="0.25">
      <c r="C29" s="3" t="s">
        <v>197</v>
      </c>
      <c r="D29" s="134" t="s">
        <v>159</v>
      </c>
    </row>
    <row r="30" spans="3:5" x14ac:dyDescent="0.25">
      <c r="C30" s="3" t="s">
        <v>198</v>
      </c>
      <c r="D30" s="134" t="s">
        <v>199</v>
      </c>
    </row>
    <row r="31" spans="3:5" x14ac:dyDescent="0.25">
      <c r="C31" s="3" t="s">
        <v>200</v>
      </c>
      <c r="D31" s="134" t="s">
        <v>201</v>
      </c>
    </row>
    <row r="32" spans="3:5" x14ac:dyDescent="0.25">
      <c r="C32" s="3" t="s">
        <v>202</v>
      </c>
      <c r="D32" s="134" t="s">
        <v>203</v>
      </c>
    </row>
    <row r="33" spans="1:4" x14ac:dyDescent="0.25">
      <c r="C33" s="3" t="s">
        <v>204</v>
      </c>
      <c r="D33" s="134" t="s">
        <v>205</v>
      </c>
    </row>
    <row r="34" spans="1:4" x14ac:dyDescent="0.25">
      <c r="C34" s="3" t="s">
        <v>206</v>
      </c>
      <c r="D34" s="134" t="s">
        <v>207</v>
      </c>
    </row>
    <row r="35" spans="1:4" x14ac:dyDescent="0.25">
      <c r="C35" s="3" t="s">
        <v>208</v>
      </c>
      <c r="D35" s="134" t="s">
        <v>209</v>
      </c>
    </row>
    <row r="36" spans="1:4" x14ac:dyDescent="0.25">
      <c r="C36" s="3" t="s">
        <v>210</v>
      </c>
      <c r="D36" s="134" t="s">
        <v>155</v>
      </c>
    </row>
    <row r="37" spans="1:4" x14ac:dyDescent="0.25">
      <c r="C37" s="3" t="s">
        <v>211</v>
      </c>
      <c r="D37" s="134" t="s">
        <v>212</v>
      </c>
    </row>
    <row r="38" spans="1:4" x14ac:dyDescent="0.25">
      <c r="C38" s="3" t="s">
        <v>213</v>
      </c>
      <c r="D38" s="134" t="s">
        <v>214</v>
      </c>
    </row>
    <row r="39" spans="1:4" x14ac:dyDescent="0.25">
      <c r="C39" s="3"/>
    </row>
    <row r="40" spans="1:4" x14ac:dyDescent="0.25">
      <c r="A40" t="s">
        <v>215</v>
      </c>
    </row>
    <row r="41" spans="1:4" x14ac:dyDescent="0.25">
      <c r="C41" s="3" t="s">
        <v>216</v>
      </c>
      <c r="D41" s="134" t="s">
        <v>217</v>
      </c>
    </row>
    <row r="42" spans="1:4" x14ac:dyDescent="0.25">
      <c r="C42" s="3" t="s">
        <v>218</v>
      </c>
      <c r="D42" s="134" t="s">
        <v>219</v>
      </c>
    </row>
    <row r="43" spans="1:4" x14ac:dyDescent="0.25">
      <c r="C43" s="3" t="s">
        <v>220</v>
      </c>
      <c r="D43" s="134" t="s">
        <v>155</v>
      </c>
    </row>
    <row r="44" spans="1:4" x14ac:dyDescent="0.25">
      <c r="C44" s="3" t="s">
        <v>221</v>
      </c>
      <c r="D44" s="134" t="s">
        <v>155</v>
      </c>
    </row>
    <row r="45" spans="1:4" ht="30" x14ac:dyDescent="0.25">
      <c r="C45" s="3" t="s">
        <v>222</v>
      </c>
      <c r="D45" s="134" t="s">
        <v>223</v>
      </c>
    </row>
    <row r="46" spans="1:4" x14ac:dyDescent="0.25">
      <c r="C46" s="3" t="s">
        <v>224</v>
      </c>
      <c r="D46" s="134" t="s">
        <v>155</v>
      </c>
    </row>
    <row r="47" spans="1:4" x14ac:dyDescent="0.25">
      <c r="C47" s="3" t="s">
        <v>225</v>
      </c>
      <c r="D47" s="134" t="s">
        <v>155</v>
      </c>
    </row>
    <row r="48" spans="1:4" x14ac:dyDescent="0.25">
      <c r="A48" t="s">
        <v>215</v>
      </c>
    </row>
    <row r="49" spans="1:10" x14ac:dyDescent="0.25">
      <c r="C49" s="3" t="s">
        <v>226</v>
      </c>
      <c r="D49" s="134">
        <v>8</v>
      </c>
    </row>
    <row r="50" spans="1:10" x14ac:dyDescent="0.25">
      <c r="C50" s="3" t="s">
        <v>227</v>
      </c>
      <c r="D50" s="134" t="s">
        <v>228</v>
      </c>
    </row>
    <row r="51" spans="1:10" x14ac:dyDescent="0.25">
      <c r="C51" s="3" t="s">
        <v>229</v>
      </c>
      <c r="D51" s="134" t="s">
        <v>230</v>
      </c>
    </row>
    <row r="52" spans="1:10" x14ac:dyDescent="0.25">
      <c r="C52" s="3" t="s">
        <v>231</v>
      </c>
      <c r="D52" s="134" t="s">
        <v>230</v>
      </c>
    </row>
    <row r="53" spans="1:10" x14ac:dyDescent="0.25">
      <c r="C53" s="3" t="s">
        <v>232</v>
      </c>
      <c r="D53" s="134" t="s">
        <v>233</v>
      </c>
      <c r="E53" t="s">
        <v>12</v>
      </c>
    </row>
    <row r="54" spans="1:10" x14ac:dyDescent="0.25">
      <c r="C54" s="3" t="s">
        <v>234</v>
      </c>
      <c r="D54" s="134" t="s">
        <v>155</v>
      </c>
    </row>
    <row r="55" spans="1:10" x14ac:dyDescent="0.25">
      <c r="C55" s="3" t="s">
        <v>235</v>
      </c>
      <c r="D55" s="134" t="s">
        <v>155</v>
      </c>
    </row>
    <row r="56" spans="1:10" x14ac:dyDescent="0.25">
      <c r="C56" s="3" t="s">
        <v>236</v>
      </c>
      <c r="D56" s="134" t="s">
        <v>237</v>
      </c>
    </row>
    <row r="57" spans="1:10" x14ac:dyDescent="0.25">
      <c r="C57" s="3" t="s">
        <v>238</v>
      </c>
      <c r="D57" s="134" t="s">
        <v>155</v>
      </c>
    </row>
    <row r="58" spans="1:10" x14ac:dyDescent="0.25">
      <c r="C58" s="3" t="s">
        <v>239</v>
      </c>
      <c r="D58" s="134" t="s">
        <v>155</v>
      </c>
    </row>
    <row r="59" spans="1:10" x14ac:dyDescent="0.25">
      <c r="C59" s="3" t="s">
        <v>240</v>
      </c>
      <c r="D59" s="134" t="s">
        <v>155</v>
      </c>
    </row>
    <row r="60" spans="1:10" x14ac:dyDescent="0.25">
      <c r="C60" s="3" t="s">
        <v>241</v>
      </c>
      <c r="D60" s="134" t="s">
        <v>155</v>
      </c>
    </row>
    <row r="61" spans="1:10" x14ac:dyDescent="0.25">
      <c r="C61" s="3" t="s">
        <v>242</v>
      </c>
      <c r="D61" s="134" t="s">
        <v>155</v>
      </c>
    </row>
    <row r="63" spans="1:10" x14ac:dyDescent="0.25">
      <c r="A63" t="s">
        <v>124</v>
      </c>
      <c r="C63" s="3"/>
    </row>
    <row r="64" spans="1:10" ht="30" x14ac:dyDescent="0.25">
      <c r="B64" s="142" t="s">
        <v>243</v>
      </c>
      <c r="C64" s="142" t="s">
        <v>244</v>
      </c>
      <c r="D64" s="143" t="s">
        <v>167</v>
      </c>
      <c r="E64" s="143" t="s">
        <v>169</v>
      </c>
      <c r="F64" s="142" t="s">
        <v>245</v>
      </c>
      <c r="G64" s="143" t="s">
        <v>246</v>
      </c>
      <c r="H64" s="143" t="s">
        <v>247</v>
      </c>
      <c r="I64" s="142" t="s">
        <v>248</v>
      </c>
      <c r="J64" s="143" t="s">
        <v>249</v>
      </c>
    </row>
    <row r="65" spans="1:10" ht="45" x14ac:dyDescent="0.25">
      <c r="B65" t="s">
        <v>7</v>
      </c>
      <c r="C65" s="3" t="s">
        <v>12</v>
      </c>
      <c r="D65" s="134" t="s">
        <v>7</v>
      </c>
      <c r="E65" t="s">
        <v>250</v>
      </c>
      <c r="F65" t="s">
        <v>155</v>
      </c>
      <c r="G65" s="135" t="s">
        <v>155</v>
      </c>
      <c r="H65" s="135" t="s">
        <v>251</v>
      </c>
      <c r="I65" t="s">
        <v>252</v>
      </c>
      <c r="J65" s="135" t="s">
        <v>155</v>
      </c>
    </row>
    <row r="66" spans="1:10" ht="30" x14ac:dyDescent="0.25">
      <c r="B66" t="s">
        <v>253</v>
      </c>
      <c r="C66" s="3" t="s">
        <v>12</v>
      </c>
      <c r="D66" s="134" t="s">
        <v>13</v>
      </c>
      <c r="E66" t="s">
        <v>250</v>
      </c>
      <c r="F66" t="s">
        <v>155</v>
      </c>
      <c r="G66" s="135" t="s">
        <v>155</v>
      </c>
      <c r="H66" s="135" t="s">
        <v>254</v>
      </c>
      <c r="I66" t="s">
        <v>252</v>
      </c>
      <c r="J66" s="135" t="s">
        <v>155</v>
      </c>
    </row>
    <row r="67" spans="1:10" x14ac:dyDescent="0.25">
      <c r="B67" t="s">
        <v>4</v>
      </c>
      <c r="C67" s="3" t="s">
        <v>12</v>
      </c>
      <c r="D67" s="134" t="s">
        <v>4</v>
      </c>
      <c r="E67" t="s">
        <v>250</v>
      </c>
      <c r="F67" t="s">
        <v>155</v>
      </c>
      <c r="G67" t="s">
        <v>155</v>
      </c>
    </row>
    <row r="68" spans="1:10" x14ac:dyDescent="0.25">
      <c r="B68" t="s">
        <v>255</v>
      </c>
      <c r="C68" s="3" t="s">
        <v>12</v>
      </c>
      <c r="D68" s="134" t="s">
        <v>4</v>
      </c>
      <c r="E68" t="s">
        <v>250</v>
      </c>
      <c r="F68" t="s">
        <v>155</v>
      </c>
      <c r="G68" t="s">
        <v>155</v>
      </c>
    </row>
    <row r="69" spans="1:10" x14ac:dyDescent="0.25">
      <c r="B69" t="s">
        <v>256</v>
      </c>
      <c r="C69" s="3" t="s">
        <v>12</v>
      </c>
      <c r="D69" s="134" t="s">
        <v>14</v>
      </c>
      <c r="E69" t="s">
        <v>250</v>
      </c>
      <c r="F69" t="s">
        <v>155</v>
      </c>
      <c r="G69" t="s">
        <v>155</v>
      </c>
    </row>
    <row r="70" spans="1:10" s="135" customFormat="1" x14ac:dyDescent="0.25">
      <c r="A70"/>
      <c r="B70" t="s">
        <v>6</v>
      </c>
      <c r="C70" s="3" t="s">
        <v>12</v>
      </c>
      <c r="D70" s="134" t="s">
        <v>6</v>
      </c>
      <c r="E70" t="s">
        <v>250</v>
      </c>
      <c r="F70" t="s">
        <v>155</v>
      </c>
      <c r="G70" t="s">
        <v>155</v>
      </c>
      <c r="I70"/>
    </row>
    <row r="71" spans="1:10" s="135" customFormat="1" x14ac:dyDescent="0.25">
      <c r="A71"/>
      <c r="B71" t="s">
        <v>5</v>
      </c>
      <c r="C71" s="3" t="s">
        <v>12</v>
      </c>
      <c r="D71" s="134" t="s">
        <v>5</v>
      </c>
      <c r="E71" t="s">
        <v>175</v>
      </c>
      <c r="F71" t="s">
        <v>155</v>
      </c>
      <c r="G71" t="s">
        <v>155</v>
      </c>
      <c r="I71"/>
    </row>
    <row r="72" spans="1:10" s="135" customFormat="1" x14ac:dyDescent="0.25">
      <c r="A72"/>
      <c r="B72" t="s">
        <v>257</v>
      </c>
      <c r="C72" s="3" t="s">
        <v>12</v>
      </c>
      <c r="D72" s="134" t="s">
        <v>15</v>
      </c>
      <c r="E72" t="s">
        <v>175</v>
      </c>
      <c r="F72" t="s">
        <v>155</v>
      </c>
      <c r="G72" t="s">
        <v>155</v>
      </c>
      <c r="I72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A023B-5E8B-4E64-B788-6456C7CCB74D}">
  <dimension ref="A1:B55"/>
  <sheetViews>
    <sheetView workbookViewId="0"/>
  </sheetViews>
  <sheetFormatPr defaultRowHeight="15" x14ac:dyDescent="0.25"/>
  <cols>
    <col min="1" max="1" width="20.140625" bestFit="1" customWidth="1"/>
    <col min="2" max="2" width="30.7109375" bestFit="1" customWidth="1"/>
  </cols>
  <sheetData>
    <row r="1" spans="1:2" x14ac:dyDescent="0.25">
      <c r="A1" s="63" t="s">
        <v>19</v>
      </c>
      <c r="B1" s="64" t="s">
        <v>549</v>
      </c>
    </row>
    <row r="2" spans="1:2" x14ac:dyDescent="0.25">
      <c r="A2" s="33" t="s">
        <v>103</v>
      </c>
      <c r="B2" s="55" t="s">
        <v>260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258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524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233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900</v>
      </c>
    </row>
    <row r="17" spans="1:2" x14ac:dyDescent="0.25">
      <c r="A17" s="33" t="s">
        <v>114</v>
      </c>
      <c r="B17" s="55">
        <v>83.61</v>
      </c>
    </row>
    <row r="18" spans="1:2" x14ac:dyDescent="0.25">
      <c r="A18" s="33" t="s">
        <v>115</v>
      </c>
      <c r="B18" s="55" t="s">
        <v>550</v>
      </c>
    </row>
    <row r="19" spans="1:2" x14ac:dyDescent="0.25">
      <c r="A19" s="33" t="s">
        <v>116</v>
      </c>
      <c r="B19" s="55" t="s">
        <v>551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552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77.769405843849086</v>
      </c>
    </row>
    <row r="28" spans="1:2" x14ac:dyDescent="0.25">
      <c r="A28" s="54">
        <v>0</v>
      </c>
      <c r="B28" s="53">
        <v>77.769405843849086</v>
      </c>
    </row>
    <row r="29" spans="1:2" x14ac:dyDescent="0.25">
      <c r="A29" s="54">
        <v>0.03</v>
      </c>
      <c r="B29" s="53">
        <v>339.05902811415012</v>
      </c>
    </row>
    <row r="30" spans="1:2" x14ac:dyDescent="0.25">
      <c r="A30" s="54">
        <v>0.05</v>
      </c>
      <c r="B30" s="53">
        <v>451.59133480918564</v>
      </c>
    </row>
    <row r="31" spans="1:2" x14ac:dyDescent="0.25">
      <c r="A31" s="54">
        <v>0.1</v>
      </c>
      <c r="B31" s="53">
        <v>490.79458981709718</v>
      </c>
    </row>
    <row r="32" spans="1:2" x14ac:dyDescent="0.25">
      <c r="A32" s="54">
        <v>0.15</v>
      </c>
      <c r="B32" s="53">
        <v>565.09071947204188</v>
      </c>
    </row>
    <row r="33" spans="1:2" x14ac:dyDescent="0.25">
      <c r="A33" s="54">
        <v>0.3</v>
      </c>
      <c r="B33" s="53">
        <v>565.09071947204188</v>
      </c>
    </row>
    <row r="34" spans="1:2" x14ac:dyDescent="0.25">
      <c r="A34" s="54">
        <v>0.46</v>
      </c>
      <c r="B34" s="53">
        <v>643.0951434411279</v>
      </c>
    </row>
    <row r="35" spans="1:2" x14ac:dyDescent="0.25">
      <c r="A35" s="54">
        <v>0.61</v>
      </c>
      <c r="B35" s="53">
        <v>661.12864792071048</v>
      </c>
    </row>
    <row r="36" spans="1:2" x14ac:dyDescent="0.25">
      <c r="A36" s="54">
        <v>0.76</v>
      </c>
      <c r="B36" s="53">
        <v>709.57368079251091</v>
      </c>
    </row>
    <row r="37" spans="1:2" x14ac:dyDescent="0.25">
      <c r="A37" s="54">
        <v>0.91</v>
      </c>
      <c r="B37" s="53">
        <v>853.10713922645664</v>
      </c>
    </row>
    <row r="38" spans="1:2" x14ac:dyDescent="0.25">
      <c r="A38" s="54">
        <v>1.02</v>
      </c>
      <c r="B38" s="53">
        <v>868.76546625093977</v>
      </c>
    </row>
    <row r="39" spans="1:2" x14ac:dyDescent="0.25">
      <c r="A39" s="54">
        <v>1.22</v>
      </c>
      <c r="B39" s="53">
        <v>873.10105163449987</v>
      </c>
    </row>
    <row r="40" spans="1:2" x14ac:dyDescent="0.25">
      <c r="A40" s="54">
        <v>1.52</v>
      </c>
      <c r="B40" s="53">
        <v>895.03496837202897</v>
      </c>
    </row>
    <row r="41" spans="1:2" x14ac:dyDescent="0.25">
      <c r="A41" s="54">
        <v>1.83</v>
      </c>
      <c r="B41" s="53">
        <v>895.03496837202897</v>
      </c>
    </row>
    <row r="42" spans="1:2" x14ac:dyDescent="0.25">
      <c r="A42" s="54">
        <v>2.7</v>
      </c>
      <c r="B42" s="53">
        <v>895.03496837202897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B101B-AEA1-4796-BDBE-B5E41F190D83}">
  <dimension ref="A1:B55"/>
  <sheetViews>
    <sheetView workbookViewId="0"/>
  </sheetViews>
  <sheetFormatPr defaultRowHeight="15" x14ac:dyDescent="0.25"/>
  <cols>
    <col min="1" max="1" width="20.140625" bestFit="1" customWidth="1"/>
    <col min="2" max="2" width="30.7109375" bestFit="1" customWidth="1"/>
  </cols>
  <sheetData>
    <row r="1" spans="1:2" x14ac:dyDescent="0.25">
      <c r="A1" s="63" t="s">
        <v>19</v>
      </c>
      <c r="B1" s="64" t="s">
        <v>553</v>
      </c>
    </row>
    <row r="2" spans="1:2" x14ac:dyDescent="0.25">
      <c r="A2" s="33" t="s">
        <v>103</v>
      </c>
      <c r="B2" s="55" t="s">
        <v>260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258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524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233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900</v>
      </c>
    </row>
    <row r="17" spans="1:2" x14ac:dyDescent="0.25">
      <c r="A17" s="33" t="s">
        <v>114</v>
      </c>
      <c r="B17" s="55">
        <v>83.61</v>
      </c>
    </row>
    <row r="18" spans="1:2" x14ac:dyDescent="0.25">
      <c r="A18" s="33" t="s">
        <v>115</v>
      </c>
      <c r="B18" s="55" t="s">
        <v>550</v>
      </c>
    </row>
    <row r="19" spans="1:2" x14ac:dyDescent="0.25">
      <c r="A19" s="33" t="s">
        <v>116</v>
      </c>
      <c r="B19" s="55" t="s">
        <v>551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552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6502.51</v>
      </c>
    </row>
    <row r="28" spans="1:2" x14ac:dyDescent="0.25">
      <c r="A28" s="54">
        <v>0</v>
      </c>
      <c r="B28" s="53">
        <v>6502.51</v>
      </c>
    </row>
    <row r="29" spans="1:2" x14ac:dyDescent="0.25">
      <c r="A29" s="54">
        <v>0.03</v>
      </c>
      <c r="B29" s="53">
        <v>28349.640800000001</v>
      </c>
    </row>
    <row r="30" spans="1:2" x14ac:dyDescent="0.25">
      <c r="A30" s="54">
        <v>0.05</v>
      </c>
      <c r="B30" s="53">
        <v>37758.770799999998</v>
      </c>
    </row>
    <row r="31" spans="1:2" x14ac:dyDescent="0.25">
      <c r="A31" s="54">
        <v>0.1</v>
      </c>
      <c r="B31" s="53">
        <v>41036.660800000005</v>
      </c>
    </row>
    <row r="32" spans="1:2" x14ac:dyDescent="0.25">
      <c r="A32" s="54">
        <v>0.15</v>
      </c>
      <c r="B32" s="53">
        <v>47248.760799999996</v>
      </c>
    </row>
    <row r="33" spans="1:2" x14ac:dyDescent="0.25">
      <c r="A33" s="54">
        <v>0.3</v>
      </c>
      <c r="B33" s="53">
        <v>47248.760799999996</v>
      </c>
    </row>
    <row r="34" spans="1:2" x14ac:dyDescent="0.25">
      <c r="A34" s="54">
        <v>0.46</v>
      </c>
      <c r="B34" s="53">
        <v>53770.921300000002</v>
      </c>
    </row>
    <row r="35" spans="1:2" x14ac:dyDescent="0.25">
      <c r="A35" s="54">
        <v>0.61</v>
      </c>
      <c r="B35" s="53">
        <v>55278.751299999989</v>
      </c>
    </row>
    <row r="36" spans="1:2" x14ac:dyDescent="0.25">
      <c r="A36" s="54">
        <v>0.76</v>
      </c>
      <c r="B36" s="53">
        <v>59329.371299999984</v>
      </c>
    </row>
    <row r="37" spans="1:2" x14ac:dyDescent="0.25">
      <c r="A37" s="54">
        <v>0.91</v>
      </c>
      <c r="B37" s="53">
        <v>71330.591299999956</v>
      </c>
    </row>
    <row r="38" spans="1:2" x14ac:dyDescent="0.25">
      <c r="A38" s="54">
        <v>1.02</v>
      </c>
      <c r="B38" s="53">
        <v>72639.826299999957</v>
      </c>
    </row>
    <row r="39" spans="1:2" x14ac:dyDescent="0.25">
      <c r="A39" s="54">
        <v>1.22</v>
      </c>
      <c r="B39" s="53">
        <v>73002.336299999952</v>
      </c>
    </row>
    <row r="40" spans="1:2" x14ac:dyDescent="0.25">
      <c r="A40" s="54">
        <v>1.52</v>
      </c>
      <c r="B40" s="53">
        <v>74836.29029999995</v>
      </c>
    </row>
    <row r="41" spans="1:2" x14ac:dyDescent="0.25">
      <c r="A41" s="54">
        <v>1.83</v>
      </c>
      <c r="B41" s="53">
        <v>74836.29029999995</v>
      </c>
    </row>
    <row r="42" spans="1:2" x14ac:dyDescent="0.25">
      <c r="A42" s="54">
        <v>2.7</v>
      </c>
      <c r="B42" s="53">
        <v>74836.29029999995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D3" sqref="D3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263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4" t="s">
        <v>259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4" t="s">
        <v>258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5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5" t="s">
        <v>61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5" t="s">
        <v>12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5" t="s">
        <v>261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5" t="s">
        <v>262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4" t="s">
        <v>524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263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263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540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540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540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540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540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554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0A5F7-02D0-4093-835A-81D94858F9D5}">
  <dimension ref="A1:AZ201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8" bestFit="1" customWidth="1"/>
    <col min="9" max="9" width="5.42578125" bestFit="1" customWidth="1"/>
    <col min="10" max="10" width="9" bestFit="1" customWidth="1"/>
  </cols>
  <sheetData>
    <row r="1" spans="1:52" x14ac:dyDescent="0.25">
      <c r="P1" s="149" t="s">
        <v>545</v>
      </c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1"/>
      <c r="AJ1" s="149" t="s">
        <v>546</v>
      </c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1"/>
    </row>
    <row r="2" spans="1:52" x14ac:dyDescent="0.25">
      <c r="A2" s="146" t="s">
        <v>264</v>
      </c>
      <c r="B2" s="147" t="s">
        <v>265</v>
      </c>
      <c r="C2" s="147" t="s">
        <v>266</v>
      </c>
      <c r="D2" s="147" t="s">
        <v>267</v>
      </c>
      <c r="E2" s="147" t="s">
        <v>268</v>
      </c>
      <c r="F2" s="147" t="s">
        <v>269</v>
      </c>
      <c r="G2" s="147" t="s">
        <v>270</v>
      </c>
      <c r="H2" s="147" t="s">
        <v>271</v>
      </c>
      <c r="I2" s="147" t="s">
        <v>272</v>
      </c>
      <c r="J2" s="147" t="s">
        <v>273</v>
      </c>
      <c r="K2" s="147" t="s">
        <v>442</v>
      </c>
      <c r="L2" s="147" t="s">
        <v>157</v>
      </c>
      <c r="M2" s="147" t="s">
        <v>443</v>
      </c>
      <c r="N2" s="147" t="s">
        <v>541</v>
      </c>
      <c r="O2" s="148" t="s">
        <v>542</v>
      </c>
      <c r="P2" s="146">
        <v>-0.9</v>
      </c>
      <c r="Q2" s="147">
        <v>-0.46</v>
      </c>
      <c r="R2" s="147">
        <v>0</v>
      </c>
      <c r="S2" s="147">
        <v>0.03</v>
      </c>
      <c r="T2" s="147">
        <v>0.05</v>
      </c>
      <c r="U2" s="147">
        <v>0.1</v>
      </c>
      <c r="V2" s="147">
        <v>0.15</v>
      </c>
      <c r="W2" s="147">
        <v>0.3</v>
      </c>
      <c r="X2" s="147">
        <v>0.46</v>
      </c>
      <c r="Y2" s="147">
        <v>0.61</v>
      </c>
      <c r="Z2" s="147">
        <v>0.76</v>
      </c>
      <c r="AA2" s="147">
        <v>0.91</v>
      </c>
      <c r="AB2" s="147">
        <v>1.02</v>
      </c>
      <c r="AC2" s="147">
        <v>1.22</v>
      </c>
      <c r="AD2" s="147">
        <v>1.52</v>
      </c>
      <c r="AE2" s="147">
        <v>1.83</v>
      </c>
      <c r="AF2" s="147">
        <v>2.7</v>
      </c>
      <c r="AG2" s="147" t="s">
        <v>543</v>
      </c>
      <c r="AH2" s="147" t="s">
        <v>544</v>
      </c>
      <c r="AI2" s="147" t="s">
        <v>101</v>
      </c>
      <c r="AJ2" s="147">
        <v>-0.9</v>
      </c>
      <c r="AK2" s="147">
        <v>-0.46</v>
      </c>
      <c r="AL2" s="147">
        <v>0</v>
      </c>
      <c r="AM2" s="147">
        <v>0.03</v>
      </c>
      <c r="AN2" s="147">
        <v>0.05</v>
      </c>
      <c r="AO2" s="147">
        <v>0.1</v>
      </c>
      <c r="AP2" s="147">
        <v>0.15</v>
      </c>
      <c r="AQ2" s="147">
        <v>0.3</v>
      </c>
      <c r="AR2" s="147">
        <v>0.46</v>
      </c>
      <c r="AS2" s="147">
        <v>0.61</v>
      </c>
      <c r="AT2" s="147">
        <v>0.76</v>
      </c>
      <c r="AU2" s="147">
        <v>0.91</v>
      </c>
      <c r="AV2" s="147">
        <v>1.02</v>
      </c>
      <c r="AW2" s="147">
        <v>1.22</v>
      </c>
      <c r="AX2" s="147">
        <v>1.52</v>
      </c>
      <c r="AY2" s="147">
        <v>1.83</v>
      </c>
      <c r="AZ2" s="148">
        <v>2.7</v>
      </c>
    </row>
    <row r="3" spans="1:52" x14ac:dyDescent="0.25">
      <c r="A3">
        <v>1</v>
      </c>
      <c r="B3" t="s">
        <v>274</v>
      </c>
      <c r="C3" t="s">
        <v>275</v>
      </c>
      <c r="D3">
        <v>28</v>
      </c>
      <c r="E3">
        <v>70</v>
      </c>
      <c r="F3" t="s">
        <v>276</v>
      </c>
      <c r="G3">
        <v>2.5</v>
      </c>
      <c r="H3">
        <v>84</v>
      </c>
      <c r="I3" t="s">
        <v>277</v>
      </c>
      <c r="J3" t="s">
        <v>278</v>
      </c>
      <c r="K3" t="s">
        <v>444</v>
      </c>
      <c r="L3" t="s">
        <v>199</v>
      </c>
      <c r="M3" t="s">
        <v>445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445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84</v>
      </c>
      <c r="AV3">
        <f>$H$3*$AB$3</f>
        <v>84</v>
      </c>
      <c r="AW3">
        <f>$H$3*$AC$3</f>
        <v>84</v>
      </c>
      <c r="AX3">
        <f>$H$3*$AD$3</f>
        <v>84</v>
      </c>
      <c r="AY3">
        <f>$H$3*$AE$3</f>
        <v>84</v>
      </c>
      <c r="AZ3">
        <f>$H$3*$AF$3</f>
        <v>84</v>
      </c>
    </row>
    <row r="4" spans="1:52" x14ac:dyDescent="0.25">
      <c r="A4">
        <v>2</v>
      </c>
      <c r="B4" t="s">
        <v>274</v>
      </c>
      <c r="C4" t="s">
        <v>279</v>
      </c>
      <c r="D4">
        <v>28</v>
      </c>
      <c r="E4">
        <v>93.24</v>
      </c>
      <c r="F4" t="s">
        <v>276</v>
      </c>
      <c r="G4">
        <v>3.33</v>
      </c>
      <c r="H4">
        <v>111.88</v>
      </c>
      <c r="I4" t="s">
        <v>280</v>
      </c>
      <c r="J4" t="s">
        <v>278</v>
      </c>
      <c r="K4" t="s">
        <v>446</v>
      </c>
      <c r="L4" t="s">
        <v>199</v>
      </c>
      <c r="M4" t="s">
        <v>445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445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111.88</v>
      </c>
      <c r="AV4">
        <f>$H$4*$AB$4</f>
        <v>111.88</v>
      </c>
      <c r="AW4">
        <f>$H$4*$AC$4</f>
        <v>111.88</v>
      </c>
      <c r="AX4">
        <f>$H$4*$AD$4</f>
        <v>111.88</v>
      </c>
      <c r="AY4">
        <f>$H$4*$AE$4</f>
        <v>111.88</v>
      </c>
      <c r="AZ4">
        <f>$H$4*$AF$4</f>
        <v>111.88</v>
      </c>
    </row>
    <row r="5" spans="1:52" x14ac:dyDescent="0.25">
      <c r="A5">
        <v>4</v>
      </c>
      <c r="B5" t="s">
        <v>274</v>
      </c>
      <c r="C5" t="s">
        <v>282</v>
      </c>
      <c r="D5">
        <v>1</v>
      </c>
      <c r="E5">
        <v>39.700000000000003</v>
      </c>
      <c r="F5" t="s">
        <v>281</v>
      </c>
      <c r="G5">
        <v>39.700000000000003</v>
      </c>
      <c r="H5">
        <v>47.64</v>
      </c>
      <c r="I5" t="s">
        <v>283</v>
      </c>
      <c r="J5" t="s">
        <v>284</v>
      </c>
      <c r="K5" t="s">
        <v>447</v>
      </c>
      <c r="L5" t="s">
        <v>199</v>
      </c>
      <c r="M5" t="s">
        <v>445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445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47.64</v>
      </c>
      <c r="AY5">
        <f>$H$5*$AE$5</f>
        <v>47.64</v>
      </c>
      <c r="AZ5">
        <f>$H$5*$AF$5</f>
        <v>47.64</v>
      </c>
    </row>
    <row r="6" spans="1:52" x14ac:dyDescent="0.25">
      <c r="A6">
        <v>5</v>
      </c>
      <c r="B6" t="s">
        <v>274</v>
      </c>
      <c r="C6" t="s">
        <v>285</v>
      </c>
      <c r="D6">
        <v>1</v>
      </c>
      <c r="E6">
        <v>98.26</v>
      </c>
      <c r="F6" t="s">
        <v>281</v>
      </c>
      <c r="G6">
        <v>98.26</v>
      </c>
      <c r="H6">
        <v>117.92</v>
      </c>
      <c r="I6" t="s">
        <v>286</v>
      </c>
      <c r="J6" t="s">
        <v>287</v>
      </c>
      <c r="K6" t="s">
        <v>448</v>
      </c>
      <c r="L6" t="s">
        <v>199</v>
      </c>
      <c r="M6" t="s">
        <v>445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445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117.92</v>
      </c>
      <c r="AY6">
        <f>$H$6*$AE$6</f>
        <v>117.92</v>
      </c>
      <c r="AZ6">
        <f>$H$6*$AF$6</f>
        <v>117.92</v>
      </c>
    </row>
    <row r="7" spans="1:52" x14ac:dyDescent="0.25">
      <c r="A7">
        <v>6</v>
      </c>
      <c r="B7" t="s">
        <v>274</v>
      </c>
      <c r="C7" t="s">
        <v>288</v>
      </c>
      <c r="D7">
        <v>1</v>
      </c>
      <c r="E7">
        <v>75.02</v>
      </c>
      <c r="F7" t="s">
        <v>281</v>
      </c>
      <c r="G7">
        <v>75.02</v>
      </c>
      <c r="H7">
        <v>90.02</v>
      </c>
      <c r="I7" t="s">
        <v>289</v>
      </c>
      <c r="J7" t="s">
        <v>290</v>
      </c>
      <c r="K7" t="s">
        <v>449</v>
      </c>
      <c r="L7" t="s">
        <v>199</v>
      </c>
      <c r="M7" t="s">
        <v>445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445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15</v>
      </c>
      <c r="B8" t="s">
        <v>274</v>
      </c>
      <c r="C8" t="s">
        <v>293</v>
      </c>
      <c r="D8">
        <v>1</v>
      </c>
      <c r="E8">
        <v>1250.1400000000001</v>
      </c>
      <c r="F8" t="s">
        <v>281</v>
      </c>
      <c r="G8">
        <v>1250.1400000000001</v>
      </c>
      <c r="H8">
        <v>1500.16</v>
      </c>
      <c r="I8" t="s">
        <v>292</v>
      </c>
      <c r="J8" t="s">
        <v>294</v>
      </c>
      <c r="K8" t="s">
        <v>450</v>
      </c>
      <c r="L8" t="s">
        <v>199</v>
      </c>
      <c r="M8" t="s">
        <v>451</v>
      </c>
      <c r="N8" t="s">
        <v>26</v>
      </c>
      <c r="O8" t="s">
        <v>67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451</v>
      </c>
      <c r="AH8" t="s">
        <v>26</v>
      </c>
      <c r="AI8" t="s">
        <v>67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1500.16</v>
      </c>
      <c r="AP8">
        <f>$H$8*$V$8</f>
        <v>1500.16</v>
      </c>
      <c r="AQ8">
        <f>$H$8*$W$8</f>
        <v>1500.16</v>
      </c>
      <c r="AR8">
        <f>$H$8*$X$8</f>
        <v>1500.16</v>
      </c>
      <c r="AS8">
        <f>$H$8*$Y$8</f>
        <v>1500.16</v>
      </c>
      <c r="AT8">
        <f>$H$8*$Z$8</f>
        <v>1500.16</v>
      </c>
      <c r="AU8">
        <f>$H$8*$AA$8</f>
        <v>1500.16</v>
      </c>
      <c r="AV8">
        <f>$H$8*$AB$8</f>
        <v>1500.16</v>
      </c>
      <c r="AW8">
        <f>$H$8*$AC$8</f>
        <v>1500.16</v>
      </c>
      <c r="AX8">
        <f>$H$8*$AD$8</f>
        <v>1500.16</v>
      </c>
      <c r="AY8">
        <f>$H$8*$AE$8</f>
        <v>1500.16</v>
      </c>
      <c r="AZ8">
        <f>$H$8*$AF$8</f>
        <v>1500.16</v>
      </c>
    </row>
    <row r="9" spans="1:52" x14ac:dyDescent="0.25">
      <c r="A9">
        <v>20</v>
      </c>
      <c r="B9" t="s">
        <v>274</v>
      </c>
      <c r="C9" t="s">
        <v>295</v>
      </c>
      <c r="D9">
        <v>15</v>
      </c>
      <c r="E9">
        <v>66.599999999999994</v>
      </c>
      <c r="F9" t="s">
        <v>276</v>
      </c>
      <c r="G9">
        <v>4.4400000000000004</v>
      </c>
      <c r="H9">
        <v>79.92</v>
      </c>
      <c r="I9" t="s">
        <v>277</v>
      </c>
      <c r="J9" t="s">
        <v>296</v>
      </c>
      <c r="K9" t="s">
        <v>452</v>
      </c>
      <c r="L9" t="s">
        <v>199</v>
      </c>
      <c r="M9" t="s">
        <v>445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445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79.92</v>
      </c>
      <c r="AV9">
        <f>$H$9*$AB$9</f>
        <v>79.92</v>
      </c>
      <c r="AW9">
        <f>$H$9*$AC$9</f>
        <v>79.92</v>
      </c>
      <c r="AX9">
        <f>$H$9*$AD$9</f>
        <v>79.92</v>
      </c>
      <c r="AY9">
        <f>$H$9*$AE$9</f>
        <v>79.92</v>
      </c>
      <c r="AZ9">
        <f>$H$9*$AF$9</f>
        <v>79.92</v>
      </c>
    </row>
    <row r="10" spans="1:52" x14ac:dyDescent="0.25">
      <c r="A10">
        <v>21</v>
      </c>
      <c r="B10" t="s">
        <v>274</v>
      </c>
      <c r="C10" t="s">
        <v>297</v>
      </c>
      <c r="D10">
        <v>15</v>
      </c>
      <c r="E10">
        <v>173.25</v>
      </c>
      <c r="F10" t="s">
        <v>276</v>
      </c>
      <c r="G10">
        <v>11.55</v>
      </c>
      <c r="H10">
        <v>207.91</v>
      </c>
      <c r="I10" t="s">
        <v>280</v>
      </c>
      <c r="J10" t="s">
        <v>298</v>
      </c>
      <c r="K10" t="s">
        <v>453</v>
      </c>
      <c r="L10" t="s">
        <v>199</v>
      </c>
      <c r="M10" t="s">
        <v>445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445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207.91</v>
      </c>
      <c r="AV10">
        <f>$H$10*$AB$10</f>
        <v>207.91</v>
      </c>
      <c r="AW10">
        <f>$H$10*$AC$10</f>
        <v>207.91</v>
      </c>
      <c r="AX10">
        <f>$H$10*$AD$10</f>
        <v>207.91</v>
      </c>
      <c r="AY10">
        <f>$H$10*$AE$10</f>
        <v>207.91</v>
      </c>
      <c r="AZ10">
        <f>$H$10*$AF$10</f>
        <v>207.91</v>
      </c>
    </row>
    <row r="11" spans="1:52" x14ac:dyDescent="0.25">
      <c r="A11">
        <v>22</v>
      </c>
      <c r="B11" t="s">
        <v>274</v>
      </c>
      <c r="C11" t="s">
        <v>299</v>
      </c>
      <c r="D11">
        <v>86</v>
      </c>
      <c r="E11">
        <v>84.28</v>
      </c>
      <c r="F11" t="s">
        <v>291</v>
      </c>
      <c r="G11">
        <v>0.98</v>
      </c>
      <c r="H11">
        <v>101.14</v>
      </c>
      <c r="I11" t="s">
        <v>277</v>
      </c>
      <c r="J11" t="s">
        <v>300</v>
      </c>
      <c r="K11" t="s">
        <v>454</v>
      </c>
      <c r="L11" t="s">
        <v>199</v>
      </c>
      <c r="M11" t="s">
        <v>445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445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101.14</v>
      </c>
      <c r="AO11">
        <f>$H$11*$U$11</f>
        <v>101.14</v>
      </c>
      <c r="AP11">
        <f>$H$11*$V$11</f>
        <v>101.14</v>
      </c>
      <c r="AQ11">
        <f>$H$11*$W$11</f>
        <v>101.14</v>
      </c>
      <c r="AR11">
        <f>$H$11*$X$11</f>
        <v>101.14</v>
      </c>
      <c r="AS11">
        <f>$H$11*$Y$11</f>
        <v>101.14</v>
      </c>
      <c r="AT11">
        <f>$H$11*$Z$11</f>
        <v>101.14</v>
      </c>
      <c r="AU11">
        <f>$H$11*$AA$11</f>
        <v>101.14</v>
      </c>
      <c r="AV11">
        <f>$H$11*$AB$11</f>
        <v>101.14</v>
      </c>
      <c r="AW11">
        <f>$H$11*$AC$11</f>
        <v>101.14</v>
      </c>
      <c r="AX11">
        <f>$H$11*$AD$11</f>
        <v>101.14</v>
      </c>
      <c r="AY11">
        <f>$H$11*$AE$11</f>
        <v>101.14</v>
      </c>
      <c r="AZ11">
        <f>$H$11*$AF$11</f>
        <v>101.14</v>
      </c>
    </row>
    <row r="12" spans="1:52" x14ac:dyDescent="0.25">
      <c r="A12">
        <v>23</v>
      </c>
      <c r="B12" t="s">
        <v>274</v>
      </c>
      <c r="C12" t="s">
        <v>301</v>
      </c>
      <c r="D12">
        <v>86</v>
      </c>
      <c r="E12">
        <v>202.1</v>
      </c>
      <c r="F12" t="s">
        <v>291</v>
      </c>
      <c r="G12">
        <v>2.35</v>
      </c>
      <c r="H12">
        <v>242.52</v>
      </c>
      <c r="I12" t="s">
        <v>302</v>
      </c>
      <c r="J12" t="s">
        <v>303</v>
      </c>
      <c r="K12" t="s">
        <v>455</v>
      </c>
      <c r="L12" t="s">
        <v>199</v>
      </c>
      <c r="M12" t="s">
        <v>445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0.25</v>
      </c>
      <c r="T12">
        <v>0.25</v>
      </c>
      <c r="U12">
        <v>0.25</v>
      </c>
      <c r="V12">
        <v>0.25</v>
      </c>
      <c r="W12">
        <v>0.25</v>
      </c>
      <c r="X12">
        <v>0.5</v>
      </c>
      <c r="Y12">
        <v>0.5</v>
      </c>
      <c r="Z12">
        <v>0.5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445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60.63</v>
      </c>
      <c r="AN12">
        <f>$H$12*$T$12</f>
        <v>60.63</v>
      </c>
      <c r="AO12">
        <f>$H$12*$U$12</f>
        <v>60.63</v>
      </c>
      <c r="AP12">
        <f>$H$12*$V$12</f>
        <v>60.63</v>
      </c>
      <c r="AQ12">
        <f>$H$12*$W$12</f>
        <v>60.63</v>
      </c>
      <c r="AR12">
        <f>$H$12*$X$12</f>
        <v>121.26</v>
      </c>
      <c r="AS12">
        <f>$H$12*$Y$12</f>
        <v>121.26</v>
      </c>
      <c r="AT12">
        <f>$H$12*$Z$12</f>
        <v>121.26</v>
      </c>
      <c r="AU12">
        <f>$H$12*$AA$12</f>
        <v>242.52</v>
      </c>
      <c r="AV12">
        <f>$H$12*$AB$12</f>
        <v>242.52</v>
      </c>
      <c r="AW12">
        <f>$H$12*$AC$12</f>
        <v>242.52</v>
      </c>
      <c r="AX12">
        <f>$H$12*$AD$12</f>
        <v>242.52</v>
      </c>
      <c r="AY12">
        <f>$H$12*$AE$12</f>
        <v>242.52</v>
      </c>
      <c r="AZ12">
        <f>$H$12*$AF$12</f>
        <v>242.52</v>
      </c>
    </row>
    <row r="13" spans="1:52" x14ac:dyDescent="0.25">
      <c r="A13">
        <v>24</v>
      </c>
      <c r="B13" t="s">
        <v>274</v>
      </c>
      <c r="C13" t="s">
        <v>304</v>
      </c>
      <c r="D13">
        <v>1</v>
      </c>
      <c r="E13">
        <v>40.14</v>
      </c>
      <c r="F13" t="s">
        <v>281</v>
      </c>
      <c r="G13">
        <v>40.14</v>
      </c>
      <c r="H13">
        <v>48.16</v>
      </c>
      <c r="I13" t="s">
        <v>305</v>
      </c>
      <c r="J13" t="s">
        <v>306</v>
      </c>
      <c r="K13" t="s">
        <v>456</v>
      </c>
      <c r="L13" t="s">
        <v>199</v>
      </c>
      <c r="M13" t="s">
        <v>445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445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0</v>
      </c>
      <c r="AT13">
        <f>$H$13*$Z$13</f>
        <v>48.16</v>
      </c>
      <c r="AU13">
        <f>$H$13*$AA$13</f>
        <v>48.16</v>
      </c>
      <c r="AV13">
        <f>$H$13*$AB$13</f>
        <v>48.16</v>
      </c>
      <c r="AW13">
        <f>$H$13*$AC$13</f>
        <v>48.16</v>
      </c>
      <c r="AX13">
        <f>$H$13*$AD$13</f>
        <v>48.16</v>
      </c>
      <c r="AY13">
        <f>$H$13*$AE$13</f>
        <v>48.16</v>
      </c>
      <c r="AZ13">
        <f>$H$13*$AF$13</f>
        <v>48.16</v>
      </c>
    </row>
    <row r="14" spans="1:52" x14ac:dyDescent="0.25">
      <c r="A14">
        <v>25</v>
      </c>
      <c r="B14" t="s">
        <v>274</v>
      </c>
      <c r="C14" t="s">
        <v>307</v>
      </c>
      <c r="D14">
        <v>1</v>
      </c>
      <c r="E14">
        <v>365.09</v>
      </c>
      <c r="F14" t="s">
        <v>281</v>
      </c>
      <c r="G14">
        <v>365.09</v>
      </c>
      <c r="H14">
        <v>438.11</v>
      </c>
      <c r="I14" t="s">
        <v>308</v>
      </c>
      <c r="J14" t="s">
        <v>309</v>
      </c>
      <c r="K14" t="s">
        <v>457</v>
      </c>
      <c r="L14" t="s">
        <v>199</v>
      </c>
      <c r="M14" t="s">
        <v>445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445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438.11</v>
      </c>
      <c r="AO14">
        <f>$H$14*$U$14</f>
        <v>438.11</v>
      </c>
      <c r="AP14">
        <f>$H$14*$V$14</f>
        <v>438.11</v>
      </c>
      <c r="AQ14">
        <f>$H$14*$W$14</f>
        <v>438.11</v>
      </c>
      <c r="AR14">
        <f>$H$14*$X$14</f>
        <v>438.11</v>
      </c>
      <c r="AS14">
        <f>$H$14*$Y$14</f>
        <v>438.11</v>
      </c>
      <c r="AT14">
        <f>$H$14*$Z$14</f>
        <v>438.11</v>
      </c>
      <c r="AU14">
        <f>$H$14*$AA$14</f>
        <v>438.11</v>
      </c>
      <c r="AV14">
        <f>$H$14*$AB$14</f>
        <v>438.11</v>
      </c>
      <c r="AW14">
        <f>$H$14*$AC$14</f>
        <v>438.11</v>
      </c>
      <c r="AX14">
        <f>$H$14*$AD$14</f>
        <v>438.11</v>
      </c>
      <c r="AY14">
        <f>$H$14*$AE$14</f>
        <v>438.11</v>
      </c>
      <c r="AZ14">
        <f>$H$14*$AF$14</f>
        <v>438.11</v>
      </c>
    </row>
    <row r="15" spans="1:52" x14ac:dyDescent="0.25">
      <c r="A15">
        <v>26</v>
      </c>
      <c r="B15" t="s">
        <v>274</v>
      </c>
      <c r="C15" t="s">
        <v>310</v>
      </c>
      <c r="D15">
        <v>2</v>
      </c>
      <c r="E15">
        <v>62.72</v>
      </c>
      <c r="F15" t="s">
        <v>281</v>
      </c>
      <c r="G15">
        <v>31.36</v>
      </c>
      <c r="H15">
        <v>75.260000000000005</v>
      </c>
      <c r="I15" t="s">
        <v>277</v>
      </c>
      <c r="J15" t="s">
        <v>311</v>
      </c>
      <c r="K15" t="s">
        <v>458</v>
      </c>
      <c r="L15" t="s">
        <v>199</v>
      </c>
      <c r="M15" t="s">
        <v>445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445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75.260000000000005</v>
      </c>
      <c r="AN15">
        <f>$H$15*$T$15</f>
        <v>75.260000000000005</v>
      </c>
      <c r="AO15">
        <f>$H$15*$U$15</f>
        <v>75.260000000000005</v>
      </c>
      <c r="AP15">
        <f>$H$15*$V$15</f>
        <v>75.260000000000005</v>
      </c>
      <c r="AQ15">
        <f>$H$15*$W$15</f>
        <v>75.260000000000005</v>
      </c>
      <c r="AR15">
        <f>$H$15*$X$15</f>
        <v>75.260000000000005</v>
      </c>
      <c r="AS15">
        <f>$H$15*$Y$15</f>
        <v>75.260000000000005</v>
      </c>
      <c r="AT15">
        <f>$H$15*$Z$15</f>
        <v>75.260000000000005</v>
      </c>
      <c r="AU15">
        <f>$H$15*$AA$15</f>
        <v>75.260000000000005</v>
      </c>
      <c r="AV15">
        <f>$H$15*$AB$15</f>
        <v>75.260000000000005</v>
      </c>
      <c r="AW15">
        <f>$H$15*$AC$15</f>
        <v>75.260000000000005</v>
      </c>
      <c r="AX15">
        <f>$H$15*$AD$15</f>
        <v>75.260000000000005</v>
      </c>
      <c r="AY15">
        <f>$H$15*$AE$15</f>
        <v>75.260000000000005</v>
      </c>
      <c r="AZ15">
        <f>$H$15*$AF$15</f>
        <v>75.260000000000005</v>
      </c>
    </row>
    <row r="16" spans="1:52" x14ac:dyDescent="0.25">
      <c r="A16">
        <v>27</v>
      </c>
      <c r="B16" t="s">
        <v>274</v>
      </c>
      <c r="C16" t="s">
        <v>312</v>
      </c>
      <c r="D16">
        <v>2</v>
      </c>
      <c r="E16">
        <v>77.86</v>
      </c>
      <c r="F16" t="s">
        <v>281</v>
      </c>
      <c r="G16">
        <v>38.93</v>
      </c>
      <c r="H16">
        <v>93.44</v>
      </c>
      <c r="I16" t="s">
        <v>277</v>
      </c>
      <c r="J16" t="s">
        <v>308</v>
      </c>
      <c r="K16" t="s">
        <v>459</v>
      </c>
      <c r="L16" t="s">
        <v>199</v>
      </c>
      <c r="M16" t="s">
        <v>445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445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93.44</v>
      </c>
      <c r="AN16">
        <f>$H$16*$T$16</f>
        <v>93.44</v>
      </c>
      <c r="AO16">
        <f>$H$16*$U$16</f>
        <v>93.44</v>
      </c>
      <c r="AP16">
        <f>$H$16*$V$16</f>
        <v>93.44</v>
      </c>
      <c r="AQ16">
        <f>$H$16*$W$16</f>
        <v>93.44</v>
      </c>
      <c r="AR16">
        <f>$H$16*$X$16</f>
        <v>93.44</v>
      </c>
      <c r="AS16">
        <f>$H$16*$Y$16</f>
        <v>93.44</v>
      </c>
      <c r="AT16">
        <f>$H$16*$Z$16</f>
        <v>93.44</v>
      </c>
      <c r="AU16">
        <f>$H$16*$AA$16</f>
        <v>93.44</v>
      </c>
      <c r="AV16">
        <f>$H$16*$AB$16</f>
        <v>93.44</v>
      </c>
      <c r="AW16">
        <f>$H$16*$AC$16</f>
        <v>93.44</v>
      </c>
      <c r="AX16">
        <f>$H$16*$AD$16</f>
        <v>93.44</v>
      </c>
      <c r="AY16">
        <f>$H$16*$AE$16</f>
        <v>93.44</v>
      </c>
      <c r="AZ16">
        <f>$H$16*$AF$16</f>
        <v>93.44</v>
      </c>
    </row>
    <row r="17" spans="1:52" x14ac:dyDescent="0.25">
      <c r="A17">
        <v>30</v>
      </c>
      <c r="B17" t="s">
        <v>274</v>
      </c>
      <c r="C17" t="s">
        <v>313</v>
      </c>
      <c r="D17">
        <v>1083.58</v>
      </c>
      <c r="E17">
        <v>1657.88</v>
      </c>
      <c r="F17" t="s">
        <v>291</v>
      </c>
      <c r="G17">
        <v>1.53</v>
      </c>
      <c r="H17">
        <v>1989.46</v>
      </c>
      <c r="I17" t="s">
        <v>314</v>
      </c>
      <c r="J17" t="s">
        <v>315</v>
      </c>
      <c r="K17" t="s">
        <v>460</v>
      </c>
      <c r="L17" t="s">
        <v>199</v>
      </c>
      <c r="M17" t="s">
        <v>461</v>
      </c>
      <c r="N17" t="s">
        <v>12</v>
      </c>
      <c r="O17" t="s">
        <v>68</v>
      </c>
      <c r="P17">
        <v>0</v>
      </c>
      <c r="Q17">
        <v>0.5</v>
      </c>
      <c r="R17">
        <v>0.5</v>
      </c>
      <c r="S17">
        <v>0.625</v>
      </c>
      <c r="T17">
        <v>0.625</v>
      </c>
      <c r="U17">
        <v>0.625</v>
      </c>
      <c r="V17">
        <v>0.625</v>
      </c>
      <c r="W17">
        <v>0.625</v>
      </c>
      <c r="X17">
        <v>0.75</v>
      </c>
      <c r="Y17">
        <v>0.75</v>
      </c>
      <c r="Z17">
        <v>0.75</v>
      </c>
      <c r="AA17">
        <v>0.75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461</v>
      </c>
      <c r="AH17" t="s">
        <v>12</v>
      </c>
      <c r="AI17" t="s">
        <v>68</v>
      </c>
      <c r="AJ17">
        <f>$H$17*$P$17</f>
        <v>0</v>
      </c>
      <c r="AK17">
        <f>$H$17*$Q$17</f>
        <v>994.73</v>
      </c>
      <c r="AL17">
        <f>$H$17*$R$17</f>
        <v>994.73</v>
      </c>
      <c r="AM17">
        <f>$H$17*$S$17</f>
        <v>1243.4124999999999</v>
      </c>
      <c r="AN17">
        <f>$H$17*$T$17</f>
        <v>1243.4124999999999</v>
      </c>
      <c r="AO17">
        <f>$H$17*$U$17</f>
        <v>1243.4124999999999</v>
      </c>
      <c r="AP17">
        <f>$H$17*$V$17</f>
        <v>1243.4124999999999</v>
      </c>
      <c r="AQ17">
        <f>$H$17*$W$17</f>
        <v>1243.4124999999999</v>
      </c>
      <c r="AR17">
        <f>$H$17*$X$17</f>
        <v>1492.095</v>
      </c>
      <c r="AS17">
        <f>$H$17*$Y$17</f>
        <v>1492.095</v>
      </c>
      <c r="AT17">
        <f>$H$17*$Z$17</f>
        <v>1492.095</v>
      </c>
      <c r="AU17">
        <f>$H$17*$AA$17</f>
        <v>1492.095</v>
      </c>
      <c r="AV17">
        <f>$H$17*$AB$17</f>
        <v>1989.46</v>
      </c>
      <c r="AW17">
        <f>$H$17*$AC$17</f>
        <v>1989.46</v>
      </c>
      <c r="AX17">
        <f>$H$17*$AD$17</f>
        <v>1989.46</v>
      </c>
      <c r="AY17">
        <f>$H$17*$AE$17</f>
        <v>1989.46</v>
      </c>
      <c r="AZ17">
        <f>$H$17*$AF$17</f>
        <v>1989.46</v>
      </c>
    </row>
    <row r="18" spans="1:52" x14ac:dyDescent="0.25">
      <c r="A18">
        <v>31</v>
      </c>
      <c r="B18" t="s">
        <v>274</v>
      </c>
      <c r="C18" t="s">
        <v>316</v>
      </c>
      <c r="D18">
        <v>900</v>
      </c>
      <c r="E18">
        <v>2340</v>
      </c>
      <c r="F18" t="s">
        <v>291</v>
      </c>
      <c r="G18">
        <v>2.6</v>
      </c>
      <c r="H18">
        <v>2808</v>
      </c>
      <c r="I18" t="s">
        <v>314</v>
      </c>
      <c r="J18" t="s">
        <v>317</v>
      </c>
      <c r="K18" t="s">
        <v>462</v>
      </c>
      <c r="L18" t="s">
        <v>199</v>
      </c>
      <c r="M18" t="s">
        <v>461</v>
      </c>
      <c r="N18" t="s">
        <v>12</v>
      </c>
      <c r="O18" t="s">
        <v>68</v>
      </c>
      <c r="P18">
        <v>0</v>
      </c>
      <c r="Q18">
        <v>0.5</v>
      </c>
      <c r="R18">
        <v>0.5</v>
      </c>
      <c r="S18">
        <v>0.625</v>
      </c>
      <c r="T18">
        <v>0.625</v>
      </c>
      <c r="U18">
        <v>0.625</v>
      </c>
      <c r="V18">
        <v>0.625</v>
      </c>
      <c r="W18">
        <v>0.625</v>
      </c>
      <c r="X18">
        <v>0.75</v>
      </c>
      <c r="Y18">
        <v>0.75</v>
      </c>
      <c r="Z18">
        <v>0.75</v>
      </c>
      <c r="AA18">
        <v>0.75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461</v>
      </c>
      <c r="AH18" t="s">
        <v>12</v>
      </c>
      <c r="AI18" t="s">
        <v>68</v>
      </c>
      <c r="AJ18">
        <f>$H$18*$P$18</f>
        <v>0</v>
      </c>
      <c r="AK18">
        <f>$H$18*$Q$18</f>
        <v>1404</v>
      </c>
      <c r="AL18">
        <f>$H$18*$R$18</f>
        <v>1404</v>
      </c>
      <c r="AM18">
        <f>$H$18*$S$18</f>
        <v>1755</v>
      </c>
      <c r="AN18">
        <f>$H$18*$T$18</f>
        <v>1755</v>
      </c>
      <c r="AO18">
        <f>$H$18*$U$18</f>
        <v>1755</v>
      </c>
      <c r="AP18">
        <f>$H$18*$V$18</f>
        <v>1755</v>
      </c>
      <c r="AQ18">
        <f>$H$18*$W$18</f>
        <v>1755</v>
      </c>
      <c r="AR18">
        <f>$H$18*$X$18</f>
        <v>2106</v>
      </c>
      <c r="AS18">
        <f>$H$18*$Y$18</f>
        <v>2106</v>
      </c>
      <c r="AT18">
        <f>$H$18*$Z$18</f>
        <v>2106</v>
      </c>
      <c r="AU18">
        <f>$H$18*$AA$18</f>
        <v>2106</v>
      </c>
      <c r="AV18">
        <f>$H$18*$AB$18</f>
        <v>2808</v>
      </c>
      <c r="AW18">
        <f>$H$18*$AC$18</f>
        <v>2808</v>
      </c>
      <c r="AX18">
        <f>$H$18*$AD$18</f>
        <v>2808</v>
      </c>
      <c r="AY18">
        <f>$H$18*$AE$18</f>
        <v>2808</v>
      </c>
      <c r="AZ18">
        <f>$H$18*$AF$18</f>
        <v>2808</v>
      </c>
    </row>
    <row r="19" spans="1:52" x14ac:dyDescent="0.25">
      <c r="A19">
        <v>33</v>
      </c>
      <c r="B19" t="s">
        <v>274</v>
      </c>
      <c r="C19" t="s">
        <v>318</v>
      </c>
      <c r="D19">
        <v>1</v>
      </c>
      <c r="E19">
        <v>90.1</v>
      </c>
      <c r="F19" t="s">
        <v>281</v>
      </c>
      <c r="G19">
        <v>90.1</v>
      </c>
      <c r="H19">
        <v>108.12</v>
      </c>
      <c r="I19" t="s">
        <v>289</v>
      </c>
      <c r="J19" t="s">
        <v>319</v>
      </c>
      <c r="K19" t="s">
        <v>463</v>
      </c>
      <c r="L19" t="s">
        <v>199</v>
      </c>
      <c r="M19" t="s">
        <v>445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1</v>
      </c>
      <c r="AD19">
        <v>1</v>
      </c>
      <c r="AE19">
        <v>1</v>
      </c>
      <c r="AF19">
        <v>1</v>
      </c>
      <c r="AG19" t="s">
        <v>445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0</v>
      </c>
      <c r="AN19">
        <f>$H$19*$T$19</f>
        <v>0</v>
      </c>
      <c r="AO19">
        <f>$H$19*$U$19</f>
        <v>0</v>
      </c>
      <c r="AP19">
        <f>$H$19*$V$19</f>
        <v>0</v>
      </c>
      <c r="AQ19">
        <f>$H$19*$W$19</f>
        <v>0</v>
      </c>
      <c r="AR19">
        <f>$H$19*$X$19</f>
        <v>0</v>
      </c>
      <c r="AS19">
        <f>$H$19*$Y$19</f>
        <v>0</v>
      </c>
      <c r="AT19">
        <f>$H$19*$Z$19</f>
        <v>0</v>
      </c>
      <c r="AU19">
        <f>$H$19*$AA$19</f>
        <v>0</v>
      </c>
      <c r="AV19">
        <f>$H$19*$AB$19</f>
        <v>0</v>
      </c>
      <c r="AW19">
        <f>$H$19*$AC$19</f>
        <v>108.12</v>
      </c>
      <c r="AX19">
        <f>$H$19*$AD$19</f>
        <v>108.12</v>
      </c>
      <c r="AY19">
        <f>$H$19*$AE$19</f>
        <v>108.12</v>
      </c>
      <c r="AZ19">
        <f>$H$19*$AF$19</f>
        <v>108.12</v>
      </c>
    </row>
    <row r="20" spans="1:52" x14ac:dyDescent="0.25">
      <c r="A20">
        <v>34</v>
      </c>
      <c r="B20" t="s">
        <v>274</v>
      </c>
      <c r="C20" t="s">
        <v>320</v>
      </c>
      <c r="D20">
        <v>1</v>
      </c>
      <c r="E20">
        <v>2887.57</v>
      </c>
      <c r="F20" t="s">
        <v>281</v>
      </c>
      <c r="G20">
        <v>2887.57</v>
      </c>
      <c r="H20">
        <v>3465.09</v>
      </c>
      <c r="I20" t="s">
        <v>289</v>
      </c>
      <c r="J20" t="s">
        <v>321</v>
      </c>
      <c r="K20" t="s">
        <v>464</v>
      </c>
      <c r="L20" t="s">
        <v>199</v>
      </c>
      <c r="M20" t="s">
        <v>451</v>
      </c>
      <c r="N20" t="s">
        <v>26</v>
      </c>
      <c r="O20" t="s">
        <v>67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451</v>
      </c>
      <c r="AH20" t="s">
        <v>26</v>
      </c>
      <c r="AI20" t="s">
        <v>67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0</v>
      </c>
      <c r="AN20">
        <f>$H$20*$T$20</f>
        <v>0</v>
      </c>
      <c r="AO20">
        <f>$H$20*$U$20</f>
        <v>0</v>
      </c>
      <c r="AP20">
        <f>$H$20*$V$20</f>
        <v>3465.09</v>
      </c>
      <c r="AQ20">
        <f>$H$20*$W$20</f>
        <v>3465.09</v>
      </c>
      <c r="AR20">
        <f>$H$20*$X$20</f>
        <v>3465.09</v>
      </c>
      <c r="AS20">
        <f>$H$20*$Y$20</f>
        <v>3465.09</v>
      </c>
      <c r="AT20">
        <f>$H$20*$Z$20</f>
        <v>3465.09</v>
      </c>
      <c r="AU20">
        <f>$H$20*$AA$20</f>
        <v>3465.09</v>
      </c>
      <c r="AV20">
        <f>$H$20*$AB$20</f>
        <v>3465.09</v>
      </c>
      <c r="AW20">
        <f>$H$20*$AC$20</f>
        <v>3465.09</v>
      </c>
      <c r="AX20">
        <f>$H$20*$AD$20</f>
        <v>3465.09</v>
      </c>
      <c r="AY20">
        <f>$H$20*$AE$20</f>
        <v>3465.09</v>
      </c>
      <c r="AZ20">
        <f>$H$20*$AF$20</f>
        <v>3465.09</v>
      </c>
    </row>
    <row r="21" spans="1:52" x14ac:dyDescent="0.25">
      <c r="A21">
        <v>35</v>
      </c>
      <c r="B21" t="s">
        <v>274</v>
      </c>
      <c r="C21" t="s">
        <v>322</v>
      </c>
      <c r="D21">
        <v>1</v>
      </c>
      <c r="E21">
        <v>3419.82</v>
      </c>
      <c r="F21" t="s">
        <v>281</v>
      </c>
      <c r="G21">
        <v>3419.82</v>
      </c>
      <c r="H21">
        <v>4103.78</v>
      </c>
      <c r="I21" t="s">
        <v>289</v>
      </c>
      <c r="J21" t="s">
        <v>323</v>
      </c>
      <c r="K21" t="s">
        <v>465</v>
      </c>
      <c r="L21" t="s">
        <v>199</v>
      </c>
      <c r="M21" t="s">
        <v>451</v>
      </c>
      <c r="N21" t="s">
        <v>26</v>
      </c>
      <c r="O21" t="s">
        <v>67</v>
      </c>
      <c r="P21">
        <v>0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451</v>
      </c>
      <c r="AH21" t="s">
        <v>26</v>
      </c>
      <c r="AI21" t="s">
        <v>67</v>
      </c>
      <c r="AJ21">
        <f>$H$21*$P$21</f>
        <v>0</v>
      </c>
      <c r="AK21">
        <f>$H$21*$Q$21</f>
        <v>4103.78</v>
      </c>
      <c r="AL21">
        <f>$H$21*$R$21</f>
        <v>4103.78</v>
      </c>
      <c r="AM21">
        <f>$H$21*$S$21</f>
        <v>4103.78</v>
      </c>
      <c r="AN21">
        <f>$H$21*$T$21</f>
        <v>4103.78</v>
      </c>
      <c r="AO21">
        <f>$H$21*$U$21</f>
        <v>4103.78</v>
      </c>
      <c r="AP21">
        <f>$H$21*$V$21</f>
        <v>4103.78</v>
      </c>
      <c r="AQ21">
        <f>$H$21*$W$21</f>
        <v>4103.78</v>
      </c>
      <c r="AR21">
        <f>$H$21*$X$21</f>
        <v>4103.78</v>
      </c>
      <c r="AS21">
        <f>$H$21*$Y$21</f>
        <v>4103.78</v>
      </c>
      <c r="AT21">
        <f>$H$21*$Z$21</f>
        <v>4103.78</v>
      </c>
      <c r="AU21">
        <f>$H$21*$AA$21</f>
        <v>4103.78</v>
      </c>
      <c r="AV21">
        <f>$H$21*$AB$21</f>
        <v>4103.78</v>
      </c>
      <c r="AW21">
        <f>$H$21*$AC$21</f>
        <v>4103.78</v>
      </c>
      <c r="AX21">
        <f>$H$21*$AD$21</f>
        <v>4103.78</v>
      </c>
      <c r="AY21">
        <f>$H$21*$AE$21</f>
        <v>4103.78</v>
      </c>
      <c r="AZ21">
        <f>$H$21*$AF$21</f>
        <v>4103.78</v>
      </c>
    </row>
    <row r="22" spans="1:52" x14ac:dyDescent="0.25">
      <c r="A22">
        <v>39</v>
      </c>
      <c r="B22" t="s">
        <v>274</v>
      </c>
      <c r="C22" t="s">
        <v>324</v>
      </c>
      <c r="D22">
        <v>2</v>
      </c>
      <c r="E22">
        <v>131.30000000000001</v>
      </c>
      <c r="F22" t="s">
        <v>281</v>
      </c>
      <c r="G22">
        <v>65.650000000000006</v>
      </c>
      <c r="H22">
        <v>157.56</v>
      </c>
      <c r="I22" t="s">
        <v>286</v>
      </c>
      <c r="J22" t="s">
        <v>325</v>
      </c>
      <c r="K22" t="s">
        <v>466</v>
      </c>
      <c r="L22" t="s">
        <v>199</v>
      </c>
      <c r="M22" t="s">
        <v>461</v>
      </c>
      <c r="N22" t="s">
        <v>12</v>
      </c>
      <c r="O22" t="s">
        <v>68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1</v>
      </c>
      <c r="AF22">
        <v>1</v>
      </c>
      <c r="AG22" t="s">
        <v>461</v>
      </c>
      <c r="AH22" t="s">
        <v>12</v>
      </c>
      <c r="AI22" t="s">
        <v>68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0</v>
      </c>
      <c r="AX22">
        <f>$H$22*$AD$22</f>
        <v>157.56</v>
      </c>
      <c r="AY22">
        <f>$H$22*$AE$22</f>
        <v>157.56</v>
      </c>
      <c r="AZ22">
        <f>$H$22*$AF$22</f>
        <v>157.56</v>
      </c>
    </row>
    <row r="23" spans="1:52" x14ac:dyDescent="0.25">
      <c r="A23">
        <v>40</v>
      </c>
      <c r="B23" t="s">
        <v>274</v>
      </c>
      <c r="C23" t="s">
        <v>326</v>
      </c>
      <c r="D23">
        <v>2</v>
      </c>
      <c r="E23">
        <v>210.02</v>
      </c>
      <c r="F23" t="s">
        <v>281</v>
      </c>
      <c r="G23">
        <v>105.01</v>
      </c>
      <c r="H23">
        <v>252.02</v>
      </c>
      <c r="I23" t="s">
        <v>305</v>
      </c>
      <c r="J23" t="s">
        <v>327</v>
      </c>
      <c r="K23" t="s">
        <v>467</v>
      </c>
      <c r="L23" t="s">
        <v>199</v>
      </c>
      <c r="M23" t="s">
        <v>461</v>
      </c>
      <c r="N23" t="s">
        <v>12</v>
      </c>
      <c r="O23" t="s">
        <v>68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461</v>
      </c>
      <c r="AH23" t="s">
        <v>12</v>
      </c>
      <c r="AI23" t="s">
        <v>68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252.02</v>
      </c>
      <c r="AV23">
        <f>$H$23*$AB$23</f>
        <v>252.02</v>
      </c>
      <c r="AW23">
        <f>$H$23*$AC$23</f>
        <v>252.02</v>
      </c>
      <c r="AX23">
        <f>$H$23*$AD$23</f>
        <v>252.02</v>
      </c>
      <c r="AY23">
        <f>$H$23*$AE$23</f>
        <v>252.02</v>
      </c>
      <c r="AZ23">
        <f>$H$23*$AF$23</f>
        <v>252.02</v>
      </c>
    </row>
    <row r="24" spans="1:52" x14ac:dyDescent="0.25">
      <c r="A24">
        <v>41</v>
      </c>
      <c r="B24" t="s">
        <v>274</v>
      </c>
      <c r="C24" t="s">
        <v>328</v>
      </c>
      <c r="D24">
        <v>2</v>
      </c>
      <c r="E24">
        <v>761.46</v>
      </c>
      <c r="F24" t="s">
        <v>281</v>
      </c>
      <c r="G24">
        <v>380.73</v>
      </c>
      <c r="H24">
        <v>913.76</v>
      </c>
      <c r="I24" t="s">
        <v>308</v>
      </c>
      <c r="J24" t="s">
        <v>325</v>
      </c>
      <c r="K24" t="s">
        <v>468</v>
      </c>
      <c r="L24" t="s">
        <v>199</v>
      </c>
      <c r="M24" t="s">
        <v>461</v>
      </c>
      <c r="N24" t="s">
        <v>12</v>
      </c>
      <c r="O24" t="s">
        <v>68</v>
      </c>
      <c r="P24">
        <v>0</v>
      </c>
      <c r="Q24">
        <v>0</v>
      </c>
      <c r="R24">
        <v>0</v>
      </c>
      <c r="S24">
        <v>0</v>
      </c>
      <c r="T24">
        <v>0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461</v>
      </c>
      <c r="AH24" t="s">
        <v>12</v>
      </c>
      <c r="AI24" t="s">
        <v>68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913.76</v>
      </c>
      <c r="AP24">
        <f>$H$24*$V$24</f>
        <v>913.76</v>
      </c>
      <c r="AQ24">
        <f>$H$24*$W$24</f>
        <v>913.76</v>
      </c>
      <c r="AR24">
        <f>$H$24*$X$24</f>
        <v>913.76</v>
      </c>
      <c r="AS24">
        <f>$H$24*$Y$24</f>
        <v>913.76</v>
      </c>
      <c r="AT24">
        <f>$H$24*$Z$24</f>
        <v>913.76</v>
      </c>
      <c r="AU24">
        <f>$H$24*$AA$24</f>
        <v>913.76</v>
      </c>
      <c r="AV24">
        <f>$H$24*$AB$24</f>
        <v>913.76</v>
      </c>
      <c r="AW24">
        <f>$H$24*$AC$24</f>
        <v>913.76</v>
      </c>
      <c r="AX24">
        <f>$H$24*$AD$24</f>
        <v>913.76</v>
      </c>
      <c r="AY24">
        <f>$H$24*$AE$24</f>
        <v>913.76</v>
      </c>
      <c r="AZ24">
        <f>$H$24*$AF$24</f>
        <v>913.76</v>
      </c>
    </row>
    <row r="25" spans="1:52" x14ac:dyDescent="0.25">
      <c r="A25">
        <v>42</v>
      </c>
      <c r="B25" t="s">
        <v>274</v>
      </c>
      <c r="C25" t="s">
        <v>329</v>
      </c>
      <c r="D25">
        <v>1</v>
      </c>
      <c r="E25">
        <v>719.97</v>
      </c>
      <c r="F25" t="s">
        <v>281</v>
      </c>
      <c r="G25">
        <v>719.97</v>
      </c>
      <c r="H25">
        <v>863.97</v>
      </c>
      <c r="I25" t="s">
        <v>330</v>
      </c>
      <c r="J25" t="s">
        <v>331</v>
      </c>
      <c r="K25" t="s">
        <v>469</v>
      </c>
      <c r="L25" t="s">
        <v>199</v>
      </c>
      <c r="M25" t="s">
        <v>461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461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863.97</v>
      </c>
      <c r="AP25">
        <f>$H$25*$V$25</f>
        <v>863.97</v>
      </c>
      <c r="AQ25">
        <f>$H$25*$W$25</f>
        <v>863.97</v>
      </c>
      <c r="AR25">
        <f>$H$25*$X$25</f>
        <v>863.97</v>
      </c>
      <c r="AS25">
        <f>$H$25*$Y$25</f>
        <v>863.97</v>
      </c>
      <c r="AT25">
        <f>$H$25*$Z$25</f>
        <v>863.97</v>
      </c>
      <c r="AU25">
        <f>$H$25*$AA$25</f>
        <v>863.97</v>
      </c>
      <c r="AV25">
        <f>$H$25*$AB$25</f>
        <v>863.97</v>
      </c>
      <c r="AW25">
        <f>$H$25*$AC$25</f>
        <v>863.97</v>
      </c>
      <c r="AX25">
        <f>$H$25*$AD$25</f>
        <v>863.97</v>
      </c>
      <c r="AY25">
        <f>$H$25*$AE$25</f>
        <v>863.97</v>
      </c>
      <c r="AZ25">
        <f>$H$25*$AF$25</f>
        <v>863.97</v>
      </c>
    </row>
    <row r="26" spans="1:52" x14ac:dyDescent="0.25">
      <c r="A26">
        <v>52</v>
      </c>
      <c r="B26" t="s">
        <v>274</v>
      </c>
      <c r="C26" t="s">
        <v>332</v>
      </c>
      <c r="D26">
        <v>1</v>
      </c>
      <c r="E26">
        <v>800.22</v>
      </c>
      <c r="F26" t="s">
        <v>281</v>
      </c>
      <c r="G26">
        <v>800.22</v>
      </c>
      <c r="H26">
        <v>960.26</v>
      </c>
      <c r="I26" t="s">
        <v>283</v>
      </c>
      <c r="J26" t="s">
        <v>333</v>
      </c>
      <c r="K26" t="s">
        <v>470</v>
      </c>
      <c r="L26" t="s">
        <v>199</v>
      </c>
      <c r="M26" t="s">
        <v>451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451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960.26</v>
      </c>
      <c r="AV26">
        <f>$H$26*$AB$26</f>
        <v>960.26</v>
      </c>
      <c r="AW26">
        <f>$H$26*$AC$26</f>
        <v>960.26</v>
      </c>
      <c r="AX26">
        <f>$H$26*$AD$26</f>
        <v>960.26</v>
      </c>
      <c r="AY26">
        <f>$H$26*$AE$26</f>
        <v>960.26</v>
      </c>
      <c r="AZ26">
        <f>$H$26*$AF$26</f>
        <v>960.26</v>
      </c>
    </row>
    <row r="27" spans="1:52" x14ac:dyDescent="0.25">
      <c r="A27">
        <v>56</v>
      </c>
      <c r="B27" t="s">
        <v>274</v>
      </c>
      <c r="C27" t="s">
        <v>334</v>
      </c>
      <c r="D27">
        <v>4</v>
      </c>
      <c r="E27">
        <v>71.08</v>
      </c>
      <c r="F27" t="s">
        <v>281</v>
      </c>
      <c r="G27">
        <v>17.77</v>
      </c>
      <c r="H27">
        <v>85.3</v>
      </c>
      <c r="I27" t="s">
        <v>283</v>
      </c>
      <c r="J27" t="s">
        <v>335</v>
      </c>
      <c r="K27" t="s">
        <v>471</v>
      </c>
      <c r="L27" t="s">
        <v>199</v>
      </c>
      <c r="M27" t="s">
        <v>445</v>
      </c>
      <c r="N27" t="s">
        <v>27</v>
      </c>
      <c r="O27" t="s">
        <v>66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445</v>
      </c>
      <c r="AH27" t="s">
        <v>27</v>
      </c>
      <c r="AI27" t="s">
        <v>66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85.3</v>
      </c>
      <c r="AS27">
        <f>$H$27*$Y$27</f>
        <v>85.3</v>
      </c>
      <c r="AT27">
        <f>$H$27*$Z$27</f>
        <v>85.3</v>
      </c>
      <c r="AU27">
        <f>$H$27*$AA$27</f>
        <v>85.3</v>
      </c>
      <c r="AV27">
        <f>$H$27*$AB$27</f>
        <v>85.3</v>
      </c>
      <c r="AW27">
        <f>$H$27*$AC$27</f>
        <v>85.3</v>
      </c>
      <c r="AX27">
        <f>$H$27*$AD$27</f>
        <v>85.3</v>
      </c>
      <c r="AY27">
        <f>$H$27*$AE$27</f>
        <v>85.3</v>
      </c>
      <c r="AZ27">
        <f>$H$27*$AF$27</f>
        <v>85.3</v>
      </c>
    </row>
    <row r="28" spans="1:52" x14ac:dyDescent="0.25">
      <c r="A28">
        <v>57</v>
      </c>
      <c r="B28" t="s">
        <v>274</v>
      </c>
      <c r="C28" t="s">
        <v>336</v>
      </c>
      <c r="D28">
        <v>2</v>
      </c>
      <c r="E28">
        <v>41.5</v>
      </c>
      <c r="F28" t="s">
        <v>281</v>
      </c>
      <c r="G28">
        <v>20.75</v>
      </c>
      <c r="H28">
        <v>49.8</v>
      </c>
      <c r="I28" t="s">
        <v>283</v>
      </c>
      <c r="J28" t="s">
        <v>337</v>
      </c>
      <c r="K28" t="s">
        <v>472</v>
      </c>
      <c r="L28" t="s">
        <v>199</v>
      </c>
      <c r="M28" t="s">
        <v>461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461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49.8</v>
      </c>
      <c r="AS28">
        <f>$H$28*$Y$28</f>
        <v>49.8</v>
      </c>
      <c r="AT28">
        <f>$H$28*$Z$28</f>
        <v>49.8</v>
      </c>
      <c r="AU28">
        <f>$H$28*$AA$28</f>
        <v>49.8</v>
      </c>
      <c r="AV28">
        <f>$H$28*$AB$28</f>
        <v>49.8</v>
      </c>
      <c r="AW28">
        <f>$H$28*$AC$28</f>
        <v>49.8</v>
      </c>
      <c r="AX28">
        <f>$H$28*$AD$28</f>
        <v>49.8</v>
      </c>
      <c r="AY28">
        <f>$H$28*$AE$28</f>
        <v>49.8</v>
      </c>
      <c r="AZ28">
        <f>$H$28*$AF$28</f>
        <v>49.8</v>
      </c>
    </row>
    <row r="29" spans="1:52" x14ac:dyDescent="0.25">
      <c r="A29">
        <v>58</v>
      </c>
      <c r="B29" t="s">
        <v>274</v>
      </c>
      <c r="C29" t="s">
        <v>338</v>
      </c>
      <c r="D29">
        <v>900</v>
      </c>
      <c r="E29">
        <v>3222</v>
      </c>
      <c r="F29" t="s">
        <v>291</v>
      </c>
      <c r="G29">
        <v>3.58</v>
      </c>
      <c r="H29">
        <v>3866.4</v>
      </c>
      <c r="I29" t="s">
        <v>283</v>
      </c>
      <c r="J29" t="s">
        <v>339</v>
      </c>
      <c r="K29" t="s">
        <v>473</v>
      </c>
      <c r="L29" t="s">
        <v>199</v>
      </c>
      <c r="M29" t="s">
        <v>445</v>
      </c>
      <c r="N29" t="s">
        <v>27</v>
      </c>
      <c r="O29" t="s">
        <v>66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0.6</v>
      </c>
      <c r="Y29">
        <v>0.6</v>
      </c>
      <c r="Z29">
        <v>0.6</v>
      </c>
      <c r="AA29">
        <v>0.6</v>
      </c>
      <c r="AB29">
        <v>0.6</v>
      </c>
      <c r="AC29">
        <v>0.6</v>
      </c>
      <c r="AD29">
        <v>0.6</v>
      </c>
      <c r="AE29">
        <v>0.6</v>
      </c>
      <c r="AF29">
        <v>0.6</v>
      </c>
      <c r="AG29" t="s">
        <v>445</v>
      </c>
      <c r="AH29" t="s">
        <v>27</v>
      </c>
      <c r="AI29" t="s">
        <v>66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2319.84</v>
      </c>
      <c r="AS29">
        <f>$H$29*$Y$29</f>
        <v>2319.84</v>
      </c>
      <c r="AT29">
        <f>$H$29*$Z$29</f>
        <v>2319.84</v>
      </c>
      <c r="AU29">
        <f>$H$29*$AA$29</f>
        <v>2319.84</v>
      </c>
      <c r="AV29">
        <f>$H$29*$AB$29</f>
        <v>2319.84</v>
      </c>
      <c r="AW29">
        <f>$H$29*$AC$29</f>
        <v>2319.84</v>
      </c>
      <c r="AX29">
        <f>$H$29*$AD$29</f>
        <v>2319.84</v>
      </c>
      <c r="AY29">
        <f>$H$29*$AE$29</f>
        <v>2319.84</v>
      </c>
      <c r="AZ29">
        <f>$H$29*$AF$29</f>
        <v>2319.84</v>
      </c>
    </row>
    <row r="30" spans="1:52" x14ac:dyDescent="0.25">
      <c r="A30">
        <v>59</v>
      </c>
      <c r="B30" t="s">
        <v>274</v>
      </c>
      <c r="C30" t="s">
        <v>340</v>
      </c>
      <c r="D30">
        <v>40</v>
      </c>
      <c r="E30">
        <v>39.6</v>
      </c>
      <c r="F30" t="s">
        <v>276</v>
      </c>
      <c r="G30">
        <v>0.99</v>
      </c>
      <c r="H30">
        <v>47.52</v>
      </c>
      <c r="I30" t="s">
        <v>283</v>
      </c>
      <c r="J30" t="s">
        <v>341</v>
      </c>
      <c r="K30" t="s">
        <v>474</v>
      </c>
      <c r="L30" t="s">
        <v>199</v>
      </c>
      <c r="M30" t="s">
        <v>445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0.6</v>
      </c>
      <c r="Y30">
        <v>0.6</v>
      </c>
      <c r="Z30">
        <v>0.6</v>
      </c>
      <c r="AA30">
        <v>0.6</v>
      </c>
      <c r="AB30">
        <v>0.6</v>
      </c>
      <c r="AC30">
        <v>0.6</v>
      </c>
      <c r="AD30">
        <v>0.6</v>
      </c>
      <c r="AE30">
        <v>0.6</v>
      </c>
      <c r="AF30">
        <v>0.6</v>
      </c>
      <c r="AG30" t="s">
        <v>445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28.512</v>
      </c>
      <c r="AS30">
        <f>$H$30*$Y$30</f>
        <v>28.512</v>
      </c>
      <c r="AT30">
        <f>$H$30*$Z$30</f>
        <v>28.512</v>
      </c>
      <c r="AU30">
        <f>$H$30*$AA$30</f>
        <v>28.512</v>
      </c>
      <c r="AV30">
        <f>$H$30*$AB$30</f>
        <v>28.512</v>
      </c>
      <c r="AW30">
        <f>$H$30*$AC$30</f>
        <v>28.512</v>
      </c>
      <c r="AX30">
        <f>$H$30*$AD$30</f>
        <v>28.512</v>
      </c>
      <c r="AY30">
        <f>$H$30*$AE$30</f>
        <v>28.512</v>
      </c>
      <c r="AZ30">
        <f>$H$30*$AF$30</f>
        <v>28.512</v>
      </c>
    </row>
    <row r="31" spans="1:52" x14ac:dyDescent="0.25">
      <c r="A31">
        <v>61</v>
      </c>
      <c r="B31" t="s">
        <v>274</v>
      </c>
      <c r="C31" t="s">
        <v>295</v>
      </c>
      <c r="D31">
        <v>3</v>
      </c>
      <c r="E31">
        <v>13.32</v>
      </c>
      <c r="F31" t="s">
        <v>276</v>
      </c>
      <c r="G31">
        <v>4.4400000000000004</v>
      </c>
      <c r="H31">
        <v>15.98</v>
      </c>
      <c r="I31" t="s">
        <v>277</v>
      </c>
      <c r="J31" t="s">
        <v>296</v>
      </c>
      <c r="K31" t="s">
        <v>452</v>
      </c>
      <c r="L31" t="s">
        <v>199</v>
      </c>
      <c r="M31" t="s">
        <v>445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445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15.98</v>
      </c>
      <c r="AV31">
        <f>$H$31*$AB$31</f>
        <v>15.98</v>
      </c>
      <c r="AW31">
        <f>$H$31*$AC$31</f>
        <v>15.98</v>
      </c>
      <c r="AX31">
        <f>$H$31*$AD$31</f>
        <v>15.98</v>
      </c>
      <c r="AY31">
        <f>$H$31*$AE$31</f>
        <v>15.98</v>
      </c>
      <c r="AZ31">
        <f>$H$31*$AF$31</f>
        <v>15.98</v>
      </c>
    </row>
    <row r="32" spans="1:52" x14ac:dyDescent="0.25">
      <c r="A32">
        <v>62</v>
      </c>
      <c r="B32" t="s">
        <v>274</v>
      </c>
      <c r="C32" t="s">
        <v>297</v>
      </c>
      <c r="D32">
        <v>3</v>
      </c>
      <c r="E32">
        <v>34.65</v>
      </c>
      <c r="F32" t="s">
        <v>276</v>
      </c>
      <c r="G32">
        <v>11.55</v>
      </c>
      <c r="H32">
        <v>41.59</v>
      </c>
      <c r="I32" t="s">
        <v>280</v>
      </c>
      <c r="J32" t="s">
        <v>298</v>
      </c>
      <c r="K32" t="s">
        <v>453</v>
      </c>
      <c r="L32" t="s">
        <v>199</v>
      </c>
      <c r="M32" t="s">
        <v>445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445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0</v>
      </c>
      <c r="AS32">
        <f>$H$32*$Y$32</f>
        <v>0</v>
      </c>
      <c r="AT32">
        <f>$H$32*$Z$32</f>
        <v>0</v>
      </c>
      <c r="AU32">
        <f>$H$32*$AA$32</f>
        <v>41.59</v>
      </c>
      <c r="AV32">
        <f>$H$32*$AB$32</f>
        <v>41.59</v>
      </c>
      <c r="AW32">
        <f>$H$32*$AC$32</f>
        <v>41.59</v>
      </c>
      <c r="AX32">
        <f>$H$32*$AD$32</f>
        <v>41.59</v>
      </c>
      <c r="AY32">
        <f>$H$32*$AE$32</f>
        <v>41.59</v>
      </c>
      <c r="AZ32">
        <f>$H$32*$AF$32</f>
        <v>41.59</v>
      </c>
    </row>
    <row r="33" spans="1:52" x14ac:dyDescent="0.25">
      <c r="A33">
        <v>63</v>
      </c>
      <c r="B33" t="s">
        <v>274</v>
      </c>
      <c r="C33" t="s">
        <v>342</v>
      </c>
      <c r="D33">
        <v>3</v>
      </c>
      <c r="E33">
        <v>14.25</v>
      </c>
      <c r="F33" t="s">
        <v>276</v>
      </c>
      <c r="G33">
        <v>4.75</v>
      </c>
      <c r="H33">
        <v>17.11</v>
      </c>
      <c r="I33" t="s">
        <v>280</v>
      </c>
      <c r="J33" t="s">
        <v>343</v>
      </c>
      <c r="K33" t="s">
        <v>475</v>
      </c>
      <c r="L33" t="s">
        <v>199</v>
      </c>
      <c r="M33" t="s">
        <v>445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1</v>
      </c>
      <c r="AD33">
        <v>1</v>
      </c>
      <c r="AE33">
        <v>1</v>
      </c>
      <c r="AF33">
        <v>1</v>
      </c>
      <c r="AG33" t="s">
        <v>445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0</v>
      </c>
      <c r="AS33">
        <f>$H$33*$Y$33</f>
        <v>0</v>
      </c>
      <c r="AT33">
        <f>$H$33*$Z$33</f>
        <v>0</v>
      </c>
      <c r="AU33">
        <f>$H$33*$AA$33</f>
        <v>0</v>
      </c>
      <c r="AV33">
        <f>$H$33*$AB$33</f>
        <v>0</v>
      </c>
      <c r="AW33">
        <f>$H$33*$AC$33</f>
        <v>17.11</v>
      </c>
      <c r="AX33">
        <f>$H$33*$AD$33</f>
        <v>17.11</v>
      </c>
      <c r="AY33">
        <f>$H$33*$AE$33</f>
        <v>17.11</v>
      </c>
      <c r="AZ33">
        <f>$H$33*$AF$33</f>
        <v>17.11</v>
      </c>
    </row>
    <row r="34" spans="1:52" x14ac:dyDescent="0.25">
      <c r="A34">
        <v>64</v>
      </c>
      <c r="B34" t="s">
        <v>274</v>
      </c>
      <c r="C34" t="s">
        <v>299</v>
      </c>
      <c r="D34">
        <v>86</v>
      </c>
      <c r="E34">
        <v>84.28</v>
      </c>
      <c r="F34" t="s">
        <v>291</v>
      </c>
      <c r="G34">
        <v>0.98</v>
      </c>
      <c r="H34">
        <v>101.14</v>
      </c>
      <c r="I34" t="s">
        <v>277</v>
      </c>
      <c r="J34" t="s">
        <v>300</v>
      </c>
      <c r="K34" t="s">
        <v>454</v>
      </c>
      <c r="L34" t="s">
        <v>199</v>
      </c>
      <c r="M34" t="s">
        <v>445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445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101.14</v>
      </c>
      <c r="AO34">
        <f>$H$34*$U$34</f>
        <v>101.14</v>
      </c>
      <c r="AP34">
        <f>$H$34*$V$34</f>
        <v>101.14</v>
      </c>
      <c r="AQ34">
        <f>$H$34*$W$34</f>
        <v>101.14</v>
      </c>
      <c r="AR34">
        <f>$H$34*$X$34</f>
        <v>101.14</v>
      </c>
      <c r="AS34">
        <f>$H$34*$Y$34</f>
        <v>101.14</v>
      </c>
      <c r="AT34">
        <f>$H$34*$Z$34</f>
        <v>101.14</v>
      </c>
      <c r="AU34">
        <f>$H$34*$AA$34</f>
        <v>101.14</v>
      </c>
      <c r="AV34">
        <f>$H$34*$AB$34</f>
        <v>101.14</v>
      </c>
      <c r="AW34">
        <f>$H$34*$AC$34</f>
        <v>101.14</v>
      </c>
      <c r="AX34">
        <f>$H$34*$AD$34</f>
        <v>101.14</v>
      </c>
      <c r="AY34">
        <f>$H$34*$AE$34</f>
        <v>101.14</v>
      </c>
      <c r="AZ34">
        <f>$H$34*$AF$34</f>
        <v>101.14</v>
      </c>
    </row>
    <row r="35" spans="1:52" x14ac:dyDescent="0.25">
      <c r="A35">
        <v>65</v>
      </c>
      <c r="B35" t="s">
        <v>274</v>
      </c>
      <c r="C35" t="s">
        <v>301</v>
      </c>
      <c r="D35">
        <v>86</v>
      </c>
      <c r="E35">
        <v>202.1</v>
      </c>
      <c r="F35" t="s">
        <v>291</v>
      </c>
      <c r="G35">
        <v>2.35</v>
      </c>
      <c r="H35">
        <v>242.52</v>
      </c>
      <c r="I35" t="s">
        <v>302</v>
      </c>
      <c r="J35" t="s">
        <v>303</v>
      </c>
      <c r="K35" t="s">
        <v>455</v>
      </c>
      <c r="L35" t="s">
        <v>199</v>
      </c>
      <c r="M35" t="s">
        <v>445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0.25</v>
      </c>
      <c r="T35">
        <v>0.25</v>
      </c>
      <c r="U35">
        <v>0.25</v>
      </c>
      <c r="V35">
        <v>0.25</v>
      </c>
      <c r="W35">
        <v>0.25</v>
      </c>
      <c r="X35">
        <v>0.5</v>
      </c>
      <c r="Y35">
        <v>0.5</v>
      </c>
      <c r="Z35">
        <v>0.5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445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60.63</v>
      </c>
      <c r="AN35">
        <f>$H$35*$T$35</f>
        <v>60.63</v>
      </c>
      <c r="AO35">
        <f>$H$35*$U$35</f>
        <v>60.63</v>
      </c>
      <c r="AP35">
        <f>$H$35*$V$35</f>
        <v>60.63</v>
      </c>
      <c r="AQ35">
        <f>$H$35*$W$35</f>
        <v>60.63</v>
      </c>
      <c r="AR35">
        <f>$H$35*$X$35</f>
        <v>121.26</v>
      </c>
      <c r="AS35">
        <f>$H$35*$Y$35</f>
        <v>121.26</v>
      </c>
      <c r="AT35">
        <f>$H$35*$Z$35</f>
        <v>121.26</v>
      </c>
      <c r="AU35">
        <f>$H$35*$AA$35</f>
        <v>242.52</v>
      </c>
      <c r="AV35">
        <f>$H$35*$AB$35</f>
        <v>242.52</v>
      </c>
      <c r="AW35">
        <f>$H$35*$AC$35</f>
        <v>242.52</v>
      </c>
      <c r="AX35">
        <f>$H$35*$AD$35</f>
        <v>242.52</v>
      </c>
      <c r="AY35">
        <f>$H$35*$AE$35</f>
        <v>242.52</v>
      </c>
      <c r="AZ35">
        <f>$H$35*$AF$35</f>
        <v>242.52</v>
      </c>
    </row>
    <row r="36" spans="1:52" x14ac:dyDescent="0.25">
      <c r="A36">
        <v>66</v>
      </c>
      <c r="B36" t="s">
        <v>274</v>
      </c>
      <c r="C36" t="s">
        <v>304</v>
      </c>
      <c r="D36">
        <v>1</v>
      </c>
      <c r="E36">
        <v>40.14</v>
      </c>
      <c r="F36" t="s">
        <v>281</v>
      </c>
      <c r="G36">
        <v>40.14</v>
      </c>
      <c r="H36">
        <v>48.16</v>
      </c>
      <c r="I36" t="s">
        <v>305</v>
      </c>
      <c r="J36" t="s">
        <v>306</v>
      </c>
      <c r="K36" t="s">
        <v>456</v>
      </c>
      <c r="L36" t="s">
        <v>199</v>
      </c>
      <c r="M36" t="s">
        <v>445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445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48.16</v>
      </c>
      <c r="AU36">
        <f>$H$36*$AA$36</f>
        <v>48.16</v>
      </c>
      <c r="AV36">
        <f>$H$36*$AB$36</f>
        <v>48.16</v>
      </c>
      <c r="AW36">
        <f>$H$36*$AC$36</f>
        <v>48.16</v>
      </c>
      <c r="AX36">
        <f>$H$36*$AD$36</f>
        <v>48.16</v>
      </c>
      <c r="AY36">
        <f>$H$36*$AE$36</f>
        <v>48.16</v>
      </c>
      <c r="AZ36">
        <f>$H$36*$AF$36</f>
        <v>48.16</v>
      </c>
    </row>
    <row r="37" spans="1:52" x14ac:dyDescent="0.25">
      <c r="A37">
        <v>67</v>
      </c>
      <c r="B37" t="s">
        <v>274</v>
      </c>
      <c r="C37" t="s">
        <v>307</v>
      </c>
      <c r="D37">
        <v>1</v>
      </c>
      <c r="E37">
        <v>365.09</v>
      </c>
      <c r="F37" t="s">
        <v>281</v>
      </c>
      <c r="G37">
        <v>365.09</v>
      </c>
      <c r="H37">
        <v>438.11</v>
      </c>
      <c r="I37" t="s">
        <v>308</v>
      </c>
      <c r="J37" t="s">
        <v>309</v>
      </c>
      <c r="K37" t="s">
        <v>457</v>
      </c>
      <c r="L37" t="s">
        <v>199</v>
      </c>
      <c r="M37" t="s">
        <v>445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445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438.11</v>
      </c>
      <c r="AO37">
        <f>$H$37*$U$37</f>
        <v>438.11</v>
      </c>
      <c r="AP37">
        <f>$H$37*$V$37</f>
        <v>438.11</v>
      </c>
      <c r="AQ37">
        <f>$H$37*$W$37</f>
        <v>438.11</v>
      </c>
      <c r="AR37">
        <f>$H$37*$X$37</f>
        <v>438.11</v>
      </c>
      <c r="AS37">
        <f>$H$37*$Y$37</f>
        <v>438.11</v>
      </c>
      <c r="AT37">
        <f>$H$37*$Z$37</f>
        <v>438.11</v>
      </c>
      <c r="AU37">
        <f>$H$37*$AA$37</f>
        <v>438.11</v>
      </c>
      <c r="AV37">
        <f>$H$37*$AB$37</f>
        <v>438.11</v>
      </c>
      <c r="AW37">
        <f>$H$37*$AC$37</f>
        <v>438.11</v>
      </c>
      <c r="AX37">
        <f>$H$37*$AD$37</f>
        <v>438.11</v>
      </c>
      <c r="AY37">
        <f>$H$37*$AE$37</f>
        <v>438.11</v>
      </c>
      <c r="AZ37">
        <f>$H$37*$AF$37</f>
        <v>438.11</v>
      </c>
    </row>
    <row r="38" spans="1:52" x14ac:dyDescent="0.25">
      <c r="A38">
        <v>68</v>
      </c>
      <c r="B38" t="s">
        <v>274</v>
      </c>
      <c r="C38" t="s">
        <v>310</v>
      </c>
      <c r="D38">
        <v>2</v>
      </c>
      <c r="E38">
        <v>62.72</v>
      </c>
      <c r="F38" t="s">
        <v>281</v>
      </c>
      <c r="G38">
        <v>31.36</v>
      </c>
      <c r="H38">
        <v>75.260000000000005</v>
      </c>
      <c r="I38" t="s">
        <v>277</v>
      </c>
      <c r="J38" t="s">
        <v>311</v>
      </c>
      <c r="K38" t="s">
        <v>458</v>
      </c>
      <c r="L38" t="s">
        <v>199</v>
      </c>
      <c r="M38" t="s">
        <v>445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445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75.260000000000005</v>
      </c>
      <c r="AN38">
        <f>$H$38*$T$38</f>
        <v>75.260000000000005</v>
      </c>
      <c r="AO38">
        <f>$H$38*$U$38</f>
        <v>75.260000000000005</v>
      </c>
      <c r="AP38">
        <f>$H$38*$V$38</f>
        <v>75.260000000000005</v>
      </c>
      <c r="AQ38">
        <f>$H$38*$W$38</f>
        <v>75.260000000000005</v>
      </c>
      <c r="AR38">
        <f>$H$38*$X$38</f>
        <v>75.260000000000005</v>
      </c>
      <c r="AS38">
        <f>$H$38*$Y$38</f>
        <v>75.260000000000005</v>
      </c>
      <c r="AT38">
        <f>$H$38*$Z$38</f>
        <v>75.260000000000005</v>
      </c>
      <c r="AU38">
        <f>$H$38*$AA$38</f>
        <v>75.260000000000005</v>
      </c>
      <c r="AV38">
        <f>$H$38*$AB$38</f>
        <v>75.260000000000005</v>
      </c>
      <c r="AW38">
        <f>$H$38*$AC$38</f>
        <v>75.260000000000005</v>
      </c>
      <c r="AX38">
        <f>$H$38*$AD$38</f>
        <v>75.260000000000005</v>
      </c>
      <c r="AY38">
        <f>$H$38*$AE$38</f>
        <v>75.260000000000005</v>
      </c>
      <c r="AZ38">
        <f>$H$38*$AF$38</f>
        <v>75.260000000000005</v>
      </c>
    </row>
    <row r="39" spans="1:52" x14ac:dyDescent="0.25">
      <c r="A39">
        <v>69</v>
      </c>
      <c r="B39" t="s">
        <v>274</v>
      </c>
      <c r="C39" t="s">
        <v>312</v>
      </c>
      <c r="D39">
        <v>2</v>
      </c>
      <c r="E39">
        <v>77.86</v>
      </c>
      <c r="F39" t="s">
        <v>281</v>
      </c>
      <c r="G39">
        <v>38.93</v>
      </c>
      <c r="H39">
        <v>93.44</v>
      </c>
      <c r="I39" t="s">
        <v>277</v>
      </c>
      <c r="J39" t="s">
        <v>308</v>
      </c>
      <c r="K39" t="s">
        <v>459</v>
      </c>
      <c r="L39" t="s">
        <v>199</v>
      </c>
      <c r="M39" t="s">
        <v>445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445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93.44</v>
      </c>
      <c r="AN39">
        <f>$H$39*$T$39</f>
        <v>93.44</v>
      </c>
      <c r="AO39">
        <f>$H$39*$U$39</f>
        <v>93.44</v>
      </c>
      <c r="AP39">
        <f>$H$39*$V$39</f>
        <v>93.44</v>
      </c>
      <c r="AQ39">
        <f>$H$39*$W$39</f>
        <v>93.44</v>
      </c>
      <c r="AR39">
        <f>$H$39*$X$39</f>
        <v>93.44</v>
      </c>
      <c r="AS39">
        <f>$H$39*$Y$39</f>
        <v>93.44</v>
      </c>
      <c r="AT39">
        <f>$H$39*$Z$39</f>
        <v>93.44</v>
      </c>
      <c r="AU39">
        <f>$H$39*$AA$39</f>
        <v>93.44</v>
      </c>
      <c r="AV39">
        <f>$H$39*$AB$39</f>
        <v>93.44</v>
      </c>
      <c r="AW39">
        <f>$H$39*$AC$39</f>
        <v>93.44</v>
      </c>
      <c r="AX39">
        <f>$H$39*$AD$39</f>
        <v>93.44</v>
      </c>
      <c r="AY39">
        <f>$H$39*$AE$39</f>
        <v>93.44</v>
      </c>
      <c r="AZ39">
        <f>$H$39*$AF$39</f>
        <v>93.44</v>
      </c>
    </row>
    <row r="40" spans="1:52" x14ac:dyDescent="0.25">
      <c r="A40">
        <v>70</v>
      </c>
      <c r="B40" t="s">
        <v>257</v>
      </c>
      <c r="C40" t="s">
        <v>344</v>
      </c>
      <c r="D40">
        <v>6</v>
      </c>
      <c r="E40">
        <v>79.62</v>
      </c>
      <c r="F40" t="s">
        <v>281</v>
      </c>
      <c r="G40">
        <v>13.27</v>
      </c>
      <c r="H40">
        <v>95.54</v>
      </c>
      <c r="I40" t="s">
        <v>283</v>
      </c>
      <c r="J40" t="s">
        <v>345</v>
      </c>
      <c r="K40" t="s">
        <v>476</v>
      </c>
      <c r="L40" t="s">
        <v>199</v>
      </c>
      <c r="M40" t="s">
        <v>257</v>
      </c>
      <c r="N40" t="s">
        <v>12</v>
      </c>
      <c r="O40" t="s">
        <v>15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257</v>
      </c>
      <c r="AH40" t="s">
        <v>12</v>
      </c>
      <c r="AI40" t="s">
        <v>15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95.54</v>
      </c>
      <c r="AS40">
        <f>$H$40*$Y$40</f>
        <v>95.54</v>
      </c>
      <c r="AT40">
        <f>$H$40*$Z$40</f>
        <v>95.54</v>
      </c>
      <c r="AU40">
        <f>$H$40*$AA$40</f>
        <v>95.54</v>
      </c>
      <c r="AV40">
        <f>$H$40*$AB$40</f>
        <v>95.54</v>
      </c>
      <c r="AW40">
        <f>$H$40*$AC$40</f>
        <v>95.54</v>
      </c>
      <c r="AX40">
        <f>$H$40*$AD$40</f>
        <v>95.54</v>
      </c>
      <c r="AY40">
        <f>$H$40*$AE$40</f>
        <v>95.54</v>
      </c>
      <c r="AZ40">
        <f>$H$40*$AF$40</f>
        <v>95.54</v>
      </c>
    </row>
    <row r="41" spans="1:52" x14ac:dyDescent="0.25">
      <c r="A41">
        <v>71</v>
      </c>
      <c r="B41" t="s">
        <v>257</v>
      </c>
      <c r="C41" t="s">
        <v>295</v>
      </c>
      <c r="D41">
        <v>11</v>
      </c>
      <c r="E41">
        <v>48.84</v>
      </c>
      <c r="F41" t="s">
        <v>276</v>
      </c>
      <c r="G41">
        <v>4.4400000000000004</v>
      </c>
      <c r="H41">
        <v>58.6</v>
      </c>
      <c r="I41" t="s">
        <v>277</v>
      </c>
      <c r="J41" t="s">
        <v>296</v>
      </c>
      <c r="K41" t="s">
        <v>452</v>
      </c>
      <c r="L41" t="s">
        <v>199</v>
      </c>
      <c r="M41" t="s">
        <v>257</v>
      </c>
      <c r="N41" t="s">
        <v>12</v>
      </c>
      <c r="O41" t="s">
        <v>15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257</v>
      </c>
      <c r="AH41" t="s">
        <v>12</v>
      </c>
      <c r="AI41" t="s">
        <v>15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58.6</v>
      </c>
      <c r="AV41">
        <f>$H$41*$AB$41</f>
        <v>58.6</v>
      </c>
      <c r="AW41">
        <f>$H$41*$AC$41</f>
        <v>58.6</v>
      </c>
      <c r="AX41">
        <f>$H$41*$AD$41</f>
        <v>58.6</v>
      </c>
      <c r="AY41">
        <f>$H$41*$AE$41</f>
        <v>58.6</v>
      </c>
      <c r="AZ41">
        <f>$H$41*$AF$41</f>
        <v>58.6</v>
      </c>
    </row>
    <row r="42" spans="1:52" x14ac:dyDescent="0.25">
      <c r="A42">
        <v>72</v>
      </c>
      <c r="B42" t="s">
        <v>257</v>
      </c>
      <c r="C42" t="s">
        <v>297</v>
      </c>
      <c r="D42">
        <v>11</v>
      </c>
      <c r="E42">
        <v>127.05</v>
      </c>
      <c r="F42" t="s">
        <v>276</v>
      </c>
      <c r="G42">
        <v>11.55</v>
      </c>
      <c r="H42">
        <v>152.47</v>
      </c>
      <c r="I42" t="s">
        <v>280</v>
      </c>
      <c r="J42" t="s">
        <v>298</v>
      </c>
      <c r="K42" t="s">
        <v>453</v>
      </c>
      <c r="L42" t="s">
        <v>199</v>
      </c>
      <c r="M42" t="s">
        <v>257</v>
      </c>
      <c r="N42" t="s">
        <v>12</v>
      </c>
      <c r="O42" t="s">
        <v>15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257</v>
      </c>
      <c r="AH42" t="s">
        <v>12</v>
      </c>
      <c r="AI42" t="s">
        <v>15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152.47</v>
      </c>
      <c r="AV42">
        <f>$H$42*$AB$42</f>
        <v>152.47</v>
      </c>
      <c r="AW42">
        <f>$H$42*$AC$42</f>
        <v>152.47</v>
      </c>
      <c r="AX42">
        <f>$H$42*$AD$42</f>
        <v>152.47</v>
      </c>
      <c r="AY42">
        <f>$H$42*$AE$42</f>
        <v>152.47</v>
      </c>
      <c r="AZ42">
        <f>$H$42*$AF$42</f>
        <v>152.47</v>
      </c>
    </row>
    <row r="43" spans="1:52" x14ac:dyDescent="0.25">
      <c r="A43">
        <v>73</v>
      </c>
      <c r="B43" t="s">
        <v>257</v>
      </c>
      <c r="C43" t="s">
        <v>346</v>
      </c>
      <c r="D43">
        <v>1</v>
      </c>
      <c r="E43">
        <v>48.06</v>
      </c>
      <c r="F43" t="s">
        <v>281</v>
      </c>
      <c r="G43">
        <v>48.06</v>
      </c>
      <c r="H43">
        <v>57.68</v>
      </c>
      <c r="I43" t="s">
        <v>286</v>
      </c>
      <c r="J43" t="s">
        <v>347</v>
      </c>
      <c r="K43" t="s">
        <v>477</v>
      </c>
      <c r="L43" t="s">
        <v>199</v>
      </c>
      <c r="M43" t="s">
        <v>257</v>
      </c>
      <c r="N43" t="s">
        <v>12</v>
      </c>
      <c r="O43" t="s">
        <v>15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1</v>
      </c>
      <c r="AF43">
        <v>1</v>
      </c>
      <c r="AG43" t="s">
        <v>257</v>
      </c>
      <c r="AH43" t="s">
        <v>12</v>
      </c>
      <c r="AI43" t="s">
        <v>15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0</v>
      </c>
      <c r="AV43">
        <f>$H$43*$AB$43</f>
        <v>0</v>
      </c>
      <c r="AW43">
        <f>$H$43*$AC$43</f>
        <v>0</v>
      </c>
      <c r="AX43">
        <f>$H$43*$AD$43</f>
        <v>57.68</v>
      </c>
      <c r="AY43">
        <f>$H$43*$AE$43</f>
        <v>57.68</v>
      </c>
      <c r="AZ43">
        <f>$H$43*$AF$43</f>
        <v>57.68</v>
      </c>
    </row>
    <row r="44" spans="1:52" x14ac:dyDescent="0.25">
      <c r="A44">
        <v>74</v>
      </c>
      <c r="B44" t="s">
        <v>257</v>
      </c>
      <c r="C44" t="s">
        <v>348</v>
      </c>
      <c r="D44">
        <v>1</v>
      </c>
      <c r="E44">
        <v>47.96</v>
      </c>
      <c r="F44" t="s">
        <v>281</v>
      </c>
      <c r="G44">
        <v>47.96</v>
      </c>
      <c r="H44">
        <v>57.56</v>
      </c>
      <c r="I44" t="s">
        <v>305</v>
      </c>
      <c r="J44" t="s">
        <v>349</v>
      </c>
      <c r="K44" t="s">
        <v>478</v>
      </c>
      <c r="L44" t="s">
        <v>199</v>
      </c>
      <c r="M44" t="s">
        <v>257</v>
      </c>
      <c r="N44" t="s">
        <v>12</v>
      </c>
      <c r="O44" t="s">
        <v>15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257</v>
      </c>
      <c r="AH44" t="s">
        <v>12</v>
      </c>
      <c r="AI44" t="s">
        <v>15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0</v>
      </c>
      <c r="AT44">
        <f>$H$44*$Z$44</f>
        <v>0</v>
      </c>
      <c r="AU44">
        <f>$H$44*$AA$44</f>
        <v>57.56</v>
      </c>
      <c r="AV44">
        <f>$H$44*$AB$44</f>
        <v>57.56</v>
      </c>
      <c r="AW44">
        <f>$H$44*$AC$44</f>
        <v>57.56</v>
      </c>
      <c r="AX44">
        <f>$H$44*$AD$44</f>
        <v>57.56</v>
      </c>
      <c r="AY44">
        <f>$H$44*$AE$44</f>
        <v>57.56</v>
      </c>
      <c r="AZ44">
        <f>$H$44*$AF$44</f>
        <v>57.56</v>
      </c>
    </row>
    <row r="45" spans="1:52" x14ac:dyDescent="0.25">
      <c r="A45">
        <v>75</v>
      </c>
      <c r="B45" t="s">
        <v>257</v>
      </c>
      <c r="C45" t="s">
        <v>312</v>
      </c>
      <c r="D45">
        <v>2</v>
      </c>
      <c r="E45">
        <v>77.86</v>
      </c>
      <c r="F45" t="s">
        <v>281</v>
      </c>
      <c r="G45">
        <v>38.93</v>
      </c>
      <c r="H45">
        <v>93.44</v>
      </c>
      <c r="I45" t="s">
        <v>277</v>
      </c>
      <c r="J45" t="s">
        <v>308</v>
      </c>
      <c r="K45" t="s">
        <v>459</v>
      </c>
      <c r="L45" t="s">
        <v>199</v>
      </c>
      <c r="M45" t="s">
        <v>257</v>
      </c>
      <c r="N45" t="s">
        <v>12</v>
      </c>
      <c r="O45" t="s">
        <v>15</v>
      </c>
      <c r="P45">
        <v>0</v>
      </c>
      <c r="Q45">
        <v>0</v>
      </c>
      <c r="R45">
        <v>0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257</v>
      </c>
      <c r="AH45" t="s">
        <v>12</v>
      </c>
      <c r="AI45" t="s">
        <v>15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93.44</v>
      </c>
      <c r="AN45">
        <f>$H$45*$T$45</f>
        <v>93.44</v>
      </c>
      <c r="AO45">
        <f>$H$45*$U$45</f>
        <v>93.44</v>
      </c>
      <c r="AP45">
        <f>$H$45*$V$45</f>
        <v>93.44</v>
      </c>
      <c r="AQ45">
        <f>$H$45*$W$45</f>
        <v>93.44</v>
      </c>
      <c r="AR45">
        <f>$H$45*$X$45</f>
        <v>93.44</v>
      </c>
      <c r="AS45">
        <f>$H$45*$Y$45</f>
        <v>93.44</v>
      </c>
      <c r="AT45">
        <f>$H$45*$Z$45</f>
        <v>93.44</v>
      </c>
      <c r="AU45">
        <f>$H$45*$AA$45</f>
        <v>93.44</v>
      </c>
      <c r="AV45">
        <f>$H$45*$AB$45</f>
        <v>93.44</v>
      </c>
      <c r="AW45">
        <f>$H$45*$AC$45</f>
        <v>93.44</v>
      </c>
      <c r="AX45">
        <f>$H$45*$AD$45</f>
        <v>93.44</v>
      </c>
      <c r="AY45">
        <f>$H$45*$AE$45</f>
        <v>93.44</v>
      </c>
      <c r="AZ45">
        <f>$H$45*$AF$45</f>
        <v>93.44</v>
      </c>
    </row>
    <row r="46" spans="1:52" x14ac:dyDescent="0.25">
      <c r="A46">
        <v>76</v>
      </c>
      <c r="B46" t="s">
        <v>257</v>
      </c>
      <c r="C46" t="s">
        <v>307</v>
      </c>
      <c r="D46">
        <v>1</v>
      </c>
      <c r="E46">
        <v>365.09</v>
      </c>
      <c r="F46" t="s">
        <v>281</v>
      </c>
      <c r="G46">
        <v>365.09</v>
      </c>
      <c r="H46">
        <v>438.11</v>
      </c>
      <c r="I46" t="s">
        <v>308</v>
      </c>
      <c r="J46" t="s">
        <v>309</v>
      </c>
      <c r="K46" t="s">
        <v>457</v>
      </c>
      <c r="L46" t="s">
        <v>199</v>
      </c>
      <c r="M46" t="s">
        <v>257</v>
      </c>
      <c r="N46" t="s">
        <v>12</v>
      </c>
      <c r="O46" t="s">
        <v>15</v>
      </c>
      <c r="P46">
        <v>0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257</v>
      </c>
      <c r="AH46" t="s">
        <v>12</v>
      </c>
      <c r="AI46" t="s">
        <v>15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438.11</v>
      </c>
      <c r="AO46">
        <f>$H$46*$U$46</f>
        <v>438.11</v>
      </c>
      <c r="AP46">
        <f>$H$46*$V$46</f>
        <v>438.11</v>
      </c>
      <c r="AQ46">
        <f>$H$46*$W$46</f>
        <v>438.11</v>
      </c>
      <c r="AR46">
        <f>$H$46*$X$46</f>
        <v>438.11</v>
      </c>
      <c r="AS46">
        <f>$H$46*$Y$46</f>
        <v>438.11</v>
      </c>
      <c r="AT46">
        <f>$H$46*$Z$46</f>
        <v>438.11</v>
      </c>
      <c r="AU46">
        <f>$H$46*$AA$46</f>
        <v>438.11</v>
      </c>
      <c r="AV46">
        <f>$H$46*$AB$46</f>
        <v>438.11</v>
      </c>
      <c r="AW46">
        <f>$H$46*$AC$46</f>
        <v>438.11</v>
      </c>
      <c r="AX46">
        <f>$H$46*$AD$46</f>
        <v>438.11</v>
      </c>
      <c r="AY46">
        <f>$H$46*$AE$46</f>
        <v>438.11</v>
      </c>
      <c r="AZ46">
        <f>$H$46*$AF$46</f>
        <v>438.11</v>
      </c>
    </row>
    <row r="47" spans="1:52" x14ac:dyDescent="0.25">
      <c r="A47">
        <v>77</v>
      </c>
      <c r="B47" t="s">
        <v>257</v>
      </c>
      <c r="C47" t="s">
        <v>299</v>
      </c>
      <c r="D47">
        <v>192</v>
      </c>
      <c r="E47">
        <v>188.16</v>
      </c>
      <c r="F47" t="s">
        <v>291</v>
      </c>
      <c r="G47">
        <v>0.98</v>
      </c>
      <c r="H47">
        <v>225.8</v>
      </c>
      <c r="I47" t="s">
        <v>277</v>
      </c>
      <c r="J47" t="s">
        <v>300</v>
      </c>
      <c r="K47" t="s">
        <v>454</v>
      </c>
      <c r="L47" t="s">
        <v>199</v>
      </c>
      <c r="M47" t="s">
        <v>257</v>
      </c>
      <c r="N47" t="s">
        <v>12</v>
      </c>
      <c r="O47" t="s">
        <v>15</v>
      </c>
      <c r="P47">
        <v>0</v>
      </c>
      <c r="Q47">
        <v>0</v>
      </c>
      <c r="R47">
        <v>0</v>
      </c>
      <c r="S47">
        <v>0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257</v>
      </c>
      <c r="AH47" t="s">
        <v>12</v>
      </c>
      <c r="AI47" t="s">
        <v>15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225.8</v>
      </c>
      <c r="AO47">
        <f>$H$47*$U$47</f>
        <v>225.8</v>
      </c>
      <c r="AP47">
        <f>$H$47*$V$47</f>
        <v>225.8</v>
      </c>
      <c r="AQ47">
        <f>$H$47*$W$47</f>
        <v>225.8</v>
      </c>
      <c r="AR47">
        <f>$H$47*$X$47</f>
        <v>225.8</v>
      </c>
      <c r="AS47">
        <f>$H$47*$Y$47</f>
        <v>225.8</v>
      </c>
      <c r="AT47">
        <f>$H$47*$Z$47</f>
        <v>225.8</v>
      </c>
      <c r="AU47">
        <f>$H$47*$AA$47</f>
        <v>225.8</v>
      </c>
      <c r="AV47">
        <f>$H$47*$AB$47</f>
        <v>225.8</v>
      </c>
      <c r="AW47">
        <f>$H$47*$AC$47</f>
        <v>225.8</v>
      </c>
      <c r="AX47">
        <f>$H$47*$AD$47</f>
        <v>225.8</v>
      </c>
      <c r="AY47">
        <f>$H$47*$AE$47</f>
        <v>225.8</v>
      </c>
      <c r="AZ47">
        <f>$H$47*$AF$47</f>
        <v>225.8</v>
      </c>
    </row>
    <row r="48" spans="1:52" x14ac:dyDescent="0.25">
      <c r="A48">
        <v>78</v>
      </c>
      <c r="B48" t="s">
        <v>257</v>
      </c>
      <c r="C48" t="s">
        <v>350</v>
      </c>
      <c r="D48">
        <v>192</v>
      </c>
      <c r="E48">
        <v>512.64</v>
      </c>
      <c r="F48" t="s">
        <v>291</v>
      </c>
      <c r="G48">
        <v>2.67</v>
      </c>
      <c r="H48">
        <v>615.16</v>
      </c>
      <c r="I48" t="s">
        <v>302</v>
      </c>
      <c r="J48" t="s">
        <v>351</v>
      </c>
      <c r="K48" t="s">
        <v>479</v>
      </c>
      <c r="L48" t="s">
        <v>199</v>
      </c>
      <c r="M48" t="s">
        <v>257</v>
      </c>
      <c r="N48" t="s">
        <v>12</v>
      </c>
      <c r="O48" t="s">
        <v>15</v>
      </c>
      <c r="P48">
        <v>0</v>
      </c>
      <c r="Q48">
        <v>0</v>
      </c>
      <c r="R48">
        <v>0</v>
      </c>
      <c r="S48">
        <v>0.25</v>
      </c>
      <c r="T48">
        <v>0.25</v>
      </c>
      <c r="U48">
        <v>0.25</v>
      </c>
      <c r="V48">
        <v>0.25</v>
      </c>
      <c r="W48">
        <v>0.25</v>
      </c>
      <c r="X48">
        <v>0.5</v>
      </c>
      <c r="Y48">
        <v>0.5</v>
      </c>
      <c r="Z48">
        <v>0.5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257</v>
      </c>
      <c r="AH48" t="s">
        <v>12</v>
      </c>
      <c r="AI48" t="s">
        <v>15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153.79</v>
      </c>
      <c r="AN48">
        <f>$H$48*$T$48</f>
        <v>153.79</v>
      </c>
      <c r="AO48">
        <f>$H$48*$U$48</f>
        <v>153.79</v>
      </c>
      <c r="AP48">
        <f>$H$48*$V$48</f>
        <v>153.79</v>
      </c>
      <c r="AQ48">
        <f>$H$48*$W$48</f>
        <v>153.79</v>
      </c>
      <c r="AR48">
        <f>$H$48*$X$48</f>
        <v>307.58</v>
      </c>
      <c r="AS48">
        <f>$H$48*$Y$48</f>
        <v>307.58</v>
      </c>
      <c r="AT48">
        <f>$H$48*$Z$48</f>
        <v>307.58</v>
      </c>
      <c r="AU48">
        <f>$H$48*$AA$48</f>
        <v>615.16</v>
      </c>
      <c r="AV48">
        <f>$H$48*$AB$48</f>
        <v>615.16</v>
      </c>
      <c r="AW48">
        <f>$H$48*$AC$48</f>
        <v>615.16</v>
      </c>
      <c r="AX48">
        <f>$H$48*$AD$48</f>
        <v>615.16</v>
      </c>
      <c r="AY48">
        <f>$H$48*$AE$48</f>
        <v>615.16</v>
      </c>
      <c r="AZ48">
        <f>$H$48*$AF$48</f>
        <v>615.16</v>
      </c>
    </row>
    <row r="49" spans="1:52" x14ac:dyDescent="0.25">
      <c r="A49">
        <v>79</v>
      </c>
      <c r="B49" t="s">
        <v>257</v>
      </c>
      <c r="C49" t="s">
        <v>352</v>
      </c>
      <c r="D49">
        <v>24</v>
      </c>
      <c r="E49">
        <v>84.48</v>
      </c>
      <c r="F49" t="s">
        <v>276</v>
      </c>
      <c r="G49">
        <v>3.52</v>
      </c>
      <c r="H49">
        <v>101.38</v>
      </c>
      <c r="I49" t="s">
        <v>280</v>
      </c>
      <c r="J49" t="s">
        <v>353</v>
      </c>
      <c r="K49" t="s">
        <v>480</v>
      </c>
      <c r="L49" t="s">
        <v>199</v>
      </c>
      <c r="M49" t="s">
        <v>257</v>
      </c>
      <c r="N49" t="s">
        <v>12</v>
      </c>
      <c r="O49" t="s">
        <v>15</v>
      </c>
      <c r="P49">
        <v>0</v>
      </c>
      <c r="Q49">
        <v>0</v>
      </c>
      <c r="R49">
        <v>0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257</v>
      </c>
      <c r="AH49" t="s">
        <v>12</v>
      </c>
      <c r="AI49" t="s">
        <v>15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101.38</v>
      </c>
      <c r="AN49">
        <f>$H$49*$T$49</f>
        <v>101.38</v>
      </c>
      <c r="AO49">
        <f>$H$49*$U$49</f>
        <v>101.38</v>
      </c>
      <c r="AP49">
        <f>$H$49*$V$49</f>
        <v>101.38</v>
      </c>
      <c r="AQ49">
        <f>$H$49*$W$49</f>
        <v>101.38</v>
      </c>
      <c r="AR49">
        <f>$H$49*$X$49</f>
        <v>101.38</v>
      </c>
      <c r="AS49">
        <f>$H$49*$Y$49</f>
        <v>101.38</v>
      </c>
      <c r="AT49">
        <f>$H$49*$Z$49</f>
        <v>101.38</v>
      </c>
      <c r="AU49">
        <f>$H$49*$AA$49</f>
        <v>101.38</v>
      </c>
      <c r="AV49">
        <f>$H$49*$AB$49</f>
        <v>101.38</v>
      </c>
      <c r="AW49">
        <f>$H$49*$AC$49</f>
        <v>101.38</v>
      </c>
      <c r="AX49">
        <f>$H$49*$AD$49</f>
        <v>101.38</v>
      </c>
      <c r="AY49">
        <f>$H$49*$AE$49</f>
        <v>101.38</v>
      </c>
      <c r="AZ49">
        <f>$H$49*$AF$49</f>
        <v>101.38</v>
      </c>
    </row>
    <row r="50" spans="1:52" x14ac:dyDescent="0.25">
      <c r="A50">
        <v>80</v>
      </c>
      <c r="B50" t="s">
        <v>257</v>
      </c>
      <c r="C50" t="s">
        <v>350</v>
      </c>
      <c r="D50">
        <v>35</v>
      </c>
      <c r="E50">
        <v>93.45</v>
      </c>
      <c r="F50" t="s">
        <v>291</v>
      </c>
      <c r="G50">
        <v>2.67</v>
      </c>
      <c r="H50">
        <v>112.15</v>
      </c>
      <c r="I50" t="s">
        <v>302</v>
      </c>
      <c r="J50" t="s">
        <v>351</v>
      </c>
      <c r="K50" t="s">
        <v>479</v>
      </c>
      <c r="L50" t="s">
        <v>199</v>
      </c>
      <c r="M50" t="s">
        <v>257</v>
      </c>
      <c r="N50" t="s">
        <v>12</v>
      </c>
      <c r="O50" t="s">
        <v>15</v>
      </c>
      <c r="P50">
        <v>0</v>
      </c>
      <c r="Q50">
        <v>0</v>
      </c>
      <c r="R50">
        <v>0</v>
      </c>
      <c r="S50">
        <v>0.25</v>
      </c>
      <c r="T50">
        <v>0.25</v>
      </c>
      <c r="U50">
        <v>0.25</v>
      </c>
      <c r="V50">
        <v>0.25</v>
      </c>
      <c r="W50">
        <v>0.25</v>
      </c>
      <c r="X50">
        <v>0.5</v>
      </c>
      <c r="Y50">
        <v>0.5</v>
      </c>
      <c r="Z50">
        <v>0.5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257</v>
      </c>
      <c r="AH50" t="s">
        <v>12</v>
      </c>
      <c r="AI50" t="s">
        <v>15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28.037500000000001</v>
      </c>
      <c r="AN50">
        <f>$H$50*$T$50</f>
        <v>28.037500000000001</v>
      </c>
      <c r="AO50">
        <f>$H$50*$U$50</f>
        <v>28.037500000000001</v>
      </c>
      <c r="AP50">
        <f>$H$50*$V$50</f>
        <v>28.037500000000001</v>
      </c>
      <c r="AQ50">
        <f>$H$50*$W$50</f>
        <v>28.037500000000001</v>
      </c>
      <c r="AR50">
        <f>$H$50*$X$50</f>
        <v>56.075000000000003</v>
      </c>
      <c r="AS50">
        <f>$H$50*$Y$50</f>
        <v>56.075000000000003</v>
      </c>
      <c r="AT50">
        <f>$H$50*$Z$50</f>
        <v>56.075000000000003</v>
      </c>
      <c r="AU50">
        <f>$H$50*$AA$50</f>
        <v>112.15</v>
      </c>
      <c r="AV50">
        <f>$H$50*$AB$50</f>
        <v>112.15</v>
      </c>
      <c r="AW50">
        <f>$H$50*$AC$50</f>
        <v>112.15</v>
      </c>
      <c r="AX50">
        <f>$H$50*$AD$50</f>
        <v>112.15</v>
      </c>
      <c r="AY50">
        <f>$H$50*$AE$50</f>
        <v>112.15</v>
      </c>
      <c r="AZ50">
        <f>$H$50*$AF$50</f>
        <v>112.15</v>
      </c>
    </row>
    <row r="51" spans="1:52" x14ac:dyDescent="0.25">
      <c r="A51">
        <v>81</v>
      </c>
      <c r="B51" t="s">
        <v>257</v>
      </c>
      <c r="C51" t="s">
        <v>354</v>
      </c>
      <c r="D51">
        <v>35</v>
      </c>
      <c r="E51">
        <v>22.05</v>
      </c>
      <c r="F51" t="s">
        <v>291</v>
      </c>
      <c r="G51">
        <v>0.63</v>
      </c>
      <c r="H51">
        <v>26.47</v>
      </c>
      <c r="I51" t="s">
        <v>277</v>
      </c>
      <c r="J51" t="s">
        <v>355</v>
      </c>
      <c r="K51" t="s">
        <v>481</v>
      </c>
      <c r="L51" t="s">
        <v>199</v>
      </c>
      <c r="M51" t="s">
        <v>257</v>
      </c>
      <c r="N51" t="s">
        <v>12</v>
      </c>
      <c r="O51" t="s">
        <v>15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1</v>
      </c>
      <c r="AF51">
        <v>1</v>
      </c>
      <c r="AG51" t="s">
        <v>257</v>
      </c>
      <c r="AH51" t="s">
        <v>12</v>
      </c>
      <c r="AI51" t="s">
        <v>15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0</v>
      </c>
      <c r="AV51">
        <f>$H$51*$AB$51</f>
        <v>0</v>
      </c>
      <c r="AW51">
        <f>$H$51*$AC$51</f>
        <v>0</v>
      </c>
      <c r="AX51">
        <f>$H$51*$AD$51</f>
        <v>26.47</v>
      </c>
      <c r="AY51">
        <f>$H$51*$AE$51</f>
        <v>26.47</v>
      </c>
      <c r="AZ51">
        <f>$H$51*$AF$51</f>
        <v>26.47</v>
      </c>
    </row>
    <row r="52" spans="1:52" x14ac:dyDescent="0.25">
      <c r="A52">
        <v>82</v>
      </c>
      <c r="B52" t="s">
        <v>257</v>
      </c>
      <c r="C52" t="s">
        <v>356</v>
      </c>
      <c r="D52">
        <v>35</v>
      </c>
      <c r="E52">
        <v>24.15</v>
      </c>
      <c r="F52" t="s">
        <v>291</v>
      </c>
      <c r="G52">
        <v>0.69</v>
      </c>
      <c r="H52">
        <v>28.99</v>
      </c>
      <c r="I52" t="s">
        <v>277</v>
      </c>
      <c r="J52" t="s">
        <v>357</v>
      </c>
      <c r="K52" t="s">
        <v>482</v>
      </c>
      <c r="L52" t="s">
        <v>199</v>
      </c>
      <c r="M52" t="s">
        <v>257</v>
      </c>
      <c r="N52" t="s">
        <v>12</v>
      </c>
      <c r="O52" t="s">
        <v>15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257</v>
      </c>
      <c r="AH52" t="s">
        <v>12</v>
      </c>
      <c r="AI52" t="s">
        <v>15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28.99</v>
      </c>
      <c r="AN52">
        <f>$H$52*$T$52</f>
        <v>28.99</v>
      </c>
      <c r="AO52">
        <f>$H$52*$U$52</f>
        <v>28.99</v>
      </c>
      <c r="AP52">
        <f>$H$52*$V$52</f>
        <v>28.99</v>
      </c>
      <c r="AQ52">
        <f>$H$52*$W$52</f>
        <v>28.99</v>
      </c>
      <c r="AR52">
        <f>$H$52*$X$52</f>
        <v>28.99</v>
      </c>
      <c r="AS52">
        <f>$H$52*$Y$52</f>
        <v>28.99</v>
      </c>
      <c r="AT52">
        <f>$H$52*$Z$52</f>
        <v>28.99</v>
      </c>
      <c r="AU52">
        <f>$H$52*$AA$52</f>
        <v>28.99</v>
      </c>
      <c r="AV52">
        <f>$H$52*$AB$52</f>
        <v>28.99</v>
      </c>
      <c r="AW52">
        <f>$H$52*$AC$52</f>
        <v>28.99</v>
      </c>
      <c r="AX52">
        <f>$H$52*$AD$52</f>
        <v>28.99</v>
      </c>
      <c r="AY52">
        <f>$H$52*$AE$52</f>
        <v>28.99</v>
      </c>
      <c r="AZ52">
        <f>$H$52*$AF$52</f>
        <v>28.99</v>
      </c>
    </row>
    <row r="53" spans="1:52" x14ac:dyDescent="0.25">
      <c r="A53">
        <v>83</v>
      </c>
      <c r="B53" t="s">
        <v>257</v>
      </c>
      <c r="C53" t="s">
        <v>358</v>
      </c>
      <c r="D53">
        <v>8.0500000000000007</v>
      </c>
      <c r="E53">
        <v>32.44</v>
      </c>
      <c r="F53" t="s">
        <v>291</v>
      </c>
      <c r="G53">
        <v>4.03</v>
      </c>
      <c r="H53">
        <v>38.92</v>
      </c>
      <c r="I53" t="s">
        <v>359</v>
      </c>
      <c r="J53" t="s">
        <v>360</v>
      </c>
      <c r="K53" t="s">
        <v>483</v>
      </c>
      <c r="L53" t="s">
        <v>199</v>
      </c>
      <c r="M53" t="s">
        <v>257</v>
      </c>
      <c r="N53" t="s">
        <v>12</v>
      </c>
      <c r="O53" t="s">
        <v>15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257</v>
      </c>
      <c r="AH53" t="s">
        <v>12</v>
      </c>
      <c r="AI53" t="s">
        <v>15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38.92</v>
      </c>
      <c r="AN53">
        <f>$H$53*$T$53</f>
        <v>38.92</v>
      </c>
      <c r="AO53">
        <f>$H$53*$U$53</f>
        <v>38.92</v>
      </c>
      <c r="AP53">
        <f>$H$53*$V$53</f>
        <v>38.92</v>
      </c>
      <c r="AQ53">
        <f>$H$53*$W$53</f>
        <v>38.92</v>
      </c>
      <c r="AR53">
        <f>$H$53*$X$53</f>
        <v>38.92</v>
      </c>
      <c r="AS53">
        <f>$H$53*$Y$53</f>
        <v>38.92</v>
      </c>
      <c r="AT53">
        <f>$H$53*$Z$53</f>
        <v>38.92</v>
      </c>
      <c r="AU53">
        <f>$H$53*$AA$53</f>
        <v>38.92</v>
      </c>
      <c r="AV53">
        <f>$H$53*$AB$53</f>
        <v>38.92</v>
      </c>
      <c r="AW53">
        <f>$H$53*$AC$53</f>
        <v>38.92</v>
      </c>
      <c r="AX53">
        <f>$H$53*$AD$53</f>
        <v>38.92</v>
      </c>
      <c r="AY53">
        <f>$H$53*$AE$53</f>
        <v>38.92</v>
      </c>
      <c r="AZ53">
        <f>$H$53*$AF$53</f>
        <v>38.92</v>
      </c>
    </row>
    <row r="54" spans="1:52" x14ac:dyDescent="0.25">
      <c r="A54">
        <v>84</v>
      </c>
      <c r="B54" t="s">
        <v>257</v>
      </c>
      <c r="C54" t="s">
        <v>361</v>
      </c>
      <c r="D54">
        <v>32.200000000000003</v>
      </c>
      <c r="E54">
        <v>21.57</v>
      </c>
      <c r="F54" t="s">
        <v>291</v>
      </c>
      <c r="G54">
        <v>0.67</v>
      </c>
      <c r="H54">
        <v>25.89</v>
      </c>
      <c r="I54" t="s">
        <v>362</v>
      </c>
      <c r="J54" t="s">
        <v>363</v>
      </c>
      <c r="K54" t="s">
        <v>484</v>
      </c>
      <c r="L54" t="s">
        <v>199</v>
      </c>
      <c r="M54" t="s">
        <v>257</v>
      </c>
      <c r="N54" t="s">
        <v>12</v>
      </c>
      <c r="O54" t="s">
        <v>15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257</v>
      </c>
      <c r="AH54" t="s">
        <v>12</v>
      </c>
      <c r="AI54" t="s">
        <v>15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25.89</v>
      </c>
      <c r="AN54">
        <f>$H$54*$T$54</f>
        <v>25.89</v>
      </c>
      <c r="AO54">
        <f>$H$54*$U$54</f>
        <v>25.89</v>
      </c>
      <c r="AP54">
        <f>$H$54*$V$54</f>
        <v>25.89</v>
      </c>
      <c r="AQ54">
        <f>$H$54*$W$54</f>
        <v>25.89</v>
      </c>
      <c r="AR54">
        <f>$H$54*$X$54</f>
        <v>25.89</v>
      </c>
      <c r="AS54">
        <f>$H$54*$Y$54</f>
        <v>25.89</v>
      </c>
      <c r="AT54">
        <f>$H$54*$Z$54</f>
        <v>25.89</v>
      </c>
      <c r="AU54">
        <f>$H$54*$AA$54</f>
        <v>25.89</v>
      </c>
      <c r="AV54">
        <f>$H$54*$AB$54</f>
        <v>25.89</v>
      </c>
      <c r="AW54">
        <f>$H$54*$AC$54</f>
        <v>25.89</v>
      </c>
      <c r="AX54">
        <f>$H$54*$AD$54</f>
        <v>25.89</v>
      </c>
      <c r="AY54">
        <f>$H$54*$AE$54</f>
        <v>25.89</v>
      </c>
      <c r="AZ54">
        <f>$H$54*$AF$54</f>
        <v>25.89</v>
      </c>
    </row>
    <row r="55" spans="1:52" x14ac:dyDescent="0.25">
      <c r="A55">
        <v>85</v>
      </c>
      <c r="B55" t="s">
        <v>257</v>
      </c>
      <c r="C55" t="s">
        <v>364</v>
      </c>
      <c r="D55">
        <v>32.200000000000003</v>
      </c>
      <c r="E55">
        <v>103.68</v>
      </c>
      <c r="F55" t="s">
        <v>291</v>
      </c>
      <c r="G55">
        <v>3.22</v>
      </c>
      <c r="H55">
        <v>124.42</v>
      </c>
      <c r="I55" t="s">
        <v>362</v>
      </c>
      <c r="J55" t="s">
        <v>360</v>
      </c>
      <c r="K55" t="s">
        <v>485</v>
      </c>
      <c r="L55" t="s">
        <v>199</v>
      </c>
      <c r="M55" t="s">
        <v>257</v>
      </c>
      <c r="N55" t="s">
        <v>12</v>
      </c>
      <c r="O55" t="s">
        <v>15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257</v>
      </c>
      <c r="AH55" t="s">
        <v>12</v>
      </c>
      <c r="AI55" t="s">
        <v>15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124.42</v>
      </c>
      <c r="AN55">
        <f>$H$55*$T$55</f>
        <v>124.42</v>
      </c>
      <c r="AO55">
        <f>$H$55*$U$55</f>
        <v>124.42</v>
      </c>
      <c r="AP55">
        <f>$H$55*$V$55</f>
        <v>124.42</v>
      </c>
      <c r="AQ55">
        <f>$H$55*$W$55</f>
        <v>124.42</v>
      </c>
      <c r="AR55">
        <f>$H$55*$X$55</f>
        <v>124.42</v>
      </c>
      <c r="AS55">
        <f>$H$55*$Y$55</f>
        <v>124.42</v>
      </c>
      <c r="AT55">
        <f>$H$55*$Z$55</f>
        <v>124.42</v>
      </c>
      <c r="AU55">
        <f>$H$55*$AA$55</f>
        <v>124.42</v>
      </c>
      <c r="AV55">
        <f>$H$55*$AB$55</f>
        <v>124.42</v>
      </c>
      <c r="AW55">
        <f>$H$55*$AC$55</f>
        <v>124.42</v>
      </c>
      <c r="AX55">
        <f>$H$55*$AD$55</f>
        <v>124.42</v>
      </c>
      <c r="AY55">
        <f>$H$55*$AE$55</f>
        <v>124.42</v>
      </c>
      <c r="AZ55">
        <f>$H$55*$AF$55</f>
        <v>124.42</v>
      </c>
    </row>
    <row r="56" spans="1:52" x14ac:dyDescent="0.25">
      <c r="A56">
        <v>86</v>
      </c>
      <c r="B56" t="s">
        <v>255</v>
      </c>
      <c r="C56" t="s">
        <v>282</v>
      </c>
      <c r="D56">
        <v>1</v>
      </c>
      <c r="E56">
        <v>39.700000000000003</v>
      </c>
      <c r="F56" t="s">
        <v>281</v>
      </c>
      <c r="G56">
        <v>39.700000000000003</v>
      </c>
      <c r="H56">
        <v>47.64</v>
      </c>
      <c r="I56" t="s">
        <v>283</v>
      </c>
      <c r="J56" t="s">
        <v>284</v>
      </c>
      <c r="K56" t="s">
        <v>447</v>
      </c>
      <c r="L56" t="s">
        <v>199</v>
      </c>
      <c r="M56" t="s">
        <v>255</v>
      </c>
      <c r="N56" t="s">
        <v>12</v>
      </c>
      <c r="O56" t="s">
        <v>4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1</v>
      </c>
      <c r="AF56">
        <v>1</v>
      </c>
      <c r="AG56" t="s">
        <v>255</v>
      </c>
      <c r="AH56" t="s">
        <v>12</v>
      </c>
      <c r="AI56" t="s">
        <v>4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0</v>
      </c>
      <c r="AT56">
        <f>$H$56*$Z$56</f>
        <v>0</v>
      </c>
      <c r="AU56">
        <f>$H$56*$AA$56</f>
        <v>0</v>
      </c>
      <c r="AV56">
        <f>$H$56*$AB$56</f>
        <v>0</v>
      </c>
      <c r="AW56">
        <f>$H$56*$AC$56</f>
        <v>0</v>
      </c>
      <c r="AX56">
        <f>$H$56*$AD$56</f>
        <v>47.64</v>
      </c>
      <c r="AY56">
        <f>$H$56*$AE$56</f>
        <v>47.64</v>
      </c>
      <c r="AZ56">
        <f>$H$56*$AF$56</f>
        <v>47.64</v>
      </c>
    </row>
    <row r="57" spans="1:52" x14ac:dyDescent="0.25">
      <c r="A57">
        <v>87</v>
      </c>
      <c r="B57" t="s">
        <v>255</v>
      </c>
      <c r="C57" t="s">
        <v>295</v>
      </c>
      <c r="D57">
        <v>4</v>
      </c>
      <c r="E57">
        <v>17.760000000000002</v>
      </c>
      <c r="F57" t="s">
        <v>276</v>
      </c>
      <c r="G57">
        <v>4.4400000000000004</v>
      </c>
      <c r="H57">
        <v>21.32</v>
      </c>
      <c r="I57" t="s">
        <v>277</v>
      </c>
      <c r="J57" t="s">
        <v>296</v>
      </c>
      <c r="K57" t="s">
        <v>452</v>
      </c>
      <c r="L57" t="s">
        <v>199</v>
      </c>
      <c r="M57" t="s">
        <v>255</v>
      </c>
      <c r="N57" t="s">
        <v>12</v>
      </c>
      <c r="O57" t="s">
        <v>4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255</v>
      </c>
      <c r="AH57" t="s">
        <v>12</v>
      </c>
      <c r="AI57" t="s">
        <v>4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21.32</v>
      </c>
      <c r="AV57">
        <f>$H$57*$AB$57</f>
        <v>21.32</v>
      </c>
      <c r="AW57">
        <f>$H$57*$AC$57</f>
        <v>21.32</v>
      </c>
      <c r="AX57">
        <f>$H$57*$AD$57</f>
        <v>21.32</v>
      </c>
      <c r="AY57">
        <f>$H$57*$AE$57</f>
        <v>21.32</v>
      </c>
      <c r="AZ57">
        <f>$H$57*$AF$57</f>
        <v>21.32</v>
      </c>
    </row>
    <row r="58" spans="1:52" x14ac:dyDescent="0.25">
      <c r="A58">
        <v>88</v>
      </c>
      <c r="B58" t="s">
        <v>255</v>
      </c>
      <c r="C58" t="s">
        <v>297</v>
      </c>
      <c r="D58">
        <v>4</v>
      </c>
      <c r="E58">
        <v>46.2</v>
      </c>
      <c r="F58" t="s">
        <v>276</v>
      </c>
      <c r="G58">
        <v>11.55</v>
      </c>
      <c r="H58">
        <v>55.44</v>
      </c>
      <c r="I58" t="s">
        <v>280</v>
      </c>
      <c r="J58" t="s">
        <v>298</v>
      </c>
      <c r="K58" t="s">
        <v>453</v>
      </c>
      <c r="L58" t="s">
        <v>199</v>
      </c>
      <c r="M58" t="s">
        <v>255</v>
      </c>
      <c r="N58" t="s">
        <v>12</v>
      </c>
      <c r="O58" t="s">
        <v>4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255</v>
      </c>
      <c r="AH58" t="s">
        <v>12</v>
      </c>
      <c r="AI58" t="s">
        <v>4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0</v>
      </c>
      <c r="AT58">
        <f>$H$58*$Z$58</f>
        <v>0</v>
      </c>
      <c r="AU58">
        <f>$H$58*$AA$58</f>
        <v>55.44</v>
      </c>
      <c r="AV58">
        <f>$H$58*$AB$58</f>
        <v>55.44</v>
      </c>
      <c r="AW58">
        <f>$H$58*$AC$58</f>
        <v>55.44</v>
      </c>
      <c r="AX58">
        <f>$H$58*$AD$58</f>
        <v>55.44</v>
      </c>
      <c r="AY58">
        <f>$H$58*$AE$58</f>
        <v>55.44</v>
      </c>
      <c r="AZ58">
        <f>$H$58*$AF$58</f>
        <v>55.44</v>
      </c>
    </row>
    <row r="59" spans="1:52" x14ac:dyDescent="0.25">
      <c r="A59">
        <v>89</v>
      </c>
      <c r="B59" t="s">
        <v>255</v>
      </c>
      <c r="C59" t="s">
        <v>342</v>
      </c>
      <c r="D59">
        <v>4</v>
      </c>
      <c r="E59">
        <v>19</v>
      </c>
      <c r="F59" t="s">
        <v>276</v>
      </c>
      <c r="G59">
        <v>4.75</v>
      </c>
      <c r="H59">
        <v>22.8</v>
      </c>
      <c r="I59" t="s">
        <v>280</v>
      </c>
      <c r="J59" t="s">
        <v>343</v>
      </c>
      <c r="K59" t="s">
        <v>475</v>
      </c>
      <c r="L59" t="s">
        <v>199</v>
      </c>
      <c r="M59" t="s">
        <v>255</v>
      </c>
      <c r="N59" t="s">
        <v>12</v>
      </c>
      <c r="O59" t="s">
        <v>4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1</v>
      </c>
      <c r="AF59">
        <v>1</v>
      </c>
      <c r="AG59" t="s">
        <v>255</v>
      </c>
      <c r="AH59" t="s">
        <v>12</v>
      </c>
      <c r="AI59" t="s">
        <v>4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0</v>
      </c>
      <c r="AV59">
        <f>$H$59*$AB$59</f>
        <v>0</v>
      </c>
      <c r="AW59">
        <f>$H$59*$AC$59</f>
        <v>22.8</v>
      </c>
      <c r="AX59">
        <f>$H$59*$AD$59</f>
        <v>22.8</v>
      </c>
      <c r="AY59">
        <f>$H$59*$AE$59</f>
        <v>22.8</v>
      </c>
      <c r="AZ59">
        <f>$H$59*$AF$59</f>
        <v>22.8</v>
      </c>
    </row>
    <row r="60" spans="1:52" x14ac:dyDescent="0.25">
      <c r="A60">
        <v>90</v>
      </c>
      <c r="B60" t="s">
        <v>255</v>
      </c>
      <c r="C60" t="s">
        <v>344</v>
      </c>
      <c r="D60">
        <v>5</v>
      </c>
      <c r="E60">
        <v>66.349999999999994</v>
      </c>
      <c r="F60" t="s">
        <v>281</v>
      </c>
      <c r="G60">
        <v>13.27</v>
      </c>
      <c r="H60">
        <v>79.63</v>
      </c>
      <c r="I60" t="s">
        <v>283</v>
      </c>
      <c r="J60" t="s">
        <v>345</v>
      </c>
      <c r="K60" t="s">
        <v>476</v>
      </c>
      <c r="L60" t="s">
        <v>199</v>
      </c>
      <c r="M60" t="s">
        <v>255</v>
      </c>
      <c r="N60" t="s">
        <v>12</v>
      </c>
      <c r="O60" t="s">
        <v>4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255</v>
      </c>
      <c r="AH60" t="s">
        <v>12</v>
      </c>
      <c r="AI60" t="s">
        <v>4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79.63</v>
      </c>
      <c r="AS60">
        <f>$H$60*$Y$60</f>
        <v>79.63</v>
      </c>
      <c r="AT60">
        <f>$H$60*$Z$60</f>
        <v>79.63</v>
      </c>
      <c r="AU60">
        <f>$H$60*$AA$60</f>
        <v>79.63</v>
      </c>
      <c r="AV60">
        <f>$H$60*$AB$60</f>
        <v>79.63</v>
      </c>
      <c r="AW60">
        <f>$H$60*$AC$60</f>
        <v>79.63</v>
      </c>
      <c r="AX60">
        <f>$H$60*$AD$60</f>
        <v>79.63</v>
      </c>
      <c r="AY60">
        <f>$H$60*$AE$60</f>
        <v>79.63</v>
      </c>
      <c r="AZ60">
        <f>$H$60*$AF$60</f>
        <v>79.63</v>
      </c>
    </row>
    <row r="61" spans="1:52" x14ac:dyDescent="0.25">
      <c r="A61">
        <v>91</v>
      </c>
      <c r="B61" t="s">
        <v>255</v>
      </c>
      <c r="C61" t="s">
        <v>346</v>
      </c>
      <c r="D61">
        <v>1</v>
      </c>
      <c r="E61">
        <v>48.06</v>
      </c>
      <c r="F61" t="s">
        <v>281</v>
      </c>
      <c r="G61">
        <v>48.06</v>
      </c>
      <c r="H61">
        <v>57.68</v>
      </c>
      <c r="I61" t="s">
        <v>286</v>
      </c>
      <c r="J61" t="s">
        <v>347</v>
      </c>
      <c r="K61" t="s">
        <v>477</v>
      </c>
      <c r="L61" t="s">
        <v>199</v>
      </c>
      <c r="M61" t="s">
        <v>255</v>
      </c>
      <c r="N61" t="s">
        <v>12</v>
      </c>
      <c r="O61" t="s">
        <v>4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1</v>
      </c>
      <c r="AF61">
        <v>1</v>
      </c>
      <c r="AG61" t="s">
        <v>255</v>
      </c>
      <c r="AH61" t="s">
        <v>12</v>
      </c>
      <c r="AI61" t="s">
        <v>4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0</v>
      </c>
      <c r="AV61">
        <f>$H$61*$AB$61</f>
        <v>0</v>
      </c>
      <c r="AW61">
        <f>$H$61*$AC$61</f>
        <v>0</v>
      </c>
      <c r="AX61">
        <f>$H$61*$AD$61</f>
        <v>57.68</v>
      </c>
      <c r="AY61">
        <f>$H$61*$AE$61</f>
        <v>57.68</v>
      </c>
      <c r="AZ61">
        <f>$H$61*$AF$61</f>
        <v>57.68</v>
      </c>
    </row>
    <row r="62" spans="1:52" x14ac:dyDescent="0.25">
      <c r="A62">
        <v>92</v>
      </c>
      <c r="B62" t="s">
        <v>255</v>
      </c>
      <c r="C62" t="s">
        <v>348</v>
      </c>
      <c r="D62">
        <v>1</v>
      </c>
      <c r="E62">
        <v>47.96</v>
      </c>
      <c r="F62" t="s">
        <v>281</v>
      </c>
      <c r="G62">
        <v>47.96</v>
      </c>
      <c r="H62">
        <v>57.56</v>
      </c>
      <c r="I62" t="s">
        <v>305</v>
      </c>
      <c r="J62" t="s">
        <v>349</v>
      </c>
      <c r="K62" t="s">
        <v>478</v>
      </c>
      <c r="L62" t="s">
        <v>199</v>
      </c>
      <c r="M62" t="s">
        <v>255</v>
      </c>
      <c r="N62" t="s">
        <v>12</v>
      </c>
      <c r="O62" t="s">
        <v>4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255</v>
      </c>
      <c r="AH62" t="s">
        <v>12</v>
      </c>
      <c r="AI62" t="s">
        <v>4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57.56</v>
      </c>
      <c r="AV62">
        <f>$H$62*$AB$62</f>
        <v>57.56</v>
      </c>
      <c r="AW62">
        <f>$H$62*$AC$62</f>
        <v>57.56</v>
      </c>
      <c r="AX62">
        <f>$H$62*$AD$62</f>
        <v>57.56</v>
      </c>
      <c r="AY62">
        <f>$H$62*$AE$62</f>
        <v>57.56</v>
      </c>
      <c r="AZ62">
        <f>$H$62*$AF$62</f>
        <v>57.56</v>
      </c>
    </row>
    <row r="63" spans="1:52" x14ac:dyDescent="0.25">
      <c r="A63">
        <v>93</v>
      </c>
      <c r="B63" t="s">
        <v>255</v>
      </c>
      <c r="C63" t="s">
        <v>365</v>
      </c>
      <c r="D63">
        <v>2</v>
      </c>
      <c r="E63">
        <v>110.04</v>
      </c>
      <c r="F63" t="s">
        <v>281</v>
      </c>
      <c r="G63">
        <v>55.02</v>
      </c>
      <c r="H63">
        <v>132.04</v>
      </c>
      <c r="I63" t="s">
        <v>277</v>
      </c>
      <c r="J63" t="s">
        <v>366</v>
      </c>
      <c r="K63" t="s">
        <v>486</v>
      </c>
      <c r="L63" t="s">
        <v>199</v>
      </c>
      <c r="M63" t="s">
        <v>255</v>
      </c>
      <c r="N63" t="s">
        <v>12</v>
      </c>
      <c r="O63" t="s">
        <v>4</v>
      </c>
      <c r="P63">
        <v>0</v>
      </c>
      <c r="Q63">
        <v>0</v>
      </c>
      <c r="R63">
        <v>0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255</v>
      </c>
      <c r="AH63" t="s">
        <v>12</v>
      </c>
      <c r="AI63" t="s">
        <v>4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132.04</v>
      </c>
      <c r="AN63">
        <f>$H$63*$T$63</f>
        <v>132.04</v>
      </c>
      <c r="AO63">
        <f>$H$63*$U$63</f>
        <v>132.04</v>
      </c>
      <c r="AP63">
        <f>$H$63*$V$63</f>
        <v>132.04</v>
      </c>
      <c r="AQ63">
        <f>$H$63*$W$63</f>
        <v>132.04</v>
      </c>
      <c r="AR63">
        <f>$H$63*$X$63</f>
        <v>132.04</v>
      </c>
      <c r="AS63">
        <f>$H$63*$Y$63</f>
        <v>132.04</v>
      </c>
      <c r="AT63">
        <f>$H$63*$Z$63</f>
        <v>132.04</v>
      </c>
      <c r="AU63">
        <f>$H$63*$AA$63</f>
        <v>132.04</v>
      </c>
      <c r="AV63">
        <f>$H$63*$AB$63</f>
        <v>132.04</v>
      </c>
      <c r="AW63">
        <f>$H$63*$AC$63</f>
        <v>132.04</v>
      </c>
      <c r="AX63">
        <f>$H$63*$AD$63</f>
        <v>132.04</v>
      </c>
      <c r="AY63">
        <f>$H$63*$AE$63</f>
        <v>132.04</v>
      </c>
      <c r="AZ63">
        <f>$H$63*$AF$63</f>
        <v>132.04</v>
      </c>
    </row>
    <row r="64" spans="1:52" x14ac:dyDescent="0.25">
      <c r="A64">
        <v>94</v>
      </c>
      <c r="B64" t="s">
        <v>255</v>
      </c>
      <c r="C64" t="s">
        <v>367</v>
      </c>
      <c r="D64">
        <v>1</v>
      </c>
      <c r="E64">
        <v>376.12</v>
      </c>
      <c r="F64" t="s">
        <v>281</v>
      </c>
      <c r="G64">
        <v>376.12</v>
      </c>
      <c r="H64">
        <v>451.34</v>
      </c>
      <c r="I64" t="s">
        <v>308</v>
      </c>
      <c r="J64" t="s">
        <v>368</v>
      </c>
      <c r="K64" t="s">
        <v>487</v>
      </c>
      <c r="L64" t="s">
        <v>199</v>
      </c>
      <c r="M64" t="s">
        <v>255</v>
      </c>
      <c r="N64" t="s">
        <v>12</v>
      </c>
      <c r="O64" t="s">
        <v>4</v>
      </c>
      <c r="P64">
        <v>0</v>
      </c>
      <c r="Q64">
        <v>0</v>
      </c>
      <c r="R64">
        <v>0</v>
      </c>
      <c r="S64">
        <v>0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255</v>
      </c>
      <c r="AH64" t="s">
        <v>12</v>
      </c>
      <c r="AI64" t="s">
        <v>4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451.34</v>
      </c>
      <c r="AO64">
        <f>$H$64*$U$64</f>
        <v>451.34</v>
      </c>
      <c r="AP64">
        <f>$H$64*$V$64</f>
        <v>451.34</v>
      </c>
      <c r="AQ64">
        <f>$H$64*$W$64</f>
        <v>451.34</v>
      </c>
      <c r="AR64">
        <f>$H$64*$X$64</f>
        <v>451.34</v>
      </c>
      <c r="AS64">
        <f>$H$64*$Y$64</f>
        <v>451.34</v>
      </c>
      <c r="AT64">
        <f>$H$64*$Z$64</f>
        <v>451.34</v>
      </c>
      <c r="AU64">
        <f>$H$64*$AA$64</f>
        <v>451.34</v>
      </c>
      <c r="AV64">
        <f>$H$64*$AB$64</f>
        <v>451.34</v>
      </c>
      <c r="AW64">
        <f>$H$64*$AC$64</f>
        <v>451.34</v>
      </c>
      <c r="AX64">
        <f>$H$64*$AD$64</f>
        <v>451.34</v>
      </c>
      <c r="AY64">
        <f>$H$64*$AE$64</f>
        <v>451.34</v>
      </c>
      <c r="AZ64">
        <f>$H$64*$AF$64</f>
        <v>451.34</v>
      </c>
    </row>
    <row r="65" spans="1:52" x14ac:dyDescent="0.25">
      <c r="A65">
        <v>95</v>
      </c>
      <c r="B65" t="s">
        <v>255</v>
      </c>
      <c r="C65" t="s">
        <v>312</v>
      </c>
      <c r="D65">
        <v>2</v>
      </c>
      <c r="E65">
        <v>77.86</v>
      </c>
      <c r="F65" t="s">
        <v>281</v>
      </c>
      <c r="G65">
        <v>38.93</v>
      </c>
      <c r="H65">
        <v>93.44</v>
      </c>
      <c r="I65" t="s">
        <v>277</v>
      </c>
      <c r="J65" t="s">
        <v>308</v>
      </c>
      <c r="K65" t="s">
        <v>459</v>
      </c>
      <c r="L65" t="s">
        <v>199</v>
      </c>
      <c r="M65" t="s">
        <v>255</v>
      </c>
      <c r="N65" t="s">
        <v>12</v>
      </c>
      <c r="O65" t="s">
        <v>4</v>
      </c>
      <c r="P65">
        <v>0</v>
      </c>
      <c r="Q65">
        <v>0</v>
      </c>
      <c r="R65">
        <v>0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255</v>
      </c>
      <c r="AH65" t="s">
        <v>12</v>
      </c>
      <c r="AI65" t="s">
        <v>4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93.44</v>
      </c>
      <c r="AN65">
        <f>$H$65*$T$65</f>
        <v>93.44</v>
      </c>
      <c r="AO65">
        <f>$H$65*$U$65</f>
        <v>93.44</v>
      </c>
      <c r="AP65">
        <f>$H$65*$V$65</f>
        <v>93.44</v>
      </c>
      <c r="AQ65">
        <f>$H$65*$W$65</f>
        <v>93.44</v>
      </c>
      <c r="AR65">
        <f>$H$65*$X$65</f>
        <v>93.44</v>
      </c>
      <c r="AS65">
        <f>$H$65*$Y$65</f>
        <v>93.44</v>
      </c>
      <c r="AT65">
        <f>$H$65*$Z$65</f>
        <v>93.44</v>
      </c>
      <c r="AU65">
        <f>$H$65*$AA$65</f>
        <v>93.44</v>
      </c>
      <c r="AV65">
        <f>$H$65*$AB$65</f>
        <v>93.44</v>
      </c>
      <c r="AW65">
        <f>$H$65*$AC$65</f>
        <v>93.44</v>
      </c>
      <c r="AX65">
        <f>$H$65*$AD$65</f>
        <v>93.44</v>
      </c>
      <c r="AY65">
        <f>$H$65*$AE$65</f>
        <v>93.44</v>
      </c>
      <c r="AZ65">
        <f>$H$65*$AF$65</f>
        <v>93.44</v>
      </c>
    </row>
    <row r="66" spans="1:52" x14ac:dyDescent="0.25">
      <c r="A66">
        <v>96</v>
      </c>
      <c r="B66" t="s">
        <v>255</v>
      </c>
      <c r="C66" t="s">
        <v>307</v>
      </c>
      <c r="D66">
        <v>1</v>
      </c>
      <c r="E66">
        <v>365.09</v>
      </c>
      <c r="F66" t="s">
        <v>281</v>
      </c>
      <c r="G66">
        <v>365.09</v>
      </c>
      <c r="H66">
        <v>438.11</v>
      </c>
      <c r="I66" t="s">
        <v>308</v>
      </c>
      <c r="J66" t="s">
        <v>309</v>
      </c>
      <c r="K66" t="s">
        <v>457</v>
      </c>
      <c r="L66" t="s">
        <v>199</v>
      </c>
      <c r="M66" t="s">
        <v>255</v>
      </c>
      <c r="N66" t="s">
        <v>12</v>
      </c>
      <c r="O66" t="s">
        <v>4</v>
      </c>
      <c r="P66">
        <v>0</v>
      </c>
      <c r="Q66">
        <v>0</v>
      </c>
      <c r="R66">
        <v>0</v>
      </c>
      <c r="S66">
        <v>0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255</v>
      </c>
      <c r="AH66" t="s">
        <v>12</v>
      </c>
      <c r="AI66" t="s">
        <v>4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438.11</v>
      </c>
      <c r="AO66">
        <f>$H$66*$U$66</f>
        <v>438.11</v>
      </c>
      <c r="AP66">
        <f>$H$66*$V$66</f>
        <v>438.11</v>
      </c>
      <c r="AQ66">
        <f>$H$66*$W$66</f>
        <v>438.11</v>
      </c>
      <c r="AR66">
        <f>$H$66*$X$66</f>
        <v>438.11</v>
      </c>
      <c r="AS66">
        <f>$H$66*$Y$66</f>
        <v>438.11</v>
      </c>
      <c r="AT66">
        <f>$H$66*$Z$66</f>
        <v>438.11</v>
      </c>
      <c r="AU66">
        <f>$H$66*$AA$66</f>
        <v>438.11</v>
      </c>
      <c r="AV66">
        <f>$H$66*$AB$66</f>
        <v>438.11</v>
      </c>
      <c r="AW66">
        <f>$H$66*$AC$66</f>
        <v>438.11</v>
      </c>
      <c r="AX66">
        <f>$H$66*$AD$66</f>
        <v>438.11</v>
      </c>
      <c r="AY66">
        <f>$H$66*$AE$66</f>
        <v>438.11</v>
      </c>
      <c r="AZ66">
        <f>$H$66*$AF$66</f>
        <v>438.11</v>
      </c>
    </row>
    <row r="67" spans="1:52" x14ac:dyDescent="0.25">
      <c r="A67">
        <v>97</v>
      </c>
      <c r="B67" t="s">
        <v>255</v>
      </c>
      <c r="C67" t="s">
        <v>299</v>
      </c>
      <c r="D67">
        <v>322.67</v>
      </c>
      <c r="E67">
        <v>316.22000000000003</v>
      </c>
      <c r="F67" t="s">
        <v>291</v>
      </c>
      <c r="G67">
        <v>0.98</v>
      </c>
      <c r="H67">
        <v>379.46</v>
      </c>
      <c r="I67" t="s">
        <v>277</v>
      </c>
      <c r="J67" t="s">
        <v>300</v>
      </c>
      <c r="K67" t="s">
        <v>454</v>
      </c>
      <c r="L67" t="s">
        <v>199</v>
      </c>
      <c r="M67" t="s">
        <v>255</v>
      </c>
      <c r="N67" t="s">
        <v>12</v>
      </c>
      <c r="O67" t="s">
        <v>4</v>
      </c>
      <c r="P67">
        <v>0</v>
      </c>
      <c r="Q67">
        <v>0</v>
      </c>
      <c r="R67">
        <v>0</v>
      </c>
      <c r="S67">
        <v>0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255</v>
      </c>
      <c r="AH67" t="s">
        <v>12</v>
      </c>
      <c r="AI67" t="s">
        <v>4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379.46</v>
      </c>
      <c r="AO67">
        <f>$H$67*$U$67</f>
        <v>379.46</v>
      </c>
      <c r="AP67">
        <f>$H$67*$V$67</f>
        <v>379.46</v>
      </c>
      <c r="AQ67">
        <f>$H$67*$W$67</f>
        <v>379.46</v>
      </c>
      <c r="AR67">
        <f>$H$67*$X$67</f>
        <v>379.46</v>
      </c>
      <c r="AS67">
        <f>$H$67*$Y$67</f>
        <v>379.46</v>
      </c>
      <c r="AT67">
        <f>$H$67*$Z$67</f>
        <v>379.46</v>
      </c>
      <c r="AU67">
        <f>$H$67*$AA$67</f>
        <v>379.46</v>
      </c>
      <c r="AV67">
        <f>$H$67*$AB$67</f>
        <v>379.46</v>
      </c>
      <c r="AW67">
        <f>$H$67*$AC$67</f>
        <v>379.46</v>
      </c>
      <c r="AX67">
        <f>$H$67*$AD$67</f>
        <v>379.46</v>
      </c>
      <c r="AY67">
        <f>$H$67*$AE$67</f>
        <v>379.46</v>
      </c>
      <c r="AZ67">
        <f>$H$67*$AF$67</f>
        <v>379.46</v>
      </c>
    </row>
    <row r="68" spans="1:52" x14ac:dyDescent="0.25">
      <c r="A68">
        <v>98</v>
      </c>
      <c r="B68" t="s">
        <v>255</v>
      </c>
      <c r="C68" t="s">
        <v>350</v>
      </c>
      <c r="D68">
        <v>322.67</v>
      </c>
      <c r="E68">
        <v>861.53</v>
      </c>
      <c r="F68" t="s">
        <v>291</v>
      </c>
      <c r="G68">
        <v>2.67</v>
      </c>
      <c r="H68">
        <v>1033.83</v>
      </c>
      <c r="I68" t="s">
        <v>302</v>
      </c>
      <c r="J68" t="s">
        <v>351</v>
      </c>
      <c r="K68" t="s">
        <v>479</v>
      </c>
      <c r="L68" t="s">
        <v>199</v>
      </c>
      <c r="M68" t="s">
        <v>255</v>
      </c>
      <c r="N68" t="s">
        <v>12</v>
      </c>
      <c r="O68" t="s">
        <v>4</v>
      </c>
      <c r="P68">
        <v>0</v>
      </c>
      <c r="Q68">
        <v>0</v>
      </c>
      <c r="R68">
        <v>0</v>
      </c>
      <c r="S68">
        <v>0.25</v>
      </c>
      <c r="T68">
        <v>0.25</v>
      </c>
      <c r="U68">
        <v>0.25</v>
      </c>
      <c r="V68">
        <v>0.25</v>
      </c>
      <c r="W68">
        <v>0.25</v>
      </c>
      <c r="X68">
        <v>0.5</v>
      </c>
      <c r="Y68">
        <v>0.5</v>
      </c>
      <c r="Z68">
        <v>0.5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255</v>
      </c>
      <c r="AH68" t="s">
        <v>12</v>
      </c>
      <c r="AI68" t="s">
        <v>4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258.45749999999998</v>
      </c>
      <c r="AN68">
        <f>$H$68*$T$68</f>
        <v>258.45749999999998</v>
      </c>
      <c r="AO68">
        <f>$H$68*$U$68</f>
        <v>258.45749999999998</v>
      </c>
      <c r="AP68">
        <f>$H$68*$V$68</f>
        <v>258.45749999999998</v>
      </c>
      <c r="AQ68">
        <f>$H$68*$W$68</f>
        <v>258.45749999999998</v>
      </c>
      <c r="AR68">
        <f>$H$68*$X$68</f>
        <v>516.91499999999996</v>
      </c>
      <c r="AS68">
        <f>$H$68*$Y$68</f>
        <v>516.91499999999996</v>
      </c>
      <c r="AT68">
        <f>$H$68*$Z$68</f>
        <v>516.91499999999996</v>
      </c>
      <c r="AU68">
        <f>$H$68*$AA$68</f>
        <v>1033.83</v>
      </c>
      <c r="AV68">
        <f>$H$68*$AB$68</f>
        <v>1033.83</v>
      </c>
      <c r="AW68">
        <f>$H$68*$AC$68</f>
        <v>1033.83</v>
      </c>
      <c r="AX68">
        <f>$H$68*$AD$68</f>
        <v>1033.83</v>
      </c>
      <c r="AY68">
        <f>$H$68*$AE$68</f>
        <v>1033.83</v>
      </c>
      <c r="AZ68">
        <f>$H$68*$AF$68</f>
        <v>1033.83</v>
      </c>
    </row>
    <row r="69" spans="1:52" x14ac:dyDescent="0.25">
      <c r="A69">
        <v>99</v>
      </c>
      <c r="B69" t="s">
        <v>255</v>
      </c>
      <c r="C69" t="s">
        <v>352</v>
      </c>
      <c r="D69">
        <v>40.33</v>
      </c>
      <c r="E69">
        <v>141.96</v>
      </c>
      <c r="F69" t="s">
        <v>276</v>
      </c>
      <c r="G69">
        <v>3.52</v>
      </c>
      <c r="H69">
        <v>170.36</v>
      </c>
      <c r="I69" t="s">
        <v>280</v>
      </c>
      <c r="J69" t="s">
        <v>353</v>
      </c>
      <c r="K69" t="s">
        <v>480</v>
      </c>
      <c r="L69" t="s">
        <v>199</v>
      </c>
      <c r="M69" t="s">
        <v>255</v>
      </c>
      <c r="N69" t="s">
        <v>12</v>
      </c>
      <c r="O69" t="s">
        <v>4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255</v>
      </c>
      <c r="AH69" t="s">
        <v>12</v>
      </c>
      <c r="AI69" t="s">
        <v>4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170.36</v>
      </c>
      <c r="AN69">
        <f>$H$69*$T$69</f>
        <v>170.36</v>
      </c>
      <c r="AO69">
        <f>$H$69*$U$69</f>
        <v>170.36</v>
      </c>
      <c r="AP69">
        <f>$H$69*$V$69</f>
        <v>170.36</v>
      </c>
      <c r="AQ69">
        <f>$H$69*$W$69</f>
        <v>170.36</v>
      </c>
      <c r="AR69">
        <f>$H$69*$X$69</f>
        <v>170.36</v>
      </c>
      <c r="AS69">
        <f>$H$69*$Y$69</f>
        <v>170.36</v>
      </c>
      <c r="AT69">
        <f>$H$69*$Z$69</f>
        <v>170.36</v>
      </c>
      <c r="AU69">
        <f>$H$69*$AA$69</f>
        <v>170.36</v>
      </c>
      <c r="AV69">
        <f>$H$69*$AB$69</f>
        <v>170.36</v>
      </c>
      <c r="AW69">
        <f>$H$69*$AC$69</f>
        <v>170.36</v>
      </c>
      <c r="AX69">
        <f>$H$69*$AD$69</f>
        <v>170.36</v>
      </c>
      <c r="AY69">
        <f>$H$69*$AE$69</f>
        <v>170.36</v>
      </c>
      <c r="AZ69">
        <f>$H$69*$AF$69</f>
        <v>170.36</v>
      </c>
    </row>
    <row r="70" spans="1:52" x14ac:dyDescent="0.25">
      <c r="A70">
        <v>100</v>
      </c>
      <c r="B70" t="s">
        <v>255</v>
      </c>
      <c r="C70" t="s">
        <v>350</v>
      </c>
      <c r="D70">
        <v>101.67</v>
      </c>
      <c r="E70">
        <v>271.45999999999998</v>
      </c>
      <c r="F70" t="s">
        <v>291</v>
      </c>
      <c r="G70">
        <v>2.67</v>
      </c>
      <c r="H70">
        <v>325.76</v>
      </c>
      <c r="I70" t="s">
        <v>302</v>
      </c>
      <c r="J70" t="s">
        <v>351</v>
      </c>
      <c r="K70" t="s">
        <v>479</v>
      </c>
      <c r="L70" t="s">
        <v>199</v>
      </c>
      <c r="M70" t="s">
        <v>255</v>
      </c>
      <c r="N70" t="s">
        <v>12</v>
      </c>
      <c r="O70" t="s">
        <v>4</v>
      </c>
      <c r="P70">
        <v>0</v>
      </c>
      <c r="Q70">
        <v>0</v>
      </c>
      <c r="R70">
        <v>0</v>
      </c>
      <c r="S70">
        <v>0.25</v>
      </c>
      <c r="T70">
        <v>0.25</v>
      </c>
      <c r="U70">
        <v>0.25</v>
      </c>
      <c r="V70">
        <v>0.25</v>
      </c>
      <c r="W70">
        <v>0.25</v>
      </c>
      <c r="X70">
        <v>0.5</v>
      </c>
      <c r="Y70">
        <v>0.5</v>
      </c>
      <c r="Z70">
        <v>0.5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255</v>
      </c>
      <c r="AH70" t="s">
        <v>12</v>
      </c>
      <c r="AI70" t="s">
        <v>4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81.44</v>
      </c>
      <c r="AN70">
        <f>$H$70*$T$70</f>
        <v>81.44</v>
      </c>
      <c r="AO70">
        <f>$H$70*$U$70</f>
        <v>81.44</v>
      </c>
      <c r="AP70">
        <f>$H$70*$V$70</f>
        <v>81.44</v>
      </c>
      <c r="AQ70">
        <f>$H$70*$W$70</f>
        <v>81.44</v>
      </c>
      <c r="AR70">
        <f>$H$70*$X$70</f>
        <v>162.88</v>
      </c>
      <c r="AS70">
        <f>$H$70*$Y$70</f>
        <v>162.88</v>
      </c>
      <c r="AT70">
        <f>$H$70*$Z$70</f>
        <v>162.88</v>
      </c>
      <c r="AU70">
        <f>$H$70*$AA$70</f>
        <v>325.76</v>
      </c>
      <c r="AV70">
        <f>$H$70*$AB$70</f>
        <v>325.76</v>
      </c>
      <c r="AW70">
        <f>$H$70*$AC$70</f>
        <v>325.76</v>
      </c>
      <c r="AX70">
        <f>$H$70*$AD$70</f>
        <v>325.76</v>
      </c>
      <c r="AY70">
        <f>$H$70*$AE$70</f>
        <v>325.76</v>
      </c>
      <c r="AZ70">
        <f>$H$70*$AF$70</f>
        <v>325.76</v>
      </c>
    </row>
    <row r="71" spans="1:52" x14ac:dyDescent="0.25">
      <c r="A71">
        <v>101</v>
      </c>
      <c r="B71" t="s">
        <v>255</v>
      </c>
      <c r="C71" t="s">
        <v>354</v>
      </c>
      <c r="D71">
        <v>101.67</v>
      </c>
      <c r="E71">
        <v>64.05</v>
      </c>
      <c r="F71" t="s">
        <v>291</v>
      </c>
      <c r="G71">
        <v>0.63</v>
      </c>
      <c r="H71">
        <v>76.87</v>
      </c>
      <c r="I71" t="s">
        <v>277</v>
      </c>
      <c r="J71" t="s">
        <v>355</v>
      </c>
      <c r="K71" t="s">
        <v>481</v>
      </c>
      <c r="L71" t="s">
        <v>199</v>
      </c>
      <c r="M71" t="s">
        <v>255</v>
      </c>
      <c r="N71" t="s">
        <v>12</v>
      </c>
      <c r="O71" t="s">
        <v>4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1</v>
      </c>
      <c r="AE71">
        <v>1</v>
      </c>
      <c r="AF71">
        <v>1</v>
      </c>
      <c r="AG71" t="s">
        <v>255</v>
      </c>
      <c r="AH71" t="s">
        <v>12</v>
      </c>
      <c r="AI71" t="s">
        <v>4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0</v>
      </c>
      <c r="AV71">
        <f>$H$71*$AB$71</f>
        <v>0</v>
      </c>
      <c r="AW71">
        <f>$H$71*$AC$71</f>
        <v>0</v>
      </c>
      <c r="AX71">
        <f>$H$71*$AD$71</f>
        <v>76.87</v>
      </c>
      <c r="AY71">
        <f>$H$71*$AE$71</f>
        <v>76.87</v>
      </c>
      <c r="AZ71">
        <f>$H$71*$AF$71</f>
        <v>76.87</v>
      </c>
    </row>
    <row r="72" spans="1:52" x14ac:dyDescent="0.25">
      <c r="A72">
        <v>102</v>
      </c>
      <c r="B72" t="s">
        <v>255</v>
      </c>
      <c r="C72" t="s">
        <v>356</v>
      </c>
      <c r="D72">
        <v>101.67</v>
      </c>
      <c r="E72">
        <v>70.150000000000006</v>
      </c>
      <c r="F72" t="s">
        <v>291</v>
      </c>
      <c r="G72">
        <v>0.69</v>
      </c>
      <c r="H72">
        <v>84.19</v>
      </c>
      <c r="I72" t="s">
        <v>277</v>
      </c>
      <c r="J72" t="s">
        <v>357</v>
      </c>
      <c r="K72" t="s">
        <v>482</v>
      </c>
      <c r="L72" t="s">
        <v>199</v>
      </c>
      <c r="M72" t="s">
        <v>255</v>
      </c>
      <c r="N72" t="s">
        <v>12</v>
      </c>
      <c r="O72" t="s">
        <v>4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255</v>
      </c>
      <c r="AH72" t="s">
        <v>12</v>
      </c>
      <c r="AI72" t="s">
        <v>4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84.19</v>
      </c>
      <c r="AN72">
        <f>$H$72*$T$72</f>
        <v>84.19</v>
      </c>
      <c r="AO72">
        <f>$H$72*$U$72</f>
        <v>84.19</v>
      </c>
      <c r="AP72">
        <f>$H$72*$V$72</f>
        <v>84.19</v>
      </c>
      <c r="AQ72">
        <f>$H$72*$W$72</f>
        <v>84.19</v>
      </c>
      <c r="AR72">
        <f>$H$72*$X$72</f>
        <v>84.19</v>
      </c>
      <c r="AS72">
        <f>$H$72*$Y$72</f>
        <v>84.19</v>
      </c>
      <c r="AT72">
        <f>$H$72*$Z$72</f>
        <v>84.19</v>
      </c>
      <c r="AU72">
        <f>$H$72*$AA$72</f>
        <v>84.19</v>
      </c>
      <c r="AV72">
        <f>$H$72*$AB$72</f>
        <v>84.19</v>
      </c>
      <c r="AW72">
        <f>$H$72*$AC$72</f>
        <v>84.19</v>
      </c>
      <c r="AX72">
        <f>$H$72*$AD$72</f>
        <v>84.19</v>
      </c>
      <c r="AY72">
        <f>$H$72*$AE$72</f>
        <v>84.19</v>
      </c>
      <c r="AZ72">
        <f>$H$72*$AF$72</f>
        <v>84.19</v>
      </c>
    </row>
    <row r="73" spans="1:52" x14ac:dyDescent="0.25">
      <c r="A73">
        <v>103</v>
      </c>
      <c r="B73" t="s">
        <v>255</v>
      </c>
      <c r="C73" t="s">
        <v>358</v>
      </c>
      <c r="D73">
        <v>23.38</v>
      </c>
      <c r="E73">
        <v>94.22</v>
      </c>
      <c r="F73" t="s">
        <v>291</v>
      </c>
      <c r="G73">
        <v>4.03</v>
      </c>
      <c r="H73">
        <v>113.06</v>
      </c>
      <c r="I73" t="s">
        <v>359</v>
      </c>
      <c r="J73" t="s">
        <v>360</v>
      </c>
      <c r="K73" t="s">
        <v>483</v>
      </c>
      <c r="L73" t="s">
        <v>199</v>
      </c>
      <c r="M73" t="s">
        <v>255</v>
      </c>
      <c r="N73" t="s">
        <v>12</v>
      </c>
      <c r="O73" t="s">
        <v>4</v>
      </c>
      <c r="P73">
        <v>0</v>
      </c>
      <c r="Q73">
        <v>0</v>
      </c>
      <c r="R73">
        <v>0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255</v>
      </c>
      <c r="AH73" t="s">
        <v>12</v>
      </c>
      <c r="AI73" t="s">
        <v>4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113.06</v>
      </c>
      <c r="AN73">
        <f>$H$73*$T$73</f>
        <v>113.06</v>
      </c>
      <c r="AO73">
        <f>$H$73*$U$73</f>
        <v>113.06</v>
      </c>
      <c r="AP73">
        <f>$H$73*$V$73</f>
        <v>113.06</v>
      </c>
      <c r="AQ73">
        <f>$H$73*$W$73</f>
        <v>113.06</v>
      </c>
      <c r="AR73">
        <f>$H$73*$X$73</f>
        <v>113.06</v>
      </c>
      <c r="AS73">
        <f>$H$73*$Y$73</f>
        <v>113.06</v>
      </c>
      <c r="AT73">
        <f>$H$73*$Z$73</f>
        <v>113.06</v>
      </c>
      <c r="AU73">
        <f>$H$73*$AA$73</f>
        <v>113.06</v>
      </c>
      <c r="AV73">
        <f>$H$73*$AB$73</f>
        <v>113.06</v>
      </c>
      <c r="AW73">
        <f>$H$73*$AC$73</f>
        <v>113.06</v>
      </c>
      <c r="AX73">
        <f>$H$73*$AD$73</f>
        <v>113.06</v>
      </c>
      <c r="AY73">
        <f>$H$73*$AE$73</f>
        <v>113.06</v>
      </c>
      <c r="AZ73">
        <f>$H$73*$AF$73</f>
        <v>113.06</v>
      </c>
    </row>
    <row r="74" spans="1:52" x14ac:dyDescent="0.25">
      <c r="A74">
        <v>104</v>
      </c>
      <c r="B74" t="s">
        <v>255</v>
      </c>
      <c r="C74" t="s">
        <v>361</v>
      </c>
      <c r="D74">
        <v>93.54</v>
      </c>
      <c r="E74">
        <v>62.67</v>
      </c>
      <c r="F74" t="s">
        <v>291</v>
      </c>
      <c r="G74">
        <v>0.67</v>
      </c>
      <c r="H74">
        <v>75.209999999999994</v>
      </c>
      <c r="I74" t="s">
        <v>362</v>
      </c>
      <c r="J74" t="s">
        <v>363</v>
      </c>
      <c r="K74" t="s">
        <v>484</v>
      </c>
      <c r="L74" t="s">
        <v>199</v>
      </c>
      <c r="M74" t="s">
        <v>255</v>
      </c>
      <c r="N74" t="s">
        <v>12</v>
      </c>
      <c r="O74" t="s">
        <v>4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255</v>
      </c>
      <c r="AH74" t="s">
        <v>12</v>
      </c>
      <c r="AI74" t="s">
        <v>4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75.209999999999994</v>
      </c>
      <c r="AN74">
        <f>$H$74*$T$74</f>
        <v>75.209999999999994</v>
      </c>
      <c r="AO74">
        <f>$H$74*$U$74</f>
        <v>75.209999999999994</v>
      </c>
      <c r="AP74">
        <f>$H$74*$V$74</f>
        <v>75.209999999999994</v>
      </c>
      <c r="AQ74">
        <f>$H$74*$W$74</f>
        <v>75.209999999999994</v>
      </c>
      <c r="AR74">
        <f>$H$74*$X$74</f>
        <v>75.209999999999994</v>
      </c>
      <c r="AS74">
        <f>$H$74*$Y$74</f>
        <v>75.209999999999994</v>
      </c>
      <c r="AT74">
        <f>$H$74*$Z$74</f>
        <v>75.209999999999994</v>
      </c>
      <c r="AU74">
        <f>$H$74*$AA$74</f>
        <v>75.209999999999994</v>
      </c>
      <c r="AV74">
        <f>$H$74*$AB$74</f>
        <v>75.209999999999994</v>
      </c>
      <c r="AW74">
        <f>$H$74*$AC$74</f>
        <v>75.209999999999994</v>
      </c>
      <c r="AX74">
        <f>$H$74*$AD$74</f>
        <v>75.209999999999994</v>
      </c>
      <c r="AY74">
        <f>$H$74*$AE$74</f>
        <v>75.209999999999994</v>
      </c>
      <c r="AZ74">
        <f>$H$74*$AF$74</f>
        <v>75.209999999999994</v>
      </c>
    </row>
    <row r="75" spans="1:52" x14ac:dyDescent="0.25">
      <c r="A75">
        <v>105</v>
      </c>
      <c r="B75" t="s">
        <v>255</v>
      </c>
      <c r="C75" t="s">
        <v>364</v>
      </c>
      <c r="D75">
        <v>93.54</v>
      </c>
      <c r="E75">
        <v>301.2</v>
      </c>
      <c r="F75" t="s">
        <v>291</v>
      </c>
      <c r="G75">
        <v>3.22</v>
      </c>
      <c r="H75">
        <v>361.44</v>
      </c>
      <c r="I75" t="s">
        <v>362</v>
      </c>
      <c r="J75" t="s">
        <v>360</v>
      </c>
      <c r="K75" t="s">
        <v>485</v>
      </c>
      <c r="L75" t="s">
        <v>199</v>
      </c>
      <c r="M75" t="s">
        <v>255</v>
      </c>
      <c r="N75" t="s">
        <v>12</v>
      </c>
      <c r="O75" t="s">
        <v>4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255</v>
      </c>
      <c r="AH75" t="s">
        <v>12</v>
      </c>
      <c r="AI75" t="s">
        <v>4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361.44</v>
      </c>
      <c r="AN75">
        <f>$H$75*$T$75</f>
        <v>361.44</v>
      </c>
      <c r="AO75">
        <f>$H$75*$U$75</f>
        <v>361.44</v>
      </c>
      <c r="AP75">
        <f>$H$75*$V$75</f>
        <v>361.44</v>
      </c>
      <c r="AQ75">
        <f>$H$75*$W$75</f>
        <v>361.44</v>
      </c>
      <c r="AR75">
        <f>$H$75*$X$75</f>
        <v>361.44</v>
      </c>
      <c r="AS75">
        <f>$H$75*$Y$75</f>
        <v>361.44</v>
      </c>
      <c r="AT75">
        <f>$H$75*$Z$75</f>
        <v>361.44</v>
      </c>
      <c r="AU75">
        <f>$H$75*$AA$75</f>
        <v>361.44</v>
      </c>
      <c r="AV75">
        <f>$H$75*$AB$75</f>
        <v>361.44</v>
      </c>
      <c r="AW75">
        <f>$H$75*$AC$75</f>
        <v>361.44</v>
      </c>
      <c r="AX75">
        <f>$H$75*$AD$75</f>
        <v>361.44</v>
      </c>
      <c r="AY75">
        <f>$H$75*$AE$75</f>
        <v>361.44</v>
      </c>
      <c r="AZ75">
        <f>$H$75*$AF$75</f>
        <v>361.44</v>
      </c>
    </row>
    <row r="76" spans="1:52" x14ac:dyDescent="0.25">
      <c r="A76">
        <v>106</v>
      </c>
      <c r="B76" t="s">
        <v>7</v>
      </c>
      <c r="C76" t="s">
        <v>369</v>
      </c>
      <c r="D76">
        <v>1</v>
      </c>
      <c r="E76">
        <v>33.1</v>
      </c>
      <c r="F76" t="s">
        <v>281</v>
      </c>
      <c r="G76">
        <v>33.1</v>
      </c>
      <c r="H76">
        <v>39.72</v>
      </c>
      <c r="I76" t="s">
        <v>283</v>
      </c>
      <c r="J76" t="s">
        <v>370</v>
      </c>
      <c r="K76" t="s">
        <v>488</v>
      </c>
      <c r="L76" t="s">
        <v>199</v>
      </c>
      <c r="M76" t="s">
        <v>7</v>
      </c>
      <c r="N76" t="s">
        <v>12</v>
      </c>
      <c r="O76" t="s">
        <v>7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7</v>
      </c>
      <c r="AH76" t="s">
        <v>12</v>
      </c>
      <c r="AI76" t="s">
        <v>7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39.72</v>
      </c>
      <c r="AQ76">
        <f>$H$76*$W$76</f>
        <v>39.72</v>
      </c>
      <c r="AR76">
        <f>$H$76*$X$76</f>
        <v>39.72</v>
      </c>
      <c r="AS76">
        <f>$H$76*$Y$76</f>
        <v>39.72</v>
      </c>
      <c r="AT76">
        <f>$H$76*$Z$76</f>
        <v>39.72</v>
      </c>
      <c r="AU76">
        <f>$H$76*$AA$76</f>
        <v>39.72</v>
      </c>
      <c r="AV76">
        <f>$H$76*$AB$76</f>
        <v>39.72</v>
      </c>
      <c r="AW76">
        <f>$H$76*$AC$76</f>
        <v>39.72</v>
      </c>
      <c r="AX76">
        <f>$H$76*$AD$76</f>
        <v>39.72</v>
      </c>
      <c r="AY76">
        <f>$H$76*$AE$76</f>
        <v>39.72</v>
      </c>
      <c r="AZ76">
        <f>$H$76*$AF$76</f>
        <v>39.72</v>
      </c>
    </row>
    <row r="77" spans="1:52" x14ac:dyDescent="0.25">
      <c r="A77">
        <v>107</v>
      </c>
      <c r="B77" t="s">
        <v>7</v>
      </c>
      <c r="C77" t="s">
        <v>371</v>
      </c>
      <c r="D77">
        <v>2</v>
      </c>
      <c r="E77">
        <v>74</v>
      </c>
      <c r="F77" t="s">
        <v>281</v>
      </c>
      <c r="G77">
        <v>37</v>
      </c>
      <c r="H77">
        <v>88.8</v>
      </c>
      <c r="I77" t="s">
        <v>283</v>
      </c>
      <c r="J77" t="s">
        <v>372</v>
      </c>
      <c r="K77" t="s">
        <v>489</v>
      </c>
      <c r="L77" t="s">
        <v>199</v>
      </c>
      <c r="M77" t="s">
        <v>7</v>
      </c>
      <c r="N77" t="s">
        <v>12</v>
      </c>
      <c r="O77" t="s">
        <v>7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0.6</v>
      </c>
      <c r="Y77">
        <v>0.6</v>
      </c>
      <c r="Z77">
        <v>0.6</v>
      </c>
      <c r="AA77">
        <v>0.6</v>
      </c>
      <c r="AB77">
        <v>0.6</v>
      </c>
      <c r="AC77">
        <v>0.6</v>
      </c>
      <c r="AD77">
        <v>1</v>
      </c>
      <c r="AE77">
        <v>1</v>
      </c>
      <c r="AF77">
        <v>1</v>
      </c>
      <c r="AG77" t="s">
        <v>7</v>
      </c>
      <c r="AH77" t="s">
        <v>12</v>
      </c>
      <c r="AI77" t="s">
        <v>7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53.279999999999994</v>
      </c>
      <c r="AS77">
        <f>$H$77*$Y$77</f>
        <v>53.279999999999994</v>
      </c>
      <c r="AT77">
        <f>$H$77*$Z$77</f>
        <v>53.279999999999994</v>
      </c>
      <c r="AU77">
        <f>$H$77*$AA$77</f>
        <v>53.279999999999994</v>
      </c>
      <c r="AV77">
        <f>$H$77*$AB$77</f>
        <v>53.279999999999994</v>
      </c>
      <c r="AW77">
        <f>$H$77*$AC$77</f>
        <v>53.279999999999994</v>
      </c>
      <c r="AX77">
        <f>$H$77*$AD$77</f>
        <v>88.8</v>
      </c>
      <c r="AY77">
        <f>$H$77*$AE$77</f>
        <v>88.8</v>
      </c>
      <c r="AZ77">
        <f>$H$77*$AF$77</f>
        <v>88.8</v>
      </c>
    </row>
    <row r="78" spans="1:52" x14ac:dyDescent="0.25">
      <c r="A78">
        <v>108</v>
      </c>
      <c r="B78" t="s">
        <v>7</v>
      </c>
      <c r="C78" t="s">
        <v>344</v>
      </c>
      <c r="D78">
        <v>4</v>
      </c>
      <c r="E78">
        <v>53.08</v>
      </c>
      <c r="F78" t="s">
        <v>281</v>
      </c>
      <c r="G78">
        <v>13.27</v>
      </c>
      <c r="H78">
        <v>63.7</v>
      </c>
      <c r="I78" t="s">
        <v>283</v>
      </c>
      <c r="J78" t="s">
        <v>345</v>
      </c>
      <c r="K78" t="s">
        <v>476</v>
      </c>
      <c r="L78" t="s">
        <v>199</v>
      </c>
      <c r="M78" t="s">
        <v>7</v>
      </c>
      <c r="N78" t="s">
        <v>12</v>
      </c>
      <c r="O78" t="s">
        <v>7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7</v>
      </c>
      <c r="AH78" t="s">
        <v>12</v>
      </c>
      <c r="AI78" t="s">
        <v>7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63.7</v>
      </c>
      <c r="AS78">
        <f>$H$78*$Y$78</f>
        <v>63.7</v>
      </c>
      <c r="AT78">
        <f>$H$78*$Z$78</f>
        <v>63.7</v>
      </c>
      <c r="AU78">
        <f>$H$78*$AA$78</f>
        <v>63.7</v>
      </c>
      <c r="AV78">
        <f>$H$78*$AB$78</f>
        <v>63.7</v>
      </c>
      <c r="AW78">
        <f>$H$78*$AC$78</f>
        <v>63.7</v>
      </c>
      <c r="AX78">
        <f>$H$78*$AD$78</f>
        <v>63.7</v>
      </c>
      <c r="AY78">
        <f>$H$78*$AE$78</f>
        <v>63.7</v>
      </c>
      <c r="AZ78">
        <f>$H$78*$AF$78</f>
        <v>63.7</v>
      </c>
    </row>
    <row r="79" spans="1:52" x14ac:dyDescent="0.25">
      <c r="A79">
        <v>109</v>
      </c>
      <c r="B79" t="s">
        <v>7</v>
      </c>
      <c r="C79" t="s">
        <v>344</v>
      </c>
      <c r="D79">
        <v>2</v>
      </c>
      <c r="E79">
        <v>26.54</v>
      </c>
      <c r="F79" t="s">
        <v>281</v>
      </c>
      <c r="G79">
        <v>13.27</v>
      </c>
      <c r="H79">
        <v>31.84</v>
      </c>
      <c r="I79" t="s">
        <v>283</v>
      </c>
      <c r="J79" t="s">
        <v>345</v>
      </c>
      <c r="K79" t="s">
        <v>476</v>
      </c>
      <c r="L79" t="s">
        <v>199</v>
      </c>
      <c r="M79" t="s">
        <v>7</v>
      </c>
      <c r="N79" t="s">
        <v>12</v>
      </c>
      <c r="O79" t="s">
        <v>7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7</v>
      </c>
      <c r="AH79" t="s">
        <v>12</v>
      </c>
      <c r="AI79" t="s">
        <v>7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31.84</v>
      </c>
      <c r="AS79">
        <f>$H$79*$Y$79</f>
        <v>31.84</v>
      </c>
      <c r="AT79">
        <f>$H$79*$Z$79</f>
        <v>31.84</v>
      </c>
      <c r="AU79">
        <f>$H$79*$AA$79</f>
        <v>31.84</v>
      </c>
      <c r="AV79">
        <f>$H$79*$AB$79</f>
        <v>31.84</v>
      </c>
      <c r="AW79">
        <f>$H$79*$AC$79</f>
        <v>31.84</v>
      </c>
      <c r="AX79">
        <f>$H$79*$AD$79</f>
        <v>31.84</v>
      </c>
      <c r="AY79">
        <f>$H$79*$AE$79</f>
        <v>31.84</v>
      </c>
      <c r="AZ79">
        <f>$H$79*$AF$79</f>
        <v>31.84</v>
      </c>
    </row>
    <row r="80" spans="1:52" x14ac:dyDescent="0.25">
      <c r="A80">
        <v>110</v>
      </c>
      <c r="B80" t="s">
        <v>7</v>
      </c>
      <c r="C80" t="s">
        <v>373</v>
      </c>
      <c r="D80">
        <v>1</v>
      </c>
      <c r="E80">
        <v>550.65</v>
      </c>
      <c r="F80" t="s">
        <v>281</v>
      </c>
      <c r="G80">
        <v>550.65</v>
      </c>
      <c r="H80">
        <v>660.79</v>
      </c>
      <c r="I80" t="s">
        <v>292</v>
      </c>
      <c r="J80" t="s">
        <v>374</v>
      </c>
      <c r="K80" t="s">
        <v>490</v>
      </c>
      <c r="L80" t="s">
        <v>199</v>
      </c>
      <c r="M80" t="s">
        <v>7</v>
      </c>
      <c r="N80" t="s">
        <v>12</v>
      </c>
      <c r="O80" t="s">
        <v>7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7</v>
      </c>
      <c r="AH80" t="s">
        <v>12</v>
      </c>
      <c r="AI80" t="s">
        <v>7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660.79</v>
      </c>
      <c r="AV80">
        <f>$H$80*$AB$80</f>
        <v>660.79</v>
      </c>
      <c r="AW80">
        <f>$H$80*$AC$80</f>
        <v>660.79</v>
      </c>
      <c r="AX80">
        <f>$H$80*$AD$80</f>
        <v>660.79</v>
      </c>
      <c r="AY80">
        <f>$H$80*$AE$80</f>
        <v>660.79</v>
      </c>
      <c r="AZ80">
        <f>$H$80*$AF$80</f>
        <v>660.79</v>
      </c>
    </row>
    <row r="81" spans="1:52" x14ac:dyDescent="0.25">
      <c r="A81">
        <v>111</v>
      </c>
      <c r="B81" t="s">
        <v>7</v>
      </c>
      <c r="C81" t="s">
        <v>375</v>
      </c>
      <c r="D81">
        <v>1</v>
      </c>
      <c r="E81">
        <v>203.94</v>
      </c>
      <c r="F81" t="s">
        <v>281</v>
      </c>
      <c r="G81">
        <v>203.94</v>
      </c>
      <c r="H81">
        <v>244.72</v>
      </c>
      <c r="I81" t="s">
        <v>292</v>
      </c>
      <c r="J81" t="s">
        <v>376</v>
      </c>
      <c r="K81" t="s">
        <v>491</v>
      </c>
      <c r="L81" t="s">
        <v>199</v>
      </c>
      <c r="M81" t="s">
        <v>7</v>
      </c>
      <c r="N81" t="s">
        <v>12</v>
      </c>
      <c r="O81" t="s">
        <v>7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7</v>
      </c>
      <c r="AH81" t="s">
        <v>12</v>
      </c>
      <c r="AI81" t="s">
        <v>7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244.72</v>
      </c>
      <c r="AV81">
        <f>$H$81*$AB$81</f>
        <v>244.72</v>
      </c>
      <c r="AW81">
        <f>$H$81*$AC$81</f>
        <v>244.72</v>
      </c>
      <c r="AX81">
        <f>$H$81*$AD$81</f>
        <v>244.72</v>
      </c>
      <c r="AY81">
        <f>$H$81*$AE$81</f>
        <v>244.72</v>
      </c>
      <c r="AZ81">
        <f>$H$81*$AF$81</f>
        <v>244.72</v>
      </c>
    </row>
    <row r="82" spans="1:52" x14ac:dyDescent="0.25">
      <c r="A82">
        <v>112</v>
      </c>
      <c r="B82" t="s">
        <v>7</v>
      </c>
      <c r="C82" t="s">
        <v>377</v>
      </c>
      <c r="D82">
        <v>1</v>
      </c>
      <c r="E82">
        <v>332.7</v>
      </c>
      <c r="F82" t="s">
        <v>281</v>
      </c>
      <c r="G82">
        <v>332.7</v>
      </c>
      <c r="H82">
        <v>399.24</v>
      </c>
      <c r="I82" t="s">
        <v>292</v>
      </c>
      <c r="J82" t="s">
        <v>378</v>
      </c>
      <c r="K82" t="s">
        <v>492</v>
      </c>
      <c r="L82" t="s">
        <v>199</v>
      </c>
      <c r="M82" t="s">
        <v>7</v>
      </c>
      <c r="N82" t="s">
        <v>12</v>
      </c>
      <c r="O82" t="s">
        <v>7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7</v>
      </c>
      <c r="AH82" t="s">
        <v>12</v>
      </c>
      <c r="AI82" t="s">
        <v>7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399.24</v>
      </c>
      <c r="AV82">
        <f>$H$82*$AB$82</f>
        <v>399.24</v>
      </c>
      <c r="AW82">
        <f>$H$82*$AC$82</f>
        <v>399.24</v>
      </c>
      <c r="AX82">
        <f>$H$82*$AD$82</f>
        <v>399.24</v>
      </c>
      <c r="AY82">
        <f>$H$82*$AE$82</f>
        <v>399.24</v>
      </c>
      <c r="AZ82">
        <f>$H$82*$AF$82</f>
        <v>399.24</v>
      </c>
    </row>
    <row r="83" spans="1:52" x14ac:dyDescent="0.25">
      <c r="A83">
        <v>113</v>
      </c>
      <c r="B83" t="s">
        <v>7</v>
      </c>
      <c r="C83" t="s">
        <v>379</v>
      </c>
      <c r="D83">
        <v>1</v>
      </c>
      <c r="E83">
        <v>91.55</v>
      </c>
      <c r="F83" t="s">
        <v>281</v>
      </c>
      <c r="G83">
        <v>91.55</v>
      </c>
      <c r="H83">
        <v>109.87</v>
      </c>
      <c r="I83" t="s">
        <v>286</v>
      </c>
      <c r="J83" t="s">
        <v>380</v>
      </c>
      <c r="K83" t="s">
        <v>493</v>
      </c>
      <c r="L83" t="s">
        <v>199</v>
      </c>
      <c r="M83" t="s">
        <v>7</v>
      </c>
      <c r="N83" t="s">
        <v>12</v>
      </c>
      <c r="O83" t="s">
        <v>7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7</v>
      </c>
      <c r="AH83" t="s">
        <v>12</v>
      </c>
      <c r="AI83" t="s">
        <v>7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0</v>
      </c>
      <c r="AV83">
        <f>$H$83*$AB$83</f>
        <v>109.87</v>
      </c>
      <c r="AW83">
        <f>$H$83*$AC$83</f>
        <v>109.87</v>
      </c>
      <c r="AX83">
        <f>$H$83*$AD$83</f>
        <v>109.87</v>
      </c>
      <c r="AY83">
        <f>$H$83*$AE$83</f>
        <v>109.87</v>
      </c>
      <c r="AZ83">
        <f>$H$83*$AF$83</f>
        <v>109.87</v>
      </c>
    </row>
    <row r="84" spans="1:52" x14ac:dyDescent="0.25">
      <c r="A84">
        <v>114</v>
      </c>
      <c r="B84" t="s">
        <v>7</v>
      </c>
      <c r="C84" t="s">
        <v>381</v>
      </c>
      <c r="D84">
        <v>1</v>
      </c>
      <c r="E84">
        <v>65.8</v>
      </c>
      <c r="F84" t="s">
        <v>281</v>
      </c>
      <c r="G84">
        <v>65.8</v>
      </c>
      <c r="H84">
        <v>78.959999999999994</v>
      </c>
      <c r="I84" t="s">
        <v>382</v>
      </c>
      <c r="J84" t="s">
        <v>383</v>
      </c>
      <c r="K84" t="s">
        <v>494</v>
      </c>
      <c r="L84" t="s">
        <v>199</v>
      </c>
      <c r="M84" t="s">
        <v>7</v>
      </c>
      <c r="N84" t="s">
        <v>12</v>
      </c>
      <c r="O84" t="s">
        <v>7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7</v>
      </c>
      <c r="AH84" t="s">
        <v>12</v>
      </c>
      <c r="AI84" t="s">
        <v>7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78.959999999999994</v>
      </c>
      <c r="AQ84">
        <f>$H$84*$W$84</f>
        <v>78.959999999999994</v>
      </c>
      <c r="AR84">
        <f>$H$84*$X$84</f>
        <v>78.959999999999994</v>
      </c>
      <c r="AS84">
        <f>$H$84*$Y$84</f>
        <v>78.959999999999994</v>
      </c>
      <c r="AT84">
        <f>$H$84*$Z$84</f>
        <v>78.959999999999994</v>
      </c>
      <c r="AU84">
        <f>$H$84*$AA$84</f>
        <v>78.959999999999994</v>
      </c>
      <c r="AV84">
        <f>$H$84*$AB$84</f>
        <v>78.959999999999994</v>
      </c>
      <c r="AW84">
        <f>$H$84*$AC$84</f>
        <v>78.959999999999994</v>
      </c>
      <c r="AX84">
        <f>$H$84*$AD$84</f>
        <v>78.959999999999994</v>
      </c>
      <c r="AY84">
        <f>$H$84*$AE$84</f>
        <v>78.959999999999994</v>
      </c>
      <c r="AZ84">
        <f>$H$84*$AF$84</f>
        <v>78.959999999999994</v>
      </c>
    </row>
    <row r="85" spans="1:52" x14ac:dyDescent="0.25">
      <c r="A85">
        <v>115</v>
      </c>
      <c r="B85" t="s">
        <v>7</v>
      </c>
      <c r="C85" t="s">
        <v>384</v>
      </c>
      <c r="D85">
        <v>28</v>
      </c>
      <c r="E85">
        <v>267.95999999999998</v>
      </c>
      <c r="F85" t="s">
        <v>281</v>
      </c>
      <c r="G85">
        <v>9.57</v>
      </c>
      <c r="H85">
        <v>321.56</v>
      </c>
      <c r="I85" t="s">
        <v>385</v>
      </c>
      <c r="J85" t="s">
        <v>386</v>
      </c>
      <c r="K85" t="s">
        <v>495</v>
      </c>
      <c r="L85" t="s">
        <v>199</v>
      </c>
      <c r="M85" t="s">
        <v>7</v>
      </c>
      <c r="N85" t="s">
        <v>12</v>
      </c>
      <c r="O85" t="s">
        <v>7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7</v>
      </c>
      <c r="AH85" t="s">
        <v>12</v>
      </c>
      <c r="AI85" t="s">
        <v>7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321.56</v>
      </c>
      <c r="AU85">
        <f>$H$85*$AA$85</f>
        <v>321.56</v>
      </c>
      <c r="AV85">
        <f>$H$85*$AB$85</f>
        <v>321.56</v>
      </c>
      <c r="AW85">
        <f>$H$85*$AC$85</f>
        <v>321.56</v>
      </c>
      <c r="AX85">
        <f>$H$85*$AD$85</f>
        <v>321.56</v>
      </c>
      <c r="AY85">
        <f>$H$85*$AE$85</f>
        <v>321.56</v>
      </c>
      <c r="AZ85">
        <f>$H$85*$AF$85</f>
        <v>321.56</v>
      </c>
    </row>
    <row r="86" spans="1:52" x14ac:dyDescent="0.25">
      <c r="A86">
        <v>116</v>
      </c>
      <c r="B86" t="s">
        <v>7</v>
      </c>
      <c r="C86" t="s">
        <v>387</v>
      </c>
      <c r="D86">
        <v>14</v>
      </c>
      <c r="E86">
        <v>1412.6</v>
      </c>
      <c r="F86" t="s">
        <v>276</v>
      </c>
      <c r="G86">
        <v>100.9</v>
      </c>
      <c r="H86">
        <v>1695.12</v>
      </c>
      <c r="I86" t="s">
        <v>385</v>
      </c>
      <c r="J86" t="s">
        <v>388</v>
      </c>
      <c r="K86" t="s">
        <v>496</v>
      </c>
      <c r="L86" t="s">
        <v>199</v>
      </c>
      <c r="M86" t="s">
        <v>7</v>
      </c>
      <c r="N86" t="s">
        <v>12</v>
      </c>
      <c r="O86" t="s">
        <v>7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7</v>
      </c>
      <c r="AH86" t="s">
        <v>12</v>
      </c>
      <c r="AI86" t="s">
        <v>7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1695.12</v>
      </c>
      <c r="AU86">
        <f>$H$86*$AA$86</f>
        <v>1695.12</v>
      </c>
      <c r="AV86">
        <f>$H$86*$AB$86</f>
        <v>1695.12</v>
      </c>
      <c r="AW86">
        <f>$H$86*$AC$86</f>
        <v>1695.12</v>
      </c>
      <c r="AX86">
        <f>$H$86*$AD$86</f>
        <v>1695.12</v>
      </c>
      <c r="AY86">
        <f>$H$86*$AE$86</f>
        <v>1695.12</v>
      </c>
      <c r="AZ86">
        <f>$H$86*$AF$86</f>
        <v>1695.12</v>
      </c>
    </row>
    <row r="87" spans="1:52" x14ac:dyDescent="0.25">
      <c r="A87">
        <v>117</v>
      </c>
      <c r="B87" t="s">
        <v>7</v>
      </c>
      <c r="C87" t="s">
        <v>389</v>
      </c>
      <c r="D87">
        <v>16</v>
      </c>
      <c r="E87">
        <v>2005.92</v>
      </c>
      <c r="F87" t="s">
        <v>276</v>
      </c>
      <c r="G87">
        <v>125.37</v>
      </c>
      <c r="H87">
        <v>2407.1</v>
      </c>
      <c r="I87" t="s">
        <v>385</v>
      </c>
      <c r="J87" t="s">
        <v>390</v>
      </c>
      <c r="K87" t="s">
        <v>497</v>
      </c>
      <c r="L87" t="s">
        <v>199</v>
      </c>
      <c r="M87" t="s">
        <v>7</v>
      </c>
      <c r="N87" t="s">
        <v>12</v>
      </c>
      <c r="O87" t="s">
        <v>7</v>
      </c>
      <c r="P87">
        <v>0</v>
      </c>
      <c r="Q87">
        <v>0</v>
      </c>
      <c r="R87">
        <v>0</v>
      </c>
      <c r="S87">
        <v>0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7</v>
      </c>
      <c r="AH87" t="s">
        <v>12</v>
      </c>
      <c r="AI87" t="s">
        <v>7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2407.1</v>
      </c>
      <c r="AO87">
        <f>$H$87*$U$87</f>
        <v>2407.1</v>
      </c>
      <c r="AP87">
        <f>$H$87*$V$87</f>
        <v>2407.1</v>
      </c>
      <c r="AQ87">
        <f>$H$87*$W$87</f>
        <v>2407.1</v>
      </c>
      <c r="AR87">
        <f>$H$87*$X$87</f>
        <v>2407.1</v>
      </c>
      <c r="AS87">
        <f>$H$87*$Y$87</f>
        <v>2407.1</v>
      </c>
      <c r="AT87">
        <f>$H$87*$Z$87</f>
        <v>2407.1</v>
      </c>
      <c r="AU87">
        <f>$H$87*$AA$87</f>
        <v>2407.1</v>
      </c>
      <c r="AV87">
        <f>$H$87*$AB$87</f>
        <v>2407.1</v>
      </c>
      <c r="AW87">
        <f>$H$87*$AC$87</f>
        <v>2407.1</v>
      </c>
      <c r="AX87">
        <f>$H$87*$AD$87</f>
        <v>2407.1</v>
      </c>
      <c r="AY87">
        <f>$H$87*$AE$87</f>
        <v>2407.1</v>
      </c>
      <c r="AZ87">
        <f>$H$87*$AF$87</f>
        <v>2407.1</v>
      </c>
    </row>
    <row r="88" spans="1:52" x14ac:dyDescent="0.25">
      <c r="A88">
        <v>118</v>
      </c>
      <c r="B88" t="s">
        <v>7</v>
      </c>
      <c r="C88" t="s">
        <v>391</v>
      </c>
      <c r="D88">
        <v>18</v>
      </c>
      <c r="E88">
        <v>1075.8599999999999</v>
      </c>
      <c r="F88" t="s">
        <v>276</v>
      </c>
      <c r="G88">
        <v>59.77</v>
      </c>
      <c r="H88">
        <v>1291.04</v>
      </c>
      <c r="I88" t="s">
        <v>385</v>
      </c>
      <c r="J88" t="s">
        <v>392</v>
      </c>
      <c r="K88" t="s">
        <v>498</v>
      </c>
      <c r="L88" t="s">
        <v>199</v>
      </c>
      <c r="M88" t="s">
        <v>7</v>
      </c>
      <c r="N88" t="s">
        <v>12</v>
      </c>
      <c r="O88" t="s">
        <v>7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7</v>
      </c>
      <c r="AH88" t="s">
        <v>12</v>
      </c>
      <c r="AI88" t="s">
        <v>7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1291.04</v>
      </c>
      <c r="AU88">
        <f>$H$88*$AA$88</f>
        <v>1291.04</v>
      </c>
      <c r="AV88">
        <f>$H$88*$AB$88</f>
        <v>1291.04</v>
      </c>
      <c r="AW88">
        <f>$H$88*$AC$88</f>
        <v>1291.04</v>
      </c>
      <c r="AX88">
        <f>$H$88*$AD$88</f>
        <v>1291.04</v>
      </c>
      <c r="AY88">
        <f>$H$88*$AE$88</f>
        <v>1291.04</v>
      </c>
      <c r="AZ88">
        <f>$H$88*$AF$88</f>
        <v>1291.04</v>
      </c>
    </row>
    <row r="89" spans="1:52" x14ac:dyDescent="0.25">
      <c r="A89">
        <v>119</v>
      </c>
      <c r="B89" t="s">
        <v>7</v>
      </c>
      <c r="C89" t="s">
        <v>393</v>
      </c>
      <c r="D89">
        <v>1</v>
      </c>
      <c r="E89">
        <v>75.59</v>
      </c>
      <c r="F89" t="s">
        <v>281</v>
      </c>
      <c r="G89">
        <v>75.59</v>
      </c>
      <c r="H89">
        <v>90.71</v>
      </c>
      <c r="I89" t="s">
        <v>283</v>
      </c>
      <c r="J89" t="s">
        <v>394</v>
      </c>
      <c r="K89" t="s">
        <v>499</v>
      </c>
      <c r="L89" t="s">
        <v>199</v>
      </c>
      <c r="M89" t="s">
        <v>7</v>
      </c>
      <c r="N89" t="s">
        <v>12</v>
      </c>
      <c r="O89" t="s">
        <v>7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0.6</v>
      </c>
      <c r="Y89">
        <v>0.6</v>
      </c>
      <c r="Z89">
        <v>0.6</v>
      </c>
      <c r="AA89">
        <v>0.6</v>
      </c>
      <c r="AB89">
        <v>0.6</v>
      </c>
      <c r="AC89">
        <v>0.6</v>
      </c>
      <c r="AD89">
        <v>1</v>
      </c>
      <c r="AE89">
        <v>1</v>
      </c>
      <c r="AF89">
        <v>1</v>
      </c>
      <c r="AG89" t="s">
        <v>7</v>
      </c>
      <c r="AH89" t="s">
        <v>12</v>
      </c>
      <c r="AI89" t="s">
        <v>7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54.425999999999995</v>
      </c>
      <c r="AS89">
        <f>$H$89*$Y$89</f>
        <v>54.425999999999995</v>
      </c>
      <c r="AT89">
        <f>$H$89*$Z$89</f>
        <v>54.425999999999995</v>
      </c>
      <c r="AU89">
        <f>$H$89*$AA$89</f>
        <v>54.425999999999995</v>
      </c>
      <c r="AV89">
        <f>$H$89*$AB$89</f>
        <v>54.425999999999995</v>
      </c>
      <c r="AW89">
        <f>$H$89*$AC$89</f>
        <v>54.425999999999995</v>
      </c>
      <c r="AX89">
        <f>$H$89*$AD$89</f>
        <v>90.71</v>
      </c>
      <c r="AY89">
        <f>$H$89*$AE$89</f>
        <v>90.71</v>
      </c>
      <c r="AZ89">
        <f>$H$89*$AF$89</f>
        <v>90.71</v>
      </c>
    </row>
    <row r="90" spans="1:52" x14ac:dyDescent="0.25">
      <c r="A90">
        <v>120</v>
      </c>
      <c r="B90" t="s">
        <v>7</v>
      </c>
      <c r="C90" t="s">
        <v>395</v>
      </c>
      <c r="D90">
        <v>1</v>
      </c>
      <c r="E90">
        <v>159.74</v>
      </c>
      <c r="F90" t="s">
        <v>281</v>
      </c>
      <c r="G90">
        <v>159.74</v>
      </c>
      <c r="H90">
        <v>191.68</v>
      </c>
      <c r="I90" t="s">
        <v>382</v>
      </c>
      <c r="J90" t="s">
        <v>396</v>
      </c>
      <c r="K90" t="s">
        <v>500</v>
      </c>
      <c r="L90" t="s">
        <v>199</v>
      </c>
      <c r="M90" t="s">
        <v>7</v>
      </c>
      <c r="N90" t="s">
        <v>12</v>
      </c>
      <c r="O90" t="s">
        <v>7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</v>
      </c>
      <c r="AF90">
        <v>1</v>
      </c>
      <c r="AG90" t="s">
        <v>7</v>
      </c>
      <c r="AH90" t="s">
        <v>12</v>
      </c>
      <c r="AI90" t="s">
        <v>7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0</v>
      </c>
      <c r="AV90">
        <f>$H$90*$AB$90</f>
        <v>0</v>
      </c>
      <c r="AW90">
        <f>$H$90*$AC$90</f>
        <v>191.68</v>
      </c>
      <c r="AX90">
        <f>$H$90*$AD$90</f>
        <v>191.68</v>
      </c>
      <c r="AY90">
        <f>$H$90*$AE$90</f>
        <v>191.68</v>
      </c>
      <c r="AZ90">
        <f>$H$90*$AF$90</f>
        <v>191.68</v>
      </c>
    </row>
    <row r="91" spans="1:52" x14ac:dyDescent="0.25">
      <c r="A91">
        <v>121</v>
      </c>
      <c r="B91" t="s">
        <v>7</v>
      </c>
      <c r="C91" t="s">
        <v>397</v>
      </c>
      <c r="D91">
        <v>1</v>
      </c>
      <c r="E91">
        <v>525.38</v>
      </c>
      <c r="F91" t="s">
        <v>281</v>
      </c>
      <c r="G91">
        <v>525.38</v>
      </c>
      <c r="H91">
        <v>630.46</v>
      </c>
      <c r="I91" t="s">
        <v>382</v>
      </c>
      <c r="J91" t="s">
        <v>398</v>
      </c>
      <c r="K91" t="s">
        <v>501</v>
      </c>
      <c r="L91" t="s">
        <v>199</v>
      </c>
      <c r="M91" t="s">
        <v>7</v>
      </c>
      <c r="N91" t="s">
        <v>12</v>
      </c>
      <c r="O91" t="s">
        <v>7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7</v>
      </c>
      <c r="AH91" t="s">
        <v>12</v>
      </c>
      <c r="AI91" t="s">
        <v>7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630.46</v>
      </c>
      <c r="AQ91">
        <f>$H$91*$W$91</f>
        <v>630.46</v>
      </c>
      <c r="AR91">
        <f>$H$91*$X$91</f>
        <v>630.46</v>
      </c>
      <c r="AS91">
        <f>$H$91*$Y$91</f>
        <v>630.46</v>
      </c>
      <c r="AT91">
        <f>$H$91*$Z$91</f>
        <v>630.46</v>
      </c>
      <c r="AU91">
        <f>$H$91*$AA$91</f>
        <v>630.46</v>
      </c>
      <c r="AV91">
        <f>$H$91*$AB$91</f>
        <v>630.46</v>
      </c>
      <c r="AW91">
        <f>$H$91*$AC$91</f>
        <v>630.46</v>
      </c>
      <c r="AX91">
        <f>$H$91*$AD$91</f>
        <v>630.46</v>
      </c>
      <c r="AY91">
        <f>$H$91*$AE$91</f>
        <v>630.46</v>
      </c>
      <c r="AZ91">
        <f>$H$91*$AF$91</f>
        <v>630.46</v>
      </c>
    </row>
    <row r="92" spans="1:52" x14ac:dyDescent="0.25">
      <c r="A92">
        <v>122</v>
      </c>
      <c r="B92" t="s">
        <v>7</v>
      </c>
      <c r="C92" t="s">
        <v>399</v>
      </c>
      <c r="D92">
        <v>1</v>
      </c>
      <c r="E92">
        <v>723.78</v>
      </c>
      <c r="F92" t="s">
        <v>281</v>
      </c>
      <c r="G92">
        <v>723.78</v>
      </c>
      <c r="H92">
        <v>868.54</v>
      </c>
      <c r="I92" t="s">
        <v>382</v>
      </c>
      <c r="J92" t="s">
        <v>400</v>
      </c>
      <c r="K92" t="s">
        <v>502</v>
      </c>
      <c r="L92" t="s">
        <v>199</v>
      </c>
      <c r="M92" t="s">
        <v>7</v>
      </c>
      <c r="N92" t="s">
        <v>12</v>
      </c>
      <c r="O92" t="s">
        <v>7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7</v>
      </c>
      <c r="AH92" t="s">
        <v>12</v>
      </c>
      <c r="AI92" t="s">
        <v>7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868.54</v>
      </c>
      <c r="AQ92">
        <f>$H$92*$W$92</f>
        <v>868.54</v>
      </c>
      <c r="AR92">
        <f>$H$92*$X$92</f>
        <v>868.54</v>
      </c>
      <c r="AS92">
        <f>$H$92*$Y$92</f>
        <v>868.54</v>
      </c>
      <c r="AT92">
        <f>$H$92*$Z$92</f>
        <v>868.54</v>
      </c>
      <c r="AU92">
        <f>$H$92*$AA$92</f>
        <v>868.54</v>
      </c>
      <c r="AV92">
        <f>$H$92*$AB$92</f>
        <v>868.54</v>
      </c>
      <c r="AW92">
        <f>$H$92*$AC$92</f>
        <v>868.54</v>
      </c>
      <c r="AX92">
        <f>$H$92*$AD$92</f>
        <v>868.54</v>
      </c>
      <c r="AY92">
        <f>$H$92*$AE$92</f>
        <v>868.54</v>
      </c>
      <c r="AZ92">
        <f>$H$92*$AF$92</f>
        <v>868.54</v>
      </c>
    </row>
    <row r="93" spans="1:52" x14ac:dyDescent="0.25">
      <c r="A93">
        <v>123</v>
      </c>
      <c r="B93" t="s">
        <v>7</v>
      </c>
      <c r="C93" t="s">
        <v>401</v>
      </c>
      <c r="D93">
        <v>1</v>
      </c>
      <c r="E93">
        <v>941.11</v>
      </c>
      <c r="F93" t="s">
        <v>281</v>
      </c>
      <c r="G93">
        <v>941.11</v>
      </c>
      <c r="H93">
        <v>1129.33</v>
      </c>
      <c r="I93" t="s">
        <v>382</v>
      </c>
      <c r="J93" t="s">
        <v>402</v>
      </c>
      <c r="K93" t="s">
        <v>503</v>
      </c>
      <c r="L93" t="s">
        <v>199</v>
      </c>
      <c r="M93" t="s">
        <v>7</v>
      </c>
      <c r="N93" t="s">
        <v>12</v>
      </c>
      <c r="O93" t="s">
        <v>7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7</v>
      </c>
      <c r="AH93" t="s">
        <v>12</v>
      </c>
      <c r="AI93" t="s">
        <v>7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1129.33</v>
      </c>
      <c r="AQ93">
        <f>$H$93*$W$93</f>
        <v>1129.33</v>
      </c>
      <c r="AR93">
        <f>$H$93*$X$93</f>
        <v>1129.33</v>
      </c>
      <c r="AS93">
        <f>$H$93*$Y$93</f>
        <v>1129.33</v>
      </c>
      <c r="AT93">
        <f>$H$93*$Z$93</f>
        <v>1129.33</v>
      </c>
      <c r="AU93">
        <f>$H$93*$AA$93</f>
        <v>1129.33</v>
      </c>
      <c r="AV93">
        <f>$H$93*$AB$93</f>
        <v>1129.33</v>
      </c>
      <c r="AW93">
        <f>$H$93*$AC$93</f>
        <v>1129.33</v>
      </c>
      <c r="AX93">
        <f>$H$93*$AD$93</f>
        <v>1129.33</v>
      </c>
      <c r="AY93">
        <f>$H$93*$AE$93</f>
        <v>1129.33</v>
      </c>
      <c r="AZ93">
        <f>$H$93*$AF$93</f>
        <v>1129.33</v>
      </c>
    </row>
    <row r="94" spans="1:52" x14ac:dyDescent="0.25">
      <c r="A94">
        <v>124</v>
      </c>
      <c r="B94" t="s">
        <v>7</v>
      </c>
      <c r="C94" t="s">
        <v>299</v>
      </c>
      <c r="D94">
        <v>338.67</v>
      </c>
      <c r="E94">
        <v>331.9</v>
      </c>
      <c r="F94" t="s">
        <v>291</v>
      </c>
      <c r="G94">
        <v>0.98</v>
      </c>
      <c r="H94">
        <v>398.28</v>
      </c>
      <c r="I94" t="s">
        <v>277</v>
      </c>
      <c r="J94" t="s">
        <v>300</v>
      </c>
      <c r="K94" t="s">
        <v>454</v>
      </c>
      <c r="L94" t="s">
        <v>199</v>
      </c>
      <c r="M94" t="s">
        <v>7</v>
      </c>
      <c r="N94" t="s">
        <v>12</v>
      </c>
      <c r="O94" t="s">
        <v>7</v>
      </c>
      <c r="P94">
        <v>0</v>
      </c>
      <c r="Q94">
        <v>0</v>
      </c>
      <c r="R94">
        <v>0</v>
      </c>
      <c r="S94">
        <v>0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7</v>
      </c>
      <c r="AH94" t="s">
        <v>12</v>
      </c>
      <c r="AI94" t="s">
        <v>7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398.28</v>
      </c>
      <c r="AO94">
        <f>$H$94*$U$94</f>
        <v>398.28</v>
      </c>
      <c r="AP94">
        <f>$H$94*$V$94</f>
        <v>398.28</v>
      </c>
      <c r="AQ94">
        <f>$H$94*$W$94</f>
        <v>398.28</v>
      </c>
      <c r="AR94">
        <f>$H$94*$X$94</f>
        <v>398.28</v>
      </c>
      <c r="AS94">
        <f>$H$94*$Y$94</f>
        <v>398.28</v>
      </c>
      <c r="AT94">
        <f>$H$94*$Z$94</f>
        <v>398.28</v>
      </c>
      <c r="AU94">
        <f>$H$94*$AA$94</f>
        <v>398.28</v>
      </c>
      <c r="AV94">
        <f>$H$94*$AB$94</f>
        <v>398.28</v>
      </c>
      <c r="AW94">
        <f>$H$94*$AC$94</f>
        <v>398.28</v>
      </c>
      <c r="AX94">
        <f>$H$94*$AD$94</f>
        <v>398.28</v>
      </c>
      <c r="AY94">
        <f>$H$94*$AE$94</f>
        <v>398.28</v>
      </c>
      <c r="AZ94">
        <f>$H$94*$AF$94</f>
        <v>398.28</v>
      </c>
    </row>
    <row r="95" spans="1:52" x14ac:dyDescent="0.25">
      <c r="A95">
        <v>125</v>
      </c>
      <c r="B95" t="s">
        <v>7</v>
      </c>
      <c r="C95" t="s">
        <v>350</v>
      </c>
      <c r="D95">
        <v>338.67</v>
      </c>
      <c r="E95">
        <v>904.25</v>
      </c>
      <c r="F95" t="s">
        <v>291</v>
      </c>
      <c r="G95">
        <v>2.67</v>
      </c>
      <c r="H95">
        <v>1085.1099999999999</v>
      </c>
      <c r="I95" t="s">
        <v>302</v>
      </c>
      <c r="J95" t="s">
        <v>351</v>
      </c>
      <c r="K95" t="s">
        <v>479</v>
      </c>
      <c r="L95" t="s">
        <v>199</v>
      </c>
      <c r="M95" t="s">
        <v>7</v>
      </c>
      <c r="N95" t="s">
        <v>12</v>
      </c>
      <c r="O95" t="s">
        <v>7</v>
      </c>
      <c r="P95">
        <v>0</v>
      </c>
      <c r="Q95">
        <v>0</v>
      </c>
      <c r="R95">
        <v>0</v>
      </c>
      <c r="S95">
        <v>0.25</v>
      </c>
      <c r="T95">
        <v>0.25</v>
      </c>
      <c r="U95">
        <v>0.25</v>
      </c>
      <c r="V95">
        <v>0.25</v>
      </c>
      <c r="W95">
        <v>0.25</v>
      </c>
      <c r="X95">
        <v>0.5</v>
      </c>
      <c r="Y95">
        <v>0.5</v>
      </c>
      <c r="Z95">
        <v>0.5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7</v>
      </c>
      <c r="AH95" t="s">
        <v>12</v>
      </c>
      <c r="AI95" t="s">
        <v>7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271.27749999999997</v>
      </c>
      <c r="AN95">
        <f>$H$95*$T$95</f>
        <v>271.27749999999997</v>
      </c>
      <c r="AO95">
        <f>$H$95*$U$95</f>
        <v>271.27749999999997</v>
      </c>
      <c r="AP95">
        <f>$H$95*$V$95</f>
        <v>271.27749999999997</v>
      </c>
      <c r="AQ95">
        <f>$H$95*$W$95</f>
        <v>271.27749999999997</v>
      </c>
      <c r="AR95">
        <f>$H$95*$X$95</f>
        <v>542.55499999999995</v>
      </c>
      <c r="AS95">
        <f>$H$95*$Y$95</f>
        <v>542.55499999999995</v>
      </c>
      <c r="AT95">
        <f>$H$95*$Z$95</f>
        <v>542.55499999999995</v>
      </c>
      <c r="AU95">
        <f>$H$95*$AA$95</f>
        <v>1085.1099999999999</v>
      </c>
      <c r="AV95">
        <f>$H$95*$AB$95</f>
        <v>1085.1099999999999</v>
      </c>
      <c r="AW95">
        <f>$H$95*$AC$95</f>
        <v>1085.1099999999999</v>
      </c>
      <c r="AX95">
        <f>$H$95*$AD$95</f>
        <v>1085.1099999999999</v>
      </c>
      <c r="AY95">
        <f>$H$95*$AE$95</f>
        <v>1085.1099999999999</v>
      </c>
      <c r="AZ95">
        <f>$H$95*$AF$95</f>
        <v>1085.1099999999999</v>
      </c>
    </row>
    <row r="96" spans="1:52" x14ac:dyDescent="0.25">
      <c r="A96">
        <v>126</v>
      </c>
      <c r="B96" t="s">
        <v>7</v>
      </c>
      <c r="C96" t="s">
        <v>403</v>
      </c>
      <c r="D96">
        <v>21.17</v>
      </c>
      <c r="E96">
        <v>19.260000000000002</v>
      </c>
      <c r="F96" t="s">
        <v>276</v>
      </c>
      <c r="G96">
        <v>0.91</v>
      </c>
      <c r="H96">
        <v>23.12</v>
      </c>
      <c r="I96" t="s">
        <v>277</v>
      </c>
      <c r="J96" t="s">
        <v>353</v>
      </c>
      <c r="K96" t="s">
        <v>504</v>
      </c>
      <c r="L96" t="s">
        <v>199</v>
      </c>
      <c r="M96" t="s">
        <v>7</v>
      </c>
      <c r="N96" t="s">
        <v>12</v>
      </c>
      <c r="O96" t="s">
        <v>7</v>
      </c>
      <c r="P96">
        <v>0</v>
      </c>
      <c r="Q96">
        <v>0</v>
      </c>
      <c r="R96">
        <v>0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7</v>
      </c>
      <c r="AH96" t="s">
        <v>12</v>
      </c>
      <c r="AI96" t="s">
        <v>7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23.12</v>
      </c>
      <c r="AN96">
        <f>$H$96*$T$96</f>
        <v>23.12</v>
      </c>
      <c r="AO96">
        <f>$H$96*$U$96</f>
        <v>23.12</v>
      </c>
      <c r="AP96">
        <f>$H$96*$V$96</f>
        <v>23.12</v>
      </c>
      <c r="AQ96">
        <f>$H$96*$W$96</f>
        <v>23.12</v>
      </c>
      <c r="AR96">
        <f>$H$96*$X$96</f>
        <v>23.12</v>
      </c>
      <c r="AS96">
        <f>$H$96*$Y$96</f>
        <v>23.12</v>
      </c>
      <c r="AT96">
        <f>$H$96*$Z$96</f>
        <v>23.12</v>
      </c>
      <c r="AU96">
        <f>$H$96*$AA$96</f>
        <v>23.12</v>
      </c>
      <c r="AV96">
        <f>$H$96*$AB$96</f>
        <v>23.12</v>
      </c>
      <c r="AW96">
        <f>$H$96*$AC$96</f>
        <v>23.12</v>
      </c>
      <c r="AX96">
        <f>$H$96*$AD$96</f>
        <v>23.12</v>
      </c>
      <c r="AY96">
        <f>$H$96*$AE$96</f>
        <v>23.12</v>
      </c>
      <c r="AZ96">
        <f>$H$96*$AF$96</f>
        <v>23.12</v>
      </c>
    </row>
    <row r="97" spans="1:52" x14ac:dyDescent="0.25">
      <c r="A97">
        <v>127</v>
      </c>
      <c r="B97" t="s">
        <v>7</v>
      </c>
      <c r="C97" t="s">
        <v>352</v>
      </c>
      <c r="D97">
        <v>21.17</v>
      </c>
      <c r="E97">
        <v>74.52</v>
      </c>
      <c r="F97" t="s">
        <v>276</v>
      </c>
      <c r="G97">
        <v>3.52</v>
      </c>
      <c r="H97">
        <v>89.42</v>
      </c>
      <c r="I97" t="s">
        <v>280</v>
      </c>
      <c r="J97" t="s">
        <v>353</v>
      </c>
      <c r="K97" t="s">
        <v>480</v>
      </c>
      <c r="L97" t="s">
        <v>199</v>
      </c>
      <c r="M97" t="s">
        <v>7</v>
      </c>
      <c r="N97" t="s">
        <v>12</v>
      </c>
      <c r="O97" t="s">
        <v>7</v>
      </c>
      <c r="P97">
        <v>0</v>
      </c>
      <c r="Q97">
        <v>0</v>
      </c>
      <c r="R97">
        <v>0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7</v>
      </c>
      <c r="AH97" t="s">
        <v>12</v>
      </c>
      <c r="AI97" t="s">
        <v>7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89.42</v>
      </c>
      <c r="AN97">
        <f>$H$97*$T$97</f>
        <v>89.42</v>
      </c>
      <c r="AO97">
        <f>$H$97*$U$97</f>
        <v>89.42</v>
      </c>
      <c r="AP97">
        <f>$H$97*$V$97</f>
        <v>89.42</v>
      </c>
      <c r="AQ97">
        <f>$H$97*$W$97</f>
        <v>89.42</v>
      </c>
      <c r="AR97">
        <f>$H$97*$X$97</f>
        <v>89.42</v>
      </c>
      <c r="AS97">
        <f>$H$97*$Y$97</f>
        <v>89.42</v>
      </c>
      <c r="AT97">
        <f>$H$97*$Z$97</f>
        <v>89.42</v>
      </c>
      <c r="AU97">
        <f>$H$97*$AA$97</f>
        <v>89.42</v>
      </c>
      <c r="AV97">
        <f>$H$97*$AB$97</f>
        <v>89.42</v>
      </c>
      <c r="AW97">
        <f>$H$97*$AC$97</f>
        <v>89.42</v>
      </c>
      <c r="AX97">
        <f>$H$97*$AD$97</f>
        <v>89.42</v>
      </c>
      <c r="AY97">
        <f>$H$97*$AE$97</f>
        <v>89.42</v>
      </c>
      <c r="AZ97">
        <f>$H$97*$AF$97</f>
        <v>89.42</v>
      </c>
    </row>
    <row r="98" spans="1:52" x14ac:dyDescent="0.25">
      <c r="A98">
        <v>128</v>
      </c>
      <c r="B98" t="s">
        <v>7</v>
      </c>
      <c r="C98" t="s">
        <v>350</v>
      </c>
      <c r="D98">
        <v>111.76</v>
      </c>
      <c r="E98">
        <v>298.39999999999998</v>
      </c>
      <c r="F98" t="s">
        <v>291</v>
      </c>
      <c r="G98">
        <v>2.67</v>
      </c>
      <c r="H98">
        <v>358.08</v>
      </c>
      <c r="I98" t="s">
        <v>302</v>
      </c>
      <c r="J98" t="s">
        <v>351</v>
      </c>
      <c r="K98" t="s">
        <v>479</v>
      </c>
      <c r="L98" t="s">
        <v>199</v>
      </c>
      <c r="M98" t="s">
        <v>7</v>
      </c>
      <c r="N98" t="s">
        <v>12</v>
      </c>
      <c r="O98" t="s">
        <v>7</v>
      </c>
      <c r="P98">
        <v>0</v>
      </c>
      <c r="Q98">
        <v>0</v>
      </c>
      <c r="R98">
        <v>0</v>
      </c>
      <c r="S98">
        <v>0.25</v>
      </c>
      <c r="T98">
        <v>0.25</v>
      </c>
      <c r="U98">
        <v>0.25</v>
      </c>
      <c r="V98">
        <v>0.25</v>
      </c>
      <c r="W98">
        <v>0.25</v>
      </c>
      <c r="X98">
        <v>0.5</v>
      </c>
      <c r="Y98">
        <v>0.5</v>
      </c>
      <c r="Z98">
        <v>0.5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7</v>
      </c>
      <c r="AH98" t="s">
        <v>12</v>
      </c>
      <c r="AI98" t="s">
        <v>7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89.52</v>
      </c>
      <c r="AN98">
        <f>$H$98*$T$98</f>
        <v>89.52</v>
      </c>
      <c r="AO98">
        <f>$H$98*$U$98</f>
        <v>89.52</v>
      </c>
      <c r="AP98">
        <f>$H$98*$V$98</f>
        <v>89.52</v>
      </c>
      <c r="AQ98">
        <f>$H$98*$W$98</f>
        <v>89.52</v>
      </c>
      <c r="AR98">
        <f>$H$98*$X$98</f>
        <v>179.04</v>
      </c>
      <c r="AS98">
        <f>$H$98*$Y$98</f>
        <v>179.04</v>
      </c>
      <c r="AT98">
        <f>$H$98*$Z$98</f>
        <v>179.04</v>
      </c>
      <c r="AU98">
        <f>$H$98*$AA$98</f>
        <v>358.08</v>
      </c>
      <c r="AV98">
        <f>$H$98*$AB$98</f>
        <v>358.08</v>
      </c>
      <c r="AW98">
        <f>$H$98*$AC$98</f>
        <v>358.08</v>
      </c>
      <c r="AX98">
        <f>$H$98*$AD$98</f>
        <v>358.08</v>
      </c>
      <c r="AY98">
        <f>$H$98*$AE$98</f>
        <v>358.08</v>
      </c>
      <c r="AZ98">
        <f>$H$98*$AF$98</f>
        <v>358.08</v>
      </c>
    </row>
    <row r="99" spans="1:52" x14ac:dyDescent="0.25">
      <c r="A99">
        <v>129</v>
      </c>
      <c r="B99" t="s">
        <v>7</v>
      </c>
      <c r="C99" t="s">
        <v>354</v>
      </c>
      <c r="D99">
        <v>111.76</v>
      </c>
      <c r="E99">
        <v>70.41</v>
      </c>
      <c r="F99" t="s">
        <v>291</v>
      </c>
      <c r="G99">
        <v>0.63</v>
      </c>
      <c r="H99">
        <v>84.49</v>
      </c>
      <c r="I99" t="s">
        <v>277</v>
      </c>
      <c r="J99" t="s">
        <v>355</v>
      </c>
      <c r="K99" t="s">
        <v>481</v>
      </c>
      <c r="L99" t="s">
        <v>199</v>
      </c>
      <c r="M99" t="s">
        <v>7</v>
      </c>
      <c r="N99" t="s">
        <v>12</v>
      </c>
      <c r="O99" t="s">
        <v>7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1</v>
      </c>
      <c r="AE99">
        <v>1</v>
      </c>
      <c r="AF99">
        <v>1</v>
      </c>
      <c r="AG99" t="s">
        <v>7</v>
      </c>
      <c r="AH99" t="s">
        <v>12</v>
      </c>
      <c r="AI99" t="s">
        <v>7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0</v>
      </c>
      <c r="AV99">
        <f>$H$99*$AB$99</f>
        <v>0</v>
      </c>
      <c r="AW99">
        <f>$H$99*$AC$99</f>
        <v>0</v>
      </c>
      <c r="AX99">
        <f>$H$99*$AD$99</f>
        <v>84.49</v>
      </c>
      <c r="AY99">
        <f>$H$99*$AE$99</f>
        <v>84.49</v>
      </c>
      <c r="AZ99">
        <f>$H$99*$AF$99</f>
        <v>84.49</v>
      </c>
    </row>
    <row r="100" spans="1:52" x14ac:dyDescent="0.25">
      <c r="A100">
        <v>130</v>
      </c>
      <c r="B100" t="s">
        <v>7</v>
      </c>
      <c r="C100" t="s">
        <v>356</v>
      </c>
      <c r="D100">
        <v>111.76</v>
      </c>
      <c r="E100">
        <v>77.11</v>
      </c>
      <c r="F100" t="s">
        <v>291</v>
      </c>
      <c r="G100">
        <v>0.69</v>
      </c>
      <c r="H100">
        <v>92.53</v>
      </c>
      <c r="I100" t="s">
        <v>277</v>
      </c>
      <c r="J100" t="s">
        <v>357</v>
      </c>
      <c r="K100" t="s">
        <v>482</v>
      </c>
      <c r="L100" t="s">
        <v>199</v>
      </c>
      <c r="M100" t="s">
        <v>7</v>
      </c>
      <c r="N100" t="s">
        <v>12</v>
      </c>
      <c r="O100" t="s">
        <v>7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7</v>
      </c>
      <c r="AH100" t="s">
        <v>12</v>
      </c>
      <c r="AI100" t="s">
        <v>7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92.53</v>
      </c>
      <c r="AN100">
        <f>$H$100*$T$100</f>
        <v>92.53</v>
      </c>
      <c r="AO100">
        <f>$H$100*$U$100</f>
        <v>92.53</v>
      </c>
      <c r="AP100">
        <f>$H$100*$V$100</f>
        <v>92.53</v>
      </c>
      <c r="AQ100">
        <f>$H$100*$W$100</f>
        <v>92.53</v>
      </c>
      <c r="AR100">
        <f>$H$100*$X$100</f>
        <v>92.53</v>
      </c>
      <c r="AS100">
        <f>$H$100*$Y$100</f>
        <v>92.53</v>
      </c>
      <c r="AT100">
        <f>$H$100*$Z$100</f>
        <v>92.53</v>
      </c>
      <c r="AU100">
        <f>$H$100*$AA$100</f>
        <v>92.53</v>
      </c>
      <c r="AV100">
        <f>$H$100*$AB$100</f>
        <v>92.53</v>
      </c>
      <c r="AW100">
        <f>$H$100*$AC$100</f>
        <v>92.53</v>
      </c>
      <c r="AX100">
        <f>$H$100*$AD$100</f>
        <v>92.53</v>
      </c>
      <c r="AY100">
        <f>$H$100*$AE$100</f>
        <v>92.53</v>
      </c>
      <c r="AZ100">
        <f>$H$100*$AF$100</f>
        <v>92.53</v>
      </c>
    </row>
    <row r="101" spans="1:52" x14ac:dyDescent="0.25">
      <c r="A101">
        <v>131</v>
      </c>
      <c r="B101" t="s">
        <v>7</v>
      </c>
      <c r="C101" t="s">
        <v>358</v>
      </c>
      <c r="D101">
        <v>25.7</v>
      </c>
      <c r="E101">
        <v>103.57</v>
      </c>
      <c r="F101" t="s">
        <v>291</v>
      </c>
      <c r="G101">
        <v>4.03</v>
      </c>
      <c r="H101">
        <v>124.29</v>
      </c>
      <c r="I101" t="s">
        <v>359</v>
      </c>
      <c r="J101" t="s">
        <v>360</v>
      </c>
      <c r="K101" t="s">
        <v>483</v>
      </c>
      <c r="L101" t="s">
        <v>199</v>
      </c>
      <c r="M101" t="s">
        <v>7</v>
      </c>
      <c r="N101" t="s">
        <v>12</v>
      </c>
      <c r="O101" t="s">
        <v>7</v>
      </c>
      <c r="P101">
        <v>0</v>
      </c>
      <c r="Q101">
        <v>0</v>
      </c>
      <c r="R101">
        <v>0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7</v>
      </c>
      <c r="AH101" t="s">
        <v>12</v>
      </c>
      <c r="AI101" t="s">
        <v>7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124.29</v>
      </c>
      <c r="AN101">
        <f>$H$101*$T$101</f>
        <v>124.29</v>
      </c>
      <c r="AO101">
        <f>$H$101*$U$101</f>
        <v>124.29</v>
      </c>
      <c r="AP101">
        <f>$H$101*$V$101</f>
        <v>124.29</v>
      </c>
      <c r="AQ101">
        <f>$H$101*$W$101</f>
        <v>124.29</v>
      </c>
      <c r="AR101">
        <f>$H$101*$X$101</f>
        <v>124.29</v>
      </c>
      <c r="AS101">
        <f>$H$101*$Y$101</f>
        <v>124.29</v>
      </c>
      <c r="AT101">
        <f>$H$101*$Z$101</f>
        <v>124.29</v>
      </c>
      <c r="AU101">
        <f>$H$101*$AA$101</f>
        <v>124.29</v>
      </c>
      <c r="AV101">
        <f>$H$101*$AB$101</f>
        <v>124.29</v>
      </c>
      <c r="AW101">
        <f>$H$101*$AC$101</f>
        <v>124.29</v>
      </c>
      <c r="AX101">
        <f>$H$101*$AD$101</f>
        <v>124.29</v>
      </c>
      <c r="AY101">
        <f>$H$101*$AE$101</f>
        <v>124.29</v>
      </c>
      <c r="AZ101">
        <f>$H$101*$AF$101</f>
        <v>124.29</v>
      </c>
    </row>
    <row r="102" spans="1:52" x14ac:dyDescent="0.25">
      <c r="A102">
        <v>132</v>
      </c>
      <c r="B102" t="s">
        <v>7</v>
      </c>
      <c r="C102" t="s">
        <v>361</v>
      </c>
      <c r="D102">
        <v>102.82</v>
      </c>
      <c r="E102">
        <v>68.89</v>
      </c>
      <c r="F102" t="s">
        <v>291</v>
      </c>
      <c r="G102">
        <v>0.67</v>
      </c>
      <c r="H102">
        <v>82.67</v>
      </c>
      <c r="I102" t="s">
        <v>362</v>
      </c>
      <c r="J102" t="s">
        <v>363</v>
      </c>
      <c r="K102" t="s">
        <v>484</v>
      </c>
      <c r="L102" t="s">
        <v>199</v>
      </c>
      <c r="M102" t="s">
        <v>7</v>
      </c>
      <c r="N102" t="s">
        <v>12</v>
      </c>
      <c r="O102" t="s">
        <v>7</v>
      </c>
      <c r="P102">
        <v>0</v>
      </c>
      <c r="Q102">
        <v>0</v>
      </c>
      <c r="R102">
        <v>0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7</v>
      </c>
      <c r="AH102" t="s">
        <v>12</v>
      </c>
      <c r="AI102" t="s">
        <v>7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82.67</v>
      </c>
      <c r="AN102">
        <f>$H$102*$T$102</f>
        <v>82.67</v>
      </c>
      <c r="AO102">
        <f>$H$102*$U$102</f>
        <v>82.67</v>
      </c>
      <c r="AP102">
        <f>$H$102*$V$102</f>
        <v>82.67</v>
      </c>
      <c r="AQ102">
        <f>$H$102*$W$102</f>
        <v>82.67</v>
      </c>
      <c r="AR102">
        <f>$H$102*$X$102</f>
        <v>82.67</v>
      </c>
      <c r="AS102">
        <f>$H$102*$Y$102</f>
        <v>82.67</v>
      </c>
      <c r="AT102">
        <f>$H$102*$Z$102</f>
        <v>82.67</v>
      </c>
      <c r="AU102">
        <f>$H$102*$AA$102</f>
        <v>82.67</v>
      </c>
      <c r="AV102">
        <f>$H$102*$AB$102</f>
        <v>82.67</v>
      </c>
      <c r="AW102">
        <f>$H$102*$AC$102</f>
        <v>82.67</v>
      </c>
      <c r="AX102">
        <f>$H$102*$AD$102</f>
        <v>82.67</v>
      </c>
      <c r="AY102">
        <f>$H$102*$AE$102</f>
        <v>82.67</v>
      </c>
      <c r="AZ102">
        <f>$H$102*$AF$102</f>
        <v>82.67</v>
      </c>
    </row>
    <row r="103" spans="1:52" x14ac:dyDescent="0.25">
      <c r="A103">
        <v>133</v>
      </c>
      <c r="B103" t="s">
        <v>7</v>
      </c>
      <c r="C103" t="s">
        <v>364</v>
      </c>
      <c r="D103">
        <v>102.82</v>
      </c>
      <c r="E103">
        <v>331.08</v>
      </c>
      <c r="F103" t="s">
        <v>291</v>
      </c>
      <c r="G103">
        <v>3.22</v>
      </c>
      <c r="H103">
        <v>397.3</v>
      </c>
      <c r="I103" t="s">
        <v>362</v>
      </c>
      <c r="J103" t="s">
        <v>360</v>
      </c>
      <c r="K103" t="s">
        <v>485</v>
      </c>
      <c r="L103" t="s">
        <v>199</v>
      </c>
      <c r="M103" t="s">
        <v>7</v>
      </c>
      <c r="N103" t="s">
        <v>12</v>
      </c>
      <c r="O103" t="s">
        <v>7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7</v>
      </c>
      <c r="AH103" t="s">
        <v>12</v>
      </c>
      <c r="AI103" t="s">
        <v>7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397.3</v>
      </c>
      <c r="AN103">
        <f>$H$103*$T$103</f>
        <v>397.3</v>
      </c>
      <c r="AO103">
        <f>$H$103*$U$103</f>
        <v>397.3</v>
      </c>
      <c r="AP103">
        <f>$H$103*$V$103</f>
        <v>397.3</v>
      </c>
      <c r="AQ103">
        <f>$H$103*$W$103</f>
        <v>397.3</v>
      </c>
      <c r="AR103">
        <f>$H$103*$X$103</f>
        <v>397.3</v>
      </c>
      <c r="AS103">
        <f>$H$103*$Y$103</f>
        <v>397.3</v>
      </c>
      <c r="AT103">
        <f>$H$103*$Z$103</f>
        <v>397.3</v>
      </c>
      <c r="AU103">
        <f>$H$103*$AA$103</f>
        <v>397.3</v>
      </c>
      <c r="AV103">
        <f>$H$103*$AB$103</f>
        <v>397.3</v>
      </c>
      <c r="AW103">
        <f>$H$103*$AC$103</f>
        <v>397.3</v>
      </c>
      <c r="AX103">
        <f>$H$103*$AD$103</f>
        <v>397.3</v>
      </c>
      <c r="AY103">
        <f>$H$103*$AE$103</f>
        <v>397.3</v>
      </c>
      <c r="AZ103">
        <f>$H$103*$AF$103</f>
        <v>397.3</v>
      </c>
    </row>
    <row r="104" spans="1:52" x14ac:dyDescent="0.25">
      <c r="A104">
        <v>134</v>
      </c>
      <c r="B104" t="s">
        <v>4</v>
      </c>
      <c r="C104" t="s">
        <v>282</v>
      </c>
      <c r="D104">
        <v>1</v>
      </c>
      <c r="E104">
        <v>39.700000000000003</v>
      </c>
      <c r="F104" t="s">
        <v>281</v>
      </c>
      <c r="G104">
        <v>39.700000000000003</v>
      </c>
      <c r="H104">
        <v>47.64</v>
      </c>
      <c r="I104" t="s">
        <v>283</v>
      </c>
      <c r="J104" t="s">
        <v>284</v>
      </c>
      <c r="K104" t="s">
        <v>447</v>
      </c>
      <c r="L104" t="s">
        <v>199</v>
      </c>
      <c r="M104" t="s">
        <v>4</v>
      </c>
      <c r="N104" t="s">
        <v>12</v>
      </c>
      <c r="O104" t="s">
        <v>4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1</v>
      </c>
      <c r="AE104">
        <v>1</v>
      </c>
      <c r="AF104">
        <v>1</v>
      </c>
      <c r="AG104" t="s">
        <v>4</v>
      </c>
      <c r="AH104" t="s">
        <v>12</v>
      </c>
      <c r="AI104" t="s">
        <v>4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0</v>
      </c>
      <c r="AU104">
        <f>$H$104*$AA$104</f>
        <v>0</v>
      </c>
      <c r="AV104">
        <f>$H$104*$AB$104</f>
        <v>0</v>
      </c>
      <c r="AW104">
        <f>$H$104*$AC$104</f>
        <v>0</v>
      </c>
      <c r="AX104">
        <f>$H$104*$AD$104</f>
        <v>47.64</v>
      </c>
      <c r="AY104">
        <f>$H$104*$AE$104</f>
        <v>47.64</v>
      </c>
      <c r="AZ104">
        <f>$H$104*$AF$104</f>
        <v>47.64</v>
      </c>
    </row>
    <row r="105" spans="1:52" x14ac:dyDescent="0.25">
      <c r="A105">
        <v>135</v>
      </c>
      <c r="B105" t="s">
        <v>4</v>
      </c>
      <c r="C105" t="s">
        <v>295</v>
      </c>
      <c r="D105">
        <v>4</v>
      </c>
      <c r="E105">
        <v>17.760000000000002</v>
      </c>
      <c r="F105" t="s">
        <v>276</v>
      </c>
      <c r="G105">
        <v>4.4400000000000004</v>
      </c>
      <c r="H105">
        <v>21.32</v>
      </c>
      <c r="I105" t="s">
        <v>277</v>
      </c>
      <c r="J105" t="s">
        <v>296</v>
      </c>
      <c r="K105" t="s">
        <v>452</v>
      </c>
      <c r="L105" t="s">
        <v>199</v>
      </c>
      <c r="M105" t="s">
        <v>4</v>
      </c>
      <c r="N105" t="s">
        <v>12</v>
      </c>
      <c r="O105" t="s">
        <v>4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4</v>
      </c>
      <c r="AH105" t="s">
        <v>12</v>
      </c>
      <c r="AI105" t="s">
        <v>4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0</v>
      </c>
      <c r="AU105">
        <f>$H$105*$AA$105</f>
        <v>21.32</v>
      </c>
      <c r="AV105">
        <f>$H$105*$AB$105</f>
        <v>21.32</v>
      </c>
      <c r="AW105">
        <f>$H$105*$AC$105</f>
        <v>21.32</v>
      </c>
      <c r="AX105">
        <f>$H$105*$AD$105</f>
        <v>21.32</v>
      </c>
      <c r="AY105">
        <f>$H$105*$AE$105</f>
        <v>21.32</v>
      </c>
      <c r="AZ105">
        <f>$H$105*$AF$105</f>
        <v>21.32</v>
      </c>
    </row>
    <row r="106" spans="1:52" x14ac:dyDescent="0.25">
      <c r="A106">
        <v>136</v>
      </c>
      <c r="B106" t="s">
        <v>4</v>
      </c>
      <c r="C106" t="s">
        <v>297</v>
      </c>
      <c r="D106">
        <v>4</v>
      </c>
      <c r="E106">
        <v>46.2</v>
      </c>
      <c r="F106" t="s">
        <v>276</v>
      </c>
      <c r="G106">
        <v>11.55</v>
      </c>
      <c r="H106">
        <v>55.44</v>
      </c>
      <c r="I106" t="s">
        <v>280</v>
      </c>
      <c r="J106" t="s">
        <v>298</v>
      </c>
      <c r="K106" t="s">
        <v>453</v>
      </c>
      <c r="L106" t="s">
        <v>199</v>
      </c>
      <c r="M106" t="s">
        <v>4</v>
      </c>
      <c r="N106" t="s">
        <v>12</v>
      </c>
      <c r="O106" t="s">
        <v>4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4</v>
      </c>
      <c r="AH106" t="s">
        <v>12</v>
      </c>
      <c r="AI106" t="s">
        <v>4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55.44</v>
      </c>
      <c r="AV106">
        <f>$H$106*$AB$106</f>
        <v>55.44</v>
      </c>
      <c r="AW106">
        <f>$H$106*$AC$106</f>
        <v>55.44</v>
      </c>
      <c r="AX106">
        <f>$H$106*$AD$106</f>
        <v>55.44</v>
      </c>
      <c r="AY106">
        <f>$H$106*$AE$106</f>
        <v>55.44</v>
      </c>
      <c r="AZ106">
        <f>$H$106*$AF$106</f>
        <v>55.44</v>
      </c>
    </row>
    <row r="107" spans="1:52" x14ac:dyDescent="0.25">
      <c r="A107">
        <v>137</v>
      </c>
      <c r="B107" t="s">
        <v>4</v>
      </c>
      <c r="C107" t="s">
        <v>342</v>
      </c>
      <c r="D107">
        <v>4</v>
      </c>
      <c r="E107">
        <v>19</v>
      </c>
      <c r="F107" t="s">
        <v>276</v>
      </c>
      <c r="G107">
        <v>4.75</v>
      </c>
      <c r="H107">
        <v>22.8</v>
      </c>
      <c r="I107" t="s">
        <v>280</v>
      </c>
      <c r="J107" t="s">
        <v>343</v>
      </c>
      <c r="K107" t="s">
        <v>475</v>
      </c>
      <c r="L107" t="s">
        <v>199</v>
      </c>
      <c r="M107" t="s">
        <v>4</v>
      </c>
      <c r="N107" t="s">
        <v>12</v>
      </c>
      <c r="O107" t="s">
        <v>4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1</v>
      </c>
      <c r="AD107">
        <v>1</v>
      </c>
      <c r="AE107">
        <v>1</v>
      </c>
      <c r="AF107">
        <v>1</v>
      </c>
      <c r="AG107" t="s">
        <v>4</v>
      </c>
      <c r="AH107" t="s">
        <v>12</v>
      </c>
      <c r="AI107" t="s">
        <v>4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0</v>
      </c>
      <c r="AT107">
        <f>$H$107*$Z$107</f>
        <v>0</v>
      </c>
      <c r="AU107">
        <f>$H$107*$AA$107</f>
        <v>0</v>
      </c>
      <c r="AV107">
        <f>$H$107*$AB$107</f>
        <v>0</v>
      </c>
      <c r="AW107">
        <f>$H$107*$AC$107</f>
        <v>22.8</v>
      </c>
      <c r="AX107">
        <f>$H$107*$AD$107</f>
        <v>22.8</v>
      </c>
      <c r="AY107">
        <f>$H$107*$AE$107</f>
        <v>22.8</v>
      </c>
      <c r="AZ107">
        <f>$H$107*$AF$107</f>
        <v>22.8</v>
      </c>
    </row>
    <row r="108" spans="1:52" x14ac:dyDescent="0.25">
      <c r="A108">
        <v>138</v>
      </c>
      <c r="B108" t="s">
        <v>4</v>
      </c>
      <c r="C108" t="s">
        <v>344</v>
      </c>
      <c r="D108">
        <v>5</v>
      </c>
      <c r="E108">
        <v>66.349999999999994</v>
      </c>
      <c r="F108" t="s">
        <v>281</v>
      </c>
      <c r="G108">
        <v>13.27</v>
      </c>
      <c r="H108">
        <v>79.63</v>
      </c>
      <c r="I108" t="s">
        <v>283</v>
      </c>
      <c r="J108" t="s">
        <v>345</v>
      </c>
      <c r="K108" t="s">
        <v>476</v>
      </c>
      <c r="L108" t="s">
        <v>199</v>
      </c>
      <c r="M108" t="s">
        <v>4</v>
      </c>
      <c r="N108" t="s">
        <v>12</v>
      </c>
      <c r="O108" t="s">
        <v>4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4</v>
      </c>
      <c r="AH108" t="s">
        <v>12</v>
      </c>
      <c r="AI108" t="s">
        <v>4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79.63</v>
      </c>
      <c r="AS108">
        <f>$H$108*$Y$108</f>
        <v>79.63</v>
      </c>
      <c r="AT108">
        <f>$H$108*$Z$108</f>
        <v>79.63</v>
      </c>
      <c r="AU108">
        <f>$H$108*$AA$108</f>
        <v>79.63</v>
      </c>
      <c r="AV108">
        <f>$H$108*$AB$108</f>
        <v>79.63</v>
      </c>
      <c r="AW108">
        <f>$H$108*$AC$108</f>
        <v>79.63</v>
      </c>
      <c r="AX108">
        <f>$H$108*$AD$108</f>
        <v>79.63</v>
      </c>
      <c r="AY108">
        <f>$H$108*$AE$108</f>
        <v>79.63</v>
      </c>
      <c r="AZ108">
        <f>$H$108*$AF$108</f>
        <v>79.63</v>
      </c>
    </row>
    <row r="109" spans="1:52" x14ac:dyDescent="0.25">
      <c r="A109">
        <v>139</v>
      </c>
      <c r="B109" t="s">
        <v>4</v>
      </c>
      <c r="C109" t="s">
        <v>346</v>
      </c>
      <c r="D109">
        <v>1</v>
      </c>
      <c r="E109">
        <v>48.06</v>
      </c>
      <c r="F109" t="s">
        <v>281</v>
      </c>
      <c r="G109">
        <v>48.06</v>
      </c>
      <c r="H109">
        <v>57.68</v>
      </c>
      <c r="I109" t="s">
        <v>286</v>
      </c>
      <c r="J109" t="s">
        <v>347</v>
      </c>
      <c r="K109" t="s">
        <v>477</v>
      </c>
      <c r="L109" t="s">
        <v>199</v>
      </c>
      <c r="M109" t="s">
        <v>4</v>
      </c>
      <c r="N109" t="s">
        <v>12</v>
      </c>
      <c r="O109" t="s">
        <v>4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1</v>
      </c>
      <c r="AE109">
        <v>1</v>
      </c>
      <c r="AF109">
        <v>1</v>
      </c>
      <c r="AG109" t="s">
        <v>4</v>
      </c>
      <c r="AH109" t="s">
        <v>12</v>
      </c>
      <c r="AI109" t="s">
        <v>4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0</v>
      </c>
      <c r="AV109">
        <f>$H$109*$AB$109</f>
        <v>0</v>
      </c>
      <c r="AW109">
        <f>$H$109*$AC$109</f>
        <v>0</v>
      </c>
      <c r="AX109">
        <f>$H$109*$AD$109</f>
        <v>57.68</v>
      </c>
      <c r="AY109">
        <f>$H$109*$AE$109</f>
        <v>57.68</v>
      </c>
      <c r="AZ109">
        <f>$H$109*$AF$109</f>
        <v>57.68</v>
      </c>
    </row>
    <row r="110" spans="1:52" x14ac:dyDescent="0.25">
      <c r="A110">
        <v>140</v>
      </c>
      <c r="B110" t="s">
        <v>4</v>
      </c>
      <c r="C110" t="s">
        <v>348</v>
      </c>
      <c r="D110">
        <v>1</v>
      </c>
      <c r="E110">
        <v>47.96</v>
      </c>
      <c r="F110" t="s">
        <v>281</v>
      </c>
      <c r="G110">
        <v>47.96</v>
      </c>
      <c r="H110">
        <v>57.56</v>
      </c>
      <c r="I110" t="s">
        <v>305</v>
      </c>
      <c r="J110" t="s">
        <v>349</v>
      </c>
      <c r="K110" t="s">
        <v>478</v>
      </c>
      <c r="L110" t="s">
        <v>199</v>
      </c>
      <c r="M110" t="s">
        <v>4</v>
      </c>
      <c r="N110" t="s">
        <v>12</v>
      </c>
      <c r="O110" t="s">
        <v>4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4</v>
      </c>
      <c r="AH110" t="s">
        <v>12</v>
      </c>
      <c r="AI110" t="s">
        <v>4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57.56</v>
      </c>
      <c r="AV110">
        <f>$H$110*$AB$110</f>
        <v>57.56</v>
      </c>
      <c r="AW110">
        <f>$H$110*$AC$110</f>
        <v>57.56</v>
      </c>
      <c r="AX110">
        <f>$H$110*$AD$110</f>
        <v>57.56</v>
      </c>
      <c r="AY110">
        <f>$H$110*$AE$110</f>
        <v>57.56</v>
      </c>
      <c r="AZ110">
        <f>$H$110*$AF$110</f>
        <v>57.56</v>
      </c>
    </row>
    <row r="111" spans="1:52" x14ac:dyDescent="0.25">
      <c r="A111">
        <v>141</v>
      </c>
      <c r="B111" t="s">
        <v>4</v>
      </c>
      <c r="C111" t="s">
        <v>365</v>
      </c>
      <c r="D111">
        <v>2</v>
      </c>
      <c r="E111">
        <v>110.04</v>
      </c>
      <c r="F111" t="s">
        <v>281</v>
      </c>
      <c r="G111">
        <v>55.02</v>
      </c>
      <c r="H111">
        <v>132.04</v>
      </c>
      <c r="I111" t="s">
        <v>277</v>
      </c>
      <c r="J111" t="s">
        <v>366</v>
      </c>
      <c r="K111" t="s">
        <v>486</v>
      </c>
      <c r="L111" t="s">
        <v>199</v>
      </c>
      <c r="M111" t="s">
        <v>4</v>
      </c>
      <c r="N111" t="s">
        <v>12</v>
      </c>
      <c r="O111" t="s">
        <v>4</v>
      </c>
      <c r="P111">
        <v>0</v>
      </c>
      <c r="Q111">
        <v>0</v>
      </c>
      <c r="R111">
        <v>0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4</v>
      </c>
      <c r="AH111" t="s">
        <v>12</v>
      </c>
      <c r="AI111" t="s">
        <v>4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132.04</v>
      </c>
      <c r="AN111">
        <f>$H$111*$T$111</f>
        <v>132.04</v>
      </c>
      <c r="AO111">
        <f>$H$111*$U$111</f>
        <v>132.04</v>
      </c>
      <c r="AP111">
        <f>$H$111*$V$111</f>
        <v>132.04</v>
      </c>
      <c r="AQ111">
        <f>$H$111*$W$111</f>
        <v>132.04</v>
      </c>
      <c r="AR111">
        <f>$H$111*$X$111</f>
        <v>132.04</v>
      </c>
      <c r="AS111">
        <f>$H$111*$Y$111</f>
        <v>132.04</v>
      </c>
      <c r="AT111">
        <f>$H$111*$Z$111</f>
        <v>132.04</v>
      </c>
      <c r="AU111">
        <f>$H$111*$AA$111</f>
        <v>132.04</v>
      </c>
      <c r="AV111">
        <f>$H$111*$AB$111</f>
        <v>132.04</v>
      </c>
      <c r="AW111">
        <f>$H$111*$AC$111</f>
        <v>132.04</v>
      </c>
      <c r="AX111">
        <f>$H$111*$AD$111</f>
        <v>132.04</v>
      </c>
      <c r="AY111">
        <f>$H$111*$AE$111</f>
        <v>132.04</v>
      </c>
      <c r="AZ111">
        <f>$H$111*$AF$111</f>
        <v>132.04</v>
      </c>
    </row>
    <row r="112" spans="1:52" x14ac:dyDescent="0.25">
      <c r="A112">
        <v>142</v>
      </c>
      <c r="B112" t="s">
        <v>4</v>
      </c>
      <c r="C112" t="s">
        <v>367</v>
      </c>
      <c r="D112">
        <v>1</v>
      </c>
      <c r="E112">
        <v>376.12</v>
      </c>
      <c r="F112" t="s">
        <v>281</v>
      </c>
      <c r="G112">
        <v>376.12</v>
      </c>
      <c r="H112">
        <v>451.34</v>
      </c>
      <c r="I112" t="s">
        <v>308</v>
      </c>
      <c r="J112" t="s">
        <v>368</v>
      </c>
      <c r="K112" t="s">
        <v>487</v>
      </c>
      <c r="L112" t="s">
        <v>199</v>
      </c>
      <c r="M112" t="s">
        <v>4</v>
      </c>
      <c r="N112" t="s">
        <v>12</v>
      </c>
      <c r="O112" t="s">
        <v>4</v>
      </c>
      <c r="P112">
        <v>0</v>
      </c>
      <c r="Q112">
        <v>0</v>
      </c>
      <c r="R112">
        <v>0</v>
      </c>
      <c r="S112">
        <v>0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4</v>
      </c>
      <c r="AH112" t="s">
        <v>12</v>
      </c>
      <c r="AI112" t="s">
        <v>4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451.34</v>
      </c>
      <c r="AO112">
        <f>$H$112*$U$112</f>
        <v>451.34</v>
      </c>
      <c r="AP112">
        <f>$H$112*$V$112</f>
        <v>451.34</v>
      </c>
      <c r="AQ112">
        <f>$H$112*$W$112</f>
        <v>451.34</v>
      </c>
      <c r="AR112">
        <f>$H$112*$X$112</f>
        <v>451.34</v>
      </c>
      <c r="AS112">
        <f>$H$112*$Y$112</f>
        <v>451.34</v>
      </c>
      <c r="AT112">
        <f>$H$112*$Z$112</f>
        <v>451.34</v>
      </c>
      <c r="AU112">
        <f>$H$112*$AA$112</f>
        <v>451.34</v>
      </c>
      <c r="AV112">
        <f>$H$112*$AB$112</f>
        <v>451.34</v>
      </c>
      <c r="AW112">
        <f>$H$112*$AC$112</f>
        <v>451.34</v>
      </c>
      <c r="AX112">
        <f>$H$112*$AD$112</f>
        <v>451.34</v>
      </c>
      <c r="AY112">
        <f>$H$112*$AE$112</f>
        <v>451.34</v>
      </c>
      <c r="AZ112">
        <f>$H$112*$AF$112</f>
        <v>451.34</v>
      </c>
    </row>
    <row r="113" spans="1:52" x14ac:dyDescent="0.25">
      <c r="A113">
        <v>143</v>
      </c>
      <c r="B113" t="s">
        <v>4</v>
      </c>
      <c r="C113" t="s">
        <v>312</v>
      </c>
      <c r="D113">
        <v>2</v>
      </c>
      <c r="E113">
        <v>77.86</v>
      </c>
      <c r="F113" t="s">
        <v>281</v>
      </c>
      <c r="G113">
        <v>38.93</v>
      </c>
      <c r="H113">
        <v>93.44</v>
      </c>
      <c r="I113" t="s">
        <v>277</v>
      </c>
      <c r="J113" t="s">
        <v>308</v>
      </c>
      <c r="K113" t="s">
        <v>459</v>
      </c>
      <c r="L113" t="s">
        <v>199</v>
      </c>
      <c r="M113" t="s">
        <v>4</v>
      </c>
      <c r="N113" t="s">
        <v>12</v>
      </c>
      <c r="O113" t="s">
        <v>4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4</v>
      </c>
      <c r="AH113" t="s">
        <v>12</v>
      </c>
      <c r="AI113" t="s">
        <v>4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93.44</v>
      </c>
      <c r="AN113">
        <f>$H$113*$T$113</f>
        <v>93.44</v>
      </c>
      <c r="AO113">
        <f>$H$113*$U$113</f>
        <v>93.44</v>
      </c>
      <c r="AP113">
        <f>$H$113*$V$113</f>
        <v>93.44</v>
      </c>
      <c r="AQ113">
        <f>$H$113*$W$113</f>
        <v>93.44</v>
      </c>
      <c r="AR113">
        <f>$H$113*$X$113</f>
        <v>93.44</v>
      </c>
      <c r="AS113">
        <f>$H$113*$Y$113</f>
        <v>93.44</v>
      </c>
      <c r="AT113">
        <f>$H$113*$Z$113</f>
        <v>93.44</v>
      </c>
      <c r="AU113">
        <f>$H$113*$AA$113</f>
        <v>93.44</v>
      </c>
      <c r="AV113">
        <f>$H$113*$AB$113</f>
        <v>93.44</v>
      </c>
      <c r="AW113">
        <f>$H$113*$AC$113</f>
        <v>93.44</v>
      </c>
      <c r="AX113">
        <f>$H$113*$AD$113</f>
        <v>93.44</v>
      </c>
      <c r="AY113">
        <f>$H$113*$AE$113</f>
        <v>93.44</v>
      </c>
      <c r="AZ113">
        <f>$H$113*$AF$113</f>
        <v>93.44</v>
      </c>
    </row>
    <row r="114" spans="1:52" x14ac:dyDescent="0.25">
      <c r="A114">
        <v>144</v>
      </c>
      <c r="B114" t="s">
        <v>4</v>
      </c>
      <c r="C114" t="s">
        <v>307</v>
      </c>
      <c r="D114">
        <v>1</v>
      </c>
      <c r="E114">
        <v>365.09</v>
      </c>
      <c r="F114" t="s">
        <v>281</v>
      </c>
      <c r="G114">
        <v>365.09</v>
      </c>
      <c r="H114">
        <v>438.11</v>
      </c>
      <c r="I114" t="s">
        <v>308</v>
      </c>
      <c r="J114" t="s">
        <v>309</v>
      </c>
      <c r="K114" t="s">
        <v>457</v>
      </c>
      <c r="L114" t="s">
        <v>199</v>
      </c>
      <c r="M114" t="s">
        <v>4</v>
      </c>
      <c r="N114" t="s">
        <v>12</v>
      </c>
      <c r="O114" t="s">
        <v>4</v>
      </c>
      <c r="P114">
        <v>0</v>
      </c>
      <c r="Q114">
        <v>0</v>
      </c>
      <c r="R114">
        <v>0</v>
      </c>
      <c r="S114">
        <v>0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4</v>
      </c>
      <c r="AH114" t="s">
        <v>12</v>
      </c>
      <c r="AI114" t="s">
        <v>4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438.11</v>
      </c>
      <c r="AO114">
        <f>$H$114*$U$114</f>
        <v>438.11</v>
      </c>
      <c r="AP114">
        <f>$H$114*$V$114</f>
        <v>438.11</v>
      </c>
      <c r="AQ114">
        <f>$H$114*$W$114</f>
        <v>438.11</v>
      </c>
      <c r="AR114">
        <f>$H$114*$X$114</f>
        <v>438.11</v>
      </c>
      <c r="AS114">
        <f>$H$114*$Y$114</f>
        <v>438.11</v>
      </c>
      <c r="AT114">
        <f>$H$114*$Z$114</f>
        <v>438.11</v>
      </c>
      <c r="AU114">
        <f>$H$114*$AA$114</f>
        <v>438.11</v>
      </c>
      <c r="AV114">
        <f>$H$114*$AB$114</f>
        <v>438.11</v>
      </c>
      <c r="AW114">
        <f>$H$114*$AC$114</f>
        <v>438.11</v>
      </c>
      <c r="AX114">
        <f>$H$114*$AD$114</f>
        <v>438.11</v>
      </c>
      <c r="AY114">
        <f>$H$114*$AE$114</f>
        <v>438.11</v>
      </c>
      <c r="AZ114">
        <f>$H$114*$AF$114</f>
        <v>438.11</v>
      </c>
    </row>
    <row r="115" spans="1:52" x14ac:dyDescent="0.25">
      <c r="A115">
        <v>145</v>
      </c>
      <c r="B115" t="s">
        <v>4</v>
      </c>
      <c r="C115" t="s">
        <v>299</v>
      </c>
      <c r="D115">
        <v>322.67</v>
      </c>
      <c r="E115">
        <v>316.22000000000003</v>
      </c>
      <c r="F115" t="s">
        <v>291</v>
      </c>
      <c r="G115">
        <v>0.98</v>
      </c>
      <c r="H115">
        <v>379.46</v>
      </c>
      <c r="I115" t="s">
        <v>277</v>
      </c>
      <c r="J115" t="s">
        <v>300</v>
      </c>
      <c r="K115" t="s">
        <v>454</v>
      </c>
      <c r="L115" t="s">
        <v>199</v>
      </c>
      <c r="M115" t="s">
        <v>4</v>
      </c>
      <c r="N115" t="s">
        <v>12</v>
      </c>
      <c r="O115" t="s">
        <v>4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4</v>
      </c>
      <c r="AH115" t="s">
        <v>12</v>
      </c>
      <c r="AI115" t="s">
        <v>4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379.46</v>
      </c>
      <c r="AO115">
        <f>$H$115*$U$115</f>
        <v>379.46</v>
      </c>
      <c r="AP115">
        <f>$H$115*$V$115</f>
        <v>379.46</v>
      </c>
      <c r="AQ115">
        <f>$H$115*$W$115</f>
        <v>379.46</v>
      </c>
      <c r="AR115">
        <f>$H$115*$X$115</f>
        <v>379.46</v>
      </c>
      <c r="AS115">
        <f>$H$115*$Y$115</f>
        <v>379.46</v>
      </c>
      <c r="AT115">
        <f>$H$115*$Z$115</f>
        <v>379.46</v>
      </c>
      <c r="AU115">
        <f>$H$115*$AA$115</f>
        <v>379.46</v>
      </c>
      <c r="AV115">
        <f>$H$115*$AB$115</f>
        <v>379.46</v>
      </c>
      <c r="AW115">
        <f>$H$115*$AC$115</f>
        <v>379.46</v>
      </c>
      <c r="AX115">
        <f>$H$115*$AD$115</f>
        <v>379.46</v>
      </c>
      <c r="AY115">
        <f>$H$115*$AE$115</f>
        <v>379.46</v>
      </c>
      <c r="AZ115">
        <f>$H$115*$AF$115</f>
        <v>379.46</v>
      </c>
    </row>
    <row r="116" spans="1:52" x14ac:dyDescent="0.25">
      <c r="A116">
        <v>146</v>
      </c>
      <c r="B116" t="s">
        <v>4</v>
      </c>
      <c r="C116" t="s">
        <v>350</v>
      </c>
      <c r="D116">
        <v>322.67</v>
      </c>
      <c r="E116">
        <v>861.53</v>
      </c>
      <c r="F116" t="s">
        <v>291</v>
      </c>
      <c r="G116">
        <v>2.67</v>
      </c>
      <c r="H116">
        <v>1033.83</v>
      </c>
      <c r="I116" t="s">
        <v>302</v>
      </c>
      <c r="J116" t="s">
        <v>351</v>
      </c>
      <c r="K116" t="s">
        <v>479</v>
      </c>
      <c r="L116" t="s">
        <v>199</v>
      </c>
      <c r="M116" t="s">
        <v>4</v>
      </c>
      <c r="N116" t="s">
        <v>12</v>
      </c>
      <c r="O116" t="s">
        <v>4</v>
      </c>
      <c r="P116">
        <v>0</v>
      </c>
      <c r="Q116">
        <v>0</v>
      </c>
      <c r="R116">
        <v>0</v>
      </c>
      <c r="S116">
        <v>0.25</v>
      </c>
      <c r="T116">
        <v>0.25</v>
      </c>
      <c r="U116">
        <v>0.25</v>
      </c>
      <c r="V116">
        <v>0.25</v>
      </c>
      <c r="W116">
        <v>0.25</v>
      </c>
      <c r="X116">
        <v>0.5</v>
      </c>
      <c r="Y116">
        <v>0.5</v>
      </c>
      <c r="Z116">
        <v>0.5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4</v>
      </c>
      <c r="AH116" t="s">
        <v>12</v>
      </c>
      <c r="AI116" t="s">
        <v>4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258.45749999999998</v>
      </c>
      <c r="AN116">
        <f>$H$116*$T$116</f>
        <v>258.45749999999998</v>
      </c>
      <c r="AO116">
        <f>$H$116*$U$116</f>
        <v>258.45749999999998</v>
      </c>
      <c r="AP116">
        <f>$H$116*$V$116</f>
        <v>258.45749999999998</v>
      </c>
      <c r="AQ116">
        <f>$H$116*$W$116</f>
        <v>258.45749999999998</v>
      </c>
      <c r="AR116">
        <f>$H$116*$X$116</f>
        <v>516.91499999999996</v>
      </c>
      <c r="AS116">
        <f>$H$116*$Y$116</f>
        <v>516.91499999999996</v>
      </c>
      <c r="AT116">
        <f>$H$116*$Z$116</f>
        <v>516.91499999999996</v>
      </c>
      <c r="AU116">
        <f>$H$116*$AA$116</f>
        <v>1033.83</v>
      </c>
      <c r="AV116">
        <f>$H$116*$AB$116</f>
        <v>1033.83</v>
      </c>
      <c r="AW116">
        <f>$H$116*$AC$116</f>
        <v>1033.83</v>
      </c>
      <c r="AX116">
        <f>$H$116*$AD$116</f>
        <v>1033.83</v>
      </c>
      <c r="AY116">
        <f>$H$116*$AE$116</f>
        <v>1033.83</v>
      </c>
      <c r="AZ116">
        <f>$H$116*$AF$116</f>
        <v>1033.83</v>
      </c>
    </row>
    <row r="117" spans="1:52" x14ac:dyDescent="0.25">
      <c r="A117">
        <v>147</v>
      </c>
      <c r="B117" t="s">
        <v>4</v>
      </c>
      <c r="C117" t="s">
        <v>352</v>
      </c>
      <c r="D117">
        <v>40.33</v>
      </c>
      <c r="E117">
        <v>141.96</v>
      </c>
      <c r="F117" t="s">
        <v>276</v>
      </c>
      <c r="G117">
        <v>3.52</v>
      </c>
      <c r="H117">
        <v>170.36</v>
      </c>
      <c r="I117" t="s">
        <v>280</v>
      </c>
      <c r="J117" t="s">
        <v>353</v>
      </c>
      <c r="K117" t="s">
        <v>480</v>
      </c>
      <c r="L117" t="s">
        <v>199</v>
      </c>
      <c r="M117" t="s">
        <v>4</v>
      </c>
      <c r="N117" t="s">
        <v>12</v>
      </c>
      <c r="O117" t="s">
        <v>4</v>
      </c>
      <c r="P117">
        <v>0</v>
      </c>
      <c r="Q117">
        <v>0</v>
      </c>
      <c r="R117">
        <v>0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4</v>
      </c>
      <c r="AH117" t="s">
        <v>12</v>
      </c>
      <c r="AI117" t="s">
        <v>4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170.36</v>
      </c>
      <c r="AN117">
        <f>$H$117*$T$117</f>
        <v>170.36</v>
      </c>
      <c r="AO117">
        <f>$H$117*$U$117</f>
        <v>170.36</v>
      </c>
      <c r="AP117">
        <f>$H$117*$V$117</f>
        <v>170.36</v>
      </c>
      <c r="AQ117">
        <f>$H$117*$W$117</f>
        <v>170.36</v>
      </c>
      <c r="AR117">
        <f>$H$117*$X$117</f>
        <v>170.36</v>
      </c>
      <c r="AS117">
        <f>$H$117*$Y$117</f>
        <v>170.36</v>
      </c>
      <c r="AT117">
        <f>$H$117*$Z$117</f>
        <v>170.36</v>
      </c>
      <c r="AU117">
        <f>$H$117*$AA$117</f>
        <v>170.36</v>
      </c>
      <c r="AV117">
        <f>$H$117*$AB$117</f>
        <v>170.36</v>
      </c>
      <c r="AW117">
        <f>$H$117*$AC$117</f>
        <v>170.36</v>
      </c>
      <c r="AX117">
        <f>$H$117*$AD$117</f>
        <v>170.36</v>
      </c>
      <c r="AY117">
        <f>$H$117*$AE$117</f>
        <v>170.36</v>
      </c>
      <c r="AZ117">
        <f>$H$117*$AF$117</f>
        <v>170.36</v>
      </c>
    </row>
    <row r="118" spans="1:52" x14ac:dyDescent="0.25">
      <c r="A118">
        <v>148</v>
      </c>
      <c r="B118" t="s">
        <v>4</v>
      </c>
      <c r="C118" t="s">
        <v>350</v>
      </c>
      <c r="D118">
        <v>101.67</v>
      </c>
      <c r="E118">
        <v>271.45999999999998</v>
      </c>
      <c r="F118" t="s">
        <v>291</v>
      </c>
      <c r="G118">
        <v>2.67</v>
      </c>
      <c r="H118">
        <v>325.76</v>
      </c>
      <c r="I118" t="s">
        <v>302</v>
      </c>
      <c r="J118" t="s">
        <v>351</v>
      </c>
      <c r="K118" t="s">
        <v>479</v>
      </c>
      <c r="L118" t="s">
        <v>199</v>
      </c>
      <c r="M118" t="s">
        <v>4</v>
      </c>
      <c r="N118" t="s">
        <v>12</v>
      </c>
      <c r="O118" t="s">
        <v>4</v>
      </c>
      <c r="P118">
        <v>0</v>
      </c>
      <c r="Q118">
        <v>0</v>
      </c>
      <c r="R118">
        <v>0</v>
      </c>
      <c r="S118">
        <v>0.25</v>
      </c>
      <c r="T118">
        <v>0.25</v>
      </c>
      <c r="U118">
        <v>0.25</v>
      </c>
      <c r="V118">
        <v>0.25</v>
      </c>
      <c r="W118">
        <v>0.25</v>
      </c>
      <c r="X118">
        <v>0.5</v>
      </c>
      <c r="Y118">
        <v>0.5</v>
      </c>
      <c r="Z118">
        <v>0.5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4</v>
      </c>
      <c r="AH118" t="s">
        <v>12</v>
      </c>
      <c r="AI118" t="s">
        <v>4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81.44</v>
      </c>
      <c r="AN118">
        <f>$H$118*$T$118</f>
        <v>81.44</v>
      </c>
      <c r="AO118">
        <f>$H$118*$U$118</f>
        <v>81.44</v>
      </c>
      <c r="AP118">
        <f>$H$118*$V$118</f>
        <v>81.44</v>
      </c>
      <c r="AQ118">
        <f>$H$118*$W$118</f>
        <v>81.44</v>
      </c>
      <c r="AR118">
        <f>$H$118*$X$118</f>
        <v>162.88</v>
      </c>
      <c r="AS118">
        <f>$H$118*$Y$118</f>
        <v>162.88</v>
      </c>
      <c r="AT118">
        <f>$H$118*$Z$118</f>
        <v>162.88</v>
      </c>
      <c r="AU118">
        <f>$H$118*$AA$118</f>
        <v>325.76</v>
      </c>
      <c r="AV118">
        <f>$H$118*$AB$118</f>
        <v>325.76</v>
      </c>
      <c r="AW118">
        <f>$H$118*$AC$118</f>
        <v>325.76</v>
      </c>
      <c r="AX118">
        <f>$H$118*$AD$118</f>
        <v>325.76</v>
      </c>
      <c r="AY118">
        <f>$H$118*$AE$118</f>
        <v>325.76</v>
      </c>
      <c r="AZ118">
        <f>$H$118*$AF$118</f>
        <v>325.76</v>
      </c>
    </row>
    <row r="119" spans="1:52" x14ac:dyDescent="0.25">
      <c r="A119">
        <v>149</v>
      </c>
      <c r="B119" t="s">
        <v>4</v>
      </c>
      <c r="C119" t="s">
        <v>354</v>
      </c>
      <c r="D119">
        <v>101.67</v>
      </c>
      <c r="E119">
        <v>64.05</v>
      </c>
      <c r="F119" t="s">
        <v>291</v>
      </c>
      <c r="G119">
        <v>0.63</v>
      </c>
      <c r="H119">
        <v>76.87</v>
      </c>
      <c r="I119" t="s">
        <v>277</v>
      </c>
      <c r="J119" t="s">
        <v>355</v>
      </c>
      <c r="K119" t="s">
        <v>481</v>
      </c>
      <c r="L119" t="s">
        <v>199</v>
      </c>
      <c r="M119" t="s">
        <v>4</v>
      </c>
      <c r="N119" t="s">
        <v>12</v>
      </c>
      <c r="O119" t="s">
        <v>4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1</v>
      </c>
      <c r="AE119">
        <v>1</v>
      </c>
      <c r="AF119">
        <v>1</v>
      </c>
      <c r="AG119" t="s">
        <v>4</v>
      </c>
      <c r="AH119" t="s">
        <v>12</v>
      </c>
      <c r="AI119" t="s">
        <v>4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0</v>
      </c>
      <c r="AV119">
        <f>$H$119*$AB$119</f>
        <v>0</v>
      </c>
      <c r="AW119">
        <f>$H$119*$AC$119</f>
        <v>0</v>
      </c>
      <c r="AX119">
        <f>$H$119*$AD$119</f>
        <v>76.87</v>
      </c>
      <c r="AY119">
        <f>$H$119*$AE$119</f>
        <v>76.87</v>
      </c>
      <c r="AZ119">
        <f>$H$119*$AF$119</f>
        <v>76.87</v>
      </c>
    </row>
    <row r="120" spans="1:52" x14ac:dyDescent="0.25">
      <c r="A120">
        <v>150</v>
      </c>
      <c r="B120" t="s">
        <v>4</v>
      </c>
      <c r="C120" t="s">
        <v>356</v>
      </c>
      <c r="D120">
        <v>101.67</v>
      </c>
      <c r="E120">
        <v>70.150000000000006</v>
      </c>
      <c r="F120" t="s">
        <v>291</v>
      </c>
      <c r="G120">
        <v>0.69</v>
      </c>
      <c r="H120">
        <v>84.19</v>
      </c>
      <c r="I120" t="s">
        <v>277</v>
      </c>
      <c r="J120" t="s">
        <v>357</v>
      </c>
      <c r="K120" t="s">
        <v>482</v>
      </c>
      <c r="L120" t="s">
        <v>199</v>
      </c>
      <c r="M120" t="s">
        <v>4</v>
      </c>
      <c r="N120" t="s">
        <v>12</v>
      </c>
      <c r="O120" t="s">
        <v>4</v>
      </c>
      <c r="P120">
        <v>0</v>
      </c>
      <c r="Q120">
        <v>0</v>
      </c>
      <c r="R120">
        <v>0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4</v>
      </c>
      <c r="AH120" t="s">
        <v>12</v>
      </c>
      <c r="AI120" t="s">
        <v>4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84.19</v>
      </c>
      <c r="AN120">
        <f>$H$120*$T$120</f>
        <v>84.19</v>
      </c>
      <c r="AO120">
        <f>$H$120*$U$120</f>
        <v>84.19</v>
      </c>
      <c r="AP120">
        <f>$H$120*$V$120</f>
        <v>84.19</v>
      </c>
      <c r="AQ120">
        <f>$H$120*$W$120</f>
        <v>84.19</v>
      </c>
      <c r="AR120">
        <f>$H$120*$X$120</f>
        <v>84.19</v>
      </c>
      <c r="AS120">
        <f>$H$120*$Y$120</f>
        <v>84.19</v>
      </c>
      <c r="AT120">
        <f>$H$120*$Z$120</f>
        <v>84.19</v>
      </c>
      <c r="AU120">
        <f>$H$120*$AA$120</f>
        <v>84.19</v>
      </c>
      <c r="AV120">
        <f>$H$120*$AB$120</f>
        <v>84.19</v>
      </c>
      <c r="AW120">
        <f>$H$120*$AC$120</f>
        <v>84.19</v>
      </c>
      <c r="AX120">
        <f>$H$120*$AD$120</f>
        <v>84.19</v>
      </c>
      <c r="AY120">
        <f>$H$120*$AE$120</f>
        <v>84.19</v>
      </c>
      <c r="AZ120">
        <f>$H$120*$AF$120</f>
        <v>84.19</v>
      </c>
    </row>
    <row r="121" spans="1:52" x14ac:dyDescent="0.25">
      <c r="A121">
        <v>151</v>
      </c>
      <c r="B121" t="s">
        <v>4</v>
      </c>
      <c r="C121" t="s">
        <v>358</v>
      </c>
      <c r="D121">
        <v>23.38</v>
      </c>
      <c r="E121">
        <v>94.22</v>
      </c>
      <c r="F121" t="s">
        <v>291</v>
      </c>
      <c r="G121">
        <v>4.03</v>
      </c>
      <c r="H121">
        <v>113.06</v>
      </c>
      <c r="I121" t="s">
        <v>359</v>
      </c>
      <c r="J121" t="s">
        <v>360</v>
      </c>
      <c r="K121" t="s">
        <v>483</v>
      </c>
      <c r="L121" t="s">
        <v>199</v>
      </c>
      <c r="M121" t="s">
        <v>4</v>
      </c>
      <c r="N121" t="s">
        <v>12</v>
      </c>
      <c r="O121" t="s">
        <v>4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4</v>
      </c>
      <c r="AH121" t="s">
        <v>12</v>
      </c>
      <c r="AI121" t="s">
        <v>4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113.06</v>
      </c>
      <c r="AN121">
        <f>$H$121*$T$121</f>
        <v>113.06</v>
      </c>
      <c r="AO121">
        <f>$H$121*$U$121</f>
        <v>113.06</v>
      </c>
      <c r="AP121">
        <f>$H$121*$V$121</f>
        <v>113.06</v>
      </c>
      <c r="AQ121">
        <f>$H$121*$W$121</f>
        <v>113.06</v>
      </c>
      <c r="AR121">
        <f>$H$121*$X$121</f>
        <v>113.06</v>
      </c>
      <c r="AS121">
        <f>$H$121*$Y$121</f>
        <v>113.06</v>
      </c>
      <c r="AT121">
        <f>$H$121*$Z$121</f>
        <v>113.06</v>
      </c>
      <c r="AU121">
        <f>$H$121*$AA$121</f>
        <v>113.06</v>
      </c>
      <c r="AV121">
        <f>$H$121*$AB$121</f>
        <v>113.06</v>
      </c>
      <c r="AW121">
        <f>$H$121*$AC$121</f>
        <v>113.06</v>
      </c>
      <c r="AX121">
        <f>$H$121*$AD$121</f>
        <v>113.06</v>
      </c>
      <c r="AY121">
        <f>$H$121*$AE$121</f>
        <v>113.06</v>
      </c>
      <c r="AZ121">
        <f>$H$121*$AF$121</f>
        <v>113.06</v>
      </c>
    </row>
    <row r="122" spans="1:52" x14ac:dyDescent="0.25">
      <c r="A122">
        <v>152</v>
      </c>
      <c r="B122" t="s">
        <v>4</v>
      </c>
      <c r="C122" t="s">
        <v>361</v>
      </c>
      <c r="D122">
        <v>93.54</v>
      </c>
      <c r="E122">
        <v>62.67</v>
      </c>
      <c r="F122" t="s">
        <v>291</v>
      </c>
      <c r="G122">
        <v>0.67</v>
      </c>
      <c r="H122">
        <v>75.209999999999994</v>
      </c>
      <c r="I122" t="s">
        <v>362</v>
      </c>
      <c r="J122" t="s">
        <v>363</v>
      </c>
      <c r="K122" t="s">
        <v>484</v>
      </c>
      <c r="L122" t="s">
        <v>199</v>
      </c>
      <c r="M122" t="s">
        <v>4</v>
      </c>
      <c r="N122" t="s">
        <v>12</v>
      </c>
      <c r="O122" t="s">
        <v>4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4</v>
      </c>
      <c r="AH122" t="s">
        <v>12</v>
      </c>
      <c r="AI122" t="s">
        <v>4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75.209999999999994</v>
      </c>
      <c r="AN122">
        <f>$H$122*$T$122</f>
        <v>75.209999999999994</v>
      </c>
      <c r="AO122">
        <f>$H$122*$U$122</f>
        <v>75.209999999999994</v>
      </c>
      <c r="AP122">
        <f>$H$122*$V$122</f>
        <v>75.209999999999994</v>
      </c>
      <c r="AQ122">
        <f>$H$122*$W$122</f>
        <v>75.209999999999994</v>
      </c>
      <c r="AR122">
        <f>$H$122*$X$122</f>
        <v>75.209999999999994</v>
      </c>
      <c r="AS122">
        <f>$H$122*$Y$122</f>
        <v>75.209999999999994</v>
      </c>
      <c r="AT122">
        <f>$H$122*$Z$122</f>
        <v>75.209999999999994</v>
      </c>
      <c r="AU122">
        <f>$H$122*$AA$122</f>
        <v>75.209999999999994</v>
      </c>
      <c r="AV122">
        <f>$H$122*$AB$122</f>
        <v>75.209999999999994</v>
      </c>
      <c r="AW122">
        <f>$H$122*$AC$122</f>
        <v>75.209999999999994</v>
      </c>
      <c r="AX122">
        <f>$H$122*$AD$122</f>
        <v>75.209999999999994</v>
      </c>
      <c r="AY122">
        <f>$H$122*$AE$122</f>
        <v>75.209999999999994</v>
      </c>
      <c r="AZ122">
        <f>$H$122*$AF$122</f>
        <v>75.209999999999994</v>
      </c>
    </row>
    <row r="123" spans="1:52" x14ac:dyDescent="0.25">
      <c r="A123">
        <v>153</v>
      </c>
      <c r="B123" t="s">
        <v>4</v>
      </c>
      <c r="C123" t="s">
        <v>364</v>
      </c>
      <c r="D123">
        <v>93.54</v>
      </c>
      <c r="E123">
        <v>301.2</v>
      </c>
      <c r="F123" t="s">
        <v>291</v>
      </c>
      <c r="G123">
        <v>3.22</v>
      </c>
      <c r="H123">
        <v>361.44</v>
      </c>
      <c r="I123" t="s">
        <v>362</v>
      </c>
      <c r="J123" t="s">
        <v>360</v>
      </c>
      <c r="K123" t="s">
        <v>485</v>
      </c>
      <c r="L123" t="s">
        <v>199</v>
      </c>
      <c r="M123" t="s">
        <v>4</v>
      </c>
      <c r="N123" t="s">
        <v>12</v>
      </c>
      <c r="O123" t="s">
        <v>4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4</v>
      </c>
      <c r="AH123" t="s">
        <v>12</v>
      </c>
      <c r="AI123" t="s">
        <v>4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361.44</v>
      </c>
      <c r="AN123">
        <f>$H$123*$T$123</f>
        <v>361.44</v>
      </c>
      <c r="AO123">
        <f>$H$123*$U$123</f>
        <v>361.44</v>
      </c>
      <c r="AP123">
        <f>$H$123*$V$123</f>
        <v>361.44</v>
      </c>
      <c r="AQ123">
        <f>$H$123*$W$123</f>
        <v>361.44</v>
      </c>
      <c r="AR123">
        <f>$H$123*$X$123</f>
        <v>361.44</v>
      </c>
      <c r="AS123">
        <f>$H$123*$Y$123</f>
        <v>361.44</v>
      </c>
      <c r="AT123">
        <f>$H$123*$Z$123</f>
        <v>361.44</v>
      </c>
      <c r="AU123">
        <f>$H$123*$AA$123</f>
        <v>361.44</v>
      </c>
      <c r="AV123">
        <f>$H$123*$AB$123</f>
        <v>361.44</v>
      </c>
      <c r="AW123">
        <f>$H$123*$AC$123</f>
        <v>361.44</v>
      </c>
      <c r="AX123">
        <f>$H$123*$AD$123</f>
        <v>361.44</v>
      </c>
      <c r="AY123">
        <f>$H$123*$AE$123</f>
        <v>361.44</v>
      </c>
      <c r="AZ123">
        <f>$H$123*$AF$123</f>
        <v>361.44</v>
      </c>
    </row>
    <row r="124" spans="1:52" x14ac:dyDescent="0.25">
      <c r="A124">
        <v>154</v>
      </c>
      <c r="B124" t="s">
        <v>5</v>
      </c>
      <c r="C124" t="s">
        <v>344</v>
      </c>
      <c r="D124">
        <v>4</v>
      </c>
      <c r="E124">
        <v>53.08</v>
      </c>
      <c r="F124" t="s">
        <v>281</v>
      </c>
      <c r="G124">
        <v>13.27</v>
      </c>
      <c r="H124">
        <v>63.7</v>
      </c>
      <c r="I124" t="s">
        <v>283</v>
      </c>
      <c r="J124" t="s">
        <v>345</v>
      </c>
      <c r="K124" t="s">
        <v>476</v>
      </c>
      <c r="L124" t="s">
        <v>199</v>
      </c>
      <c r="M124" t="s">
        <v>5</v>
      </c>
      <c r="N124" t="s">
        <v>12</v>
      </c>
      <c r="O124" t="s">
        <v>5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5</v>
      </c>
      <c r="AH124" t="s">
        <v>12</v>
      </c>
      <c r="AI124" t="s">
        <v>5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63.7</v>
      </c>
      <c r="AS124">
        <f>$H$124*$Y$124</f>
        <v>63.7</v>
      </c>
      <c r="AT124">
        <f>$H$124*$Z$124</f>
        <v>63.7</v>
      </c>
      <c r="AU124">
        <f>$H$124*$AA$124</f>
        <v>63.7</v>
      </c>
      <c r="AV124">
        <f>$H$124*$AB$124</f>
        <v>63.7</v>
      </c>
      <c r="AW124">
        <f>$H$124*$AC$124</f>
        <v>63.7</v>
      </c>
      <c r="AX124">
        <f>$H$124*$AD$124</f>
        <v>63.7</v>
      </c>
      <c r="AY124">
        <f>$H$124*$AE$124</f>
        <v>63.7</v>
      </c>
      <c r="AZ124">
        <f>$H$124*$AF$124</f>
        <v>63.7</v>
      </c>
    </row>
    <row r="125" spans="1:52" x14ac:dyDescent="0.25">
      <c r="A125">
        <v>155</v>
      </c>
      <c r="B125" t="s">
        <v>5</v>
      </c>
      <c r="C125" t="s">
        <v>346</v>
      </c>
      <c r="D125">
        <v>1</v>
      </c>
      <c r="E125">
        <v>48.06</v>
      </c>
      <c r="F125" t="s">
        <v>281</v>
      </c>
      <c r="G125">
        <v>48.06</v>
      </c>
      <c r="H125">
        <v>57.68</v>
      </c>
      <c r="I125" t="s">
        <v>286</v>
      </c>
      <c r="J125" t="s">
        <v>347</v>
      </c>
      <c r="K125" t="s">
        <v>477</v>
      </c>
      <c r="L125" t="s">
        <v>199</v>
      </c>
      <c r="M125" t="s">
        <v>5</v>
      </c>
      <c r="N125" t="s">
        <v>12</v>
      </c>
      <c r="O125" t="s">
        <v>5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</v>
      </c>
      <c r="AE125">
        <v>1</v>
      </c>
      <c r="AF125">
        <v>1</v>
      </c>
      <c r="AG125" t="s">
        <v>5</v>
      </c>
      <c r="AH125" t="s">
        <v>12</v>
      </c>
      <c r="AI125" t="s">
        <v>5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0</v>
      </c>
      <c r="AU125">
        <f>$H$125*$AA$125</f>
        <v>0</v>
      </c>
      <c r="AV125">
        <f>$H$125*$AB$125</f>
        <v>0</v>
      </c>
      <c r="AW125">
        <f>$H$125*$AC$125</f>
        <v>0</v>
      </c>
      <c r="AX125">
        <f>$H$125*$AD$125</f>
        <v>57.68</v>
      </c>
      <c r="AY125">
        <f>$H$125*$AE$125</f>
        <v>57.68</v>
      </c>
      <c r="AZ125">
        <f>$H$125*$AF$125</f>
        <v>57.68</v>
      </c>
    </row>
    <row r="126" spans="1:52" x14ac:dyDescent="0.25">
      <c r="A126">
        <v>156</v>
      </c>
      <c r="B126" t="s">
        <v>5</v>
      </c>
      <c r="C126" t="s">
        <v>299</v>
      </c>
      <c r="D126">
        <v>224</v>
      </c>
      <c r="E126">
        <v>219.52</v>
      </c>
      <c r="F126" t="s">
        <v>291</v>
      </c>
      <c r="G126">
        <v>0.98</v>
      </c>
      <c r="H126">
        <v>263.42</v>
      </c>
      <c r="I126" t="s">
        <v>277</v>
      </c>
      <c r="J126" t="s">
        <v>300</v>
      </c>
      <c r="K126" t="s">
        <v>454</v>
      </c>
      <c r="L126" t="s">
        <v>199</v>
      </c>
      <c r="M126" t="s">
        <v>5</v>
      </c>
      <c r="N126" t="s">
        <v>12</v>
      </c>
      <c r="O126" t="s">
        <v>5</v>
      </c>
      <c r="P126">
        <v>0</v>
      </c>
      <c r="Q126">
        <v>0</v>
      </c>
      <c r="R126">
        <v>0</v>
      </c>
      <c r="S126">
        <v>0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5</v>
      </c>
      <c r="AH126" t="s">
        <v>12</v>
      </c>
      <c r="AI126" t="s">
        <v>5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263.42</v>
      </c>
      <c r="AO126">
        <f>$H$126*$U$126</f>
        <v>263.42</v>
      </c>
      <c r="AP126">
        <f>$H$126*$V$126</f>
        <v>263.42</v>
      </c>
      <c r="AQ126">
        <f>$H$126*$W$126</f>
        <v>263.42</v>
      </c>
      <c r="AR126">
        <f>$H$126*$X$126</f>
        <v>263.42</v>
      </c>
      <c r="AS126">
        <f>$H$126*$Y$126</f>
        <v>263.42</v>
      </c>
      <c r="AT126">
        <f>$H$126*$Z$126</f>
        <v>263.42</v>
      </c>
      <c r="AU126">
        <f>$H$126*$AA$126</f>
        <v>263.42</v>
      </c>
      <c r="AV126">
        <f>$H$126*$AB$126</f>
        <v>263.42</v>
      </c>
      <c r="AW126">
        <f>$H$126*$AC$126</f>
        <v>263.42</v>
      </c>
      <c r="AX126">
        <f>$H$126*$AD$126</f>
        <v>263.42</v>
      </c>
      <c r="AY126">
        <f>$H$126*$AE$126</f>
        <v>263.42</v>
      </c>
      <c r="AZ126">
        <f>$H$126*$AF$126</f>
        <v>263.42</v>
      </c>
    </row>
    <row r="127" spans="1:52" x14ac:dyDescent="0.25">
      <c r="A127">
        <v>157</v>
      </c>
      <c r="B127" t="s">
        <v>5</v>
      </c>
      <c r="C127" t="s">
        <v>350</v>
      </c>
      <c r="D127">
        <v>224</v>
      </c>
      <c r="E127">
        <v>598.08000000000004</v>
      </c>
      <c r="F127" t="s">
        <v>291</v>
      </c>
      <c r="G127">
        <v>2.67</v>
      </c>
      <c r="H127">
        <v>717.7</v>
      </c>
      <c r="I127" t="s">
        <v>302</v>
      </c>
      <c r="J127" t="s">
        <v>351</v>
      </c>
      <c r="K127" t="s">
        <v>479</v>
      </c>
      <c r="L127" t="s">
        <v>199</v>
      </c>
      <c r="M127" t="s">
        <v>5</v>
      </c>
      <c r="N127" t="s">
        <v>12</v>
      </c>
      <c r="O127" t="s">
        <v>5</v>
      </c>
      <c r="P127">
        <v>0</v>
      </c>
      <c r="Q127">
        <v>0</v>
      </c>
      <c r="R127">
        <v>0</v>
      </c>
      <c r="S127">
        <v>0.25</v>
      </c>
      <c r="T127">
        <v>0.25</v>
      </c>
      <c r="U127">
        <v>0.25</v>
      </c>
      <c r="V127">
        <v>0.25</v>
      </c>
      <c r="W127">
        <v>0.25</v>
      </c>
      <c r="X127">
        <v>0.5</v>
      </c>
      <c r="Y127">
        <v>0.5</v>
      </c>
      <c r="Z127">
        <v>0.5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5</v>
      </c>
      <c r="AH127" t="s">
        <v>12</v>
      </c>
      <c r="AI127" t="s">
        <v>5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179.42500000000001</v>
      </c>
      <c r="AN127">
        <f>$H$127*$T$127</f>
        <v>179.42500000000001</v>
      </c>
      <c r="AO127">
        <f>$H$127*$U$127</f>
        <v>179.42500000000001</v>
      </c>
      <c r="AP127">
        <f>$H$127*$V$127</f>
        <v>179.42500000000001</v>
      </c>
      <c r="AQ127">
        <f>$H$127*$W$127</f>
        <v>179.42500000000001</v>
      </c>
      <c r="AR127">
        <f>$H$127*$X$127</f>
        <v>358.85</v>
      </c>
      <c r="AS127">
        <f>$H$127*$Y$127</f>
        <v>358.85</v>
      </c>
      <c r="AT127">
        <f>$H$127*$Z$127</f>
        <v>358.85</v>
      </c>
      <c r="AU127">
        <f>$H$127*$AA$127</f>
        <v>717.7</v>
      </c>
      <c r="AV127">
        <f>$H$127*$AB$127</f>
        <v>717.7</v>
      </c>
      <c r="AW127">
        <f>$H$127*$AC$127</f>
        <v>717.7</v>
      </c>
      <c r="AX127">
        <f>$H$127*$AD$127</f>
        <v>717.7</v>
      </c>
      <c r="AY127">
        <f>$H$127*$AE$127</f>
        <v>717.7</v>
      </c>
      <c r="AZ127">
        <f>$H$127*$AF$127</f>
        <v>717.7</v>
      </c>
    </row>
    <row r="128" spans="1:52" x14ac:dyDescent="0.25">
      <c r="A128">
        <v>158</v>
      </c>
      <c r="B128" t="s">
        <v>5</v>
      </c>
      <c r="C128" t="s">
        <v>352</v>
      </c>
      <c r="D128">
        <v>28</v>
      </c>
      <c r="E128">
        <v>98.56</v>
      </c>
      <c r="F128" t="s">
        <v>276</v>
      </c>
      <c r="G128">
        <v>3.52</v>
      </c>
      <c r="H128">
        <v>118.28</v>
      </c>
      <c r="I128" t="s">
        <v>280</v>
      </c>
      <c r="J128" t="s">
        <v>353</v>
      </c>
      <c r="K128" t="s">
        <v>480</v>
      </c>
      <c r="L128" t="s">
        <v>199</v>
      </c>
      <c r="M128" t="s">
        <v>5</v>
      </c>
      <c r="N128" t="s">
        <v>12</v>
      </c>
      <c r="O128" t="s">
        <v>5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5</v>
      </c>
      <c r="AH128" t="s">
        <v>12</v>
      </c>
      <c r="AI128" t="s">
        <v>5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118.28</v>
      </c>
      <c r="AN128">
        <f>$H$128*$T$128</f>
        <v>118.28</v>
      </c>
      <c r="AO128">
        <f>$H$128*$U$128</f>
        <v>118.28</v>
      </c>
      <c r="AP128">
        <f>$H$128*$V$128</f>
        <v>118.28</v>
      </c>
      <c r="AQ128">
        <f>$H$128*$W$128</f>
        <v>118.28</v>
      </c>
      <c r="AR128">
        <f>$H$128*$X$128</f>
        <v>118.28</v>
      </c>
      <c r="AS128">
        <f>$H$128*$Y$128</f>
        <v>118.28</v>
      </c>
      <c r="AT128">
        <f>$H$128*$Z$128</f>
        <v>118.28</v>
      </c>
      <c r="AU128">
        <f>$H$128*$AA$128</f>
        <v>118.28</v>
      </c>
      <c r="AV128">
        <f>$H$128*$AB$128</f>
        <v>118.28</v>
      </c>
      <c r="AW128">
        <f>$H$128*$AC$128</f>
        <v>118.28</v>
      </c>
      <c r="AX128">
        <f>$H$128*$AD$128</f>
        <v>118.28</v>
      </c>
      <c r="AY128">
        <f>$H$128*$AE$128</f>
        <v>118.28</v>
      </c>
      <c r="AZ128">
        <f>$H$128*$AF$128</f>
        <v>118.28</v>
      </c>
    </row>
    <row r="129" spans="1:52" x14ac:dyDescent="0.25">
      <c r="A129">
        <v>159</v>
      </c>
      <c r="B129" t="s">
        <v>5</v>
      </c>
      <c r="C129" t="s">
        <v>350</v>
      </c>
      <c r="D129">
        <v>48</v>
      </c>
      <c r="E129">
        <v>128.16</v>
      </c>
      <c r="F129" t="s">
        <v>291</v>
      </c>
      <c r="G129">
        <v>2.67</v>
      </c>
      <c r="H129">
        <v>153.80000000000001</v>
      </c>
      <c r="I129" t="s">
        <v>302</v>
      </c>
      <c r="J129" t="s">
        <v>351</v>
      </c>
      <c r="K129" t="s">
        <v>479</v>
      </c>
      <c r="L129" t="s">
        <v>199</v>
      </c>
      <c r="M129" t="s">
        <v>5</v>
      </c>
      <c r="N129" t="s">
        <v>12</v>
      </c>
      <c r="O129" t="s">
        <v>5</v>
      </c>
      <c r="P129">
        <v>0</v>
      </c>
      <c r="Q129">
        <v>0</v>
      </c>
      <c r="R129">
        <v>0</v>
      </c>
      <c r="S129">
        <v>0.25</v>
      </c>
      <c r="T129">
        <v>0.25</v>
      </c>
      <c r="U129">
        <v>0.25</v>
      </c>
      <c r="V129">
        <v>0.25</v>
      </c>
      <c r="W129">
        <v>0.25</v>
      </c>
      <c r="X129">
        <v>0.5</v>
      </c>
      <c r="Y129">
        <v>0.5</v>
      </c>
      <c r="Z129">
        <v>0.5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5</v>
      </c>
      <c r="AH129" t="s">
        <v>12</v>
      </c>
      <c r="AI129" t="s">
        <v>5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38.450000000000003</v>
      </c>
      <c r="AN129">
        <f>$H$129*$T$129</f>
        <v>38.450000000000003</v>
      </c>
      <c r="AO129">
        <f>$H$129*$U$129</f>
        <v>38.450000000000003</v>
      </c>
      <c r="AP129">
        <f>$H$129*$V$129</f>
        <v>38.450000000000003</v>
      </c>
      <c r="AQ129">
        <f>$H$129*$W$129</f>
        <v>38.450000000000003</v>
      </c>
      <c r="AR129">
        <f>$H$129*$X$129</f>
        <v>76.900000000000006</v>
      </c>
      <c r="AS129">
        <f>$H$129*$Y$129</f>
        <v>76.900000000000006</v>
      </c>
      <c r="AT129">
        <f>$H$129*$Z$129</f>
        <v>76.900000000000006</v>
      </c>
      <c r="AU129">
        <f>$H$129*$AA$129</f>
        <v>153.80000000000001</v>
      </c>
      <c r="AV129">
        <f>$H$129*$AB$129</f>
        <v>153.80000000000001</v>
      </c>
      <c r="AW129">
        <f>$H$129*$AC$129</f>
        <v>153.80000000000001</v>
      </c>
      <c r="AX129">
        <f>$H$129*$AD$129</f>
        <v>153.80000000000001</v>
      </c>
      <c r="AY129">
        <f>$H$129*$AE$129</f>
        <v>153.80000000000001</v>
      </c>
      <c r="AZ129">
        <f>$H$129*$AF$129</f>
        <v>153.80000000000001</v>
      </c>
    </row>
    <row r="130" spans="1:52" x14ac:dyDescent="0.25">
      <c r="A130">
        <v>160</v>
      </c>
      <c r="B130" t="s">
        <v>5</v>
      </c>
      <c r="C130" t="s">
        <v>354</v>
      </c>
      <c r="D130">
        <v>48</v>
      </c>
      <c r="E130">
        <v>30.24</v>
      </c>
      <c r="F130" t="s">
        <v>291</v>
      </c>
      <c r="G130">
        <v>0.63</v>
      </c>
      <c r="H130">
        <v>36.28</v>
      </c>
      <c r="I130" t="s">
        <v>277</v>
      </c>
      <c r="J130" t="s">
        <v>355</v>
      </c>
      <c r="K130" t="s">
        <v>481</v>
      </c>
      <c r="L130" t="s">
        <v>199</v>
      </c>
      <c r="M130" t="s">
        <v>5</v>
      </c>
      <c r="N130" t="s">
        <v>12</v>
      </c>
      <c r="O130" t="s">
        <v>5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1</v>
      </c>
      <c r="AE130">
        <v>1</v>
      </c>
      <c r="AF130">
        <v>1</v>
      </c>
      <c r="AG130" t="s">
        <v>5</v>
      </c>
      <c r="AH130" t="s">
        <v>12</v>
      </c>
      <c r="AI130" t="s">
        <v>5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0</v>
      </c>
      <c r="AV130">
        <f>$H$130*$AB$130</f>
        <v>0</v>
      </c>
      <c r="AW130">
        <f>$H$130*$AC$130</f>
        <v>0</v>
      </c>
      <c r="AX130">
        <f>$H$130*$AD$130</f>
        <v>36.28</v>
      </c>
      <c r="AY130">
        <f>$H$130*$AE$130</f>
        <v>36.28</v>
      </c>
      <c r="AZ130">
        <f>$H$130*$AF$130</f>
        <v>36.28</v>
      </c>
    </row>
    <row r="131" spans="1:52" x14ac:dyDescent="0.25">
      <c r="A131">
        <v>161</v>
      </c>
      <c r="B131" t="s">
        <v>5</v>
      </c>
      <c r="C131" t="s">
        <v>356</v>
      </c>
      <c r="D131">
        <v>48</v>
      </c>
      <c r="E131">
        <v>33.119999999999997</v>
      </c>
      <c r="F131" t="s">
        <v>291</v>
      </c>
      <c r="G131">
        <v>0.69</v>
      </c>
      <c r="H131">
        <v>39.74</v>
      </c>
      <c r="I131" t="s">
        <v>277</v>
      </c>
      <c r="J131" t="s">
        <v>357</v>
      </c>
      <c r="K131" t="s">
        <v>482</v>
      </c>
      <c r="L131" t="s">
        <v>199</v>
      </c>
      <c r="M131" t="s">
        <v>5</v>
      </c>
      <c r="N131" t="s">
        <v>12</v>
      </c>
      <c r="O131" t="s">
        <v>5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5</v>
      </c>
      <c r="AH131" t="s">
        <v>12</v>
      </c>
      <c r="AI131" t="s">
        <v>5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39.74</v>
      </c>
      <c r="AN131">
        <f>$H$131*$T$131</f>
        <v>39.74</v>
      </c>
      <c r="AO131">
        <f>$H$131*$U$131</f>
        <v>39.74</v>
      </c>
      <c r="AP131">
        <f>$H$131*$V$131</f>
        <v>39.74</v>
      </c>
      <c r="AQ131">
        <f>$H$131*$W$131</f>
        <v>39.74</v>
      </c>
      <c r="AR131">
        <f>$H$131*$X$131</f>
        <v>39.74</v>
      </c>
      <c r="AS131">
        <f>$H$131*$Y$131</f>
        <v>39.74</v>
      </c>
      <c r="AT131">
        <f>$H$131*$Z$131</f>
        <v>39.74</v>
      </c>
      <c r="AU131">
        <f>$H$131*$AA$131</f>
        <v>39.74</v>
      </c>
      <c r="AV131">
        <f>$H$131*$AB$131</f>
        <v>39.74</v>
      </c>
      <c r="AW131">
        <f>$H$131*$AC$131</f>
        <v>39.74</v>
      </c>
      <c r="AX131">
        <f>$H$131*$AD$131</f>
        <v>39.74</v>
      </c>
      <c r="AY131">
        <f>$H$131*$AE$131</f>
        <v>39.74</v>
      </c>
      <c r="AZ131">
        <f>$H$131*$AF$131</f>
        <v>39.74</v>
      </c>
    </row>
    <row r="132" spans="1:52" x14ac:dyDescent="0.25">
      <c r="A132">
        <v>162</v>
      </c>
      <c r="B132" t="s">
        <v>5</v>
      </c>
      <c r="C132" t="s">
        <v>358</v>
      </c>
      <c r="D132">
        <v>11.04</v>
      </c>
      <c r="E132">
        <v>44.49</v>
      </c>
      <c r="F132" t="s">
        <v>291</v>
      </c>
      <c r="G132">
        <v>4.03</v>
      </c>
      <c r="H132">
        <v>53.39</v>
      </c>
      <c r="I132" t="s">
        <v>359</v>
      </c>
      <c r="J132" t="s">
        <v>360</v>
      </c>
      <c r="K132" t="s">
        <v>483</v>
      </c>
      <c r="L132" t="s">
        <v>199</v>
      </c>
      <c r="M132" t="s">
        <v>5</v>
      </c>
      <c r="N132" t="s">
        <v>12</v>
      </c>
      <c r="O132" t="s">
        <v>5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5</v>
      </c>
      <c r="AH132" t="s">
        <v>12</v>
      </c>
      <c r="AI132" t="s">
        <v>5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53.39</v>
      </c>
      <c r="AN132">
        <f>$H$132*$T$132</f>
        <v>53.39</v>
      </c>
      <c r="AO132">
        <f>$H$132*$U$132</f>
        <v>53.39</v>
      </c>
      <c r="AP132">
        <f>$H$132*$V$132</f>
        <v>53.39</v>
      </c>
      <c r="AQ132">
        <f>$H$132*$W$132</f>
        <v>53.39</v>
      </c>
      <c r="AR132">
        <f>$H$132*$X$132</f>
        <v>53.39</v>
      </c>
      <c r="AS132">
        <f>$H$132*$Y$132</f>
        <v>53.39</v>
      </c>
      <c r="AT132">
        <f>$H$132*$Z$132</f>
        <v>53.39</v>
      </c>
      <c r="AU132">
        <f>$H$132*$AA$132</f>
        <v>53.39</v>
      </c>
      <c r="AV132">
        <f>$H$132*$AB$132</f>
        <v>53.39</v>
      </c>
      <c r="AW132">
        <f>$H$132*$AC$132</f>
        <v>53.39</v>
      </c>
      <c r="AX132">
        <f>$H$132*$AD$132</f>
        <v>53.39</v>
      </c>
      <c r="AY132">
        <f>$H$132*$AE$132</f>
        <v>53.39</v>
      </c>
      <c r="AZ132">
        <f>$H$132*$AF$132</f>
        <v>53.39</v>
      </c>
    </row>
    <row r="133" spans="1:52" x14ac:dyDescent="0.25">
      <c r="A133">
        <v>163</v>
      </c>
      <c r="B133" t="s">
        <v>5</v>
      </c>
      <c r="C133" t="s">
        <v>361</v>
      </c>
      <c r="D133">
        <v>44.16</v>
      </c>
      <c r="E133">
        <v>29.59</v>
      </c>
      <c r="F133" t="s">
        <v>291</v>
      </c>
      <c r="G133">
        <v>0.67</v>
      </c>
      <c r="H133">
        <v>35.51</v>
      </c>
      <c r="I133" t="s">
        <v>362</v>
      </c>
      <c r="J133" t="s">
        <v>363</v>
      </c>
      <c r="K133" t="s">
        <v>484</v>
      </c>
      <c r="L133" t="s">
        <v>199</v>
      </c>
      <c r="M133" t="s">
        <v>5</v>
      </c>
      <c r="N133" t="s">
        <v>12</v>
      </c>
      <c r="O133" t="s">
        <v>5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5</v>
      </c>
      <c r="AH133" t="s">
        <v>12</v>
      </c>
      <c r="AI133" t="s">
        <v>5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35.51</v>
      </c>
      <c r="AN133">
        <f>$H$133*$T$133</f>
        <v>35.51</v>
      </c>
      <c r="AO133">
        <f>$H$133*$U$133</f>
        <v>35.51</v>
      </c>
      <c r="AP133">
        <f>$H$133*$V$133</f>
        <v>35.51</v>
      </c>
      <c r="AQ133">
        <f>$H$133*$W$133</f>
        <v>35.51</v>
      </c>
      <c r="AR133">
        <f>$H$133*$X$133</f>
        <v>35.51</v>
      </c>
      <c r="AS133">
        <f>$H$133*$Y$133</f>
        <v>35.51</v>
      </c>
      <c r="AT133">
        <f>$H$133*$Z$133</f>
        <v>35.51</v>
      </c>
      <c r="AU133">
        <f>$H$133*$AA$133</f>
        <v>35.51</v>
      </c>
      <c r="AV133">
        <f>$H$133*$AB$133</f>
        <v>35.51</v>
      </c>
      <c r="AW133">
        <f>$H$133*$AC$133</f>
        <v>35.51</v>
      </c>
      <c r="AX133">
        <f>$H$133*$AD$133</f>
        <v>35.51</v>
      </c>
      <c r="AY133">
        <f>$H$133*$AE$133</f>
        <v>35.51</v>
      </c>
      <c r="AZ133">
        <f>$H$133*$AF$133</f>
        <v>35.51</v>
      </c>
    </row>
    <row r="134" spans="1:52" x14ac:dyDescent="0.25">
      <c r="A134">
        <v>164</v>
      </c>
      <c r="B134" t="s">
        <v>5</v>
      </c>
      <c r="C134" t="s">
        <v>364</v>
      </c>
      <c r="D134">
        <v>44.16</v>
      </c>
      <c r="E134">
        <v>142.19999999999999</v>
      </c>
      <c r="F134" t="s">
        <v>291</v>
      </c>
      <c r="G134">
        <v>3.22</v>
      </c>
      <c r="H134">
        <v>170.64</v>
      </c>
      <c r="I134" t="s">
        <v>362</v>
      </c>
      <c r="J134" t="s">
        <v>360</v>
      </c>
      <c r="K134" t="s">
        <v>485</v>
      </c>
      <c r="L134" t="s">
        <v>199</v>
      </c>
      <c r="M134" t="s">
        <v>5</v>
      </c>
      <c r="N134" t="s">
        <v>12</v>
      </c>
      <c r="O134" t="s">
        <v>5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5</v>
      </c>
      <c r="AH134" t="s">
        <v>12</v>
      </c>
      <c r="AI134" t="s">
        <v>5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170.64</v>
      </c>
      <c r="AN134">
        <f>$H$134*$T$134</f>
        <v>170.64</v>
      </c>
      <c r="AO134">
        <f>$H$134*$U$134</f>
        <v>170.64</v>
      </c>
      <c r="AP134">
        <f>$H$134*$V$134</f>
        <v>170.64</v>
      </c>
      <c r="AQ134">
        <f>$H$134*$W$134</f>
        <v>170.64</v>
      </c>
      <c r="AR134">
        <f>$H$134*$X$134</f>
        <v>170.64</v>
      </c>
      <c r="AS134">
        <f>$H$134*$Y$134</f>
        <v>170.64</v>
      </c>
      <c r="AT134">
        <f>$H$134*$Z$134</f>
        <v>170.64</v>
      </c>
      <c r="AU134">
        <f>$H$134*$AA$134</f>
        <v>170.64</v>
      </c>
      <c r="AV134">
        <f>$H$134*$AB$134</f>
        <v>170.64</v>
      </c>
      <c r="AW134">
        <f>$H$134*$AC$134</f>
        <v>170.64</v>
      </c>
      <c r="AX134">
        <f>$H$134*$AD$134</f>
        <v>170.64</v>
      </c>
      <c r="AY134">
        <f>$H$134*$AE$134</f>
        <v>170.64</v>
      </c>
      <c r="AZ134">
        <f>$H$134*$AF$134</f>
        <v>170.64</v>
      </c>
    </row>
    <row r="135" spans="1:52" x14ac:dyDescent="0.25">
      <c r="A135">
        <v>165</v>
      </c>
      <c r="B135" t="s">
        <v>256</v>
      </c>
      <c r="C135" t="s">
        <v>344</v>
      </c>
      <c r="D135">
        <v>6</v>
      </c>
      <c r="E135">
        <v>79.62</v>
      </c>
      <c r="F135" t="s">
        <v>281</v>
      </c>
      <c r="G135">
        <v>13.27</v>
      </c>
      <c r="H135">
        <v>95.54</v>
      </c>
      <c r="I135" t="s">
        <v>283</v>
      </c>
      <c r="J135" t="s">
        <v>345</v>
      </c>
      <c r="K135" t="s">
        <v>476</v>
      </c>
      <c r="L135" t="s">
        <v>199</v>
      </c>
      <c r="M135" t="s">
        <v>256</v>
      </c>
      <c r="N135" t="s">
        <v>12</v>
      </c>
      <c r="O135" t="s">
        <v>14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256</v>
      </c>
      <c r="AH135" t="s">
        <v>12</v>
      </c>
      <c r="AI135" t="s">
        <v>14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95.54</v>
      </c>
      <c r="AS135">
        <f>$H$135*$Y$135</f>
        <v>95.54</v>
      </c>
      <c r="AT135">
        <f>$H$135*$Z$135</f>
        <v>95.54</v>
      </c>
      <c r="AU135">
        <f>$H$135*$AA$135</f>
        <v>95.54</v>
      </c>
      <c r="AV135">
        <f>$H$135*$AB$135</f>
        <v>95.54</v>
      </c>
      <c r="AW135">
        <f>$H$135*$AC$135</f>
        <v>95.54</v>
      </c>
      <c r="AX135">
        <f>$H$135*$AD$135</f>
        <v>95.54</v>
      </c>
      <c r="AY135">
        <f>$H$135*$AE$135</f>
        <v>95.54</v>
      </c>
      <c r="AZ135">
        <f>$H$135*$AF$135</f>
        <v>95.54</v>
      </c>
    </row>
    <row r="136" spans="1:52" x14ac:dyDescent="0.25">
      <c r="A136">
        <v>166</v>
      </c>
      <c r="B136" t="s">
        <v>256</v>
      </c>
      <c r="C136" t="s">
        <v>346</v>
      </c>
      <c r="D136">
        <v>1</v>
      </c>
      <c r="E136">
        <v>48.06</v>
      </c>
      <c r="F136" t="s">
        <v>281</v>
      </c>
      <c r="G136">
        <v>48.06</v>
      </c>
      <c r="H136">
        <v>57.68</v>
      </c>
      <c r="I136" t="s">
        <v>286</v>
      </c>
      <c r="J136" t="s">
        <v>347</v>
      </c>
      <c r="K136" t="s">
        <v>477</v>
      </c>
      <c r="L136" t="s">
        <v>199</v>
      </c>
      <c r="M136" t="s">
        <v>256</v>
      </c>
      <c r="N136" t="s">
        <v>12</v>
      </c>
      <c r="O136" t="s">
        <v>14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1</v>
      </c>
      <c r="AE136">
        <v>1</v>
      </c>
      <c r="AF136">
        <v>1</v>
      </c>
      <c r="AG136" t="s">
        <v>256</v>
      </c>
      <c r="AH136" t="s">
        <v>12</v>
      </c>
      <c r="AI136" t="s">
        <v>14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0</v>
      </c>
      <c r="AV136">
        <f>$H$136*$AB$136</f>
        <v>0</v>
      </c>
      <c r="AW136">
        <f>$H$136*$AC$136</f>
        <v>0</v>
      </c>
      <c r="AX136">
        <f>$H$136*$AD$136</f>
        <v>57.68</v>
      </c>
      <c r="AY136">
        <f>$H$136*$AE$136</f>
        <v>57.68</v>
      </c>
      <c r="AZ136">
        <f>$H$136*$AF$136</f>
        <v>57.68</v>
      </c>
    </row>
    <row r="137" spans="1:52" x14ac:dyDescent="0.25">
      <c r="A137">
        <v>167</v>
      </c>
      <c r="B137" t="s">
        <v>256</v>
      </c>
      <c r="C137" t="s">
        <v>299</v>
      </c>
      <c r="D137">
        <v>482.67</v>
      </c>
      <c r="E137">
        <v>473.02</v>
      </c>
      <c r="F137" t="s">
        <v>291</v>
      </c>
      <c r="G137">
        <v>0.98</v>
      </c>
      <c r="H137">
        <v>567.62</v>
      </c>
      <c r="I137" t="s">
        <v>277</v>
      </c>
      <c r="J137" t="s">
        <v>300</v>
      </c>
      <c r="K137" t="s">
        <v>454</v>
      </c>
      <c r="L137" t="s">
        <v>199</v>
      </c>
      <c r="M137" t="s">
        <v>256</v>
      </c>
      <c r="N137" t="s">
        <v>12</v>
      </c>
      <c r="O137" t="s">
        <v>14</v>
      </c>
      <c r="P137">
        <v>0</v>
      </c>
      <c r="Q137">
        <v>0</v>
      </c>
      <c r="R137">
        <v>0</v>
      </c>
      <c r="S137">
        <v>0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256</v>
      </c>
      <c r="AH137" t="s">
        <v>12</v>
      </c>
      <c r="AI137" t="s">
        <v>14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567.62</v>
      </c>
      <c r="AO137">
        <f>$H$137*$U$137</f>
        <v>567.62</v>
      </c>
      <c r="AP137">
        <f>$H$137*$V$137</f>
        <v>567.62</v>
      </c>
      <c r="AQ137">
        <f>$H$137*$W$137</f>
        <v>567.62</v>
      </c>
      <c r="AR137">
        <f>$H$137*$X$137</f>
        <v>567.62</v>
      </c>
      <c r="AS137">
        <f>$H$137*$Y$137</f>
        <v>567.62</v>
      </c>
      <c r="AT137">
        <f>$H$137*$Z$137</f>
        <v>567.62</v>
      </c>
      <c r="AU137">
        <f>$H$137*$AA$137</f>
        <v>567.62</v>
      </c>
      <c r="AV137">
        <f>$H$137*$AB$137</f>
        <v>567.62</v>
      </c>
      <c r="AW137">
        <f>$H$137*$AC$137</f>
        <v>567.62</v>
      </c>
      <c r="AX137">
        <f>$H$137*$AD$137</f>
        <v>567.62</v>
      </c>
      <c r="AY137">
        <f>$H$137*$AE$137</f>
        <v>567.62</v>
      </c>
      <c r="AZ137">
        <f>$H$137*$AF$137</f>
        <v>567.62</v>
      </c>
    </row>
    <row r="138" spans="1:52" x14ac:dyDescent="0.25">
      <c r="A138">
        <v>168</v>
      </c>
      <c r="B138" t="s">
        <v>256</v>
      </c>
      <c r="C138" t="s">
        <v>350</v>
      </c>
      <c r="D138">
        <v>482.67</v>
      </c>
      <c r="E138">
        <v>1288.73</v>
      </c>
      <c r="F138" t="s">
        <v>291</v>
      </c>
      <c r="G138">
        <v>2.67</v>
      </c>
      <c r="H138">
        <v>1546.47</v>
      </c>
      <c r="I138" t="s">
        <v>302</v>
      </c>
      <c r="J138" t="s">
        <v>351</v>
      </c>
      <c r="K138" t="s">
        <v>479</v>
      </c>
      <c r="L138" t="s">
        <v>199</v>
      </c>
      <c r="M138" t="s">
        <v>256</v>
      </c>
      <c r="N138" t="s">
        <v>12</v>
      </c>
      <c r="O138" t="s">
        <v>14</v>
      </c>
      <c r="P138">
        <v>0</v>
      </c>
      <c r="Q138">
        <v>0</v>
      </c>
      <c r="R138">
        <v>0</v>
      </c>
      <c r="S138">
        <v>0.25</v>
      </c>
      <c r="T138">
        <v>0.25</v>
      </c>
      <c r="U138">
        <v>0.25</v>
      </c>
      <c r="V138">
        <v>0.25</v>
      </c>
      <c r="W138">
        <v>0.25</v>
      </c>
      <c r="X138">
        <v>0.5</v>
      </c>
      <c r="Y138">
        <v>0.5</v>
      </c>
      <c r="Z138">
        <v>0.5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256</v>
      </c>
      <c r="AH138" t="s">
        <v>12</v>
      </c>
      <c r="AI138" t="s">
        <v>14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386.61750000000001</v>
      </c>
      <c r="AN138">
        <f>$H$138*$T$138</f>
        <v>386.61750000000001</v>
      </c>
      <c r="AO138">
        <f>$H$138*$U$138</f>
        <v>386.61750000000001</v>
      </c>
      <c r="AP138">
        <f>$H$138*$V$138</f>
        <v>386.61750000000001</v>
      </c>
      <c r="AQ138">
        <f>$H$138*$W$138</f>
        <v>386.61750000000001</v>
      </c>
      <c r="AR138">
        <f>$H$138*$X$138</f>
        <v>773.23500000000001</v>
      </c>
      <c r="AS138">
        <f>$H$138*$Y$138</f>
        <v>773.23500000000001</v>
      </c>
      <c r="AT138">
        <f>$H$138*$Z$138</f>
        <v>773.23500000000001</v>
      </c>
      <c r="AU138">
        <f>$H$138*$AA$138</f>
        <v>1546.47</v>
      </c>
      <c r="AV138">
        <f>$H$138*$AB$138</f>
        <v>1546.47</v>
      </c>
      <c r="AW138">
        <f>$H$138*$AC$138</f>
        <v>1546.47</v>
      </c>
      <c r="AX138">
        <f>$H$138*$AD$138</f>
        <v>1546.47</v>
      </c>
      <c r="AY138">
        <f>$H$138*$AE$138</f>
        <v>1546.47</v>
      </c>
      <c r="AZ138">
        <f>$H$138*$AF$138</f>
        <v>1546.47</v>
      </c>
    </row>
    <row r="139" spans="1:52" x14ac:dyDescent="0.25">
      <c r="A139">
        <v>169</v>
      </c>
      <c r="B139" t="s">
        <v>256</v>
      </c>
      <c r="C139" t="s">
        <v>352</v>
      </c>
      <c r="D139">
        <v>60.33</v>
      </c>
      <c r="E139">
        <v>212.36</v>
      </c>
      <c r="F139" t="s">
        <v>276</v>
      </c>
      <c r="G139">
        <v>3.52</v>
      </c>
      <c r="H139">
        <v>254.84</v>
      </c>
      <c r="I139" t="s">
        <v>280</v>
      </c>
      <c r="J139" t="s">
        <v>353</v>
      </c>
      <c r="K139" t="s">
        <v>480</v>
      </c>
      <c r="L139" t="s">
        <v>199</v>
      </c>
      <c r="M139" t="s">
        <v>256</v>
      </c>
      <c r="N139" t="s">
        <v>12</v>
      </c>
      <c r="O139" t="s">
        <v>14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256</v>
      </c>
      <c r="AH139" t="s">
        <v>12</v>
      </c>
      <c r="AI139" t="s">
        <v>14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254.84</v>
      </c>
      <c r="AN139">
        <f>$H$139*$T$139</f>
        <v>254.84</v>
      </c>
      <c r="AO139">
        <f>$H$139*$U$139</f>
        <v>254.84</v>
      </c>
      <c r="AP139">
        <f>$H$139*$V$139</f>
        <v>254.84</v>
      </c>
      <c r="AQ139">
        <f>$H$139*$W$139</f>
        <v>254.84</v>
      </c>
      <c r="AR139">
        <f>$H$139*$X$139</f>
        <v>254.84</v>
      </c>
      <c r="AS139">
        <f>$H$139*$Y$139</f>
        <v>254.84</v>
      </c>
      <c r="AT139">
        <f>$H$139*$Z$139</f>
        <v>254.84</v>
      </c>
      <c r="AU139">
        <f>$H$139*$AA$139</f>
        <v>254.84</v>
      </c>
      <c r="AV139">
        <f>$H$139*$AB$139</f>
        <v>254.84</v>
      </c>
      <c r="AW139">
        <f>$H$139*$AC$139</f>
        <v>254.84</v>
      </c>
      <c r="AX139">
        <f>$H$139*$AD$139</f>
        <v>254.84</v>
      </c>
      <c r="AY139">
        <f>$H$139*$AE$139</f>
        <v>254.84</v>
      </c>
      <c r="AZ139">
        <f>$H$139*$AF$139</f>
        <v>254.84</v>
      </c>
    </row>
    <row r="140" spans="1:52" x14ac:dyDescent="0.25">
      <c r="A140">
        <v>170</v>
      </c>
      <c r="B140" t="s">
        <v>256</v>
      </c>
      <c r="C140" t="s">
        <v>350</v>
      </c>
      <c r="D140">
        <v>218.51</v>
      </c>
      <c r="E140">
        <v>583.41999999999996</v>
      </c>
      <c r="F140" t="s">
        <v>291</v>
      </c>
      <c r="G140">
        <v>2.67</v>
      </c>
      <c r="H140">
        <v>700.1</v>
      </c>
      <c r="I140" t="s">
        <v>302</v>
      </c>
      <c r="J140" t="s">
        <v>351</v>
      </c>
      <c r="K140" t="s">
        <v>479</v>
      </c>
      <c r="L140" t="s">
        <v>199</v>
      </c>
      <c r="M140" t="s">
        <v>256</v>
      </c>
      <c r="N140" t="s">
        <v>12</v>
      </c>
      <c r="O140" t="s">
        <v>14</v>
      </c>
      <c r="P140">
        <v>0</v>
      </c>
      <c r="Q140">
        <v>0</v>
      </c>
      <c r="R140">
        <v>0</v>
      </c>
      <c r="S140">
        <v>0.25</v>
      </c>
      <c r="T140">
        <v>0.25</v>
      </c>
      <c r="U140">
        <v>0.25</v>
      </c>
      <c r="V140">
        <v>0.25</v>
      </c>
      <c r="W140">
        <v>0.25</v>
      </c>
      <c r="X140">
        <v>0.5</v>
      </c>
      <c r="Y140">
        <v>0.5</v>
      </c>
      <c r="Z140">
        <v>0.5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256</v>
      </c>
      <c r="AH140" t="s">
        <v>12</v>
      </c>
      <c r="AI140" t="s">
        <v>14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175.02500000000001</v>
      </c>
      <c r="AN140">
        <f>$H$140*$T$140</f>
        <v>175.02500000000001</v>
      </c>
      <c r="AO140">
        <f>$H$140*$U$140</f>
        <v>175.02500000000001</v>
      </c>
      <c r="AP140">
        <f>$H$140*$V$140</f>
        <v>175.02500000000001</v>
      </c>
      <c r="AQ140">
        <f>$H$140*$W$140</f>
        <v>175.02500000000001</v>
      </c>
      <c r="AR140">
        <f>$H$140*$X$140</f>
        <v>350.05</v>
      </c>
      <c r="AS140">
        <f>$H$140*$Y$140</f>
        <v>350.05</v>
      </c>
      <c r="AT140">
        <f>$H$140*$Z$140</f>
        <v>350.05</v>
      </c>
      <c r="AU140">
        <f>$H$140*$AA$140</f>
        <v>700.1</v>
      </c>
      <c r="AV140">
        <f>$H$140*$AB$140</f>
        <v>700.1</v>
      </c>
      <c r="AW140">
        <f>$H$140*$AC$140</f>
        <v>700.1</v>
      </c>
      <c r="AX140">
        <f>$H$140*$AD$140</f>
        <v>700.1</v>
      </c>
      <c r="AY140">
        <f>$H$140*$AE$140</f>
        <v>700.1</v>
      </c>
      <c r="AZ140">
        <f>$H$140*$AF$140</f>
        <v>700.1</v>
      </c>
    </row>
    <row r="141" spans="1:52" x14ac:dyDescent="0.25">
      <c r="A141">
        <v>171</v>
      </c>
      <c r="B141" t="s">
        <v>256</v>
      </c>
      <c r="C141" t="s">
        <v>354</v>
      </c>
      <c r="D141">
        <v>218.51</v>
      </c>
      <c r="E141">
        <v>137.66</v>
      </c>
      <c r="F141" t="s">
        <v>291</v>
      </c>
      <c r="G141">
        <v>0.63</v>
      </c>
      <c r="H141">
        <v>165.2</v>
      </c>
      <c r="I141" t="s">
        <v>277</v>
      </c>
      <c r="J141" t="s">
        <v>355</v>
      </c>
      <c r="K141" t="s">
        <v>481</v>
      </c>
      <c r="L141" t="s">
        <v>199</v>
      </c>
      <c r="M141" t="s">
        <v>256</v>
      </c>
      <c r="N141" t="s">
        <v>12</v>
      </c>
      <c r="O141" t="s">
        <v>14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1</v>
      </c>
      <c r="AF141">
        <v>1</v>
      </c>
      <c r="AG141" t="s">
        <v>256</v>
      </c>
      <c r="AH141" t="s">
        <v>12</v>
      </c>
      <c r="AI141" t="s">
        <v>14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0</v>
      </c>
      <c r="AV141">
        <f>$H$141*$AB$141</f>
        <v>0</v>
      </c>
      <c r="AW141">
        <f>$H$141*$AC$141</f>
        <v>0</v>
      </c>
      <c r="AX141">
        <f>$H$141*$AD$141</f>
        <v>165.2</v>
      </c>
      <c r="AY141">
        <f>$H$141*$AE$141</f>
        <v>165.2</v>
      </c>
      <c r="AZ141">
        <f>$H$141*$AF$141</f>
        <v>165.2</v>
      </c>
    </row>
    <row r="142" spans="1:52" x14ac:dyDescent="0.25">
      <c r="A142">
        <v>172</v>
      </c>
      <c r="B142" t="s">
        <v>256</v>
      </c>
      <c r="C142" t="s">
        <v>356</v>
      </c>
      <c r="D142">
        <v>218.51</v>
      </c>
      <c r="E142">
        <v>150.77000000000001</v>
      </c>
      <c r="F142" t="s">
        <v>291</v>
      </c>
      <c r="G142">
        <v>0.69</v>
      </c>
      <c r="H142">
        <v>180.93</v>
      </c>
      <c r="I142" t="s">
        <v>277</v>
      </c>
      <c r="J142" t="s">
        <v>357</v>
      </c>
      <c r="K142" t="s">
        <v>482</v>
      </c>
      <c r="L142" t="s">
        <v>199</v>
      </c>
      <c r="M142" t="s">
        <v>256</v>
      </c>
      <c r="N142" t="s">
        <v>12</v>
      </c>
      <c r="O142" t="s">
        <v>14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256</v>
      </c>
      <c r="AH142" t="s">
        <v>12</v>
      </c>
      <c r="AI142" t="s">
        <v>14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180.93</v>
      </c>
      <c r="AN142">
        <f>$H$142*$T$142</f>
        <v>180.93</v>
      </c>
      <c r="AO142">
        <f>$H$142*$U$142</f>
        <v>180.93</v>
      </c>
      <c r="AP142">
        <f>$H$142*$V$142</f>
        <v>180.93</v>
      </c>
      <c r="AQ142">
        <f>$H$142*$W$142</f>
        <v>180.93</v>
      </c>
      <c r="AR142">
        <f>$H$142*$X$142</f>
        <v>180.93</v>
      </c>
      <c r="AS142">
        <f>$H$142*$Y$142</f>
        <v>180.93</v>
      </c>
      <c r="AT142">
        <f>$H$142*$Z$142</f>
        <v>180.93</v>
      </c>
      <c r="AU142">
        <f>$H$142*$AA$142</f>
        <v>180.93</v>
      </c>
      <c r="AV142">
        <f>$H$142*$AB$142</f>
        <v>180.93</v>
      </c>
      <c r="AW142">
        <f>$H$142*$AC$142</f>
        <v>180.93</v>
      </c>
      <c r="AX142">
        <f>$H$142*$AD$142</f>
        <v>180.93</v>
      </c>
      <c r="AY142">
        <f>$H$142*$AE$142</f>
        <v>180.93</v>
      </c>
      <c r="AZ142">
        <f>$H$142*$AF$142</f>
        <v>180.93</v>
      </c>
    </row>
    <row r="143" spans="1:52" x14ac:dyDescent="0.25">
      <c r="A143">
        <v>173</v>
      </c>
      <c r="B143" t="s">
        <v>256</v>
      </c>
      <c r="C143" t="s">
        <v>358</v>
      </c>
      <c r="D143">
        <v>50.26</v>
      </c>
      <c r="E143">
        <v>202.55</v>
      </c>
      <c r="F143" t="s">
        <v>291</v>
      </c>
      <c r="G143">
        <v>4.03</v>
      </c>
      <c r="H143">
        <v>243.07</v>
      </c>
      <c r="I143" t="s">
        <v>359</v>
      </c>
      <c r="J143" t="s">
        <v>360</v>
      </c>
      <c r="K143" t="s">
        <v>483</v>
      </c>
      <c r="L143" t="s">
        <v>199</v>
      </c>
      <c r="M143" t="s">
        <v>256</v>
      </c>
      <c r="N143" t="s">
        <v>12</v>
      </c>
      <c r="O143" t="s">
        <v>14</v>
      </c>
      <c r="P143">
        <v>0</v>
      </c>
      <c r="Q143">
        <v>0</v>
      </c>
      <c r="R143">
        <v>0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256</v>
      </c>
      <c r="AH143" t="s">
        <v>12</v>
      </c>
      <c r="AI143" t="s">
        <v>14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243.07</v>
      </c>
      <c r="AN143">
        <f>$H$143*$T$143</f>
        <v>243.07</v>
      </c>
      <c r="AO143">
        <f>$H$143*$U$143</f>
        <v>243.07</v>
      </c>
      <c r="AP143">
        <f>$H$143*$V$143</f>
        <v>243.07</v>
      </c>
      <c r="AQ143">
        <f>$H$143*$W$143</f>
        <v>243.07</v>
      </c>
      <c r="AR143">
        <f>$H$143*$X$143</f>
        <v>243.07</v>
      </c>
      <c r="AS143">
        <f>$H$143*$Y$143</f>
        <v>243.07</v>
      </c>
      <c r="AT143">
        <f>$H$143*$Z$143</f>
        <v>243.07</v>
      </c>
      <c r="AU143">
        <f>$H$143*$AA$143</f>
        <v>243.07</v>
      </c>
      <c r="AV143">
        <f>$H$143*$AB$143</f>
        <v>243.07</v>
      </c>
      <c r="AW143">
        <f>$H$143*$AC$143</f>
        <v>243.07</v>
      </c>
      <c r="AX143">
        <f>$H$143*$AD$143</f>
        <v>243.07</v>
      </c>
      <c r="AY143">
        <f>$H$143*$AE$143</f>
        <v>243.07</v>
      </c>
      <c r="AZ143">
        <f>$H$143*$AF$143</f>
        <v>243.07</v>
      </c>
    </row>
    <row r="144" spans="1:52" x14ac:dyDescent="0.25">
      <c r="A144">
        <v>174</v>
      </c>
      <c r="B144" t="s">
        <v>256</v>
      </c>
      <c r="C144" t="s">
        <v>361</v>
      </c>
      <c r="D144">
        <v>201.03</v>
      </c>
      <c r="E144">
        <v>134.69</v>
      </c>
      <c r="F144" t="s">
        <v>291</v>
      </c>
      <c r="G144">
        <v>0.67</v>
      </c>
      <c r="H144">
        <v>161.63</v>
      </c>
      <c r="I144" t="s">
        <v>362</v>
      </c>
      <c r="J144" t="s">
        <v>363</v>
      </c>
      <c r="K144" t="s">
        <v>484</v>
      </c>
      <c r="L144" t="s">
        <v>199</v>
      </c>
      <c r="M144" t="s">
        <v>256</v>
      </c>
      <c r="N144" t="s">
        <v>12</v>
      </c>
      <c r="O144" t="s">
        <v>14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256</v>
      </c>
      <c r="AH144" t="s">
        <v>12</v>
      </c>
      <c r="AI144" t="s">
        <v>14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161.63</v>
      </c>
      <c r="AN144">
        <f>$H$144*$T$144</f>
        <v>161.63</v>
      </c>
      <c r="AO144">
        <f>$H$144*$U$144</f>
        <v>161.63</v>
      </c>
      <c r="AP144">
        <f>$H$144*$V$144</f>
        <v>161.63</v>
      </c>
      <c r="AQ144">
        <f>$H$144*$W$144</f>
        <v>161.63</v>
      </c>
      <c r="AR144">
        <f>$H$144*$X$144</f>
        <v>161.63</v>
      </c>
      <c r="AS144">
        <f>$H$144*$Y$144</f>
        <v>161.63</v>
      </c>
      <c r="AT144">
        <f>$H$144*$Z$144</f>
        <v>161.63</v>
      </c>
      <c r="AU144">
        <f>$H$144*$AA$144</f>
        <v>161.63</v>
      </c>
      <c r="AV144">
        <f>$H$144*$AB$144</f>
        <v>161.63</v>
      </c>
      <c r="AW144">
        <f>$H$144*$AC$144</f>
        <v>161.63</v>
      </c>
      <c r="AX144">
        <f>$H$144*$AD$144</f>
        <v>161.63</v>
      </c>
      <c r="AY144">
        <f>$H$144*$AE$144</f>
        <v>161.63</v>
      </c>
      <c r="AZ144">
        <f>$H$144*$AF$144</f>
        <v>161.63</v>
      </c>
    </row>
    <row r="145" spans="1:52" x14ac:dyDescent="0.25">
      <c r="A145">
        <v>175</v>
      </c>
      <c r="B145" t="s">
        <v>256</v>
      </c>
      <c r="C145" t="s">
        <v>364</v>
      </c>
      <c r="D145">
        <v>201.03</v>
      </c>
      <c r="E145">
        <v>647.32000000000005</v>
      </c>
      <c r="F145" t="s">
        <v>291</v>
      </c>
      <c r="G145">
        <v>3.22</v>
      </c>
      <c r="H145">
        <v>776.78</v>
      </c>
      <c r="I145" t="s">
        <v>362</v>
      </c>
      <c r="J145" t="s">
        <v>360</v>
      </c>
      <c r="K145" t="s">
        <v>485</v>
      </c>
      <c r="L145" t="s">
        <v>199</v>
      </c>
      <c r="M145" t="s">
        <v>256</v>
      </c>
      <c r="N145" t="s">
        <v>12</v>
      </c>
      <c r="O145" t="s">
        <v>14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256</v>
      </c>
      <c r="AH145" t="s">
        <v>12</v>
      </c>
      <c r="AI145" t="s">
        <v>14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776.78</v>
      </c>
      <c r="AN145">
        <f>$H$145*$T$145</f>
        <v>776.78</v>
      </c>
      <c r="AO145">
        <f>$H$145*$U$145</f>
        <v>776.78</v>
      </c>
      <c r="AP145">
        <f>$H$145*$V$145</f>
        <v>776.78</v>
      </c>
      <c r="AQ145">
        <f>$H$145*$W$145</f>
        <v>776.78</v>
      </c>
      <c r="AR145">
        <f>$H$145*$X$145</f>
        <v>776.78</v>
      </c>
      <c r="AS145">
        <f>$H$145*$Y$145</f>
        <v>776.78</v>
      </c>
      <c r="AT145">
        <f>$H$145*$Z$145</f>
        <v>776.78</v>
      </c>
      <c r="AU145">
        <f>$H$145*$AA$145</f>
        <v>776.78</v>
      </c>
      <c r="AV145">
        <f>$H$145*$AB$145</f>
        <v>776.78</v>
      </c>
      <c r="AW145">
        <f>$H$145*$AC$145</f>
        <v>776.78</v>
      </c>
      <c r="AX145">
        <f>$H$145*$AD$145</f>
        <v>776.78</v>
      </c>
      <c r="AY145">
        <f>$H$145*$AE$145</f>
        <v>776.78</v>
      </c>
      <c r="AZ145">
        <f>$H$145*$AF$145</f>
        <v>776.78</v>
      </c>
    </row>
    <row r="146" spans="1:52" x14ac:dyDescent="0.25">
      <c r="A146">
        <v>176</v>
      </c>
      <c r="B146" t="s">
        <v>253</v>
      </c>
      <c r="C146" t="s">
        <v>404</v>
      </c>
      <c r="D146">
        <v>1</v>
      </c>
      <c r="E146">
        <v>27.56</v>
      </c>
      <c r="F146" t="s">
        <v>281</v>
      </c>
      <c r="G146">
        <v>27.56</v>
      </c>
      <c r="H146">
        <v>33.08</v>
      </c>
      <c r="I146" t="s">
        <v>305</v>
      </c>
      <c r="J146" t="s">
        <v>405</v>
      </c>
      <c r="K146" t="s">
        <v>505</v>
      </c>
      <c r="L146" t="s">
        <v>199</v>
      </c>
      <c r="M146" t="s">
        <v>253</v>
      </c>
      <c r="N146" t="s">
        <v>12</v>
      </c>
      <c r="O146" t="s">
        <v>13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253</v>
      </c>
      <c r="AH146" t="s">
        <v>12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33.08</v>
      </c>
      <c r="AV146">
        <f>$H$146*$AB$146</f>
        <v>33.08</v>
      </c>
      <c r="AW146">
        <f>$H$146*$AC$146</f>
        <v>33.08</v>
      </c>
      <c r="AX146">
        <f>$H$146*$AD$146</f>
        <v>33.08</v>
      </c>
      <c r="AY146">
        <f>$H$146*$AE$146</f>
        <v>33.08</v>
      </c>
      <c r="AZ146">
        <f>$H$146*$AF$146</f>
        <v>33.08</v>
      </c>
    </row>
    <row r="147" spans="1:52" x14ac:dyDescent="0.25">
      <c r="A147">
        <v>177</v>
      </c>
      <c r="B147" t="s">
        <v>253</v>
      </c>
      <c r="C147" t="s">
        <v>406</v>
      </c>
      <c r="D147">
        <v>1</v>
      </c>
      <c r="E147">
        <v>24.93</v>
      </c>
      <c r="F147" t="s">
        <v>281</v>
      </c>
      <c r="G147">
        <v>24.93</v>
      </c>
      <c r="H147">
        <v>29.91</v>
      </c>
      <c r="I147" t="s">
        <v>305</v>
      </c>
      <c r="J147" t="s">
        <v>407</v>
      </c>
      <c r="K147" t="s">
        <v>506</v>
      </c>
      <c r="L147" t="s">
        <v>199</v>
      </c>
      <c r="M147" t="s">
        <v>253</v>
      </c>
      <c r="N147" t="s">
        <v>12</v>
      </c>
      <c r="O147" t="s">
        <v>13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253</v>
      </c>
      <c r="AH147" t="s">
        <v>12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29.91</v>
      </c>
      <c r="AT147">
        <f>$H$147*$Z$147</f>
        <v>29.91</v>
      </c>
      <c r="AU147">
        <f>$H$147*$AA$147</f>
        <v>29.91</v>
      </c>
      <c r="AV147">
        <f>$H$147*$AB$147</f>
        <v>29.91</v>
      </c>
      <c r="AW147">
        <f>$H$147*$AC$147</f>
        <v>29.91</v>
      </c>
      <c r="AX147">
        <f>$H$147*$AD$147</f>
        <v>29.91</v>
      </c>
      <c r="AY147">
        <f>$H$147*$AE$147</f>
        <v>29.91</v>
      </c>
      <c r="AZ147">
        <f>$H$147*$AF$147</f>
        <v>29.91</v>
      </c>
    </row>
    <row r="148" spans="1:52" x14ac:dyDescent="0.25">
      <c r="A148">
        <v>178</v>
      </c>
      <c r="B148" t="s">
        <v>253</v>
      </c>
      <c r="C148" t="s">
        <v>408</v>
      </c>
      <c r="D148">
        <v>1</v>
      </c>
      <c r="E148">
        <v>25.92</v>
      </c>
      <c r="F148" t="s">
        <v>281</v>
      </c>
      <c r="G148">
        <v>25.92</v>
      </c>
      <c r="H148">
        <v>31.1</v>
      </c>
      <c r="I148" t="s">
        <v>305</v>
      </c>
      <c r="J148" t="s">
        <v>409</v>
      </c>
      <c r="K148" t="s">
        <v>507</v>
      </c>
      <c r="L148" t="s">
        <v>199</v>
      </c>
      <c r="M148" t="s">
        <v>253</v>
      </c>
      <c r="N148" t="s">
        <v>12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253</v>
      </c>
      <c r="AH148" t="s">
        <v>12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31.1</v>
      </c>
      <c r="AV148">
        <f>$H$148*$AB$148</f>
        <v>31.1</v>
      </c>
      <c r="AW148">
        <f>$H$148*$AC$148</f>
        <v>31.1</v>
      </c>
      <c r="AX148">
        <f>$H$148*$AD$148</f>
        <v>31.1</v>
      </c>
      <c r="AY148">
        <f>$H$148*$AE$148</f>
        <v>31.1</v>
      </c>
      <c r="AZ148">
        <f>$H$148*$AF$148</f>
        <v>31.1</v>
      </c>
    </row>
    <row r="149" spans="1:52" x14ac:dyDescent="0.25">
      <c r="A149">
        <v>179</v>
      </c>
      <c r="B149" t="s">
        <v>253</v>
      </c>
      <c r="C149" t="s">
        <v>295</v>
      </c>
      <c r="D149">
        <v>10</v>
      </c>
      <c r="E149">
        <v>44.4</v>
      </c>
      <c r="F149" t="s">
        <v>276</v>
      </c>
      <c r="G149">
        <v>4.4400000000000004</v>
      </c>
      <c r="H149">
        <v>53.28</v>
      </c>
      <c r="I149" t="s">
        <v>277</v>
      </c>
      <c r="J149" t="s">
        <v>296</v>
      </c>
      <c r="K149" t="s">
        <v>452</v>
      </c>
      <c r="L149" t="s">
        <v>199</v>
      </c>
      <c r="M149" t="s">
        <v>253</v>
      </c>
      <c r="N149" t="s">
        <v>12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253</v>
      </c>
      <c r="AH149" t="s">
        <v>12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53.28</v>
      </c>
      <c r="AV149">
        <f>$H$149*$AB$149</f>
        <v>53.28</v>
      </c>
      <c r="AW149">
        <f>$H$149*$AC$149</f>
        <v>53.28</v>
      </c>
      <c r="AX149">
        <f>$H$149*$AD$149</f>
        <v>53.28</v>
      </c>
      <c r="AY149">
        <f>$H$149*$AE$149</f>
        <v>53.28</v>
      </c>
      <c r="AZ149">
        <f>$H$149*$AF$149</f>
        <v>53.28</v>
      </c>
    </row>
    <row r="150" spans="1:52" x14ac:dyDescent="0.25">
      <c r="A150">
        <v>180</v>
      </c>
      <c r="B150" t="s">
        <v>253</v>
      </c>
      <c r="C150" t="s">
        <v>297</v>
      </c>
      <c r="D150">
        <v>10</v>
      </c>
      <c r="E150">
        <v>115.5</v>
      </c>
      <c r="F150" t="s">
        <v>276</v>
      </c>
      <c r="G150">
        <v>11.55</v>
      </c>
      <c r="H150">
        <v>138.6</v>
      </c>
      <c r="I150" t="s">
        <v>280</v>
      </c>
      <c r="J150" t="s">
        <v>298</v>
      </c>
      <c r="K150" t="s">
        <v>453</v>
      </c>
      <c r="L150" t="s">
        <v>199</v>
      </c>
      <c r="M150" t="s">
        <v>253</v>
      </c>
      <c r="N150" t="s">
        <v>12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253</v>
      </c>
      <c r="AH150" t="s">
        <v>12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138.6</v>
      </c>
      <c r="AV150">
        <f>$H$150*$AB$150</f>
        <v>138.6</v>
      </c>
      <c r="AW150">
        <f>$H$150*$AC$150</f>
        <v>138.6</v>
      </c>
      <c r="AX150">
        <f>$H$150*$AD$150</f>
        <v>138.6</v>
      </c>
      <c r="AY150">
        <f>$H$150*$AE$150</f>
        <v>138.6</v>
      </c>
      <c r="AZ150">
        <f>$H$150*$AF$150</f>
        <v>138.6</v>
      </c>
    </row>
    <row r="151" spans="1:52" x14ac:dyDescent="0.25">
      <c r="A151">
        <v>181</v>
      </c>
      <c r="B151" t="s">
        <v>253</v>
      </c>
      <c r="C151" t="s">
        <v>344</v>
      </c>
      <c r="D151">
        <v>2</v>
      </c>
      <c r="E151">
        <v>26.54</v>
      </c>
      <c r="F151" t="s">
        <v>281</v>
      </c>
      <c r="G151">
        <v>13.27</v>
      </c>
      <c r="H151">
        <v>31.84</v>
      </c>
      <c r="I151" t="s">
        <v>283</v>
      </c>
      <c r="J151" t="s">
        <v>345</v>
      </c>
      <c r="K151" t="s">
        <v>476</v>
      </c>
      <c r="L151" t="s">
        <v>199</v>
      </c>
      <c r="M151" t="s">
        <v>253</v>
      </c>
      <c r="N151" t="s">
        <v>12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253</v>
      </c>
      <c r="AH151" t="s">
        <v>12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31.84</v>
      </c>
      <c r="AS151">
        <f>$H$151*$Y$151</f>
        <v>31.84</v>
      </c>
      <c r="AT151">
        <f>$H$151*$Z$151</f>
        <v>31.84</v>
      </c>
      <c r="AU151">
        <f>$H$151*$AA$151</f>
        <v>31.84</v>
      </c>
      <c r="AV151">
        <f>$H$151*$AB$151</f>
        <v>31.84</v>
      </c>
      <c r="AW151">
        <f>$H$151*$AC$151</f>
        <v>31.84</v>
      </c>
      <c r="AX151">
        <f>$H$151*$AD$151</f>
        <v>31.84</v>
      </c>
      <c r="AY151">
        <f>$H$151*$AE$151</f>
        <v>31.84</v>
      </c>
      <c r="AZ151">
        <f>$H$151*$AF$151</f>
        <v>31.84</v>
      </c>
    </row>
    <row r="152" spans="1:52" x14ac:dyDescent="0.25">
      <c r="A152">
        <v>182</v>
      </c>
      <c r="B152" t="s">
        <v>253</v>
      </c>
      <c r="C152" t="s">
        <v>410</v>
      </c>
      <c r="D152">
        <v>6</v>
      </c>
      <c r="E152">
        <v>112.38</v>
      </c>
      <c r="F152" t="s">
        <v>291</v>
      </c>
      <c r="G152">
        <v>18.73</v>
      </c>
      <c r="H152">
        <v>134.86000000000001</v>
      </c>
      <c r="I152" t="s">
        <v>411</v>
      </c>
      <c r="J152" t="s">
        <v>309</v>
      </c>
      <c r="K152" t="s">
        <v>508</v>
      </c>
      <c r="L152" t="s">
        <v>199</v>
      </c>
      <c r="M152" t="s">
        <v>253</v>
      </c>
      <c r="N152" t="s">
        <v>12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253</v>
      </c>
      <c r="AH152" t="s">
        <v>12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134.86000000000001</v>
      </c>
      <c r="AV152">
        <f>$H$152*$AB$152</f>
        <v>134.86000000000001</v>
      </c>
      <c r="AW152">
        <f>$H$152*$AC$152</f>
        <v>134.86000000000001</v>
      </c>
      <c r="AX152">
        <f>$H$152*$AD$152</f>
        <v>134.86000000000001</v>
      </c>
      <c r="AY152">
        <f>$H$152*$AE$152</f>
        <v>134.86000000000001</v>
      </c>
      <c r="AZ152">
        <f>$H$152*$AF$152</f>
        <v>134.86000000000001</v>
      </c>
    </row>
    <row r="153" spans="1:52" x14ac:dyDescent="0.25">
      <c r="A153">
        <v>183</v>
      </c>
      <c r="B153" t="s">
        <v>253</v>
      </c>
      <c r="C153" t="s">
        <v>373</v>
      </c>
      <c r="D153">
        <v>0.75</v>
      </c>
      <c r="E153">
        <v>412.99</v>
      </c>
      <c r="F153" t="s">
        <v>281</v>
      </c>
      <c r="G153">
        <v>550.65</v>
      </c>
      <c r="H153">
        <v>495.59</v>
      </c>
      <c r="I153" t="s">
        <v>292</v>
      </c>
      <c r="J153" t="s">
        <v>374</v>
      </c>
      <c r="K153" t="s">
        <v>490</v>
      </c>
      <c r="L153" t="s">
        <v>199</v>
      </c>
      <c r="M153" t="s">
        <v>253</v>
      </c>
      <c r="N153" t="s">
        <v>12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253</v>
      </c>
      <c r="AH153" t="s">
        <v>12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495.59</v>
      </c>
      <c r="AV153">
        <f>$H$153*$AB$153</f>
        <v>495.59</v>
      </c>
      <c r="AW153">
        <f>$H$153*$AC$153</f>
        <v>495.59</v>
      </c>
      <c r="AX153">
        <f>$H$153*$AD$153</f>
        <v>495.59</v>
      </c>
      <c r="AY153">
        <f>$H$153*$AE$153</f>
        <v>495.59</v>
      </c>
      <c r="AZ153">
        <f>$H$153*$AF$153</f>
        <v>495.59</v>
      </c>
    </row>
    <row r="154" spans="1:52" x14ac:dyDescent="0.25">
      <c r="A154">
        <v>184</v>
      </c>
      <c r="B154" t="s">
        <v>253</v>
      </c>
      <c r="C154" t="s">
        <v>373</v>
      </c>
      <c r="D154">
        <v>0.75</v>
      </c>
      <c r="E154">
        <v>412.99</v>
      </c>
      <c r="F154" t="s">
        <v>281</v>
      </c>
      <c r="G154">
        <v>550.65</v>
      </c>
      <c r="H154">
        <v>495.59</v>
      </c>
      <c r="I154" t="s">
        <v>292</v>
      </c>
      <c r="J154" t="s">
        <v>374</v>
      </c>
      <c r="K154" t="s">
        <v>490</v>
      </c>
      <c r="L154" t="s">
        <v>199</v>
      </c>
      <c r="M154" t="s">
        <v>253</v>
      </c>
      <c r="N154" t="s">
        <v>12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253</v>
      </c>
      <c r="AH154" t="s">
        <v>12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495.59</v>
      </c>
      <c r="AV154">
        <f>$H$154*$AB$154</f>
        <v>495.59</v>
      </c>
      <c r="AW154">
        <f>$H$154*$AC$154</f>
        <v>495.59</v>
      </c>
      <c r="AX154">
        <f>$H$154*$AD$154</f>
        <v>495.59</v>
      </c>
      <c r="AY154">
        <f>$H$154*$AE$154</f>
        <v>495.59</v>
      </c>
      <c r="AZ154">
        <f>$H$154*$AF$154</f>
        <v>495.59</v>
      </c>
    </row>
    <row r="155" spans="1:52" x14ac:dyDescent="0.25">
      <c r="A155">
        <v>185</v>
      </c>
      <c r="B155" t="s">
        <v>253</v>
      </c>
      <c r="C155" t="s">
        <v>373</v>
      </c>
      <c r="D155">
        <v>0.25</v>
      </c>
      <c r="E155">
        <v>137.66</v>
      </c>
      <c r="F155" t="s">
        <v>281</v>
      </c>
      <c r="G155">
        <v>550.65</v>
      </c>
      <c r="H155">
        <v>165.2</v>
      </c>
      <c r="I155" t="s">
        <v>292</v>
      </c>
      <c r="J155" t="s">
        <v>374</v>
      </c>
      <c r="K155" t="s">
        <v>490</v>
      </c>
      <c r="L155" t="s">
        <v>199</v>
      </c>
      <c r="M155" t="s">
        <v>253</v>
      </c>
      <c r="N155" t="s">
        <v>12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253</v>
      </c>
      <c r="AH155" t="s">
        <v>12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165.2</v>
      </c>
      <c r="AV155">
        <f>$H$155*$AB$155</f>
        <v>165.2</v>
      </c>
      <c r="AW155">
        <f>$H$155*$AC$155</f>
        <v>165.2</v>
      </c>
      <c r="AX155">
        <f>$H$155*$AD$155</f>
        <v>165.2</v>
      </c>
      <c r="AY155">
        <f>$H$155*$AE$155</f>
        <v>165.2</v>
      </c>
      <c r="AZ155">
        <f>$H$155*$AF$155</f>
        <v>165.2</v>
      </c>
    </row>
    <row r="156" spans="1:52" x14ac:dyDescent="0.25">
      <c r="A156">
        <v>186</v>
      </c>
      <c r="B156" t="s">
        <v>253</v>
      </c>
      <c r="C156" t="s">
        <v>373</v>
      </c>
      <c r="D156">
        <v>0.25</v>
      </c>
      <c r="E156">
        <v>137.66</v>
      </c>
      <c r="F156" t="s">
        <v>281</v>
      </c>
      <c r="G156">
        <v>550.65</v>
      </c>
      <c r="H156">
        <v>165.2</v>
      </c>
      <c r="I156" t="s">
        <v>292</v>
      </c>
      <c r="J156" t="s">
        <v>374</v>
      </c>
      <c r="K156" t="s">
        <v>490</v>
      </c>
      <c r="L156" t="s">
        <v>199</v>
      </c>
      <c r="M156" t="s">
        <v>253</v>
      </c>
      <c r="N156" t="s">
        <v>12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253</v>
      </c>
      <c r="AH156" t="s">
        <v>12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0</v>
      </c>
      <c r="AS156">
        <f>$H$156*$Y$156</f>
        <v>0</v>
      </c>
      <c r="AT156">
        <f>$H$156*$Z$156</f>
        <v>0</v>
      </c>
      <c r="AU156">
        <f>$H$156*$AA$156</f>
        <v>165.2</v>
      </c>
      <c r="AV156">
        <f>$H$156*$AB$156</f>
        <v>165.2</v>
      </c>
      <c r="AW156">
        <f>$H$156*$AC$156</f>
        <v>165.2</v>
      </c>
      <c r="AX156">
        <f>$H$156*$AD$156</f>
        <v>165.2</v>
      </c>
      <c r="AY156">
        <f>$H$156*$AE$156</f>
        <v>165.2</v>
      </c>
      <c r="AZ156">
        <f>$H$156*$AF$156</f>
        <v>165.2</v>
      </c>
    </row>
    <row r="157" spans="1:52" x14ac:dyDescent="0.25">
      <c r="A157">
        <v>187</v>
      </c>
      <c r="B157" t="s">
        <v>253</v>
      </c>
      <c r="C157" t="s">
        <v>412</v>
      </c>
      <c r="D157">
        <v>1</v>
      </c>
      <c r="E157">
        <v>39.43</v>
      </c>
      <c r="F157" t="s">
        <v>281</v>
      </c>
      <c r="G157">
        <v>39.43</v>
      </c>
      <c r="H157">
        <v>47.31</v>
      </c>
      <c r="I157" t="s">
        <v>292</v>
      </c>
      <c r="J157" t="s">
        <v>413</v>
      </c>
      <c r="K157" t="s">
        <v>509</v>
      </c>
      <c r="L157" t="s">
        <v>199</v>
      </c>
      <c r="M157" t="s">
        <v>253</v>
      </c>
      <c r="N157" t="s">
        <v>12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253</v>
      </c>
      <c r="AH157" t="s">
        <v>12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47.31</v>
      </c>
      <c r="AT157">
        <f>$H$157*$Z$157</f>
        <v>47.31</v>
      </c>
      <c r="AU157">
        <f>$H$157*$AA$157</f>
        <v>47.31</v>
      </c>
      <c r="AV157">
        <f>$H$157*$AB$157</f>
        <v>47.31</v>
      </c>
      <c r="AW157">
        <f>$H$157*$AC$157</f>
        <v>47.31</v>
      </c>
      <c r="AX157">
        <f>$H$157*$AD$157</f>
        <v>47.31</v>
      </c>
      <c r="AY157">
        <f>$H$157*$AE$157</f>
        <v>47.31</v>
      </c>
      <c r="AZ157">
        <f>$H$157*$AF$157</f>
        <v>47.31</v>
      </c>
    </row>
    <row r="158" spans="1:52" x14ac:dyDescent="0.25">
      <c r="A158">
        <v>188</v>
      </c>
      <c r="B158" t="s">
        <v>253</v>
      </c>
      <c r="C158" t="s">
        <v>414</v>
      </c>
      <c r="D158">
        <v>1</v>
      </c>
      <c r="E158">
        <v>419.17</v>
      </c>
      <c r="F158" t="s">
        <v>281</v>
      </c>
      <c r="G158">
        <v>419.17</v>
      </c>
      <c r="H158">
        <v>503.01</v>
      </c>
      <c r="I158" t="s">
        <v>292</v>
      </c>
      <c r="J158" t="s">
        <v>415</v>
      </c>
      <c r="K158" t="s">
        <v>510</v>
      </c>
      <c r="L158" t="s">
        <v>199</v>
      </c>
      <c r="M158" t="s">
        <v>253</v>
      </c>
      <c r="N158" t="s">
        <v>12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253</v>
      </c>
      <c r="AH158" t="s">
        <v>12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503.01</v>
      </c>
      <c r="AT158">
        <f>$H$158*$Z$158</f>
        <v>503.01</v>
      </c>
      <c r="AU158">
        <f>$H$158*$AA$158</f>
        <v>503.01</v>
      </c>
      <c r="AV158">
        <f>$H$158*$AB$158</f>
        <v>503.01</v>
      </c>
      <c r="AW158">
        <f>$H$158*$AC$158</f>
        <v>503.01</v>
      </c>
      <c r="AX158">
        <f>$H$158*$AD$158</f>
        <v>503.01</v>
      </c>
      <c r="AY158">
        <f>$H$158*$AE$158</f>
        <v>503.01</v>
      </c>
      <c r="AZ158">
        <f>$H$158*$AF$158</f>
        <v>503.01</v>
      </c>
    </row>
    <row r="159" spans="1:52" x14ac:dyDescent="0.25">
      <c r="A159">
        <v>189</v>
      </c>
      <c r="B159" t="s">
        <v>253</v>
      </c>
      <c r="C159" t="s">
        <v>416</v>
      </c>
      <c r="D159">
        <v>1</v>
      </c>
      <c r="E159">
        <v>773</v>
      </c>
      <c r="F159" t="s">
        <v>281</v>
      </c>
      <c r="G159">
        <v>773</v>
      </c>
      <c r="H159">
        <v>927.6</v>
      </c>
      <c r="I159" t="s">
        <v>292</v>
      </c>
      <c r="J159" t="s">
        <v>417</v>
      </c>
      <c r="K159" t="s">
        <v>511</v>
      </c>
      <c r="L159" t="s">
        <v>199</v>
      </c>
      <c r="M159" t="s">
        <v>253</v>
      </c>
      <c r="N159" t="s">
        <v>12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253</v>
      </c>
      <c r="AH159" t="s">
        <v>12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927.6</v>
      </c>
      <c r="AT159">
        <f>$H$159*$Z$159</f>
        <v>927.6</v>
      </c>
      <c r="AU159">
        <f>$H$159*$AA$159</f>
        <v>927.6</v>
      </c>
      <c r="AV159">
        <f>$H$159*$AB$159</f>
        <v>927.6</v>
      </c>
      <c r="AW159">
        <f>$H$159*$AC$159</f>
        <v>927.6</v>
      </c>
      <c r="AX159">
        <f>$H$159*$AD$159</f>
        <v>927.6</v>
      </c>
      <c r="AY159">
        <f>$H$159*$AE$159</f>
        <v>927.6</v>
      </c>
      <c r="AZ159">
        <f>$H$159*$AF$159</f>
        <v>927.6</v>
      </c>
    </row>
    <row r="160" spans="1:52" x14ac:dyDescent="0.25">
      <c r="A160">
        <v>190</v>
      </c>
      <c r="B160" t="s">
        <v>253</v>
      </c>
      <c r="C160" t="s">
        <v>418</v>
      </c>
      <c r="D160">
        <v>1</v>
      </c>
      <c r="E160">
        <v>34.520000000000003</v>
      </c>
      <c r="F160" t="s">
        <v>281</v>
      </c>
      <c r="G160">
        <v>34.520000000000003</v>
      </c>
      <c r="H160">
        <v>41.42</v>
      </c>
      <c r="I160" t="s">
        <v>305</v>
      </c>
      <c r="J160" t="s">
        <v>419</v>
      </c>
      <c r="K160" t="s">
        <v>512</v>
      </c>
      <c r="L160" t="s">
        <v>199</v>
      </c>
      <c r="M160" t="s">
        <v>253</v>
      </c>
      <c r="N160" t="s">
        <v>12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253</v>
      </c>
      <c r="AH160" t="s">
        <v>12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41.42</v>
      </c>
      <c r="AV160">
        <f>$H$160*$AB$160</f>
        <v>41.42</v>
      </c>
      <c r="AW160">
        <f>$H$160*$AC$160</f>
        <v>41.42</v>
      </c>
      <c r="AX160">
        <f>$H$160*$AD$160</f>
        <v>41.42</v>
      </c>
      <c r="AY160">
        <f>$H$160*$AE$160</f>
        <v>41.42</v>
      </c>
      <c r="AZ160">
        <f>$H$160*$AF$160</f>
        <v>41.42</v>
      </c>
    </row>
    <row r="161" spans="1:52" x14ac:dyDescent="0.25">
      <c r="A161">
        <v>191</v>
      </c>
      <c r="B161" t="s">
        <v>253</v>
      </c>
      <c r="C161" t="s">
        <v>420</v>
      </c>
      <c r="D161">
        <v>1</v>
      </c>
      <c r="E161">
        <v>357.65</v>
      </c>
      <c r="F161" t="s">
        <v>281</v>
      </c>
      <c r="G161">
        <v>357.65</v>
      </c>
      <c r="H161">
        <v>429.19</v>
      </c>
      <c r="I161" t="s">
        <v>292</v>
      </c>
      <c r="J161" t="s">
        <v>421</v>
      </c>
      <c r="K161" t="s">
        <v>513</v>
      </c>
      <c r="L161" t="s">
        <v>199</v>
      </c>
      <c r="M161" t="s">
        <v>253</v>
      </c>
      <c r="N161" t="s">
        <v>12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253</v>
      </c>
      <c r="AH161" t="s">
        <v>12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429.19</v>
      </c>
      <c r="AU161">
        <f>$H$161*$AA$161</f>
        <v>429.19</v>
      </c>
      <c r="AV161">
        <f>$H$161*$AB$161</f>
        <v>429.19</v>
      </c>
      <c r="AW161">
        <f>$H$161*$AC$161</f>
        <v>429.19</v>
      </c>
      <c r="AX161">
        <f>$H$161*$AD$161</f>
        <v>429.19</v>
      </c>
      <c r="AY161">
        <f>$H$161*$AE$161</f>
        <v>429.19</v>
      </c>
      <c r="AZ161">
        <f>$H$161*$AF$161</f>
        <v>429.19</v>
      </c>
    </row>
    <row r="162" spans="1:52" x14ac:dyDescent="0.25">
      <c r="A162">
        <v>192</v>
      </c>
      <c r="B162" t="s">
        <v>253</v>
      </c>
      <c r="C162" t="s">
        <v>422</v>
      </c>
      <c r="D162">
        <v>1</v>
      </c>
      <c r="E162">
        <v>259.22000000000003</v>
      </c>
      <c r="F162" t="s">
        <v>281</v>
      </c>
      <c r="G162">
        <v>259.22000000000003</v>
      </c>
      <c r="H162">
        <v>311.06</v>
      </c>
      <c r="I162" t="s">
        <v>292</v>
      </c>
      <c r="J162" t="s">
        <v>423</v>
      </c>
      <c r="K162" t="s">
        <v>514</v>
      </c>
      <c r="L162" t="s">
        <v>199</v>
      </c>
      <c r="M162" t="s">
        <v>253</v>
      </c>
      <c r="N162" t="s">
        <v>12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253</v>
      </c>
      <c r="AH162" t="s">
        <v>12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311.06</v>
      </c>
      <c r="AV162">
        <f>$H$162*$AB$162</f>
        <v>311.06</v>
      </c>
      <c r="AW162">
        <f>$H$162*$AC$162</f>
        <v>311.06</v>
      </c>
      <c r="AX162">
        <f>$H$162*$AD$162</f>
        <v>311.06</v>
      </c>
      <c r="AY162">
        <f>$H$162*$AE$162</f>
        <v>311.06</v>
      </c>
      <c r="AZ162">
        <f>$H$162*$AF$162</f>
        <v>311.06</v>
      </c>
    </row>
    <row r="163" spans="1:52" x14ac:dyDescent="0.25">
      <c r="A163">
        <v>193</v>
      </c>
      <c r="B163" t="s">
        <v>253</v>
      </c>
      <c r="C163" t="s">
        <v>424</v>
      </c>
      <c r="D163">
        <v>10</v>
      </c>
      <c r="E163">
        <v>65.7</v>
      </c>
      <c r="F163" t="s">
        <v>276</v>
      </c>
      <c r="G163">
        <v>6.57</v>
      </c>
      <c r="H163">
        <v>78.84</v>
      </c>
      <c r="I163" t="s">
        <v>289</v>
      </c>
      <c r="J163" t="s">
        <v>425</v>
      </c>
      <c r="K163" t="s">
        <v>515</v>
      </c>
      <c r="L163" t="s">
        <v>199</v>
      </c>
      <c r="M163" t="s">
        <v>253</v>
      </c>
      <c r="N163" t="s">
        <v>12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1</v>
      </c>
      <c r="AE163">
        <v>1</v>
      </c>
      <c r="AF163">
        <v>1</v>
      </c>
      <c r="AG163" t="s">
        <v>253</v>
      </c>
      <c r="AH163" t="s">
        <v>12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0</v>
      </c>
      <c r="AW163">
        <f>$H$163*$AC$163</f>
        <v>0</v>
      </c>
      <c r="AX163">
        <f>$H$163*$AD$163</f>
        <v>78.84</v>
      </c>
      <c r="AY163">
        <f>$H$163*$AE$163</f>
        <v>78.84</v>
      </c>
      <c r="AZ163">
        <f>$H$163*$AF$163</f>
        <v>78.84</v>
      </c>
    </row>
    <row r="164" spans="1:52" x14ac:dyDescent="0.25">
      <c r="A164">
        <v>194</v>
      </c>
      <c r="B164" t="s">
        <v>253</v>
      </c>
      <c r="C164" t="s">
        <v>426</v>
      </c>
      <c r="D164">
        <v>1</v>
      </c>
      <c r="E164">
        <v>89.58</v>
      </c>
      <c r="F164" t="s">
        <v>281</v>
      </c>
      <c r="G164">
        <v>89.58</v>
      </c>
      <c r="H164">
        <v>107.5</v>
      </c>
      <c r="I164" t="s">
        <v>289</v>
      </c>
      <c r="J164" t="s">
        <v>427</v>
      </c>
      <c r="K164" t="s">
        <v>516</v>
      </c>
      <c r="L164" t="s">
        <v>199</v>
      </c>
      <c r="M164" t="s">
        <v>253</v>
      </c>
      <c r="N164" t="s">
        <v>12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1</v>
      </c>
      <c r="AE164">
        <v>1</v>
      </c>
      <c r="AF164">
        <v>1</v>
      </c>
      <c r="AG164" t="s">
        <v>253</v>
      </c>
      <c r="AH164" t="s">
        <v>12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0</v>
      </c>
      <c r="AV164">
        <f>$H$164*$AB$164</f>
        <v>0</v>
      </c>
      <c r="AW164">
        <f>$H$164*$AC$164</f>
        <v>0</v>
      </c>
      <c r="AX164">
        <f>$H$164*$AD$164</f>
        <v>107.5</v>
      </c>
      <c r="AY164">
        <f>$H$164*$AE$164</f>
        <v>107.5</v>
      </c>
      <c r="AZ164">
        <f>$H$164*$AF$164</f>
        <v>107.5</v>
      </c>
    </row>
    <row r="165" spans="1:52" x14ac:dyDescent="0.25">
      <c r="A165">
        <v>195</v>
      </c>
      <c r="B165" t="s">
        <v>253</v>
      </c>
      <c r="C165" t="s">
        <v>428</v>
      </c>
      <c r="D165">
        <v>1</v>
      </c>
      <c r="E165">
        <v>89.45</v>
      </c>
      <c r="F165" t="s">
        <v>281</v>
      </c>
      <c r="G165">
        <v>89.45</v>
      </c>
      <c r="H165">
        <v>107.35</v>
      </c>
      <c r="I165" t="s">
        <v>286</v>
      </c>
      <c r="J165" t="s">
        <v>429</v>
      </c>
      <c r="K165" t="s">
        <v>517</v>
      </c>
      <c r="L165" t="s">
        <v>199</v>
      </c>
      <c r="M165" t="s">
        <v>253</v>
      </c>
      <c r="N165" t="s">
        <v>12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1</v>
      </c>
      <c r="AE165">
        <v>1</v>
      </c>
      <c r="AF165">
        <v>1</v>
      </c>
      <c r="AG165" t="s">
        <v>253</v>
      </c>
      <c r="AH165" t="s">
        <v>12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0</v>
      </c>
      <c r="AV165">
        <f>$H$165*$AB$165</f>
        <v>0</v>
      </c>
      <c r="AW165">
        <f>$H$165*$AC$165</f>
        <v>0</v>
      </c>
      <c r="AX165">
        <f>$H$165*$AD$165</f>
        <v>107.35</v>
      </c>
      <c r="AY165">
        <f>$H$165*$AE$165</f>
        <v>107.35</v>
      </c>
      <c r="AZ165">
        <f>$H$165*$AF$165</f>
        <v>107.35</v>
      </c>
    </row>
    <row r="166" spans="1:52" x14ac:dyDescent="0.25">
      <c r="A166">
        <v>196</v>
      </c>
      <c r="B166" t="s">
        <v>253</v>
      </c>
      <c r="C166" t="s">
        <v>304</v>
      </c>
      <c r="D166">
        <v>1</v>
      </c>
      <c r="E166">
        <v>40.14</v>
      </c>
      <c r="F166" t="s">
        <v>281</v>
      </c>
      <c r="G166">
        <v>40.14</v>
      </c>
      <c r="H166">
        <v>48.16</v>
      </c>
      <c r="I166" t="s">
        <v>305</v>
      </c>
      <c r="J166" t="s">
        <v>306</v>
      </c>
      <c r="K166" t="s">
        <v>456</v>
      </c>
      <c r="L166" t="s">
        <v>199</v>
      </c>
      <c r="M166" t="s">
        <v>253</v>
      </c>
      <c r="N166" t="s">
        <v>12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253</v>
      </c>
      <c r="AH166" t="s">
        <v>12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48.16</v>
      </c>
      <c r="AU166">
        <f>$H$166*$AA$166</f>
        <v>48.16</v>
      </c>
      <c r="AV166">
        <f>$H$166*$AB$166</f>
        <v>48.16</v>
      </c>
      <c r="AW166">
        <f>$H$166*$AC$166</f>
        <v>48.16</v>
      </c>
      <c r="AX166">
        <f>$H$166*$AD$166</f>
        <v>48.16</v>
      </c>
      <c r="AY166">
        <f>$H$166*$AE$166</f>
        <v>48.16</v>
      </c>
      <c r="AZ166">
        <f>$H$166*$AF$166</f>
        <v>48.16</v>
      </c>
    </row>
    <row r="167" spans="1:52" x14ac:dyDescent="0.25">
      <c r="A167">
        <v>197</v>
      </c>
      <c r="B167" t="s">
        <v>253</v>
      </c>
      <c r="C167" t="s">
        <v>312</v>
      </c>
      <c r="D167">
        <v>2</v>
      </c>
      <c r="E167">
        <v>77.86</v>
      </c>
      <c r="F167" t="s">
        <v>281</v>
      </c>
      <c r="G167">
        <v>38.93</v>
      </c>
      <c r="H167">
        <v>93.44</v>
      </c>
      <c r="I167" t="s">
        <v>277</v>
      </c>
      <c r="J167" t="s">
        <v>308</v>
      </c>
      <c r="K167" t="s">
        <v>459</v>
      </c>
      <c r="L167" t="s">
        <v>199</v>
      </c>
      <c r="M167" t="s">
        <v>253</v>
      </c>
      <c r="N167" t="s">
        <v>12</v>
      </c>
      <c r="O167" t="s">
        <v>13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253</v>
      </c>
      <c r="AH167" t="s">
        <v>12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93.44</v>
      </c>
      <c r="AN167">
        <f>$H$167*$T$167</f>
        <v>93.44</v>
      </c>
      <c r="AO167">
        <f>$H$167*$U$167</f>
        <v>93.44</v>
      </c>
      <c r="AP167">
        <f>$H$167*$V$167</f>
        <v>93.44</v>
      </c>
      <c r="AQ167">
        <f>$H$167*$W$167</f>
        <v>93.44</v>
      </c>
      <c r="AR167">
        <f>$H$167*$X$167</f>
        <v>93.44</v>
      </c>
      <c r="AS167">
        <f>$H$167*$Y$167</f>
        <v>93.44</v>
      </c>
      <c r="AT167">
        <f>$H$167*$Z$167</f>
        <v>93.44</v>
      </c>
      <c r="AU167">
        <f>$H$167*$AA$167</f>
        <v>93.44</v>
      </c>
      <c r="AV167">
        <f>$H$167*$AB$167</f>
        <v>93.44</v>
      </c>
      <c r="AW167">
        <f>$H$167*$AC$167</f>
        <v>93.44</v>
      </c>
      <c r="AX167">
        <f>$H$167*$AD$167</f>
        <v>93.44</v>
      </c>
      <c r="AY167">
        <f>$H$167*$AE$167</f>
        <v>93.44</v>
      </c>
      <c r="AZ167">
        <f>$H$167*$AF$167</f>
        <v>93.44</v>
      </c>
    </row>
    <row r="168" spans="1:52" x14ac:dyDescent="0.25">
      <c r="A168">
        <v>198</v>
      </c>
      <c r="B168" t="s">
        <v>253</v>
      </c>
      <c r="C168" t="s">
        <v>430</v>
      </c>
      <c r="D168">
        <v>1</v>
      </c>
      <c r="E168">
        <v>292.48</v>
      </c>
      <c r="F168" t="s">
        <v>281</v>
      </c>
      <c r="G168">
        <v>292.48</v>
      </c>
      <c r="H168">
        <v>350.98</v>
      </c>
      <c r="I168" t="s">
        <v>308</v>
      </c>
      <c r="J168" t="s">
        <v>347</v>
      </c>
      <c r="K168" t="s">
        <v>518</v>
      </c>
      <c r="L168" t="s">
        <v>199</v>
      </c>
      <c r="M168" t="s">
        <v>253</v>
      </c>
      <c r="N168" t="s">
        <v>12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253</v>
      </c>
      <c r="AH168" t="s">
        <v>12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350.98</v>
      </c>
      <c r="AO168">
        <f>$H$168*$U$168</f>
        <v>350.98</v>
      </c>
      <c r="AP168">
        <f>$H$168*$V$168</f>
        <v>350.98</v>
      </c>
      <c r="AQ168">
        <f>$H$168*$W$168</f>
        <v>350.98</v>
      </c>
      <c r="AR168">
        <f>$H$168*$X$168</f>
        <v>350.98</v>
      </c>
      <c r="AS168">
        <f>$H$168*$Y$168</f>
        <v>350.98</v>
      </c>
      <c r="AT168">
        <f>$H$168*$Z$168</f>
        <v>350.98</v>
      </c>
      <c r="AU168">
        <f>$H$168*$AA$168</f>
        <v>350.98</v>
      </c>
      <c r="AV168">
        <f>$H$168*$AB$168</f>
        <v>350.98</v>
      </c>
      <c r="AW168">
        <f>$H$168*$AC$168</f>
        <v>350.98</v>
      </c>
      <c r="AX168">
        <f>$H$168*$AD$168</f>
        <v>350.98</v>
      </c>
      <c r="AY168">
        <f>$H$168*$AE$168</f>
        <v>350.98</v>
      </c>
      <c r="AZ168">
        <f>$H$168*$AF$168</f>
        <v>350.98</v>
      </c>
    </row>
    <row r="169" spans="1:52" x14ac:dyDescent="0.25">
      <c r="A169">
        <v>199</v>
      </c>
      <c r="B169" t="s">
        <v>253</v>
      </c>
      <c r="C169" t="s">
        <v>371</v>
      </c>
      <c r="D169">
        <v>1</v>
      </c>
      <c r="E169">
        <v>37</v>
      </c>
      <c r="F169" t="s">
        <v>281</v>
      </c>
      <c r="G169">
        <v>37</v>
      </c>
      <c r="H169">
        <v>44.4</v>
      </c>
      <c r="I169" t="s">
        <v>283</v>
      </c>
      <c r="J169" t="s">
        <v>372</v>
      </c>
      <c r="K169" t="s">
        <v>489</v>
      </c>
      <c r="L169" t="s">
        <v>199</v>
      </c>
      <c r="M169" t="s">
        <v>253</v>
      </c>
      <c r="N169" t="s">
        <v>12</v>
      </c>
      <c r="O169" t="s">
        <v>13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0.6</v>
      </c>
      <c r="Y169">
        <v>0.6</v>
      </c>
      <c r="Z169">
        <v>0.6</v>
      </c>
      <c r="AA169">
        <v>0.6</v>
      </c>
      <c r="AB169">
        <v>0.6</v>
      </c>
      <c r="AC169">
        <v>0.6</v>
      </c>
      <c r="AD169">
        <v>1</v>
      </c>
      <c r="AE169">
        <v>1</v>
      </c>
      <c r="AF169">
        <v>1</v>
      </c>
      <c r="AG169" t="s">
        <v>253</v>
      </c>
      <c r="AH169" t="s">
        <v>12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26.639999999999997</v>
      </c>
      <c r="AS169">
        <f>$H$169*$Y$169</f>
        <v>26.639999999999997</v>
      </c>
      <c r="AT169">
        <f>$H$169*$Z$169</f>
        <v>26.639999999999997</v>
      </c>
      <c r="AU169">
        <f>$H$169*$AA$169</f>
        <v>26.639999999999997</v>
      </c>
      <c r="AV169">
        <f>$H$169*$AB$169</f>
        <v>26.639999999999997</v>
      </c>
      <c r="AW169">
        <f>$H$169*$AC$169</f>
        <v>26.639999999999997</v>
      </c>
      <c r="AX169">
        <f>$H$169*$AD$169</f>
        <v>44.4</v>
      </c>
      <c r="AY169">
        <f>$H$169*$AE$169</f>
        <v>44.4</v>
      </c>
      <c r="AZ169">
        <f>$H$169*$AF$169</f>
        <v>44.4</v>
      </c>
    </row>
    <row r="170" spans="1:52" x14ac:dyDescent="0.25">
      <c r="A170">
        <v>200</v>
      </c>
      <c r="B170" t="s">
        <v>253</v>
      </c>
      <c r="C170" t="s">
        <v>431</v>
      </c>
      <c r="D170">
        <v>3</v>
      </c>
      <c r="E170">
        <v>448.2</v>
      </c>
      <c r="F170" t="s">
        <v>276</v>
      </c>
      <c r="G170">
        <v>149.4</v>
      </c>
      <c r="H170">
        <v>537.84</v>
      </c>
      <c r="I170" t="s">
        <v>385</v>
      </c>
      <c r="J170" t="s">
        <v>432</v>
      </c>
      <c r="K170" t="s">
        <v>519</v>
      </c>
      <c r="L170" t="s">
        <v>199</v>
      </c>
      <c r="M170" t="s">
        <v>253</v>
      </c>
      <c r="N170" t="s">
        <v>12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253</v>
      </c>
      <c r="AH170" t="s">
        <v>12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537.84</v>
      </c>
      <c r="AO170">
        <f>$H$170*$U$170</f>
        <v>537.84</v>
      </c>
      <c r="AP170">
        <f>$H$170*$V$170</f>
        <v>537.84</v>
      </c>
      <c r="AQ170">
        <f>$H$170*$W$170</f>
        <v>537.84</v>
      </c>
      <c r="AR170">
        <f>$H$170*$X$170</f>
        <v>537.84</v>
      </c>
      <c r="AS170">
        <f>$H$170*$Y$170</f>
        <v>537.84</v>
      </c>
      <c r="AT170">
        <f>$H$170*$Z$170</f>
        <v>537.84</v>
      </c>
      <c r="AU170">
        <f>$H$170*$AA$170</f>
        <v>537.84</v>
      </c>
      <c r="AV170">
        <f>$H$170*$AB$170</f>
        <v>537.84</v>
      </c>
      <c r="AW170">
        <f>$H$170*$AC$170</f>
        <v>537.84</v>
      </c>
      <c r="AX170">
        <f>$H$170*$AD$170</f>
        <v>537.84</v>
      </c>
      <c r="AY170">
        <f>$H$170*$AE$170</f>
        <v>537.84</v>
      </c>
      <c r="AZ170">
        <f>$H$170*$AF$170</f>
        <v>537.84</v>
      </c>
    </row>
    <row r="171" spans="1:52" x14ac:dyDescent="0.25">
      <c r="A171">
        <v>201</v>
      </c>
      <c r="B171" t="s">
        <v>253</v>
      </c>
      <c r="C171" t="s">
        <v>433</v>
      </c>
      <c r="D171">
        <v>3</v>
      </c>
      <c r="E171">
        <v>28.92</v>
      </c>
      <c r="F171" t="s">
        <v>276</v>
      </c>
      <c r="G171">
        <v>9.64</v>
      </c>
      <c r="H171">
        <v>34.700000000000003</v>
      </c>
      <c r="I171" t="s">
        <v>385</v>
      </c>
      <c r="J171" t="s">
        <v>434</v>
      </c>
      <c r="K171" t="s">
        <v>520</v>
      </c>
      <c r="L171" t="s">
        <v>199</v>
      </c>
      <c r="M171" t="s">
        <v>253</v>
      </c>
      <c r="N171" t="s">
        <v>12</v>
      </c>
      <c r="O171" t="s">
        <v>13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253</v>
      </c>
      <c r="AH171" t="s">
        <v>12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0</v>
      </c>
      <c r="AT171">
        <f>$H$171*$Z$171</f>
        <v>34.700000000000003</v>
      </c>
      <c r="AU171">
        <f>$H$171*$AA$171</f>
        <v>34.700000000000003</v>
      </c>
      <c r="AV171">
        <f>$H$171*$AB$171</f>
        <v>34.700000000000003</v>
      </c>
      <c r="AW171">
        <f>$H$171*$AC$171</f>
        <v>34.700000000000003</v>
      </c>
      <c r="AX171">
        <f>$H$171*$AD$171</f>
        <v>34.700000000000003</v>
      </c>
      <c r="AY171">
        <f>$H$171*$AE$171</f>
        <v>34.700000000000003</v>
      </c>
      <c r="AZ171">
        <f>$H$171*$AF$171</f>
        <v>34.700000000000003</v>
      </c>
    </row>
    <row r="172" spans="1:52" x14ac:dyDescent="0.25">
      <c r="A172">
        <v>202</v>
      </c>
      <c r="B172" t="s">
        <v>253</v>
      </c>
      <c r="C172" t="s">
        <v>435</v>
      </c>
      <c r="D172">
        <v>3</v>
      </c>
      <c r="E172">
        <v>112.11</v>
      </c>
      <c r="F172" t="s">
        <v>276</v>
      </c>
      <c r="G172">
        <v>37.369999999999997</v>
      </c>
      <c r="H172">
        <v>134.53</v>
      </c>
      <c r="I172" t="s">
        <v>385</v>
      </c>
      <c r="J172" t="s">
        <v>436</v>
      </c>
      <c r="K172" t="s">
        <v>521</v>
      </c>
      <c r="L172" t="s">
        <v>199</v>
      </c>
      <c r="M172" t="s">
        <v>253</v>
      </c>
      <c r="N172" t="s">
        <v>12</v>
      </c>
      <c r="O172" t="s">
        <v>13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253</v>
      </c>
      <c r="AH172" t="s">
        <v>12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134.53</v>
      </c>
      <c r="AU172">
        <f>$H$172*$AA$172</f>
        <v>134.53</v>
      </c>
      <c r="AV172">
        <f>$H$172*$AB$172</f>
        <v>134.53</v>
      </c>
      <c r="AW172">
        <f>$H$172*$AC$172</f>
        <v>134.53</v>
      </c>
      <c r="AX172">
        <f>$H$172*$AD$172</f>
        <v>134.53</v>
      </c>
      <c r="AY172">
        <f>$H$172*$AE$172</f>
        <v>134.53</v>
      </c>
      <c r="AZ172">
        <f>$H$172*$AF$172</f>
        <v>134.53</v>
      </c>
    </row>
    <row r="173" spans="1:52" x14ac:dyDescent="0.25">
      <c r="A173">
        <v>203</v>
      </c>
      <c r="B173" t="s">
        <v>253</v>
      </c>
      <c r="C173" t="s">
        <v>437</v>
      </c>
      <c r="D173">
        <v>1</v>
      </c>
      <c r="E173">
        <v>176.94</v>
      </c>
      <c r="F173" t="s">
        <v>281</v>
      </c>
      <c r="G173">
        <v>176.94</v>
      </c>
      <c r="H173">
        <v>212.32</v>
      </c>
      <c r="I173" t="s">
        <v>292</v>
      </c>
      <c r="J173" t="s">
        <v>438</v>
      </c>
      <c r="K173" t="s">
        <v>522</v>
      </c>
      <c r="L173" t="s">
        <v>199</v>
      </c>
      <c r="M173" t="s">
        <v>253</v>
      </c>
      <c r="N173" t="s">
        <v>12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253</v>
      </c>
      <c r="AH173" t="s">
        <v>12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0</v>
      </c>
      <c r="AT173">
        <f>$H$173*$Z$173</f>
        <v>0</v>
      </c>
      <c r="AU173">
        <f>$H$173*$AA$173</f>
        <v>212.32</v>
      </c>
      <c r="AV173">
        <f>$H$173*$AB$173</f>
        <v>212.32</v>
      </c>
      <c r="AW173">
        <f>$H$173*$AC$173</f>
        <v>212.32</v>
      </c>
      <c r="AX173">
        <f>$H$173*$AD$173</f>
        <v>212.32</v>
      </c>
      <c r="AY173">
        <f>$H$173*$AE$173</f>
        <v>212.32</v>
      </c>
      <c r="AZ173">
        <f>$H$173*$AF$173</f>
        <v>212.32</v>
      </c>
    </row>
    <row r="174" spans="1:52" x14ac:dyDescent="0.25">
      <c r="A174">
        <v>204</v>
      </c>
      <c r="B174" t="s">
        <v>253</v>
      </c>
      <c r="C174" t="s">
        <v>373</v>
      </c>
      <c r="D174">
        <v>0.75</v>
      </c>
      <c r="E174">
        <v>412.99</v>
      </c>
      <c r="F174" t="s">
        <v>281</v>
      </c>
      <c r="G174">
        <v>550.65</v>
      </c>
      <c r="H174">
        <v>495.59</v>
      </c>
      <c r="I174" t="s">
        <v>292</v>
      </c>
      <c r="J174" t="s">
        <v>374</v>
      </c>
      <c r="K174" t="s">
        <v>490</v>
      </c>
      <c r="L174" t="s">
        <v>199</v>
      </c>
      <c r="M174" t="s">
        <v>253</v>
      </c>
      <c r="N174" t="s">
        <v>12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253</v>
      </c>
      <c r="AH174" t="s">
        <v>12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495.59</v>
      </c>
      <c r="AV174">
        <f>$H$174*$AB$174</f>
        <v>495.59</v>
      </c>
      <c r="AW174">
        <f>$H$174*$AC$174</f>
        <v>495.59</v>
      </c>
      <c r="AX174">
        <f>$H$174*$AD$174</f>
        <v>495.59</v>
      </c>
      <c r="AY174">
        <f>$H$174*$AE$174</f>
        <v>495.59</v>
      </c>
      <c r="AZ174">
        <f>$H$174*$AF$174</f>
        <v>495.59</v>
      </c>
    </row>
    <row r="175" spans="1:52" x14ac:dyDescent="0.25">
      <c r="A175">
        <v>205</v>
      </c>
      <c r="B175" t="s">
        <v>253</v>
      </c>
      <c r="C175" t="s">
        <v>373</v>
      </c>
      <c r="D175">
        <v>0.25</v>
      </c>
      <c r="E175">
        <v>137.66</v>
      </c>
      <c r="F175" t="s">
        <v>281</v>
      </c>
      <c r="G175">
        <v>550.65</v>
      </c>
      <c r="H175">
        <v>165.2</v>
      </c>
      <c r="I175" t="s">
        <v>292</v>
      </c>
      <c r="J175" t="s">
        <v>374</v>
      </c>
      <c r="K175" t="s">
        <v>490</v>
      </c>
      <c r="L175" t="s">
        <v>199</v>
      </c>
      <c r="M175" t="s">
        <v>253</v>
      </c>
      <c r="N175" t="s">
        <v>12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253</v>
      </c>
      <c r="AH175" t="s">
        <v>12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165.2</v>
      </c>
      <c r="AV175">
        <f>$H$175*$AB$175</f>
        <v>165.2</v>
      </c>
      <c r="AW175">
        <f>$H$175*$AC$175</f>
        <v>165.2</v>
      </c>
      <c r="AX175">
        <f>$H$175*$AD$175</f>
        <v>165.2</v>
      </c>
      <c r="AY175">
        <f>$H$175*$AE$175</f>
        <v>165.2</v>
      </c>
      <c r="AZ175">
        <f>$H$175*$AF$175</f>
        <v>165.2</v>
      </c>
    </row>
    <row r="176" spans="1:52" x14ac:dyDescent="0.25">
      <c r="A176">
        <v>206</v>
      </c>
      <c r="B176" t="s">
        <v>253</v>
      </c>
      <c r="C176" t="s">
        <v>439</v>
      </c>
      <c r="D176">
        <v>1</v>
      </c>
      <c r="E176">
        <v>198.39</v>
      </c>
      <c r="F176" t="s">
        <v>281</v>
      </c>
      <c r="G176">
        <v>198.39</v>
      </c>
      <c r="H176">
        <v>238.07</v>
      </c>
      <c r="I176" t="s">
        <v>292</v>
      </c>
      <c r="J176" t="s">
        <v>440</v>
      </c>
      <c r="K176" t="s">
        <v>523</v>
      </c>
      <c r="L176" t="s">
        <v>199</v>
      </c>
      <c r="M176" t="s">
        <v>253</v>
      </c>
      <c r="N176" t="s">
        <v>12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253</v>
      </c>
      <c r="AH176" t="s">
        <v>12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238.07</v>
      </c>
      <c r="AV176">
        <f>$H$176*$AB$176</f>
        <v>238.07</v>
      </c>
      <c r="AW176">
        <f>$H$176*$AC$176</f>
        <v>238.07</v>
      </c>
      <c r="AX176">
        <f>$H$176*$AD$176</f>
        <v>238.07</v>
      </c>
      <c r="AY176">
        <f>$H$176*$AE$176</f>
        <v>238.07</v>
      </c>
      <c r="AZ176">
        <f>$H$176*$AF$176</f>
        <v>238.07</v>
      </c>
    </row>
    <row r="177" spans="1:52" x14ac:dyDescent="0.25">
      <c r="A177">
        <v>207</v>
      </c>
      <c r="B177" t="s">
        <v>253</v>
      </c>
      <c r="C177" t="s">
        <v>299</v>
      </c>
      <c r="D177">
        <v>208</v>
      </c>
      <c r="E177">
        <v>203.84</v>
      </c>
      <c r="F177" t="s">
        <v>291</v>
      </c>
      <c r="G177">
        <v>0.98</v>
      </c>
      <c r="H177">
        <v>244.6</v>
      </c>
      <c r="I177" t="s">
        <v>277</v>
      </c>
      <c r="J177" t="s">
        <v>300</v>
      </c>
      <c r="K177" t="s">
        <v>454</v>
      </c>
      <c r="L177" t="s">
        <v>199</v>
      </c>
      <c r="M177" t="s">
        <v>253</v>
      </c>
      <c r="N177" t="s">
        <v>12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253</v>
      </c>
      <c r="AH177" t="s">
        <v>12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244.6</v>
      </c>
      <c r="AO177">
        <f>$H$177*$U$177</f>
        <v>244.6</v>
      </c>
      <c r="AP177">
        <f>$H$177*$V$177</f>
        <v>244.6</v>
      </c>
      <c r="AQ177">
        <f>$H$177*$W$177</f>
        <v>244.6</v>
      </c>
      <c r="AR177">
        <f>$H$177*$X$177</f>
        <v>244.6</v>
      </c>
      <c r="AS177">
        <f>$H$177*$Y$177</f>
        <v>244.6</v>
      </c>
      <c r="AT177">
        <f>$H$177*$Z$177</f>
        <v>244.6</v>
      </c>
      <c r="AU177">
        <f>$H$177*$AA$177</f>
        <v>244.6</v>
      </c>
      <c r="AV177">
        <f>$H$177*$AB$177</f>
        <v>244.6</v>
      </c>
      <c r="AW177">
        <f>$H$177*$AC$177</f>
        <v>244.6</v>
      </c>
      <c r="AX177">
        <f>$H$177*$AD$177</f>
        <v>244.6</v>
      </c>
      <c r="AY177">
        <f>$H$177*$AE$177</f>
        <v>244.6</v>
      </c>
      <c r="AZ177">
        <f>$H$177*$AF$177</f>
        <v>244.6</v>
      </c>
    </row>
    <row r="178" spans="1:52" x14ac:dyDescent="0.25">
      <c r="A178">
        <v>208</v>
      </c>
      <c r="B178" t="s">
        <v>253</v>
      </c>
      <c r="C178" t="s">
        <v>350</v>
      </c>
      <c r="D178">
        <v>208</v>
      </c>
      <c r="E178">
        <v>555.36</v>
      </c>
      <c r="F178" t="s">
        <v>291</v>
      </c>
      <c r="G178">
        <v>2.67</v>
      </c>
      <c r="H178">
        <v>666.44</v>
      </c>
      <c r="I178" t="s">
        <v>302</v>
      </c>
      <c r="J178" t="s">
        <v>351</v>
      </c>
      <c r="K178" t="s">
        <v>479</v>
      </c>
      <c r="L178" t="s">
        <v>199</v>
      </c>
      <c r="M178" t="s">
        <v>253</v>
      </c>
      <c r="N178" t="s">
        <v>12</v>
      </c>
      <c r="O178" t="s">
        <v>13</v>
      </c>
      <c r="P178">
        <v>0</v>
      </c>
      <c r="Q178">
        <v>0</v>
      </c>
      <c r="R178">
        <v>0</v>
      </c>
      <c r="S178">
        <v>0.25</v>
      </c>
      <c r="T178">
        <v>0.25</v>
      </c>
      <c r="U178">
        <v>0.25</v>
      </c>
      <c r="V178">
        <v>0.25</v>
      </c>
      <c r="W178">
        <v>0.25</v>
      </c>
      <c r="X178">
        <v>0.5</v>
      </c>
      <c r="Y178">
        <v>0.5</v>
      </c>
      <c r="Z178">
        <v>0.5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253</v>
      </c>
      <c r="AH178" t="s">
        <v>12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166.61</v>
      </c>
      <c r="AN178">
        <f>$H$178*$T$178</f>
        <v>166.61</v>
      </c>
      <c r="AO178">
        <f>$H$178*$U$178</f>
        <v>166.61</v>
      </c>
      <c r="AP178">
        <f>$H$178*$V$178</f>
        <v>166.61</v>
      </c>
      <c r="AQ178">
        <f>$H$178*$W$178</f>
        <v>166.61</v>
      </c>
      <c r="AR178">
        <f>$H$178*$X$178</f>
        <v>333.22</v>
      </c>
      <c r="AS178">
        <f>$H$178*$Y$178</f>
        <v>333.22</v>
      </c>
      <c r="AT178">
        <f>$H$178*$Z$178</f>
        <v>333.22</v>
      </c>
      <c r="AU178">
        <f>$H$178*$AA$178</f>
        <v>666.44</v>
      </c>
      <c r="AV178">
        <f>$H$178*$AB$178</f>
        <v>666.44</v>
      </c>
      <c r="AW178">
        <f>$H$178*$AC$178</f>
        <v>666.44</v>
      </c>
      <c r="AX178">
        <f>$H$178*$AD$178</f>
        <v>666.44</v>
      </c>
      <c r="AY178">
        <f>$H$178*$AE$178</f>
        <v>666.44</v>
      </c>
      <c r="AZ178">
        <f>$H$178*$AF$178</f>
        <v>666.44</v>
      </c>
    </row>
    <row r="179" spans="1:52" x14ac:dyDescent="0.25">
      <c r="A179">
        <v>209</v>
      </c>
      <c r="B179" t="s">
        <v>253</v>
      </c>
      <c r="C179" t="s">
        <v>403</v>
      </c>
      <c r="D179">
        <v>13</v>
      </c>
      <c r="E179">
        <v>11.83</v>
      </c>
      <c r="F179" t="s">
        <v>276</v>
      </c>
      <c r="G179">
        <v>0.91</v>
      </c>
      <c r="H179">
        <v>14.19</v>
      </c>
      <c r="I179" t="s">
        <v>277</v>
      </c>
      <c r="J179" t="s">
        <v>353</v>
      </c>
      <c r="K179" t="s">
        <v>504</v>
      </c>
      <c r="L179" t="s">
        <v>199</v>
      </c>
      <c r="M179" t="s">
        <v>253</v>
      </c>
      <c r="N179" t="s">
        <v>12</v>
      </c>
      <c r="O179" t="s">
        <v>13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253</v>
      </c>
      <c r="AH179" t="s">
        <v>12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14.19</v>
      </c>
      <c r="AN179">
        <f>$H$179*$T$179</f>
        <v>14.19</v>
      </c>
      <c r="AO179">
        <f>$H$179*$U$179</f>
        <v>14.19</v>
      </c>
      <c r="AP179">
        <f>$H$179*$V$179</f>
        <v>14.19</v>
      </c>
      <c r="AQ179">
        <f>$H$179*$W$179</f>
        <v>14.19</v>
      </c>
      <c r="AR179">
        <f>$H$179*$X$179</f>
        <v>14.19</v>
      </c>
      <c r="AS179">
        <f>$H$179*$Y$179</f>
        <v>14.19</v>
      </c>
      <c r="AT179">
        <f>$H$179*$Z$179</f>
        <v>14.19</v>
      </c>
      <c r="AU179">
        <f>$H$179*$AA$179</f>
        <v>14.19</v>
      </c>
      <c r="AV179">
        <f>$H$179*$AB$179</f>
        <v>14.19</v>
      </c>
      <c r="AW179">
        <f>$H$179*$AC$179</f>
        <v>14.19</v>
      </c>
      <c r="AX179">
        <f>$H$179*$AD$179</f>
        <v>14.19</v>
      </c>
      <c r="AY179">
        <f>$H$179*$AE$179</f>
        <v>14.19</v>
      </c>
      <c r="AZ179">
        <f>$H$179*$AF$179</f>
        <v>14.19</v>
      </c>
    </row>
    <row r="180" spans="1:52" x14ac:dyDescent="0.25">
      <c r="A180">
        <v>210</v>
      </c>
      <c r="B180" t="s">
        <v>253</v>
      </c>
      <c r="C180" t="s">
        <v>352</v>
      </c>
      <c r="D180">
        <v>13</v>
      </c>
      <c r="E180">
        <v>45.76</v>
      </c>
      <c r="F180" t="s">
        <v>276</v>
      </c>
      <c r="G180">
        <v>3.52</v>
      </c>
      <c r="H180">
        <v>54.92</v>
      </c>
      <c r="I180" t="s">
        <v>280</v>
      </c>
      <c r="J180" t="s">
        <v>353</v>
      </c>
      <c r="K180" t="s">
        <v>480</v>
      </c>
      <c r="L180" t="s">
        <v>199</v>
      </c>
      <c r="M180" t="s">
        <v>253</v>
      </c>
      <c r="N180" t="s">
        <v>12</v>
      </c>
      <c r="O180" t="s">
        <v>13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253</v>
      </c>
      <c r="AH180" t="s">
        <v>12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54.92</v>
      </c>
      <c r="AN180">
        <f>$H$180*$T$180</f>
        <v>54.92</v>
      </c>
      <c r="AO180">
        <f>$H$180*$U$180</f>
        <v>54.92</v>
      </c>
      <c r="AP180">
        <f>$H$180*$V$180</f>
        <v>54.92</v>
      </c>
      <c r="AQ180">
        <f>$H$180*$W$180</f>
        <v>54.92</v>
      </c>
      <c r="AR180">
        <f>$H$180*$X$180</f>
        <v>54.92</v>
      </c>
      <c r="AS180">
        <f>$H$180*$Y$180</f>
        <v>54.92</v>
      </c>
      <c r="AT180">
        <f>$H$180*$Z$180</f>
        <v>54.92</v>
      </c>
      <c r="AU180">
        <f>$H$180*$AA$180</f>
        <v>54.92</v>
      </c>
      <c r="AV180">
        <f>$H$180*$AB$180</f>
        <v>54.92</v>
      </c>
      <c r="AW180">
        <f>$H$180*$AC$180</f>
        <v>54.92</v>
      </c>
      <c r="AX180">
        <f>$H$180*$AD$180</f>
        <v>54.92</v>
      </c>
      <c r="AY180">
        <f>$H$180*$AE$180</f>
        <v>54.92</v>
      </c>
      <c r="AZ180">
        <f>$H$180*$AF$180</f>
        <v>54.92</v>
      </c>
    </row>
    <row r="181" spans="1:52" x14ac:dyDescent="0.25">
      <c r="A181">
        <v>211</v>
      </c>
      <c r="B181" t="s">
        <v>253</v>
      </c>
      <c r="C181" t="s">
        <v>350</v>
      </c>
      <c r="D181">
        <v>40</v>
      </c>
      <c r="E181">
        <v>106.8</v>
      </c>
      <c r="F181" t="s">
        <v>291</v>
      </c>
      <c r="G181">
        <v>2.67</v>
      </c>
      <c r="H181">
        <v>128.16</v>
      </c>
      <c r="I181" t="s">
        <v>302</v>
      </c>
      <c r="J181" t="s">
        <v>351</v>
      </c>
      <c r="K181" t="s">
        <v>479</v>
      </c>
      <c r="L181" t="s">
        <v>199</v>
      </c>
      <c r="M181" t="s">
        <v>253</v>
      </c>
      <c r="N181" t="s">
        <v>12</v>
      </c>
      <c r="O181" t="s">
        <v>13</v>
      </c>
      <c r="P181">
        <v>0</v>
      </c>
      <c r="Q181">
        <v>0</v>
      </c>
      <c r="R181">
        <v>0</v>
      </c>
      <c r="S181">
        <v>0.25</v>
      </c>
      <c r="T181">
        <v>0.25</v>
      </c>
      <c r="U181">
        <v>0.25</v>
      </c>
      <c r="V181">
        <v>0.25</v>
      </c>
      <c r="W181">
        <v>0.25</v>
      </c>
      <c r="X181">
        <v>0.5</v>
      </c>
      <c r="Y181">
        <v>0.5</v>
      </c>
      <c r="Z181">
        <v>0.5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253</v>
      </c>
      <c r="AH181" t="s">
        <v>12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32.04</v>
      </c>
      <c r="AN181">
        <f>$H$181*$T$181</f>
        <v>32.04</v>
      </c>
      <c r="AO181">
        <f>$H$181*$U$181</f>
        <v>32.04</v>
      </c>
      <c r="AP181">
        <f>$H$181*$V$181</f>
        <v>32.04</v>
      </c>
      <c r="AQ181">
        <f>$H$181*$W$181</f>
        <v>32.04</v>
      </c>
      <c r="AR181">
        <f>$H$181*$X$181</f>
        <v>64.08</v>
      </c>
      <c r="AS181">
        <f>$H$181*$Y$181</f>
        <v>64.08</v>
      </c>
      <c r="AT181">
        <f>$H$181*$Z$181</f>
        <v>64.08</v>
      </c>
      <c r="AU181">
        <f>$H$181*$AA$181</f>
        <v>128.16</v>
      </c>
      <c r="AV181">
        <f>$H$181*$AB$181</f>
        <v>128.16</v>
      </c>
      <c r="AW181">
        <f>$H$181*$AC$181</f>
        <v>128.16</v>
      </c>
      <c r="AX181">
        <f>$H$181*$AD$181</f>
        <v>128.16</v>
      </c>
      <c r="AY181">
        <f>$H$181*$AE$181</f>
        <v>128.16</v>
      </c>
      <c r="AZ181">
        <f>$H$181*$AF$181</f>
        <v>128.16</v>
      </c>
    </row>
    <row r="182" spans="1:52" x14ac:dyDescent="0.25">
      <c r="A182">
        <v>212</v>
      </c>
      <c r="B182" t="s">
        <v>253</v>
      </c>
      <c r="C182" t="s">
        <v>354</v>
      </c>
      <c r="D182">
        <v>40</v>
      </c>
      <c r="E182">
        <v>25.2</v>
      </c>
      <c r="F182" t="s">
        <v>291</v>
      </c>
      <c r="G182">
        <v>0.63</v>
      </c>
      <c r="H182">
        <v>30.24</v>
      </c>
      <c r="I182" t="s">
        <v>277</v>
      </c>
      <c r="J182" t="s">
        <v>355</v>
      </c>
      <c r="K182" t="s">
        <v>481</v>
      </c>
      <c r="L182" t="s">
        <v>199</v>
      </c>
      <c r="M182" t="s">
        <v>253</v>
      </c>
      <c r="N182" t="s">
        <v>12</v>
      </c>
      <c r="O182" t="s">
        <v>13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1</v>
      </c>
      <c r="AE182">
        <v>1</v>
      </c>
      <c r="AF182">
        <v>1</v>
      </c>
      <c r="AG182" t="s">
        <v>253</v>
      </c>
      <c r="AH182" t="s">
        <v>12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0</v>
      </c>
      <c r="AT182">
        <f>$H$182*$Z$182</f>
        <v>0</v>
      </c>
      <c r="AU182">
        <f>$H$182*$AA$182</f>
        <v>0</v>
      </c>
      <c r="AV182">
        <f>$H$182*$AB$182</f>
        <v>0</v>
      </c>
      <c r="AW182">
        <f>$H$182*$AC$182</f>
        <v>0</v>
      </c>
      <c r="AX182">
        <f>$H$182*$AD$182</f>
        <v>30.24</v>
      </c>
      <c r="AY182">
        <f>$H$182*$AE$182</f>
        <v>30.24</v>
      </c>
      <c r="AZ182">
        <f>$H$182*$AF$182</f>
        <v>30.24</v>
      </c>
    </row>
    <row r="183" spans="1:52" x14ac:dyDescent="0.25">
      <c r="A183">
        <v>213</v>
      </c>
      <c r="B183" t="s">
        <v>253</v>
      </c>
      <c r="C183" t="s">
        <v>356</v>
      </c>
      <c r="D183">
        <v>40</v>
      </c>
      <c r="E183">
        <v>27.6</v>
      </c>
      <c r="F183" t="s">
        <v>291</v>
      </c>
      <c r="G183">
        <v>0.69</v>
      </c>
      <c r="H183">
        <v>33.119999999999997</v>
      </c>
      <c r="I183" t="s">
        <v>277</v>
      </c>
      <c r="J183" t="s">
        <v>357</v>
      </c>
      <c r="K183" t="s">
        <v>482</v>
      </c>
      <c r="L183" t="s">
        <v>199</v>
      </c>
      <c r="M183" t="s">
        <v>253</v>
      </c>
      <c r="N183" t="s">
        <v>12</v>
      </c>
      <c r="O183" t="s">
        <v>13</v>
      </c>
      <c r="P183">
        <v>0</v>
      </c>
      <c r="Q183">
        <v>0</v>
      </c>
      <c r="R183">
        <v>0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253</v>
      </c>
      <c r="AH183" t="s">
        <v>12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33.119999999999997</v>
      </c>
      <c r="AN183">
        <f>$H$183*$T$183</f>
        <v>33.119999999999997</v>
      </c>
      <c r="AO183">
        <f>$H$183*$U$183</f>
        <v>33.119999999999997</v>
      </c>
      <c r="AP183">
        <f>$H$183*$V$183</f>
        <v>33.119999999999997</v>
      </c>
      <c r="AQ183">
        <f>$H$183*$W$183</f>
        <v>33.119999999999997</v>
      </c>
      <c r="AR183">
        <f>$H$183*$X$183</f>
        <v>33.119999999999997</v>
      </c>
      <c r="AS183">
        <f>$H$183*$Y$183</f>
        <v>33.119999999999997</v>
      </c>
      <c r="AT183">
        <f>$H$183*$Z$183</f>
        <v>33.119999999999997</v>
      </c>
      <c r="AU183">
        <f>$H$183*$AA$183</f>
        <v>33.119999999999997</v>
      </c>
      <c r="AV183">
        <f>$H$183*$AB$183</f>
        <v>33.119999999999997</v>
      </c>
      <c r="AW183">
        <f>$H$183*$AC$183</f>
        <v>33.119999999999997</v>
      </c>
      <c r="AX183">
        <f>$H$183*$AD$183</f>
        <v>33.119999999999997</v>
      </c>
      <c r="AY183">
        <f>$H$183*$AE$183</f>
        <v>33.119999999999997</v>
      </c>
      <c r="AZ183">
        <f>$H$183*$AF$183</f>
        <v>33.119999999999997</v>
      </c>
    </row>
    <row r="184" spans="1:52" x14ac:dyDescent="0.25">
      <c r="A184">
        <v>214</v>
      </c>
      <c r="B184" t="s">
        <v>253</v>
      </c>
      <c r="C184" t="s">
        <v>358</v>
      </c>
      <c r="D184">
        <v>9.1999999999999993</v>
      </c>
      <c r="E184">
        <v>37.08</v>
      </c>
      <c r="F184" t="s">
        <v>291</v>
      </c>
      <c r="G184">
        <v>4.03</v>
      </c>
      <c r="H184">
        <v>44.5</v>
      </c>
      <c r="I184" t="s">
        <v>359</v>
      </c>
      <c r="J184" t="s">
        <v>360</v>
      </c>
      <c r="K184" t="s">
        <v>483</v>
      </c>
      <c r="L184" t="s">
        <v>199</v>
      </c>
      <c r="M184" t="s">
        <v>253</v>
      </c>
      <c r="N184" t="s">
        <v>12</v>
      </c>
      <c r="O184" t="s">
        <v>13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253</v>
      </c>
      <c r="AH184" t="s">
        <v>12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44.5</v>
      </c>
      <c r="AN184">
        <f>$H$184*$T$184</f>
        <v>44.5</v>
      </c>
      <c r="AO184">
        <f>$H$184*$U$184</f>
        <v>44.5</v>
      </c>
      <c r="AP184">
        <f>$H$184*$V$184</f>
        <v>44.5</v>
      </c>
      <c r="AQ184">
        <f>$H$184*$W$184</f>
        <v>44.5</v>
      </c>
      <c r="AR184">
        <f>$H$184*$X$184</f>
        <v>44.5</v>
      </c>
      <c r="AS184">
        <f>$H$184*$Y$184</f>
        <v>44.5</v>
      </c>
      <c r="AT184">
        <f>$H$184*$Z$184</f>
        <v>44.5</v>
      </c>
      <c r="AU184">
        <f>$H$184*$AA$184</f>
        <v>44.5</v>
      </c>
      <c r="AV184">
        <f>$H$184*$AB$184</f>
        <v>44.5</v>
      </c>
      <c r="AW184">
        <f>$H$184*$AC$184</f>
        <v>44.5</v>
      </c>
      <c r="AX184">
        <f>$H$184*$AD$184</f>
        <v>44.5</v>
      </c>
      <c r="AY184">
        <f>$H$184*$AE$184</f>
        <v>44.5</v>
      </c>
      <c r="AZ184">
        <f>$H$184*$AF$184</f>
        <v>44.5</v>
      </c>
    </row>
    <row r="185" spans="1:52" x14ac:dyDescent="0.25">
      <c r="A185">
        <v>215</v>
      </c>
      <c r="B185" t="s">
        <v>253</v>
      </c>
      <c r="C185" t="s">
        <v>361</v>
      </c>
      <c r="D185">
        <v>36.799999999999997</v>
      </c>
      <c r="E185">
        <v>24.66</v>
      </c>
      <c r="F185" t="s">
        <v>291</v>
      </c>
      <c r="G185">
        <v>0.67</v>
      </c>
      <c r="H185">
        <v>29.6</v>
      </c>
      <c r="I185" t="s">
        <v>362</v>
      </c>
      <c r="J185" t="s">
        <v>363</v>
      </c>
      <c r="K185" t="s">
        <v>484</v>
      </c>
      <c r="L185" t="s">
        <v>199</v>
      </c>
      <c r="M185" t="s">
        <v>253</v>
      </c>
      <c r="N185" t="s">
        <v>12</v>
      </c>
      <c r="O185" t="s">
        <v>13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253</v>
      </c>
      <c r="AH185" t="s">
        <v>12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29.6</v>
      </c>
      <c r="AN185">
        <f>$H$185*$T$185</f>
        <v>29.6</v>
      </c>
      <c r="AO185">
        <f>$H$185*$U$185</f>
        <v>29.6</v>
      </c>
      <c r="AP185">
        <f>$H$185*$V$185</f>
        <v>29.6</v>
      </c>
      <c r="AQ185">
        <f>$H$185*$W$185</f>
        <v>29.6</v>
      </c>
      <c r="AR185">
        <f>$H$185*$X$185</f>
        <v>29.6</v>
      </c>
      <c r="AS185">
        <f>$H$185*$Y$185</f>
        <v>29.6</v>
      </c>
      <c r="AT185">
        <f>$H$185*$Z$185</f>
        <v>29.6</v>
      </c>
      <c r="AU185">
        <f>$H$185*$AA$185</f>
        <v>29.6</v>
      </c>
      <c r="AV185">
        <f>$H$185*$AB$185</f>
        <v>29.6</v>
      </c>
      <c r="AW185">
        <f>$H$185*$AC$185</f>
        <v>29.6</v>
      </c>
      <c r="AX185">
        <f>$H$185*$AD$185</f>
        <v>29.6</v>
      </c>
      <c r="AY185">
        <f>$H$185*$AE$185</f>
        <v>29.6</v>
      </c>
      <c r="AZ185">
        <f>$H$185*$AF$185</f>
        <v>29.6</v>
      </c>
    </row>
    <row r="186" spans="1:52" x14ac:dyDescent="0.25">
      <c r="A186">
        <v>216</v>
      </c>
      <c r="B186" t="s">
        <v>253</v>
      </c>
      <c r="C186" t="s">
        <v>364</v>
      </c>
      <c r="D186">
        <v>36.799999999999997</v>
      </c>
      <c r="E186">
        <v>118.5</v>
      </c>
      <c r="F186" t="s">
        <v>291</v>
      </c>
      <c r="G186">
        <v>3.22</v>
      </c>
      <c r="H186">
        <v>142.19999999999999</v>
      </c>
      <c r="I186" t="s">
        <v>362</v>
      </c>
      <c r="J186" t="s">
        <v>360</v>
      </c>
      <c r="K186" t="s">
        <v>485</v>
      </c>
      <c r="L186" t="s">
        <v>199</v>
      </c>
      <c r="M186" t="s">
        <v>253</v>
      </c>
      <c r="N186" t="s">
        <v>12</v>
      </c>
      <c r="O186" t="s">
        <v>13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253</v>
      </c>
      <c r="AH186" t="s">
        <v>12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142.19999999999999</v>
      </c>
      <c r="AN186">
        <f>$H$186*$T$186</f>
        <v>142.19999999999999</v>
      </c>
      <c r="AO186">
        <f>$H$186*$U$186</f>
        <v>142.19999999999999</v>
      </c>
      <c r="AP186">
        <f>$H$186*$V$186</f>
        <v>142.19999999999999</v>
      </c>
      <c r="AQ186">
        <f>$H$186*$W$186</f>
        <v>142.19999999999999</v>
      </c>
      <c r="AR186">
        <f>$H$186*$X$186</f>
        <v>142.19999999999999</v>
      </c>
      <c r="AS186">
        <f>$H$186*$Y$186</f>
        <v>142.19999999999999</v>
      </c>
      <c r="AT186">
        <f>$H$186*$Z$186</f>
        <v>142.19999999999999</v>
      </c>
      <c r="AU186">
        <f>$H$186*$AA$186</f>
        <v>142.19999999999999</v>
      </c>
      <c r="AV186">
        <f>$H$186*$AB$186</f>
        <v>142.19999999999999</v>
      </c>
      <c r="AW186">
        <f>$H$186*$AC$186</f>
        <v>142.19999999999999</v>
      </c>
      <c r="AX186">
        <f>$H$186*$AD$186</f>
        <v>142.19999999999999</v>
      </c>
      <c r="AY186">
        <f>$H$186*$AE$186</f>
        <v>142.19999999999999</v>
      </c>
      <c r="AZ186">
        <f>$H$186*$AF$186</f>
        <v>142.19999999999999</v>
      </c>
    </row>
    <row r="187" spans="1:52" x14ac:dyDescent="0.25">
      <c r="A187">
        <v>219</v>
      </c>
      <c r="B187" t="s">
        <v>441</v>
      </c>
      <c r="C187" t="s">
        <v>344</v>
      </c>
      <c r="D187">
        <v>1</v>
      </c>
      <c r="E187">
        <v>13.27</v>
      </c>
      <c r="F187" t="s">
        <v>281</v>
      </c>
      <c r="G187">
        <v>13.27</v>
      </c>
      <c r="H187">
        <v>15.93</v>
      </c>
      <c r="I187" t="s">
        <v>283</v>
      </c>
      <c r="J187" t="s">
        <v>345</v>
      </c>
      <c r="K187" t="s">
        <v>476</v>
      </c>
      <c r="L187" t="s">
        <v>199</v>
      </c>
      <c r="M187" t="s">
        <v>461</v>
      </c>
      <c r="N187" t="s">
        <v>12</v>
      </c>
      <c r="O187" t="s">
        <v>68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461</v>
      </c>
      <c r="AH187" t="s">
        <v>12</v>
      </c>
      <c r="AI187" t="s">
        <v>68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15.93</v>
      </c>
      <c r="AS187">
        <f>$H$187*$Y$187</f>
        <v>15.93</v>
      </c>
      <c r="AT187">
        <f>$H$187*$Z$187</f>
        <v>15.93</v>
      </c>
      <c r="AU187">
        <f>$H$187*$AA$187</f>
        <v>15.93</v>
      </c>
      <c r="AV187">
        <f>$H$187*$AB$187</f>
        <v>15.93</v>
      </c>
      <c r="AW187">
        <f>$H$187*$AC$187</f>
        <v>15.93</v>
      </c>
      <c r="AX187">
        <f>$H$187*$AD$187</f>
        <v>15.93</v>
      </c>
      <c r="AY187">
        <f>$H$187*$AE$187</f>
        <v>15.93</v>
      </c>
      <c r="AZ187">
        <f>$H$187*$AF$187</f>
        <v>15.93</v>
      </c>
    </row>
    <row r="188" spans="1:52" x14ac:dyDescent="0.25">
      <c r="A188">
        <v>220</v>
      </c>
      <c r="B188" t="s">
        <v>441</v>
      </c>
      <c r="C188" t="s">
        <v>371</v>
      </c>
      <c r="D188">
        <v>1</v>
      </c>
      <c r="E188">
        <v>37</v>
      </c>
      <c r="F188" t="s">
        <v>281</v>
      </c>
      <c r="G188">
        <v>37</v>
      </c>
      <c r="H188">
        <v>44.4</v>
      </c>
      <c r="I188" t="s">
        <v>283</v>
      </c>
      <c r="J188" t="s">
        <v>372</v>
      </c>
      <c r="K188" t="s">
        <v>489</v>
      </c>
      <c r="L188" t="s">
        <v>199</v>
      </c>
      <c r="M188" t="s">
        <v>461</v>
      </c>
      <c r="N188" t="s">
        <v>12</v>
      </c>
      <c r="O188" t="s">
        <v>68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0.6</v>
      </c>
      <c r="Y188">
        <v>0.6</v>
      </c>
      <c r="Z188">
        <v>0.6</v>
      </c>
      <c r="AA188">
        <v>0.6</v>
      </c>
      <c r="AB188">
        <v>0.6</v>
      </c>
      <c r="AC188">
        <v>0.6</v>
      </c>
      <c r="AD188">
        <v>1</v>
      </c>
      <c r="AE188">
        <v>1</v>
      </c>
      <c r="AF188">
        <v>1</v>
      </c>
      <c r="AG188" t="s">
        <v>461</v>
      </c>
      <c r="AH188" t="s">
        <v>12</v>
      </c>
      <c r="AI188" t="s">
        <v>68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26.639999999999997</v>
      </c>
      <c r="AS188">
        <f>$H$188*$Y$188</f>
        <v>26.639999999999997</v>
      </c>
      <c r="AT188">
        <f>$H$188*$Z$188</f>
        <v>26.639999999999997</v>
      </c>
      <c r="AU188">
        <f>$H$188*$AA$188</f>
        <v>26.639999999999997</v>
      </c>
      <c r="AV188">
        <f>$H$188*$AB$188</f>
        <v>26.639999999999997</v>
      </c>
      <c r="AW188">
        <f>$H$188*$AC$188</f>
        <v>26.639999999999997</v>
      </c>
      <c r="AX188">
        <f>$H$188*$AD$188</f>
        <v>44.4</v>
      </c>
      <c r="AY188">
        <f>$H$188*$AE$188</f>
        <v>44.4</v>
      </c>
      <c r="AZ188">
        <f>$H$188*$AF$188</f>
        <v>44.4</v>
      </c>
    </row>
    <row r="189" spans="1:52" x14ac:dyDescent="0.25">
      <c r="A189">
        <v>221</v>
      </c>
      <c r="B189" t="s">
        <v>441</v>
      </c>
      <c r="C189" t="s">
        <v>324</v>
      </c>
      <c r="D189">
        <v>1</v>
      </c>
      <c r="E189">
        <v>65.650000000000006</v>
      </c>
      <c r="F189" t="s">
        <v>281</v>
      </c>
      <c r="G189">
        <v>65.650000000000006</v>
      </c>
      <c r="H189">
        <v>78.790000000000006</v>
      </c>
      <c r="I189" t="s">
        <v>286</v>
      </c>
      <c r="J189" t="s">
        <v>325</v>
      </c>
      <c r="K189" t="s">
        <v>466</v>
      </c>
      <c r="L189" t="s">
        <v>199</v>
      </c>
      <c r="M189" t="s">
        <v>461</v>
      </c>
      <c r="N189" t="s">
        <v>12</v>
      </c>
      <c r="O189" t="s">
        <v>68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</v>
      </c>
      <c r="AE189">
        <v>1</v>
      </c>
      <c r="AF189">
        <v>1</v>
      </c>
      <c r="AG189" t="s">
        <v>461</v>
      </c>
      <c r="AH189" t="s">
        <v>12</v>
      </c>
      <c r="AI189" t="s">
        <v>68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0</v>
      </c>
      <c r="AV189">
        <f>$H$189*$AB$189</f>
        <v>0</v>
      </c>
      <c r="AW189">
        <f>$H$189*$AC$189</f>
        <v>0</v>
      </c>
      <c r="AX189">
        <f>$H$189*$AD$189</f>
        <v>78.790000000000006</v>
      </c>
      <c r="AY189">
        <f>$H$189*$AE$189</f>
        <v>78.790000000000006</v>
      </c>
      <c r="AZ189">
        <f>$H$189*$AF$189</f>
        <v>78.790000000000006</v>
      </c>
    </row>
    <row r="190" spans="1:52" x14ac:dyDescent="0.25">
      <c r="A190">
        <v>230</v>
      </c>
      <c r="B190" t="s">
        <v>6</v>
      </c>
      <c r="C190" t="s">
        <v>282</v>
      </c>
      <c r="D190">
        <v>1</v>
      </c>
      <c r="E190">
        <v>39.700000000000003</v>
      </c>
      <c r="F190" t="s">
        <v>281</v>
      </c>
      <c r="G190">
        <v>39.700000000000003</v>
      </c>
      <c r="H190">
        <v>47.64</v>
      </c>
      <c r="I190" t="s">
        <v>283</v>
      </c>
      <c r="J190" t="s">
        <v>284</v>
      </c>
      <c r="K190" t="s">
        <v>447</v>
      </c>
      <c r="L190" t="s">
        <v>199</v>
      </c>
      <c r="M190" t="s">
        <v>6</v>
      </c>
      <c r="N190" t="s">
        <v>12</v>
      </c>
      <c r="O190" t="s">
        <v>6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1</v>
      </c>
      <c r="AE190">
        <v>1</v>
      </c>
      <c r="AF190">
        <v>1</v>
      </c>
      <c r="AG190" t="s">
        <v>6</v>
      </c>
      <c r="AH190" t="s">
        <v>12</v>
      </c>
      <c r="AI190" t="s">
        <v>6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0</v>
      </c>
      <c r="AV190">
        <f>$H$190*$AB$190</f>
        <v>0</v>
      </c>
      <c r="AW190">
        <f>$H$190*$AC$190</f>
        <v>0</v>
      </c>
      <c r="AX190">
        <f>$H$190*$AD$190</f>
        <v>47.64</v>
      </c>
      <c r="AY190">
        <f>$H$190*$AE$190</f>
        <v>47.64</v>
      </c>
      <c r="AZ190">
        <f>$H$190*$AF$190</f>
        <v>47.64</v>
      </c>
    </row>
    <row r="191" spans="1:52" x14ac:dyDescent="0.25">
      <c r="A191">
        <v>231</v>
      </c>
      <c r="B191" t="s">
        <v>6</v>
      </c>
      <c r="C191" t="s">
        <v>344</v>
      </c>
      <c r="D191">
        <v>1</v>
      </c>
      <c r="E191">
        <v>13.27</v>
      </c>
      <c r="F191" t="s">
        <v>281</v>
      </c>
      <c r="G191">
        <v>13.27</v>
      </c>
      <c r="H191">
        <v>15.93</v>
      </c>
      <c r="I191" t="s">
        <v>283</v>
      </c>
      <c r="J191" t="s">
        <v>345</v>
      </c>
      <c r="K191" t="s">
        <v>476</v>
      </c>
      <c r="L191" t="s">
        <v>199</v>
      </c>
      <c r="M191" t="s">
        <v>6</v>
      </c>
      <c r="N191" t="s">
        <v>12</v>
      </c>
      <c r="O191" t="s">
        <v>6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6</v>
      </c>
      <c r="AH191" t="s">
        <v>12</v>
      </c>
      <c r="AI191" t="s">
        <v>6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15.93</v>
      </c>
      <c r="AS191">
        <f>$H$191*$Y$191</f>
        <v>15.93</v>
      </c>
      <c r="AT191">
        <f>$H$191*$Z$191</f>
        <v>15.93</v>
      </c>
      <c r="AU191">
        <f>$H$191*$AA$191</f>
        <v>15.93</v>
      </c>
      <c r="AV191">
        <f>$H$191*$AB$191</f>
        <v>15.93</v>
      </c>
      <c r="AW191">
        <f>$H$191*$AC$191</f>
        <v>15.93</v>
      </c>
      <c r="AX191">
        <f>$H$191*$AD$191</f>
        <v>15.93</v>
      </c>
      <c r="AY191">
        <f>$H$191*$AE$191</f>
        <v>15.93</v>
      </c>
      <c r="AZ191">
        <f>$H$191*$AF$191</f>
        <v>15.93</v>
      </c>
    </row>
    <row r="192" spans="1:52" x14ac:dyDescent="0.25">
      <c r="A192">
        <v>232</v>
      </c>
      <c r="B192" t="s">
        <v>6</v>
      </c>
      <c r="C192" t="s">
        <v>346</v>
      </c>
      <c r="D192">
        <v>1</v>
      </c>
      <c r="E192">
        <v>48.06</v>
      </c>
      <c r="F192" t="s">
        <v>281</v>
      </c>
      <c r="G192">
        <v>48.06</v>
      </c>
      <c r="H192">
        <v>57.68</v>
      </c>
      <c r="I192" t="s">
        <v>286</v>
      </c>
      <c r="J192" t="s">
        <v>347</v>
      </c>
      <c r="K192" t="s">
        <v>477</v>
      </c>
      <c r="L192" t="s">
        <v>199</v>
      </c>
      <c r="M192" t="s">
        <v>6</v>
      </c>
      <c r="N192" t="s">
        <v>12</v>
      </c>
      <c r="O192" t="s">
        <v>6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 t="s">
        <v>6</v>
      </c>
      <c r="AH192" t="s">
        <v>12</v>
      </c>
      <c r="AI192" t="s">
        <v>6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0</v>
      </c>
      <c r="AT192">
        <f>$H$192*$Z$192</f>
        <v>0</v>
      </c>
      <c r="AU192">
        <f>$H$192*$AA$192</f>
        <v>0</v>
      </c>
      <c r="AV192">
        <f>$H$192*$AB$192</f>
        <v>0</v>
      </c>
      <c r="AW192">
        <f>$H$192*$AC$192</f>
        <v>0</v>
      </c>
      <c r="AX192">
        <f>$H$192*$AD$192</f>
        <v>57.68</v>
      </c>
      <c r="AY192">
        <f>$H$192*$AE$192</f>
        <v>57.68</v>
      </c>
      <c r="AZ192">
        <f>$H$192*$AF$192</f>
        <v>57.68</v>
      </c>
    </row>
    <row r="193" spans="1:52" x14ac:dyDescent="0.25">
      <c r="A193">
        <v>233</v>
      </c>
      <c r="B193" t="s">
        <v>6</v>
      </c>
      <c r="C193" t="s">
        <v>299</v>
      </c>
      <c r="D193">
        <v>305.33</v>
      </c>
      <c r="E193">
        <v>299.22000000000003</v>
      </c>
      <c r="F193" t="s">
        <v>291</v>
      </c>
      <c r="G193">
        <v>0.98</v>
      </c>
      <c r="H193">
        <v>359.06</v>
      </c>
      <c r="I193" t="s">
        <v>277</v>
      </c>
      <c r="J193" t="s">
        <v>300</v>
      </c>
      <c r="K193" t="s">
        <v>454</v>
      </c>
      <c r="L193" t="s">
        <v>199</v>
      </c>
      <c r="M193" t="s">
        <v>6</v>
      </c>
      <c r="N193" t="s">
        <v>12</v>
      </c>
      <c r="O193" t="s">
        <v>6</v>
      </c>
      <c r="P193">
        <v>0</v>
      </c>
      <c r="Q193">
        <v>0</v>
      </c>
      <c r="R193">
        <v>0</v>
      </c>
      <c r="S193">
        <v>0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6</v>
      </c>
      <c r="AH193" t="s">
        <v>12</v>
      </c>
      <c r="AI193" t="s">
        <v>6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359.06</v>
      </c>
      <c r="AO193">
        <f>$H$193*$U$193</f>
        <v>359.06</v>
      </c>
      <c r="AP193">
        <f>$H$193*$V$193</f>
        <v>359.06</v>
      </c>
      <c r="AQ193">
        <f>$H$193*$W$193</f>
        <v>359.06</v>
      </c>
      <c r="AR193">
        <f>$H$193*$X$193</f>
        <v>359.06</v>
      </c>
      <c r="AS193">
        <f>$H$193*$Y$193</f>
        <v>359.06</v>
      </c>
      <c r="AT193">
        <f>$H$193*$Z$193</f>
        <v>359.06</v>
      </c>
      <c r="AU193">
        <f>$H$193*$AA$193</f>
        <v>359.06</v>
      </c>
      <c r="AV193">
        <f>$H$193*$AB$193</f>
        <v>359.06</v>
      </c>
      <c r="AW193">
        <f>$H$193*$AC$193</f>
        <v>359.06</v>
      </c>
      <c r="AX193">
        <f>$H$193*$AD$193</f>
        <v>359.06</v>
      </c>
      <c r="AY193">
        <f>$H$193*$AE$193</f>
        <v>359.06</v>
      </c>
      <c r="AZ193">
        <f>$H$193*$AF$193</f>
        <v>359.06</v>
      </c>
    </row>
    <row r="194" spans="1:52" x14ac:dyDescent="0.25">
      <c r="A194">
        <v>234</v>
      </c>
      <c r="B194" t="s">
        <v>6</v>
      </c>
      <c r="C194" t="s">
        <v>350</v>
      </c>
      <c r="D194">
        <v>305.33</v>
      </c>
      <c r="E194">
        <v>815.23</v>
      </c>
      <c r="F194" t="s">
        <v>291</v>
      </c>
      <c r="G194">
        <v>2.67</v>
      </c>
      <c r="H194">
        <v>978.27</v>
      </c>
      <c r="I194" t="s">
        <v>302</v>
      </c>
      <c r="J194" t="s">
        <v>351</v>
      </c>
      <c r="K194" t="s">
        <v>479</v>
      </c>
      <c r="L194" t="s">
        <v>199</v>
      </c>
      <c r="M194" t="s">
        <v>6</v>
      </c>
      <c r="N194" t="s">
        <v>12</v>
      </c>
      <c r="O194" t="s">
        <v>6</v>
      </c>
      <c r="P194">
        <v>0</v>
      </c>
      <c r="Q194">
        <v>0</v>
      </c>
      <c r="R194">
        <v>0</v>
      </c>
      <c r="S194">
        <v>0.25</v>
      </c>
      <c r="T194">
        <v>0.25</v>
      </c>
      <c r="U194">
        <v>0.25</v>
      </c>
      <c r="V194">
        <v>0.25</v>
      </c>
      <c r="W194">
        <v>0.25</v>
      </c>
      <c r="X194">
        <v>0.5</v>
      </c>
      <c r="Y194">
        <v>0.5</v>
      </c>
      <c r="Z194">
        <v>0.5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6</v>
      </c>
      <c r="AH194" t="s">
        <v>12</v>
      </c>
      <c r="AI194" t="s">
        <v>6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244.5675</v>
      </c>
      <c r="AN194">
        <f>$H$194*$T$194</f>
        <v>244.5675</v>
      </c>
      <c r="AO194">
        <f>$H$194*$U$194</f>
        <v>244.5675</v>
      </c>
      <c r="AP194">
        <f>$H$194*$V$194</f>
        <v>244.5675</v>
      </c>
      <c r="AQ194">
        <f>$H$194*$W$194</f>
        <v>244.5675</v>
      </c>
      <c r="AR194">
        <f>$H$194*$X$194</f>
        <v>489.13499999999999</v>
      </c>
      <c r="AS194">
        <f>$H$194*$Y$194</f>
        <v>489.13499999999999</v>
      </c>
      <c r="AT194">
        <f>$H$194*$Z$194</f>
        <v>489.13499999999999</v>
      </c>
      <c r="AU194">
        <f>$H$194*$AA$194</f>
        <v>978.27</v>
      </c>
      <c r="AV194">
        <f>$H$194*$AB$194</f>
        <v>978.27</v>
      </c>
      <c r="AW194">
        <f>$H$194*$AC$194</f>
        <v>978.27</v>
      </c>
      <c r="AX194">
        <f>$H$194*$AD$194</f>
        <v>978.27</v>
      </c>
      <c r="AY194">
        <f>$H$194*$AE$194</f>
        <v>978.27</v>
      </c>
      <c r="AZ194">
        <f>$H$194*$AF$194</f>
        <v>978.27</v>
      </c>
    </row>
    <row r="195" spans="1:52" x14ac:dyDescent="0.25">
      <c r="A195">
        <v>235</v>
      </c>
      <c r="B195" t="s">
        <v>6</v>
      </c>
      <c r="C195" t="s">
        <v>352</v>
      </c>
      <c r="D195">
        <v>38.17</v>
      </c>
      <c r="E195">
        <v>134.36000000000001</v>
      </c>
      <c r="F195" t="s">
        <v>276</v>
      </c>
      <c r="G195">
        <v>3.52</v>
      </c>
      <c r="H195">
        <v>161.24</v>
      </c>
      <c r="I195" t="s">
        <v>280</v>
      </c>
      <c r="J195" t="s">
        <v>353</v>
      </c>
      <c r="K195" t="s">
        <v>480</v>
      </c>
      <c r="L195" t="s">
        <v>199</v>
      </c>
      <c r="M195" t="s">
        <v>6</v>
      </c>
      <c r="N195" t="s">
        <v>12</v>
      </c>
      <c r="O195" t="s">
        <v>6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6</v>
      </c>
      <c r="AH195" t="s">
        <v>12</v>
      </c>
      <c r="AI195" t="s">
        <v>6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161.24</v>
      </c>
      <c r="AN195">
        <f>$H$195*$T$195</f>
        <v>161.24</v>
      </c>
      <c r="AO195">
        <f>$H$195*$U$195</f>
        <v>161.24</v>
      </c>
      <c r="AP195">
        <f>$H$195*$V$195</f>
        <v>161.24</v>
      </c>
      <c r="AQ195">
        <f>$H$195*$W$195</f>
        <v>161.24</v>
      </c>
      <c r="AR195">
        <f>$H$195*$X$195</f>
        <v>161.24</v>
      </c>
      <c r="AS195">
        <f>$H$195*$Y$195</f>
        <v>161.24</v>
      </c>
      <c r="AT195">
        <f>$H$195*$Z$195</f>
        <v>161.24</v>
      </c>
      <c r="AU195">
        <f>$H$195*$AA$195</f>
        <v>161.24</v>
      </c>
      <c r="AV195">
        <f>$H$195*$AB$195</f>
        <v>161.24</v>
      </c>
      <c r="AW195">
        <f>$H$195*$AC$195</f>
        <v>161.24</v>
      </c>
      <c r="AX195">
        <f>$H$195*$AD$195</f>
        <v>161.24</v>
      </c>
      <c r="AY195">
        <f>$H$195*$AE$195</f>
        <v>161.24</v>
      </c>
      <c r="AZ195">
        <f>$H$195*$AF$195</f>
        <v>161.24</v>
      </c>
    </row>
    <row r="196" spans="1:52" x14ac:dyDescent="0.25">
      <c r="A196">
        <v>236</v>
      </c>
      <c r="B196" t="s">
        <v>6</v>
      </c>
      <c r="C196" t="s">
        <v>350</v>
      </c>
      <c r="D196">
        <v>60.33</v>
      </c>
      <c r="E196">
        <v>161.08000000000001</v>
      </c>
      <c r="F196" t="s">
        <v>291</v>
      </c>
      <c r="G196">
        <v>2.67</v>
      </c>
      <c r="H196">
        <v>193.3</v>
      </c>
      <c r="I196" t="s">
        <v>302</v>
      </c>
      <c r="J196" t="s">
        <v>351</v>
      </c>
      <c r="K196" t="s">
        <v>479</v>
      </c>
      <c r="L196" t="s">
        <v>199</v>
      </c>
      <c r="M196" t="s">
        <v>6</v>
      </c>
      <c r="N196" t="s">
        <v>12</v>
      </c>
      <c r="O196" t="s">
        <v>6</v>
      </c>
      <c r="P196">
        <v>0</v>
      </c>
      <c r="Q196">
        <v>0</v>
      </c>
      <c r="R196">
        <v>0</v>
      </c>
      <c r="S196">
        <v>0.25</v>
      </c>
      <c r="T196">
        <v>0.25</v>
      </c>
      <c r="U196">
        <v>0.25</v>
      </c>
      <c r="V196">
        <v>0.25</v>
      </c>
      <c r="W196">
        <v>0.25</v>
      </c>
      <c r="X196">
        <v>0.5</v>
      </c>
      <c r="Y196">
        <v>0.5</v>
      </c>
      <c r="Z196">
        <v>0.5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6</v>
      </c>
      <c r="AH196" t="s">
        <v>12</v>
      </c>
      <c r="AI196" t="s">
        <v>6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48.325000000000003</v>
      </c>
      <c r="AN196">
        <f>$H$196*$T$196</f>
        <v>48.325000000000003</v>
      </c>
      <c r="AO196">
        <f>$H$196*$U$196</f>
        <v>48.325000000000003</v>
      </c>
      <c r="AP196">
        <f>$H$196*$V$196</f>
        <v>48.325000000000003</v>
      </c>
      <c r="AQ196">
        <f>$H$196*$W$196</f>
        <v>48.325000000000003</v>
      </c>
      <c r="AR196">
        <f>$H$196*$X$196</f>
        <v>96.65</v>
      </c>
      <c r="AS196">
        <f>$H$196*$Y$196</f>
        <v>96.65</v>
      </c>
      <c r="AT196">
        <f>$H$196*$Z$196</f>
        <v>96.65</v>
      </c>
      <c r="AU196">
        <f>$H$196*$AA$196</f>
        <v>193.3</v>
      </c>
      <c r="AV196">
        <f>$H$196*$AB$196</f>
        <v>193.3</v>
      </c>
      <c r="AW196">
        <f>$H$196*$AC$196</f>
        <v>193.3</v>
      </c>
      <c r="AX196">
        <f>$H$196*$AD$196</f>
        <v>193.3</v>
      </c>
      <c r="AY196">
        <f>$H$196*$AE$196</f>
        <v>193.3</v>
      </c>
      <c r="AZ196">
        <f>$H$196*$AF$196</f>
        <v>193.3</v>
      </c>
    </row>
    <row r="197" spans="1:52" x14ac:dyDescent="0.25">
      <c r="A197">
        <v>237</v>
      </c>
      <c r="B197" t="s">
        <v>6</v>
      </c>
      <c r="C197" t="s">
        <v>354</v>
      </c>
      <c r="D197">
        <v>60.33</v>
      </c>
      <c r="E197">
        <v>38.01</v>
      </c>
      <c r="F197" t="s">
        <v>291</v>
      </c>
      <c r="G197">
        <v>0.63</v>
      </c>
      <c r="H197">
        <v>45.61</v>
      </c>
      <c r="I197" t="s">
        <v>277</v>
      </c>
      <c r="J197" t="s">
        <v>355</v>
      </c>
      <c r="K197" t="s">
        <v>481</v>
      </c>
      <c r="L197" t="s">
        <v>199</v>
      </c>
      <c r="M197" t="s">
        <v>6</v>
      </c>
      <c r="N197" t="s">
        <v>12</v>
      </c>
      <c r="O197" t="s">
        <v>6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1</v>
      </c>
      <c r="AE197">
        <v>1</v>
      </c>
      <c r="AF197">
        <v>1</v>
      </c>
      <c r="AG197" t="s">
        <v>6</v>
      </c>
      <c r="AH197" t="s">
        <v>12</v>
      </c>
      <c r="AI197" t="s">
        <v>6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0</v>
      </c>
      <c r="AT197">
        <f>$H$197*$Z$197</f>
        <v>0</v>
      </c>
      <c r="AU197">
        <f>$H$197*$AA$197</f>
        <v>0</v>
      </c>
      <c r="AV197">
        <f>$H$197*$AB$197</f>
        <v>0</v>
      </c>
      <c r="AW197">
        <f>$H$197*$AC$197</f>
        <v>0</v>
      </c>
      <c r="AX197">
        <f>$H$197*$AD$197</f>
        <v>45.61</v>
      </c>
      <c r="AY197">
        <f>$H$197*$AE$197</f>
        <v>45.61</v>
      </c>
      <c r="AZ197">
        <f>$H$197*$AF$197</f>
        <v>45.61</v>
      </c>
    </row>
    <row r="198" spans="1:52" x14ac:dyDescent="0.25">
      <c r="A198">
        <v>238</v>
      </c>
      <c r="B198" t="s">
        <v>6</v>
      </c>
      <c r="C198" t="s">
        <v>356</v>
      </c>
      <c r="D198">
        <v>60.33</v>
      </c>
      <c r="E198">
        <v>41.63</v>
      </c>
      <c r="F198" t="s">
        <v>291</v>
      </c>
      <c r="G198">
        <v>0.69</v>
      </c>
      <c r="H198">
        <v>49.95</v>
      </c>
      <c r="I198" t="s">
        <v>277</v>
      </c>
      <c r="J198" t="s">
        <v>357</v>
      </c>
      <c r="K198" t="s">
        <v>482</v>
      </c>
      <c r="L198" t="s">
        <v>199</v>
      </c>
      <c r="M198" t="s">
        <v>6</v>
      </c>
      <c r="N198" t="s">
        <v>12</v>
      </c>
      <c r="O198" t="s">
        <v>6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6</v>
      </c>
      <c r="AH198" t="s">
        <v>12</v>
      </c>
      <c r="AI198" t="s">
        <v>6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49.95</v>
      </c>
      <c r="AN198">
        <f>$H$198*$T$198</f>
        <v>49.95</v>
      </c>
      <c r="AO198">
        <f>$H$198*$U$198</f>
        <v>49.95</v>
      </c>
      <c r="AP198">
        <f>$H$198*$V$198</f>
        <v>49.95</v>
      </c>
      <c r="AQ198">
        <f>$H$198*$W$198</f>
        <v>49.95</v>
      </c>
      <c r="AR198">
        <f>$H$198*$X$198</f>
        <v>49.95</v>
      </c>
      <c r="AS198">
        <f>$H$198*$Y$198</f>
        <v>49.95</v>
      </c>
      <c r="AT198">
        <f>$H$198*$Z$198</f>
        <v>49.95</v>
      </c>
      <c r="AU198">
        <f>$H$198*$AA$198</f>
        <v>49.95</v>
      </c>
      <c r="AV198">
        <f>$H$198*$AB$198</f>
        <v>49.95</v>
      </c>
      <c r="AW198">
        <f>$H$198*$AC$198</f>
        <v>49.95</v>
      </c>
      <c r="AX198">
        <f>$H$198*$AD$198</f>
        <v>49.95</v>
      </c>
      <c r="AY198">
        <f>$H$198*$AE$198</f>
        <v>49.95</v>
      </c>
      <c r="AZ198">
        <f>$H$198*$AF$198</f>
        <v>49.95</v>
      </c>
    </row>
    <row r="199" spans="1:52" x14ac:dyDescent="0.25">
      <c r="A199">
        <v>239</v>
      </c>
      <c r="B199" t="s">
        <v>6</v>
      </c>
      <c r="C199" t="s">
        <v>358</v>
      </c>
      <c r="D199">
        <v>13.88</v>
      </c>
      <c r="E199">
        <v>55.94</v>
      </c>
      <c r="F199" t="s">
        <v>291</v>
      </c>
      <c r="G199">
        <v>4.03</v>
      </c>
      <c r="H199">
        <v>67.12</v>
      </c>
      <c r="I199" t="s">
        <v>359</v>
      </c>
      <c r="J199" t="s">
        <v>360</v>
      </c>
      <c r="K199" t="s">
        <v>483</v>
      </c>
      <c r="L199" t="s">
        <v>199</v>
      </c>
      <c r="M199" t="s">
        <v>6</v>
      </c>
      <c r="N199" t="s">
        <v>12</v>
      </c>
      <c r="O199" t="s">
        <v>6</v>
      </c>
      <c r="P199">
        <v>0</v>
      </c>
      <c r="Q199">
        <v>0</v>
      </c>
      <c r="R199">
        <v>0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6</v>
      </c>
      <c r="AH199" t="s">
        <v>12</v>
      </c>
      <c r="AI199" t="s">
        <v>6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67.12</v>
      </c>
      <c r="AN199">
        <f>$H$199*$T$199</f>
        <v>67.12</v>
      </c>
      <c r="AO199">
        <f>$H$199*$U$199</f>
        <v>67.12</v>
      </c>
      <c r="AP199">
        <f>$H$199*$V$199</f>
        <v>67.12</v>
      </c>
      <c r="AQ199">
        <f>$H$199*$W$199</f>
        <v>67.12</v>
      </c>
      <c r="AR199">
        <f>$H$199*$X$199</f>
        <v>67.12</v>
      </c>
      <c r="AS199">
        <f>$H$199*$Y$199</f>
        <v>67.12</v>
      </c>
      <c r="AT199">
        <f>$H$199*$Z$199</f>
        <v>67.12</v>
      </c>
      <c r="AU199">
        <f>$H$199*$AA$199</f>
        <v>67.12</v>
      </c>
      <c r="AV199">
        <f>$H$199*$AB$199</f>
        <v>67.12</v>
      </c>
      <c r="AW199">
        <f>$H$199*$AC$199</f>
        <v>67.12</v>
      </c>
      <c r="AX199">
        <f>$H$199*$AD$199</f>
        <v>67.12</v>
      </c>
      <c r="AY199">
        <f>$H$199*$AE$199</f>
        <v>67.12</v>
      </c>
      <c r="AZ199">
        <f>$H$199*$AF$199</f>
        <v>67.12</v>
      </c>
    </row>
    <row r="200" spans="1:52" x14ac:dyDescent="0.25">
      <c r="A200">
        <v>240</v>
      </c>
      <c r="B200" t="s">
        <v>6</v>
      </c>
      <c r="C200" t="s">
        <v>361</v>
      </c>
      <c r="D200">
        <v>55.51</v>
      </c>
      <c r="E200">
        <v>37.19</v>
      </c>
      <c r="F200" t="s">
        <v>291</v>
      </c>
      <c r="G200">
        <v>0.67</v>
      </c>
      <c r="H200">
        <v>44.63</v>
      </c>
      <c r="I200" t="s">
        <v>362</v>
      </c>
      <c r="J200" t="s">
        <v>363</v>
      </c>
      <c r="K200" t="s">
        <v>484</v>
      </c>
      <c r="L200" t="s">
        <v>199</v>
      </c>
      <c r="M200" t="s">
        <v>6</v>
      </c>
      <c r="N200" t="s">
        <v>12</v>
      </c>
      <c r="O200" t="s">
        <v>6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6</v>
      </c>
      <c r="AH200" t="s">
        <v>12</v>
      </c>
      <c r="AI200" t="s">
        <v>6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44.63</v>
      </c>
      <c r="AN200">
        <f>$H$200*$T$200</f>
        <v>44.63</v>
      </c>
      <c r="AO200">
        <f>$H$200*$U$200</f>
        <v>44.63</v>
      </c>
      <c r="AP200">
        <f>$H$200*$V$200</f>
        <v>44.63</v>
      </c>
      <c r="AQ200">
        <f>$H$200*$W$200</f>
        <v>44.63</v>
      </c>
      <c r="AR200">
        <f>$H$200*$X$200</f>
        <v>44.63</v>
      </c>
      <c r="AS200">
        <f>$H$200*$Y$200</f>
        <v>44.63</v>
      </c>
      <c r="AT200">
        <f>$H$200*$Z$200</f>
        <v>44.63</v>
      </c>
      <c r="AU200">
        <f>$H$200*$AA$200</f>
        <v>44.63</v>
      </c>
      <c r="AV200">
        <f>$H$200*$AB$200</f>
        <v>44.63</v>
      </c>
      <c r="AW200">
        <f>$H$200*$AC$200</f>
        <v>44.63</v>
      </c>
      <c r="AX200">
        <f>$H$200*$AD$200</f>
        <v>44.63</v>
      </c>
      <c r="AY200">
        <f>$H$200*$AE$200</f>
        <v>44.63</v>
      </c>
      <c r="AZ200">
        <f>$H$200*$AF$200</f>
        <v>44.63</v>
      </c>
    </row>
    <row r="201" spans="1:52" x14ac:dyDescent="0.25">
      <c r="A201">
        <v>241</v>
      </c>
      <c r="B201" t="s">
        <v>6</v>
      </c>
      <c r="C201" t="s">
        <v>364</v>
      </c>
      <c r="D201">
        <v>55.51</v>
      </c>
      <c r="E201">
        <v>178.74</v>
      </c>
      <c r="F201" t="s">
        <v>291</v>
      </c>
      <c r="G201">
        <v>3.22</v>
      </c>
      <c r="H201">
        <v>214.48</v>
      </c>
      <c r="I201" t="s">
        <v>362</v>
      </c>
      <c r="J201" t="s">
        <v>360</v>
      </c>
      <c r="K201" t="s">
        <v>485</v>
      </c>
      <c r="L201" t="s">
        <v>199</v>
      </c>
      <c r="M201" t="s">
        <v>6</v>
      </c>
      <c r="N201" t="s">
        <v>12</v>
      </c>
      <c r="O201" t="s">
        <v>6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6</v>
      </c>
      <c r="AH201" t="s">
        <v>12</v>
      </c>
      <c r="AI201" t="s">
        <v>6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214.48</v>
      </c>
      <c r="AN201">
        <f>$H$201*$T$201</f>
        <v>214.48</v>
      </c>
      <c r="AO201">
        <f>$H$201*$U$201</f>
        <v>214.48</v>
      </c>
      <c r="AP201">
        <f>$H$201*$V$201</f>
        <v>214.48</v>
      </c>
      <c r="AQ201">
        <f>$H$201*$W$201</f>
        <v>214.48</v>
      </c>
      <c r="AR201">
        <f>$H$201*$X$201</f>
        <v>214.48</v>
      </c>
      <c r="AS201">
        <f>$H$201*$Y$201</f>
        <v>214.48</v>
      </c>
      <c r="AT201">
        <f>$H$201*$Z$201</f>
        <v>214.48</v>
      </c>
      <c r="AU201">
        <f>$H$201*$AA$201</f>
        <v>214.48</v>
      </c>
      <c r="AV201">
        <f>$H$201*$AB$201</f>
        <v>214.48</v>
      </c>
      <c r="AW201">
        <f>$H$201*$AC$201</f>
        <v>214.48</v>
      </c>
      <c r="AX201">
        <f>$H$201*$AD$201</f>
        <v>214.48</v>
      </c>
      <c r="AY201">
        <f>$H$201*$AE$201</f>
        <v>214.48</v>
      </c>
      <c r="AZ201">
        <f>$H$201*$AF$201</f>
        <v>214.48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9"/>
  <sheetViews>
    <sheetView workbookViewId="0">
      <selection activeCell="A10" sqref="A1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257</v>
      </c>
      <c r="B2">
        <v>35</v>
      </c>
      <c r="D2" t="s">
        <v>525</v>
      </c>
      <c r="E2">
        <v>7</v>
      </c>
      <c r="F2">
        <v>0</v>
      </c>
      <c r="G2">
        <v>5</v>
      </c>
      <c r="H2">
        <v>0</v>
      </c>
      <c r="I2">
        <v>8</v>
      </c>
      <c r="J2">
        <v>0</v>
      </c>
    </row>
    <row r="3" spans="1:10" x14ac:dyDescent="0.25">
      <c r="A3" t="s">
        <v>255</v>
      </c>
      <c r="B3">
        <v>101.67</v>
      </c>
      <c r="D3" t="s">
        <v>526</v>
      </c>
      <c r="E3">
        <v>10</v>
      </c>
      <c r="F3">
        <v>1</v>
      </c>
      <c r="G3">
        <v>10</v>
      </c>
      <c r="H3">
        <v>1</v>
      </c>
      <c r="I3">
        <v>8</v>
      </c>
      <c r="J3">
        <v>0</v>
      </c>
    </row>
    <row r="4" spans="1:10" x14ac:dyDescent="0.25">
      <c r="A4" t="s">
        <v>7</v>
      </c>
      <c r="B4">
        <v>111.76</v>
      </c>
      <c r="D4" t="s">
        <v>527</v>
      </c>
      <c r="E4">
        <v>11</v>
      </c>
      <c r="F4">
        <v>1</v>
      </c>
      <c r="G4">
        <v>10</v>
      </c>
      <c r="H4">
        <v>1</v>
      </c>
      <c r="I4">
        <v>8</v>
      </c>
      <c r="J4">
        <v>0</v>
      </c>
    </row>
    <row r="5" spans="1:10" x14ac:dyDescent="0.25">
      <c r="A5" t="s">
        <v>5</v>
      </c>
      <c r="B5">
        <v>48</v>
      </c>
      <c r="D5" t="s">
        <v>528</v>
      </c>
      <c r="E5">
        <v>8</v>
      </c>
      <c r="F5">
        <v>0</v>
      </c>
      <c r="G5">
        <v>6</v>
      </c>
      <c r="H5">
        <v>0</v>
      </c>
      <c r="I5">
        <v>8</v>
      </c>
      <c r="J5">
        <v>0</v>
      </c>
    </row>
    <row r="6" spans="1:10" x14ac:dyDescent="0.25">
      <c r="A6" t="s">
        <v>256</v>
      </c>
      <c r="B6">
        <v>218.51</v>
      </c>
      <c r="D6" t="s">
        <v>529</v>
      </c>
      <c r="E6">
        <v>18</v>
      </c>
      <c r="F6">
        <v>1</v>
      </c>
      <c r="G6">
        <v>12</v>
      </c>
      <c r="H6">
        <v>1</v>
      </c>
      <c r="I6">
        <v>8</v>
      </c>
      <c r="J6">
        <v>0</v>
      </c>
    </row>
    <row r="7" spans="1:10" x14ac:dyDescent="0.25">
      <c r="A7" t="s">
        <v>253</v>
      </c>
      <c r="B7">
        <v>40</v>
      </c>
      <c r="D7" t="s">
        <v>530</v>
      </c>
      <c r="E7">
        <v>8</v>
      </c>
      <c r="F7">
        <v>0</v>
      </c>
      <c r="G7">
        <v>5</v>
      </c>
      <c r="H7">
        <v>0</v>
      </c>
      <c r="I7">
        <v>8</v>
      </c>
      <c r="J7">
        <v>0</v>
      </c>
    </row>
    <row r="8" spans="1:10" x14ac:dyDescent="0.25">
      <c r="A8" t="s">
        <v>6</v>
      </c>
      <c r="B8">
        <v>60.33</v>
      </c>
      <c r="D8" t="s">
        <v>531</v>
      </c>
      <c r="E8">
        <v>15</v>
      </c>
      <c r="F8">
        <v>1</v>
      </c>
      <c r="G8">
        <v>4</v>
      </c>
      <c r="H8">
        <v>0</v>
      </c>
      <c r="I8">
        <v>8</v>
      </c>
      <c r="J8">
        <v>0</v>
      </c>
    </row>
    <row r="9" spans="1:10" x14ac:dyDescent="0.25">
      <c r="A9" t="s">
        <v>4</v>
      </c>
      <c r="B9">
        <v>101.67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workbookViewId="0">
      <selection activeCell="G3" sqref="G3:O13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532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10:14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451</v>
      </c>
      <c r="H3" s="66" t="s">
        <v>159</v>
      </c>
      <c r="I3" s="66" t="s">
        <v>159</v>
      </c>
      <c r="J3" s="65" t="s">
        <v>26</v>
      </c>
      <c r="K3" s="65" t="s">
        <v>67</v>
      </c>
      <c r="L3" s="65"/>
      <c r="M3" s="65" t="s">
        <v>159</v>
      </c>
      <c r="N3" s="89" t="s">
        <v>159</v>
      </c>
      <c r="O3" s="89" t="s">
        <v>159</v>
      </c>
    </row>
    <row r="4" spans="1:16" x14ac:dyDescent="0.25">
      <c r="A4" s="46"/>
      <c r="B4" s="46"/>
      <c r="C4" s="46"/>
      <c r="D4" s="1"/>
      <c r="E4" s="1"/>
      <c r="G4" s="65" t="s">
        <v>445</v>
      </c>
      <c r="H4" s="66" t="s">
        <v>159</v>
      </c>
      <c r="I4" s="66">
        <v>83.612700000000004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2424.7683000000002</v>
      </c>
    </row>
    <row r="5" spans="1:16" x14ac:dyDescent="0.25">
      <c r="A5" s="41"/>
      <c r="B5" s="41"/>
      <c r="C5" s="41"/>
      <c r="D5" s="41"/>
      <c r="E5" s="41"/>
      <c r="G5" s="65" t="s">
        <v>461</v>
      </c>
      <c r="H5" s="66" t="s">
        <v>159</v>
      </c>
      <c r="I5" s="66" t="s">
        <v>159</v>
      </c>
      <c r="J5" s="65" t="s">
        <v>12</v>
      </c>
      <c r="K5" s="65" t="s">
        <v>68</v>
      </c>
      <c r="L5" s="65"/>
      <c r="M5" s="65" t="s">
        <v>159</v>
      </c>
      <c r="N5" s="89" t="s">
        <v>159</v>
      </c>
      <c r="O5" s="89" t="s">
        <v>159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257</v>
      </c>
      <c r="H6" s="65">
        <v>35</v>
      </c>
      <c r="I6" s="65">
        <v>3.25</v>
      </c>
      <c r="J6" s="65" t="s">
        <v>12</v>
      </c>
      <c r="K6" s="65" t="s">
        <v>15</v>
      </c>
      <c r="L6" s="65" t="s">
        <v>533</v>
      </c>
      <c r="M6" s="65" t="s">
        <v>124</v>
      </c>
      <c r="N6" s="89">
        <v>119</v>
      </c>
      <c r="O6" s="89">
        <v>386.75</v>
      </c>
      <c r="P6" s="93"/>
    </row>
    <row r="7" spans="1:16" x14ac:dyDescent="0.25">
      <c r="A7" s="2" t="s">
        <v>17</v>
      </c>
      <c r="B7" s="67">
        <v>900</v>
      </c>
      <c r="C7" s="69">
        <v>83.61</v>
      </c>
      <c r="D7" s="1"/>
      <c r="E7" s="1"/>
      <c r="G7" s="65" t="s">
        <v>255</v>
      </c>
      <c r="H7" s="65">
        <v>101.67</v>
      </c>
      <c r="I7" s="65">
        <v>9.4499999999999993</v>
      </c>
      <c r="J7" s="65" t="s">
        <v>12</v>
      </c>
      <c r="K7" s="65" t="s">
        <v>4</v>
      </c>
      <c r="L7" s="65" t="s">
        <v>534</v>
      </c>
      <c r="M7" s="65" t="s">
        <v>124</v>
      </c>
      <c r="N7" s="89">
        <v>119</v>
      </c>
      <c r="O7" s="89">
        <v>1124.55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7</v>
      </c>
      <c r="H8" s="65">
        <v>111.76</v>
      </c>
      <c r="I8" s="65">
        <v>10.38</v>
      </c>
      <c r="J8" s="65" t="s">
        <v>12</v>
      </c>
      <c r="K8" s="65" t="s">
        <v>7</v>
      </c>
      <c r="L8" s="65" t="s">
        <v>535</v>
      </c>
      <c r="M8" s="65" t="s">
        <v>128</v>
      </c>
      <c r="N8" s="89">
        <v>238</v>
      </c>
      <c r="O8" s="89">
        <v>2470.44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4</v>
      </c>
      <c r="H9" s="65">
        <v>101.67</v>
      </c>
      <c r="I9" s="65">
        <v>9.4499999999999993</v>
      </c>
      <c r="J9" s="65" t="s">
        <v>12</v>
      </c>
      <c r="K9" s="65" t="s">
        <v>4</v>
      </c>
      <c r="L9" s="65" t="s">
        <v>534</v>
      </c>
      <c r="M9" s="65" t="s">
        <v>124</v>
      </c>
      <c r="N9" s="89">
        <v>119</v>
      </c>
      <c r="O9" s="89">
        <v>1124.55</v>
      </c>
    </row>
    <row r="10" spans="1:16" x14ac:dyDescent="0.25">
      <c r="A10" s="94" t="s">
        <v>106</v>
      </c>
      <c r="B10" s="68" t="s">
        <v>61</v>
      </c>
      <c r="C10" s="1"/>
      <c r="D10" s="1"/>
      <c r="E10" s="1"/>
      <c r="G10" s="65" t="s">
        <v>5</v>
      </c>
      <c r="H10" s="65">
        <v>48</v>
      </c>
      <c r="I10" s="65">
        <v>4.46</v>
      </c>
      <c r="J10" s="65" t="s">
        <v>12</v>
      </c>
      <c r="K10" s="65" t="s">
        <v>5</v>
      </c>
      <c r="L10" s="65" t="s">
        <v>536</v>
      </c>
      <c r="M10" s="65" t="s">
        <v>124</v>
      </c>
      <c r="N10" s="89">
        <v>119</v>
      </c>
      <c r="O10" s="89">
        <v>530.74</v>
      </c>
    </row>
    <row r="11" spans="1:16" x14ac:dyDescent="0.25">
      <c r="A11" s="1" t="s">
        <v>57</v>
      </c>
      <c r="B11" s="42">
        <f>C14</f>
        <v>900</v>
      </c>
      <c r="C11" s="42">
        <f>C16</f>
        <v>83.612700000000004</v>
      </c>
      <c r="D11" s="1"/>
      <c r="E11" s="1"/>
      <c r="G11" s="65" t="s">
        <v>256</v>
      </c>
      <c r="H11" s="65">
        <v>218.51</v>
      </c>
      <c r="I11" s="65">
        <v>20.3</v>
      </c>
      <c r="J11" s="65" t="s">
        <v>12</v>
      </c>
      <c r="K11" s="65" t="s">
        <v>14</v>
      </c>
      <c r="L11" s="65" t="s">
        <v>537</v>
      </c>
      <c r="M11" s="65" t="s">
        <v>124</v>
      </c>
      <c r="N11" s="89">
        <v>119</v>
      </c>
      <c r="O11" s="89">
        <v>2415.7000000000003</v>
      </c>
    </row>
    <row r="12" spans="1:16" x14ac:dyDescent="0.25">
      <c r="A12" s="1"/>
      <c r="B12" s="1"/>
      <c r="C12" s="1"/>
      <c r="D12" s="1"/>
      <c r="E12" s="1"/>
      <c r="G12" s="65" t="s">
        <v>253</v>
      </c>
      <c r="H12" s="65">
        <v>40</v>
      </c>
      <c r="I12" s="65">
        <v>3.72</v>
      </c>
      <c r="J12" s="65" t="s">
        <v>12</v>
      </c>
      <c r="K12" s="65" t="s">
        <v>13</v>
      </c>
      <c r="L12" s="65" t="s">
        <v>538</v>
      </c>
      <c r="M12" s="65" t="s">
        <v>128</v>
      </c>
      <c r="N12" s="89">
        <v>238</v>
      </c>
      <c r="O12" s="89">
        <v>885.36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6</v>
      </c>
      <c r="H13" s="65">
        <v>60.33</v>
      </c>
      <c r="I13" s="65">
        <v>5.6</v>
      </c>
      <c r="J13" s="65" t="s">
        <v>12</v>
      </c>
      <c r="K13" s="65" t="s">
        <v>6</v>
      </c>
      <c r="L13" s="65" t="s">
        <v>539</v>
      </c>
      <c r="M13" s="65" t="s">
        <v>124</v>
      </c>
      <c r="N13" s="89">
        <v>119</v>
      </c>
      <c r="O13" s="89">
        <v>666.4</v>
      </c>
    </row>
    <row r="14" spans="1:16" x14ac:dyDescent="0.25">
      <c r="A14" s="4" t="s">
        <v>49</v>
      </c>
      <c r="B14" s="42">
        <f>C14+D14+E14</f>
        <v>900</v>
      </c>
      <c r="C14" s="42">
        <f>B7/B8</f>
        <v>900</v>
      </c>
      <c r="D14" s="42">
        <f>C14*B9</f>
        <v>0</v>
      </c>
      <c r="E14" s="42">
        <f>B7-C14</f>
        <v>0</v>
      </c>
      <c r="F14"/>
      <c r="G14" s="65"/>
      <c r="H14" s="65"/>
      <c r="I14" s="65"/>
      <c r="J14" s="65"/>
      <c r="K14" s="65"/>
      <c r="L14" s="65"/>
      <c r="M14" s="65"/>
      <c r="N14" s="89"/>
      <c r="O14" s="89"/>
    </row>
    <row r="15" spans="1:16" x14ac:dyDescent="0.25">
      <c r="A15" s="4" t="s">
        <v>50</v>
      </c>
      <c r="B15" s="42">
        <f>SUMIFS(H:H,G:G,"&lt;&gt;mech_single",G:G,"&lt;&gt;general",G:G,"&lt;&gt;general_main")</f>
        <v>716.94</v>
      </c>
      <c r="C15" s="42">
        <f>SUMIFS(H:H,G:G,"&lt;&gt;general_main",J:J,C13)</f>
        <v>716.94</v>
      </c>
      <c r="D15" s="42">
        <f>SUMIF($J:$J,D13,$H:$H)</f>
        <v>0</v>
      </c>
      <c r="E15" s="42">
        <f>SUMIF($J:$J,E13,$H:$H)</f>
        <v>0</v>
      </c>
      <c r="F15"/>
      <c r="G15" s="65"/>
      <c r="H15" s="65"/>
      <c r="I15" s="65"/>
      <c r="J15" s="65"/>
      <c r="K15" s="65"/>
      <c r="L15" s="65"/>
      <c r="M15" s="65"/>
      <c r="N15" s="89"/>
      <c r="O15" s="89"/>
    </row>
    <row r="16" spans="1:16" x14ac:dyDescent="0.25">
      <c r="A16" s="4" t="s">
        <v>59</v>
      </c>
      <c r="B16" s="42">
        <f>B14*0.092903</f>
        <v>83.612700000000004</v>
      </c>
      <c r="C16" s="42">
        <f t="shared" ref="C16:E17" si="0">C14*0.092903</f>
        <v>83.612700000000004</v>
      </c>
      <c r="D16" s="42">
        <f t="shared" si="0"/>
        <v>0</v>
      </c>
      <c r="E16" s="42">
        <f t="shared" si="0"/>
        <v>0</v>
      </c>
      <c r="F16"/>
      <c r="G16" s="65"/>
      <c r="H16" s="65"/>
      <c r="I16" s="65"/>
      <c r="J16" s="65"/>
      <c r="K16" s="65"/>
      <c r="L16" s="65"/>
      <c r="M16" s="65"/>
      <c r="N16" s="89"/>
      <c r="O16" s="89"/>
    </row>
    <row r="17" spans="1:15" x14ac:dyDescent="0.25">
      <c r="A17" s="4" t="s">
        <v>60</v>
      </c>
      <c r="B17" s="42">
        <f>B15*0.092903</f>
        <v>66.605876820000006</v>
      </c>
      <c r="C17" s="42">
        <f t="shared" si="0"/>
        <v>66.605876820000006</v>
      </c>
      <c r="D17" s="42">
        <f t="shared" si="0"/>
        <v>0</v>
      </c>
      <c r="E17" s="42">
        <f t="shared" si="0"/>
        <v>0</v>
      </c>
      <c r="F17"/>
      <c r="G17" s="65"/>
      <c r="H17" s="65"/>
      <c r="I17" s="65"/>
      <c r="J17" s="65"/>
      <c r="K17" s="65"/>
      <c r="L17" s="65"/>
      <c r="M17" s="65"/>
      <c r="N17" s="89"/>
      <c r="O17" s="89"/>
    </row>
    <row r="18" spans="1:15" x14ac:dyDescent="0.25">
      <c r="A18" s="4" t="s">
        <v>44</v>
      </c>
      <c r="B18" s="43">
        <f>IF(B14&gt;0,B15/B14,"")</f>
        <v>0.79660000000000009</v>
      </c>
      <c r="C18" s="43">
        <f t="shared" ref="C18:E18" si="1">IF(C14&gt;0,C15/C14,"")</f>
        <v>0.79660000000000009</v>
      </c>
      <c r="D18" s="43" t="str">
        <f t="shared" si="1"/>
        <v/>
      </c>
      <c r="E18" s="43" t="str">
        <f t="shared" si="1"/>
        <v/>
      </c>
      <c r="F18"/>
      <c r="G18" s="65"/>
      <c r="H18" s="65"/>
      <c r="I18" s="65"/>
      <c r="J18" s="65"/>
      <c r="K18" s="65"/>
      <c r="L18" s="65"/>
      <c r="M18" s="65"/>
      <c r="N18" s="89"/>
      <c r="O18" s="89"/>
    </row>
    <row r="19" spans="1:15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89"/>
      <c r="O19" s="89"/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/>
      <c r="H20" s="65"/>
      <c r="I20" s="65"/>
      <c r="J20" s="65"/>
      <c r="K20" s="65"/>
      <c r="L20" s="65"/>
      <c r="M20" s="65"/>
      <c r="N20" s="89"/>
      <c r="O20" s="89"/>
    </row>
    <row r="21" spans="1:15" x14ac:dyDescent="0.25">
      <c r="A21" s="71" t="s">
        <v>129</v>
      </c>
      <c r="B21" s="90">
        <f>SUM(C21:E21)</f>
        <v>2424.7683000000002</v>
      </c>
      <c r="C21" s="90">
        <f>C16*VLOOKUP($A21,$M$3:$N$37,2,FALSE)</f>
        <v>2424.7683000000002</v>
      </c>
      <c r="D21" s="90">
        <f t="shared" ref="D21:E21" si="2">D16*VLOOKUP($A21,$M$3:$N$37,2,FALSE)</f>
        <v>0</v>
      </c>
      <c r="E21" s="90">
        <f t="shared" si="2"/>
        <v>0</v>
      </c>
      <c r="F21"/>
      <c r="G21" s="65"/>
      <c r="H21" s="65"/>
      <c r="I21" s="65"/>
      <c r="J21" s="65"/>
      <c r="K21" s="65"/>
      <c r="L21" s="65"/>
      <c r="M21" s="65"/>
      <c r="N21" s="89"/>
      <c r="O21" s="89"/>
    </row>
    <row r="22" spans="1:15" x14ac:dyDescent="0.25">
      <c r="A22" s="71" t="s">
        <v>128</v>
      </c>
      <c r="B22" s="90">
        <f t="shared" ref="B22:B24" si="3">SUM(C22:E22)</f>
        <v>3355.8</v>
      </c>
      <c r="C22" s="90">
        <f>SUMIFS($O$3:$O$37,$J$3:$J$37,C$20,$M$3:$M$37,$A22)</f>
        <v>3355.8</v>
      </c>
      <c r="D22" s="90">
        <f t="shared" ref="D22:E24" si="4">SUMIFS($O$3:$O$37,$J$3:$J$37,D$20,$M$3:$M$37,$A22)</f>
        <v>0</v>
      </c>
      <c r="E22" s="90">
        <f t="shared" si="4"/>
        <v>0</v>
      </c>
      <c r="F22"/>
      <c r="G22" s="65"/>
      <c r="H22" s="65"/>
      <c r="I22" s="65"/>
      <c r="J22" s="65"/>
      <c r="K22" s="65"/>
      <c r="L22" s="65"/>
      <c r="M22" s="65"/>
      <c r="N22" s="89"/>
      <c r="O22" s="89"/>
    </row>
    <row r="23" spans="1:15" x14ac:dyDescent="0.25">
      <c r="A23" s="71" t="s">
        <v>124</v>
      </c>
      <c r="B23" s="90">
        <f t="shared" si="3"/>
        <v>6248.6900000000005</v>
      </c>
      <c r="C23" s="90">
        <f t="shared" ref="C23:C24" si="5">SUMIFS($O$3:$O$37,$J$3:$J$37,C$20,$M$3:$M$37,$A23)</f>
        <v>6248.6900000000005</v>
      </c>
      <c r="D23" s="90">
        <f t="shared" si="4"/>
        <v>0</v>
      </c>
      <c r="E23" s="90">
        <f t="shared" si="4"/>
        <v>0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12029.258300000001</v>
      </c>
      <c r="C25" s="92">
        <f t="shared" ref="C25:E25" si="6">SUM(C21:C24)</f>
        <v>12029.258300000001</v>
      </c>
      <c r="D25" s="92">
        <f t="shared" si="6"/>
        <v>0</v>
      </c>
      <c r="E25" s="92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143.86879385547891</v>
      </c>
      <c r="C26" s="90">
        <f t="shared" ref="C26:E26" si="7">IF(C16&gt;0,C25/C16,"")</f>
        <v>143.86879385547891</v>
      </c>
      <c r="D26" s="90" t="str">
        <f t="shared" si="7"/>
        <v/>
      </c>
      <c r="E26" s="90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15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4</v>
      </c>
      <c r="B30" s="95">
        <v>2</v>
      </c>
      <c r="C30" s="95">
        <v>2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7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5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14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13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6</v>
      </c>
      <c r="B35" s="95">
        <v>1</v>
      </c>
      <c r="C35" s="95">
        <v>1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/>
      <c r="B36" s="95"/>
      <c r="C36" s="95"/>
      <c r="D36" s="95"/>
      <c r="E36" s="95"/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/>
      <c r="B37" s="95"/>
      <c r="C37" s="95"/>
      <c r="D37" s="95"/>
      <c r="E37" s="95"/>
      <c r="G37" s="65"/>
      <c r="H37" s="65"/>
      <c r="I37" s="65"/>
      <c r="J37" s="65"/>
      <c r="K37" s="65"/>
      <c r="L37" s="65"/>
      <c r="M37" s="65"/>
      <c r="N37" s="89"/>
      <c r="O37" s="89"/>
    </row>
  </sheetData>
  <sortState xmlns:xlrd2="http://schemas.microsoft.com/office/spreadsheetml/2017/richdata2" ref="G3:O13">
    <sortCondition ref="J3:J13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6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.28515625" style="1" bestFit="1" customWidth="1"/>
    <col min="13" max="13" width="11" style="1" bestFit="1" customWidth="1"/>
    <col min="14" max="14" width="14.140625" style="1" bestFit="1" customWidth="1"/>
    <col min="15" max="15" width="13.7109375" style="1" bestFit="1" customWidth="1"/>
    <col min="16" max="16" width="8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28</v>
      </c>
      <c r="F6"/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55</v>
      </c>
      <c r="B8" s="8">
        <v>2398.73</v>
      </c>
      <c r="C8" s="8">
        <v>4103.78</v>
      </c>
      <c r="D8" s="8">
        <v>0</v>
      </c>
      <c r="E8" s="8">
        <v>6502.51</v>
      </c>
      <c r="F8"/>
      <c r="G8"/>
    </row>
    <row r="9" spans="1:7" x14ac:dyDescent="0.25">
      <c r="A9" s="3" t="s">
        <v>29</v>
      </c>
      <c r="B9" s="8">
        <v>2398.73</v>
      </c>
      <c r="C9" s="8">
        <v>4103.78</v>
      </c>
      <c r="D9" s="8">
        <v>0</v>
      </c>
      <c r="E9" s="8">
        <v>6502.51</v>
      </c>
      <c r="F9"/>
      <c r="G9"/>
    </row>
    <row r="10" spans="1:7" x14ac:dyDescent="0.25">
      <c r="A10" s="3" t="s">
        <v>30</v>
      </c>
      <c r="B10" s="8">
        <v>11757.942500000001</v>
      </c>
      <c r="C10" s="8">
        <v>4103.78</v>
      </c>
      <c r="D10" s="8">
        <v>458.66</v>
      </c>
      <c r="E10" s="8">
        <v>16320.3825</v>
      </c>
      <c r="F10"/>
      <c r="G10"/>
    </row>
    <row r="11" spans="1:7" x14ac:dyDescent="0.25">
      <c r="A11" s="3" t="s">
        <v>31</v>
      </c>
      <c r="B11" s="8">
        <v>20088.572500000002</v>
      </c>
      <c r="C11" s="8">
        <v>4103.78</v>
      </c>
      <c r="D11" s="8">
        <v>1537.16</v>
      </c>
      <c r="E11" s="8">
        <v>25729.512500000001</v>
      </c>
      <c r="F11"/>
      <c r="G11"/>
    </row>
    <row r="12" spans="1:7" x14ac:dyDescent="0.25">
      <c r="A12" s="3" t="s">
        <v>32</v>
      </c>
      <c r="B12" s="8">
        <v>21866.302500000005</v>
      </c>
      <c r="C12" s="8">
        <v>5603.94</v>
      </c>
      <c r="D12" s="8">
        <v>1537.16</v>
      </c>
      <c r="E12" s="8">
        <v>29007.402500000004</v>
      </c>
      <c r="F12"/>
      <c r="G12"/>
    </row>
    <row r="13" spans="1:7" x14ac:dyDescent="0.25">
      <c r="A13" s="3" t="s">
        <v>33</v>
      </c>
      <c r="B13" s="8">
        <v>24613.312499999993</v>
      </c>
      <c r="C13" s="8">
        <v>9069.0299999999988</v>
      </c>
      <c r="D13" s="8">
        <v>1537.16</v>
      </c>
      <c r="E13" s="8">
        <v>35219.502499999995</v>
      </c>
      <c r="F13"/>
      <c r="G13"/>
    </row>
    <row r="14" spans="1:7" x14ac:dyDescent="0.25">
      <c r="A14" s="3" t="s">
        <v>34</v>
      </c>
      <c r="B14" s="8">
        <v>24613.312499999993</v>
      </c>
      <c r="C14" s="8">
        <v>9069.0299999999988</v>
      </c>
      <c r="D14" s="8">
        <v>1537.16</v>
      </c>
      <c r="E14" s="8">
        <v>35219.502499999995</v>
      </c>
      <c r="F14"/>
      <c r="G14"/>
    </row>
    <row r="15" spans="1:7" x14ac:dyDescent="0.25">
      <c r="A15" s="3" t="s">
        <v>35</v>
      </c>
      <c r="B15" s="8">
        <v>28490.540999999994</v>
      </c>
      <c r="C15" s="8">
        <v>9069.0299999999988</v>
      </c>
      <c r="D15" s="8">
        <v>4182.0920000000006</v>
      </c>
      <c r="E15" s="8">
        <v>41741.663</v>
      </c>
      <c r="F15"/>
      <c r="G15"/>
    </row>
    <row r="16" spans="1:7" x14ac:dyDescent="0.25">
      <c r="A16" s="3" t="s">
        <v>36</v>
      </c>
      <c r="B16" s="8">
        <v>29998.370999999992</v>
      </c>
      <c r="C16" s="8">
        <v>9069.0299999999988</v>
      </c>
      <c r="D16" s="8">
        <v>4182.0920000000006</v>
      </c>
      <c r="E16" s="8">
        <v>43249.492999999988</v>
      </c>
      <c r="F16"/>
      <c r="G16"/>
    </row>
    <row r="17" spans="1:23" x14ac:dyDescent="0.25">
      <c r="A17" s="3" t="s">
        <v>37</v>
      </c>
      <c r="B17" s="8">
        <v>33952.67099999998</v>
      </c>
      <c r="C17" s="8">
        <v>9069.0299999999988</v>
      </c>
      <c r="D17" s="8">
        <v>4278.4120000000003</v>
      </c>
      <c r="E17" s="8">
        <v>47300.112999999983</v>
      </c>
      <c r="F17"/>
      <c r="G17"/>
    </row>
    <row r="18" spans="1:23" x14ac:dyDescent="0.25">
      <c r="A18" s="3" t="s">
        <v>38</v>
      </c>
      <c r="B18" s="8">
        <v>44209.830999999962</v>
      </c>
      <c r="C18" s="8">
        <v>10029.289999999999</v>
      </c>
      <c r="D18" s="8">
        <v>5062.2120000000004</v>
      </c>
      <c r="E18" s="8">
        <v>59301.332999999962</v>
      </c>
      <c r="F18"/>
      <c r="G18"/>
    </row>
    <row r="19" spans="1:23" x14ac:dyDescent="0.25">
      <c r="A19" s="3" t="s">
        <v>39</v>
      </c>
      <c r="B19" s="8">
        <v>45519.065999999955</v>
      </c>
      <c r="C19" s="8">
        <v>10029.289999999999</v>
      </c>
      <c r="D19" s="8">
        <v>5062.2120000000004</v>
      </c>
      <c r="E19" s="8">
        <v>60610.567999999956</v>
      </c>
      <c r="F19"/>
      <c r="G19"/>
    </row>
    <row r="20" spans="1:23" x14ac:dyDescent="0.25">
      <c r="A20" s="3" t="s">
        <v>40</v>
      </c>
      <c r="B20" s="8">
        <v>45756.345999999954</v>
      </c>
      <c r="C20" s="8">
        <v>10029.289999999999</v>
      </c>
      <c r="D20" s="8">
        <v>5187.4419999999991</v>
      </c>
      <c r="E20" s="8">
        <v>60973.07799999995</v>
      </c>
      <c r="F20"/>
      <c r="G20"/>
    </row>
    <row r="21" spans="1:23" x14ac:dyDescent="0.25">
      <c r="A21" s="3" t="s">
        <v>41</v>
      </c>
      <c r="B21" s="8">
        <v>47424.739999999947</v>
      </c>
      <c r="C21" s="8">
        <v>10029.289999999999</v>
      </c>
      <c r="D21" s="8">
        <v>5353.0019999999995</v>
      </c>
      <c r="E21" s="8">
        <v>62807.031999999948</v>
      </c>
      <c r="F21"/>
      <c r="G21"/>
    </row>
    <row r="22" spans="1:23" x14ac:dyDescent="0.25">
      <c r="A22" s="3" t="s">
        <v>42</v>
      </c>
      <c r="B22" s="8">
        <v>47424.739999999947</v>
      </c>
      <c r="C22" s="8">
        <v>10029.289999999999</v>
      </c>
      <c r="D22" s="8">
        <v>5353.0019999999995</v>
      </c>
      <c r="E22" s="8">
        <v>62807.031999999948</v>
      </c>
      <c r="F22"/>
      <c r="G22"/>
    </row>
    <row r="23" spans="1:23" x14ac:dyDescent="0.25">
      <c r="A23" s="3" t="s">
        <v>43</v>
      </c>
      <c r="B23" s="8">
        <v>47424.739999999947</v>
      </c>
      <c r="C23" s="8">
        <v>10029.289999999999</v>
      </c>
      <c r="D23" s="8">
        <v>5353.0019999999995</v>
      </c>
      <c r="E23" s="8">
        <v>62807.031999999948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</v>
      </c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4103.78</v>
      </c>
      <c r="D33" s="8">
        <v>2398.73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6502.51</v>
      </c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4103.78</v>
      </c>
      <c r="D34" s="8">
        <v>2398.73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6502.51</v>
      </c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458.66</v>
      </c>
      <c r="C35" s="8">
        <v>4103.78</v>
      </c>
      <c r="D35" s="8">
        <v>2998.4124999999999</v>
      </c>
      <c r="E35" s="8">
        <v>610.62000000000012</v>
      </c>
      <c r="F35" s="8">
        <v>594.86750000000006</v>
      </c>
      <c r="G35" s="8">
        <v>2739.2750000000001</v>
      </c>
      <c r="H35" s="8">
        <v>1170.1274999999998</v>
      </c>
      <c r="I35" s="8">
        <v>635.43499999999995</v>
      </c>
      <c r="J35" s="8">
        <v>2178.8924999999999</v>
      </c>
      <c r="K35" s="8">
        <v>830.3125</v>
      </c>
      <c r="L35" s="8">
        <v>16320.382499999998</v>
      </c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1537.16</v>
      </c>
      <c r="C36" s="8">
        <v>4103.78</v>
      </c>
      <c r="D36" s="8">
        <v>2998.4124999999999</v>
      </c>
      <c r="E36" s="8">
        <v>1744.0399999999997</v>
      </c>
      <c r="F36" s="8">
        <v>1258.7775000000001</v>
      </c>
      <c r="G36" s="8">
        <v>5277.0949999999993</v>
      </c>
      <c r="H36" s="8">
        <v>3975.5075000000006</v>
      </c>
      <c r="I36" s="8">
        <v>898.85500000000002</v>
      </c>
      <c r="J36" s="8">
        <v>2746.5124999999998</v>
      </c>
      <c r="K36" s="8">
        <v>1189.3725000000002</v>
      </c>
      <c r="L36" s="8">
        <v>25729.512500000001</v>
      </c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1537.16</v>
      </c>
      <c r="C37" s="8">
        <v>5603.94</v>
      </c>
      <c r="D37" s="8">
        <v>4776.1424999999999</v>
      </c>
      <c r="E37" s="8">
        <v>1744.0399999999997</v>
      </c>
      <c r="F37" s="8">
        <v>1258.7775000000001</v>
      </c>
      <c r="G37" s="8">
        <v>5277.0949999999993</v>
      </c>
      <c r="H37" s="8">
        <v>3975.5075000000006</v>
      </c>
      <c r="I37" s="8">
        <v>898.85500000000002</v>
      </c>
      <c r="J37" s="8">
        <v>2746.5124999999998</v>
      </c>
      <c r="K37" s="8">
        <v>1189.3725000000002</v>
      </c>
      <c r="L37" s="8">
        <v>29007.4025</v>
      </c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1537.16</v>
      </c>
      <c r="C38" s="8">
        <v>9069.0299999999988</v>
      </c>
      <c r="D38" s="8">
        <v>4776.1424999999999</v>
      </c>
      <c r="E38" s="8">
        <v>1744.0399999999997</v>
      </c>
      <c r="F38" s="8">
        <v>1258.7775000000001</v>
      </c>
      <c r="G38" s="8">
        <v>5277.0949999999993</v>
      </c>
      <c r="H38" s="8">
        <v>6722.5174999999999</v>
      </c>
      <c r="I38" s="8">
        <v>898.85500000000002</v>
      </c>
      <c r="J38" s="8">
        <v>2746.5124999999998</v>
      </c>
      <c r="K38" s="8">
        <v>1189.3725000000002</v>
      </c>
      <c r="L38" s="8">
        <v>35219.502499999995</v>
      </c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1537.16</v>
      </c>
      <c r="C39" s="8">
        <v>9069.0299999999988</v>
      </c>
      <c r="D39" s="8">
        <v>4776.1424999999999</v>
      </c>
      <c r="E39" s="8">
        <v>1744.0399999999997</v>
      </c>
      <c r="F39" s="8">
        <v>1258.7775000000001</v>
      </c>
      <c r="G39" s="8">
        <v>5277.0949999999993</v>
      </c>
      <c r="H39" s="8">
        <v>6722.5174999999999</v>
      </c>
      <c r="I39" s="8">
        <v>898.85500000000002</v>
      </c>
      <c r="J39" s="8">
        <v>2746.5124999999998</v>
      </c>
      <c r="K39" s="8">
        <v>1189.3725000000002</v>
      </c>
      <c r="L39" s="8">
        <v>35219.502499999995</v>
      </c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4182.0920000000006</v>
      </c>
      <c r="C40" s="8">
        <v>9069.0299999999988</v>
      </c>
      <c r="D40" s="8">
        <v>5468.1950000000015</v>
      </c>
      <c r="E40" s="8">
        <v>2001.1699999999998</v>
      </c>
      <c r="F40" s="8">
        <v>1536.1450000000002</v>
      </c>
      <c r="G40" s="8">
        <v>6116.15</v>
      </c>
      <c r="H40" s="8">
        <v>7286.5609999999997</v>
      </c>
      <c r="I40" s="8">
        <v>1180.4299999999998</v>
      </c>
      <c r="J40" s="8">
        <v>3403.6949999999997</v>
      </c>
      <c r="K40" s="8">
        <v>1498.1950000000002</v>
      </c>
      <c r="L40" s="8">
        <v>41741.663</v>
      </c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4182.0920000000006</v>
      </c>
      <c r="C41" s="8">
        <v>9069.0299999999988</v>
      </c>
      <c r="D41" s="8">
        <v>5468.1950000000015</v>
      </c>
      <c r="E41" s="8">
        <v>3509</v>
      </c>
      <c r="F41" s="8">
        <v>1536.1450000000002</v>
      </c>
      <c r="G41" s="8">
        <v>6116.15</v>
      </c>
      <c r="H41" s="8">
        <v>7286.5609999999997</v>
      </c>
      <c r="I41" s="8">
        <v>1180.4299999999998</v>
      </c>
      <c r="J41" s="8">
        <v>3403.6949999999997</v>
      </c>
      <c r="K41" s="8">
        <v>1498.1950000000002</v>
      </c>
      <c r="L41" s="8">
        <v>43249.493000000002</v>
      </c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4278.4120000000003</v>
      </c>
      <c r="C42" s="8">
        <v>9069.0299999999988</v>
      </c>
      <c r="D42" s="8">
        <v>5468.1950000000015</v>
      </c>
      <c r="E42" s="8">
        <v>4155.58</v>
      </c>
      <c r="F42" s="8">
        <v>1536.1450000000002</v>
      </c>
      <c r="G42" s="8">
        <v>6116.15</v>
      </c>
      <c r="H42" s="8">
        <v>10594.281000000004</v>
      </c>
      <c r="I42" s="8">
        <v>1180.4299999999998</v>
      </c>
      <c r="J42" s="8">
        <v>3403.6949999999997</v>
      </c>
      <c r="K42" s="8">
        <v>1498.1950000000002</v>
      </c>
      <c r="L42" s="8">
        <v>47300.113000000005</v>
      </c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5062.2120000000004</v>
      </c>
      <c r="C43" s="8">
        <v>10029.289999999999</v>
      </c>
      <c r="D43" s="8">
        <v>5720.2150000000011</v>
      </c>
      <c r="E43" s="8">
        <v>7729.04</v>
      </c>
      <c r="F43" s="8">
        <v>2168.4300000000003</v>
      </c>
      <c r="G43" s="8">
        <v>7744.3799999999992</v>
      </c>
      <c r="H43" s="8">
        <v>12620.626000000002</v>
      </c>
      <c r="I43" s="8">
        <v>1616.1800000000003</v>
      </c>
      <c r="J43" s="8">
        <v>4526.9800000000005</v>
      </c>
      <c r="K43" s="8">
        <v>2083.98</v>
      </c>
      <c r="L43" s="8">
        <v>59301.333000000013</v>
      </c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5062.2120000000004</v>
      </c>
      <c r="C44" s="8">
        <v>10029.289999999999</v>
      </c>
      <c r="D44" s="8">
        <v>6919.5800000000017</v>
      </c>
      <c r="E44" s="8">
        <v>7729.04</v>
      </c>
      <c r="F44" s="8">
        <v>2168.4300000000003</v>
      </c>
      <c r="G44" s="8">
        <v>7744.3799999999992</v>
      </c>
      <c r="H44" s="8">
        <v>12730.496000000003</v>
      </c>
      <c r="I44" s="8">
        <v>1616.1800000000003</v>
      </c>
      <c r="J44" s="8">
        <v>4526.9800000000005</v>
      </c>
      <c r="K44" s="8">
        <v>2083.98</v>
      </c>
      <c r="L44" s="8">
        <v>60610.568000000007</v>
      </c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5187.4419999999991</v>
      </c>
      <c r="C45" s="8">
        <v>10029.289999999999</v>
      </c>
      <c r="D45" s="8">
        <v>6919.5800000000017</v>
      </c>
      <c r="E45" s="8">
        <v>7729.04</v>
      </c>
      <c r="F45" s="8">
        <v>2168.4300000000003</v>
      </c>
      <c r="G45" s="8">
        <v>7789.98</v>
      </c>
      <c r="H45" s="8">
        <v>12922.176000000005</v>
      </c>
      <c r="I45" s="8">
        <v>1616.1800000000003</v>
      </c>
      <c r="J45" s="8">
        <v>4526.9800000000005</v>
      </c>
      <c r="K45" s="8">
        <v>2083.98</v>
      </c>
      <c r="L45" s="8">
        <v>60973.078000000016</v>
      </c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5353.0019999999995</v>
      </c>
      <c r="C46" s="8">
        <v>10029.289999999999</v>
      </c>
      <c r="D46" s="8">
        <v>7173.6900000000014</v>
      </c>
      <c r="E46" s="8">
        <v>8070.7299999999968</v>
      </c>
      <c r="F46" s="8">
        <v>2252.5800000000004</v>
      </c>
      <c r="G46" s="8">
        <v>8154.3599999999988</v>
      </c>
      <c r="H46" s="8">
        <v>13078.470000000005</v>
      </c>
      <c r="I46" s="8">
        <v>1710.1399999999999</v>
      </c>
      <c r="J46" s="8">
        <v>4749.8599999999997</v>
      </c>
      <c r="K46" s="8">
        <v>2234.91</v>
      </c>
      <c r="L46" s="8">
        <v>62807.032000000007</v>
      </c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5353.0019999999995</v>
      </c>
      <c r="C47" s="8">
        <v>10029.289999999999</v>
      </c>
      <c r="D47" s="8">
        <v>7173.6900000000014</v>
      </c>
      <c r="E47" s="8">
        <v>8070.7299999999968</v>
      </c>
      <c r="F47" s="8">
        <v>2252.5800000000004</v>
      </c>
      <c r="G47" s="8">
        <v>8154.3599999999988</v>
      </c>
      <c r="H47" s="8">
        <v>13078.470000000005</v>
      </c>
      <c r="I47" s="8">
        <v>1710.1399999999999</v>
      </c>
      <c r="J47" s="8">
        <v>4749.8599999999997</v>
      </c>
      <c r="K47" s="8">
        <v>2234.91</v>
      </c>
      <c r="L47" s="8">
        <v>62807.032000000007</v>
      </c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5353.0019999999995</v>
      </c>
      <c r="C48" s="8">
        <v>10029.289999999999</v>
      </c>
      <c r="D48" s="8">
        <v>7173.6900000000014</v>
      </c>
      <c r="E48" s="8">
        <v>8070.7299999999968</v>
      </c>
      <c r="F48" s="8">
        <v>2252.5800000000004</v>
      </c>
      <c r="G48" s="8">
        <v>8154.3599999999988</v>
      </c>
      <c r="H48" s="8">
        <v>13078.470000000005</v>
      </c>
      <c r="I48" s="8">
        <v>1710.1399999999999</v>
      </c>
      <c r="J48" s="8">
        <v>4749.8599999999997</v>
      </c>
      <c r="K48" s="8">
        <v>2234.91</v>
      </c>
      <c r="L48" s="8">
        <v>62807.032000000007</v>
      </c>
      <c r="M48"/>
      <c r="N48"/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6C408-3CEB-447D-9813-E18D4C44600D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5" customWidth="1"/>
    <col min="3" max="10" width="10.7109375" style="109" customWidth="1"/>
    <col min="11" max="11" width="13" style="109" customWidth="1"/>
    <col min="12" max="12" width="13.7109375" style="133" customWidth="1"/>
    <col min="13" max="13" width="12.7109375" style="133" customWidth="1"/>
    <col min="14" max="14" width="10.7109375" style="133" customWidth="1"/>
    <col min="15" max="15" width="12.5703125" style="109" customWidth="1"/>
    <col min="16" max="16" width="9.140625" style="109" bestFit="1" customWidth="1"/>
    <col min="17" max="17" width="25.28515625" style="109" bestFit="1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134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2" t="s">
        <v>547</v>
      </c>
      <c r="E3" s="152"/>
      <c r="F3" s="152"/>
      <c r="G3" s="152"/>
      <c r="H3" s="152"/>
      <c r="I3" s="117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1</v>
      </c>
      <c r="C4" s="121"/>
      <c r="D4" s="153" t="s">
        <v>145</v>
      </c>
      <c r="E4" s="124" t="s">
        <v>12</v>
      </c>
      <c r="F4" s="124" t="s">
        <v>26</v>
      </c>
      <c r="G4" s="124" t="s">
        <v>27</v>
      </c>
      <c r="H4" s="124" t="s">
        <v>28</v>
      </c>
      <c r="I4" s="120"/>
      <c r="J4" s="120"/>
      <c r="L4" s="122"/>
      <c r="M4" s="123" t="s">
        <v>149</v>
      </c>
      <c r="N4" s="124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5" t="s">
        <v>61</v>
      </c>
      <c r="D5" s="127">
        <v>-0.9</v>
      </c>
      <c r="E5" s="128">
        <v>0</v>
      </c>
      <c r="F5" s="128">
        <v>0</v>
      </c>
      <c r="G5" s="128">
        <v>0</v>
      </c>
      <c r="H5" s="128">
        <v>0</v>
      </c>
      <c r="I5" s="126"/>
      <c r="J5" s="126"/>
      <c r="L5" s="127">
        <f t="shared" ref="L5:L21" si="0">D5</f>
        <v>-0.9</v>
      </c>
      <c r="M5" s="128">
        <f>(E5+F5+G5)*$B$9</f>
        <v>0</v>
      </c>
      <c r="N5" s="128">
        <f t="shared" ref="N5:N21" si="1">M5/$B$7</f>
        <v>0</v>
      </c>
      <c r="O5" s="126"/>
      <c r="P5" s="129" t="str">
        <f t="shared" ref="P5:R21" ca="1" si="2">_xlfn.FORMULATEXT(L5)</f>
        <v>=D5</v>
      </c>
      <c r="Q5" s="129" t="str">
        <f t="shared" ca="1" si="2"/>
        <v>=(E5+F5+G5)*$B$9</v>
      </c>
      <c r="R5" s="129" t="str">
        <f t="shared" ca="1" si="2"/>
        <v>=M5/$B$7</v>
      </c>
    </row>
    <row r="6" spans="1:18" x14ac:dyDescent="0.25">
      <c r="A6" s="109" t="s">
        <v>152</v>
      </c>
      <c r="B6" s="125" t="s">
        <v>12</v>
      </c>
      <c r="D6" s="127">
        <v>-0.46</v>
      </c>
      <c r="E6" s="128">
        <v>2398.73</v>
      </c>
      <c r="F6" s="128">
        <v>4103.78</v>
      </c>
      <c r="G6" s="128">
        <v>0</v>
      </c>
      <c r="H6" s="128">
        <v>6502.51</v>
      </c>
      <c r="I6" s="126"/>
      <c r="J6" s="126"/>
      <c r="L6" s="127">
        <f t="shared" si="0"/>
        <v>-0.46</v>
      </c>
      <c r="M6" s="128">
        <f>(E6+F6+G6)*$B$9</f>
        <v>6502.51</v>
      </c>
      <c r="N6" s="128">
        <f t="shared" si="1"/>
        <v>77.769405843849086</v>
      </c>
      <c r="O6" s="126"/>
      <c r="P6" s="129" t="str">
        <f t="shared" ca="1" si="2"/>
        <v>=D6</v>
      </c>
      <c r="Q6" s="129" t="str">
        <f t="shared" ca="1" si="2"/>
        <v>=(E6+F6+G6)*$B$9</v>
      </c>
      <c r="R6" s="129" t="str">
        <f t="shared" ca="1" si="2"/>
        <v>=M6/$B$7</v>
      </c>
    </row>
    <row r="7" spans="1:18" x14ac:dyDescent="0.25">
      <c r="A7" s="109" t="s">
        <v>153</v>
      </c>
      <c r="B7" s="130">
        <v>83.612700000000004</v>
      </c>
      <c r="D7" s="127">
        <v>0</v>
      </c>
      <c r="E7" s="128">
        <v>2398.73</v>
      </c>
      <c r="F7" s="128">
        <v>4103.78</v>
      </c>
      <c r="G7" s="128">
        <v>0</v>
      </c>
      <c r="H7" s="128">
        <v>6502.51</v>
      </c>
      <c r="I7" s="126"/>
      <c r="J7" s="126"/>
      <c r="L7" s="127">
        <f t="shared" si="0"/>
        <v>0</v>
      </c>
      <c r="M7" s="128">
        <f>(E7+F7+G7/2)*$B$9</f>
        <v>6502.51</v>
      </c>
      <c r="N7" s="128">
        <f t="shared" si="1"/>
        <v>77.769405843849086</v>
      </c>
      <c r="O7" s="126"/>
      <c r="P7" s="129" t="str">
        <f t="shared" ca="1" si="2"/>
        <v>=D7</v>
      </c>
      <c r="Q7" s="129" t="str">
        <f t="shared" ca="1" si="2"/>
        <v>=(E7+F7+G7/2)*$B$9</v>
      </c>
      <c r="R7" s="129" t="str">
        <f t="shared" ca="1" si="2"/>
        <v>=M7/$B$7</v>
      </c>
    </row>
    <row r="8" spans="1:18" x14ac:dyDescent="0.25">
      <c r="A8" s="109" t="s">
        <v>154</v>
      </c>
      <c r="B8" s="125" t="s">
        <v>155</v>
      </c>
      <c r="D8" s="127">
        <v>0.03</v>
      </c>
      <c r="E8" s="128">
        <v>11757.942500000001</v>
      </c>
      <c r="F8" s="128">
        <v>4103.78</v>
      </c>
      <c r="G8" s="128">
        <v>458.66</v>
      </c>
      <c r="H8" s="128">
        <v>16320.3825</v>
      </c>
      <c r="I8" s="126"/>
      <c r="J8" s="126"/>
      <c r="L8" s="127">
        <f t="shared" si="0"/>
        <v>0.03</v>
      </c>
      <c r="M8" s="128">
        <f t="shared" ref="M8:M21" si="3">(E8+F8+G8+$B$17)*$B$9</f>
        <v>28349.640800000001</v>
      </c>
      <c r="N8" s="128">
        <f t="shared" si="1"/>
        <v>339.05902811415012</v>
      </c>
      <c r="O8" s="126"/>
      <c r="P8" s="129" t="str">
        <f t="shared" ca="1" si="2"/>
        <v>=D8</v>
      </c>
      <c r="Q8" s="129" t="str">
        <f t="shared" ca="1" si="2"/>
        <v>=(E8+F8+G8+$B$17)*$B$9</v>
      </c>
      <c r="R8" s="129" t="str">
        <f t="shared" ca="1" si="2"/>
        <v>=M8/$B$7</v>
      </c>
    </row>
    <row r="9" spans="1:18" x14ac:dyDescent="0.25">
      <c r="A9" s="109" t="s">
        <v>156</v>
      </c>
      <c r="B9" s="125">
        <v>1</v>
      </c>
      <c r="D9" s="127">
        <v>0.05</v>
      </c>
      <c r="E9" s="128">
        <v>20088.572500000002</v>
      </c>
      <c r="F9" s="128">
        <v>4103.78</v>
      </c>
      <c r="G9" s="128">
        <v>1537.16</v>
      </c>
      <c r="H9" s="128">
        <v>25729.512500000001</v>
      </c>
      <c r="I9" s="126"/>
      <c r="J9" s="126"/>
      <c r="L9" s="127">
        <f t="shared" si="0"/>
        <v>0.05</v>
      </c>
      <c r="M9" s="128">
        <f t="shared" si="3"/>
        <v>37758.770799999998</v>
      </c>
      <c r="N9" s="128">
        <f t="shared" si="1"/>
        <v>451.59133480918564</v>
      </c>
      <c r="O9" s="126"/>
      <c r="P9" s="129" t="str">
        <f t="shared" ca="1" si="2"/>
        <v>=D9</v>
      </c>
      <c r="Q9" s="129" t="str">
        <f t="shared" ca="1" si="2"/>
        <v>=(E9+F9+G9+$B$17)*$B$9</v>
      </c>
      <c r="R9" s="129" t="str">
        <f t="shared" ca="1" si="2"/>
        <v>=M9/$B$7</v>
      </c>
    </row>
    <row r="10" spans="1:18" x14ac:dyDescent="0.25">
      <c r="A10" s="109" t="s">
        <v>157</v>
      </c>
      <c r="B10" s="131" t="b">
        <f>(H21+B17)*B9=M21</f>
        <v>1</v>
      </c>
      <c r="D10" s="127">
        <v>0.1</v>
      </c>
      <c r="E10" s="128">
        <v>21866.302500000005</v>
      </c>
      <c r="F10" s="128">
        <v>5603.94</v>
      </c>
      <c r="G10" s="128">
        <v>1537.16</v>
      </c>
      <c r="H10" s="128">
        <v>29007.402500000004</v>
      </c>
      <c r="I10" s="126"/>
      <c r="J10" s="126"/>
      <c r="L10" s="127">
        <f t="shared" si="0"/>
        <v>0.1</v>
      </c>
      <c r="M10" s="128">
        <f t="shared" si="3"/>
        <v>41036.660800000005</v>
      </c>
      <c r="N10" s="128">
        <f t="shared" si="1"/>
        <v>490.79458981709718</v>
      </c>
      <c r="O10" s="126"/>
      <c r="P10" s="129" t="str">
        <f t="shared" ca="1" si="2"/>
        <v>=D10</v>
      </c>
      <c r="Q10" s="129" t="str">
        <f t="shared" ca="1" si="2"/>
        <v>=(E10+F10+G10+$B$17)*$B$9</v>
      </c>
      <c r="R10" s="129" t="str">
        <f t="shared" ca="1" si="2"/>
        <v>=M10/$B$7</v>
      </c>
    </row>
    <row r="11" spans="1:18" x14ac:dyDescent="0.25">
      <c r="D11" s="127">
        <v>0.15</v>
      </c>
      <c r="E11" s="128">
        <v>24613.312499999993</v>
      </c>
      <c r="F11" s="128">
        <v>9069.0299999999988</v>
      </c>
      <c r="G11" s="128">
        <v>1537.16</v>
      </c>
      <c r="H11" s="128">
        <v>35219.502499999995</v>
      </c>
      <c r="I11" s="126"/>
      <c r="J11" s="126"/>
      <c r="L11" s="127">
        <f t="shared" si="0"/>
        <v>0.15</v>
      </c>
      <c r="M11" s="128">
        <f t="shared" si="3"/>
        <v>47248.760799999996</v>
      </c>
      <c r="N11" s="128">
        <f t="shared" si="1"/>
        <v>565.09071947204188</v>
      </c>
      <c r="O11" s="126"/>
      <c r="P11" s="129" t="str">
        <f t="shared" ca="1" si="2"/>
        <v>=D11</v>
      </c>
      <c r="Q11" s="129" t="str">
        <f t="shared" ca="1" si="2"/>
        <v>=(E11+F11+G11+$B$17)*$B$9</v>
      </c>
      <c r="R11" s="129" t="str">
        <f t="shared" ca="1" si="2"/>
        <v>=M11/$B$7</v>
      </c>
    </row>
    <row r="12" spans="1:18" x14ac:dyDescent="0.25">
      <c r="A12" s="109" t="s">
        <v>158</v>
      </c>
      <c r="B12" s="125" t="s">
        <v>159</v>
      </c>
      <c r="D12" s="127">
        <v>0.3</v>
      </c>
      <c r="E12" s="128">
        <v>24613.312499999993</v>
      </c>
      <c r="F12" s="128">
        <v>9069.0299999999988</v>
      </c>
      <c r="G12" s="128">
        <v>1537.16</v>
      </c>
      <c r="H12" s="128">
        <v>35219.502499999995</v>
      </c>
      <c r="I12" s="126"/>
      <c r="J12" s="126"/>
      <c r="L12" s="127">
        <f t="shared" si="0"/>
        <v>0.3</v>
      </c>
      <c r="M12" s="128">
        <f t="shared" si="3"/>
        <v>47248.760799999996</v>
      </c>
      <c r="N12" s="128">
        <f t="shared" si="1"/>
        <v>565.09071947204188</v>
      </c>
      <c r="O12" s="126"/>
      <c r="P12" s="129" t="str">
        <f t="shared" ca="1" si="2"/>
        <v>=D12</v>
      </c>
      <c r="Q12" s="129" t="str">
        <f t="shared" ca="1" si="2"/>
        <v>=(E12+F12+G12+$B$17)*$B$9</v>
      </c>
      <c r="R12" s="129" t="str">
        <f t="shared" ca="1" si="2"/>
        <v>=M12/$B$7</v>
      </c>
    </row>
    <row r="13" spans="1:18" x14ac:dyDescent="0.25">
      <c r="A13" s="109" t="s">
        <v>160</v>
      </c>
      <c r="B13" s="125" t="s">
        <v>159</v>
      </c>
      <c r="D13" s="127">
        <v>0.46</v>
      </c>
      <c r="E13" s="128">
        <v>28490.540999999994</v>
      </c>
      <c r="F13" s="128">
        <v>9069.0299999999988</v>
      </c>
      <c r="G13" s="128">
        <v>4182.0920000000006</v>
      </c>
      <c r="H13" s="128">
        <v>41741.663</v>
      </c>
      <c r="I13" s="126"/>
      <c r="J13" s="126"/>
      <c r="L13" s="127">
        <f t="shared" si="0"/>
        <v>0.46</v>
      </c>
      <c r="M13" s="128">
        <f t="shared" si="3"/>
        <v>53770.921300000002</v>
      </c>
      <c r="N13" s="128">
        <f t="shared" si="1"/>
        <v>643.0951434411279</v>
      </c>
      <c r="O13" s="126"/>
      <c r="P13" s="129" t="str">
        <f t="shared" ca="1" si="2"/>
        <v>=D13</v>
      </c>
      <c r="Q13" s="129" t="str">
        <f t="shared" ca="1" si="2"/>
        <v>=(E13+F13+G13+$B$17)*$B$9</v>
      </c>
      <c r="R13" s="129" t="str">
        <f t="shared" ca="1" si="2"/>
        <v>=M13/$B$7</v>
      </c>
    </row>
    <row r="14" spans="1:18" x14ac:dyDescent="0.25">
      <c r="A14" s="109" t="s">
        <v>161</v>
      </c>
      <c r="B14" s="125" t="s">
        <v>159</v>
      </c>
      <c r="D14" s="127">
        <v>0.61</v>
      </c>
      <c r="E14" s="128">
        <v>29998.370999999992</v>
      </c>
      <c r="F14" s="128">
        <v>9069.0299999999988</v>
      </c>
      <c r="G14" s="128">
        <v>4182.0920000000006</v>
      </c>
      <c r="H14" s="128">
        <v>43249.492999999988</v>
      </c>
      <c r="I14" s="126"/>
      <c r="J14" s="126"/>
      <c r="L14" s="127">
        <f t="shared" si="0"/>
        <v>0.61</v>
      </c>
      <c r="M14" s="128">
        <f t="shared" si="3"/>
        <v>55278.751299999989</v>
      </c>
      <c r="N14" s="128">
        <f t="shared" si="1"/>
        <v>661.12864792071048</v>
      </c>
      <c r="O14" s="126"/>
      <c r="P14" s="129" t="str">
        <f t="shared" ca="1" si="2"/>
        <v>=D14</v>
      </c>
      <c r="Q14" s="129" t="str">
        <f t="shared" ca="1" si="2"/>
        <v>=(E14+F14+G14+$B$17)*$B$9</v>
      </c>
      <c r="R14" s="129" t="str">
        <f t="shared" ca="1" si="2"/>
        <v>=M14/$B$7</v>
      </c>
    </row>
    <row r="15" spans="1:18" x14ac:dyDescent="0.25">
      <c r="D15" s="127">
        <v>0.76</v>
      </c>
      <c r="E15" s="128">
        <v>33952.67099999998</v>
      </c>
      <c r="F15" s="128">
        <v>9069.0299999999988</v>
      </c>
      <c r="G15" s="128">
        <v>4278.4120000000003</v>
      </c>
      <c r="H15" s="128">
        <v>47300.112999999983</v>
      </c>
      <c r="I15" s="126"/>
      <c r="J15" s="126"/>
      <c r="L15" s="127">
        <f t="shared" si="0"/>
        <v>0.76</v>
      </c>
      <c r="M15" s="128">
        <f t="shared" si="3"/>
        <v>59329.371299999984</v>
      </c>
      <c r="N15" s="128">
        <f t="shared" si="1"/>
        <v>709.57368079251091</v>
      </c>
      <c r="O15" s="126"/>
      <c r="P15" s="129" t="str">
        <f t="shared" ca="1" si="2"/>
        <v>=D15</v>
      </c>
      <c r="Q15" s="129" t="str">
        <f t="shared" ca="1" si="2"/>
        <v>=(E15+F15+G15+$B$17)*$B$9</v>
      </c>
      <c r="R15" s="129" t="str">
        <f t="shared" ca="1" si="2"/>
        <v>=M15/$B$7</v>
      </c>
    </row>
    <row r="16" spans="1:18" x14ac:dyDescent="0.25">
      <c r="A16" s="115" t="s">
        <v>162</v>
      </c>
      <c r="D16" s="127">
        <v>0.91</v>
      </c>
      <c r="E16" s="128">
        <v>44209.830999999962</v>
      </c>
      <c r="F16" s="128">
        <v>10029.289999999999</v>
      </c>
      <c r="G16" s="128">
        <v>5062.2120000000004</v>
      </c>
      <c r="H16" s="128">
        <v>59301.332999999962</v>
      </c>
      <c r="I16" s="126"/>
      <c r="J16" s="126"/>
      <c r="L16" s="127">
        <f t="shared" si="0"/>
        <v>0.91</v>
      </c>
      <c r="M16" s="128">
        <f t="shared" si="3"/>
        <v>71330.591299999956</v>
      </c>
      <c r="N16" s="128">
        <f t="shared" si="1"/>
        <v>853.10713922645664</v>
      </c>
      <c r="O16" s="126"/>
      <c r="P16" s="129" t="str">
        <f t="shared" ca="1" si="2"/>
        <v>=D16</v>
      </c>
      <c r="Q16" s="129" t="str">
        <f t="shared" ca="1" si="2"/>
        <v>=(E16+F16+G16+$B$17)*$B$9</v>
      </c>
      <c r="R16" s="129" t="str">
        <f t="shared" ca="1" si="2"/>
        <v>=M16/$B$7</v>
      </c>
    </row>
    <row r="17" spans="1:18" x14ac:dyDescent="0.25">
      <c r="A17" s="109" t="s">
        <v>163</v>
      </c>
      <c r="B17" s="131">
        <v>12029.2583</v>
      </c>
      <c r="D17" s="127">
        <v>1.02</v>
      </c>
      <c r="E17" s="128">
        <v>45519.065999999955</v>
      </c>
      <c r="F17" s="128">
        <v>10029.289999999999</v>
      </c>
      <c r="G17" s="128">
        <v>5062.2120000000004</v>
      </c>
      <c r="H17" s="128">
        <v>60610.567999999956</v>
      </c>
      <c r="I17" s="126"/>
      <c r="J17" s="126"/>
      <c r="L17" s="127">
        <f t="shared" si="0"/>
        <v>1.02</v>
      </c>
      <c r="M17" s="128">
        <f t="shared" si="3"/>
        <v>72639.826299999957</v>
      </c>
      <c r="N17" s="128">
        <f t="shared" si="1"/>
        <v>868.76546625093977</v>
      </c>
      <c r="O17" s="126"/>
      <c r="P17" s="129" t="str">
        <f t="shared" ca="1" si="2"/>
        <v>=D17</v>
      </c>
      <c r="Q17" s="129" t="str">
        <f t="shared" ca="1" si="2"/>
        <v>=(E17+F17+G17+$B$17)*$B$9</v>
      </c>
      <c r="R17" s="129" t="str">
        <f t="shared" ca="1" si="2"/>
        <v>=M17/$B$7</v>
      </c>
    </row>
    <row r="18" spans="1:18" x14ac:dyDescent="0.25">
      <c r="A18" s="109" t="s">
        <v>164</v>
      </c>
      <c r="B18" s="131">
        <v>0</v>
      </c>
      <c r="D18" s="127">
        <v>1.22</v>
      </c>
      <c r="E18" s="128">
        <v>45756.345999999954</v>
      </c>
      <c r="F18" s="128">
        <v>10029.289999999999</v>
      </c>
      <c r="G18" s="128">
        <v>5187.4419999999991</v>
      </c>
      <c r="H18" s="128">
        <v>60973.07799999995</v>
      </c>
      <c r="I18" s="126"/>
      <c r="J18" s="126"/>
      <c r="L18" s="127">
        <f t="shared" si="0"/>
        <v>1.22</v>
      </c>
      <c r="M18" s="128">
        <f t="shared" si="3"/>
        <v>73002.336299999952</v>
      </c>
      <c r="N18" s="128">
        <f t="shared" si="1"/>
        <v>873.10105163449987</v>
      </c>
      <c r="O18" s="126"/>
      <c r="P18" s="129" t="str">
        <f t="shared" ca="1" si="2"/>
        <v>=D18</v>
      </c>
      <c r="Q18" s="129" t="str">
        <f t="shared" ca="1" si="2"/>
        <v>=(E18+F18+G18+$B$17)*$B$9</v>
      </c>
      <c r="R18" s="129" t="str">
        <f t="shared" ca="1" si="2"/>
        <v>=M18/$B$7</v>
      </c>
    </row>
    <row r="19" spans="1:18" x14ac:dyDescent="0.25">
      <c r="A19" s="109" t="s">
        <v>165</v>
      </c>
      <c r="B19" s="131">
        <v>0</v>
      </c>
      <c r="D19" s="127">
        <v>1.52</v>
      </c>
      <c r="E19" s="128">
        <v>47424.739999999947</v>
      </c>
      <c r="F19" s="128">
        <v>10029.289999999999</v>
      </c>
      <c r="G19" s="128">
        <v>5353.0019999999995</v>
      </c>
      <c r="H19" s="128">
        <v>62807.031999999948</v>
      </c>
      <c r="I19" s="126"/>
      <c r="J19" s="126"/>
      <c r="L19" s="127">
        <f t="shared" si="0"/>
        <v>1.52</v>
      </c>
      <c r="M19" s="128">
        <f t="shared" si="3"/>
        <v>74836.29029999995</v>
      </c>
      <c r="N19" s="128">
        <f t="shared" si="1"/>
        <v>895.03496837202897</v>
      </c>
      <c r="O19" s="126"/>
      <c r="P19" s="129" t="str">
        <f t="shared" ca="1" si="2"/>
        <v>=D19</v>
      </c>
      <c r="Q19" s="129" t="str">
        <f t="shared" ca="1" si="2"/>
        <v>=(E19+F19+G19+$B$17)*$B$9</v>
      </c>
      <c r="R19" s="129" t="str">
        <f t="shared" ca="1" si="2"/>
        <v>=M19/$B$7</v>
      </c>
    </row>
    <row r="20" spans="1:18" x14ac:dyDescent="0.25">
      <c r="D20" s="127">
        <v>1.83</v>
      </c>
      <c r="E20" s="128">
        <v>47424.739999999947</v>
      </c>
      <c r="F20" s="128">
        <v>10029.289999999999</v>
      </c>
      <c r="G20" s="128">
        <v>5353.0019999999995</v>
      </c>
      <c r="H20" s="128">
        <v>62807.031999999948</v>
      </c>
      <c r="I20" s="126"/>
      <c r="J20" s="126"/>
      <c r="L20" s="127">
        <f t="shared" si="0"/>
        <v>1.83</v>
      </c>
      <c r="M20" s="128">
        <f t="shared" si="3"/>
        <v>74836.29029999995</v>
      </c>
      <c r="N20" s="128">
        <f t="shared" si="1"/>
        <v>895.03496837202897</v>
      </c>
      <c r="O20" s="126"/>
      <c r="P20" s="129" t="str">
        <f t="shared" ca="1" si="2"/>
        <v>=D20</v>
      </c>
      <c r="Q20" s="129" t="str">
        <f t="shared" ca="1" si="2"/>
        <v>=(E20+F20+G20+$B$17)*$B$9</v>
      </c>
      <c r="R20" s="129" t="str">
        <f t="shared" ca="1" si="2"/>
        <v>=M20/$B$7</v>
      </c>
    </row>
    <row r="21" spans="1:18" x14ac:dyDescent="0.25">
      <c r="D21" s="127">
        <v>2.7</v>
      </c>
      <c r="E21" s="128">
        <v>47424.739999999947</v>
      </c>
      <c r="F21" s="128">
        <v>10029.289999999999</v>
      </c>
      <c r="G21" s="128">
        <v>5353.0019999999995</v>
      </c>
      <c r="H21" s="128">
        <v>62807.031999999948</v>
      </c>
      <c r="I21" s="126"/>
      <c r="J21" s="126"/>
      <c r="L21" s="127">
        <f t="shared" si="0"/>
        <v>2.7</v>
      </c>
      <c r="M21" s="128">
        <f t="shared" si="3"/>
        <v>74836.29029999995</v>
      </c>
      <c r="N21" s="128">
        <f t="shared" si="1"/>
        <v>895.03496837202897</v>
      </c>
      <c r="O21" s="126"/>
      <c r="P21" s="129" t="str">
        <f t="shared" ca="1" si="2"/>
        <v>=D21</v>
      </c>
      <c r="Q21" s="129" t="str">
        <f t="shared" ca="1" si="2"/>
        <v>=(E21+F21+G21+$B$17)*$B$9</v>
      </c>
      <c r="R21" s="129" t="str">
        <f t="shared" ca="1" si="2"/>
        <v>=M21/$B$7</v>
      </c>
    </row>
    <row r="22" spans="1:18" x14ac:dyDescent="0.25">
      <c r="L22" s="127"/>
      <c r="M22" s="128"/>
      <c r="N22" s="128"/>
      <c r="O22" s="126"/>
      <c r="P22" s="129"/>
      <c r="Q22" s="129"/>
      <c r="R22" s="132"/>
    </row>
    <row r="23" spans="1:18" x14ac:dyDescent="0.25">
      <c r="L23" s="127"/>
      <c r="M23" s="128"/>
      <c r="N23" s="128"/>
      <c r="O23" s="126"/>
      <c r="P23" s="129"/>
      <c r="Q23" s="129"/>
      <c r="R23" s="132"/>
    </row>
    <row r="24" spans="1:18" x14ac:dyDescent="0.25">
      <c r="L24" s="127"/>
      <c r="M24" s="128"/>
      <c r="N24" s="128"/>
      <c r="O24" s="126"/>
      <c r="P24" s="129"/>
      <c r="Q24" s="129"/>
      <c r="R24" s="132"/>
    </row>
    <row r="25" spans="1:18" x14ac:dyDescent="0.25">
      <c r="L25" s="127"/>
      <c r="M25" s="128"/>
      <c r="N25" s="128"/>
      <c r="O25" s="126"/>
      <c r="P25" s="129"/>
      <c r="Q25" s="129"/>
      <c r="R25" s="132"/>
    </row>
    <row r="26" spans="1:18" x14ac:dyDescent="0.25">
      <c r="L26" s="127"/>
      <c r="M26" s="128"/>
      <c r="N26" s="128"/>
      <c r="O26" s="126"/>
      <c r="P26" s="129"/>
      <c r="Q26" s="129"/>
      <c r="R26" s="132"/>
    </row>
    <row r="27" spans="1:18" x14ac:dyDescent="0.25">
      <c r="L27" s="127"/>
      <c r="M27" s="128"/>
      <c r="N27" s="128"/>
      <c r="O27" s="126"/>
      <c r="P27" s="129"/>
      <c r="Q27" s="129"/>
      <c r="R27" s="132"/>
    </row>
    <row r="28" spans="1:18" x14ac:dyDescent="0.25">
      <c r="L28" s="127"/>
      <c r="M28" s="128"/>
      <c r="N28" s="128"/>
      <c r="O28" s="126"/>
      <c r="P28" s="129"/>
      <c r="Q28" s="129"/>
      <c r="R28" s="132"/>
    </row>
    <row r="29" spans="1:18" x14ac:dyDescent="0.25">
      <c r="L29" s="127"/>
      <c r="M29" s="128"/>
      <c r="N29" s="128"/>
      <c r="O29" s="126"/>
      <c r="P29" s="129"/>
      <c r="Q29" s="129"/>
      <c r="R29" s="132"/>
    </row>
    <row r="30" spans="1:18" x14ac:dyDescent="0.25">
      <c r="L30" s="127"/>
      <c r="M30" s="128"/>
      <c r="N30" s="128"/>
      <c r="O30" s="126"/>
      <c r="P30" s="129"/>
      <c r="Q30" s="129"/>
      <c r="R30" s="132"/>
    </row>
    <row r="31" spans="1:18" x14ac:dyDescent="0.25">
      <c r="L31" s="127"/>
      <c r="M31" s="128"/>
      <c r="N31" s="128"/>
      <c r="O31" s="126"/>
      <c r="P31" s="129"/>
      <c r="Q31" s="129"/>
      <c r="R31" s="132"/>
    </row>
    <row r="32" spans="1:18" x14ac:dyDescent="0.25">
      <c r="L32" s="127"/>
      <c r="M32" s="128"/>
      <c r="N32" s="128"/>
      <c r="O32" s="126"/>
      <c r="P32" s="129"/>
      <c r="Q32" s="129"/>
      <c r="R32" s="132"/>
    </row>
    <row r="33" spans="12:18" x14ac:dyDescent="0.25">
      <c r="L33" s="127"/>
      <c r="M33" s="128"/>
      <c r="N33" s="128"/>
      <c r="O33" s="126"/>
      <c r="P33" s="129"/>
      <c r="Q33" s="129"/>
      <c r="R33" s="132"/>
    </row>
  </sheetData>
  <mergeCells count="7">
    <mergeCell ref="A1:I2"/>
    <mergeCell ref="K1:L1"/>
    <mergeCell ref="M1:N1"/>
    <mergeCell ref="L2:N2"/>
    <mergeCell ref="L3:L4"/>
    <mergeCell ref="M3:N3"/>
    <mergeCell ref="D3:H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FD409BA4-AA3D-465C-8082-DE85599812B7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P21"/>
  <sheetViews>
    <sheetView workbookViewId="0">
      <selection activeCell="D3" sqref="D3:O21"/>
    </sheetView>
  </sheetViews>
  <sheetFormatPr defaultRowHeight="15" x14ac:dyDescent="0.25"/>
  <cols>
    <col min="3" max="15" width="10.7109375" customWidth="1"/>
  </cols>
  <sheetData>
    <row r="3" spans="4:16" x14ac:dyDescent="0.25">
      <c r="D3" s="154" t="s">
        <v>548</v>
      </c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8"/>
    </row>
    <row r="4" spans="4:16" ht="45" customHeight="1" x14ac:dyDescent="0.25">
      <c r="D4" s="156" t="s">
        <v>145</v>
      </c>
      <c r="E4" s="157" t="s">
        <v>66</v>
      </c>
      <c r="F4" s="157" t="s">
        <v>67</v>
      </c>
      <c r="G4" s="157" t="s">
        <v>68</v>
      </c>
      <c r="H4" s="157" t="s">
        <v>13</v>
      </c>
      <c r="I4" s="157" t="s">
        <v>15</v>
      </c>
      <c r="J4" s="157" t="s">
        <v>4</v>
      </c>
      <c r="K4" s="157" t="s">
        <v>7</v>
      </c>
      <c r="L4" s="157" t="s">
        <v>5</v>
      </c>
      <c r="M4" s="157" t="s">
        <v>14</v>
      </c>
      <c r="N4" s="157" t="s">
        <v>6</v>
      </c>
      <c r="O4" s="157" t="s">
        <v>28</v>
      </c>
      <c r="P4" s="8"/>
    </row>
    <row r="5" spans="4:16" x14ac:dyDescent="0.25">
      <c r="D5" s="144">
        <v>-0.9</v>
      </c>
      <c r="E5" s="158">
        <v>0</v>
      </c>
      <c r="F5" s="158">
        <v>0</v>
      </c>
      <c r="G5" s="158">
        <v>0</v>
      </c>
      <c r="H5" s="158">
        <v>0</v>
      </c>
      <c r="I5" s="158">
        <v>0</v>
      </c>
      <c r="J5" s="158">
        <v>0</v>
      </c>
      <c r="K5" s="158">
        <v>0</v>
      </c>
      <c r="L5" s="158">
        <v>0</v>
      </c>
      <c r="M5" s="158">
        <v>0</v>
      </c>
      <c r="N5" s="158">
        <v>0</v>
      </c>
      <c r="O5" s="158">
        <v>0</v>
      </c>
      <c r="P5" s="8"/>
    </row>
    <row r="6" spans="4:16" x14ac:dyDescent="0.25">
      <c r="D6" s="144">
        <v>-0.46</v>
      </c>
      <c r="E6" s="158">
        <v>0</v>
      </c>
      <c r="F6" s="158">
        <v>4103.78</v>
      </c>
      <c r="G6" s="158">
        <v>2398.73</v>
      </c>
      <c r="H6" s="158">
        <v>0</v>
      </c>
      <c r="I6" s="158">
        <v>0</v>
      </c>
      <c r="J6" s="158">
        <v>0</v>
      </c>
      <c r="K6" s="158">
        <v>0</v>
      </c>
      <c r="L6" s="158">
        <v>0</v>
      </c>
      <c r="M6" s="158">
        <v>0</v>
      </c>
      <c r="N6" s="158">
        <v>0</v>
      </c>
      <c r="O6" s="158">
        <v>6502.51</v>
      </c>
      <c r="P6" s="8"/>
    </row>
    <row r="7" spans="4:16" x14ac:dyDescent="0.25">
      <c r="D7" s="144">
        <v>0</v>
      </c>
      <c r="E7" s="158">
        <v>0</v>
      </c>
      <c r="F7" s="158">
        <v>4103.78</v>
      </c>
      <c r="G7" s="158">
        <v>2398.73</v>
      </c>
      <c r="H7" s="158">
        <v>0</v>
      </c>
      <c r="I7" s="158">
        <v>0</v>
      </c>
      <c r="J7" s="158">
        <v>0</v>
      </c>
      <c r="K7" s="158">
        <v>0</v>
      </c>
      <c r="L7" s="158">
        <v>0</v>
      </c>
      <c r="M7" s="158">
        <v>0</v>
      </c>
      <c r="N7" s="158">
        <v>0</v>
      </c>
      <c r="O7" s="158">
        <v>6502.51</v>
      </c>
      <c r="P7" s="8"/>
    </row>
    <row r="8" spans="4:16" x14ac:dyDescent="0.25">
      <c r="D8" s="144">
        <v>0.03</v>
      </c>
      <c r="E8" s="158">
        <v>458.66</v>
      </c>
      <c r="F8" s="158">
        <v>4103.78</v>
      </c>
      <c r="G8" s="158">
        <v>2998.4124999999999</v>
      </c>
      <c r="H8" s="158">
        <v>610.62000000000012</v>
      </c>
      <c r="I8" s="158">
        <v>594.86750000000006</v>
      </c>
      <c r="J8" s="158">
        <v>2739.2750000000001</v>
      </c>
      <c r="K8" s="158">
        <v>1170.1274999999998</v>
      </c>
      <c r="L8" s="158">
        <v>635.43499999999995</v>
      </c>
      <c r="M8" s="158">
        <v>2178.8924999999999</v>
      </c>
      <c r="N8" s="158">
        <v>830.3125</v>
      </c>
      <c r="O8" s="158">
        <v>16320.382499999998</v>
      </c>
      <c r="P8" s="8"/>
    </row>
    <row r="9" spans="4:16" x14ac:dyDescent="0.25">
      <c r="D9" s="144">
        <v>0.05</v>
      </c>
      <c r="E9" s="158">
        <v>1537.16</v>
      </c>
      <c r="F9" s="158">
        <v>4103.78</v>
      </c>
      <c r="G9" s="158">
        <v>2998.4124999999999</v>
      </c>
      <c r="H9" s="158">
        <v>1744.0399999999997</v>
      </c>
      <c r="I9" s="158">
        <v>1258.7775000000001</v>
      </c>
      <c r="J9" s="158">
        <v>5277.0949999999993</v>
      </c>
      <c r="K9" s="158">
        <v>3975.5075000000006</v>
      </c>
      <c r="L9" s="158">
        <v>898.85500000000002</v>
      </c>
      <c r="M9" s="158">
        <v>2746.5124999999998</v>
      </c>
      <c r="N9" s="158">
        <v>1189.3725000000002</v>
      </c>
      <c r="O9" s="158">
        <v>25729.512500000001</v>
      </c>
      <c r="P9" s="8"/>
    </row>
    <row r="10" spans="4:16" x14ac:dyDescent="0.25">
      <c r="D10" s="144">
        <v>0.1</v>
      </c>
      <c r="E10" s="158">
        <v>1537.16</v>
      </c>
      <c r="F10" s="158">
        <v>5603.94</v>
      </c>
      <c r="G10" s="158">
        <v>4776.1424999999999</v>
      </c>
      <c r="H10" s="158">
        <v>1744.0399999999997</v>
      </c>
      <c r="I10" s="158">
        <v>1258.7775000000001</v>
      </c>
      <c r="J10" s="158">
        <v>5277.0949999999993</v>
      </c>
      <c r="K10" s="158">
        <v>3975.5075000000006</v>
      </c>
      <c r="L10" s="158">
        <v>898.85500000000002</v>
      </c>
      <c r="M10" s="158">
        <v>2746.5124999999998</v>
      </c>
      <c r="N10" s="158">
        <v>1189.3725000000002</v>
      </c>
      <c r="O10" s="158">
        <v>29007.4025</v>
      </c>
      <c r="P10" s="8"/>
    </row>
    <row r="11" spans="4:16" x14ac:dyDescent="0.25">
      <c r="D11" s="144">
        <v>0.15</v>
      </c>
      <c r="E11" s="158">
        <v>1537.16</v>
      </c>
      <c r="F11" s="158">
        <v>9069.0299999999988</v>
      </c>
      <c r="G11" s="158">
        <v>4776.1424999999999</v>
      </c>
      <c r="H11" s="158">
        <v>1744.0399999999997</v>
      </c>
      <c r="I11" s="158">
        <v>1258.7775000000001</v>
      </c>
      <c r="J11" s="158">
        <v>5277.0949999999993</v>
      </c>
      <c r="K11" s="158">
        <v>6722.5174999999999</v>
      </c>
      <c r="L11" s="158">
        <v>898.85500000000002</v>
      </c>
      <c r="M11" s="158">
        <v>2746.5124999999998</v>
      </c>
      <c r="N11" s="158">
        <v>1189.3725000000002</v>
      </c>
      <c r="O11" s="158">
        <v>35219.502499999995</v>
      </c>
      <c r="P11" s="8"/>
    </row>
    <row r="12" spans="4:16" x14ac:dyDescent="0.25">
      <c r="D12" s="144">
        <v>0.3</v>
      </c>
      <c r="E12" s="158">
        <v>1537.16</v>
      </c>
      <c r="F12" s="158">
        <v>9069.0299999999988</v>
      </c>
      <c r="G12" s="158">
        <v>4776.1424999999999</v>
      </c>
      <c r="H12" s="158">
        <v>1744.0399999999997</v>
      </c>
      <c r="I12" s="158">
        <v>1258.7775000000001</v>
      </c>
      <c r="J12" s="158">
        <v>5277.0949999999993</v>
      </c>
      <c r="K12" s="158">
        <v>6722.5174999999999</v>
      </c>
      <c r="L12" s="158">
        <v>898.85500000000002</v>
      </c>
      <c r="M12" s="158">
        <v>2746.5124999999998</v>
      </c>
      <c r="N12" s="158">
        <v>1189.3725000000002</v>
      </c>
      <c r="O12" s="158">
        <v>35219.502499999995</v>
      </c>
      <c r="P12" s="8"/>
    </row>
    <row r="13" spans="4:16" x14ac:dyDescent="0.25">
      <c r="D13" s="144">
        <v>0.46</v>
      </c>
      <c r="E13" s="158">
        <v>4182.0920000000006</v>
      </c>
      <c r="F13" s="158">
        <v>9069.0299999999988</v>
      </c>
      <c r="G13" s="158">
        <v>5468.1950000000015</v>
      </c>
      <c r="H13" s="158">
        <v>2001.1699999999998</v>
      </c>
      <c r="I13" s="158">
        <v>1536.1450000000002</v>
      </c>
      <c r="J13" s="158">
        <v>6116.15</v>
      </c>
      <c r="K13" s="158">
        <v>7286.5609999999997</v>
      </c>
      <c r="L13" s="158">
        <v>1180.4299999999998</v>
      </c>
      <c r="M13" s="158">
        <v>3403.6949999999997</v>
      </c>
      <c r="N13" s="158">
        <v>1498.1950000000002</v>
      </c>
      <c r="O13" s="158">
        <v>41741.663</v>
      </c>
      <c r="P13" s="8"/>
    </row>
    <row r="14" spans="4:16" x14ac:dyDescent="0.25">
      <c r="D14" s="144">
        <v>0.61</v>
      </c>
      <c r="E14" s="158">
        <v>4182.0920000000006</v>
      </c>
      <c r="F14" s="158">
        <v>9069.0299999999988</v>
      </c>
      <c r="G14" s="158">
        <v>5468.1950000000015</v>
      </c>
      <c r="H14" s="158">
        <v>3509</v>
      </c>
      <c r="I14" s="158">
        <v>1536.1450000000002</v>
      </c>
      <c r="J14" s="158">
        <v>6116.15</v>
      </c>
      <c r="K14" s="158">
        <v>7286.5609999999997</v>
      </c>
      <c r="L14" s="158">
        <v>1180.4299999999998</v>
      </c>
      <c r="M14" s="158">
        <v>3403.6949999999997</v>
      </c>
      <c r="N14" s="158">
        <v>1498.1950000000002</v>
      </c>
      <c r="O14" s="158">
        <v>43249.493000000002</v>
      </c>
      <c r="P14" s="8"/>
    </row>
    <row r="15" spans="4:16" x14ac:dyDescent="0.25">
      <c r="D15" s="144">
        <v>0.76</v>
      </c>
      <c r="E15" s="158">
        <v>4278.4120000000003</v>
      </c>
      <c r="F15" s="158">
        <v>9069.0299999999988</v>
      </c>
      <c r="G15" s="158">
        <v>5468.1950000000015</v>
      </c>
      <c r="H15" s="158">
        <v>4155.58</v>
      </c>
      <c r="I15" s="158">
        <v>1536.1450000000002</v>
      </c>
      <c r="J15" s="158">
        <v>6116.15</v>
      </c>
      <c r="K15" s="158">
        <v>10594.281000000004</v>
      </c>
      <c r="L15" s="158">
        <v>1180.4299999999998</v>
      </c>
      <c r="M15" s="158">
        <v>3403.6949999999997</v>
      </c>
      <c r="N15" s="158">
        <v>1498.1950000000002</v>
      </c>
      <c r="O15" s="158">
        <v>47300.113000000005</v>
      </c>
      <c r="P15" s="8"/>
    </row>
    <row r="16" spans="4:16" x14ac:dyDescent="0.25">
      <c r="D16" s="144">
        <v>0.91</v>
      </c>
      <c r="E16" s="158">
        <v>5062.2120000000004</v>
      </c>
      <c r="F16" s="158">
        <v>10029.289999999999</v>
      </c>
      <c r="G16" s="158">
        <v>5720.2150000000011</v>
      </c>
      <c r="H16" s="158">
        <v>7729.04</v>
      </c>
      <c r="I16" s="158">
        <v>2168.4300000000003</v>
      </c>
      <c r="J16" s="158">
        <v>7744.3799999999992</v>
      </c>
      <c r="K16" s="158">
        <v>12620.626000000002</v>
      </c>
      <c r="L16" s="158">
        <v>1616.1800000000003</v>
      </c>
      <c r="M16" s="158">
        <v>4526.9800000000005</v>
      </c>
      <c r="N16" s="158">
        <v>2083.98</v>
      </c>
      <c r="O16" s="158">
        <v>59301.333000000013</v>
      </c>
      <c r="P16" s="8"/>
    </row>
    <row r="17" spans="4:16" x14ac:dyDescent="0.25">
      <c r="D17" s="144">
        <v>1.02</v>
      </c>
      <c r="E17" s="158">
        <v>5062.2120000000004</v>
      </c>
      <c r="F17" s="158">
        <v>10029.289999999999</v>
      </c>
      <c r="G17" s="158">
        <v>6919.5800000000017</v>
      </c>
      <c r="H17" s="158">
        <v>7729.04</v>
      </c>
      <c r="I17" s="158">
        <v>2168.4300000000003</v>
      </c>
      <c r="J17" s="158">
        <v>7744.3799999999992</v>
      </c>
      <c r="K17" s="158">
        <v>12730.496000000003</v>
      </c>
      <c r="L17" s="158">
        <v>1616.1800000000003</v>
      </c>
      <c r="M17" s="158">
        <v>4526.9800000000005</v>
      </c>
      <c r="N17" s="158">
        <v>2083.98</v>
      </c>
      <c r="O17" s="158">
        <v>60610.568000000007</v>
      </c>
      <c r="P17" s="8"/>
    </row>
    <row r="18" spans="4:16" x14ac:dyDescent="0.25">
      <c r="D18" s="144">
        <v>1.22</v>
      </c>
      <c r="E18" s="158">
        <v>5187.4419999999991</v>
      </c>
      <c r="F18" s="158">
        <v>10029.289999999999</v>
      </c>
      <c r="G18" s="158">
        <v>6919.5800000000017</v>
      </c>
      <c r="H18" s="158">
        <v>7729.04</v>
      </c>
      <c r="I18" s="158">
        <v>2168.4300000000003</v>
      </c>
      <c r="J18" s="158">
        <v>7789.98</v>
      </c>
      <c r="K18" s="158">
        <v>12922.176000000005</v>
      </c>
      <c r="L18" s="158">
        <v>1616.1800000000003</v>
      </c>
      <c r="M18" s="158">
        <v>4526.9800000000005</v>
      </c>
      <c r="N18" s="158">
        <v>2083.98</v>
      </c>
      <c r="O18" s="158">
        <v>60973.078000000016</v>
      </c>
      <c r="P18" s="8"/>
    </row>
    <row r="19" spans="4:16" x14ac:dyDescent="0.25">
      <c r="D19" s="144">
        <v>1.52</v>
      </c>
      <c r="E19" s="158">
        <v>5353.0019999999995</v>
      </c>
      <c r="F19" s="158">
        <v>10029.289999999999</v>
      </c>
      <c r="G19" s="158">
        <v>7173.6900000000014</v>
      </c>
      <c r="H19" s="158">
        <v>8070.7299999999968</v>
      </c>
      <c r="I19" s="158">
        <v>2252.5800000000004</v>
      </c>
      <c r="J19" s="158">
        <v>8154.3599999999988</v>
      </c>
      <c r="K19" s="158">
        <v>13078.470000000005</v>
      </c>
      <c r="L19" s="158">
        <v>1710.1399999999999</v>
      </c>
      <c r="M19" s="158">
        <v>4749.8599999999997</v>
      </c>
      <c r="N19" s="158">
        <v>2234.91</v>
      </c>
      <c r="O19" s="158">
        <v>62807.032000000007</v>
      </c>
      <c r="P19" s="8"/>
    </row>
    <row r="20" spans="4:16" x14ac:dyDescent="0.25">
      <c r="D20" s="144">
        <v>1.83</v>
      </c>
      <c r="E20" s="158">
        <v>5353.0019999999995</v>
      </c>
      <c r="F20" s="158">
        <v>10029.289999999999</v>
      </c>
      <c r="G20" s="158">
        <v>7173.6900000000014</v>
      </c>
      <c r="H20" s="158">
        <v>8070.7299999999968</v>
      </c>
      <c r="I20" s="158">
        <v>2252.5800000000004</v>
      </c>
      <c r="J20" s="158">
        <v>8154.3599999999988</v>
      </c>
      <c r="K20" s="158">
        <v>13078.470000000005</v>
      </c>
      <c r="L20" s="158">
        <v>1710.1399999999999</v>
      </c>
      <c r="M20" s="158">
        <v>4749.8599999999997</v>
      </c>
      <c r="N20" s="158">
        <v>2234.91</v>
      </c>
      <c r="O20" s="158">
        <v>62807.032000000007</v>
      </c>
      <c r="P20" s="8"/>
    </row>
    <row r="21" spans="4:16" x14ac:dyDescent="0.25">
      <c r="D21" s="144">
        <v>2.7</v>
      </c>
      <c r="E21" s="158">
        <v>5353.0019999999995</v>
      </c>
      <c r="F21" s="158">
        <v>10029.289999999999</v>
      </c>
      <c r="G21" s="158">
        <v>7173.6900000000014</v>
      </c>
      <c r="H21" s="158">
        <v>8070.7299999999968</v>
      </c>
      <c r="I21" s="158">
        <v>2252.5800000000004</v>
      </c>
      <c r="J21" s="158">
        <v>8154.3599999999988</v>
      </c>
      <c r="K21" s="158">
        <v>13078.470000000005</v>
      </c>
      <c r="L21" s="158">
        <v>1710.1399999999999</v>
      </c>
      <c r="M21" s="158">
        <v>4749.8599999999997</v>
      </c>
      <c r="N21" s="158">
        <v>2234.91</v>
      </c>
      <c r="O21" s="158">
        <v>62807.032000000007</v>
      </c>
      <c r="P21" s="8"/>
    </row>
  </sheetData>
  <mergeCells count="1">
    <mergeCell ref="D3:O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553</v>
      </c>
    </row>
    <row r="2" spans="1:2" x14ac:dyDescent="0.25">
      <c r="A2" s="33" t="s">
        <v>103</v>
      </c>
      <c r="B2" s="55" t="s">
        <v>260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258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524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233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900</v>
      </c>
    </row>
    <row r="17" spans="1:2" x14ac:dyDescent="0.25">
      <c r="A17" s="33" t="s">
        <v>114</v>
      </c>
      <c r="B17" s="55">
        <v>83.61</v>
      </c>
    </row>
    <row r="18" spans="1:2" x14ac:dyDescent="0.25">
      <c r="A18" s="33" t="s">
        <v>115</v>
      </c>
      <c r="B18" s="55" t="s">
        <v>550</v>
      </c>
    </row>
    <row r="19" spans="1:2" x14ac:dyDescent="0.25">
      <c r="A19" s="33" t="s">
        <v>116</v>
      </c>
      <c r="B19" s="55" t="s">
        <v>551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552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6502.51</v>
      </c>
    </row>
    <row r="28" spans="1:2" x14ac:dyDescent="0.25">
      <c r="A28" s="54">
        <v>0</v>
      </c>
      <c r="B28" s="53">
        <v>6502.51</v>
      </c>
    </row>
    <row r="29" spans="1:2" x14ac:dyDescent="0.25">
      <c r="A29" s="54">
        <v>0.03</v>
      </c>
      <c r="B29" s="53">
        <v>28349.640800000001</v>
      </c>
    </row>
    <row r="30" spans="1:2" x14ac:dyDescent="0.25">
      <c r="A30" s="54">
        <v>0.05</v>
      </c>
      <c r="B30" s="53">
        <v>37758.770799999998</v>
      </c>
    </row>
    <row r="31" spans="1:2" x14ac:dyDescent="0.25">
      <c r="A31" s="54">
        <v>0.1</v>
      </c>
      <c r="B31" s="53">
        <v>41036.660800000005</v>
      </c>
    </row>
    <row r="32" spans="1:2" x14ac:dyDescent="0.25">
      <c r="A32" s="54">
        <v>0.15</v>
      </c>
      <c r="B32" s="53">
        <v>47248.760799999996</v>
      </c>
    </row>
    <row r="33" spans="1:2" x14ac:dyDescent="0.25">
      <c r="A33" s="54">
        <v>0.3</v>
      </c>
      <c r="B33" s="53">
        <v>47248.760799999996</v>
      </c>
    </row>
    <row r="34" spans="1:2" x14ac:dyDescent="0.25">
      <c r="A34" s="54">
        <v>0.46</v>
      </c>
      <c r="B34" s="53">
        <v>53770.921300000002</v>
      </c>
    </row>
    <row r="35" spans="1:2" x14ac:dyDescent="0.25">
      <c r="A35" s="54">
        <v>0.61</v>
      </c>
      <c r="B35" s="53">
        <v>55278.751299999989</v>
      </c>
    </row>
    <row r="36" spans="1:2" x14ac:dyDescent="0.25">
      <c r="A36" s="54">
        <v>0.76</v>
      </c>
      <c r="B36" s="53">
        <v>59329.371299999984</v>
      </c>
    </row>
    <row r="37" spans="1:2" x14ac:dyDescent="0.25">
      <c r="A37" s="54">
        <v>0.91</v>
      </c>
      <c r="B37" s="53">
        <v>71330.591299999956</v>
      </c>
    </row>
    <row r="38" spans="1:2" x14ac:dyDescent="0.25">
      <c r="A38" s="54">
        <v>1.02</v>
      </c>
      <c r="B38" s="53">
        <v>72639.826299999957</v>
      </c>
    </row>
    <row r="39" spans="1:2" x14ac:dyDescent="0.25">
      <c r="A39" s="54">
        <v>1.22</v>
      </c>
      <c r="B39" s="53">
        <v>73002.336299999952</v>
      </c>
    </row>
    <row r="40" spans="1:2" x14ac:dyDescent="0.25">
      <c r="A40" s="54">
        <v>1.52</v>
      </c>
      <c r="B40" s="53">
        <v>74836.29029999995</v>
      </c>
    </row>
    <row r="41" spans="1:2" x14ac:dyDescent="0.25">
      <c r="A41" s="54">
        <v>1.83</v>
      </c>
      <c r="B41" s="53">
        <v>74836.29029999995</v>
      </c>
    </row>
    <row r="42" spans="1:2" x14ac:dyDescent="0.25">
      <c r="A42" s="54">
        <v>2.7</v>
      </c>
      <c r="B42" s="53">
        <v>74836.29029999995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R_1-S-C-EC_info</vt:lpstr>
      <vt:lpstr>R_1-S-C-EC_NBFR_m2</vt:lpstr>
      <vt:lpstr>R_1-S-C-EC_NBFR_struct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2023-09-18T16:15:46Z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