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FREDERICTON_final\R_1-L-BD-CU_NBFR\"/>
    </mc:Choice>
  </mc:AlternateContent>
  <xr:revisionPtr revIDLastSave="0" documentId="13_ncr:1_{F534A2B2-F7CD-4D55-AA60-2D76DC5A2118}" xr6:coauthVersionLast="47" xr6:coauthVersionMax="47" xr10:uidLastSave="{00000000-0000-0000-0000-000000000000}"/>
  <bookViews>
    <workbookView xWindow="1125" yWindow="330" windowWidth="23205" windowHeight="13650" tabRatio="813" firstSheet="1" activeTab="3" xr2:uid="{7C5655A8-2A5B-4B20-ABA5-441C5835F3C9}"/>
  </bookViews>
  <sheets>
    <sheet name="R_1-L-BD-CU_info" sheetId="50" r:id="rId1"/>
    <sheet name="R_1-L-BD-CU_NBFR_m2" sheetId="52" r:id="rId2"/>
    <sheet name="R_1-L-BD-CU_NBFR_struct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357" r:id="rId13"/>
    <pivotCache cacheId="363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1022" i="51" l="1"/>
  <c r="AY1022" i="51"/>
  <c r="AX1022" i="51"/>
  <c r="AW1022" i="51"/>
  <c r="AV1022" i="51"/>
  <c r="AU1022" i="51"/>
  <c r="AT1022" i="51"/>
  <c r="AS1022" i="51"/>
  <c r="AR1022" i="51"/>
  <c r="AQ1022" i="51"/>
  <c r="AP1022" i="51"/>
  <c r="AO1022" i="51"/>
  <c r="AN1022" i="51"/>
  <c r="AM1022" i="51"/>
  <c r="AL1022" i="51"/>
  <c r="AK1022" i="51"/>
  <c r="AJ1022" i="51"/>
  <c r="AZ1021" i="51"/>
  <c r="AY1021" i="51"/>
  <c r="AX1021" i="51"/>
  <c r="AW1021" i="51"/>
  <c r="AV1021" i="51"/>
  <c r="AU1021" i="51"/>
  <c r="AT1021" i="51"/>
  <c r="AS1021" i="51"/>
  <c r="AR1021" i="51"/>
  <c r="AQ1021" i="51"/>
  <c r="AP1021" i="51"/>
  <c r="AO1021" i="51"/>
  <c r="AN1021" i="51"/>
  <c r="AM1021" i="51"/>
  <c r="AL1021" i="51"/>
  <c r="AK1021" i="51"/>
  <c r="AJ1021" i="51"/>
  <c r="AZ1020" i="51"/>
  <c r="AY1020" i="51"/>
  <c r="AX1020" i="51"/>
  <c r="AW1020" i="51"/>
  <c r="AV1020" i="51"/>
  <c r="AU1020" i="51"/>
  <c r="AT1020" i="51"/>
  <c r="AS1020" i="51"/>
  <c r="AR1020" i="51"/>
  <c r="AQ1020" i="51"/>
  <c r="AP1020" i="51"/>
  <c r="AO1020" i="51"/>
  <c r="AN1020" i="51"/>
  <c r="AM1020" i="51"/>
  <c r="AL1020" i="51"/>
  <c r="AK1020" i="51"/>
  <c r="AJ1020" i="51"/>
  <c r="AZ1019" i="51"/>
  <c r="AY1019" i="51"/>
  <c r="AX1019" i="51"/>
  <c r="AW1019" i="51"/>
  <c r="AV1019" i="51"/>
  <c r="AU1019" i="51"/>
  <c r="AT1019" i="51"/>
  <c r="AS1019" i="51"/>
  <c r="AR1019" i="51"/>
  <c r="AQ1019" i="51"/>
  <c r="AP1019" i="51"/>
  <c r="AO1019" i="51"/>
  <c r="AN1019" i="51"/>
  <c r="AM1019" i="51"/>
  <c r="AL1019" i="51"/>
  <c r="AK1019" i="51"/>
  <c r="AJ1019" i="51"/>
  <c r="AZ1018" i="51"/>
  <c r="AY1018" i="51"/>
  <c r="AX1018" i="51"/>
  <c r="AW1018" i="51"/>
  <c r="AV1018" i="51"/>
  <c r="AU1018" i="51"/>
  <c r="AT1018" i="51"/>
  <c r="AS1018" i="51"/>
  <c r="AR1018" i="51"/>
  <c r="AQ1018" i="51"/>
  <c r="AP1018" i="51"/>
  <c r="AO1018" i="51"/>
  <c r="AN1018" i="51"/>
  <c r="AM1018" i="51"/>
  <c r="AL1018" i="51"/>
  <c r="AK1018" i="51"/>
  <c r="AJ1018" i="51"/>
  <c r="AZ1017" i="51"/>
  <c r="AY1017" i="51"/>
  <c r="AX1017" i="51"/>
  <c r="AW1017" i="51"/>
  <c r="AV1017" i="51"/>
  <c r="AU1017" i="51"/>
  <c r="AT1017" i="51"/>
  <c r="AS1017" i="51"/>
  <c r="AR1017" i="51"/>
  <c r="AQ1017" i="51"/>
  <c r="AP1017" i="51"/>
  <c r="AO1017" i="51"/>
  <c r="AN1017" i="51"/>
  <c r="AM1017" i="51"/>
  <c r="AL1017" i="51"/>
  <c r="AK1017" i="51"/>
  <c r="AJ1017" i="51"/>
  <c r="AZ1016" i="51"/>
  <c r="AY1016" i="51"/>
  <c r="AX1016" i="51"/>
  <c r="AW1016" i="51"/>
  <c r="AV1016" i="51"/>
  <c r="AU1016" i="51"/>
  <c r="AT1016" i="51"/>
  <c r="AS1016" i="51"/>
  <c r="AR1016" i="51"/>
  <c r="AQ1016" i="51"/>
  <c r="AP1016" i="51"/>
  <c r="AO1016" i="51"/>
  <c r="AN1016" i="51"/>
  <c r="AM1016" i="51"/>
  <c r="AL1016" i="51"/>
  <c r="AK1016" i="51"/>
  <c r="AJ1016" i="51"/>
  <c r="AZ1015" i="51"/>
  <c r="AY1015" i="51"/>
  <c r="AX1015" i="51"/>
  <c r="AW1015" i="51"/>
  <c r="AV1015" i="51"/>
  <c r="AU1015" i="51"/>
  <c r="AT1015" i="51"/>
  <c r="AS1015" i="51"/>
  <c r="AR1015" i="51"/>
  <c r="AQ1015" i="51"/>
  <c r="AP1015" i="51"/>
  <c r="AO1015" i="51"/>
  <c r="AN1015" i="51"/>
  <c r="AM1015" i="51"/>
  <c r="AL1015" i="51"/>
  <c r="AK1015" i="51"/>
  <c r="AJ1015" i="51"/>
  <c r="AZ1014" i="51"/>
  <c r="AY1014" i="51"/>
  <c r="AX1014" i="51"/>
  <c r="AW1014" i="51"/>
  <c r="AV1014" i="51"/>
  <c r="AU1014" i="51"/>
  <c r="AT1014" i="51"/>
  <c r="AS1014" i="51"/>
  <c r="AR1014" i="51"/>
  <c r="AQ1014" i="51"/>
  <c r="AP1014" i="51"/>
  <c r="AO1014" i="51"/>
  <c r="AN1014" i="51"/>
  <c r="AM1014" i="51"/>
  <c r="AL1014" i="51"/>
  <c r="AK1014" i="51"/>
  <c r="AJ1014" i="51"/>
  <c r="AZ1013" i="51"/>
  <c r="AY1013" i="51"/>
  <c r="AX1013" i="51"/>
  <c r="AW1013" i="51"/>
  <c r="AV1013" i="51"/>
  <c r="AU1013" i="51"/>
  <c r="AT1013" i="51"/>
  <c r="AS1013" i="51"/>
  <c r="AR1013" i="51"/>
  <c r="AQ1013" i="51"/>
  <c r="AP1013" i="51"/>
  <c r="AO1013" i="51"/>
  <c r="AN1013" i="51"/>
  <c r="AM1013" i="51"/>
  <c r="AL1013" i="51"/>
  <c r="AK1013" i="51"/>
  <c r="AJ1013" i="51"/>
  <c r="AZ1012" i="51"/>
  <c r="AY1012" i="51"/>
  <c r="AX1012" i="51"/>
  <c r="AW1012" i="51"/>
  <c r="AV1012" i="51"/>
  <c r="AU1012" i="51"/>
  <c r="AT1012" i="51"/>
  <c r="AS1012" i="51"/>
  <c r="AR1012" i="51"/>
  <c r="AQ1012" i="51"/>
  <c r="AP1012" i="51"/>
  <c r="AO1012" i="51"/>
  <c r="AN1012" i="51"/>
  <c r="AM1012" i="51"/>
  <c r="AL1012" i="51"/>
  <c r="AK1012" i="51"/>
  <c r="AJ1012" i="51"/>
  <c r="AZ1011" i="51"/>
  <c r="AY1011" i="51"/>
  <c r="AX1011" i="51"/>
  <c r="AW1011" i="51"/>
  <c r="AV1011" i="51"/>
  <c r="AU1011" i="51"/>
  <c r="AT1011" i="51"/>
  <c r="AS1011" i="51"/>
  <c r="AR1011" i="51"/>
  <c r="AQ1011" i="51"/>
  <c r="AP1011" i="51"/>
  <c r="AO1011" i="51"/>
  <c r="AN1011" i="51"/>
  <c r="AM1011" i="51"/>
  <c r="AL1011" i="51"/>
  <c r="AK1011" i="51"/>
  <c r="AJ1011" i="51"/>
  <c r="AZ1010" i="51"/>
  <c r="AY1010" i="51"/>
  <c r="AX1010" i="51"/>
  <c r="AW1010" i="51"/>
  <c r="AV1010" i="51"/>
  <c r="AU1010" i="51"/>
  <c r="AT1010" i="51"/>
  <c r="AS1010" i="51"/>
  <c r="AR1010" i="51"/>
  <c r="AQ1010" i="51"/>
  <c r="AP1010" i="51"/>
  <c r="AO1010" i="51"/>
  <c r="AN1010" i="51"/>
  <c r="AM1010" i="51"/>
  <c r="AL1010" i="51"/>
  <c r="AK1010" i="51"/>
  <c r="AJ1010" i="51"/>
  <c r="AZ1009" i="51"/>
  <c r="AY1009" i="51"/>
  <c r="AX1009" i="51"/>
  <c r="AW1009" i="51"/>
  <c r="AV1009" i="51"/>
  <c r="AU1009" i="51"/>
  <c r="AT1009" i="51"/>
  <c r="AS1009" i="51"/>
  <c r="AR1009" i="51"/>
  <c r="AQ1009" i="51"/>
  <c r="AP1009" i="51"/>
  <c r="AO1009" i="51"/>
  <c r="AN1009" i="51"/>
  <c r="AM1009" i="51"/>
  <c r="AL1009" i="51"/>
  <c r="AK1009" i="51"/>
  <c r="AJ1009" i="51"/>
  <c r="AZ1008" i="51"/>
  <c r="AY1008" i="51"/>
  <c r="AX1008" i="51"/>
  <c r="AW1008" i="51"/>
  <c r="AV1008" i="51"/>
  <c r="AU1008" i="51"/>
  <c r="AT1008" i="51"/>
  <c r="AS1008" i="51"/>
  <c r="AR1008" i="51"/>
  <c r="AQ1008" i="51"/>
  <c r="AP1008" i="51"/>
  <c r="AO1008" i="51"/>
  <c r="AN1008" i="51"/>
  <c r="AM1008" i="51"/>
  <c r="AL1008" i="51"/>
  <c r="AK1008" i="51"/>
  <c r="AJ1008" i="51"/>
  <c r="AZ1007" i="51"/>
  <c r="AY1007" i="51"/>
  <c r="AX1007" i="51"/>
  <c r="AW1007" i="51"/>
  <c r="AV1007" i="51"/>
  <c r="AU1007" i="51"/>
  <c r="AT1007" i="51"/>
  <c r="AS1007" i="51"/>
  <c r="AR1007" i="51"/>
  <c r="AQ1007" i="51"/>
  <c r="AP1007" i="51"/>
  <c r="AO1007" i="51"/>
  <c r="AN1007" i="51"/>
  <c r="AM1007" i="51"/>
  <c r="AL1007" i="51"/>
  <c r="AK1007" i="51"/>
  <c r="AJ1007" i="51"/>
  <c r="AZ1006" i="51"/>
  <c r="AY1006" i="51"/>
  <c r="AX1006" i="51"/>
  <c r="AW1006" i="51"/>
  <c r="AV1006" i="51"/>
  <c r="AU1006" i="51"/>
  <c r="AT1006" i="51"/>
  <c r="AS1006" i="51"/>
  <c r="AR1006" i="51"/>
  <c r="AQ1006" i="51"/>
  <c r="AP1006" i="51"/>
  <c r="AO1006" i="51"/>
  <c r="AN1006" i="51"/>
  <c r="AM1006" i="51"/>
  <c r="AL1006" i="51"/>
  <c r="AK1006" i="51"/>
  <c r="AJ1006" i="51"/>
  <c r="AZ1005" i="51"/>
  <c r="AY1005" i="51"/>
  <c r="AX1005" i="51"/>
  <c r="AW1005" i="51"/>
  <c r="AV1005" i="51"/>
  <c r="AU1005" i="51"/>
  <c r="AT1005" i="51"/>
  <c r="AS1005" i="51"/>
  <c r="AR1005" i="51"/>
  <c r="AQ1005" i="51"/>
  <c r="AP1005" i="51"/>
  <c r="AO1005" i="51"/>
  <c r="AN1005" i="51"/>
  <c r="AM1005" i="51"/>
  <c r="AL1005" i="51"/>
  <c r="AK1005" i="51"/>
  <c r="AJ1005" i="51"/>
  <c r="AZ1004" i="51"/>
  <c r="AY1004" i="51"/>
  <c r="AX1004" i="51"/>
  <c r="AW1004" i="51"/>
  <c r="AV1004" i="51"/>
  <c r="AU1004" i="51"/>
  <c r="AT1004" i="51"/>
  <c r="AS1004" i="51"/>
  <c r="AR1004" i="51"/>
  <c r="AQ1004" i="51"/>
  <c r="AP1004" i="51"/>
  <c r="AO1004" i="51"/>
  <c r="AN1004" i="51"/>
  <c r="AM1004" i="51"/>
  <c r="AL1004" i="51"/>
  <c r="AK1004" i="51"/>
  <c r="AJ1004" i="51"/>
  <c r="AZ1003" i="51"/>
  <c r="AY1003" i="51"/>
  <c r="AX1003" i="51"/>
  <c r="AW1003" i="51"/>
  <c r="AV1003" i="51"/>
  <c r="AU1003" i="51"/>
  <c r="AT1003" i="51"/>
  <c r="AS1003" i="51"/>
  <c r="AR1003" i="51"/>
  <c r="AQ1003" i="51"/>
  <c r="AP1003" i="51"/>
  <c r="AO1003" i="51"/>
  <c r="AN1003" i="51"/>
  <c r="AM1003" i="51"/>
  <c r="AL1003" i="51"/>
  <c r="AK1003" i="51"/>
  <c r="AJ1003" i="51"/>
  <c r="AZ1002" i="51"/>
  <c r="AY1002" i="51"/>
  <c r="AX1002" i="51"/>
  <c r="AW1002" i="51"/>
  <c r="AV1002" i="51"/>
  <c r="AU1002" i="51"/>
  <c r="AT1002" i="51"/>
  <c r="AS1002" i="51"/>
  <c r="AR1002" i="51"/>
  <c r="AQ1002" i="51"/>
  <c r="AP1002" i="51"/>
  <c r="AO1002" i="51"/>
  <c r="AN1002" i="51"/>
  <c r="AM1002" i="51"/>
  <c r="AL1002" i="51"/>
  <c r="AK1002" i="51"/>
  <c r="AJ1002" i="51"/>
  <c r="AZ1001" i="51"/>
  <c r="AY1001" i="51"/>
  <c r="AX1001" i="51"/>
  <c r="AW1001" i="51"/>
  <c r="AV1001" i="51"/>
  <c r="AU1001" i="51"/>
  <c r="AT1001" i="51"/>
  <c r="AS1001" i="51"/>
  <c r="AR1001" i="51"/>
  <c r="AQ1001" i="51"/>
  <c r="AP1001" i="51"/>
  <c r="AO1001" i="51"/>
  <c r="AN1001" i="51"/>
  <c r="AM1001" i="51"/>
  <c r="AL1001" i="51"/>
  <c r="AK1001" i="51"/>
  <c r="AJ1001" i="51"/>
  <c r="AZ1000" i="51"/>
  <c r="AY1000" i="51"/>
  <c r="AX1000" i="51"/>
  <c r="AW1000" i="51"/>
  <c r="AV1000" i="51"/>
  <c r="AU1000" i="51"/>
  <c r="AT1000" i="51"/>
  <c r="AS1000" i="51"/>
  <c r="AR1000" i="51"/>
  <c r="AQ1000" i="51"/>
  <c r="AP1000" i="51"/>
  <c r="AO1000" i="51"/>
  <c r="AN1000" i="51"/>
  <c r="AM1000" i="51"/>
  <c r="AL1000" i="51"/>
  <c r="AK1000" i="51"/>
  <c r="AJ1000" i="51"/>
  <c r="AZ999" i="51"/>
  <c r="AY999" i="51"/>
  <c r="AX999" i="51"/>
  <c r="AW999" i="51"/>
  <c r="AV999" i="51"/>
  <c r="AU999" i="51"/>
  <c r="AT999" i="51"/>
  <c r="AS999" i="51"/>
  <c r="AR999" i="51"/>
  <c r="AQ999" i="51"/>
  <c r="AP999" i="51"/>
  <c r="AO999" i="51"/>
  <c r="AN999" i="51"/>
  <c r="AM999" i="51"/>
  <c r="AL999" i="51"/>
  <c r="AK999" i="51"/>
  <c r="AJ999" i="51"/>
  <c r="AZ998" i="51"/>
  <c r="AY998" i="51"/>
  <c r="AX998" i="51"/>
  <c r="AW998" i="51"/>
  <c r="AV998" i="51"/>
  <c r="AU998" i="51"/>
  <c r="AT998" i="51"/>
  <c r="AS998" i="51"/>
  <c r="AR998" i="51"/>
  <c r="AQ998" i="51"/>
  <c r="AP998" i="51"/>
  <c r="AO998" i="51"/>
  <c r="AN998" i="51"/>
  <c r="AM998" i="51"/>
  <c r="AL998" i="51"/>
  <c r="AK998" i="51"/>
  <c r="AJ998" i="51"/>
  <c r="AZ997" i="51"/>
  <c r="AY997" i="51"/>
  <c r="AX997" i="51"/>
  <c r="AW997" i="51"/>
  <c r="AV997" i="51"/>
  <c r="AU997" i="51"/>
  <c r="AT997" i="51"/>
  <c r="AS997" i="51"/>
  <c r="AR997" i="51"/>
  <c r="AQ997" i="51"/>
  <c r="AP997" i="51"/>
  <c r="AO997" i="51"/>
  <c r="AN997" i="51"/>
  <c r="AM997" i="51"/>
  <c r="AL997" i="51"/>
  <c r="AK997" i="51"/>
  <c r="AJ997" i="51"/>
  <c r="AZ996" i="51"/>
  <c r="AY996" i="51"/>
  <c r="AX996" i="51"/>
  <c r="AW996" i="51"/>
  <c r="AV996" i="51"/>
  <c r="AU996" i="51"/>
  <c r="AT996" i="51"/>
  <c r="AS996" i="51"/>
  <c r="AR996" i="51"/>
  <c r="AQ996" i="51"/>
  <c r="AP996" i="51"/>
  <c r="AO996" i="51"/>
  <c r="AN996" i="51"/>
  <c r="AM996" i="51"/>
  <c r="AL996" i="51"/>
  <c r="AK996" i="51"/>
  <c r="AJ996" i="51"/>
  <c r="AZ995" i="51"/>
  <c r="AY995" i="51"/>
  <c r="AX995" i="51"/>
  <c r="AW995" i="51"/>
  <c r="AV995" i="51"/>
  <c r="AU995" i="51"/>
  <c r="AT995" i="51"/>
  <c r="AS995" i="51"/>
  <c r="AR995" i="51"/>
  <c r="AQ995" i="51"/>
  <c r="AP995" i="51"/>
  <c r="AO995" i="51"/>
  <c r="AN995" i="51"/>
  <c r="AM995" i="51"/>
  <c r="AL995" i="51"/>
  <c r="AK995" i="51"/>
  <c r="AJ995" i="51"/>
  <c r="AZ994" i="51"/>
  <c r="AY994" i="51"/>
  <c r="AX994" i="51"/>
  <c r="AW994" i="51"/>
  <c r="AV994" i="51"/>
  <c r="AU994" i="51"/>
  <c r="AT994" i="51"/>
  <c r="AS994" i="51"/>
  <c r="AR994" i="51"/>
  <c r="AQ994" i="51"/>
  <c r="AP994" i="51"/>
  <c r="AO994" i="51"/>
  <c r="AN994" i="51"/>
  <c r="AM994" i="51"/>
  <c r="AL994" i="51"/>
  <c r="AK994" i="51"/>
  <c r="AJ994" i="51"/>
  <c r="AZ993" i="51"/>
  <c r="AY993" i="51"/>
  <c r="AX993" i="51"/>
  <c r="AW993" i="51"/>
  <c r="AV993" i="51"/>
  <c r="AU993" i="51"/>
  <c r="AT993" i="51"/>
  <c r="AS993" i="51"/>
  <c r="AR993" i="51"/>
  <c r="AQ993" i="51"/>
  <c r="AP993" i="51"/>
  <c r="AO993" i="51"/>
  <c r="AN993" i="51"/>
  <c r="AM993" i="51"/>
  <c r="AL993" i="51"/>
  <c r="AK993" i="51"/>
  <c r="AJ993" i="51"/>
  <c r="AZ992" i="51"/>
  <c r="AY992" i="51"/>
  <c r="AX992" i="51"/>
  <c r="AW992" i="51"/>
  <c r="AV992" i="51"/>
  <c r="AU992" i="51"/>
  <c r="AT992" i="51"/>
  <c r="AS992" i="51"/>
  <c r="AR992" i="51"/>
  <c r="AQ992" i="51"/>
  <c r="AP992" i="51"/>
  <c r="AO992" i="51"/>
  <c r="AN992" i="51"/>
  <c r="AM992" i="51"/>
  <c r="AL992" i="51"/>
  <c r="AK992" i="51"/>
  <c r="AJ992" i="51"/>
  <c r="AZ991" i="51"/>
  <c r="AY991" i="51"/>
  <c r="AX991" i="51"/>
  <c r="AW991" i="51"/>
  <c r="AV991" i="51"/>
  <c r="AU991" i="51"/>
  <c r="AT991" i="51"/>
  <c r="AS991" i="51"/>
  <c r="AR991" i="51"/>
  <c r="AQ991" i="51"/>
  <c r="AP991" i="51"/>
  <c r="AO991" i="51"/>
  <c r="AN991" i="51"/>
  <c r="AM991" i="51"/>
  <c r="AL991" i="51"/>
  <c r="AK991" i="51"/>
  <c r="AJ991" i="51"/>
  <c r="AZ990" i="51"/>
  <c r="AY990" i="51"/>
  <c r="AX990" i="51"/>
  <c r="AW990" i="51"/>
  <c r="AV990" i="51"/>
  <c r="AU990" i="51"/>
  <c r="AT990" i="51"/>
  <c r="AS990" i="51"/>
  <c r="AR990" i="51"/>
  <c r="AQ990" i="51"/>
  <c r="AP990" i="51"/>
  <c r="AO990" i="51"/>
  <c r="AN990" i="51"/>
  <c r="AM990" i="51"/>
  <c r="AL990" i="51"/>
  <c r="AK990" i="51"/>
  <c r="AJ990" i="51"/>
  <c r="AZ989" i="51"/>
  <c r="AY989" i="51"/>
  <c r="AX989" i="51"/>
  <c r="AW989" i="51"/>
  <c r="AV989" i="51"/>
  <c r="AU989" i="51"/>
  <c r="AT989" i="51"/>
  <c r="AS989" i="51"/>
  <c r="AR989" i="51"/>
  <c r="AQ989" i="51"/>
  <c r="AP989" i="51"/>
  <c r="AO989" i="51"/>
  <c r="AN989" i="51"/>
  <c r="AM989" i="51"/>
  <c r="AL989" i="51"/>
  <c r="AK989" i="51"/>
  <c r="AJ989" i="51"/>
  <c r="AZ988" i="51"/>
  <c r="AY988" i="51"/>
  <c r="AX988" i="51"/>
  <c r="AW988" i="51"/>
  <c r="AV988" i="51"/>
  <c r="AU988" i="51"/>
  <c r="AT988" i="51"/>
  <c r="AS988" i="51"/>
  <c r="AR988" i="51"/>
  <c r="AQ988" i="51"/>
  <c r="AP988" i="51"/>
  <c r="AO988" i="51"/>
  <c r="AN988" i="51"/>
  <c r="AM988" i="51"/>
  <c r="AL988" i="51"/>
  <c r="AK988" i="51"/>
  <c r="AJ988" i="51"/>
  <c r="AZ987" i="51"/>
  <c r="AY987" i="51"/>
  <c r="AX987" i="51"/>
  <c r="AW987" i="51"/>
  <c r="AV987" i="51"/>
  <c r="AU987" i="51"/>
  <c r="AT987" i="51"/>
  <c r="AS987" i="51"/>
  <c r="AR987" i="51"/>
  <c r="AQ987" i="51"/>
  <c r="AP987" i="51"/>
  <c r="AO987" i="51"/>
  <c r="AN987" i="51"/>
  <c r="AM987" i="51"/>
  <c r="AL987" i="51"/>
  <c r="AK987" i="51"/>
  <c r="AJ987" i="51"/>
  <c r="AZ986" i="51"/>
  <c r="AY986" i="51"/>
  <c r="AX986" i="51"/>
  <c r="AW986" i="51"/>
  <c r="AV986" i="51"/>
  <c r="AU986" i="51"/>
  <c r="AT986" i="51"/>
  <c r="AS986" i="51"/>
  <c r="AR986" i="51"/>
  <c r="AQ986" i="51"/>
  <c r="AP986" i="51"/>
  <c r="AO986" i="51"/>
  <c r="AN986" i="51"/>
  <c r="AM986" i="51"/>
  <c r="AL986" i="51"/>
  <c r="AK986" i="51"/>
  <c r="AJ986" i="51"/>
  <c r="AZ985" i="51"/>
  <c r="AY985" i="51"/>
  <c r="AX985" i="51"/>
  <c r="AW985" i="51"/>
  <c r="AV985" i="51"/>
  <c r="AU985" i="51"/>
  <c r="AT985" i="51"/>
  <c r="AS985" i="51"/>
  <c r="AR985" i="51"/>
  <c r="AQ985" i="51"/>
  <c r="AP985" i="51"/>
  <c r="AO985" i="51"/>
  <c r="AN985" i="51"/>
  <c r="AM985" i="51"/>
  <c r="AL985" i="51"/>
  <c r="AK985" i="51"/>
  <c r="AJ985" i="51"/>
  <c r="AZ984" i="51"/>
  <c r="AY984" i="51"/>
  <c r="AX984" i="51"/>
  <c r="AW984" i="51"/>
  <c r="AV984" i="51"/>
  <c r="AU984" i="51"/>
  <c r="AT984" i="51"/>
  <c r="AS984" i="51"/>
  <c r="AR984" i="51"/>
  <c r="AQ984" i="51"/>
  <c r="AP984" i="51"/>
  <c r="AO984" i="51"/>
  <c r="AN984" i="51"/>
  <c r="AM984" i="51"/>
  <c r="AL984" i="51"/>
  <c r="AK984" i="51"/>
  <c r="AJ984" i="51"/>
  <c r="AZ983" i="51"/>
  <c r="AY983" i="51"/>
  <c r="AX983" i="51"/>
  <c r="AW983" i="51"/>
  <c r="AV983" i="51"/>
  <c r="AU983" i="51"/>
  <c r="AT983" i="51"/>
  <c r="AS983" i="51"/>
  <c r="AR983" i="51"/>
  <c r="AQ983" i="51"/>
  <c r="AP983" i="51"/>
  <c r="AO983" i="51"/>
  <c r="AN983" i="51"/>
  <c r="AM983" i="51"/>
  <c r="AL983" i="51"/>
  <c r="AK983" i="51"/>
  <c r="AJ983" i="51"/>
  <c r="AZ982" i="51"/>
  <c r="AY982" i="51"/>
  <c r="AX982" i="51"/>
  <c r="AW982" i="51"/>
  <c r="AV982" i="51"/>
  <c r="AU982" i="51"/>
  <c r="AT982" i="51"/>
  <c r="AS982" i="51"/>
  <c r="AR982" i="51"/>
  <c r="AQ982" i="51"/>
  <c r="AP982" i="51"/>
  <c r="AO982" i="51"/>
  <c r="AN982" i="51"/>
  <c r="AM982" i="51"/>
  <c r="AL982" i="51"/>
  <c r="AK982" i="51"/>
  <c r="AJ982" i="51"/>
  <c r="AZ981" i="51"/>
  <c r="AY981" i="51"/>
  <c r="AX981" i="51"/>
  <c r="AW981" i="51"/>
  <c r="AV981" i="51"/>
  <c r="AU981" i="51"/>
  <c r="AT981" i="51"/>
  <c r="AS981" i="51"/>
  <c r="AR981" i="51"/>
  <c r="AQ981" i="51"/>
  <c r="AP981" i="51"/>
  <c r="AO981" i="51"/>
  <c r="AN981" i="51"/>
  <c r="AM981" i="51"/>
  <c r="AL981" i="51"/>
  <c r="AK981" i="51"/>
  <c r="AJ981" i="51"/>
  <c r="AZ980" i="51"/>
  <c r="AY980" i="51"/>
  <c r="AX980" i="51"/>
  <c r="AW980" i="51"/>
  <c r="AV980" i="51"/>
  <c r="AU980" i="51"/>
  <c r="AT980" i="51"/>
  <c r="AS980" i="51"/>
  <c r="AR980" i="51"/>
  <c r="AQ980" i="51"/>
  <c r="AP980" i="51"/>
  <c r="AO980" i="51"/>
  <c r="AN980" i="51"/>
  <c r="AM980" i="51"/>
  <c r="AL980" i="51"/>
  <c r="AK980" i="51"/>
  <c r="AJ980" i="51"/>
  <c r="AZ979" i="51"/>
  <c r="AY979" i="51"/>
  <c r="AX979" i="51"/>
  <c r="AW979" i="51"/>
  <c r="AV979" i="51"/>
  <c r="AU979" i="51"/>
  <c r="AT979" i="51"/>
  <c r="AS979" i="51"/>
  <c r="AR979" i="51"/>
  <c r="AQ979" i="51"/>
  <c r="AP979" i="51"/>
  <c r="AO979" i="51"/>
  <c r="AN979" i="51"/>
  <c r="AM979" i="51"/>
  <c r="AL979" i="51"/>
  <c r="AK979" i="51"/>
  <c r="AJ979" i="51"/>
  <c r="AZ978" i="51"/>
  <c r="AY978" i="51"/>
  <c r="AX978" i="51"/>
  <c r="AW978" i="51"/>
  <c r="AV978" i="51"/>
  <c r="AU978" i="51"/>
  <c r="AT978" i="51"/>
  <c r="AS978" i="51"/>
  <c r="AR978" i="51"/>
  <c r="AQ978" i="51"/>
  <c r="AP978" i="51"/>
  <c r="AO978" i="51"/>
  <c r="AN978" i="51"/>
  <c r="AM978" i="51"/>
  <c r="AL978" i="51"/>
  <c r="AK978" i="51"/>
  <c r="AJ978" i="51"/>
  <c r="AZ977" i="51"/>
  <c r="AY977" i="51"/>
  <c r="AX977" i="51"/>
  <c r="AW977" i="51"/>
  <c r="AV977" i="51"/>
  <c r="AU977" i="51"/>
  <c r="AT977" i="51"/>
  <c r="AS977" i="51"/>
  <c r="AR977" i="51"/>
  <c r="AQ977" i="51"/>
  <c r="AP977" i="51"/>
  <c r="AO977" i="51"/>
  <c r="AN977" i="51"/>
  <c r="AM977" i="51"/>
  <c r="AL977" i="51"/>
  <c r="AK977" i="51"/>
  <c r="AJ977" i="51"/>
  <c r="AZ976" i="51"/>
  <c r="AY976" i="51"/>
  <c r="AX976" i="51"/>
  <c r="AW976" i="51"/>
  <c r="AV976" i="51"/>
  <c r="AU976" i="51"/>
  <c r="AT976" i="51"/>
  <c r="AS976" i="51"/>
  <c r="AR976" i="51"/>
  <c r="AQ976" i="51"/>
  <c r="AP976" i="51"/>
  <c r="AO976" i="51"/>
  <c r="AN976" i="51"/>
  <c r="AM976" i="51"/>
  <c r="AL976" i="51"/>
  <c r="AK976" i="51"/>
  <c r="AJ976" i="51"/>
  <c r="AZ975" i="51"/>
  <c r="AY975" i="51"/>
  <c r="AX975" i="51"/>
  <c r="AW975" i="51"/>
  <c r="AV975" i="51"/>
  <c r="AU975" i="51"/>
  <c r="AT975" i="51"/>
  <c r="AS975" i="51"/>
  <c r="AR975" i="51"/>
  <c r="AQ975" i="51"/>
  <c r="AP975" i="51"/>
  <c r="AO975" i="51"/>
  <c r="AN975" i="51"/>
  <c r="AM975" i="51"/>
  <c r="AL975" i="51"/>
  <c r="AK975" i="51"/>
  <c r="AJ975" i="51"/>
  <c r="AZ974" i="51"/>
  <c r="AY974" i="51"/>
  <c r="AX974" i="51"/>
  <c r="AW974" i="51"/>
  <c r="AV974" i="51"/>
  <c r="AU974" i="51"/>
  <c r="AT974" i="51"/>
  <c r="AS974" i="51"/>
  <c r="AR974" i="51"/>
  <c r="AQ974" i="51"/>
  <c r="AP974" i="51"/>
  <c r="AO974" i="51"/>
  <c r="AN974" i="51"/>
  <c r="AM974" i="51"/>
  <c r="AL974" i="51"/>
  <c r="AK974" i="51"/>
  <c r="AJ974" i="51"/>
  <c r="AZ973" i="51"/>
  <c r="AY973" i="51"/>
  <c r="AX973" i="51"/>
  <c r="AW973" i="51"/>
  <c r="AV973" i="51"/>
  <c r="AU973" i="51"/>
  <c r="AT973" i="51"/>
  <c r="AS973" i="51"/>
  <c r="AR973" i="51"/>
  <c r="AQ973" i="51"/>
  <c r="AP973" i="51"/>
  <c r="AO973" i="51"/>
  <c r="AN973" i="51"/>
  <c r="AM973" i="51"/>
  <c r="AL973" i="51"/>
  <c r="AK973" i="51"/>
  <c r="AJ973" i="51"/>
  <c r="AZ972" i="51"/>
  <c r="AY972" i="51"/>
  <c r="AX972" i="51"/>
  <c r="AW972" i="51"/>
  <c r="AV972" i="51"/>
  <c r="AU972" i="51"/>
  <c r="AT972" i="51"/>
  <c r="AS972" i="51"/>
  <c r="AR972" i="51"/>
  <c r="AQ972" i="51"/>
  <c r="AP972" i="51"/>
  <c r="AO972" i="51"/>
  <c r="AN972" i="51"/>
  <c r="AM972" i="51"/>
  <c r="AL972" i="51"/>
  <c r="AK972" i="51"/>
  <c r="AJ972" i="51"/>
  <c r="AZ971" i="51"/>
  <c r="AY971" i="51"/>
  <c r="AX971" i="51"/>
  <c r="AW971" i="51"/>
  <c r="AV971" i="51"/>
  <c r="AU971" i="51"/>
  <c r="AT971" i="51"/>
  <c r="AS971" i="51"/>
  <c r="AR971" i="51"/>
  <c r="AQ971" i="51"/>
  <c r="AP971" i="51"/>
  <c r="AO971" i="51"/>
  <c r="AN971" i="51"/>
  <c r="AM971" i="51"/>
  <c r="AL971" i="51"/>
  <c r="AK971" i="51"/>
  <c r="AJ971" i="51"/>
  <c r="AZ970" i="51"/>
  <c r="AY970" i="51"/>
  <c r="AX970" i="51"/>
  <c r="AW970" i="51"/>
  <c r="AV970" i="51"/>
  <c r="AU970" i="51"/>
  <c r="AT970" i="51"/>
  <c r="AS970" i="51"/>
  <c r="AR970" i="51"/>
  <c r="AQ970" i="51"/>
  <c r="AP970" i="51"/>
  <c r="AO970" i="51"/>
  <c r="AN970" i="51"/>
  <c r="AM970" i="51"/>
  <c r="AL970" i="51"/>
  <c r="AK970" i="51"/>
  <c r="AJ970" i="51"/>
  <c r="AZ969" i="51"/>
  <c r="AY969" i="51"/>
  <c r="AX969" i="51"/>
  <c r="AW969" i="51"/>
  <c r="AV969" i="51"/>
  <c r="AU969" i="51"/>
  <c r="AT969" i="51"/>
  <c r="AS969" i="51"/>
  <c r="AR969" i="51"/>
  <c r="AQ969" i="51"/>
  <c r="AP969" i="51"/>
  <c r="AO969" i="51"/>
  <c r="AN969" i="51"/>
  <c r="AM969" i="51"/>
  <c r="AL969" i="51"/>
  <c r="AK969" i="51"/>
  <c r="AJ969" i="51"/>
  <c r="AZ968" i="51"/>
  <c r="AY968" i="51"/>
  <c r="AX968" i="51"/>
  <c r="AW968" i="51"/>
  <c r="AV968" i="51"/>
  <c r="AU968" i="51"/>
  <c r="AT968" i="51"/>
  <c r="AS968" i="51"/>
  <c r="AR968" i="51"/>
  <c r="AQ968" i="51"/>
  <c r="AP968" i="51"/>
  <c r="AO968" i="51"/>
  <c r="AN968" i="51"/>
  <c r="AM968" i="51"/>
  <c r="AL968" i="51"/>
  <c r="AK968" i="51"/>
  <c r="AJ968" i="51"/>
  <c r="AZ967" i="51"/>
  <c r="AY967" i="51"/>
  <c r="AX967" i="51"/>
  <c r="AW967" i="51"/>
  <c r="AV967" i="51"/>
  <c r="AU967" i="51"/>
  <c r="AT967" i="51"/>
  <c r="AS967" i="51"/>
  <c r="AR967" i="51"/>
  <c r="AQ967" i="51"/>
  <c r="AP967" i="51"/>
  <c r="AO967" i="51"/>
  <c r="AN967" i="51"/>
  <c r="AM967" i="51"/>
  <c r="AL967" i="51"/>
  <c r="AK967" i="51"/>
  <c r="AJ967" i="51"/>
  <c r="AZ966" i="51"/>
  <c r="AY966" i="51"/>
  <c r="AX966" i="51"/>
  <c r="AW966" i="51"/>
  <c r="AV966" i="51"/>
  <c r="AU966" i="51"/>
  <c r="AT966" i="51"/>
  <c r="AS966" i="51"/>
  <c r="AR966" i="51"/>
  <c r="AQ966" i="51"/>
  <c r="AP966" i="51"/>
  <c r="AO966" i="51"/>
  <c r="AN966" i="51"/>
  <c r="AM966" i="51"/>
  <c r="AL966" i="51"/>
  <c r="AK966" i="51"/>
  <c r="AJ966" i="51"/>
  <c r="AZ965" i="51"/>
  <c r="AY965" i="51"/>
  <c r="AX965" i="51"/>
  <c r="AW965" i="51"/>
  <c r="AV965" i="51"/>
  <c r="AU965" i="51"/>
  <c r="AT965" i="51"/>
  <c r="AS965" i="51"/>
  <c r="AR965" i="51"/>
  <c r="AQ965" i="51"/>
  <c r="AP965" i="51"/>
  <c r="AO965" i="51"/>
  <c r="AN965" i="51"/>
  <c r="AM965" i="51"/>
  <c r="AL965" i="51"/>
  <c r="AK965" i="51"/>
  <c r="AJ965" i="51"/>
  <c r="AZ964" i="51"/>
  <c r="AY964" i="51"/>
  <c r="AX964" i="51"/>
  <c r="AW964" i="51"/>
  <c r="AV964" i="51"/>
  <c r="AU964" i="51"/>
  <c r="AT964" i="51"/>
  <c r="AS964" i="51"/>
  <c r="AR964" i="51"/>
  <c r="AQ964" i="51"/>
  <c r="AP964" i="51"/>
  <c r="AO964" i="51"/>
  <c r="AN964" i="51"/>
  <c r="AM964" i="51"/>
  <c r="AL964" i="51"/>
  <c r="AK964" i="51"/>
  <c r="AJ964" i="51"/>
  <c r="AZ963" i="51"/>
  <c r="AY963" i="51"/>
  <c r="AX963" i="51"/>
  <c r="AW963" i="51"/>
  <c r="AV963" i="51"/>
  <c r="AU963" i="51"/>
  <c r="AT963" i="51"/>
  <c r="AS963" i="51"/>
  <c r="AR963" i="51"/>
  <c r="AQ963" i="51"/>
  <c r="AP963" i="51"/>
  <c r="AO963" i="51"/>
  <c r="AN963" i="51"/>
  <c r="AM963" i="51"/>
  <c r="AL963" i="51"/>
  <c r="AK963" i="51"/>
  <c r="AJ963" i="51"/>
  <c r="AZ962" i="51"/>
  <c r="AY962" i="51"/>
  <c r="AX962" i="51"/>
  <c r="AW962" i="51"/>
  <c r="AV962" i="51"/>
  <c r="AU962" i="51"/>
  <c r="AT962" i="51"/>
  <c r="AS962" i="51"/>
  <c r="AR962" i="51"/>
  <c r="AQ962" i="51"/>
  <c r="AP962" i="51"/>
  <c r="AO962" i="51"/>
  <c r="AN962" i="51"/>
  <c r="AM962" i="51"/>
  <c r="AL962" i="51"/>
  <c r="AK962" i="51"/>
  <c r="AJ962" i="51"/>
  <c r="AZ961" i="51"/>
  <c r="AY961" i="51"/>
  <c r="AX961" i="51"/>
  <c r="AW961" i="51"/>
  <c r="AV961" i="51"/>
  <c r="AU961" i="51"/>
  <c r="AT961" i="51"/>
  <c r="AS961" i="51"/>
  <c r="AR961" i="51"/>
  <c r="AQ961" i="51"/>
  <c r="AP961" i="51"/>
  <c r="AO961" i="51"/>
  <c r="AN961" i="51"/>
  <c r="AM961" i="51"/>
  <c r="AL961" i="51"/>
  <c r="AK961" i="51"/>
  <c r="AJ961" i="51"/>
  <c r="AZ960" i="51"/>
  <c r="AY960" i="51"/>
  <c r="AX960" i="51"/>
  <c r="AW960" i="51"/>
  <c r="AV960" i="51"/>
  <c r="AU960" i="51"/>
  <c r="AT960" i="51"/>
  <c r="AS960" i="51"/>
  <c r="AR960" i="51"/>
  <c r="AQ960" i="51"/>
  <c r="AP960" i="51"/>
  <c r="AO960" i="51"/>
  <c r="AN960" i="51"/>
  <c r="AM960" i="51"/>
  <c r="AL960" i="51"/>
  <c r="AK960" i="51"/>
  <c r="AJ960" i="51"/>
  <c r="AZ959" i="51"/>
  <c r="AY959" i="51"/>
  <c r="AX959" i="51"/>
  <c r="AW959" i="51"/>
  <c r="AV959" i="51"/>
  <c r="AU959" i="51"/>
  <c r="AT959" i="51"/>
  <c r="AS959" i="51"/>
  <c r="AR959" i="51"/>
  <c r="AQ959" i="51"/>
  <c r="AP959" i="51"/>
  <c r="AO959" i="51"/>
  <c r="AN959" i="51"/>
  <c r="AM959" i="51"/>
  <c r="AL959" i="51"/>
  <c r="AK959" i="51"/>
  <c r="AJ959" i="51"/>
  <c r="AZ958" i="51"/>
  <c r="AY958" i="51"/>
  <c r="AX958" i="51"/>
  <c r="AW958" i="51"/>
  <c r="AV958" i="51"/>
  <c r="AU958" i="51"/>
  <c r="AT958" i="51"/>
  <c r="AS958" i="51"/>
  <c r="AR958" i="51"/>
  <c r="AQ958" i="51"/>
  <c r="AP958" i="51"/>
  <c r="AO958" i="51"/>
  <c r="AN958" i="51"/>
  <c r="AM958" i="51"/>
  <c r="AL958" i="51"/>
  <c r="AK958" i="51"/>
  <c r="AJ958" i="51"/>
  <c r="AZ957" i="51"/>
  <c r="AY957" i="51"/>
  <c r="AX957" i="51"/>
  <c r="AW957" i="51"/>
  <c r="AV957" i="51"/>
  <c r="AU957" i="51"/>
  <c r="AT957" i="51"/>
  <c r="AS957" i="51"/>
  <c r="AR957" i="51"/>
  <c r="AQ957" i="51"/>
  <c r="AP957" i="51"/>
  <c r="AO957" i="51"/>
  <c r="AN957" i="51"/>
  <c r="AM957" i="51"/>
  <c r="AL957" i="51"/>
  <c r="AK957" i="51"/>
  <c r="AJ957" i="51"/>
  <c r="AZ956" i="51"/>
  <c r="AY956" i="51"/>
  <c r="AX956" i="51"/>
  <c r="AW956" i="51"/>
  <c r="AV956" i="51"/>
  <c r="AU956" i="51"/>
  <c r="AT956" i="51"/>
  <c r="AS956" i="51"/>
  <c r="AR956" i="51"/>
  <c r="AQ956" i="51"/>
  <c r="AP956" i="51"/>
  <c r="AO956" i="51"/>
  <c r="AN956" i="51"/>
  <c r="AM956" i="51"/>
  <c r="AL956" i="51"/>
  <c r="AK956" i="51"/>
  <c r="AJ956" i="51"/>
  <c r="AZ955" i="51"/>
  <c r="AY955" i="51"/>
  <c r="AX955" i="51"/>
  <c r="AW955" i="51"/>
  <c r="AV955" i="51"/>
  <c r="AU955" i="51"/>
  <c r="AT955" i="51"/>
  <c r="AS955" i="51"/>
  <c r="AR955" i="51"/>
  <c r="AQ955" i="51"/>
  <c r="AP955" i="51"/>
  <c r="AO955" i="51"/>
  <c r="AN955" i="51"/>
  <c r="AM955" i="51"/>
  <c r="AL955" i="51"/>
  <c r="AK955" i="51"/>
  <c r="AJ955" i="51"/>
  <c r="AZ954" i="51"/>
  <c r="AY954" i="51"/>
  <c r="AX954" i="51"/>
  <c r="AW954" i="51"/>
  <c r="AV954" i="51"/>
  <c r="AU954" i="51"/>
  <c r="AT954" i="51"/>
  <c r="AS954" i="51"/>
  <c r="AR954" i="51"/>
  <c r="AQ954" i="51"/>
  <c r="AP954" i="51"/>
  <c r="AO954" i="51"/>
  <c r="AN954" i="51"/>
  <c r="AM954" i="51"/>
  <c r="AL954" i="51"/>
  <c r="AK954" i="51"/>
  <c r="AJ954" i="51"/>
  <c r="AZ953" i="51"/>
  <c r="AY953" i="51"/>
  <c r="AX953" i="51"/>
  <c r="AW953" i="51"/>
  <c r="AV953" i="51"/>
  <c r="AU953" i="51"/>
  <c r="AT953" i="51"/>
  <c r="AS953" i="51"/>
  <c r="AR953" i="51"/>
  <c r="AQ953" i="51"/>
  <c r="AP953" i="51"/>
  <c r="AO953" i="51"/>
  <c r="AN953" i="51"/>
  <c r="AM953" i="51"/>
  <c r="AL953" i="51"/>
  <c r="AK953" i="51"/>
  <c r="AJ953" i="51"/>
  <c r="AZ952" i="51"/>
  <c r="AY952" i="51"/>
  <c r="AX952" i="51"/>
  <c r="AW952" i="51"/>
  <c r="AV952" i="51"/>
  <c r="AU952" i="51"/>
  <c r="AT952" i="51"/>
  <c r="AS952" i="51"/>
  <c r="AR952" i="51"/>
  <c r="AQ952" i="51"/>
  <c r="AP952" i="51"/>
  <c r="AO952" i="51"/>
  <c r="AN952" i="51"/>
  <c r="AM952" i="51"/>
  <c r="AL952" i="51"/>
  <c r="AK952" i="51"/>
  <c r="AJ952" i="51"/>
  <c r="AZ951" i="51"/>
  <c r="AY951" i="51"/>
  <c r="AX951" i="51"/>
  <c r="AW951" i="51"/>
  <c r="AV951" i="51"/>
  <c r="AU951" i="51"/>
  <c r="AT951" i="51"/>
  <c r="AS951" i="51"/>
  <c r="AR951" i="51"/>
  <c r="AQ951" i="51"/>
  <c r="AP951" i="51"/>
  <c r="AO951" i="51"/>
  <c r="AN951" i="51"/>
  <c r="AM951" i="51"/>
  <c r="AL951" i="51"/>
  <c r="AK951" i="51"/>
  <c r="AJ951" i="51"/>
  <c r="AZ950" i="51"/>
  <c r="AY950" i="51"/>
  <c r="AX950" i="51"/>
  <c r="AW950" i="51"/>
  <c r="AV950" i="51"/>
  <c r="AU950" i="51"/>
  <c r="AT950" i="51"/>
  <c r="AS950" i="51"/>
  <c r="AR950" i="51"/>
  <c r="AQ950" i="51"/>
  <c r="AP950" i="51"/>
  <c r="AO950" i="51"/>
  <c r="AN950" i="51"/>
  <c r="AM950" i="51"/>
  <c r="AL950" i="51"/>
  <c r="AK950" i="51"/>
  <c r="AJ950" i="51"/>
  <c r="AZ949" i="51"/>
  <c r="AY949" i="51"/>
  <c r="AX949" i="51"/>
  <c r="AW949" i="51"/>
  <c r="AV949" i="51"/>
  <c r="AU949" i="51"/>
  <c r="AT949" i="51"/>
  <c r="AS949" i="51"/>
  <c r="AR949" i="51"/>
  <c r="AQ949" i="51"/>
  <c r="AP949" i="51"/>
  <c r="AO949" i="51"/>
  <c r="AN949" i="51"/>
  <c r="AM949" i="51"/>
  <c r="AL949" i="51"/>
  <c r="AK949" i="51"/>
  <c r="AJ949" i="51"/>
  <c r="AZ948" i="51"/>
  <c r="AY948" i="51"/>
  <c r="AX948" i="51"/>
  <c r="AW948" i="51"/>
  <c r="AV948" i="51"/>
  <c r="AU948" i="51"/>
  <c r="AT948" i="51"/>
  <c r="AS948" i="51"/>
  <c r="AR948" i="51"/>
  <c r="AQ948" i="51"/>
  <c r="AP948" i="51"/>
  <c r="AO948" i="51"/>
  <c r="AN948" i="51"/>
  <c r="AM948" i="51"/>
  <c r="AL948" i="51"/>
  <c r="AK948" i="51"/>
  <c r="AJ948" i="51"/>
  <c r="AZ947" i="51"/>
  <c r="AY947" i="51"/>
  <c r="AX947" i="51"/>
  <c r="AW947" i="51"/>
  <c r="AV947" i="51"/>
  <c r="AU947" i="51"/>
  <c r="AT947" i="51"/>
  <c r="AS947" i="51"/>
  <c r="AR947" i="51"/>
  <c r="AQ947" i="51"/>
  <c r="AP947" i="51"/>
  <c r="AO947" i="51"/>
  <c r="AN947" i="51"/>
  <c r="AM947" i="51"/>
  <c r="AL947" i="51"/>
  <c r="AK947" i="51"/>
  <c r="AJ947" i="51"/>
  <c r="AZ946" i="51"/>
  <c r="AY946" i="51"/>
  <c r="AX946" i="51"/>
  <c r="AW946" i="51"/>
  <c r="AV946" i="51"/>
  <c r="AU946" i="51"/>
  <c r="AT946" i="51"/>
  <c r="AS946" i="51"/>
  <c r="AR946" i="51"/>
  <c r="AQ946" i="51"/>
  <c r="AP946" i="51"/>
  <c r="AO946" i="51"/>
  <c r="AN946" i="51"/>
  <c r="AM946" i="51"/>
  <c r="AL946" i="51"/>
  <c r="AK946" i="51"/>
  <c r="AJ946" i="51"/>
  <c r="AZ945" i="51"/>
  <c r="AY945" i="51"/>
  <c r="AX945" i="51"/>
  <c r="AW945" i="51"/>
  <c r="AV945" i="51"/>
  <c r="AU945" i="51"/>
  <c r="AT945" i="51"/>
  <c r="AS945" i="51"/>
  <c r="AR945" i="51"/>
  <c r="AQ945" i="51"/>
  <c r="AP945" i="51"/>
  <c r="AO945" i="51"/>
  <c r="AN945" i="51"/>
  <c r="AM945" i="51"/>
  <c r="AL945" i="51"/>
  <c r="AK945" i="51"/>
  <c r="AJ945" i="51"/>
  <c r="AZ944" i="51"/>
  <c r="AY944" i="51"/>
  <c r="AX944" i="51"/>
  <c r="AW944" i="51"/>
  <c r="AV944" i="51"/>
  <c r="AU944" i="51"/>
  <c r="AT944" i="51"/>
  <c r="AS944" i="51"/>
  <c r="AR944" i="51"/>
  <c r="AQ944" i="51"/>
  <c r="AP944" i="51"/>
  <c r="AO944" i="51"/>
  <c r="AN944" i="51"/>
  <c r="AM944" i="51"/>
  <c r="AL944" i="51"/>
  <c r="AK944" i="51"/>
  <c r="AJ944" i="51"/>
  <c r="AZ943" i="51"/>
  <c r="AY943" i="51"/>
  <c r="AX943" i="51"/>
  <c r="AW943" i="51"/>
  <c r="AV943" i="51"/>
  <c r="AU943" i="51"/>
  <c r="AT943" i="51"/>
  <c r="AS943" i="51"/>
  <c r="AR943" i="51"/>
  <c r="AQ943" i="51"/>
  <c r="AP943" i="51"/>
  <c r="AO943" i="51"/>
  <c r="AN943" i="51"/>
  <c r="AM943" i="51"/>
  <c r="AL943" i="51"/>
  <c r="AK943" i="51"/>
  <c r="AJ943" i="51"/>
  <c r="AZ942" i="51"/>
  <c r="AY942" i="51"/>
  <c r="AX942" i="51"/>
  <c r="AW942" i="51"/>
  <c r="AV942" i="51"/>
  <c r="AU942" i="51"/>
  <c r="AT942" i="51"/>
  <c r="AS942" i="51"/>
  <c r="AR942" i="51"/>
  <c r="AQ942" i="51"/>
  <c r="AP942" i="51"/>
  <c r="AO942" i="51"/>
  <c r="AN942" i="51"/>
  <c r="AM942" i="51"/>
  <c r="AL942" i="51"/>
  <c r="AK942" i="51"/>
  <c r="AJ942" i="51"/>
  <c r="AZ941" i="51"/>
  <c r="AY941" i="51"/>
  <c r="AX941" i="51"/>
  <c r="AW941" i="51"/>
  <c r="AV941" i="51"/>
  <c r="AU941" i="51"/>
  <c r="AT941" i="51"/>
  <c r="AS941" i="51"/>
  <c r="AR941" i="51"/>
  <c r="AQ941" i="51"/>
  <c r="AP941" i="51"/>
  <c r="AO941" i="51"/>
  <c r="AN941" i="51"/>
  <c r="AM941" i="51"/>
  <c r="AL941" i="51"/>
  <c r="AK941" i="51"/>
  <c r="AJ941" i="51"/>
  <c r="AZ940" i="51"/>
  <c r="AY940" i="51"/>
  <c r="AX940" i="51"/>
  <c r="AW940" i="51"/>
  <c r="AV940" i="51"/>
  <c r="AU940" i="51"/>
  <c r="AT940" i="51"/>
  <c r="AS940" i="51"/>
  <c r="AR940" i="51"/>
  <c r="AQ940" i="51"/>
  <c r="AP940" i="51"/>
  <c r="AO940" i="51"/>
  <c r="AN940" i="51"/>
  <c r="AM940" i="51"/>
  <c r="AL940" i="51"/>
  <c r="AK940" i="51"/>
  <c r="AJ940" i="51"/>
  <c r="AZ939" i="51"/>
  <c r="AY939" i="51"/>
  <c r="AX939" i="51"/>
  <c r="AW939" i="51"/>
  <c r="AV939" i="51"/>
  <c r="AU939" i="51"/>
  <c r="AT939" i="51"/>
  <c r="AS939" i="51"/>
  <c r="AR939" i="51"/>
  <c r="AQ939" i="51"/>
  <c r="AP939" i="51"/>
  <c r="AO939" i="51"/>
  <c r="AN939" i="51"/>
  <c r="AM939" i="51"/>
  <c r="AL939" i="51"/>
  <c r="AK939" i="51"/>
  <c r="AJ939" i="51"/>
  <c r="AZ938" i="51"/>
  <c r="AY938" i="51"/>
  <c r="AX938" i="51"/>
  <c r="AW938" i="51"/>
  <c r="AV938" i="51"/>
  <c r="AU938" i="51"/>
  <c r="AT938" i="51"/>
  <c r="AS938" i="51"/>
  <c r="AR938" i="51"/>
  <c r="AQ938" i="51"/>
  <c r="AP938" i="51"/>
  <c r="AO938" i="51"/>
  <c r="AN938" i="51"/>
  <c r="AM938" i="51"/>
  <c r="AL938" i="51"/>
  <c r="AK938" i="51"/>
  <c r="AJ938" i="51"/>
  <c r="AZ937" i="51"/>
  <c r="AY937" i="51"/>
  <c r="AX937" i="51"/>
  <c r="AW937" i="51"/>
  <c r="AV937" i="51"/>
  <c r="AU937" i="51"/>
  <c r="AT937" i="51"/>
  <c r="AS937" i="51"/>
  <c r="AR937" i="51"/>
  <c r="AQ937" i="51"/>
  <c r="AP937" i="51"/>
  <c r="AO937" i="51"/>
  <c r="AN937" i="51"/>
  <c r="AM937" i="51"/>
  <c r="AL937" i="51"/>
  <c r="AK937" i="51"/>
  <c r="AJ937" i="51"/>
  <c r="AZ936" i="51"/>
  <c r="AY936" i="51"/>
  <c r="AX936" i="51"/>
  <c r="AW936" i="51"/>
  <c r="AV936" i="51"/>
  <c r="AU936" i="51"/>
  <c r="AT936" i="51"/>
  <c r="AS936" i="51"/>
  <c r="AR936" i="51"/>
  <c r="AQ936" i="51"/>
  <c r="AP936" i="51"/>
  <c r="AO936" i="51"/>
  <c r="AN936" i="51"/>
  <c r="AM936" i="51"/>
  <c r="AL936" i="51"/>
  <c r="AK936" i="51"/>
  <c r="AJ936" i="51"/>
  <c r="AZ935" i="51"/>
  <c r="AY935" i="51"/>
  <c r="AX935" i="51"/>
  <c r="AW935" i="51"/>
  <c r="AV935" i="51"/>
  <c r="AU935" i="51"/>
  <c r="AT935" i="51"/>
  <c r="AS935" i="51"/>
  <c r="AR935" i="51"/>
  <c r="AQ935" i="51"/>
  <c r="AP935" i="51"/>
  <c r="AO935" i="51"/>
  <c r="AN935" i="51"/>
  <c r="AM935" i="51"/>
  <c r="AL935" i="51"/>
  <c r="AK935" i="51"/>
  <c r="AJ935" i="51"/>
  <c r="AZ934" i="51"/>
  <c r="AY934" i="51"/>
  <c r="AX934" i="51"/>
  <c r="AW934" i="51"/>
  <c r="AV934" i="51"/>
  <c r="AU934" i="51"/>
  <c r="AT934" i="51"/>
  <c r="AS934" i="51"/>
  <c r="AR934" i="51"/>
  <c r="AQ934" i="51"/>
  <c r="AP934" i="51"/>
  <c r="AO934" i="51"/>
  <c r="AN934" i="51"/>
  <c r="AM934" i="51"/>
  <c r="AL934" i="51"/>
  <c r="AK934" i="51"/>
  <c r="AJ934" i="51"/>
  <c r="AZ933" i="51"/>
  <c r="AY933" i="51"/>
  <c r="AX933" i="51"/>
  <c r="AW933" i="51"/>
  <c r="AV933" i="51"/>
  <c r="AU933" i="51"/>
  <c r="AT933" i="51"/>
  <c r="AS933" i="51"/>
  <c r="AR933" i="51"/>
  <c r="AQ933" i="51"/>
  <c r="AP933" i="51"/>
  <c r="AO933" i="51"/>
  <c r="AN933" i="51"/>
  <c r="AM933" i="51"/>
  <c r="AL933" i="51"/>
  <c r="AK933" i="51"/>
  <c r="AJ933" i="51"/>
  <c r="AZ932" i="51"/>
  <c r="AY932" i="51"/>
  <c r="AX932" i="51"/>
  <c r="AW932" i="51"/>
  <c r="AV932" i="51"/>
  <c r="AU932" i="51"/>
  <c r="AT932" i="51"/>
  <c r="AS932" i="51"/>
  <c r="AR932" i="51"/>
  <c r="AQ932" i="51"/>
  <c r="AP932" i="51"/>
  <c r="AO932" i="51"/>
  <c r="AN932" i="51"/>
  <c r="AM932" i="51"/>
  <c r="AL932" i="51"/>
  <c r="AK932" i="51"/>
  <c r="AJ932" i="51"/>
  <c r="AZ931" i="51"/>
  <c r="AY931" i="51"/>
  <c r="AX931" i="51"/>
  <c r="AW931" i="51"/>
  <c r="AV931" i="51"/>
  <c r="AU931" i="51"/>
  <c r="AT931" i="51"/>
  <c r="AS931" i="51"/>
  <c r="AR931" i="51"/>
  <c r="AQ931" i="51"/>
  <c r="AP931" i="51"/>
  <c r="AO931" i="51"/>
  <c r="AN931" i="51"/>
  <c r="AM931" i="51"/>
  <c r="AL931" i="51"/>
  <c r="AK931" i="51"/>
  <c r="AJ931" i="51"/>
  <c r="AZ930" i="51"/>
  <c r="AY930" i="51"/>
  <c r="AX930" i="51"/>
  <c r="AW930" i="51"/>
  <c r="AV930" i="51"/>
  <c r="AU930" i="51"/>
  <c r="AT930" i="51"/>
  <c r="AS930" i="51"/>
  <c r="AR930" i="51"/>
  <c r="AQ930" i="51"/>
  <c r="AP930" i="51"/>
  <c r="AO930" i="51"/>
  <c r="AN930" i="51"/>
  <c r="AM930" i="51"/>
  <c r="AL930" i="51"/>
  <c r="AK930" i="51"/>
  <c r="AJ930" i="51"/>
  <c r="AZ929" i="51"/>
  <c r="AY929" i="51"/>
  <c r="AX929" i="51"/>
  <c r="AW929" i="51"/>
  <c r="AV929" i="51"/>
  <c r="AU929" i="51"/>
  <c r="AT929" i="51"/>
  <c r="AS929" i="51"/>
  <c r="AR929" i="51"/>
  <c r="AQ929" i="51"/>
  <c r="AP929" i="51"/>
  <c r="AO929" i="51"/>
  <c r="AN929" i="51"/>
  <c r="AM929" i="51"/>
  <c r="AL929" i="51"/>
  <c r="AK929" i="51"/>
  <c r="AJ929" i="51"/>
  <c r="AZ928" i="51"/>
  <c r="AY928" i="51"/>
  <c r="AX928" i="51"/>
  <c r="AW928" i="51"/>
  <c r="AV928" i="51"/>
  <c r="AU928" i="51"/>
  <c r="AT928" i="51"/>
  <c r="AS928" i="51"/>
  <c r="AR928" i="51"/>
  <c r="AQ928" i="51"/>
  <c r="AP928" i="51"/>
  <c r="AO928" i="51"/>
  <c r="AN928" i="51"/>
  <c r="AM928" i="51"/>
  <c r="AL928" i="51"/>
  <c r="AK928" i="51"/>
  <c r="AJ928" i="51"/>
  <c r="AZ927" i="51"/>
  <c r="AY927" i="51"/>
  <c r="AX927" i="51"/>
  <c r="AW927" i="51"/>
  <c r="AV927" i="51"/>
  <c r="AU927" i="51"/>
  <c r="AT927" i="51"/>
  <c r="AS927" i="51"/>
  <c r="AR927" i="51"/>
  <c r="AQ927" i="51"/>
  <c r="AP927" i="51"/>
  <c r="AO927" i="51"/>
  <c r="AN927" i="51"/>
  <c r="AM927" i="51"/>
  <c r="AL927" i="51"/>
  <c r="AK927" i="51"/>
  <c r="AJ927" i="51"/>
  <c r="AZ926" i="51"/>
  <c r="AY926" i="51"/>
  <c r="AX926" i="51"/>
  <c r="AW926" i="51"/>
  <c r="AV926" i="51"/>
  <c r="AU926" i="51"/>
  <c r="AT926" i="51"/>
  <c r="AS926" i="51"/>
  <c r="AR926" i="51"/>
  <c r="AQ926" i="51"/>
  <c r="AP926" i="51"/>
  <c r="AO926" i="51"/>
  <c r="AN926" i="51"/>
  <c r="AM926" i="51"/>
  <c r="AL926" i="51"/>
  <c r="AK926" i="51"/>
  <c r="AJ926" i="51"/>
  <c r="AZ925" i="51"/>
  <c r="AY925" i="51"/>
  <c r="AX925" i="51"/>
  <c r="AW925" i="51"/>
  <c r="AV925" i="51"/>
  <c r="AU925" i="51"/>
  <c r="AT925" i="51"/>
  <c r="AS925" i="51"/>
  <c r="AR925" i="51"/>
  <c r="AQ925" i="51"/>
  <c r="AP925" i="51"/>
  <c r="AO925" i="51"/>
  <c r="AN925" i="51"/>
  <c r="AM925" i="51"/>
  <c r="AL925" i="51"/>
  <c r="AK925" i="51"/>
  <c r="AJ925" i="51"/>
  <c r="AZ924" i="51"/>
  <c r="AY924" i="51"/>
  <c r="AX924" i="51"/>
  <c r="AW924" i="51"/>
  <c r="AV924" i="51"/>
  <c r="AU924" i="51"/>
  <c r="AT924" i="51"/>
  <c r="AS924" i="51"/>
  <c r="AR924" i="51"/>
  <c r="AQ924" i="51"/>
  <c r="AP924" i="51"/>
  <c r="AO924" i="51"/>
  <c r="AN924" i="51"/>
  <c r="AM924" i="51"/>
  <c r="AL924" i="51"/>
  <c r="AK924" i="51"/>
  <c r="AJ924" i="51"/>
  <c r="AZ923" i="51"/>
  <c r="AY923" i="51"/>
  <c r="AX923" i="51"/>
  <c r="AW923" i="51"/>
  <c r="AV923" i="51"/>
  <c r="AU923" i="51"/>
  <c r="AT923" i="51"/>
  <c r="AS923" i="51"/>
  <c r="AR923" i="51"/>
  <c r="AQ923" i="51"/>
  <c r="AP923" i="51"/>
  <c r="AO923" i="51"/>
  <c r="AN923" i="51"/>
  <c r="AM923" i="51"/>
  <c r="AL923" i="51"/>
  <c r="AK923" i="51"/>
  <c r="AJ923" i="51"/>
  <c r="AZ922" i="51"/>
  <c r="AY922" i="51"/>
  <c r="AX922" i="51"/>
  <c r="AW922" i="51"/>
  <c r="AV922" i="51"/>
  <c r="AU922" i="51"/>
  <c r="AT922" i="51"/>
  <c r="AS922" i="51"/>
  <c r="AR922" i="51"/>
  <c r="AQ922" i="51"/>
  <c r="AP922" i="51"/>
  <c r="AO922" i="51"/>
  <c r="AN922" i="51"/>
  <c r="AM922" i="51"/>
  <c r="AL922" i="51"/>
  <c r="AK922" i="51"/>
  <c r="AJ922" i="51"/>
  <c r="AZ921" i="51"/>
  <c r="AY921" i="51"/>
  <c r="AX921" i="51"/>
  <c r="AW921" i="51"/>
  <c r="AV921" i="51"/>
  <c r="AU921" i="51"/>
  <c r="AT921" i="51"/>
  <c r="AS921" i="51"/>
  <c r="AR921" i="51"/>
  <c r="AQ921" i="51"/>
  <c r="AP921" i="51"/>
  <c r="AO921" i="51"/>
  <c r="AN921" i="51"/>
  <c r="AM921" i="51"/>
  <c r="AL921" i="51"/>
  <c r="AK921" i="51"/>
  <c r="AJ921" i="51"/>
  <c r="AZ920" i="51"/>
  <c r="AY920" i="51"/>
  <c r="AX920" i="51"/>
  <c r="AW920" i="51"/>
  <c r="AV920" i="51"/>
  <c r="AU920" i="51"/>
  <c r="AT920" i="51"/>
  <c r="AS920" i="51"/>
  <c r="AR920" i="51"/>
  <c r="AQ920" i="51"/>
  <c r="AP920" i="51"/>
  <c r="AO920" i="51"/>
  <c r="AN920" i="51"/>
  <c r="AM920" i="51"/>
  <c r="AL920" i="51"/>
  <c r="AK920" i="51"/>
  <c r="AJ920" i="51"/>
  <c r="AZ919" i="51"/>
  <c r="AY919" i="51"/>
  <c r="AX919" i="51"/>
  <c r="AW919" i="51"/>
  <c r="AV919" i="51"/>
  <c r="AU919" i="51"/>
  <c r="AT919" i="51"/>
  <c r="AS919" i="51"/>
  <c r="AR919" i="51"/>
  <c r="AQ919" i="51"/>
  <c r="AP919" i="51"/>
  <c r="AO919" i="51"/>
  <c r="AN919" i="51"/>
  <c r="AM919" i="51"/>
  <c r="AL919" i="51"/>
  <c r="AK919" i="51"/>
  <c r="AJ919" i="51"/>
  <c r="AZ918" i="51"/>
  <c r="AY918" i="51"/>
  <c r="AX918" i="51"/>
  <c r="AW918" i="51"/>
  <c r="AV918" i="51"/>
  <c r="AU918" i="51"/>
  <c r="AT918" i="51"/>
  <c r="AS918" i="51"/>
  <c r="AR918" i="51"/>
  <c r="AQ918" i="51"/>
  <c r="AP918" i="51"/>
  <c r="AO918" i="51"/>
  <c r="AN918" i="51"/>
  <c r="AM918" i="51"/>
  <c r="AL918" i="51"/>
  <c r="AK918" i="51"/>
  <c r="AJ918" i="51"/>
  <c r="AZ917" i="51"/>
  <c r="AY917" i="51"/>
  <c r="AX917" i="51"/>
  <c r="AW917" i="51"/>
  <c r="AV917" i="51"/>
  <c r="AU917" i="51"/>
  <c r="AT917" i="51"/>
  <c r="AS917" i="51"/>
  <c r="AR917" i="51"/>
  <c r="AQ917" i="51"/>
  <c r="AP917" i="51"/>
  <c r="AO917" i="51"/>
  <c r="AN917" i="51"/>
  <c r="AM917" i="51"/>
  <c r="AL917" i="51"/>
  <c r="AK917" i="51"/>
  <c r="AJ917" i="51"/>
  <c r="AZ916" i="51"/>
  <c r="AY916" i="51"/>
  <c r="AX916" i="51"/>
  <c r="AW916" i="51"/>
  <c r="AV916" i="51"/>
  <c r="AU916" i="51"/>
  <c r="AT916" i="51"/>
  <c r="AS916" i="51"/>
  <c r="AR916" i="51"/>
  <c r="AQ916" i="51"/>
  <c r="AP916" i="51"/>
  <c r="AO916" i="51"/>
  <c r="AN916" i="51"/>
  <c r="AM916" i="51"/>
  <c r="AL916" i="51"/>
  <c r="AK916" i="51"/>
  <c r="AJ916" i="51"/>
  <c r="AZ915" i="51"/>
  <c r="AY915" i="51"/>
  <c r="AX915" i="51"/>
  <c r="AW915" i="51"/>
  <c r="AV915" i="51"/>
  <c r="AU915" i="51"/>
  <c r="AT915" i="51"/>
  <c r="AS915" i="51"/>
  <c r="AR915" i="51"/>
  <c r="AQ915" i="51"/>
  <c r="AP915" i="51"/>
  <c r="AO915" i="51"/>
  <c r="AN915" i="51"/>
  <c r="AM915" i="51"/>
  <c r="AL915" i="51"/>
  <c r="AK915" i="51"/>
  <c r="AJ915" i="51"/>
  <c r="AZ914" i="51"/>
  <c r="AY914" i="51"/>
  <c r="AX914" i="51"/>
  <c r="AW914" i="51"/>
  <c r="AV914" i="51"/>
  <c r="AU914" i="51"/>
  <c r="AT914" i="51"/>
  <c r="AS914" i="51"/>
  <c r="AR914" i="51"/>
  <c r="AQ914" i="51"/>
  <c r="AP914" i="51"/>
  <c r="AO914" i="51"/>
  <c r="AN914" i="51"/>
  <c r="AM914" i="51"/>
  <c r="AL914" i="51"/>
  <c r="AK914" i="51"/>
  <c r="AJ914" i="51"/>
  <c r="AZ913" i="51"/>
  <c r="AY913" i="51"/>
  <c r="AX913" i="51"/>
  <c r="AW913" i="51"/>
  <c r="AV913" i="51"/>
  <c r="AU913" i="51"/>
  <c r="AT913" i="51"/>
  <c r="AS913" i="51"/>
  <c r="AR913" i="51"/>
  <c r="AQ913" i="51"/>
  <c r="AP913" i="51"/>
  <c r="AO913" i="51"/>
  <c r="AN913" i="51"/>
  <c r="AM913" i="51"/>
  <c r="AL913" i="51"/>
  <c r="AK913" i="51"/>
  <c r="AJ913" i="51"/>
  <c r="AZ912" i="51"/>
  <c r="AY912" i="51"/>
  <c r="AX912" i="51"/>
  <c r="AW912" i="51"/>
  <c r="AV912" i="51"/>
  <c r="AU912" i="51"/>
  <c r="AT912" i="51"/>
  <c r="AS912" i="51"/>
  <c r="AR912" i="51"/>
  <c r="AQ912" i="51"/>
  <c r="AP912" i="51"/>
  <c r="AO912" i="51"/>
  <c r="AN912" i="51"/>
  <c r="AM912" i="51"/>
  <c r="AL912" i="51"/>
  <c r="AK912" i="51"/>
  <c r="AJ912" i="51"/>
  <c r="AZ911" i="51"/>
  <c r="AY911" i="51"/>
  <c r="AX911" i="51"/>
  <c r="AW911" i="51"/>
  <c r="AV911" i="51"/>
  <c r="AU911" i="51"/>
  <c r="AT911" i="51"/>
  <c r="AS911" i="51"/>
  <c r="AR911" i="51"/>
  <c r="AQ911" i="51"/>
  <c r="AP911" i="51"/>
  <c r="AO911" i="51"/>
  <c r="AN911" i="51"/>
  <c r="AM911" i="51"/>
  <c r="AL911" i="51"/>
  <c r="AK911" i="51"/>
  <c r="AJ911" i="51"/>
  <c r="AZ910" i="51"/>
  <c r="AY910" i="51"/>
  <c r="AX910" i="51"/>
  <c r="AW910" i="51"/>
  <c r="AV910" i="51"/>
  <c r="AU910" i="51"/>
  <c r="AT910" i="51"/>
  <c r="AS910" i="51"/>
  <c r="AR910" i="51"/>
  <c r="AQ910" i="51"/>
  <c r="AP910" i="51"/>
  <c r="AO910" i="51"/>
  <c r="AN910" i="51"/>
  <c r="AM910" i="51"/>
  <c r="AL910" i="51"/>
  <c r="AK910" i="51"/>
  <c r="AJ910" i="51"/>
  <c r="AZ909" i="51"/>
  <c r="AY909" i="51"/>
  <c r="AX909" i="51"/>
  <c r="AW909" i="51"/>
  <c r="AV909" i="51"/>
  <c r="AU909" i="51"/>
  <c r="AT909" i="51"/>
  <c r="AS909" i="51"/>
  <c r="AR909" i="51"/>
  <c r="AQ909" i="51"/>
  <c r="AP909" i="51"/>
  <c r="AO909" i="51"/>
  <c r="AN909" i="51"/>
  <c r="AM909" i="51"/>
  <c r="AL909" i="51"/>
  <c r="AK909" i="51"/>
  <c r="AJ909" i="51"/>
  <c r="AZ908" i="51"/>
  <c r="AY908" i="51"/>
  <c r="AX908" i="51"/>
  <c r="AW908" i="51"/>
  <c r="AV908" i="51"/>
  <c r="AU908" i="51"/>
  <c r="AT908" i="51"/>
  <c r="AS908" i="51"/>
  <c r="AR908" i="51"/>
  <c r="AQ908" i="51"/>
  <c r="AP908" i="51"/>
  <c r="AO908" i="51"/>
  <c r="AN908" i="51"/>
  <c r="AM908" i="51"/>
  <c r="AL908" i="51"/>
  <c r="AK908" i="51"/>
  <c r="AJ908" i="51"/>
  <c r="AZ907" i="51"/>
  <c r="AY907" i="51"/>
  <c r="AX907" i="51"/>
  <c r="AW907" i="51"/>
  <c r="AV907" i="51"/>
  <c r="AU907" i="51"/>
  <c r="AT907" i="51"/>
  <c r="AS907" i="51"/>
  <c r="AR907" i="51"/>
  <c r="AQ907" i="51"/>
  <c r="AP907" i="51"/>
  <c r="AO907" i="51"/>
  <c r="AN907" i="51"/>
  <c r="AM907" i="51"/>
  <c r="AL907" i="51"/>
  <c r="AK907" i="51"/>
  <c r="AJ907" i="51"/>
  <c r="AZ906" i="51"/>
  <c r="AY906" i="51"/>
  <c r="AX906" i="51"/>
  <c r="AW906" i="51"/>
  <c r="AV906" i="51"/>
  <c r="AU906" i="51"/>
  <c r="AT906" i="51"/>
  <c r="AS906" i="51"/>
  <c r="AR906" i="51"/>
  <c r="AQ906" i="51"/>
  <c r="AP906" i="51"/>
  <c r="AO906" i="51"/>
  <c r="AN906" i="51"/>
  <c r="AM906" i="51"/>
  <c r="AL906" i="51"/>
  <c r="AK906" i="51"/>
  <c r="AJ906" i="51"/>
  <c r="AZ905" i="51"/>
  <c r="AY905" i="51"/>
  <c r="AX905" i="51"/>
  <c r="AW905" i="51"/>
  <c r="AV905" i="51"/>
  <c r="AU905" i="51"/>
  <c r="AT905" i="51"/>
  <c r="AS905" i="51"/>
  <c r="AR905" i="51"/>
  <c r="AQ905" i="51"/>
  <c r="AP905" i="51"/>
  <c r="AO905" i="51"/>
  <c r="AN905" i="51"/>
  <c r="AM905" i="51"/>
  <c r="AL905" i="51"/>
  <c r="AK905" i="51"/>
  <c r="AJ905" i="51"/>
  <c r="AZ904" i="51"/>
  <c r="AY904" i="51"/>
  <c r="AX904" i="51"/>
  <c r="AW904" i="51"/>
  <c r="AV904" i="51"/>
  <c r="AU904" i="51"/>
  <c r="AT904" i="51"/>
  <c r="AS904" i="51"/>
  <c r="AR904" i="51"/>
  <c r="AQ904" i="51"/>
  <c r="AP904" i="51"/>
  <c r="AO904" i="51"/>
  <c r="AN904" i="51"/>
  <c r="AM904" i="51"/>
  <c r="AL904" i="51"/>
  <c r="AK904" i="51"/>
  <c r="AJ904" i="51"/>
  <c r="AZ903" i="51"/>
  <c r="AY903" i="51"/>
  <c r="AX903" i="51"/>
  <c r="AW903" i="51"/>
  <c r="AV903" i="51"/>
  <c r="AU903" i="51"/>
  <c r="AT903" i="51"/>
  <c r="AS903" i="51"/>
  <c r="AR903" i="51"/>
  <c r="AQ903" i="51"/>
  <c r="AP903" i="51"/>
  <c r="AO903" i="51"/>
  <c r="AN903" i="51"/>
  <c r="AM903" i="51"/>
  <c r="AL903" i="51"/>
  <c r="AK903" i="51"/>
  <c r="AJ903" i="51"/>
  <c r="AZ902" i="51"/>
  <c r="AY902" i="51"/>
  <c r="AX902" i="51"/>
  <c r="AW902" i="51"/>
  <c r="AV902" i="51"/>
  <c r="AU902" i="51"/>
  <c r="AT902" i="51"/>
  <c r="AS902" i="51"/>
  <c r="AR902" i="51"/>
  <c r="AQ902" i="51"/>
  <c r="AP902" i="51"/>
  <c r="AO902" i="51"/>
  <c r="AN902" i="51"/>
  <c r="AM902" i="51"/>
  <c r="AL902" i="51"/>
  <c r="AK902" i="51"/>
  <c r="AJ902" i="51"/>
  <c r="AZ901" i="51"/>
  <c r="AY901" i="51"/>
  <c r="AX901" i="51"/>
  <c r="AW901" i="51"/>
  <c r="AV901" i="51"/>
  <c r="AU901" i="51"/>
  <c r="AT901" i="51"/>
  <c r="AS901" i="51"/>
  <c r="AR901" i="51"/>
  <c r="AQ901" i="51"/>
  <c r="AP901" i="51"/>
  <c r="AO901" i="51"/>
  <c r="AN901" i="51"/>
  <c r="AM901" i="51"/>
  <c r="AL901" i="51"/>
  <c r="AK901" i="51"/>
  <c r="AJ901" i="51"/>
  <c r="AZ900" i="51"/>
  <c r="AY900" i="51"/>
  <c r="AX900" i="51"/>
  <c r="AW900" i="51"/>
  <c r="AV900" i="51"/>
  <c r="AU900" i="51"/>
  <c r="AT900" i="51"/>
  <c r="AS900" i="51"/>
  <c r="AR900" i="51"/>
  <c r="AQ900" i="51"/>
  <c r="AP900" i="51"/>
  <c r="AO900" i="51"/>
  <c r="AN900" i="51"/>
  <c r="AM900" i="51"/>
  <c r="AL900" i="51"/>
  <c r="AK900" i="51"/>
  <c r="AJ900" i="51"/>
  <c r="AZ899" i="51"/>
  <c r="AY899" i="51"/>
  <c r="AX899" i="51"/>
  <c r="AW899" i="51"/>
  <c r="AV899" i="51"/>
  <c r="AU899" i="51"/>
  <c r="AT899" i="51"/>
  <c r="AS899" i="51"/>
  <c r="AR899" i="51"/>
  <c r="AQ899" i="51"/>
  <c r="AP899" i="51"/>
  <c r="AO899" i="51"/>
  <c r="AN899" i="51"/>
  <c r="AM899" i="51"/>
  <c r="AL899" i="51"/>
  <c r="AK899" i="51"/>
  <c r="AJ899" i="51"/>
  <c r="AZ898" i="51"/>
  <c r="AY898" i="51"/>
  <c r="AX898" i="51"/>
  <c r="AW898" i="51"/>
  <c r="AV898" i="51"/>
  <c r="AU898" i="51"/>
  <c r="AT898" i="51"/>
  <c r="AS898" i="51"/>
  <c r="AR898" i="51"/>
  <c r="AQ898" i="51"/>
  <c r="AP898" i="51"/>
  <c r="AO898" i="51"/>
  <c r="AN898" i="51"/>
  <c r="AM898" i="51"/>
  <c r="AL898" i="51"/>
  <c r="AK898" i="51"/>
  <c r="AJ898" i="51"/>
  <c r="AZ897" i="51"/>
  <c r="AY897" i="51"/>
  <c r="AX897" i="51"/>
  <c r="AW897" i="51"/>
  <c r="AV897" i="51"/>
  <c r="AU897" i="51"/>
  <c r="AT897" i="51"/>
  <c r="AS897" i="51"/>
  <c r="AR897" i="51"/>
  <c r="AQ897" i="51"/>
  <c r="AP897" i="51"/>
  <c r="AO897" i="51"/>
  <c r="AN897" i="51"/>
  <c r="AM897" i="51"/>
  <c r="AL897" i="51"/>
  <c r="AK897" i="51"/>
  <c r="AJ897" i="51"/>
  <c r="AZ896" i="51"/>
  <c r="AY896" i="51"/>
  <c r="AX896" i="51"/>
  <c r="AW896" i="51"/>
  <c r="AV896" i="51"/>
  <c r="AU896" i="51"/>
  <c r="AT896" i="51"/>
  <c r="AS896" i="51"/>
  <c r="AR896" i="51"/>
  <c r="AQ896" i="51"/>
  <c r="AP896" i="51"/>
  <c r="AO896" i="51"/>
  <c r="AN896" i="51"/>
  <c r="AM896" i="51"/>
  <c r="AL896" i="51"/>
  <c r="AK896" i="51"/>
  <c r="AJ896" i="51"/>
  <c r="AZ895" i="51"/>
  <c r="AY895" i="51"/>
  <c r="AX895" i="51"/>
  <c r="AW895" i="51"/>
  <c r="AV895" i="51"/>
  <c r="AU895" i="51"/>
  <c r="AT895" i="51"/>
  <c r="AS895" i="51"/>
  <c r="AR895" i="51"/>
  <c r="AQ895" i="51"/>
  <c r="AP895" i="51"/>
  <c r="AO895" i="51"/>
  <c r="AN895" i="51"/>
  <c r="AM895" i="51"/>
  <c r="AL895" i="51"/>
  <c r="AK895" i="51"/>
  <c r="AJ895" i="51"/>
  <c r="AZ894" i="51"/>
  <c r="AY894" i="51"/>
  <c r="AX894" i="51"/>
  <c r="AW894" i="51"/>
  <c r="AV894" i="51"/>
  <c r="AU894" i="51"/>
  <c r="AT894" i="51"/>
  <c r="AS894" i="51"/>
  <c r="AR894" i="51"/>
  <c r="AQ894" i="51"/>
  <c r="AP894" i="51"/>
  <c r="AO894" i="51"/>
  <c r="AN894" i="51"/>
  <c r="AM894" i="51"/>
  <c r="AL894" i="51"/>
  <c r="AK894" i="51"/>
  <c r="AJ894" i="51"/>
  <c r="AZ893" i="51"/>
  <c r="AY893" i="51"/>
  <c r="AX893" i="51"/>
  <c r="AW893" i="51"/>
  <c r="AV893" i="51"/>
  <c r="AU893" i="51"/>
  <c r="AT893" i="51"/>
  <c r="AS893" i="51"/>
  <c r="AR893" i="51"/>
  <c r="AQ893" i="51"/>
  <c r="AP893" i="51"/>
  <c r="AO893" i="51"/>
  <c r="AN893" i="51"/>
  <c r="AM893" i="51"/>
  <c r="AL893" i="51"/>
  <c r="AK893" i="51"/>
  <c r="AJ893" i="51"/>
  <c r="AZ892" i="51"/>
  <c r="AY892" i="51"/>
  <c r="AX892" i="51"/>
  <c r="AW892" i="51"/>
  <c r="AV892" i="51"/>
  <c r="AU892" i="51"/>
  <c r="AT892" i="51"/>
  <c r="AS892" i="51"/>
  <c r="AR892" i="51"/>
  <c r="AQ892" i="51"/>
  <c r="AP892" i="51"/>
  <c r="AO892" i="51"/>
  <c r="AN892" i="51"/>
  <c r="AM892" i="51"/>
  <c r="AL892" i="51"/>
  <c r="AK892" i="51"/>
  <c r="AJ892" i="51"/>
  <c r="AZ891" i="51"/>
  <c r="AY891" i="51"/>
  <c r="AX891" i="51"/>
  <c r="AW891" i="51"/>
  <c r="AV891" i="51"/>
  <c r="AU891" i="51"/>
  <c r="AT891" i="51"/>
  <c r="AS891" i="51"/>
  <c r="AR891" i="51"/>
  <c r="AQ891" i="51"/>
  <c r="AP891" i="51"/>
  <c r="AO891" i="51"/>
  <c r="AN891" i="51"/>
  <c r="AM891" i="51"/>
  <c r="AL891" i="51"/>
  <c r="AK891" i="51"/>
  <c r="AJ891" i="51"/>
  <c r="AZ890" i="51"/>
  <c r="AY890" i="51"/>
  <c r="AX890" i="51"/>
  <c r="AW890" i="51"/>
  <c r="AV890" i="51"/>
  <c r="AU890" i="51"/>
  <c r="AT890" i="51"/>
  <c r="AS890" i="51"/>
  <c r="AR890" i="51"/>
  <c r="AQ890" i="51"/>
  <c r="AP890" i="51"/>
  <c r="AO890" i="51"/>
  <c r="AN890" i="51"/>
  <c r="AM890" i="51"/>
  <c r="AL890" i="51"/>
  <c r="AK890" i="51"/>
  <c r="AJ890" i="51"/>
  <c r="AZ889" i="51"/>
  <c r="AY889" i="51"/>
  <c r="AX889" i="51"/>
  <c r="AW889" i="51"/>
  <c r="AV889" i="51"/>
  <c r="AU889" i="51"/>
  <c r="AT889" i="51"/>
  <c r="AS889" i="51"/>
  <c r="AR889" i="51"/>
  <c r="AQ889" i="51"/>
  <c r="AP889" i="51"/>
  <c r="AO889" i="51"/>
  <c r="AN889" i="51"/>
  <c r="AM889" i="51"/>
  <c r="AL889" i="51"/>
  <c r="AK889" i="51"/>
  <c r="AJ889" i="51"/>
  <c r="AZ888" i="51"/>
  <c r="AY888" i="51"/>
  <c r="AX888" i="51"/>
  <c r="AW888" i="51"/>
  <c r="AV888" i="51"/>
  <c r="AU888" i="51"/>
  <c r="AT888" i="51"/>
  <c r="AS888" i="51"/>
  <c r="AR888" i="51"/>
  <c r="AQ888" i="51"/>
  <c r="AP888" i="51"/>
  <c r="AO888" i="51"/>
  <c r="AN888" i="51"/>
  <c r="AM888" i="51"/>
  <c r="AL888" i="51"/>
  <c r="AK888" i="51"/>
  <c r="AJ888" i="51"/>
  <c r="AZ887" i="51"/>
  <c r="AY887" i="51"/>
  <c r="AX887" i="51"/>
  <c r="AW887" i="51"/>
  <c r="AV887" i="51"/>
  <c r="AU887" i="51"/>
  <c r="AT887" i="51"/>
  <c r="AS887" i="51"/>
  <c r="AR887" i="51"/>
  <c r="AQ887" i="51"/>
  <c r="AP887" i="51"/>
  <c r="AO887" i="51"/>
  <c r="AN887" i="51"/>
  <c r="AM887" i="51"/>
  <c r="AL887" i="51"/>
  <c r="AK887" i="51"/>
  <c r="AJ887" i="51"/>
  <c r="AZ886" i="51"/>
  <c r="AY886" i="51"/>
  <c r="AX886" i="51"/>
  <c r="AW886" i="51"/>
  <c r="AV886" i="51"/>
  <c r="AU886" i="51"/>
  <c r="AT886" i="51"/>
  <c r="AS886" i="51"/>
  <c r="AR886" i="51"/>
  <c r="AQ886" i="51"/>
  <c r="AP886" i="51"/>
  <c r="AO886" i="51"/>
  <c r="AN886" i="51"/>
  <c r="AM886" i="51"/>
  <c r="AL886" i="51"/>
  <c r="AK886" i="51"/>
  <c r="AJ886" i="51"/>
  <c r="AZ885" i="51"/>
  <c r="AY885" i="51"/>
  <c r="AX885" i="51"/>
  <c r="AW885" i="51"/>
  <c r="AV885" i="51"/>
  <c r="AU885" i="51"/>
  <c r="AT885" i="51"/>
  <c r="AS885" i="51"/>
  <c r="AR885" i="51"/>
  <c r="AQ885" i="51"/>
  <c r="AP885" i="51"/>
  <c r="AO885" i="51"/>
  <c r="AN885" i="51"/>
  <c r="AM885" i="51"/>
  <c r="AL885" i="51"/>
  <c r="AK885" i="51"/>
  <c r="AJ885" i="51"/>
  <c r="AZ884" i="51"/>
  <c r="AY884" i="51"/>
  <c r="AX884" i="51"/>
  <c r="AW884" i="51"/>
  <c r="AV884" i="51"/>
  <c r="AU884" i="51"/>
  <c r="AT884" i="51"/>
  <c r="AS884" i="51"/>
  <c r="AR884" i="51"/>
  <c r="AQ884" i="51"/>
  <c r="AP884" i="51"/>
  <c r="AO884" i="51"/>
  <c r="AN884" i="51"/>
  <c r="AM884" i="51"/>
  <c r="AL884" i="51"/>
  <c r="AK884" i="51"/>
  <c r="AJ884" i="51"/>
  <c r="AZ883" i="51"/>
  <c r="AY883" i="51"/>
  <c r="AX883" i="51"/>
  <c r="AW883" i="51"/>
  <c r="AV883" i="51"/>
  <c r="AU883" i="51"/>
  <c r="AT883" i="51"/>
  <c r="AS883" i="51"/>
  <c r="AR883" i="51"/>
  <c r="AQ883" i="51"/>
  <c r="AP883" i="51"/>
  <c r="AO883" i="51"/>
  <c r="AN883" i="51"/>
  <c r="AM883" i="51"/>
  <c r="AL883" i="51"/>
  <c r="AK883" i="51"/>
  <c r="AJ883" i="51"/>
  <c r="AZ882" i="51"/>
  <c r="AY882" i="51"/>
  <c r="AX882" i="51"/>
  <c r="AW882" i="51"/>
  <c r="AV882" i="51"/>
  <c r="AU882" i="51"/>
  <c r="AT882" i="51"/>
  <c r="AS882" i="51"/>
  <c r="AR882" i="51"/>
  <c r="AQ882" i="51"/>
  <c r="AP882" i="51"/>
  <c r="AO882" i="51"/>
  <c r="AN882" i="51"/>
  <c r="AM882" i="51"/>
  <c r="AL882" i="51"/>
  <c r="AK882" i="51"/>
  <c r="AJ882" i="51"/>
  <c r="AZ881" i="51"/>
  <c r="AY881" i="51"/>
  <c r="AX881" i="51"/>
  <c r="AW881" i="51"/>
  <c r="AV881" i="51"/>
  <c r="AU881" i="51"/>
  <c r="AT881" i="51"/>
  <c r="AS881" i="51"/>
  <c r="AR881" i="51"/>
  <c r="AQ881" i="51"/>
  <c r="AP881" i="51"/>
  <c r="AO881" i="51"/>
  <c r="AN881" i="51"/>
  <c r="AM881" i="51"/>
  <c r="AL881" i="51"/>
  <c r="AK881" i="51"/>
  <c r="AJ881" i="51"/>
  <c r="AZ880" i="51"/>
  <c r="AY880" i="51"/>
  <c r="AX880" i="51"/>
  <c r="AW880" i="51"/>
  <c r="AV880" i="51"/>
  <c r="AU880" i="51"/>
  <c r="AT880" i="51"/>
  <c r="AS880" i="51"/>
  <c r="AR880" i="51"/>
  <c r="AQ880" i="51"/>
  <c r="AP880" i="51"/>
  <c r="AO880" i="51"/>
  <c r="AN880" i="51"/>
  <c r="AM880" i="51"/>
  <c r="AL880" i="51"/>
  <c r="AK880" i="51"/>
  <c r="AJ880" i="51"/>
  <c r="AZ879" i="51"/>
  <c r="AY879" i="51"/>
  <c r="AX879" i="51"/>
  <c r="AW879" i="51"/>
  <c r="AV879" i="51"/>
  <c r="AU879" i="51"/>
  <c r="AT879" i="51"/>
  <c r="AS879" i="51"/>
  <c r="AR879" i="51"/>
  <c r="AQ879" i="51"/>
  <c r="AP879" i="51"/>
  <c r="AO879" i="51"/>
  <c r="AN879" i="51"/>
  <c r="AM879" i="51"/>
  <c r="AL879" i="51"/>
  <c r="AK879" i="51"/>
  <c r="AJ879" i="51"/>
  <c r="AZ878" i="51"/>
  <c r="AY878" i="51"/>
  <c r="AX878" i="51"/>
  <c r="AW878" i="51"/>
  <c r="AV878" i="51"/>
  <c r="AU878" i="51"/>
  <c r="AT878" i="51"/>
  <c r="AS878" i="51"/>
  <c r="AR878" i="51"/>
  <c r="AQ878" i="51"/>
  <c r="AP878" i="51"/>
  <c r="AO878" i="51"/>
  <c r="AN878" i="51"/>
  <c r="AM878" i="51"/>
  <c r="AL878" i="51"/>
  <c r="AK878" i="51"/>
  <c r="AJ878" i="51"/>
  <c r="AZ877" i="51"/>
  <c r="AY877" i="51"/>
  <c r="AX877" i="51"/>
  <c r="AW877" i="51"/>
  <c r="AV877" i="51"/>
  <c r="AU877" i="51"/>
  <c r="AT877" i="51"/>
  <c r="AS877" i="51"/>
  <c r="AR877" i="51"/>
  <c r="AQ877" i="51"/>
  <c r="AP877" i="51"/>
  <c r="AO877" i="51"/>
  <c r="AN877" i="51"/>
  <c r="AM877" i="51"/>
  <c r="AL877" i="51"/>
  <c r="AK877" i="51"/>
  <c r="AJ877" i="51"/>
  <c r="AZ876" i="51"/>
  <c r="AY876" i="51"/>
  <c r="AX876" i="51"/>
  <c r="AW876" i="51"/>
  <c r="AV876" i="51"/>
  <c r="AU876" i="51"/>
  <c r="AT876" i="51"/>
  <c r="AS876" i="51"/>
  <c r="AR876" i="51"/>
  <c r="AQ876" i="51"/>
  <c r="AP876" i="51"/>
  <c r="AO876" i="51"/>
  <c r="AN876" i="51"/>
  <c r="AM876" i="51"/>
  <c r="AL876" i="51"/>
  <c r="AK876" i="51"/>
  <c r="AJ876" i="51"/>
  <c r="AZ875" i="51"/>
  <c r="AY875" i="51"/>
  <c r="AX875" i="51"/>
  <c r="AW875" i="51"/>
  <c r="AV875" i="51"/>
  <c r="AU875" i="51"/>
  <c r="AT875" i="51"/>
  <c r="AS875" i="51"/>
  <c r="AR875" i="51"/>
  <c r="AQ875" i="51"/>
  <c r="AP875" i="51"/>
  <c r="AO875" i="51"/>
  <c r="AN875" i="51"/>
  <c r="AM875" i="51"/>
  <c r="AL875" i="51"/>
  <c r="AK875" i="51"/>
  <c r="AJ875" i="51"/>
  <c r="AZ874" i="51"/>
  <c r="AY874" i="51"/>
  <c r="AX874" i="51"/>
  <c r="AW874" i="51"/>
  <c r="AV874" i="51"/>
  <c r="AU874" i="51"/>
  <c r="AT874" i="51"/>
  <c r="AS874" i="51"/>
  <c r="AR874" i="51"/>
  <c r="AQ874" i="51"/>
  <c r="AP874" i="51"/>
  <c r="AO874" i="51"/>
  <c r="AN874" i="51"/>
  <c r="AM874" i="51"/>
  <c r="AL874" i="51"/>
  <c r="AK874" i="51"/>
  <c r="AJ874" i="51"/>
  <c r="AZ873" i="51"/>
  <c r="AY873" i="51"/>
  <c r="AX873" i="51"/>
  <c r="AW873" i="51"/>
  <c r="AV873" i="51"/>
  <c r="AU873" i="51"/>
  <c r="AT873" i="51"/>
  <c r="AS873" i="51"/>
  <c r="AR873" i="51"/>
  <c r="AQ873" i="51"/>
  <c r="AP873" i="51"/>
  <c r="AO873" i="51"/>
  <c r="AN873" i="51"/>
  <c r="AM873" i="51"/>
  <c r="AL873" i="51"/>
  <c r="AK873" i="51"/>
  <c r="AJ873" i="51"/>
  <c r="AZ872" i="51"/>
  <c r="AY872" i="51"/>
  <c r="AX872" i="51"/>
  <c r="AW872" i="51"/>
  <c r="AV872" i="51"/>
  <c r="AU872" i="51"/>
  <c r="AT872" i="51"/>
  <c r="AS872" i="51"/>
  <c r="AR872" i="51"/>
  <c r="AQ872" i="51"/>
  <c r="AP872" i="51"/>
  <c r="AO872" i="51"/>
  <c r="AN872" i="51"/>
  <c r="AM872" i="51"/>
  <c r="AL872" i="51"/>
  <c r="AK872" i="51"/>
  <c r="AJ872" i="51"/>
  <c r="AZ871" i="51"/>
  <c r="AY871" i="51"/>
  <c r="AX871" i="51"/>
  <c r="AW871" i="51"/>
  <c r="AV871" i="51"/>
  <c r="AU871" i="51"/>
  <c r="AT871" i="51"/>
  <c r="AS871" i="51"/>
  <c r="AR871" i="51"/>
  <c r="AQ871" i="51"/>
  <c r="AP871" i="51"/>
  <c r="AO871" i="51"/>
  <c r="AN871" i="51"/>
  <c r="AM871" i="51"/>
  <c r="AL871" i="51"/>
  <c r="AK871" i="51"/>
  <c r="AJ871" i="51"/>
  <c r="AZ870" i="51"/>
  <c r="AY870" i="51"/>
  <c r="AX870" i="51"/>
  <c r="AW870" i="51"/>
  <c r="AV870" i="51"/>
  <c r="AU870" i="51"/>
  <c r="AT870" i="51"/>
  <c r="AS870" i="51"/>
  <c r="AR870" i="51"/>
  <c r="AQ870" i="51"/>
  <c r="AP870" i="51"/>
  <c r="AO870" i="51"/>
  <c r="AN870" i="51"/>
  <c r="AM870" i="51"/>
  <c r="AL870" i="51"/>
  <c r="AK870" i="51"/>
  <c r="AJ870" i="51"/>
  <c r="AZ869" i="51"/>
  <c r="AY869" i="51"/>
  <c r="AX869" i="51"/>
  <c r="AW869" i="51"/>
  <c r="AV869" i="51"/>
  <c r="AU869" i="51"/>
  <c r="AT869" i="51"/>
  <c r="AS869" i="51"/>
  <c r="AR869" i="51"/>
  <c r="AQ869" i="51"/>
  <c r="AP869" i="51"/>
  <c r="AO869" i="51"/>
  <c r="AN869" i="51"/>
  <c r="AM869" i="51"/>
  <c r="AL869" i="51"/>
  <c r="AK869" i="51"/>
  <c r="AJ869" i="51"/>
  <c r="AZ868" i="51"/>
  <c r="AY868" i="51"/>
  <c r="AX868" i="51"/>
  <c r="AW868" i="51"/>
  <c r="AV868" i="51"/>
  <c r="AU868" i="51"/>
  <c r="AT868" i="51"/>
  <c r="AS868" i="51"/>
  <c r="AR868" i="51"/>
  <c r="AQ868" i="51"/>
  <c r="AP868" i="51"/>
  <c r="AO868" i="51"/>
  <c r="AN868" i="51"/>
  <c r="AM868" i="51"/>
  <c r="AL868" i="51"/>
  <c r="AK868" i="51"/>
  <c r="AJ868" i="51"/>
  <c r="AZ867" i="51"/>
  <c r="AY867" i="51"/>
  <c r="AX867" i="51"/>
  <c r="AW867" i="51"/>
  <c r="AV867" i="51"/>
  <c r="AU867" i="51"/>
  <c r="AT867" i="51"/>
  <c r="AS867" i="51"/>
  <c r="AR867" i="51"/>
  <c r="AQ867" i="51"/>
  <c r="AP867" i="51"/>
  <c r="AO867" i="51"/>
  <c r="AN867" i="51"/>
  <c r="AM867" i="51"/>
  <c r="AL867" i="51"/>
  <c r="AK867" i="51"/>
  <c r="AJ867" i="51"/>
  <c r="AZ866" i="51"/>
  <c r="AY866" i="51"/>
  <c r="AX866" i="51"/>
  <c r="AW866" i="51"/>
  <c r="AV866" i="51"/>
  <c r="AU866" i="51"/>
  <c r="AT866" i="51"/>
  <c r="AS866" i="51"/>
  <c r="AR866" i="51"/>
  <c r="AQ866" i="51"/>
  <c r="AP866" i="51"/>
  <c r="AO866" i="51"/>
  <c r="AN866" i="51"/>
  <c r="AM866" i="51"/>
  <c r="AL866" i="51"/>
  <c r="AK866" i="51"/>
  <c r="AJ866" i="51"/>
  <c r="AZ865" i="51"/>
  <c r="AY865" i="51"/>
  <c r="AX865" i="51"/>
  <c r="AW865" i="51"/>
  <c r="AV865" i="51"/>
  <c r="AU865" i="51"/>
  <c r="AT865" i="51"/>
  <c r="AS865" i="51"/>
  <c r="AR865" i="51"/>
  <c r="AQ865" i="51"/>
  <c r="AP865" i="51"/>
  <c r="AO865" i="51"/>
  <c r="AN865" i="51"/>
  <c r="AM865" i="51"/>
  <c r="AL865" i="51"/>
  <c r="AK865" i="51"/>
  <c r="AJ865" i="51"/>
  <c r="AZ864" i="51"/>
  <c r="AY864" i="51"/>
  <c r="AX864" i="51"/>
  <c r="AW864" i="51"/>
  <c r="AV864" i="51"/>
  <c r="AU864" i="51"/>
  <c r="AT864" i="51"/>
  <c r="AS864" i="51"/>
  <c r="AR864" i="51"/>
  <c r="AQ864" i="51"/>
  <c r="AP864" i="51"/>
  <c r="AO864" i="51"/>
  <c r="AN864" i="51"/>
  <c r="AM864" i="51"/>
  <c r="AL864" i="51"/>
  <c r="AK864" i="51"/>
  <c r="AJ864" i="51"/>
  <c r="AZ863" i="51"/>
  <c r="AY863" i="51"/>
  <c r="AX863" i="51"/>
  <c r="AW863" i="51"/>
  <c r="AV863" i="51"/>
  <c r="AU863" i="51"/>
  <c r="AT863" i="51"/>
  <c r="AS863" i="51"/>
  <c r="AR863" i="51"/>
  <c r="AQ863" i="51"/>
  <c r="AP863" i="51"/>
  <c r="AO863" i="51"/>
  <c r="AN863" i="51"/>
  <c r="AM863" i="51"/>
  <c r="AL863" i="51"/>
  <c r="AK863" i="51"/>
  <c r="AJ863" i="51"/>
  <c r="AZ862" i="51"/>
  <c r="AY862" i="51"/>
  <c r="AX862" i="51"/>
  <c r="AW862" i="51"/>
  <c r="AV862" i="51"/>
  <c r="AU862" i="51"/>
  <c r="AT862" i="51"/>
  <c r="AS862" i="51"/>
  <c r="AR862" i="51"/>
  <c r="AQ862" i="51"/>
  <c r="AP862" i="51"/>
  <c r="AO862" i="51"/>
  <c r="AN862" i="51"/>
  <c r="AM862" i="51"/>
  <c r="AL862" i="51"/>
  <c r="AK862" i="51"/>
  <c r="AJ862" i="51"/>
  <c r="AZ861" i="51"/>
  <c r="AY861" i="51"/>
  <c r="AX861" i="51"/>
  <c r="AW861" i="51"/>
  <c r="AV861" i="51"/>
  <c r="AU861" i="51"/>
  <c r="AT861" i="51"/>
  <c r="AS861" i="51"/>
  <c r="AR861" i="51"/>
  <c r="AQ861" i="51"/>
  <c r="AP861" i="51"/>
  <c r="AO861" i="51"/>
  <c r="AN861" i="51"/>
  <c r="AM861" i="51"/>
  <c r="AL861" i="51"/>
  <c r="AK861" i="51"/>
  <c r="AJ861" i="51"/>
  <c r="AZ860" i="51"/>
  <c r="AY860" i="51"/>
  <c r="AX860" i="51"/>
  <c r="AW860" i="51"/>
  <c r="AV860" i="51"/>
  <c r="AU860" i="51"/>
  <c r="AT860" i="51"/>
  <c r="AS860" i="51"/>
  <c r="AR860" i="51"/>
  <c r="AQ860" i="51"/>
  <c r="AP860" i="51"/>
  <c r="AO860" i="51"/>
  <c r="AN860" i="51"/>
  <c r="AM860" i="51"/>
  <c r="AL860" i="51"/>
  <c r="AK860" i="51"/>
  <c r="AJ860" i="51"/>
  <c r="AZ859" i="51"/>
  <c r="AY859" i="51"/>
  <c r="AX859" i="51"/>
  <c r="AW859" i="51"/>
  <c r="AV859" i="51"/>
  <c r="AU859" i="51"/>
  <c r="AT859" i="51"/>
  <c r="AS859" i="51"/>
  <c r="AR859" i="51"/>
  <c r="AQ859" i="51"/>
  <c r="AP859" i="51"/>
  <c r="AO859" i="51"/>
  <c r="AN859" i="51"/>
  <c r="AM859" i="51"/>
  <c r="AL859" i="51"/>
  <c r="AK859" i="51"/>
  <c r="AJ859" i="51"/>
  <c r="AZ858" i="51"/>
  <c r="AY858" i="51"/>
  <c r="AX858" i="51"/>
  <c r="AW858" i="51"/>
  <c r="AV858" i="51"/>
  <c r="AU858" i="51"/>
  <c r="AT858" i="51"/>
  <c r="AS858" i="51"/>
  <c r="AR858" i="51"/>
  <c r="AQ858" i="51"/>
  <c r="AP858" i="51"/>
  <c r="AO858" i="51"/>
  <c r="AN858" i="51"/>
  <c r="AM858" i="51"/>
  <c r="AL858" i="51"/>
  <c r="AK858" i="51"/>
  <c r="AJ858" i="51"/>
  <c r="AZ857" i="51"/>
  <c r="AY857" i="51"/>
  <c r="AX857" i="51"/>
  <c r="AW857" i="51"/>
  <c r="AV857" i="51"/>
  <c r="AU857" i="51"/>
  <c r="AT857" i="51"/>
  <c r="AS857" i="51"/>
  <c r="AR857" i="51"/>
  <c r="AQ857" i="51"/>
  <c r="AP857" i="51"/>
  <c r="AO857" i="51"/>
  <c r="AN857" i="51"/>
  <c r="AM857" i="51"/>
  <c r="AL857" i="51"/>
  <c r="AK857" i="51"/>
  <c r="AJ857" i="51"/>
  <c r="AZ856" i="51"/>
  <c r="AY856" i="51"/>
  <c r="AX856" i="51"/>
  <c r="AW856" i="51"/>
  <c r="AV856" i="51"/>
  <c r="AU856" i="51"/>
  <c r="AT856" i="51"/>
  <c r="AS856" i="51"/>
  <c r="AR856" i="51"/>
  <c r="AQ856" i="51"/>
  <c r="AP856" i="51"/>
  <c r="AO856" i="51"/>
  <c r="AN856" i="51"/>
  <c r="AM856" i="51"/>
  <c r="AL856" i="51"/>
  <c r="AK856" i="51"/>
  <c r="AJ856" i="51"/>
  <c r="AZ855" i="51"/>
  <c r="AY855" i="51"/>
  <c r="AX855" i="51"/>
  <c r="AW855" i="51"/>
  <c r="AV855" i="51"/>
  <c r="AU855" i="51"/>
  <c r="AT855" i="51"/>
  <c r="AS855" i="51"/>
  <c r="AR855" i="51"/>
  <c r="AQ855" i="51"/>
  <c r="AP855" i="51"/>
  <c r="AO855" i="51"/>
  <c r="AN855" i="51"/>
  <c r="AM855" i="51"/>
  <c r="AL855" i="51"/>
  <c r="AK855" i="51"/>
  <c r="AJ855" i="51"/>
  <c r="AZ854" i="51"/>
  <c r="AY854" i="51"/>
  <c r="AX854" i="51"/>
  <c r="AW854" i="51"/>
  <c r="AV854" i="51"/>
  <c r="AU854" i="51"/>
  <c r="AT854" i="51"/>
  <c r="AS854" i="51"/>
  <c r="AR854" i="51"/>
  <c r="AQ854" i="51"/>
  <c r="AP854" i="51"/>
  <c r="AO854" i="51"/>
  <c r="AN854" i="51"/>
  <c r="AM854" i="51"/>
  <c r="AL854" i="51"/>
  <c r="AK854" i="51"/>
  <c r="AJ854" i="51"/>
  <c r="AZ853" i="51"/>
  <c r="AY853" i="51"/>
  <c r="AX853" i="51"/>
  <c r="AW853" i="51"/>
  <c r="AV853" i="51"/>
  <c r="AU853" i="51"/>
  <c r="AT853" i="51"/>
  <c r="AS853" i="51"/>
  <c r="AR853" i="51"/>
  <c r="AQ853" i="51"/>
  <c r="AP853" i="51"/>
  <c r="AO853" i="51"/>
  <c r="AN853" i="51"/>
  <c r="AM853" i="51"/>
  <c r="AL853" i="51"/>
  <c r="AK853" i="51"/>
  <c r="AJ853" i="51"/>
  <c r="AZ852" i="51"/>
  <c r="AY852" i="51"/>
  <c r="AX852" i="51"/>
  <c r="AW852" i="51"/>
  <c r="AV852" i="51"/>
  <c r="AU852" i="51"/>
  <c r="AT852" i="51"/>
  <c r="AS852" i="51"/>
  <c r="AR852" i="51"/>
  <c r="AQ852" i="51"/>
  <c r="AP852" i="51"/>
  <c r="AO852" i="51"/>
  <c r="AN852" i="51"/>
  <c r="AM852" i="51"/>
  <c r="AL852" i="51"/>
  <c r="AK852" i="51"/>
  <c r="AJ852" i="51"/>
  <c r="AZ851" i="51"/>
  <c r="AY851" i="51"/>
  <c r="AX851" i="51"/>
  <c r="AW851" i="51"/>
  <c r="AV851" i="51"/>
  <c r="AU851" i="51"/>
  <c r="AT851" i="51"/>
  <c r="AS851" i="51"/>
  <c r="AR851" i="51"/>
  <c r="AQ851" i="51"/>
  <c r="AP851" i="51"/>
  <c r="AO851" i="51"/>
  <c r="AN851" i="51"/>
  <c r="AM851" i="51"/>
  <c r="AL851" i="51"/>
  <c r="AK851" i="51"/>
  <c r="AJ851" i="51"/>
  <c r="AZ850" i="51"/>
  <c r="AY850" i="51"/>
  <c r="AX850" i="51"/>
  <c r="AW850" i="51"/>
  <c r="AV850" i="51"/>
  <c r="AU850" i="51"/>
  <c r="AT850" i="51"/>
  <c r="AS850" i="51"/>
  <c r="AR850" i="51"/>
  <c r="AQ850" i="51"/>
  <c r="AP850" i="51"/>
  <c r="AO850" i="51"/>
  <c r="AN850" i="51"/>
  <c r="AM850" i="51"/>
  <c r="AL850" i="51"/>
  <c r="AK850" i="51"/>
  <c r="AJ850" i="51"/>
  <c r="AZ849" i="51"/>
  <c r="AY849" i="51"/>
  <c r="AX849" i="51"/>
  <c r="AW849" i="51"/>
  <c r="AV849" i="51"/>
  <c r="AU849" i="51"/>
  <c r="AT849" i="51"/>
  <c r="AS849" i="51"/>
  <c r="AR849" i="51"/>
  <c r="AQ849" i="51"/>
  <c r="AP849" i="51"/>
  <c r="AO849" i="51"/>
  <c r="AN849" i="51"/>
  <c r="AM849" i="51"/>
  <c r="AL849" i="51"/>
  <c r="AK849" i="51"/>
  <c r="AJ849" i="51"/>
  <c r="AZ848" i="51"/>
  <c r="AY848" i="51"/>
  <c r="AX848" i="51"/>
  <c r="AW848" i="51"/>
  <c r="AV848" i="51"/>
  <c r="AU848" i="51"/>
  <c r="AT848" i="51"/>
  <c r="AS848" i="51"/>
  <c r="AR848" i="51"/>
  <c r="AQ848" i="51"/>
  <c r="AP848" i="51"/>
  <c r="AO848" i="51"/>
  <c r="AN848" i="51"/>
  <c r="AM848" i="51"/>
  <c r="AL848" i="51"/>
  <c r="AK848" i="51"/>
  <c r="AJ848" i="51"/>
  <c r="AZ847" i="51"/>
  <c r="AY847" i="51"/>
  <c r="AX847" i="51"/>
  <c r="AW847" i="51"/>
  <c r="AV847" i="51"/>
  <c r="AU847" i="51"/>
  <c r="AT847" i="51"/>
  <c r="AS847" i="51"/>
  <c r="AR847" i="51"/>
  <c r="AQ847" i="51"/>
  <c r="AP847" i="51"/>
  <c r="AO847" i="51"/>
  <c r="AN847" i="51"/>
  <c r="AM847" i="51"/>
  <c r="AL847" i="51"/>
  <c r="AK847" i="51"/>
  <c r="AJ847" i="51"/>
  <c r="AZ846" i="51"/>
  <c r="AY846" i="51"/>
  <c r="AX846" i="51"/>
  <c r="AW846" i="51"/>
  <c r="AV846" i="51"/>
  <c r="AU846" i="51"/>
  <c r="AT846" i="51"/>
  <c r="AS846" i="51"/>
  <c r="AR846" i="51"/>
  <c r="AQ846" i="51"/>
  <c r="AP846" i="51"/>
  <c r="AO846" i="51"/>
  <c r="AN846" i="51"/>
  <c r="AM846" i="51"/>
  <c r="AL846" i="51"/>
  <c r="AK846" i="51"/>
  <c r="AJ846" i="51"/>
  <c r="AZ845" i="51"/>
  <c r="AY845" i="51"/>
  <c r="AX845" i="51"/>
  <c r="AW845" i="51"/>
  <c r="AV845" i="51"/>
  <c r="AU845" i="51"/>
  <c r="AT845" i="51"/>
  <c r="AS845" i="51"/>
  <c r="AR845" i="51"/>
  <c r="AQ845" i="51"/>
  <c r="AP845" i="51"/>
  <c r="AO845" i="51"/>
  <c r="AN845" i="51"/>
  <c r="AM845" i="51"/>
  <c r="AL845" i="51"/>
  <c r="AK845" i="51"/>
  <c r="AJ845" i="51"/>
  <c r="AZ844" i="51"/>
  <c r="AY844" i="51"/>
  <c r="AX844" i="51"/>
  <c r="AW844" i="51"/>
  <c r="AV844" i="51"/>
  <c r="AU844" i="51"/>
  <c r="AT844" i="51"/>
  <c r="AS844" i="51"/>
  <c r="AR844" i="51"/>
  <c r="AQ844" i="51"/>
  <c r="AP844" i="51"/>
  <c r="AO844" i="51"/>
  <c r="AN844" i="51"/>
  <c r="AM844" i="51"/>
  <c r="AL844" i="51"/>
  <c r="AK844" i="51"/>
  <c r="AJ844" i="51"/>
  <c r="AZ843" i="51"/>
  <c r="AY843" i="51"/>
  <c r="AX843" i="51"/>
  <c r="AW843" i="51"/>
  <c r="AV843" i="51"/>
  <c r="AU843" i="51"/>
  <c r="AT843" i="51"/>
  <c r="AS843" i="51"/>
  <c r="AR843" i="51"/>
  <c r="AQ843" i="51"/>
  <c r="AP843" i="51"/>
  <c r="AO843" i="51"/>
  <c r="AN843" i="51"/>
  <c r="AM843" i="51"/>
  <c r="AL843" i="51"/>
  <c r="AK843" i="51"/>
  <c r="AJ843" i="51"/>
  <c r="AZ842" i="51"/>
  <c r="AY842" i="51"/>
  <c r="AX842" i="51"/>
  <c r="AW842" i="51"/>
  <c r="AV842" i="51"/>
  <c r="AU842" i="51"/>
  <c r="AT842" i="51"/>
  <c r="AS842" i="51"/>
  <c r="AR842" i="51"/>
  <c r="AQ842" i="51"/>
  <c r="AP842" i="51"/>
  <c r="AO842" i="51"/>
  <c r="AN842" i="51"/>
  <c r="AM842" i="51"/>
  <c r="AL842" i="51"/>
  <c r="AK842" i="51"/>
  <c r="AJ842" i="51"/>
  <c r="AZ841" i="51"/>
  <c r="AY841" i="51"/>
  <c r="AX841" i="51"/>
  <c r="AW841" i="51"/>
  <c r="AV841" i="51"/>
  <c r="AU841" i="51"/>
  <c r="AT841" i="51"/>
  <c r="AS841" i="51"/>
  <c r="AR841" i="51"/>
  <c r="AQ841" i="51"/>
  <c r="AP841" i="51"/>
  <c r="AO841" i="51"/>
  <c r="AN841" i="51"/>
  <c r="AM841" i="51"/>
  <c r="AL841" i="51"/>
  <c r="AK841" i="51"/>
  <c r="AJ841" i="51"/>
  <c r="AZ840" i="51"/>
  <c r="AY840" i="51"/>
  <c r="AX840" i="51"/>
  <c r="AW840" i="51"/>
  <c r="AV840" i="51"/>
  <c r="AU840" i="51"/>
  <c r="AT840" i="51"/>
  <c r="AS840" i="51"/>
  <c r="AR840" i="51"/>
  <c r="AQ840" i="51"/>
  <c r="AP840" i="51"/>
  <c r="AO840" i="51"/>
  <c r="AN840" i="51"/>
  <c r="AM840" i="51"/>
  <c r="AL840" i="51"/>
  <c r="AK840" i="51"/>
  <c r="AJ840" i="51"/>
  <c r="AZ839" i="51"/>
  <c r="AY839" i="51"/>
  <c r="AX839" i="51"/>
  <c r="AW839" i="51"/>
  <c r="AV839" i="51"/>
  <c r="AU839" i="51"/>
  <c r="AT839" i="51"/>
  <c r="AS839" i="51"/>
  <c r="AR839" i="51"/>
  <c r="AQ839" i="51"/>
  <c r="AP839" i="51"/>
  <c r="AO839" i="51"/>
  <c r="AN839" i="51"/>
  <c r="AM839" i="51"/>
  <c r="AL839" i="51"/>
  <c r="AK839" i="51"/>
  <c r="AJ839" i="51"/>
  <c r="AZ838" i="51"/>
  <c r="AY838" i="51"/>
  <c r="AX838" i="51"/>
  <c r="AW838" i="51"/>
  <c r="AV838" i="51"/>
  <c r="AU838" i="51"/>
  <c r="AT838" i="51"/>
  <c r="AS838" i="51"/>
  <c r="AR838" i="51"/>
  <c r="AQ838" i="51"/>
  <c r="AP838" i="51"/>
  <c r="AO838" i="51"/>
  <c r="AN838" i="51"/>
  <c r="AM838" i="51"/>
  <c r="AL838" i="51"/>
  <c r="AK838" i="51"/>
  <c r="AJ838" i="51"/>
  <c r="AZ837" i="51"/>
  <c r="AY837" i="51"/>
  <c r="AX837" i="51"/>
  <c r="AW837" i="51"/>
  <c r="AV837" i="51"/>
  <c r="AU837" i="51"/>
  <c r="AT837" i="51"/>
  <c r="AS837" i="51"/>
  <c r="AR837" i="51"/>
  <c r="AQ837" i="51"/>
  <c r="AP837" i="51"/>
  <c r="AO837" i="51"/>
  <c r="AN837" i="51"/>
  <c r="AM837" i="51"/>
  <c r="AL837" i="51"/>
  <c r="AK837" i="51"/>
  <c r="AJ837" i="51"/>
  <c r="AZ836" i="51"/>
  <c r="AY836" i="51"/>
  <c r="AX836" i="51"/>
  <c r="AW836" i="51"/>
  <c r="AV836" i="51"/>
  <c r="AU836" i="51"/>
  <c r="AT836" i="51"/>
  <c r="AS836" i="51"/>
  <c r="AR836" i="51"/>
  <c r="AQ836" i="51"/>
  <c r="AP836" i="51"/>
  <c r="AO836" i="51"/>
  <c r="AN836" i="51"/>
  <c r="AM836" i="51"/>
  <c r="AL836" i="51"/>
  <c r="AK836" i="51"/>
  <c r="AJ836" i="51"/>
  <c r="AZ835" i="51"/>
  <c r="AY835" i="51"/>
  <c r="AX835" i="51"/>
  <c r="AW835" i="51"/>
  <c r="AV835" i="51"/>
  <c r="AU835" i="51"/>
  <c r="AT835" i="51"/>
  <c r="AS835" i="51"/>
  <c r="AR835" i="51"/>
  <c r="AQ835" i="51"/>
  <c r="AP835" i="51"/>
  <c r="AO835" i="51"/>
  <c r="AN835" i="51"/>
  <c r="AM835" i="51"/>
  <c r="AL835" i="51"/>
  <c r="AK835" i="51"/>
  <c r="AJ835" i="51"/>
  <c r="AZ834" i="51"/>
  <c r="AY834" i="51"/>
  <c r="AX834" i="51"/>
  <c r="AW834" i="51"/>
  <c r="AV834" i="51"/>
  <c r="AU834" i="51"/>
  <c r="AT834" i="51"/>
  <c r="AS834" i="51"/>
  <c r="AR834" i="51"/>
  <c r="AQ834" i="51"/>
  <c r="AP834" i="51"/>
  <c r="AO834" i="51"/>
  <c r="AN834" i="51"/>
  <c r="AM834" i="51"/>
  <c r="AL834" i="51"/>
  <c r="AK834" i="51"/>
  <c r="AJ834" i="51"/>
  <c r="AZ833" i="51"/>
  <c r="AY833" i="51"/>
  <c r="AX833" i="51"/>
  <c r="AW833" i="51"/>
  <c r="AV833" i="51"/>
  <c r="AU833" i="51"/>
  <c r="AT833" i="51"/>
  <c r="AS833" i="51"/>
  <c r="AR833" i="51"/>
  <c r="AQ833" i="51"/>
  <c r="AP833" i="51"/>
  <c r="AO833" i="51"/>
  <c r="AN833" i="51"/>
  <c r="AM833" i="51"/>
  <c r="AL833" i="51"/>
  <c r="AK833" i="51"/>
  <c r="AJ833" i="51"/>
  <c r="AZ832" i="51"/>
  <c r="AY832" i="51"/>
  <c r="AX832" i="51"/>
  <c r="AW832" i="51"/>
  <c r="AV832" i="51"/>
  <c r="AU832" i="51"/>
  <c r="AT832" i="51"/>
  <c r="AS832" i="51"/>
  <c r="AR832" i="51"/>
  <c r="AQ832" i="51"/>
  <c r="AP832" i="51"/>
  <c r="AO832" i="51"/>
  <c r="AN832" i="51"/>
  <c r="AM832" i="51"/>
  <c r="AL832" i="51"/>
  <c r="AK832" i="51"/>
  <c r="AJ832" i="51"/>
  <c r="AZ831" i="51"/>
  <c r="AY831" i="51"/>
  <c r="AX831" i="51"/>
  <c r="AW831" i="51"/>
  <c r="AV831" i="51"/>
  <c r="AU831" i="51"/>
  <c r="AT831" i="51"/>
  <c r="AS831" i="51"/>
  <c r="AR831" i="51"/>
  <c r="AQ831" i="51"/>
  <c r="AP831" i="51"/>
  <c r="AO831" i="51"/>
  <c r="AN831" i="51"/>
  <c r="AM831" i="51"/>
  <c r="AL831" i="51"/>
  <c r="AK831" i="51"/>
  <c r="AJ831" i="51"/>
  <c r="AZ830" i="51"/>
  <c r="AY830" i="51"/>
  <c r="AX830" i="51"/>
  <c r="AW830" i="51"/>
  <c r="AV830" i="51"/>
  <c r="AU830" i="51"/>
  <c r="AT830" i="51"/>
  <c r="AS830" i="51"/>
  <c r="AR830" i="51"/>
  <c r="AQ830" i="51"/>
  <c r="AP830" i="51"/>
  <c r="AO830" i="51"/>
  <c r="AN830" i="51"/>
  <c r="AM830" i="51"/>
  <c r="AL830" i="51"/>
  <c r="AK830" i="51"/>
  <c r="AJ830" i="51"/>
  <c r="AZ829" i="51"/>
  <c r="AY829" i="51"/>
  <c r="AX829" i="51"/>
  <c r="AW829" i="51"/>
  <c r="AV829" i="51"/>
  <c r="AU829" i="51"/>
  <c r="AT829" i="51"/>
  <c r="AS829" i="51"/>
  <c r="AR829" i="51"/>
  <c r="AQ829" i="51"/>
  <c r="AP829" i="51"/>
  <c r="AO829" i="51"/>
  <c r="AN829" i="51"/>
  <c r="AM829" i="51"/>
  <c r="AL829" i="51"/>
  <c r="AK829" i="51"/>
  <c r="AJ829" i="51"/>
  <c r="AZ828" i="51"/>
  <c r="AY828" i="51"/>
  <c r="AX828" i="51"/>
  <c r="AW828" i="51"/>
  <c r="AV828" i="51"/>
  <c r="AU828" i="51"/>
  <c r="AT828" i="51"/>
  <c r="AS828" i="51"/>
  <c r="AR828" i="51"/>
  <c r="AQ828" i="51"/>
  <c r="AP828" i="51"/>
  <c r="AO828" i="51"/>
  <c r="AN828" i="51"/>
  <c r="AM828" i="51"/>
  <c r="AL828" i="51"/>
  <c r="AK828" i="51"/>
  <c r="AJ828" i="51"/>
  <c r="AZ827" i="51"/>
  <c r="AY827" i="51"/>
  <c r="AX827" i="51"/>
  <c r="AW827" i="51"/>
  <c r="AV827" i="51"/>
  <c r="AU827" i="51"/>
  <c r="AT827" i="51"/>
  <c r="AS827" i="51"/>
  <c r="AR827" i="51"/>
  <c r="AQ827" i="51"/>
  <c r="AP827" i="51"/>
  <c r="AO827" i="51"/>
  <c r="AN827" i="51"/>
  <c r="AM827" i="51"/>
  <c r="AL827" i="51"/>
  <c r="AK827" i="51"/>
  <c r="AJ827" i="51"/>
  <c r="AZ826" i="51"/>
  <c r="AY826" i="51"/>
  <c r="AX826" i="51"/>
  <c r="AW826" i="51"/>
  <c r="AV826" i="51"/>
  <c r="AU826" i="51"/>
  <c r="AT826" i="51"/>
  <c r="AS826" i="51"/>
  <c r="AR826" i="51"/>
  <c r="AQ826" i="51"/>
  <c r="AP826" i="51"/>
  <c r="AO826" i="51"/>
  <c r="AN826" i="51"/>
  <c r="AM826" i="51"/>
  <c r="AL826" i="51"/>
  <c r="AK826" i="51"/>
  <c r="AJ826" i="51"/>
  <c r="AZ825" i="51"/>
  <c r="AY825" i="51"/>
  <c r="AX825" i="51"/>
  <c r="AW825" i="51"/>
  <c r="AV825" i="51"/>
  <c r="AU825" i="51"/>
  <c r="AT825" i="51"/>
  <c r="AS825" i="51"/>
  <c r="AR825" i="51"/>
  <c r="AQ825" i="51"/>
  <c r="AP825" i="51"/>
  <c r="AO825" i="51"/>
  <c r="AN825" i="51"/>
  <c r="AM825" i="51"/>
  <c r="AL825" i="51"/>
  <c r="AK825" i="51"/>
  <c r="AJ825" i="51"/>
  <c r="AZ824" i="51"/>
  <c r="AY824" i="51"/>
  <c r="AX824" i="51"/>
  <c r="AW824" i="51"/>
  <c r="AV824" i="51"/>
  <c r="AU824" i="51"/>
  <c r="AT824" i="51"/>
  <c r="AS824" i="51"/>
  <c r="AR824" i="51"/>
  <c r="AQ824" i="51"/>
  <c r="AP824" i="51"/>
  <c r="AO824" i="51"/>
  <c r="AN824" i="51"/>
  <c r="AM824" i="51"/>
  <c r="AL824" i="51"/>
  <c r="AK824" i="51"/>
  <c r="AJ824" i="51"/>
  <c r="AZ823" i="51"/>
  <c r="AY823" i="51"/>
  <c r="AX823" i="51"/>
  <c r="AW823" i="51"/>
  <c r="AV823" i="51"/>
  <c r="AU823" i="51"/>
  <c r="AT823" i="51"/>
  <c r="AS823" i="51"/>
  <c r="AR823" i="51"/>
  <c r="AQ823" i="51"/>
  <c r="AP823" i="51"/>
  <c r="AO823" i="51"/>
  <c r="AN823" i="51"/>
  <c r="AM823" i="51"/>
  <c r="AL823" i="51"/>
  <c r="AK823" i="51"/>
  <c r="AJ823" i="51"/>
  <c r="AZ822" i="51"/>
  <c r="AY822" i="51"/>
  <c r="AX822" i="51"/>
  <c r="AW822" i="51"/>
  <c r="AV822" i="51"/>
  <c r="AU822" i="51"/>
  <c r="AT822" i="51"/>
  <c r="AS822" i="51"/>
  <c r="AR822" i="51"/>
  <c r="AQ822" i="51"/>
  <c r="AP822" i="51"/>
  <c r="AO822" i="51"/>
  <c r="AN822" i="51"/>
  <c r="AM822" i="51"/>
  <c r="AL822" i="51"/>
  <c r="AK822" i="51"/>
  <c r="AJ822" i="51"/>
  <c r="AZ821" i="51"/>
  <c r="AY821" i="51"/>
  <c r="AX821" i="51"/>
  <c r="AW821" i="51"/>
  <c r="AV821" i="51"/>
  <c r="AU821" i="51"/>
  <c r="AT821" i="51"/>
  <c r="AS821" i="51"/>
  <c r="AR821" i="51"/>
  <c r="AQ821" i="51"/>
  <c r="AP821" i="51"/>
  <c r="AO821" i="51"/>
  <c r="AN821" i="51"/>
  <c r="AM821" i="51"/>
  <c r="AL821" i="51"/>
  <c r="AK821" i="51"/>
  <c r="AJ821" i="51"/>
  <c r="AZ820" i="51"/>
  <c r="AY820" i="51"/>
  <c r="AX820" i="51"/>
  <c r="AW820" i="51"/>
  <c r="AV820" i="51"/>
  <c r="AU820" i="51"/>
  <c r="AT820" i="51"/>
  <c r="AS820" i="51"/>
  <c r="AR820" i="51"/>
  <c r="AQ820" i="51"/>
  <c r="AP820" i="51"/>
  <c r="AO820" i="51"/>
  <c r="AN820" i="51"/>
  <c r="AM820" i="51"/>
  <c r="AL820" i="51"/>
  <c r="AK820" i="51"/>
  <c r="AJ820" i="51"/>
  <c r="AZ819" i="51"/>
  <c r="AY819" i="51"/>
  <c r="AX819" i="51"/>
  <c r="AW819" i="51"/>
  <c r="AV819" i="51"/>
  <c r="AU819" i="51"/>
  <c r="AT819" i="51"/>
  <c r="AS819" i="51"/>
  <c r="AR819" i="51"/>
  <c r="AQ819" i="51"/>
  <c r="AP819" i="51"/>
  <c r="AO819" i="51"/>
  <c r="AN819" i="51"/>
  <c r="AM819" i="51"/>
  <c r="AL819" i="51"/>
  <c r="AK819" i="51"/>
  <c r="AJ819" i="51"/>
  <c r="AZ818" i="51"/>
  <c r="AY818" i="51"/>
  <c r="AX818" i="51"/>
  <c r="AW818" i="51"/>
  <c r="AV818" i="51"/>
  <c r="AU818" i="51"/>
  <c r="AT818" i="51"/>
  <c r="AS818" i="51"/>
  <c r="AR818" i="51"/>
  <c r="AQ818" i="51"/>
  <c r="AP818" i="51"/>
  <c r="AO818" i="51"/>
  <c r="AN818" i="51"/>
  <c r="AM818" i="51"/>
  <c r="AL818" i="51"/>
  <c r="AK818" i="51"/>
  <c r="AJ818" i="51"/>
  <c r="AZ817" i="51"/>
  <c r="AY817" i="51"/>
  <c r="AX817" i="51"/>
  <c r="AW817" i="51"/>
  <c r="AV817" i="51"/>
  <c r="AU817" i="51"/>
  <c r="AT817" i="51"/>
  <c r="AS817" i="51"/>
  <c r="AR817" i="51"/>
  <c r="AQ817" i="51"/>
  <c r="AP817" i="51"/>
  <c r="AO817" i="51"/>
  <c r="AN817" i="51"/>
  <c r="AM817" i="51"/>
  <c r="AL817" i="51"/>
  <c r="AK817" i="51"/>
  <c r="AJ817" i="51"/>
  <c r="AZ816" i="51"/>
  <c r="AY816" i="51"/>
  <c r="AX816" i="51"/>
  <c r="AW816" i="51"/>
  <c r="AV816" i="51"/>
  <c r="AU816" i="51"/>
  <c r="AT816" i="51"/>
  <c r="AS816" i="51"/>
  <c r="AR816" i="51"/>
  <c r="AQ816" i="51"/>
  <c r="AP816" i="51"/>
  <c r="AO816" i="51"/>
  <c r="AN816" i="51"/>
  <c r="AM816" i="51"/>
  <c r="AL816" i="51"/>
  <c r="AK816" i="51"/>
  <c r="AJ816" i="51"/>
  <c r="AZ815" i="51"/>
  <c r="AY815" i="51"/>
  <c r="AX815" i="51"/>
  <c r="AW815" i="51"/>
  <c r="AV815" i="51"/>
  <c r="AU815" i="51"/>
  <c r="AT815" i="51"/>
  <c r="AS815" i="51"/>
  <c r="AR815" i="51"/>
  <c r="AQ815" i="51"/>
  <c r="AP815" i="51"/>
  <c r="AO815" i="51"/>
  <c r="AN815" i="51"/>
  <c r="AM815" i="51"/>
  <c r="AL815" i="51"/>
  <c r="AK815" i="51"/>
  <c r="AJ815" i="51"/>
  <c r="AZ814" i="51"/>
  <c r="AY814" i="51"/>
  <c r="AX814" i="51"/>
  <c r="AW814" i="51"/>
  <c r="AV814" i="51"/>
  <c r="AU814" i="51"/>
  <c r="AT814" i="51"/>
  <c r="AS814" i="51"/>
  <c r="AR814" i="51"/>
  <c r="AQ814" i="51"/>
  <c r="AP814" i="51"/>
  <c r="AO814" i="51"/>
  <c r="AN814" i="51"/>
  <c r="AM814" i="51"/>
  <c r="AL814" i="51"/>
  <c r="AK814" i="51"/>
  <c r="AJ814" i="51"/>
  <c r="AZ813" i="51"/>
  <c r="AY813" i="51"/>
  <c r="AX813" i="51"/>
  <c r="AW813" i="51"/>
  <c r="AV813" i="51"/>
  <c r="AU813" i="51"/>
  <c r="AT813" i="51"/>
  <c r="AS813" i="51"/>
  <c r="AR813" i="51"/>
  <c r="AQ813" i="51"/>
  <c r="AP813" i="51"/>
  <c r="AO813" i="51"/>
  <c r="AN813" i="51"/>
  <c r="AM813" i="51"/>
  <c r="AL813" i="51"/>
  <c r="AK813" i="51"/>
  <c r="AJ813" i="51"/>
  <c r="AZ812" i="51"/>
  <c r="AY812" i="51"/>
  <c r="AX812" i="51"/>
  <c r="AW812" i="51"/>
  <c r="AV812" i="51"/>
  <c r="AU812" i="51"/>
  <c r="AT812" i="51"/>
  <c r="AS812" i="51"/>
  <c r="AR812" i="51"/>
  <c r="AQ812" i="51"/>
  <c r="AP812" i="51"/>
  <c r="AO812" i="51"/>
  <c r="AN812" i="51"/>
  <c r="AM812" i="51"/>
  <c r="AL812" i="51"/>
  <c r="AK812" i="51"/>
  <c r="AJ812" i="51"/>
  <c r="AZ811" i="51"/>
  <c r="AY811" i="51"/>
  <c r="AX811" i="51"/>
  <c r="AW811" i="51"/>
  <c r="AV811" i="51"/>
  <c r="AU811" i="51"/>
  <c r="AT811" i="51"/>
  <c r="AS811" i="51"/>
  <c r="AR811" i="51"/>
  <c r="AQ811" i="51"/>
  <c r="AP811" i="51"/>
  <c r="AO811" i="51"/>
  <c r="AN811" i="51"/>
  <c r="AM811" i="51"/>
  <c r="AL811" i="51"/>
  <c r="AK811" i="51"/>
  <c r="AJ811" i="51"/>
  <c r="AZ810" i="51"/>
  <c r="AY810" i="51"/>
  <c r="AX810" i="51"/>
  <c r="AW810" i="51"/>
  <c r="AV810" i="51"/>
  <c r="AU810" i="51"/>
  <c r="AT810" i="51"/>
  <c r="AS810" i="51"/>
  <c r="AR810" i="51"/>
  <c r="AQ810" i="51"/>
  <c r="AP810" i="51"/>
  <c r="AO810" i="51"/>
  <c r="AN810" i="51"/>
  <c r="AM810" i="51"/>
  <c r="AL810" i="51"/>
  <c r="AK810" i="51"/>
  <c r="AJ810" i="51"/>
  <c r="AZ809" i="51"/>
  <c r="AY809" i="51"/>
  <c r="AX809" i="51"/>
  <c r="AW809" i="51"/>
  <c r="AV809" i="51"/>
  <c r="AU809" i="51"/>
  <c r="AT809" i="51"/>
  <c r="AS809" i="51"/>
  <c r="AR809" i="51"/>
  <c r="AQ809" i="51"/>
  <c r="AP809" i="51"/>
  <c r="AO809" i="51"/>
  <c r="AN809" i="51"/>
  <c r="AM809" i="51"/>
  <c r="AL809" i="51"/>
  <c r="AK809" i="51"/>
  <c r="AJ809" i="51"/>
  <c r="AZ808" i="51"/>
  <c r="AY808" i="51"/>
  <c r="AX808" i="51"/>
  <c r="AW808" i="51"/>
  <c r="AV808" i="51"/>
  <c r="AU808" i="51"/>
  <c r="AT808" i="51"/>
  <c r="AS808" i="51"/>
  <c r="AR808" i="51"/>
  <c r="AQ808" i="51"/>
  <c r="AP808" i="51"/>
  <c r="AO808" i="51"/>
  <c r="AN808" i="51"/>
  <c r="AM808" i="51"/>
  <c r="AL808" i="51"/>
  <c r="AK808" i="51"/>
  <c r="AJ808" i="51"/>
  <c r="AZ807" i="51"/>
  <c r="AY807" i="51"/>
  <c r="AX807" i="51"/>
  <c r="AW807" i="51"/>
  <c r="AV807" i="51"/>
  <c r="AU807" i="51"/>
  <c r="AT807" i="51"/>
  <c r="AS807" i="51"/>
  <c r="AR807" i="51"/>
  <c r="AQ807" i="51"/>
  <c r="AP807" i="51"/>
  <c r="AO807" i="51"/>
  <c r="AN807" i="51"/>
  <c r="AM807" i="51"/>
  <c r="AL807" i="51"/>
  <c r="AK807" i="51"/>
  <c r="AJ807" i="51"/>
  <c r="AZ806" i="51"/>
  <c r="AY806" i="51"/>
  <c r="AX806" i="51"/>
  <c r="AW806" i="51"/>
  <c r="AV806" i="51"/>
  <c r="AU806" i="51"/>
  <c r="AT806" i="51"/>
  <c r="AS806" i="51"/>
  <c r="AR806" i="51"/>
  <c r="AQ806" i="51"/>
  <c r="AP806" i="51"/>
  <c r="AO806" i="51"/>
  <c r="AN806" i="51"/>
  <c r="AM806" i="51"/>
  <c r="AL806" i="51"/>
  <c r="AK806" i="51"/>
  <c r="AJ806" i="51"/>
  <c r="AZ805" i="51"/>
  <c r="AY805" i="51"/>
  <c r="AX805" i="51"/>
  <c r="AW805" i="51"/>
  <c r="AV805" i="51"/>
  <c r="AU805" i="51"/>
  <c r="AT805" i="51"/>
  <c r="AS805" i="51"/>
  <c r="AR805" i="51"/>
  <c r="AQ805" i="51"/>
  <c r="AP805" i="51"/>
  <c r="AO805" i="51"/>
  <c r="AN805" i="51"/>
  <c r="AM805" i="51"/>
  <c r="AL805" i="51"/>
  <c r="AK805" i="51"/>
  <c r="AJ805" i="51"/>
  <c r="AZ804" i="51"/>
  <c r="AY804" i="51"/>
  <c r="AX804" i="51"/>
  <c r="AW804" i="51"/>
  <c r="AV804" i="51"/>
  <c r="AU804" i="51"/>
  <c r="AT804" i="51"/>
  <c r="AS804" i="51"/>
  <c r="AR804" i="51"/>
  <c r="AQ804" i="51"/>
  <c r="AP804" i="51"/>
  <c r="AO804" i="51"/>
  <c r="AN804" i="51"/>
  <c r="AM804" i="51"/>
  <c r="AL804" i="51"/>
  <c r="AK804" i="51"/>
  <c r="AJ804" i="51"/>
  <c r="AZ803" i="51"/>
  <c r="AY803" i="51"/>
  <c r="AX803" i="51"/>
  <c r="AW803" i="51"/>
  <c r="AV803" i="51"/>
  <c r="AU803" i="51"/>
  <c r="AT803" i="51"/>
  <c r="AS803" i="51"/>
  <c r="AR803" i="51"/>
  <c r="AQ803" i="51"/>
  <c r="AP803" i="51"/>
  <c r="AO803" i="51"/>
  <c r="AN803" i="51"/>
  <c r="AM803" i="51"/>
  <c r="AL803" i="51"/>
  <c r="AK803" i="51"/>
  <c r="AJ803" i="51"/>
  <c r="AZ802" i="51"/>
  <c r="AY802" i="51"/>
  <c r="AX802" i="51"/>
  <c r="AW802" i="51"/>
  <c r="AV802" i="51"/>
  <c r="AU802" i="51"/>
  <c r="AT802" i="51"/>
  <c r="AS802" i="51"/>
  <c r="AR802" i="51"/>
  <c r="AQ802" i="51"/>
  <c r="AP802" i="51"/>
  <c r="AO802" i="51"/>
  <c r="AN802" i="51"/>
  <c r="AM802" i="51"/>
  <c r="AL802" i="51"/>
  <c r="AK802" i="51"/>
  <c r="AJ802" i="51"/>
  <c r="AZ801" i="51"/>
  <c r="AY801" i="51"/>
  <c r="AX801" i="51"/>
  <c r="AW801" i="51"/>
  <c r="AV801" i="51"/>
  <c r="AU801" i="51"/>
  <c r="AT801" i="51"/>
  <c r="AS801" i="51"/>
  <c r="AR801" i="51"/>
  <c r="AQ801" i="51"/>
  <c r="AP801" i="51"/>
  <c r="AO801" i="51"/>
  <c r="AN801" i="51"/>
  <c r="AM801" i="51"/>
  <c r="AL801" i="51"/>
  <c r="AK801" i="51"/>
  <c r="AJ801" i="51"/>
  <c r="AZ800" i="51"/>
  <c r="AY800" i="51"/>
  <c r="AX800" i="51"/>
  <c r="AW800" i="51"/>
  <c r="AV800" i="51"/>
  <c r="AU800" i="51"/>
  <c r="AT800" i="51"/>
  <c r="AS800" i="51"/>
  <c r="AR800" i="51"/>
  <c r="AQ800" i="51"/>
  <c r="AP800" i="51"/>
  <c r="AO800" i="51"/>
  <c r="AN800" i="51"/>
  <c r="AM800" i="51"/>
  <c r="AL800" i="51"/>
  <c r="AK800" i="51"/>
  <c r="AJ800" i="51"/>
  <c r="AZ799" i="51"/>
  <c r="AY799" i="51"/>
  <c r="AX799" i="51"/>
  <c r="AW799" i="51"/>
  <c r="AV799" i="51"/>
  <c r="AU799" i="51"/>
  <c r="AT799" i="51"/>
  <c r="AS799" i="51"/>
  <c r="AR799" i="51"/>
  <c r="AQ799" i="51"/>
  <c r="AP799" i="51"/>
  <c r="AO799" i="51"/>
  <c r="AN799" i="51"/>
  <c r="AM799" i="51"/>
  <c r="AL799" i="51"/>
  <c r="AK799" i="51"/>
  <c r="AJ799" i="51"/>
  <c r="AZ798" i="51"/>
  <c r="AY798" i="51"/>
  <c r="AX798" i="51"/>
  <c r="AW798" i="51"/>
  <c r="AV798" i="51"/>
  <c r="AU798" i="51"/>
  <c r="AT798" i="51"/>
  <c r="AS798" i="51"/>
  <c r="AR798" i="51"/>
  <c r="AQ798" i="51"/>
  <c r="AP798" i="51"/>
  <c r="AO798" i="51"/>
  <c r="AN798" i="51"/>
  <c r="AM798" i="51"/>
  <c r="AL798" i="51"/>
  <c r="AK798" i="51"/>
  <c r="AJ798" i="51"/>
  <c r="AZ797" i="51"/>
  <c r="AY797" i="51"/>
  <c r="AX797" i="51"/>
  <c r="AW797" i="51"/>
  <c r="AV797" i="51"/>
  <c r="AU797" i="51"/>
  <c r="AT797" i="51"/>
  <c r="AS797" i="51"/>
  <c r="AR797" i="51"/>
  <c r="AQ797" i="51"/>
  <c r="AP797" i="51"/>
  <c r="AO797" i="51"/>
  <c r="AN797" i="51"/>
  <c r="AM797" i="51"/>
  <c r="AL797" i="51"/>
  <c r="AK797" i="51"/>
  <c r="AJ797" i="51"/>
  <c r="AZ796" i="51"/>
  <c r="AY796" i="51"/>
  <c r="AX796" i="51"/>
  <c r="AW796" i="51"/>
  <c r="AV796" i="51"/>
  <c r="AU796" i="51"/>
  <c r="AT796" i="51"/>
  <c r="AS796" i="51"/>
  <c r="AR796" i="51"/>
  <c r="AQ796" i="51"/>
  <c r="AP796" i="51"/>
  <c r="AO796" i="51"/>
  <c r="AN796" i="51"/>
  <c r="AM796" i="51"/>
  <c r="AL796" i="51"/>
  <c r="AK796" i="51"/>
  <c r="AJ796" i="51"/>
  <c r="AZ795" i="51"/>
  <c r="AY795" i="51"/>
  <c r="AX795" i="51"/>
  <c r="AW795" i="51"/>
  <c r="AV795" i="51"/>
  <c r="AU795" i="51"/>
  <c r="AT795" i="51"/>
  <c r="AS795" i="51"/>
  <c r="AR795" i="51"/>
  <c r="AQ795" i="51"/>
  <c r="AP795" i="51"/>
  <c r="AO795" i="51"/>
  <c r="AN795" i="51"/>
  <c r="AM795" i="51"/>
  <c r="AL795" i="51"/>
  <c r="AK795" i="51"/>
  <c r="AJ795" i="51"/>
  <c r="AZ794" i="51"/>
  <c r="AY794" i="51"/>
  <c r="AX794" i="51"/>
  <c r="AW794" i="51"/>
  <c r="AV794" i="51"/>
  <c r="AU794" i="51"/>
  <c r="AT794" i="51"/>
  <c r="AS794" i="51"/>
  <c r="AR794" i="51"/>
  <c r="AQ794" i="51"/>
  <c r="AP794" i="51"/>
  <c r="AO794" i="51"/>
  <c r="AN794" i="51"/>
  <c r="AM794" i="51"/>
  <c r="AL794" i="51"/>
  <c r="AK794" i="51"/>
  <c r="AJ794" i="51"/>
  <c r="AZ793" i="51"/>
  <c r="AY793" i="51"/>
  <c r="AX793" i="51"/>
  <c r="AW793" i="51"/>
  <c r="AV793" i="51"/>
  <c r="AU793" i="51"/>
  <c r="AT793" i="51"/>
  <c r="AS793" i="51"/>
  <c r="AR793" i="51"/>
  <c r="AQ793" i="51"/>
  <c r="AP793" i="51"/>
  <c r="AO793" i="51"/>
  <c r="AN793" i="51"/>
  <c r="AM793" i="51"/>
  <c r="AL793" i="51"/>
  <c r="AK793" i="51"/>
  <c r="AJ793" i="51"/>
  <c r="AZ792" i="51"/>
  <c r="AY792" i="51"/>
  <c r="AX792" i="51"/>
  <c r="AW792" i="51"/>
  <c r="AV792" i="51"/>
  <c r="AU792" i="51"/>
  <c r="AT792" i="51"/>
  <c r="AS792" i="51"/>
  <c r="AR792" i="51"/>
  <c r="AQ792" i="51"/>
  <c r="AP792" i="51"/>
  <c r="AO792" i="51"/>
  <c r="AN792" i="51"/>
  <c r="AM792" i="51"/>
  <c r="AL792" i="51"/>
  <c r="AK792" i="51"/>
  <c r="AJ792" i="51"/>
  <c r="AZ791" i="51"/>
  <c r="AY791" i="51"/>
  <c r="AX791" i="51"/>
  <c r="AW791" i="51"/>
  <c r="AV791" i="51"/>
  <c r="AU791" i="51"/>
  <c r="AT791" i="51"/>
  <c r="AS791" i="51"/>
  <c r="AR791" i="51"/>
  <c r="AQ791" i="51"/>
  <c r="AP791" i="51"/>
  <c r="AO791" i="51"/>
  <c r="AN791" i="51"/>
  <c r="AM791" i="51"/>
  <c r="AL791" i="51"/>
  <c r="AK791" i="51"/>
  <c r="AJ791" i="51"/>
  <c r="AZ790" i="51"/>
  <c r="AY790" i="51"/>
  <c r="AX790" i="51"/>
  <c r="AW790" i="51"/>
  <c r="AV790" i="51"/>
  <c r="AU790" i="51"/>
  <c r="AT790" i="51"/>
  <c r="AS790" i="51"/>
  <c r="AR790" i="51"/>
  <c r="AQ790" i="51"/>
  <c r="AP790" i="51"/>
  <c r="AO790" i="51"/>
  <c r="AN790" i="51"/>
  <c r="AM790" i="51"/>
  <c r="AL790" i="51"/>
  <c r="AK790" i="51"/>
  <c r="AJ790" i="51"/>
  <c r="AZ789" i="51"/>
  <c r="AY789" i="51"/>
  <c r="AX789" i="51"/>
  <c r="AW789" i="51"/>
  <c r="AV789" i="51"/>
  <c r="AU789" i="51"/>
  <c r="AT789" i="51"/>
  <c r="AS789" i="51"/>
  <c r="AR789" i="51"/>
  <c r="AQ789" i="51"/>
  <c r="AP789" i="51"/>
  <c r="AO789" i="51"/>
  <c r="AN789" i="51"/>
  <c r="AM789" i="51"/>
  <c r="AL789" i="51"/>
  <c r="AK789" i="51"/>
  <c r="AJ789" i="51"/>
  <c r="AZ788" i="51"/>
  <c r="AY788" i="51"/>
  <c r="AX788" i="51"/>
  <c r="AW788" i="51"/>
  <c r="AV788" i="51"/>
  <c r="AU788" i="51"/>
  <c r="AT788" i="51"/>
  <c r="AS788" i="51"/>
  <c r="AR788" i="51"/>
  <c r="AQ788" i="51"/>
  <c r="AP788" i="51"/>
  <c r="AO788" i="51"/>
  <c r="AN788" i="51"/>
  <c r="AM788" i="51"/>
  <c r="AL788" i="51"/>
  <c r="AK788" i="51"/>
  <c r="AJ788" i="51"/>
  <c r="AZ787" i="51"/>
  <c r="AY787" i="51"/>
  <c r="AX787" i="51"/>
  <c r="AW787" i="51"/>
  <c r="AV787" i="51"/>
  <c r="AU787" i="51"/>
  <c r="AT787" i="51"/>
  <c r="AS787" i="51"/>
  <c r="AR787" i="51"/>
  <c r="AQ787" i="51"/>
  <c r="AP787" i="51"/>
  <c r="AO787" i="51"/>
  <c r="AN787" i="51"/>
  <c r="AM787" i="51"/>
  <c r="AL787" i="51"/>
  <c r="AK787" i="51"/>
  <c r="AJ787" i="51"/>
  <c r="AZ786" i="51"/>
  <c r="AY786" i="51"/>
  <c r="AX786" i="51"/>
  <c r="AW786" i="51"/>
  <c r="AV786" i="51"/>
  <c r="AU786" i="51"/>
  <c r="AT786" i="51"/>
  <c r="AS786" i="51"/>
  <c r="AR786" i="51"/>
  <c r="AQ786" i="51"/>
  <c r="AP786" i="51"/>
  <c r="AO786" i="51"/>
  <c r="AN786" i="51"/>
  <c r="AM786" i="51"/>
  <c r="AL786" i="51"/>
  <c r="AK786" i="51"/>
  <c r="AJ786" i="51"/>
  <c r="AZ785" i="51"/>
  <c r="AY785" i="51"/>
  <c r="AX785" i="51"/>
  <c r="AW785" i="51"/>
  <c r="AV785" i="51"/>
  <c r="AU785" i="51"/>
  <c r="AT785" i="51"/>
  <c r="AS785" i="51"/>
  <c r="AR785" i="51"/>
  <c r="AQ785" i="51"/>
  <c r="AP785" i="51"/>
  <c r="AO785" i="51"/>
  <c r="AN785" i="51"/>
  <c r="AM785" i="51"/>
  <c r="AL785" i="51"/>
  <c r="AK785" i="51"/>
  <c r="AJ785" i="51"/>
  <c r="AZ784" i="51"/>
  <c r="AY784" i="51"/>
  <c r="AX784" i="51"/>
  <c r="AW784" i="51"/>
  <c r="AV784" i="51"/>
  <c r="AU784" i="51"/>
  <c r="AT784" i="51"/>
  <c r="AS784" i="51"/>
  <c r="AR784" i="51"/>
  <c r="AQ784" i="51"/>
  <c r="AP784" i="51"/>
  <c r="AO784" i="51"/>
  <c r="AN784" i="51"/>
  <c r="AM784" i="51"/>
  <c r="AL784" i="51"/>
  <c r="AK784" i="51"/>
  <c r="AJ784" i="51"/>
  <c r="AZ783" i="51"/>
  <c r="AY783" i="51"/>
  <c r="AX783" i="51"/>
  <c r="AW783" i="51"/>
  <c r="AV783" i="51"/>
  <c r="AU783" i="51"/>
  <c r="AT783" i="51"/>
  <c r="AS783" i="51"/>
  <c r="AR783" i="51"/>
  <c r="AQ783" i="51"/>
  <c r="AP783" i="51"/>
  <c r="AO783" i="51"/>
  <c r="AN783" i="51"/>
  <c r="AM783" i="51"/>
  <c r="AL783" i="51"/>
  <c r="AK783" i="51"/>
  <c r="AJ783" i="51"/>
  <c r="AZ782" i="51"/>
  <c r="AY782" i="51"/>
  <c r="AX782" i="51"/>
  <c r="AW782" i="51"/>
  <c r="AV782" i="51"/>
  <c r="AU782" i="51"/>
  <c r="AT782" i="51"/>
  <c r="AS782" i="51"/>
  <c r="AR782" i="51"/>
  <c r="AQ782" i="51"/>
  <c r="AP782" i="51"/>
  <c r="AO782" i="51"/>
  <c r="AN782" i="51"/>
  <c r="AM782" i="51"/>
  <c r="AL782" i="51"/>
  <c r="AK782" i="51"/>
  <c r="AJ782" i="51"/>
  <c r="AZ781" i="51"/>
  <c r="AY781" i="51"/>
  <c r="AX781" i="51"/>
  <c r="AW781" i="51"/>
  <c r="AV781" i="51"/>
  <c r="AU781" i="51"/>
  <c r="AT781" i="51"/>
  <c r="AS781" i="51"/>
  <c r="AR781" i="51"/>
  <c r="AQ781" i="51"/>
  <c r="AP781" i="51"/>
  <c r="AO781" i="51"/>
  <c r="AN781" i="51"/>
  <c r="AM781" i="51"/>
  <c r="AL781" i="51"/>
  <c r="AK781" i="51"/>
  <c r="AJ781" i="51"/>
  <c r="AZ780" i="51"/>
  <c r="AY780" i="51"/>
  <c r="AX780" i="51"/>
  <c r="AW780" i="51"/>
  <c r="AV780" i="51"/>
  <c r="AU780" i="51"/>
  <c r="AT780" i="51"/>
  <c r="AS780" i="51"/>
  <c r="AR780" i="51"/>
  <c r="AQ780" i="51"/>
  <c r="AP780" i="51"/>
  <c r="AO780" i="51"/>
  <c r="AN780" i="51"/>
  <c r="AM780" i="51"/>
  <c r="AL780" i="51"/>
  <c r="AK780" i="51"/>
  <c r="AJ780" i="51"/>
  <c r="AZ779" i="51"/>
  <c r="AY779" i="51"/>
  <c r="AX779" i="51"/>
  <c r="AW779" i="51"/>
  <c r="AV779" i="51"/>
  <c r="AU779" i="51"/>
  <c r="AT779" i="51"/>
  <c r="AS779" i="51"/>
  <c r="AR779" i="51"/>
  <c r="AQ779" i="51"/>
  <c r="AP779" i="51"/>
  <c r="AO779" i="51"/>
  <c r="AN779" i="51"/>
  <c r="AM779" i="51"/>
  <c r="AL779" i="51"/>
  <c r="AK779" i="51"/>
  <c r="AJ779" i="51"/>
  <c r="AZ778" i="51"/>
  <c r="AY778" i="51"/>
  <c r="AX778" i="51"/>
  <c r="AW778" i="51"/>
  <c r="AV778" i="51"/>
  <c r="AU778" i="51"/>
  <c r="AT778" i="51"/>
  <c r="AS778" i="51"/>
  <c r="AR778" i="51"/>
  <c r="AQ778" i="51"/>
  <c r="AP778" i="51"/>
  <c r="AO778" i="51"/>
  <c r="AN778" i="51"/>
  <c r="AM778" i="51"/>
  <c r="AL778" i="51"/>
  <c r="AK778" i="51"/>
  <c r="AJ778" i="51"/>
  <c r="AZ777" i="51"/>
  <c r="AY777" i="51"/>
  <c r="AX777" i="51"/>
  <c r="AW777" i="51"/>
  <c r="AV777" i="51"/>
  <c r="AU777" i="51"/>
  <c r="AT777" i="51"/>
  <c r="AS777" i="51"/>
  <c r="AR777" i="51"/>
  <c r="AQ777" i="51"/>
  <c r="AP777" i="51"/>
  <c r="AO777" i="51"/>
  <c r="AN777" i="51"/>
  <c r="AM777" i="51"/>
  <c r="AL777" i="51"/>
  <c r="AK777" i="51"/>
  <c r="AJ777" i="51"/>
  <c r="AZ776" i="51"/>
  <c r="AY776" i="51"/>
  <c r="AX776" i="51"/>
  <c r="AW776" i="51"/>
  <c r="AV776" i="51"/>
  <c r="AU776" i="51"/>
  <c r="AT776" i="51"/>
  <c r="AS776" i="51"/>
  <c r="AR776" i="51"/>
  <c r="AQ776" i="51"/>
  <c r="AP776" i="51"/>
  <c r="AO776" i="51"/>
  <c r="AN776" i="51"/>
  <c r="AM776" i="51"/>
  <c r="AL776" i="51"/>
  <c r="AK776" i="51"/>
  <c r="AJ776" i="51"/>
  <c r="AZ775" i="51"/>
  <c r="AY775" i="51"/>
  <c r="AX775" i="51"/>
  <c r="AW775" i="51"/>
  <c r="AV775" i="51"/>
  <c r="AU775" i="51"/>
  <c r="AT775" i="51"/>
  <c r="AS775" i="51"/>
  <c r="AR775" i="51"/>
  <c r="AQ775" i="51"/>
  <c r="AP775" i="51"/>
  <c r="AO775" i="51"/>
  <c r="AN775" i="51"/>
  <c r="AM775" i="51"/>
  <c r="AL775" i="51"/>
  <c r="AK775" i="51"/>
  <c r="AJ775" i="51"/>
  <c r="AZ774" i="51"/>
  <c r="AY774" i="51"/>
  <c r="AX774" i="51"/>
  <c r="AW774" i="51"/>
  <c r="AV774" i="51"/>
  <c r="AU774" i="51"/>
  <c r="AT774" i="51"/>
  <c r="AS774" i="51"/>
  <c r="AR774" i="51"/>
  <c r="AQ774" i="51"/>
  <c r="AP774" i="51"/>
  <c r="AO774" i="51"/>
  <c r="AN774" i="51"/>
  <c r="AM774" i="51"/>
  <c r="AL774" i="51"/>
  <c r="AK774" i="51"/>
  <c r="AJ774" i="51"/>
  <c r="AZ773" i="51"/>
  <c r="AY773" i="51"/>
  <c r="AX773" i="51"/>
  <c r="AW773" i="51"/>
  <c r="AV773" i="51"/>
  <c r="AU773" i="51"/>
  <c r="AT773" i="51"/>
  <c r="AS773" i="51"/>
  <c r="AR773" i="51"/>
  <c r="AQ773" i="51"/>
  <c r="AP773" i="51"/>
  <c r="AO773" i="51"/>
  <c r="AN773" i="51"/>
  <c r="AM773" i="51"/>
  <c r="AL773" i="51"/>
  <c r="AK773" i="51"/>
  <c r="AJ773" i="51"/>
  <c r="AZ772" i="51"/>
  <c r="AY772" i="51"/>
  <c r="AX772" i="51"/>
  <c r="AW772" i="51"/>
  <c r="AV772" i="51"/>
  <c r="AU772" i="51"/>
  <c r="AT772" i="51"/>
  <c r="AS772" i="51"/>
  <c r="AR772" i="51"/>
  <c r="AQ772" i="51"/>
  <c r="AP772" i="51"/>
  <c r="AO772" i="51"/>
  <c r="AN772" i="51"/>
  <c r="AM772" i="51"/>
  <c r="AL772" i="51"/>
  <c r="AK772" i="51"/>
  <c r="AJ772" i="51"/>
  <c r="AZ771" i="51"/>
  <c r="AY771" i="51"/>
  <c r="AX771" i="51"/>
  <c r="AW771" i="51"/>
  <c r="AV771" i="51"/>
  <c r="AU771" i="51"/>
  <c r="AT771" i="51"/>
  <c r="AS771" i="51"/>
  <c r="AR771" i="51"/>
  <c r="AQ771" i="51"/>
  <c r="AP771" i="51"/>
  <c r="AO771" i="51"/>
  <c r="AN771" i="51"/>
  <c r="AM771" i="51"/>
  <c r="AL771" i="51"/>
  <c r="AK771" i="51"/>
  <c r="AJ771" i="51"/>
  <c r="AZ770" i="51"/>
  <c r="AY770" i="51"/>
  <c r="AX770" i="51"/>
  <c r="AW770" i="51"/>
  <c r="AV770" i="51"/>
  <c r="AU770" i="51"/>
  <c r="AT770" i="51"/>
  <c r="AS770" i="51"/>
  <c r="AR770" i="51"/>
  <c r="AQ770" i="51"/>
  <c r="AP770" i="51"/>
  <c r="AO770" i="51"/>
  <c r="AN770" i="51"/>
  <c r="AM770" i="51"/>
  <c r="AL770" i="51"/>
  <c r="AK770" i="51"/>
  <c r="AJ770" i="51"/>
  <c r="AZ769" i="51"/>
  <c r="AY769" i="51"/>
  <c r="AX769" i="51"/>
  <c r="AW769" i="51"/>
  <c r="AV769" i="51"/>
  <c r="AU769" i="51"/>
  <c r="AT769" i="51"/>
  <c r="AS769" i="51"/>
  <c r="AR769" i="51"/>
  <c r="AQ769" i="51"/>
  <c r="AP769" i="51"/>
  <c r="AO769" i="51"/>
  <c r="AN769" i="51"/>
  <c r="AM769" i="51"/>
  <c r="AL769" i="51"/>
  <c r="AK769" i="51"/>
  <c r="AJ769" i="51"/>
  <c r="AZ768" i="51"/>
  <c r="AY768" i="51"/>
  <c r="AX768" i="51"/>
  <c r="AW768" i="51"/>
  <c r="AV768" i="51"/>
  <c r="AU768" i="51"/>
  <c r="AT768" i="51"/>
  <c r="AS768" i="51"/>
  <c r="AR768" i="51"/>
  <c r="AQ768" i="51"/>
  <c r="AP768" i="51"/>
  <c r="AO768" i="51"/>
  <c r="AN768" i="51"/>
  <c r="AM768" i="51"/>
  <c r="AL768" i="51"/>
  <c r="AK768" i="51"/>
  <c r="AJ768" i="51"/>
  <c r="AZ767" i="51"/>
  <c r="AY767" i="51"/>
  <c r="AX767" i="51"/>
  <c r="AW767" i="51"/>
  <c r="AV767" i="51"/>
  <c r="AU767" i="51"/>
  <c r="AT767" i="51"/>
  <c r="AS767" i="51"/>
  <c r="AR767" i="51"/>
  <c r="AQ767" i="51"/>
  <c r="AP767" i="51"/>
  <c r="AO767" i="51"/>
  <c r="AN767" i="51"/>
  <c r="AM767" i="51"/>
  <c r="AL767" i="51"/>
  <c r="AK767" i="51"/>
  <c r="AJ767" i="51"/>
  <c r="AZ766" i="51"/>
  <c r="AY766" i="51"/>
  <c r="AX766" i="51"/>
  <c r="AW766" i="51"/>
  <c r="AV766" i="51"/>
  <c r="AU766" i="51"/>
  <c r="AT766" i="51"/>
  <c r="AS766" i="51"/>
  <c r="AR766" i="51"/>
  <c r="AQ766" i="51"/>
  <c r="AP766" i="51"/>
  <c r="AO766" i="51"/>
  <c r="AN766" i="51"/>
  <c r="AM766" i="51"/>
  <c r="AL766" i="51"/>
  <c r="AK766" i="51"/>
  <c r="AJ766" i="51"/>
  <c r="AZ765" i="51"/>
  <c r="AY765" i="51"/>
  <c r="AX765" i="51"/>
  <c r="AW765" i="51"/>
  <c r="AV765" i="51"/>
  <c r="AU765" i="51"/>
  <c r="AT765" i="51"/>
  <c r="AS765" i="51"/>
  <c r="AR765" i="51"/>
  <c r="AQ765" i="51"/>
  <c r="AP765" i="51"/>
  <c r="AO765" i="51"/>
  <c r="AN765" i="51"/>
  <c r="AM765" i="51"/>
  <c r="AL765" i="51"/>
  <c r="AK765" i="51"/>
  <c r="AJ765" i="51"/>
  <c r="AZ764" i="51"/>
  <c r="AY764" i="51"/>
  <c r="AX764" i="51"/>
  <c r="AW764" i="51"/>
  <c r="AV764" i="51"/>
  <c r="AU764" i="51"/>
  <c r="AT764" i="51"/>
  <c r="AS764" i="51"/>
  <c r="AR764" i="51"/>
  <c r="AQ764" i="51"/>
  <c r="AP764" i="51"/>
  <c r="AO764" i="51"/>
  <c r="AN764" i="51"/>
  <c r="AM764" i="51"/>
  <c r="AL764" i="51"/>
  <c r="AK764" i="51"/>
  <c r="AJ764" i="51"/>
  <c r="AZ763" i="51"/>
  <c r="AY763" i="51"/>
  <c r="AX763" i="51"/>
  <c r="AW763" i="51"/>
  <c r="AV763" i="51"/>
  <c r="AU763" i="51"/>
  <c r="AT763" i="51"/>
  <c r="AS763" i="51"/>
  <c r="AR763" i="51"/>
  <c r="AQ763" i="51"/>
  <c r="AP763" i="51"/>
  <c r="AO763" i="51"/>
  <c r="AN763" i="51"/>
  <c r="AM763" i="51"/>
  <c r="AL763" i="51"/>
  <c r="AK763" i="51"/>
  <c r="AJ763" i="51"/>
  <c r="AZ762" i="51"/>
  <c r="AY762" i="51"/>
  <c r="AX762" i="51"/>
  <c r="AW762" i="51"/>
  <c r="AV762" i="51"/>
  <c r="AU762" i="51"/>
  <c r="AT762" i="51"/>
  <c r="AS762" i="51"/>
  <c r="AR762" i="51"/>
  <c r="AQ762" i="51"/>
  <c r="AP762" i="51"/>
  <c r="AO762" i="51"/>
  <c r="AN762" i="51"/>
  <c r="AM762" i="51"/>
  <c r="AL762" i="51"/>
  <c r="AK762" i="51"/>
  <c r="AJ762" i="51"/>
  <c r="AZ761" i="51"/>
  <c r="AY761" i="51"/>
  <c r="AX761" i="51"/>
  <c r="AW761" i="51"/>
  <c r="AV761" i="51"/>
  <c r="AU761" i="51"/>
  <c r="AT761" i="51"/>
  <c r="AS761" i="51"/>
  <c r="AR761" i="51"/>
  <c r="AQ761" i="51"/>
  <c r="AP761" i="51"/>
  <c r="AO761" i="51"/>
  <c r="AN761" i="51"/>
  <c r="AM761" i="51"/>
  <c r="AL761" i="51"/>
  <c r="AK761" i="51"/>
  <c r="AJ761" i="51"/>
  <c r="AZ760" i="51"/>
  <c r="AY760" i="51"/>
  <c r="AX760" i="51"/>
  <c r="AW760" i="51"/>
  <c r="AV760" i="51"/>
  <c r="AU760" i="51"/>
  <c r="AT760" i="51"/>
  <c r="AS760" i="51"/>
  <c r="AR760" i="51"/>
  <c r="AQ760" i="51"/>
  <c r="AP760" i="51"/>
  <c r="AO760" i="51"/>
  <c r="AN760" i="51"/>
  <c r="AM760" i="51"/>
  <c r="AL760" i="51"/>
  <c r="AK760" i="51"/>
  <c r="AJ760" i="51"/>
  <c r="AZ759" i="51"/>
  <c r="AY759" i="51"/>
  <c r="AX759" i="51"/>
  <c r="AW759" i="51"/>
  <c r="AV759" i="51"/>
  <c r="AU759" i="51"/>
  <c r="AT759" i="51"/>
  <c r="AS759" i="51"/>
  <c r="AR759" i="51"/>
  <c r="AQ759" i="51"/>
  <c r="AP759" i="51"/>
  <c r="AO759" i="51"/>
  <c r="AN759" i="51"/>
  <c r="AM759" i="51"/>
  <c r="AL759" i="51"/>
  <c r="AK759" i="51"/>
  <c r="AJ759" i="51"/>
  <c r="AZ758" i="51"/>
  <c r="AY758" i="51"/>
  <c r="AX758" i="51"/>
  <c r="AW758" i="51"/>
  <c r="AV758" i="51"/>
  <c r="AU758" i="51"/>
  <c r="AT758" i="51"/>
  <c r="AS758" i="51"/>
  <c r="AR758" i="51"/>
  <c r="AQ758" i="51"/>
  <c r="AP758" i="51"/>
  <c r="AO758" i="51"/>
  <c r="AN758" i="51"/>
  <c r="AM758" i="51"/>
  <c r="AL758" i="51"/>
  <c r="AK758" i="51"/>
  <c r="AJ758" i="51"/>
  <c r="AZ757" i="51"/>
  <c r="AY757" i="51"/>
  <c r="AX757" i="51"/>
  <c r="AW757" i="51"/>
  <c r="AV757" i="51"/>
  <c r="AU757" i="51"/>
  <c r="AT757" i="51"/>
  <c r="AS757" i="51"/>
  <c r="AR757" i="51"/>
  <c r="AQ757" i="51"/>
  <c r="AP757" i="51"/>
  <c r="AO757" i="51"/>
  <c r="AN757" i="51"/>
  <c r="AM757" i="51"/>
  <c r="AL757" i="51"/>
  <c r="AK757" i="51"/>
  <c r="AJ757" i="51"/>
  <c r="AZ756" i="51"/>
  <c r="AY756" i="51"/>
  <c r="AX756" i="51"/>
  <c r="AW756" i="51"/>
  <c r="AV756" i="51"/>
  <c r="AU756" i="51"/>
  <c r="AT756" i="51"/>
  <c r="AS756" i="51"/>
  <c r="AR756" i="51"/>
  <c r="AQ756" i="51"/>
  <c r="AP756" i="51"/>
  <c r="AO756" i="51"/>
  <c r="AN756" i="51"/>
  <c r="AM756" i="51"/>
  <c r="AL756" i="51"/>
  <c r="AK756" i="51"/>
  <c r="AJ756" i="51"/>
  <c r="AZ755" i="51"/>
  <c r="AY755" i="51"/>
  <c r="AX755" i="51"/>
  <c r="AW755" i="51"/>
  <c r="AV755" i="51"/>
  <c r="AU755" i="51"/>
  <c r="AT755" i="51"/>
  <c r="AS755" i="51"/>
  <c r="AR755" i="51"/>
  <c r="AQ755" i="51"/>
  <c r="AP755" i="51"/>
  <c r="AO755" i="51"/>
  <c r="AN755" i="51"/>
  <c r="AM755" i="51"/>
  <c r="AL755" i="51"/>
  <c r="AK755" i="51"/>
  <c r="AJ755" i="51"/>
  <c r="AZ754" i="51"/>
  <c r="AY754" i="51"/>
  <c r="AX754" i="51"/>
  <c r="AW754" i="51"/>
  <c r="AV754" i="51"/>
  <c r="AU754" i="51"/>
  <c r="AT754" i="51"/>
  <c r="AS754" i="51"/>
  <c r="AR754" i="51"/>
  <c r="AQ754" i="51"/>
  <c r="AP754" i="51"/>
  <c r="AO754" i="51"/>
  <c r="AN754" i="51"/>
  <c r="AM754" i="51"/>
  <c r="AL754" i="51"/>
  <c r="AK754" i="51"/>
  <c r="AJ754" i="51"/>
  <c r="AZ753" i="51"/>
  <c r="AY753" i="51"/>
  <c r="AX753" i="51"/>
  <c r="AW753" i="51"/>
  <c r="AV753" i="51"/>
  <c r="AU753" i="51"/>
  <c r="AT753" i="51"/>
  <c r="AS753" i="51"/>
  <c r="AR753" i="51"/>
  <c r="AQ753" i="51"/>
  <c r="AP753" i="51"/>
  <c r="AO753" i="51"/>
  <c r="AN753" i="51"/>
  <c r="AM753" i="51"/>
  <c r="AL753" i="51"/>
  <c r="AK753" i="51"/>
  <c r="AJ753" i="51"/>
  <c r="AZ752" i="51"/>
  <c r="AY752" i="51"/>
  <c r="AX752" i="51"/>
  <c r="AW752" i="51"/>
  <c r="AV752" i="51"/>
  <c r="AU752" i="51"/>
  <c r="AT752" i="51"/>
  <c r="AS752" i="51"/>
  <c r="AR752" i="51"/>
  <c r="AQ752" i="51"/>
  <c r="AP752" i="51"/>
  <c r="AO752" i="51"/>
  <c r="AN752" i="51"/>
  <c r="AM752" i="51"/>
  <c r="AL752" i="51"/>
  <c r="AK752" i="51"/>
  <c r="AJ752" i="51"/>
  <c r="AZ751" i="51"/>
  <c r="AY751" i="51"/>
  <c r="AX751" i="51"/>
  <c r="AW751" i="51"/>
  <c r="AV751" i="51"/>
  <c r="AU751" i="51"/>
  <c r="AT751" i="51"/>
  <c r="AS751" i="51"/>
  <c r="AR751" i="51"/>
  <c r="AQ751" i="51"/>
  <c r="AP751" i="51"/>
  <c r="AO751" i="51"/>
  <c r="AN751" i="51"/>
  <c r="AM751" i="51"/>
  <c r="AL751" i="51"/>
  <c r="AK751" i="51"/>
  <c r="AJ751" i="51"/>
  <c r="AZ750" i="51"/>
  <c r="AY750" i="51"/>
  <c r="AX750" i="51"/>
  <c r="AW750" i="51"/>
  <c r="AV750" i="51"/>
  <c r="AU750" i="51"/>
  <c r="AT750" i="51"/>
  <c r="AS750" i="51"/>
  <c r="AR750" i="51"/>
  <c r="AQ750" i="51"/>
  <c r="AP750" i="51"/>
  <c r="AO750" i="51"/>
  <c r="AN750" i="51"/>
  <c r="AM750" i="51"/>
  <c r="AL750" i="51"/>
  <c r="AK750" i="51"/>
  <c r="AJ750" i="51"/>
  <c r="AZ749" i="51"/>
  <c r="AY749" i="51"/>
  <c r="AX749" i="51"/>
  <c r="AW749" i="51"/>
  <c r="AV749" i="51"/>
  <c r="AU749" i="51"/>
  <c r="AT749" i="51"/>
  <c r="AS749" i="51"/>
  <c r="AR749" i="51"/>
  <c r="AQ749" i="51"/>
  <c r="AP749" i="51"/>
  <c r="AO749" i="51"/>
  <c r="AN749" i="51"/>
  <c r="AM749" i="51"/>
  <c r="AL749" i="51"/>
  <c r="AK749" i="51"/>
  <c r="AJ749" i="51"/>
  <c r="AZ748" i="51"/>
  <c r="AY748" i="51"/>
  <c r="AX748" i="51"/>
  <c r="AW748" i="51"/>
  <c r="AV748" i="51"/>
  <c r="AU748" i="51"/>
  <c r="AT748" i="51"/>
  <c r="AS748" i="51"/>
  <c r="AR748" i="51"/>
  <c r="AQ748" i="51"/>
  <c r="AP748" i="51"/>
  <c r="AO748" i="51"/>
  <c r="AN748" i="51"/>
  <c r="AM748" i="51"/>
  <c r="AL748" i="51"/>
  <c r="AK748" i="51"/>
  <c r="AJ748" i="51"/>
  <c r="AZ747" i="51"/>
  <c r="AY747" i="51"/>
  <c r="AX747" i="51"/>
  <c r="AW747" i="51"/>
  <c r="AV747" i="51"/>
  <c r="AU747" i="51"/>
  <c r="AT747" i="51"/>
  <c r="AS747" i="51"/>
  <c r="AR747" i="51"/>
  <c r="AQ747" i="51"/>
  <c r="AP747" i="51"/>
  <c r="AO747" i="51"/>
  <c r="AN747" i="51"/>
  <c r="AM747" i="51"/>
  <c r="AL747" i="51"/>
  <c r="AK747" i="51"/>
  <c r="AJ747" i="51"/>
  <c r="AZ746" i="51"/>
  <c r="AY746" i="51"/>
  <c r="AX746" i="51"/>
  <c r="AW746" i="51"/>
  <c r="AV746" i="51"/>
  <c r="AU746" i="51"/>
  <c r="AT746" i="51"/>
  <c r="AS746" i="51"/>
  <c r="AR746" i="51"/>
  <c r="AQ746" i="51"/>
  <c r="AP746" i="51"/>
  <c r="AO746" i="51"/>
  <c r="AN746" i="51"/>
  <c r="AM746" i="51"/>
  <c r="AL746" i="51"/>
  <c r="AK746" i="51"/>
  <c r="AJ746" i="51"/>
  <c r="AZ745" i="51"/>
  <c r="AY745" i="51"/>
  <c r="AX745" i="51"/>
  <c r="AW745" i="51"/>
  <c r="AV745" i="51"/>
  <c r="AU745" i="51"/>
  <c r="AT745" i="51"/>
  <c r="AS745" i="51"/>
  <c r="AR745" i="51"/>
  <c r="AQ745" i="51"/>
  <c r="AP745" i="51"/>
  <c r="AO745" i="51"/>
  <c r="AN745" i="51"/>
  <c r="AM745" i="51"/>
  <c r="AL745" i="51"/>
  <c r="AK745" i="51"/>
  <c r="AJ745" i="51"/>
  <c r="AZ744" i="51"/>
  <c r="AY744" i="51"/>
  <c r="AX744" i="51"/>
  <c r="AW744" i="51"/>
  <c r="AV744" i="51"/>
  <c r="AU744" i="51"/>
  <c r="AT744" i="51"/>
  <c r="AS744" i="51"/>
  <c r="AR744" i="51"/>
  <c r="AQ744" i="51"/>
  <c r="AP744" i="51"/>
  <c r="AO744" i="51"/>
  <c r="AN744" i="51"/>
  <c r="AM744" i="51"/>
  <c r="AL744" i="51"/>
  <c r="AK744" i="51"/>
  <c r="AJ744" i="51"/>
  <c r="AZ743" i="51"/>
  <c r="AY743" i="51"/>
  <c r="AX743" i="51"/>
  <c r="AW743" i="51"/>
  <c r="AV743" i="51"/>
  <c r="AU743" i="51"/>
  <c r="AT743" i="51"/>
  <c r="AS743" i="51"/>
  <c r="AR743" i="51"/>
  <c r="AQ743" i="51"/>
  <c r="AP743" i="51"/>
  <c r="AO743" i="51"/>
  <c r="AN743" i="51"/>
  <c r="AM743" i="51"/>
  <c r="AL743" i="51"/>
  <c r="AK743" i="51"/>
  <c r="AJ743" i="51"/>
  <c r="AZ742" i="51"/>
  <c r="AY742" i="51"/>
  <c r="AX742" i="51"/>
  <c r="AW742" i="51"/>
  <c r="AV742" i="51"/>
  <c r="AU742" i="51"/>
  <c r="AT742" i="51"/>
  <c r="AS742" i="51"/>
  <c r="AR742" i="51"/>
  <c r="AQ742" i="51"/>
  <c r="AP742" i="51"/>
  <c r="AO742" i="51"/>
  <c r="AN742" i="51"/>
  <c r="AM742" i="51"/>
  <c r="AL742" i="51"/>
  <c r="AK742" i="51"/>
  <c r="AJ742" i="51"/>
  <c r="AZ741" i="51"/>
  <c r="AY741" i="51"/>
  <c r="AX741" i="51"/>
  <c r="AW741" i="51"/>
  <c r="AV741" i="51"/>
  <c r="AU741" i="51"/>
  <c r="AT741" i="51"/>
  <c r="AS741" i="51"/>
  <c r="AR741" i="51"/>
  <c r="AQ741" i="51"/>
  <c r="AP741" i="51"/>
  <c r="AO741" i="51"/>
  <c r="AN741" i="51"/>
  <c r="AM741" i="51"/>
  <c r="AL741" i="51"/>
  <c r="AK741" i="51"/>
  <c r="AJ741" i="51"/>
  <c r="AZ740" i="51"/>
  <c r="AY740" i="51"/>
  <c r="AX740" i="51"/>
  <c r="AW740" i="51"/>
  <c r="AV740" i="51"/>
  <c r="AU740" i="51"/>
  <c r="AT740" i="51"/>
  <c r="AS740" i="51"/>
  <c r="AR740" i="51"/>
  <c r="AQ740" i="51"/>
  <c r="AP740" i="51"/>
  <c r="AO740" i="51"/>
  <c r="AN740" i="51"/>
  <c r="AM740" i="51"/>
  <c r="AL740" i="51"/>
  <c r="AK740" i="51"/>
  <c r="AJ740" i="51"/>
  <c r="AZ739" i="51"/>
  <c r="AY739" i="51"/>
  <c r="AX739" i="51"/>
  <c r="AW739" i="51"/>
  <c r="AV739" i="51"/>
  <c r="AU739" i="51"/>
  <c r="AT739" i="51"/>
  <c r="AS739" i="51"/>
  <c r="AR739" i="51"/>
  <c r="AQ739" i="51"/>
  <c r="AP739" i="51"/>
  <c r="AO739" i="51"/>
  <c r="AN739" i="51"/>
  <c r="AM739" i="51"/>
  <c r="AL739" i="51"/>
  <c r="AK739" i="51"/>
  <c r="AJ739" i="51"/>
  <c r="AZ738" i="51"/>
  <c r="AY738" i="51"/>
  <c r="AX738" i="51"/>
  <c r="AW738" i="51"/>
  <c r="AV738" i="51"/>
  <c r="AU738" i="51"/>
  <c r="AT738" i="51"/>
  <c r="AS738" i="51"/>
  <c r="AR738" i="51"/>
  <c r="AQ738" i="51"/>
  <c r="AP738" i="51"/>
  <c r="AO738" i="51"/>
  <c r="AN738" i="51"/>
  <c r="AM738" i="51"/>
  <c r="AL738" i="51"/>
  <c r="AK738" i="51"/>
  <c r="AJ738" i="51"/>
  <c r="AZ737" i="51"/>
  <c r="AY737" i="51"/>
  <c r="AX737" i="51"/>
  <c r="AW737" i="51"/>
  <c r="AV737" i="51"/>
  <c r="AU737" i="51"/>
  <c r="AT737" i="51"/>
  <c r="AS737" i="51"/>
  <c r="AR737" i="51"/>
  <c r="AQ737" i="51"/>
  <c r="AP737" i="51"/>
  <c r="AO737" i="51"/>
  <c r="AN737" i="51"/>
  <c r="AM737" i="51"/>
  <c r="AL737" i="51"/>
  <c r="AK737" i="51"/>
  <c r="AJ737" i="51"/>
  <c r="AZ736" i="51"/>
  <c r="AY736" i="51"/>
  <c r="AX736" i="51"/>
  <c r="AW736" i="51"/>
  <c r="AV736" i="51"/>
  <c r="AU736" i="51"/>
  <c r="AT736" i="51"/>
  <c r="AS736" i="51"/>
  <c r="AR736" i="51"/>
  <c r="AQ736" i="51"/>
  <c r="AP736" i="51"/>
  <c r="AO736" i="51"/>
  <c r="AN736" i="51"/>
  <c r="AM736" i="51"/>
  <c r="AL736" i="51"/>
  <c r="AK736" i="51"/>
  <c r="AJ736" i="51"/>
  <c r="AZ735" i="51"/>
  <c r="AY735" i="51"/>
  <c r="AX735" i="51"/>
  <c r="AW735" i="51"/>
  <c r="AV735" i="51"/>
  <c r="AU735" i="51"/>
  <c r="AT735" i="51"/>
  <c r="AS735" i="51"/>
  <c r="AR735" i="51"/>
  <c r="AQ735" i="51"/>
  <c r="AP735" i="51"/>
  <c r="AO735" i="51"/>
  <c r="AN735" i="51"/>
  <c r="AM735" i="51"/>
  <c r="AL735" i="51"/>
  <c r="AK735" i="51"/>
  <c r="AJ735" i="51"/>
  <c r="AZ734" i="51"/>
  <c r="AY734" i="51"/>
  <c r="AX734" i="51"/>
  <c r="AW734" i="51"/>
  <c r="AV734" i="51"/>
  <c r="AU734" i="51"/>
  <c r="AT734" i="51"/>
  <c r="AS734" i="51"/>
  <c r="AR734" i="51"/>
  <c r="AQ734" i="51"/>
  <c r="AP734" i="51"/>
  <c r="AO734" i="51"/>
  <c r="AN734" i="51"/>
  <c r="AM734" i="51"/>
  <c r="AL734" i="51"/>
  <c r="AK734" i="51"/>
  <c r="AJ734" i="51"/>
  <c r="AZ733" i="51"/>
  <c r="AY733" i="51"/>
  <c r="AX733" i="51"/>
  <c r="AW733" i="51"/>
  <c r="AV733" i="51"/>
  <c r="AU733" i="51"/>
  <c r="AT733" i="51"/>
  <c r="AS733" i="51"/>
  <c r="AR733" i="51"/>
  <c r="AQ733" i="51"/>
  <c r="AP733" i="51"/>
  <c r="AO733" i="51"/>
  <c r="AN733" i="51"/>
  <c r="AM733" i="51"/>
  <c r="AL733" i="51"/>
  <c r="AK733" i="51"/>
  <c r="AJ733" i="51"/>
  <c r="AZ732" i="51"/>
  <c r="AY732" i="51"/>
  <c r="AX732" i="51"/>
  <c r="AW732" i="51"/>
  <c r="AV732" i="51"/>
  <c r="AU732" i="51"/>
  <c r="AT732" i="51"/>
  <c r="AS732" i="51"/>
  <c r="AR732" i="51"/>
  <c r="AQ732" i="51"/>
  <c r="AP732" i="51"/>
  <c r="AO732" i="51"/>
  <c r="AN732" i="51"/>
  <c r="AM732" i="51"/>
  <c r="AL732" i="51"/>
  <c r="AK732" i="51"/>
  <c r="AJ732" i="51"/>
  <c r="AZ731" i="51"/>
  <c r="AY731" i="51"/>
  <c r="AX731" i="51"/>
  <c r="AW731" i="51"/>
  <c r="AV731" i="51"/>
  <c r="AU731" i="51"/>
  <c r="AT731" i="51"/>
  <c r="AS731" i="51"/>
  <c r="AR731" i="51"/>
  <c r="AQ731" i="51"/>
  <c r="AP731" i="51"/>
  <c r="AO731" i="51"/>
  <c r="AN731" i="51"/>
  <c r="AM731" i="51"/>
  <c r="AL731" i="51"/>
  <c r="AK731" i="51"/>
  <c r="AJ731" i="51"/>
  <c r="AZ730" i="51"/>
  <c r="AY730" i="51"/>
  <c r="AX730" i="51"/>
  <c r="AW730" i="51"/>
  <c r="AV730" i="51"/>
  <c r="AU730" i="51"/>
  <c r="AT730" i="51"/>
  <c r="AS730" i="51"/>
  <c r="AR730" i="51"/>
  <c r="AQ730" i="51"/>
  <c r="AP730" i="51"/>
  <c r="AO730" i="51"/>
  <c r="AN730" i="51"/>
  <c r="AM730" i="51"/>
  <c r="AL730" i="51"/>
  <c r="AK730" i="51"/>
  <c r="AJ730" i="51"/>
  <c r="AZ729" i="51"/>
  <c r="AY729" i="51"/>
  <c r="AX729" i="51"/>
  <c r="AW729" i="51"/>
  <c r="AV729" i="51"/>
  <c r="AU729" i="51"/>
  <c r="AT729" i="51"/>
  <c r="AS729" i="51"/>
  <c r="AR729" i="51"/>
  <c r="AQ729" i="51"/>
  <c r="AP729" i="51"/>
  <c r="AO729" i="51"/>
  <c r="AN729" i="51"/>
  <c r="AM729" i="51"/>
  <c r="AL729" i="51"/>
  <c r="AK729" i="51"/>
  <c r="AJ729" i="51"/>
  <c r="AZ728" i="51"/>
  <c r="AY728" i="51"/>
  <c r="AX728" i="51"/>
  <c r="AW728" i="51"/>
  <c r="AV728" i="51"/>
  <c r="AU728" i="51"/>
  <c r="AT728" i="51"/>
  <c r="AS728" i="51"/>
  <c r="AR728" i="51"/>
  <c r="AQ728" i="51"/>
  <c r="AP728" i="51"/>
  <c r="AO728" i="51"/>
  <c r="AN728" i="51"/>
  <c r="AM728" i="51"/>
  <c r="AL728" i="51"/>
  <c r="AK728" i="51"/>
  <c r="AJ728" i="51"/>
  <c r="AZ727" i="51"/>
  <c r="AY727" i="51"/>
  <c r="AX727" i="51"/>
  <c r="AW727" i="51"/>
  <c r="AV727" i="51"/>
  <c r="AU727" i="51"/>
  <c r="AT727" i="51"/>
  <c r="AS727" i="51"/>
  <c r="AR727" i="51"/>
  <c r="AQ727" i="51"/>
  <c r="AP727" i="51"/>
  <c r="AO727" i="51"/>
  <c r="AN727" i="51"/>
  <c r="AM727" i="51"/>
  <c r="AL727" i="51"/>
  <c r="AK727" i="51"/>
  <c r="AJ727" i="51"/>
  <c r="AZ726" i="51"/>
  <c r="AY726" i="51"/>
  <c r="AX726" i="51"/>
  <c r="AW726" i="51"/>
  <c r="AV726" i="51"/>
  <c r="AU726" i="51"/>
  <c r="AT726" i="51"/>
  <c r="AS726" i="51"/>
  <c r="AR726" i="51"/>
  <c r="AQ726" i="51"/>
  <c r="AP726" i="51"/>
  <c r="AO726" i="51"/>
  <c r="AN726" i="51"/>
  <c r="AM726" i="51"/>
  <c r="AL726" i="51"/>
  <c r="AK726" i="51"/>
  <c r="AJ726" i="51"/>
  <c r="AZ725" i="51"/>
  <c r="AY725" i="51"/>
  <c r="AX725" i="51"/>
  <c r="AW725" i="51"/>
  <c r="AV725" i="51"/>
  <c r="AU725" i="51"/>
  <c r="AT725" i="51"/>
  <c r="AS725" i="51"/>
  <c r="AR725" i="51"/>
  <c r="AQ725" i="51"/>
  <c r="AP725" i="51"/>
  <c r="AO725" i="51"/>
  <c r="AN725" i="51"/>
  <c r="AM725" i="51"/>
  <c r="AL725" i="51"/>
  <c r="AK725" i="51"/>
  <c r="AJ725" i="51"/>
  <c r="AZ724" i="51"/>
  <c r="AY724" i="51"/>
  <c r="AX724" i="51"/>
  <c r="AW724" i="51"/>
  <c r="AV724" i="51"/>
  <c r="AU724" i="51"/>
  <c r="AT724" i="51"/>
  <c r="AS724" i="51"/>
  <c r="AR724" i="51"/>
  <c r="AQ724" i="51"/>
  <c r="AP724" i="51"/>
  <c r="AO724" i="51"/>
  <c r="AN724" i="51"/>
  <c r="AM724" i="51"/>
  <c r="AL724" i="51"/>
  <c r="AK724" i="51"/>
  <c r="AJ724" i="51"/>
  <c r="AZ723" i="51"/>
  <c r="AY723" i="51"/>
  <c r="AX723" i="51"/>
  <c r="AW723" i="51"/>
  <c r="AV723" i="51"/>
  <c r="AU723" i="51"/>
  <c r="AT723" i="51"/>
  <c r="AS723" i="51"/>
  <c r="AR723" i="51"/>
  <c r="AQ723" i="51"/>
  <c r="AP723" i="51"/>
  <c r="AO723" i="51"/>
  <c r="AN723" i="51"/>
  <c r="AM723" i="51"/>
  <c r="AL723" i="51"/>
  <c r="AK723" i="51"/>
  <c r="AJ723" i="51"/>
  <c r="AZ722" i="51"/>
  <c r="AY722" i="51"/>
  <c r="AX722" i="51"/>
  <c r="AW722" i="51"/>
  <c r="AV722" i="51"/>
  <c r="AU722" i="51"/>
  <c r="AT722" i="51"/>
  <c r="AS722" i="51"/>
  <c r="AR722" i="51"/>
  <c r="AQ722" i="51"/>
  <c r="AP722" i="51"/>
  <c r="AO722" i="51"/>
  <c r="AN722" i="51"/>
  <c r="AM722" i="51"/>
  <c r="AL722" i="51"/>
  <c r="AK722" i="51"/>
  <c r="AJ722" i="51"/>
  <c r="AZ721" i="51"/>
  <c r="AY721" i="51"/>
  <c r="AX721" i="51"/>
  <c r="AW721" i="51"/>
  <c r="AV721" i="51"/>
  <c r="AU721" i="51"/>
  <c r="AT721" i="51"/>
  <c r="AS721" i="51"/>
  <c r="AR721" i="51"/>
  <c r="AQ721" i="51"/>
  <c r="AP721" i="51"/>
  <c r="AO721" i="51"/>
  <c r="AN721" i="51"/>
  <c r="AM721" i="51"/>
  <c r="AL721" i="51"/>
  <c r="AK721" i="51"/>
  <c r="AJ721" i="51"/>
  <c r="AZ720" i="51"/>
  <c r="AY720" i="51"/>
  <c r="AX720" i="51"/>
  <c r="AW720" i="51"/>
  <c r="AV720" i="51"/>
  <c r="AU720" i="51"/>
  <c r="AT720" i="51"/>
  <c r="AS720" i="51"/>
  <c r="AR720" i="51"/>
  <c r="AQ720" i="51"/>
  <c r="AP720" i="51"/>
  <c r="AO720" i="51"/>
  <c r="AN720" i="51"/>
  <c r="AM720" i="51"/>
  <c r="AL720" i="51"/>
  <c r="AK720" i="51"/>
  <c r="AJ720" i="51"/>
  <c r="AZ719" i="51"/>
  <c r="AY719" i="51"/>
  <c r="AX719" i="51"/>
  <c r="AW719" i="51"/>
  <c r="AV719" i="51"/>
  <c r="AU719" i="51"/>
  <c r="AT719" i="51"/>
  <c r="AS719" i="51"/>
  <c r="AR719" i="51"/>
  <c r="AQ719" i="51"/>
  <c r="AP719" i="51"/>
  <c r="AO719" i="51"/>
  <c r="AN719" i="51"/>
  <c r="AM719" i="51"/>
  <c r="AL719" i="51"/>
  <c r="AK719" i="51"/>
  <c r="AJ719" i="51"/>
  <c r="AZ718" i="51"/>
  <c r="AY718" i="51"/>
  <c r="AX718" i="51"/>
  <c r="AW718" i="51"/>
  <c r="AV718" i="51"/>
  <c r="AU718" i="51"/>
  <c r="AT718" i="51"/>
  <c r="AS718" i="51"/>
  <c r="AR718" i="51"/>
  <c r="AQ718" i="51"/>
  <c r="AP718" i="51"/>
  <c r="AO718" i="51"/>
  <c r="AN718" i="51"/>
  <c r="AM718" i="51"/>
  <c r="AL718" i="51"/>
  <c r="AK718" i="51"/>
  <c r="AJ718" i="51"/>
  <c r="AZ717" i="51"/>
  <c r="AY717" i="51"/>
  <c r="AX717" i="51"/>
  <c r="AW717" i="51"/>
  <c r="AV717" i="51"/>
  <c r="AU717" i="51"/>
  <c r="AT717" i="51"/>
  <c r="AS717" i="51"/>
  <c r="AR717" i="51"/>
  <c r="AQ717" i="51"/>
  <c r="AP717" i="51"/>
  <c r="AO717" i="51"/>
  <c r="AN717" i="51"/>
  <c r="AM717" i="51"/>
  <c r="AL717" i="51"/>
  <c r="AK717" i="51"/>
  <c r="AJ717" i="51"/>
  <c r="AZ716" i="51"/>
  <c r="AY716" i="51"/>
  <c r="AX716" i="51"/>
  <c r="AW716" i="51"/>
  <c r="AV716" i="51"/>
  <c r="AU716" i="51"/>
  <c r="AT716" i="51"/>
  <c r="AS716" i="51"/>
  <c r="AR716" i="51"/>
  <c r="AQ716" i="51"/>
  <c r="AP716" i="51"/>
  <c r="AO716" i="51"/>
  <c r="AN716" i="51"/>
  <c r="AM716" i="51"/>
  <c r="AL716" i="51"/>
  <c r="AK716" i="51"/>
  <c r="AJ716" i="51"/>
  <c r="AZ715" i="51"/>
  <c r="AY715" i="51"/>
  <c r="AX715" i="51"/>
  <c r="AW715" i="51"/>
  <c r="AV715" i="51"/>
  <c r="AU715" i="51"/>
  <c r="AT715" i="51"/>
  <c r="AS715" i="51"/>
  <c r="AR715" i="51"/>
  <c r="AQ715" i="51"/>
  <c r="AP715" i="51"/>
  <c r="AO715" i="51"/>
  <c r="AN715" i="51"/>
  <c r="AM715" i="51"/>
  <c r="AL715" i="51"/>
  <c r="AK715" i="51"/>
  <c r="AJ715" i="51"/>
  <c r="AZ714" i="51"/>
  <c r="AY714" i="51"/>
  <c r="AX714" i="51"/>
  <c r="AW714" i="51"/>
  <c r="AV714" i="51"/>
  <c r="AU714" i="51"/>
  <c r="AT714" i="51"/>
  <c r="AS714" i="51"/>
  <c r="AR714" i="51"/>
  <c r="AQ714" i="51"/>
  <c r="AP714" i="51"/>
  <c r="AO714" i="51"/>
  <c r="AN714" i="51"/>
  <c r="AM714" i="51"/>
  <c r="AL714" i="51"/>
  <c r="AK714" i="51"/>
  <c r="AJ714" i="51"/>
  <c r="AZ713" i="51"/>
  <c r="AY713" i="51"/>
  <c r="AX713" i="51"/>
  <c r="AW713" i="51"/>
  <c r="AV713" i="51"/>
  <c r="AU713" i="51"/>
  <c r="AT713" i="51"/>
  <c r="AS713" i="51"/>
  <c r="AR713" i="51"/>
  <c r="AQ713" i="51"/>
  <c r="AP713" i="51"/>
  <c r="AO713" i="51"/>
  <c r="AN713" i="51"/>
  <c r="AM713" i="51"/>
  <c r="AL713" i="51"/>
  <c r="AK713" i="51"/>
  <c r="AJ713" i="51"/>
  <c r="AZ712" i="51"/>
  <c r="AY712" i="51"/>
  <c r="AX712" i="51"/>
  <c r="AW712" i="51"/>
  <c r="AV712" i="51"/>
  <c r="AU712" i="51"/>
  <c r="AT712" i="51"/>
  <c r="AS712" i="51"/>
  <c r="AR712" i="51"/>
  <c r="AQ712" i="51"/>
  <c r="AP712" i="51"/>
  <c r="AO712" i="51"/>
  <c r="AN712" i="51"/>
  <c r="AM712" i="51"/>
  <c r="AL712" i="51"/>
  <c r="AK712" i="51"/>
  <c r="AJ712" i="51"/>
  <c r="AZ711" i="51"/>
  <c r="AY711" i="51"/>
  <c r="AX711" i="51"/>
  <c r="AW711" i="51"/>
  <c r="AV711" i="51"/>
  <c r="AU711" i="51"/>
  <c r="AT711" i="51"/>
  <c r="AS711" i="51"/>
  <c r="AR711" i="51"/>
  <c r="AQ711" i="51"/>
  <c r="AP711" i="51"/>
  <c r="AO711" i="51"/>
  <c r="AN711" i="51"/>
  <c r="AM711" i="51"/>
  <c r="AL711" i="51"/>
  <c r="AK711" i="51"/>
  <c r="AJ711" i="51"/>
  <c r="AZ710" i="51"/>
  <c r="AY710" i="51"/>
  <c r="AX710" i="51"/>
  <c r="AW710" i="51"/>
  <c r="AV710" i="51"/>
  <c r="AU710" i="51"/>
  <c r="AT710" i="51"/>
  <c r="AS710" i="51"/>
  <c r="AR710" i="51"/>
  <c r="AQ710" i="51"/>
  <c r="AP710" i="51"/>
  <c r="AO710" i="51"/>
  <c r="AN710" i="51"/>
  <c r="AM710" i="51"/>
  <c r="AL710" i="51"/>
  <c r="AK710" i="51"/>
  <c r="AJ710" i="51"/>
  <c r="AZ709" i="51"/>
  <c r="AY709" i="51"/>
  <c r="AX709" i="51"/>
  <c r="AW709" i="51"/>
  <c r="AV709" i="51"/>
  <c r="AU709" i="51"/>
  <c r="AT709" i="51"/>
  <c r="AS709" i="51"/>
  <c r="AR709" i="51"/>
  <c r="AQ709" i="51"/>
  <c r="AP709" i="51"/>
  <c r="AO709" i="51"/>
  <c r="AN709" i="51"/>
  <c r="AM709" i="51"/>
  <c r="AL709" i="51"/>
  <c r="AK709" i="51"/>
  <c r="AJ709" i="51"/>
  <c r="AZ708" i="51"/>
  <c r="AY708" i="51"/>
  <c r="AX708" i="51"/>
  <c r="AW708" i="51"/>
  <c r="AV708" i="51"/>
  <c r="AU708" i="51"/>
  <c r="AT708" i="51"/>
  <c r="AS708" i="51"/>
  <c r="AR708" i="51"/>
  <c r="AQ708" i="51"/>
  <c r="AP708" i="51"/>
  <c r="AO708" i="51"/>
  <c r="AN708" i="51"/>
  <c r="AM708" i="51"/>
  <c r="AL708" i="51"/>
  <c r="AK708" i="51"/>
  <c r="AJ708" i="51"/>
  <c r="AZ707" i="51"/>
  <c r="AY707" i="51"/>
  <c r="AX707" i="51"/>
  <c r="AW707" i="51"/>
  <c r="AV707" i="51"/>
  <c r="AU707" i="51"/>
  <c r="AT707" i="51"/>
  <c r="AS707" i="51"/>
  <c r="AR707" i="51"/>
  <c r="AQ707" i="51"/>
  <c r="AP707" i="51"/>
  <c r="AO707" i="51"/>
  <c r="AN707" i="51"/>
  <c r="AM707" i="51"/>
  <c r="AL707" i="51"/>
  <c r="AK707" i="51"/>
  <c r="AJ707" i="51"/>
  <c r="AZ706" i="51"/>
  <c r="AY706" i="51"/>
  <c r="AX706" i="51"/>
  <c r="AW706" i="51"/>
  <c r="AV706" i="51"/>
  <c r="AU706" i="51"/>
  <c r="AT706" i="51"/>
  <c r="AS706" i="51"/>
  <c r="AR706" i="51"/>
  <c r="AQ706" i="51"/>
  <c r="AP706" i="51"/>
  <c r="AO706" i="51"/>
  <c r="AN706" i="51"/>
  <c r="AM706" i="51"/>
  <c r="AL706" i="51"/>
  <c r="AK706" i="51"/>
  <c r="AJ706" i="51"/>
  <c r="AZ705" i="51"/>
  <c r="AY705" i="51"/>
  <c r="AX705" i="51"/>
  <c r="AW705" i="51"/>
  <c r="AV705" i="51"/>
  <c r="AU705" i="51"/>
  <c r="AT705" i="51"/>
  <c r="AS705" i="51"/>
  <c r="AR705" i="51"/>
  <c r="AQ705" i="51"/>
  <c r="AP705" i="51"/>
  <c r="AO705" i="51"/>
  <c r="AN705" i="51"/>
  <c r="AM705" i="51"/>
  <c r="AL705" i="51"/>
  <c r="AK705" i="51"/>
  <c r="AJ705" i="51"/>
  <c r="AZ704" i="51"/>
  <c r="AY704" i="51"/>
  <c r="AX704" i="51"/>
  <c r="AW704" i="51"/>
  <c r="AV704" i="51"/>
  <c r="AU704" i="51"/>
  <c r="AT704" i="51"/>
  <c r="AS704" i="51"/>
  <c r="AR704" i="51"/>
  <c r="AQ704" i="51"/>
  <c r="AP704" i="51"/>
  <c r="AO704" i="51"/>
  <c r="AN704" i="51"/>
  <c r="AM704" i="51"/>
  <c r="AL704" i="51"/>
  <c r="AK704" i="51"/>
  <c r="AJ704" i="51"/>
  <c r="AZ703" i="51"/>
  <c r="AY703" i="51"/>
  <c r="AX703" i="51"/>
  <c r="AW703" i="51"/>
  <c r="AV703" i="51"/>
  <c r="AU703" i="51"/>
  <c r="AT703" i="51"/>
  <c r="AS703" i="51"/>
  <c r="AR703" i="51"/>
  <c r="AQ703" i="51"/>
  <c r="AP703" i="51"/>
  <c r="AO703" i="51"/>
  <c r="AN703" i="51"/>
  <c r="AM703" i="51"/>
  <c r="AL703" i="51"/>
  <c r="AK703" i="51"/>
  <c r="AJ703" i="51"/>
  <c r="AZ702" i="51"/>
  <c r="AY702" i="51"/>
  <c r="AX702" i="51"/>
  <c r="AW702" i="51"/>
  <c r="AV702" i="51"/>
  <c r="AU702" i="51"/>
  <c r="AT702" i="51"/>
  <c r="AS702" i="51"/>
  <c r="AR702" i="51"/>
  <c r="AQ702" i="51"/>
  <c r="AP702" i="51"/>
  <c r="AO702" i="51"/>
  <c r="AN702" i="51"/>
  <c r="AM702" i="51"/>
  <c r="AL702" i="51"/>
  <c r="AK702" i="51"/>
  <c r="AJ702" i="51"/>
  <c r="AZ701" i="51"/>
  <c r="AY701" i="51"/>
  <c r="AX701" i="51"/>
  <c r="AW701" i="51"/>
  <c r="AV701" i="51"/>
  <c r="AU701" i="51"/>
  <c r="AT701" i="51"/>
  <c r="AS701" i="51"/>
  <c r="AR701" i="51"/>
  <c r="AQ701" i="51"/>
  <c r="AP701" i="51"/>
  <c r="AO701" i="51"/>
  <c r="AN701" i="51"/>
  <c r="AM701" i="51"/>
  <c r="AL701" i="51"/>
  <c r="AK701" i="51"/>
  <c r="AJ701" i="51"/>
  <c r="AZ700" i="51"/>
  <c r="AY700" i="51"/>
  <c r="AX700" i="51"/>
  <c r="AW700" i="51"/>
  <c r="AV700" i="51"/>
  <c r="AU700" i="51"/>
  <c r="AT700" i="51"/>
  <c r="AS700" i="51"/>
  <c r="AR700" i="51"/>
  <c r="AQ700" i="51"/>
  <c r="AP700" i="51"/>
  <c r="AO700" i="51"/>
  <c r="AN700" i="51"/>
  <c r="AM700" i="51"/>
  <c r="AL700" i="51"/>
  <c r="AK700" i="51"/>
  <c r="AJ700" i="51"/>
  <c r="AZ699" i="51"/>
  <c r="AY699" i="51"/>
  <c r="AX699" i="51"/>
  <c r="AW699" i="51"/>
  <c r="AV699" i="51"/>
  <c r="AU699" i="51"/>
  <c r="AT699" i="51"/>
  <c r="AS699" i="51"/>
  <c r="AR699" i="51"/>
  <c r="AQ699" i="51"/>
  <c r="AP699" i="51"/>
  <c r="AO699" i="51"/>
  <c r="AN699" i="51"/>
  <c r="AM699" i="51"/>
  <c r="AL699" i="51"/>
  <c r="AK699" i="51"/>
  <c r="AJ699" i="51"/>
  <c r="AZ698" i="51"/>
  <c r="AY698" i="51"/>
  <c r="AX698" i="51"/>
  <c r="AW698" i="51"/>
  <c r="AV698" i="51"/>
  <c r="AU698" i="51"/>
  <c r="AT698" i="51"/>
  <c r="AS698" i="51"/>
  <c r="AR698" i="51"/>
  <c r="AQ698" i="51"/>
  <c r="AP698" i="51"/>
  <c r="AO698" i="51"/>
  <c r="AN698" i="51"/>
  <c r="AM698" i="51"/>
  <c r="AL698" i="51"/>
  <c r="AK698" i="51"/>
  <c r="AJ698" i="51"/>
  <c r="AZ697" i="51"/>
  <c r="AY697" i="51"/>
  <c r="AX697" i="51"/>
  <c r="AW697" i="51"/>
  <c r="AV697" i="51"/>
  <c r="AU697" i="51"/>
  <c r="AT697" i="51"/>
  <c r="AS697" i="51"/>
  <c r="AR697" i="51"/>
  <c r="AQ697" i="51"/>
  <c r="AP697" i="51"/>
  <c r="AO697" i="51"/>
  <c r="AN697" i="51"/>
  <c r="AM697" i="51"/>
  <c r="AL697" i="51"/>
  <c r="AK697" i="51"/>
  <c r="AJ697" i="51"/>
  <c r="AZ696" i="51"/>
  <c r="AY696" i="51"/>
  <c r="AX696" i="51"/>
  <c r="AW696" i="51"/>
  <c r="AV696" i="51"/>
  <c r="AU696" i="51"/>
  <c r="AT696" i="51"/>
  <c r="AS696" i="51"/>
  <c r="AR696" i="51"/>
  <c r="AQ696" i="51"/>
  <c r="AP696" i="51"/>
  <c r="AO696" i="51"/>
  <c r="AN696" i="51"/>
  <c r="AM696" i="51"/>
  <c r="AL696" i="51"/>
  <c r="AK696" i="51"/>
  <c r="AJ696" i="51"/>
  <c r="AZ695" i="51"/>
  <c r="AY695" i="51"/>
  <c r="AX695" i="51"/>
  <c r="AW695" i="51"/>
  <c r="AV695" i="51"/>
  <c r="AU695" i="51"/>
  <c r="AT695" i="51"/>
  <c r="AS695" i="51"/>
  <c r="AR695" i="51"/>
  <c r="AQ695" i="51"/>
  <c r="AP695" i="51"/>
  <c r="AO695" i="51"/>
  <c r="AN695" i="51"/>
  <c r="AM695" i="51"/>
  <c r="AL695" i="51"/>
  <c r="AK695" i="51"/>
  <c r="AJ695" i="51"/>
  <c r="AZ694" i="51"/>
  <c r="AY694" i="51"/>
  <c r="AX694" i="51"/>
  <c r="AW694" i="51"/>
  <c r="AV694" i="51"/>
  <c r="AU694" i="51"/>
  <c r="AT694" i="51"/>
  <c r="AS694" i="51"/>
  <c r="AR694" i="51"/>
  <c r="AQ694" i="51"/>
  <c r="AP694" i="51"/>
  <c r="AO694" i="51"/>
  <c r="AN694" i="51"/>
  <c r="AM694" i="51"/>
  <c r="AL694" i="51"/>
  <c r="AK694" i="51"/>
  <c r="AJ694" i="51"/>
  <c r="AZ693" i="51"/>
  <c r="AY693" i="51"/>
  <c r="AX693" i="51"/>
  <c r="AW693" i="51"/>
  <c r="AV693" i="51"/>
  <c r="AU693" i="51"/>
  <c r="AT693" i="51"/>
  <c r="AS693" i="51"/>
  <c r="AR693" i="51"/>
  <c r="AQ693" i="51"/>
  <c r="AP693" i="51"/>
  <c r="AO693" i="51"/>
  <c r="AN693" i="51"/>
  <c r="AM693" i="51"/>
  <c r="AL693" i="51"/>
  <c r="AK693" i="51"/>
  <c r="AJ693" i="51"/>
  <c r="AZ692" i="51"/>
  <c r="AY692" i="51"/>
  <c r="AX692" i="51"/>
  <c r="AW692" i="51"/>
  <c r="AV692" i="51"/>
  <c r="AU692" i="51"/>
  <c r="AT692" i="51"/>
  <c r="AS692" i="51"/>
  <c r="AR692" i="51"/>
  <c r="AQ692" i="51"/>
  <c r="AP692" i="51"/>
  <c r="AO692" i="51"/>
  <c r="AN692" i="51"/>
  <c r="AM692" i="51"/>
  <c r="AL692" i="51"/>
  <c r="AK692" i="51"/>
  <c r="AJ692" i="51"/>
  <c r="AZ691" i="51"/>
  <c r="AY691" i="51"/>
  <c r="AX691" i="51"/>
  <c r="AW691" i="51"/>
  <c r="AV691" i="51"/>
  <c r="AU691" i="51"/>
  <c r="AT691" i="51"/>
  <c r="AS691" i="51"/>
  <c r="AR691" i="51"/>
  <c r="AQ691" i="51"/>
  <c r="AP691" i="51"/>
  <c r="AO691" i="51"/>
  <c r="AN691" i="51"/>
  <c r="AM691" i="51"/>
  <c r="AL691" i="51"/>
  <c r="AK691" i="51"/>
  <c r="AJ691" i="51"/>
  <c r="AZ690" i="51"/>
  <c r="AY690" i="51"/>
  <c r="AX690" i="51"/>
  <c r="AW690" i="51"/>
  <c r="AV690" i="51"/>
  <c r="AU690" i="51"/>
  <c r="AT690" i="51"/>
  <c r="AS690" i="51"/>
  <c r="AR690" i="51"/>
  <c r="AQ690" i="51"/>
  <c r="AP690" i="51"/>
  <c r="AO690" i="51"/>
  <c r="AN690" i="51"/>
  <c r="AM690" i="51"/>
  <c r="AL690" i="51"/>
  <c r="AK690" i="51"/>
  <c r="AJ690" i="51"/>
  <c r="AZ689" i="51"/>
  <c r="AY689" i="51"/>
  <c r="AX689" i="51"/>
  <c r="AW689" i="51"/>
  <c r="AV689" i="51"/>
  <c r="AU689" i="51"/>
  <c r="AT689" i="51"/>
  <c r="AS689" i="51"/>
  <c r="AR689" i="51"/>
  <c r="AQ689" i="51"/>
  <c r="AP689" i="51"/>
  <c r="AO689" i="51"/>
  <c r="AN689" i="51"/>
  <c r="AM689" i="51"/>
  <c r="AL689" i="51"/>
  <c r="AK689" i="51"/>
  <c r="AJ689" i="51"/>
  <c r="AZ688" i="51"/>
  <c r="AY688" i="51"/>
  <c r="AX688" i="51"/>
  <c r="AW688" i="51"/>
  <c r="AV688" i="51"/>
  <c r="AU688" i="51"/>
  <c r="AT688" i="51"/>
  <c r="AS688" i="51"/>
  <c r="AR688" i="51"/>
  <c r="AQ688" i="51"/>
  <c r="AP688" i="51"/>
  <c r="AO688" i="51"/>
  <c r="AN688" i="51"/>
  <c r="AM688" i="51"/>
  <c r="AL688" i="51"/>
  <c r="AK688" i="51"/>
  <c r="AJ688" i="51"/>
  <c r="AZ687" i="51"/>
  <c r="AY687" i="51"/>
  <c r="AX687" i="51"/>
  <c r="AW687" i="51"/>
  <c r="AV687" i="51"/>
  <c r="AU687" i="51"/>
  <c r="AT687" i="51"/>
  <c r="AS687" i="51"/>
  <c r="AR687" i="51"/>
  <c r="AQ687" i="51"/>
  <c r="AP687" i="51"/>
  <c r="AO687" i="51"/>
  <c r="AN687" i="51"/>
  <c r="AM687" i="51"/>
  <c r="AL687" i="51"/>
  <c r="AK687" i="51"/>
  <c r="AJ687" i="51"/>
  <c r="AZ686" i="51"/>
  <c r="AY686" i="51"/>
  <c r="AX686" i="51"/>
  <c r="AW686" i="51"/>
  <c r="AV686" i="51"/>
  <c r="AU686" i="51"/>
  <c r="AT686" i="51"/>
  <c r="AS686" i="51"/>
  <c r="AR686" i="51"/>
  <c r="AQ686" i="51"/>
  <c r="AP686" i="51"/>
  <c r="AO686" i="51"/>
  <c r="AN686" i="51"/>
  <c r="AM686" i="51"/>
  <c r="AL686" i="51"/>
  <c r="AK686" i="51"/>
  <c r="AJ686" i="51"/>
  <c r="AZ685" i="51"/>
  <c r="AY685" i="51"/>
  <c r="AX685" i="51"/>
  <c r="AW685" i="51"/>
  <c r="AV685" i="51"/>
  <c r="AU685" i="51"/>
  <c r="AT685" i="51"/>
  <c r="AS685" i="51"/>
  <c r="AR685" i="51"/>
  <c r="AQ685" i="51"/>
  <c r="AP685" i="51"/>
  <c r="AO685" i="51"/>
  <c r="AN685" i="51"/>
  <c r="AM685" i="51"/>
  <c r="AL685" i="51"/>
  <c r="AK685" i="51"/>
  <c r="AJ685" i="51"/>
  <c r="AZ684" i="51"/>
  <c r="AY684" i="51"/>
  <c r="AX684" i="51"/>
  <c r="AW684" i="51"/>
  <c r="AV684" i="51"/>
  <c r="AU684" i="51"/>
  <c r="AT684" i="51"/>
  <c r="AS684" i="51"/>
  <c r="AR684" i="51"/>
  <c r="AQ684" i="51"/>
  <c r="AP684" i="51"/>
  <c r="AO684" i="51"/>
  <c r="AN684" i="51"/>
  <c r="AM684" i="51"/>
  <c r="AL684" i="51"/>
  <c r="AK684" i="51"/>
  <c r="AJ684" i="51"/>
  <c r="AZ683" i="51"/>
  <c r="AY683" i="51"/>
  <c r="AX683" i="51"/>
  <c r="AW683" i="51"/>
  <c r="AV683" i="51"/>
  <c r="AU683" i="51"/>
  <c r="AT683" i="51"/>
  <c r="AS683" i="51"/>
  <c r="AR683" i="51"/>
  <c r="AQ683" i="51"/>
  <c r="AP683" i="51"/>
  <c r="AO683" i="51"/>
  <c r="AN683" i="51"/>
  <c r="AM683" i="51"/>
  <c r="AL683" i="51"/>
  <c r="AK683" i="51"/>
  <c r="AJ683" i="51"/>
  <c r="AZ682" i="51"/>
  <c r="AY682" i="51"/>
  <c r="AX682" i="51"/>
  <c r="AW682" i="51"/>
  <c r="AV682" i="51"/>
  <c r="AU682" i="51"/>
  <c r="AT682" i="51"/>
  <c r="AS682" i="51"/>
  <c r="AR682" i="51"/>
  <c r="AQ682" i="51"/>
  <c r="AP682" i="51"/>
  <c r="AO682" i="51"/>
  <c r="AN682" i="51"/>
  <c r="AM682" i="51"/>
  <c r="AL682" i="51"/>
  <c r="AK682" i="51"/>
  <c r="AJ682" i="51"/>
  <c r="AZ681" i="51"/>
  <c r="AY681" i="51"/>
  <c r="AX681" i="51"/>
  <c r="AW681" i="51"/>
  <c r="AV681" i="51"/>
  <c r="AU681" i="51"/>
  <c r="AT681" i="51"/>
  <c r="AS681" i="51"/>
  <c r="AR681" i="51"/>
  <c r="AQ681" i="51"/>
  <c r="AP681" i="51"/>
  <c r="AO681" i="51"/>
  <c r="AN681" i="51"/>
  <c r="AM681" i="51"/>
  <c r="AL681" i="51"/>
  <c r="AK681" i="51"/>
  <c r="AJ681" i="51"/>
  <c r="AZ680" i="51"/>
  <c r="AY680" i="51"/>
  <c r="AX680" i="51"/>
  <c r="AW680" i="51"/>
  <c r="AV680" i="51"/>
  <c r="AU680" i="51"/>
  <c r="AT680" i="51"/>
  <c r="AS680" i="51"/>
  <c r="AR680" i="51"/>
  <c r="AQ680" i="51"/>
  <c r="AP680" i="51"/>
  <c r="AO680" i="51"/>
  <c r="AN680" i="51"/>
  <c r="AM680" i="51"/>
  <c r="AL680" i="51"/>
  <c r="AK680" i="51"/>
  <c r="AJ680" i="51"/>
  <c r="AZ679" i="51"/>
  <c r="AY679" i="51"/>
  <c r="AX679" i="51"/>
  <c r="AW679" i="51"/>
  <c r="AV679" i="51"/>
  <c r="AU679" i="51"/>
  <c r="AT679" i="51"/>
  <c r="AS679" i="51"/>
  <c r="AR679" i="51"/>
  <c r="AQ679" i="51"/>
  <c r="AP679" i="51"/>
  <c r="AO679" i="51"/>
  <c r="AN679" i="51"/>
  <c r="AM679" i="51"/>
  <c r="AL679" i="51"/>
  <c r="AK679" i="51"/>
  <c r="AJ679" i="51"/>
  <c r="AZ678" i="51"/>
  <c r="AY678" i="51"/>
  <c r="AX678" i="51"/>
  <c r="AW678" i="51"/>
  <c r="AV678" i="51"/>
  <c r="AU678" i="51"/>
  <c r="AT678" i="51"/>
  <c r="AS678" i="51"/>
  <c r="AR678" i="51"/>
  <c r="AQ678" i="51"/>
  <c r="AP678" i="51"/>
  <c r="AO678" i="51"/>
  <c r="AN678" i="51"/>
  <c r="AM678" i="51"/>
  <c r="AL678" i="51"/>
  <c r="AK678" i="51"/>
  <c r="AJ678" i="51"/>
  <c r="AZ677" i="51"/>
  <c r="AY677" i="51"/>
  <c r="AX677" i="51"/>
  <c r="AW677" i="51"/>
  <c r="AV677" i="51"/>
  <c r="AU677" i="51"/>
  <c r="AT677" i="51"/>
  <c r="AS677" i="51"/>
  <c r="AR677" i="51"/>
  <c r="AQ677" i="51"/>
  <c r="AP677" i="51"/>
  <c r="AO677" i="51"/>
  <c r="AN677" i="51"/>
  <c r="AM677" i="51"/>
  <c r="AL677" i="51"/>
  <c r="AK677" i="51"/>
  <c r="AJ677" i="51"/>
  <c r="AZ676" i="51"/>
  <c r="AY676" i="51"/>
  <c r="AX676" i="51"/>
  <c r="AW676" i="51"/>
  <c r="AV676" i="51"/>
  <c r="AU676" i="51"/>
  <c r="AT676" i="51"/>
  <c r="AS676" i="51"/>
  <c r="AR676" i="51"/>
  <c r="AQ676" i="51"/>
  <c r="AP676" i="51"/>
  <c r="AO676" i="51"/>
  <c r="AN676" i="51"/>
  <c r="AM676" i="51"/>
  <c r="AL676" i="51"/>
  <c r="AK676" i="51"/>
  <c r="AJ676" i="51"/>
  <c r="AZ675" i="51"/>
  <c r="AY675" i="51"/>
  <c r="AX675" i="51"/>
  <c r="AW675" i="51"/>
  <c r="AV675" i="51"/>
  <c r="AU675" i="51"/>
  <c r="AT675" i="51"/>
  <c r="AS675" i="51"/>
  <c r="AR675" i="51"/>
  <c r="AQ675" i="51"/>
  <c r="AP675" i="51"/>
  <c r="AO675" i="51"/>
  <c r="AN675" i="51"/>
  <c r="AM675" i="51"/>
  <c r="AL675" i="51"/>
  <c r="AK675" i="51"/>
  <c r="AJ675" i="51"/>
  <c r="AZ674" i="51"/>
  <c r="AY674" i="51"/>
  <c r="AX674" i="51"/>
  <c r="AW674" i="51"/>
  <c r="AV674" i="51"/>
  <c r="AU674" i="51"/>
  <c r="AT674" i="51"/>
  <c r="AS674" i="51"/>
  <c r="AR674" i="51"/>
  <c r="AQ674" i="51"/>
  <c r="AP674" i="51"/>
  <c r="AO674" i="51"/>
  <c r="AN674" i="51"/>
  <c r="AM674" i="51"/>
  <c r="AL674" i="51"/>
  <c r="AK674" i="51"/>
  <c r="AJ674" i="51"/>
  <c r="AZ673" i="51"/>
  <c r="AY673" i="51"/>
  <c r="AX673" i="51"/>
  <c r="AW673" i="51"/>
  <c r="AV673" i="51"/>
  <c r="AU673" i="51"/>
  <c r="AT673" i="51"/>
  <c r="AS673" i="51"/>
  <c r="AR673" i="51"/>
  <c r="AQ673" i="51"/>
  <c r="AP673" i="51"/>
  <c r="AO673" i="51"/>
  <c r="AN673" i="51"/>
  <c r="AM673" i="51"/>
  <c r="AL673" i="51"/>
  <c r="AK673" i="51"/>
  <c r="AJ673" i="51"/>
  <c r="AZ672" i="51"/>
  <c r="AY672" i="51"/>
  <c r="AX672" i="51"/>
  <c r="AW672" i="51"/>
  <c r="AV672" i="51"/>
  <c r="AU672" i="51"/>
  <c r="AT672" i="51"/>
  <c r="AS672" i="51"/>
  <c r="AR672" i="51"/>
  <c r="AQ672" i="51"/>
  <c r="AP672" i="51"/>
  <c r="AO672" i="51"/>
  <c r="AN672" i="51"/>
  <c r="AM672" i="51"/>
  <c r="AL672" i="51"/>
  <c r="AK672" i="51"/>
  <c r="AJ672" i="51"/>
  <c r="AZ671" i="51"/>
  <c r="AY671" i="51"/>
  <c r="AX671" i="51"/>
  <c r="AW671" i="51"/>
  <c r="AV671" i="51"/>
  <c r="AU671" i="51"/>
  <c r="AT671" i="51"/>
  <c r="AS671" i="51"/>
  <c r="AR671" i="51"/>
  <c r="AQ671" i="51"/>
  <c r="AP671" i="51"/>
  <c r="AO671" i="51"/>
  <c r="AN671" i="51"/>
  <c r="AM671" i="51"/>
  <c r="AL671" i="51"/>
  <c r="AK671" i="51"/>
  <c r="AJ671" i="51"/>
  <c r="AZ670" i="51"/>
  <c r="AY670" i="51"/>
  <c r="AX670" i="51"/>
  <c r="AW670" i="51"/>
  <c r="AV670" i="51"/>
  <c r="AU670" i="51"/>
  <c r="AT670" i="51"/>
  <c r="AS670" i="51"/>
  <c r="AR670" i="51"/>
  <c r="AQ670" i="51"/>
  <c r="AP670" i="51"/>
  <c r="AO670" i="51"/>
  <c r="AN670" i="51"/>
  <c r="AM670" i="51"/>
  <c r="AL670" i="51"/>
  <c r="AK670" i="51"/>
  <c r="AJ670" i="51"/>
  <c r="AZ669" i="51"/>
  <c r="AY669" i="51"/>
  <c r="AX669" i="51"/>
  <c r="AW669" i="51"/>
  <c r="AV669" i="51"/>
  <c r="AU669" i="51"/>
  <c r="AT669" i="51"/>
  <c r="AS669" i="51"/>
  <c r="AR669" i="51"/>
  <c r="AQ669" i="51"/>
  <c r="AP669" i="51"/>
  <c r="AO669" i="51"/>
  <c r="AN669" i="51"/>
  <c r="AM669" i="51"/>
  <c r="AL669" i="51"/>
  <c r="AK669" i="51"/>
  <c r="AJ669" i="51"/>
  <c r="AZ668" i="51"/>
  <c r="AY668" i="51"/>
  <c r="AX668" i="51"/>
  <c r="AW668" i="51"/>
  <c r="AV668" i="51"/>
  <c r="AU668" i="51"/>
  <c r="AT668" i="51"/>
  <c r="AS668" i="51"/>
  <c r="AR668" i="51"/>
  <c r="AQ668" i="51"/>
  <c r="AP668" i="51"/>
  <c r="AO668" i="51"/>
  <c r="AN668" i="51"/>
  <c r="AM668" i="51"/>
  <c r="AL668" i="51"/>
  <c r="AK668" i="51"/>
  <c r="AJ668" i="51"/>
  <c r="AZ667" i="51"/>
  <c r="AY667" i="51"/>
  <c r="AX667" i="51"/>
  <c r="AW667" i="51"/>
  <c r="AV667" i="51"/>
  <c r="AU667" i="51"/>
  <c r="AT667" i="51"/>
  <c r="AS667" i="51"/>
  <c r="AR667" i="51"/>
  <c r="AQ667" i="51"/>
  <c r="AP667" i="51"/>
  <c r="AO667" i="51"/>
  <c r="AN667" i="51"/>
  <c r="AM667" i="51"/>
  <c r="AL667" i="51"/>
  <c r="AK667" i="51"/>
  <c r="AJ667" i="51"/>
  <c r="AZ666" i="51"/>
  <c r="AY666" i="51"/>
  <c r="AX666" i="51"/>
  <c r="AW666" i="51"/>
  <c r="AV666" i="51"/>
  <c r="AU666" i="51"/>
  <c r="AT666" i="51"/>
  <c r="AS666" i="51"/>
  <c r="AR666" i="51"/>
  <c r="AQ666" i="51"/>
  <c r="AP666" i="51"/>
  <c r="AO666" i="51"/>
  <c r="AN666" i="51"/>
  <c r="AM666" i="51"/>
  <c r="AL666" i="51"/>
  <c r="AK666" i="51"/>
  <c r="AJ666" i="51"/>
  <c r="AZ665" i="51"/>
  <c r="AY665" i="51"/>
  <c r="AX665" i="51"/>
  <c r="AW665" i="51"/>
  <c r="AV665" i="51"/>
  <c r="AU665" i="51"/>
  <c r="AT665" i="51"/>
  <c r="AS665" i="51"/>
  <c r="AR665" i="51"/>
  <c r="AQ665" i="51"/>
  <c r="AP665" i="51"/>
  <c r="AO665" i="51"/>
  <c r="AN665" i="51"/>
  <c r="AM665" i="51"/>
  <c r="AL665" i="51"/>
  <c r="AK665" i="51"/>
  <c r="AJ665" i="51"/>
  <c r="AZ664" i="51"/>
  <c r="AY664" i="51"/>
  <c r="AX664" i="51"/>
  <c r="AW664" i="51"/>
  <c r="AV664" i="51"/>
  <c r="AU664" i="51"/>
  <c r="AT664" i="51"/>
  <c r="AS664" i="51"/>
  <c r="AR664" i="51"/>
  <c r="AQ664" i="51"/>
  <c r="AP664" i="51"/>
  <c r="AO664" i="51"/>
  <c r="AN664" i="51"/>
  <c r="AM664" i="51"/>
  <c r="AL664" i="51"/>
  <c r="AK664" i="51"/>
  <c r="AJ664" i="51"/>
  <c r="AZ663" i="51"/>
  <c r="AY663" i="51"/>
  <c r="AX663" i="51"/>
  <c r="AW663" i="51"/>
  <c r="AV663" i="51"/>
  <c r="AU663" i="51"/>
  <c r="AT663" i="51"/>
  <c r="AS663" i="51"/>
  <c r="AR663" i="51"/>
  <c r="AQ663" i="51"/>
  <c r="AP663" i="51"/>
  <c r="AO663" i="51"/>
  <c r="AN663" i="51"/>
  <c r="AM663" i="51"/>
  <c r="AL663" i="51"/>
  <c r="AK663" i="51"/>
  <c r="AJ663" i="51"/>
  <c r="AZ662" i="51"/>
  <c r="AY662" i="51"/>
  <c r="AX662" i="51"/>
  <c r="AW662" i="51"/>
  <c r="AV662" i="51"/>
  <c r="AU662" i="51"/>
  <c r="AT662" i="51"/>
  <c r="AS662" i="51"/>
  <c r="AR662" i="51"/>
  <c r="AQ662" i="51"/>
  <c r="AP662" i="51"/>
  <c r="AO662" i="51"/>
  <c r="AN662" i="51"/>
  <c r="AM662" i="51"/>
  <c r="AL662" i="51"/>
  <c r="AK662" i="51"/>
  <c r="AJ662" i="51"/>
  <c r="AZ661" i="51"/>
  <c r="AY661" i="51"/>
  <c r="AX661" i="51"/>
  <c r="AW661" i="51"/>
  <c r="AV661" i="51"/>
  <c r="AU661" i="51"/>
  <c r="AT661" i="51"/>
  <c r="AS661" i="51"/>
  <c r="AR661" i="51"/>
  <c r="AQ661" i="51"/>
  <c r="AP661" i="51"/>
  <c r="AO661" i="51"/>
  <c r="AN661" i="51"/>
  <c r="AM661" i="51"/>
  <c r="AL661" i="51"/>
  <c r="AK661" i="51"/>
  <c r="AJ661" i="51"/>
  <c r="AZ660" i="51"/>
  <c r="AY660" i="51"/>
  <c r="AX660" i="51"/>
  <c r="AW660" i="51"/>
  <c r="AV660" i="51"/>
  <c r="AU660" i="51"/>
  <c r="AT660" i="51"/>
  <c r="AS660" i="51"/>
  <c r="AR660" i="51"/>
  <c r="AQ660" i="51"/>
  <c r="AP660" i="51"/>
  <c r="AO660" i="51"/>
  <c r="AN660" i="51"/>
  <c r="AM660" i="51"/>
  <c r="AL660" i="51"/>
  <c r="AK660" i="51"/>
  <c r="AJ660" i="51"/>
  <c r="AZ659" i="51"/>
  <c r="AY659" i="51"/>
  <c r="AX659" i="51"/>
  <c r="AW659" i="51"/>
  <c r="AV659" i="51"/>
  <c r="AU659" i="51"/>
  <c r="AT659" i="51"/>
  <c r="AS659" i="51"/>
  <c r="AR659" i="51"/>
  <c r="AQ659" i="51"/>
  <c r="AP659" i="51"/>
  <c r="AO659" i="51"/>
  <c r="AN659" i="51"/>
  <c r="AM659" i="51"/>
  <c r="AL659" i="51"/>
  <c r="AK659" i="51"/>
  <c r="AJ659" i="51"/>
  <c r="AZ658" i="51"/>
  <c r="AY658" i="51"/>
  <c r="AX658" i="51"/>
  <c r="AW658" i="51"/>
  <c r="AV658" i="51"/>
  <c r="AU658" i="51"/>
  <c r="AT658" i="51"/>
  <c r="AS658" i="51"/>
  <c r="AR658" i="51"/>
  <c r="AQ658" i="51"/>
  <c r="AP658" i="51"/>
  <c r="AO658" i="51"/>
  <c r="AN658" i="51"/>
  <c r="AM658" i="51"/>
  <c r="AL658" i="51"/>
  <c r="AK658" i="51"/>
  <c r="AJ658" i="51"/>
  <c r="AZ657" i="51"/>
  <c r="AY657" i="51"/>
  <c r="AX657" i="51"/>
  <c r="AW657" i="51"/>
  <c r="AV657" i="51"/>
  <c r="AU657" i="51"/>
  <c r="AT657" i="51"/>
  <c r="AS657" i="51"/>
  <c r="AR657" i="51"/>
  <c r="AQ657" i="51"/>
  <c r="AP657" i="51"/>
  <c r="AO657" i="51"/>
  <c r="AN657" i="51"/>
  <c r="AM657" i="51"/>
  <c r="AL657" i="51"/>
  <c r="AK657" i="51"/>
  <c r="AJ657" i="51"/>
  <c r="AZ656" i="51"/>
  <c r="AY656" i="51"/>
  <c r="AX656" i="51"/>
  <c r="AW656" i="51"/>
  <c r="AV656" i="51"/>
  <c r="AU656" i="51"/>
  <c r="AT656" i="51"/>
  <c r="AS656" i="51"/>
  <c r="AR656" i="51"/>
  <c r="AQ656" i="51"/>
  <c r="AP656" i="51"/>
  <c r="AO656" i="51"/>
  <c r="AN656" i="51"/>
  <c r="AM656" i="51"/>
  <c r="AL656" i="51"/>
  <c r="AK656" i="51"/>
  <c r="AJ656" i="51"/>
  <c r="AZ655" i="51"/>
  <c r="AY655" i="51"/>
  <c r="AX655" i="51"/>
  <c r="AW655" i="51"/>
  <c r="AV655" i="51"/>
  <c r="AU655" i="51"/>
  <c r="AT655" i="51"/>
  <c r="AS655" i="51"/>
  <c r="AR655" i="51"/>
  <c r="AQ655" i="51"/>
  <c r="AP655" i="51"/>
  <c r="AO655" i="51"/>
  <c r="AN655" i="51"/>
  <c r="AM655" i="51"/>
  <c r="AL655" i="51"/>
  <c r="AK655" i="51"/>
  <c r="AJ655" i="51"/>
  <c r="AZ654" i="51"/>
  <c r="AY654" i="51"/>
  <c r="AX654" i="51"/>
  <c r="AW654" i="51"/>
  <c r="AV654" i="51"/>
  <c r="AU654" i="51"/>
  <c r="AT654" i="51"/>
  <c r="AS654" i="51"/>
  <c r="AR654" i="51"/>
  <c r="AQ654" i="51"/>
  <c r="AP654" i="51"/>
  <c r="AO654" i="51"/>
  <c r="AN654" i="51"/>
  <c r="AM654" i="51"/>
  <c r="AL654" i="51"/>
  <c r="AK654" i="51"/>
  <c r="AJ654" i="51"/>
  <c r="AZ653" i="51"/>
  <c r="AY653" i="51"/>
  <c r="AX653" i="51"/>
  <c r="AW653" i="51"/>
  <c r="AV653" i="51"/>
  <c r="AU653" i="51"/>
  <c r="AT653" i="51"/>
  <c r="AS653" i="51"/>
  <c r="AR653" i="51"/>
  <c r="AQ653" i="51"/>
  <c r="AP653" i="51"/>
  <c r="AO653" i="51"/>
  <c r="AN653" i="51"/>
  <c r="AM653" i="51"/>
  <c r="AL653" i="51"/>
  <c r="AK653" i="51"/>
  <c r="AJ653" i="51"/>
  <c r="AZ652" i="51"/>
  <c r="AY652" i="51"/>
  <c r="AX652" i="51"/>
  <c r="AW652" i="51"/>
  <c r="AV652" i="51"/>
  <c r="AU652" i="51"/>
  <c r="AT652" i="51"/>
  <c r="AS652" i="51"/>
  <c r="AR652" i="51"/>
  <c r="AQ652" i="51"/>
  <c r="AP652" i="51"/>
  <c r="AO652" i="51"/>
  <c r="AN652" i="51"/>
  <c r="AM652" i="51"/>
  <c r="AL652" i="51"/>
  <c r="AK652" i="51"/>
  <c r="AJ652" i="51"/>
  <c r="AZ651" i="51"/>
  <c r="AY651" i="51"/>
  <c r="AX651" i="51"/>
  <c r="AW651" i="51"/>
  <c r="AV651" i="51"/>
  <c r="AU651" i="51"/>
  <c r="AT651" i="51"/>
  <c r="AS651" i="51"/>
  <c r="AR651" i="51"/>
  <c r="AQ651" i="51"/>
  <c r="AP651" i="51"/>
  <c r="AO651" i="51"/>
  <c r="AN651" i="51"/>
  <c r="AM651" i="51"/>
  <c r="AL651" i="51"/>
  <c r="AK651" i="51"/>
  <c r="AJ651" i="51"/>
  <c r="AZ650" i="51"/>
  <c r="AY650" i="51"/>
  <c r="AX650" i="51"/>
  <c r="AW650" i="51"/>
  <c r="AV650" i="51"/>
  <c r="AU650" i="51"/>
  <c r="AT650" i="51"/>
  <c r="AS650" i="51"/>
  <c r="AR650" i="51"/>
  <c r="AQ650" i="51"/>
  <c r="AP650" i="51"/>
  <c r="AO650" i="51"/>
  <c r="AN650" i="51"/>
  <c r="AM650" i="51"/>
  <c r="AL650" i="51"/>
  <c r="AK650" i="51"/>
  <c r="AJ650" i="51"/>
  <c r="AZ649" i="51"/>
  <c r="AY649" i="51"/>
  <c r="AX649" i="51"/>
  <c r="AW649" i="51"/>
  <c r="AV649" i="51"/>
  <c r="AU649" i="51"/>
  <c r="AT649" i="51"/>
  <c r="AS649" i="51"/>
  <c r="AR649" i="51"/>
  <c r="AQ649" i="51"/>
  <c r="AP649" i="51"/>
  <c r="AO649" i="51"/>
  <c r="AN649" i="51"/>
  <c r="AM649" i="51"/>
  <c r="AL649" i="51"/>
  <c r="AK649" i="51"/>
  <c r="AJ649" i="51"/>
  <c r="AZ648" i="51"/>
  <c r="AY648" i="51"/>
  <c r="AX648" i="51"/>
  <c r="AW648" i="51"/>
  <c r="AV648" i="51"/>
  <c r="AU648" i="51"/>
  <c r="AT648" i="51"/>
  <c r="AS648" i="51"/>
  <c r="AR648" i="51"/>
  <c r="AQ648" i="51"/>
  <c r="AP648" i="51"/>
  <c r="AO648" i="51"/>
  <c r="AN648" i="51"/>
  <c r="AM648" i="51"/>
  <c r="AL648" i="51"/>
  <c r="AK648" i="51"/>
  <c r="AJ648" i="51"/>
  <c r="AZ647" i="51"/>
  <c r="AY647" i="51"/>
  <c r="AX647" i="51"/>
  <c r="AW647" i="51"/>
  <c r="AV647" i="51"/>
  <c r="AU647" i="51"/>
  <c r="AT647" i="51"/>
  <c r="AS647" i="51"/>
  <c r="AR647" i="51"/>
  <c r="AQ647" i="51"/>
  <c r="AP647" i="51"/>
  <c r="AO647" i="51"/>
  <c r="AN647" i="51"/>
  <c r="AM647" i="51"/>
  <c r="AL647" i="51"/>
  <c r="AK647" i="51"/>
  <c r="AJ647" i="51"/>
  <c r="AZ646" i="51"/>
  <c r="AY646" i="51"/>
  <c r="AX646" i="51"/>
  <c r="AW646" i="51"/>
  <c r="AV646" i="51"/>
  <c r="AU646" i="51"/>
  <c r="AT646" i="51"/>
  <c r="AS646" i="51"/>
  <c r="AR646" i="51"/>
  <c r="AQ646" i="51"/>
  <c r="AP646" i="51"/>
  <c r="AO646" i="51"/>
  <c r="AN646" i="51"/>
  <c r="AM646" i="51"/>
  <c r="AL646" i="51"/>
  <c r="AK646" i="51"/>
  <c r="AJ646" i="51"/>
  <c r="AZ645" i="51"/>
  <c r="AY645" i="51"/>
  <c r="AX645" i="51"/>
  <c r="AW645" i="51"/>
  <c r="AV645" i="51"/>
  <c r="AU645" i="51"/>
  <c r="AT645" i="51"/>
  <c r="AS645" i="51"/>
  <c r="AR645" i="51"/>
  <c r="AQ645" i="51"/>
  <c r="AP645" i="51"/>
  <c r="AO645" i="51"/>
  <c r="AN645" i="51"/>
  <c r="AM645" i="51"/>
  <c r="AL645" i="51"/>
  <c r="AK645" i="51"/>
  <c r="AJ645" i="51"/>
  <c r="AZ644" i="51"/>
  <c r="AY644" i="51"/>
  <c r="AX644" i="51"/>
  <c r="AW644" i="51"/>
  <c r="AV644" i="51"/>
  <c r="AU644" i="51"/>
  <c r="AT644" i="51"/>
  <c r="AS644" i="51"/>
  <c r="AR644" i="51"/>
  <c r="AQ644" i="51"/>
  <c r="AP644" i="51"/>
  <c r="AO644" i="51"/>
  <c r="AN644" i="51"/>
  <c r="AM644" i="51"/>
  <c r="AL644" i="51"/>
  <c r="AK644" i="51"/>
  <c r="AJ644" i="51"/>
  <c r="AZ643" i="51"/>
  <c r="AY643" i="51"/>
  <c r="AX643" i="51"/>
  <c r="AW643" i="51"/>
  <c r="AV643" i="51"/>
  <c r="AU643" i="51"/>
  <c r="AT643" i="51"/>
  <c r="AS643" i="51"/>
  <c r="AR643" i="51"/>
  <c r="AQ643" i="51"/>
  <c r="AP643" i="51"/>
  <c r="AO643" i="51"/>
  <c r="AN643" i="51"/>
  <c r="AM643" i="51"/>
  <c r="AL643" i="51"/>
  <c r="AK643" i="51"/>
  <c r="AJ643" i="51"/>
  <c r="AZ642" i="51"/>
  <c r="AY642" i="51"/>
  <c r="AX642" i="51"/>
  <c r="AW642" i="51"/>
  <c r="AV642" i="51"/>
  <c r="AU642" i="51"/>
  <c r="AT642" i="51"/>
  <c r="AS642" i="51"/>
  <c r="AR642" i="51"/>
  <c r="AQ642" i="51"/>
  <c r="AP642" i="51"/>
  <c r="AO642" i="51"/>
  <c r="AN642" i="51"/>
  <c r="AM642" i="51"/>
  <c r="AL642" i="51"/>
  <c r="AK642" i="51"/>
  <c r="AJ642" i="51"/>
  <c r="AZ641" i="51"/>
  <c r="AY641" i="51"/>
  <c r="AX641" i="51"/>
  <c r="AW641" i="51"/>
  <c r="AV641" i="51"/>
  <c r="AU641" i="51"/>
  <c r="AT641" i="51"/>
  <c r="AS641" i="51"/>
  <c r="AR641" i="51"/>
  <c r="AQ641" i="51"/>
  <c r="AP641" i="51"/>
  <c r="AO641" i="51"/>
  <c r="AN641" i="51"/>
  <c r="AM641" i="51"/>
  <c r="AL641" i="51"/>
  <c r="AK641" i="51"/>
  <c r="AJ641" i="51"/>
  <c r="AZ640" i="51"/>
  <c r="AY640" i="51"/>
  <c r="AX640" i="51"/>
  <c r="AW640" i="51"/>
  <c r="AV640" i="51"/>
  <c r="AU640" i="51"/>
  <c r="AT640" i="51"/>
  <c r="AS640" i="51"/>
  <c r="AR640" i="51"/>
  <c r="AQ640" i="51"/>
  <c r="AP640" i="51"/>
  <c r="AO640" i="51"/>
  <c r="AN640" i="51"/>
  <c r="AM640" i="51"/>
  <c r="AL640" i="51"/>
  <c r="AK640" i="51"/>
  <c r="AJ640" i="51"/>
  <c r="AZ639" i="51"/>
  <c r="AY639" i="51"/>
  <c r="AX639" i="51"/>
  <c r="AW639" i="51"/>
  <c r="AV639" i="51"/>
  <c r="AU639" i="51"/>
  <c r="AT639" i="51"/>
  <c r="AS639" i="51"/>
  <c r="AR639" i="51"/>
  <c r="AQ639" i="51"/>
  <c r="AP639" i="51"/>
  <c r="AO639" i="51"/>
  <c r="AN639" i="51"/>
  <c r="AM639" i="51"/>
  <c r="AL639" i="51"/>
  <c r="AK639" i="51"/>
  <c r="AJ639" i="51"/>
  <c r="AZ638" i="51"/>
  <c r="AY638" i="51"/>
  <c r="AX638" i="51"/>
  <c r="AW638" i="51"/>
  <c r="AV638" i="51"/>
  <c r="AU638" i="51"/>
  <c r="AT638" i="51"/>
  <c r="AS638" i="51"/>
  <c r="AR638" i="51"/>
  <c r="AQ638" i="51"/>
  <c r="AP638" i="51"/>
  <c r="AO638" i="51"/>
  <c r="AN638" i="51"/>
  <c r="AM638" i="51"/>
  <c r="AL638" i="51"/>
  <c r="AK638" i="51"/>
  <c r="AJ638" i="51"/>
  <c r="AZ637" i="51"/>
  <c r="AY637" i="51"/>
  <c r="AX637" i="51"/>
  <c r="AW637" i="51"/>
  <c r="AV637" i="51"/>
  <c r="AU637" i="51"/>
  <c r="AT637" i="51"/>
  <c r="AS637" i="51"/>
  <c r="AR637" i="51"/>
  <c r="AQ637" i="51"/>
  <c r="AP637" i="51"/>
  <c r="AO637" i="51"/>
  <c r="AN637" i="51"/>
  <c r="AM637" i="51"/>
  <c r="AL637" i="51"/>
  <c r="AK637" i="51"/>
  <c r="AJ637" i="51"/>
  <c r="AZ636" i="51"/>
  <c r="AY636" i="51"/>
  <c r="AX636" i="51"/>
  <c r="AW636" i="51"/>
  <c r="AV636" i="51"/>
  <c r="AU636" i="51"/>
  <c r="AT636" i="51"/>
  <c r="AS636" i="51"/>
  <c r="AR636" i="51"/>
  <c r="AQ636" i="51"/>
  <c r="AP636" i="51"/>
  <c r="AO636" i="51"/>
  <c r="AN636" i="51"/>
  <c r="AM636" i="51"/>
  <c r="AL636" i="51"/>
  <c r="AK636" i="51"/>
  <c r="AJ636" i="51"/>
  <c r="AZ635" i="51"/>
  <c r="AY635" i="51"/>
  <c r="AX635" i="51"/>
  <c r="AW635" i="51"/>
  <c r="AV635" i="51"/>
  <c r="AU635" i="51"/>
  <c r="AT635" i="51"/>
  <c r="AS635" i="51"/>
  <c r="AR635" i="51"/>
  <c r="AQ635" i="51"/>
  <c r="AP635" i="51"/>
  <c r="AO635" i="51"/>
  <c r="AN635" i="51"/>
  <c r="AM635" i="51"/>
  <c r="AL635" i="51"/>
  <c r="AK635" i="51"/>
  <c r="AJ635" i="51"/>
  <c r="AZ634" i="51"/>
  <c r="AY634" i="51"/>
  <c r="AX634" i="51"/>
  <c r="AW634" i="51"/>
  <c r="AV634" i="51"/>
  <c r="AU634" i="51"/>
  <c r="AT634" i="51"/>
  <c r="AS634" i="51"/>
  <c r="AR634" i="51"/>
  <c r="AQ634" i="51"/>
  <c r="AP634" i="51"/>
  <c r="AO634" i="51"/>
  <c r="AN634" i="51"/>
  <c r="AM634" i="51"/>
  <c r="AL634" i="51"/>
  <c r="AK634" i="51"/>
  <c r="AJ634" i="51"/>
  <c r="AZ633" i="51"/>
  <c r="AY633" i="51"/>
  <c r="AX633" i="51"/>
  <c r="AW633" i="51"/>
  <c r="AV633" i="51"/>
  <c r="AU633" i="51"/>
  <c r="AT633" i="51"/>
  <c r="AS633" i="51"/>
  <c r="AR633" i="51"/>
  <c r="AQ633" i="51"/>
  <c r="AP633" i="51"/>
  <c r="AO633" i="51"/>
  <c r="AN633" i="51"/>
  <c r="AM633" i="51"/>
  <c r="AL633" i="51"/>
  <c r="AK633" i="51"/>
  <c r="AJ633" i="51"/>
  <c r="AZ632" i="51"/>
  <c r="AY632" i="51"/>
  <c r="AX632" i="51"/>
  <c r="AW632" i="51"/>
  <c r="AV632" i="51"/>
  <c r="AU632" i="51"/>
  <c r="AT632" i="51"/>
  <c r="AS632" i="51"/>
  <c r="AR632" i="51"/>
  <c r="AQ632" i="51"/>
  <c r="AP632" i="51"/>
  <c r="AO632" i="51"/>
  <c r="AN632" i="51"/>
  <c r="AM632" i="51"/>
  <c r="AL632" i="51"/>
  <c r="AK632" i="51"/>
  <c r="AJ632" i="51"/>
  <c r="AZ631" i="51"/>
  <c r="AY631" i="51"/>
  <c r="AX631" i="51"/>
  <c r="AW631" i="51"/>
  <c r="AV631" i="51"/>
  <c r="AU631" i="51"/>
  <c r="AT631" i="51"/>
  <c r="AS631" i="51"/>
  <c r="AR631" i="51"/>
  <c r="AQ631" i="51"/>
  <c r="AP631" i="51"/>
  <c r="AO631" i="51"/>
  <c r="AN631" i="51"/>
  <c r="AM631" i="51"/>
  <c r="AL631" i="51"/>
  <c r="AK631" i="51"/>
  <c r="AJ631" i="51"/>
  <c r="AZ630" i="51"/>
  <c r="AY630" i="51"/>
  <c r="AX630" i="51"/>
  <c r="AW630" i="51"/>
  <c r="AV630" i="51"/>
  <c r="AU630" i="51"/>
  <c r="AT630" i="51"/>
  <c r="AS630" i="51"/>
  <c r="AR630" i="51"/>
  <c r="AQ630" i="51"/>
  <c r="AP630" i="51"/>
  <c r="AO630" i="51"/>
  <c r="AN630" i="51"/>
  <c r="AM630" i="51"/>
  <c r="AL630" i="51"/>
  <c r="AK630" i="51"/>
  <c r="AJ630" i="51"/>
  <c r="AZ629" i="51"/>
  <c r="AY629" i="51"/>
  <c r="AX629" i="51"/>
  <c r="AW629" i="51"/>
  <c r="AV629" i="51"/>
  <c r="AU629" i="51"/>
  <c r="AT629" i="51"/>
  <c r="AS629" i="51"/>
  <c r="AR629" i="51"/>
  <c r="AQ629" i="51"/>
  <c r="AP629" i="51"/>
  <c r="AO629" i="51"/>
  <c r="AN629" i="51"/>
  <c r="AM629" i="51"/>
  <c r="AL629" i="51"/>
  <c r="AK629" i="51"/>
  <c r="AJ629" i="51"/>
  <c r="AZ628" i="51"/>
  <c r="AY628" i="51"/>
  <c r="AX628" i="51"/>
  <c r="AW628" i="51"/>
  <c r="AV628" i="51"/>
  <c r="AU628" i="51"/>
  <c r="AT628" i="51"/>
  <c r="AS628" i="51"/>
  <c r="AR628" i="51"/>
  <c r="AQ628" i="51"/>
  <c r="AP628" i="51"/>
  <c r="AO628" i="51"/>
  <c r="AN628" i="51"/>
  <c r="AM628" i="51"/>
  <c r="AL628" i="51"/>
  <c r="AK628" i="51"/>
  <c r="AJ628" i="51"/>
  <c r="AZ627" i="51"/>
  <c r="AY627" i="51"/>
  <c r="AX627" i="51"/>
  <c r="AW627" i="51"/>
  <c r="AV627" i="51"/>
  <c r="AU627" i="51"/>
  <c r="AT627" i="51"/>
  <c r="AS627" i="51"/>
  <c r="AR627" i="51"/>
  <c r="AQ627" i="51"/>
  <c r="AP627" i="51"/>
  <c r="AO627" i="51"/>
  <c r="AN627" i="51"/>
  <c r="AM627" i="51"/>
  <c r="AL627" i="51"/>
  <c r="AK627" i="51"/>
  <c r="AJ627" i="51"/>
  <c r="AZ626" i="51"/>
  <c r="AY626" i="51"/>
  <c r="AX626" i="51"/>
  <c r="AW626" i="51"/>
  <c r="AV626" i="51"/>
  <c r="AU626" i="51"/>
  <c r="AT626" i="51"/>
  <c r="AS626" i="51"/>
  <c r="AR626" i="51"/>
  <c r="AQ626" i="51"/>
  <c r="AP626" i="51"/>
  <c r="AO626" i="51"/>
  <c r="AN626" i="51"/>
  <c r="AM626" i="51"/>
  <c r="AL626" i="51"/>
  <c r="AK626" i="51"/>
  <c r="AJ626" i="51"/>
  <c r="AZ625" i="51"/>
  <c r="AY625" i="51"/>
  <c r="AX625" i="51"/>
  <c r="AW625" i="51"/>
  <c r="AV625" i="51"/>
  <c r="AU625" i="51"/>
  <c r="AT625" i="51"/>
  <c r="AS625" i="51"/>
  <c r="AR625" i="51"/>
  <c r="AQ625" i="51"/>
  <c r="AP625" i="51"/>
  <c r="AO625" i="51"/>
  <c r="AN625" i="51"/>
  <c r="AM625" i="51"/>
  <c r="AL625" i="51"/>
  <c r="AK625" i="51"/>
  <c r="AJ625" i="51"/>
  <c r="AZ624" i="51"/>
  <c r="AY624" i="51"/>
  <c r="AX624" i="51"/>
  <c r="AW624" i="51"/>
  <c r="AV624" i="51"/>
  <c r="AU624" i="51"/>
  <c r="AT624" i="51"/>
  <c r="AS624" i="51"/>
  <c r="AR624" i="51"/>
  <c r="AQ624" i="51"/>
  <c r="AP624" i="51"/>
  <c r="AO624" i="51"/>
  <c r="AN624" i="51"/>
  <c r="AM624" i="51"/>
  <c r="AL624" i="51"/>
  <c r="AK624" i="51"/>
  <c r="AJ624" i="51"/>
  <c r="AZ623" i="51"/>
  <c r="AY623" i="51"/>
  <c r="AX623" i="51"/>
  <c r="AW623" i="51"/>
  <c r="AV623" i="51"/>
  <c r="AU623" i="51"/>
  <c r="AT623" i="51"/>
  <c r="AS623" i="51"/>
  <c r="AR623" i="51"/>
  <c r="AQ623" i="51"/>
  <c r="AP623" i="51"/>
  <c r="AO623" i="51"/>
  <c r="AN623" i="51"/>
  <c r="AM623" i="51"/>
  <c r="AL623" i="51"/>
  <c r="AK623" i="51"/>
  <c r="AJ623" i="51"/>
  <c r="AZ622" i="51"/>
  <c r="AY622" i="51"/>
  <c r="AX622" i="51"/>
  <c r="AW622" i="51"/>
  <c r="AV622" i="51"/>
  <c r="AU622" i="51"/>
  <c r="AT622" i="51"/>
  <c r="AS622" i="51"/>
  <c r="AR622" i="51"/>
  <c r="AQ622" i="51"/>
  <c r="AP622" i="51"/>
  <c r="AO622" i="51"/>
  <c r="AN622" i="51"/>
  <c r="AM622" i="51"/>
  <c r="AL622" i="51"/>
  <c r="AK622" i="51"/>
  <c r="AJ622" i="51"/>
  <c r="AZ621" i="51"/>
  <c r="AY621" i="51"/>
  <c r="AX621" i="51"/>
  <c r="AW621" i="51"/>
  <c r="AV621" i="51"/>
  <c r="AU621" i="51"/>
  <c r="AT621" i="51"/>
  <c r="AS621" i="51"/>
  <c r="AR621" i="51"/>
  <c r="AQ621" i="51"/>
  <c r="AP621" i="51"/>
  <c r="AO621" i="51"/>
  <c r="AN621" i="51"/>
  <c r="AM621" i="51"/>
  <c r="AL621" i="51"/>
  <c r="AK621" i="51"/>
  <c r="AJ621" i="51"/>
  <c r="AZ620" i="51"/>
  <c r="AY620" i="51"/>
  <c r="AX620" i="51"/>
  <c r="AW620" i="51"/>
  <c r="AV620" i="51"/>
  <c r="AU620" i="51"/>
  <c r="AT620" i="51"/>
  <c r="AS620" i="51"/>
  <c r="AR620" i="51"/>
  <c r="AQ620" i="51"/>
  <c r="AP620" i="51"/>
  <c r="AO620" i="51"/>
  <c r="AN620" i="51"/>
  <c r="AM620" i="51"/>
  <c r="AL620" i="51"/>
  <c r="AK620" i="51"/>
  <c r="AJ620" i="51"/>
  <c r="AZ619" i="51"/>
  <c r="AY619" i="51"/>
  <c r="AX619" i="51"/>
  <c r="AW619" i="51"/>
  <c r="AV619" i="51"/>
  <c r="AU619" i="51"/>
  <c r="AT619" i="51"/>
  <c r="AS619" i="51"/>
  <c r="AR619" i="51"/>
  <c r="AQ619" i="51"/>
  <c r="AP619" i="51"/>
  <c r="AO619" i="51"/>
  <c r="AN619" i="51"/>
  <c r="AM619" i="51"/>
  <c r="AL619" i="51"/>
  <c r="AK619" i="51"/>
  <c r="AJ619" i="51"/>
  <c r="AZ618" i="51"/>
  <c r="AY618" i="51"/>
  <c r="AX618" i="51"/>
  <c r="AW618" i="51"/>
  <c r="AV618" i="51"/>
  <c r="AU618" i="51"/>
  <c r="AT618" i="51"/>
  <c r="AS618" i="51"/>
  <c r="AR618" i="51"/>
  <c r="AQ618" i="51"/>
  <c r="AP618" i="51"/>
  <c r="AO618" i="51"/>
  <c r="AN618" i="51"/>
  <c r="AM618" i="51"/>
  <c r="AL618" i="51"/>
  <c r="AK618" i="51"/>
  <c r="AJ618" i="51"/>
  <c r="AZ617" i="51"/>
  <c r="AY617" i="51"/>
  <c r="AX617" i="51"/>
  <c r="AW617" i="51"/>
  <c r="AV617" i="51"/>
  <c r="AU617" i="51"/>
  <c r="AT617" i="51"/>
  <c r="AS617" i="51"/>
  <c r="AR617" i="51"/>
  <c r="AQ617" i="51"/>
  <c r="AP617" i="51"/>
  <c r="AO617" i="51"/>
  <c r="AN617" i="51"/>
  <c r="AM617" i="51"/>
  <c r="AL617" i="51"/>
  <c r="AK617" i="51"/>
  <c r="AJ617" i="51"/>
  <c r="AZ616" i="51"/>
  <c r="AY616" i="51"/>
  <c r="AX616" i="51"/>
  <c r="AW616" i="51"/>
  <c r="AV616" i="51"/>
  <c r="AU616" i="51"/>
  <c r="AT616" i="51"/>
  <c r="AS616" i="51"/>
  <c r="AR616" i="51"/>
  <c r="AQ616" i="51"/>
  <c r="AP616" i="51"/>
  <c r="AO616" i="51"/>
  <c r="AN616" i="51"/>
  <c r="AM616" i="51"/>
  <c r="AL616" i="51"/>
  <c r="AK616" i="51"/>
  <c r="AJ616" i="51"/>
  <c r="AZ615" i="51"/>
  <c r="AY615" i="51"/>
  <c r="AX615" i="51"/>
  <c r="AW615" i="51"/>
  <c r="AV615" i="51"/>
  <c r="AU615" i="51"/>
  <c r="AT615" i="51"/>
  <c r="AS615" i="51"/>
  <c r="AR615" i="51"/>
  <c r="AQ615" i="51"/>
  <c r="AP615" i="51"/>
  <c r="AO615" i="51"/>
  <c r="AN615" i="51"/>
  <c r="AM615" i="51"/>
  <c r="AL615" i="51"/>
  <c r="AK615" i="51"/>
  <c r="AJ615" i="51"/>
  <c r="AZ614" i="51"/>
  <c r="AY614" i="51"/>
  <c r="AX614" i="51"/>
  <c r="AW614" i="51"/>
  <c r="AV614" i="51"/>
  <c r="AU614" i="51"/>
  <c r="AT614" i="51"/>
  <c r="AS614" i="51"/>
  <c r="AR614" i="51"/>
  <c r="AQ614" i="51"/>
  <c r="AP614" i="51"/>
  <c r="AO614" i="51"/>
  <c r="AN614" i="51"/>
  <c r="AM614" i="51"/>
  <c r="AL614" i="51"/>
  <c r="AK614" i="51"/>
  <c r="AJ614" i="51"/>
  <c r="AZ613" i="51"/>
  <c r="AY613" i="51"/>
  <c r="AX613" i="51"/>
  <c r="AW613" i="51"/>
  <c r="AV613" i="51"/>
  <c r="AU613" i="51"/>
  <c r="AT613" i="51"/>
  <c r="AS613" i="51"/>
  <c r="AR613" i="51"/>
  <c r="AQ613" i="51"/>
  <c r="AP613" i="51"/>
  <c r="AO613" i="51"/>
  <c r="AN613" i="51"/>
  <c r="AM613" i="51"/>
  <c r="AL613" i="51"/>
  <c r="AK613" i="51"/>
  <c r="AJ613" i="51"/>
  <c r="AZ612" i="51"/>
  <c r="AY612" i="51"/>
  <c r="AX612" i="51"/>
  <c r="AW612" i="51"/>
  <c r="AV612" i="51"/>
  <c r="AU612" i="51"/>
  <c r="AT612" i="51"/>
  <c r="AS612" i="51"/>
  <c r="AR612" i="51"/>
  <c r="AQ612" i="51"/>
  <c r="AP612" i="51"/>
  <c r="AO612" i="51"/>
  <c r="AN612" i="51"/>
  <c r="AM612" i="51"/>
  <c r="AL612" i="51"/>
  <c r="AK612" i="51"/>
  <c r="AJ612" i="51"/>
  <c r="AZ611" i="51"/>
  <c r="AY611" i="51"/>
  <c r="AX611" i="51"/>
  <c r="AW611" i="51"/>
  <c r="AV611" i="51"/>
  <c r="AU611" i="51"/>
  <c r="AT611" i="51"/>
  <c r="AS611" i="51"/>
  <c r="AR611" i="51"/>
  <c r="AQ611" i="51"/>
  <c r="AP611" i="51"/>
  <c r="AO611" i="51"/>
  <c r="AN611" i="51"/>
  <c r="AM611" i="51"/>
  <c r="AL611" i="51"/>
  <c r="AK611" i="51"/>
  <c r="AJ611" i="51"/>
  <c r="AZ610" i="51"/>
  <c r="AY610" i="51"/>
  <c r="AX610" i="51"/>
  <c r="AW610" i="51"/>
  <c r="AV610" i="51"/>
  <c r="AU610" i="51"/>
  <c r="AT610" i="51"/>
  <c r="AS610" i="51"/>
  <c r="AR610" i="51"/>
  <c r="AQ610" i="51"/>
  <c r="AP610" i="51"/>
  <c r="AO610" i="51"/>
  <c r="AN610" i="51"/>
  <c r="AM610" i="51"/>
  <c r="AL610" i="51"/>
  <c r="AK610" i="51"/>
  <c r="AJ610" i="51"/>
  <c r="AZ609" i="51"/>
  <c r="AY609" i="51"/>
  <c r="AX609" i="51"/>
  <c r="AW609" i="51"/>
  <c r="AV609" i="51"/>
  <c r="AU609" i="51"/>
  <c r="AT609" i="51"/>
  <c r="AS609" i="51"/>
  <c r="AR609" i="51"/>
  <c r="AQ609" i="51"/>
  <c r="AP609" i="51"/>
  <c r="AO609" i="51"/>
  <c r="AN609" i="51"/>
  <c r="AM609" i="51"/>
  <c r="AL609" i="51"/>
  <c r="AK609" i="51"/>
  <c r="AJ609" i="51"/>
  <c r="AZ608" i="51"/>
  <c r="AY608" i="51"/>
  <c r="AX608" i="51"/>
  <c r="AW608" i="51"/>
  <c r="AV608" i="51"/>
  <c r="AU608" i="51"/>
  <c r="AT608" i="51"/>
  <c r="AS608" i="51"/>
  <c r="AR608" i="51"/>
  <c r="AQ608" i="51"/>
  <c r="AP608" i="51"/>
  <c r="AO608" i="51"/>
  <c r="AN608" i="51"/>
  <c r="AM608" i="51"/>
  <c r="AL608" i="51"/>
  <c r="AK608" i="51"/>
  <c r="AJ608" i="51"/>
  <c r="AZ607" i="51"/>
  <c r="AY607" i="51"/>
  <c r="AX607" i="51"/>
  <c r="AW607" i="51"/>
  <c r="AV607" i="51"/>
  <c r="AU607" i="51"/>
  <c r="AT607" i="51"/>
  <c r="AS607" i="51"/>
  <c r="AR607" i="51"/>
  <c r="AQ607" i="51"/>
  <c r="AP607" i="51"/>
  <c r="AO607" i="51"/>
  <c r="AN607" i="51"/>
  <c r="AM607" i="51"/>
  <c r="AL607" i="51"/>
  <c r="AK607" i="51"/>
  <c r="AJ607" i="51"/>
  <c r="AZ606" i="51"/>
  <c r="AY606" i="51"/>
  <c r="AX606" i="51"/>
  <c r="AW606" i="51"/>
  <c r="AV606" i="51"/>
  <c r="AU606" i="51"/>
  <c r="AT606" i="51"/>
  <c r="AS606" i="51"/>
  <c r="AR606" i="51"/>
  <c r="AQ606" i="51"/>
  <c r="AP606" i="51"/>
  <c r="AO606" i="51"/>
  <c r="AN606" i="51"/>
  <c r="AM606" i="51"/>
  <c r="AL606" i="51"/>
  <c r="AK606" i="51"/>
  <c r="AJ606" i="51"/>
  <c r="AZ605" i="51"/>
  <c r="AY605" i="51"/>
  <c r="AX605" i="51"/>
  <c r="AW605" i="51"/>
  <c r="AV605" i="51"/>
  <c r="AU605" i="51"/>
  <c r="AT605" i="51"/>
  <c r="AS605" i="51"/>
  <c r="AR605" i="51"/>
  <c r="AQ605" i="51"/>
  <c r="AP605" i="51"/>
  <c r="AO605" i="51"/>
  <c r="AN605" i="51"/>
  <c r="AM605" i="51"/>
  <c r="AL605" i="51"/>
  <c r="AK605" i="51"/>
  <c r="AJ605" i="51"/>
  <c r="AZ604" i="51"/>
  <c r="AY604" i="51"/>
  <c r="AX604" i="51"/>
  <c r="AW604" i="51"/>
  <c r="AV604" i="51"/>
  <c r="AU604" i="51"/>
  <c r="AT604" i="51"/>
  <c r="AS604" i="51"/>
  <c r="AR604" i="51"/>
  <c r="AQ604" i="51"/>
  <c r="AP604" i="51"/>
  <c r="AO604" i="51"/>
  <c r="AN604" i="51"/>
  <c r="AM604" i="51"/>
  <c r="AL604" i="51"/>
  <c r="AK604" i="51"/>
  <c r="AJ604" i="51"/>
  <c r="AZ603" i="51"/>
  <c r="AY603" i="51"/>
  <c r="AX603" i="51"/>
  <c r="AW603" i="51"/>
  <c r="AV603" i="51"/>
  <c r="AU603" i="51"/>
  <c r="AT603" i="51"/>
  <c r="AS603" i="51"/>
  <c r="AR603" i="51"/>
  <c r="AQ603" i="51"/>
  <c r="AP603" i="51"/>
  <c r="AO603" i="51"/>
  <c r="AN603" i="51"/>
  <c r="AM603" i="51"/>
  <c r="AL603" i="51"/>
  <c r="AK603" i="51"/>
  <c r="AJ603" i="51"/>
  <c r="AZ602" i="51"/>
  <c r="AY602" i="51"/>
  <c r="AX602" i="51"/>
  <c r="AW602" i="51"/>
  <c r="AV602" i="51"/>
  <c r="AU602" i="51"/>
  <c r="AT602" i="51"/>
  <c r="AS602" i="51"/>
  <c r="AR602" i="51"/>
  <c r="AQ602" i="51"/>
  <c r="AP602" i="51"/>
  <c r="AO602" i="51"/>
  <c r="AN602" i="51"/>
  <c r="AM602" i="51"/>
  <c r="AL602" i="51"/>
  <c r="AK602" i="51"/>
  <c r="AJ602" i="51"/>
  <c r="AZ601" i="51"/>
  <c r="AY601" i="51"/>
  <c r="AX601" i="51"/>
  <c r="AW601" i="51"/>
  <c r="AV601" i="51"/>
  <c r="AU601" i="51"/>
  <c r="AT601" i="51"/>
  <c r="AS601" i="51"/>
  <c r="AR601" i="51"/>
  <c r="AQ601" i="51"/>
  <c r="AP601" i="51"/>
  <c r="AO601" i="51"/>
  <c r="AN601" i="51"/>
  <c r="AM601" i="51"/>
  <c r="AL601" i="51"/>
  <c r="AK601" i="51"/>
  <c r="AJ601" i="51"/>
  <c r="AZ600" i="51"/>
  <c r="AY600" i="51"/>
  <c r="AX600" i="51"/>
  <c r="AW600" i="51"/>
  <c r="AV600" i="51"/>
  <c r="AU600" i="51"/>
  <c r="AT600" i="51"/>
  <c r="AS600" i="51"/>
  <c r="AR600" i="51"/>
  <c r="AQ600" i="51"/>
  <c r="AP600" i="51"/>
  <c r="AO600" i="51"/>
  <c r="AN600" i="51"/>
  <c r="AM600" i="51"/>
  <c r="AL600" i="51"/>
  <c r="AK600" i="51"/>
  <c r="AJ600" i="51"/>
  <c r="AZ599" i="51"/>
  <c r="AY599" i="51"/>
  <c r="AX599" i="51"/>
  <c r="AW599" i="51"/>
  <c r="AV599" i="51"/>
  <c r="AU599" i="51"/>
  <c r="AT599" i="51"/>
  <c r="AS599" i="51"/>
  <c r="AR599" i="51"/>
  <c r="AQ599" i="51"/>
  <c r="AP599" i="51"/>
  <c r="AO599" i="51"/>
  <c r="AN599" i="51"/>
  <c r="AM599" i="51"/>
  <c r="AL599" i="51"/>
  <c r="AK599" i="51"/>
  <c r="AJ599" i="51"/>
  <c r="AZ598" i="51"/>
  <c r="AY598" i="51"/>
  <c r="AX598" i="51"/>
  <c r="AW598" i="51"/>
  <c r="AV598" i="51"/>
  <c r="AU598" i="51"/>
  <c r="AT598" i="51"/>
  <c r="AS598" i="51"/>
  <c r="AR598" i="51"/>
  <c r="AQ598" i="51"/>
  <c r="AP598" i="51"/>
  <c r="AO598" i="51"/>
  <c r="AN598" i="51"/>
  <c r="AM598" i="51"/>
  <c r="AL598" i="51"/>
  <c r="AK598" i="51"/>
  <c r="AJ598" i="51"/>
  <c r="AZ597" i="51"/>
  <c r="AY597" i="51"/>
  <c r="AX597" i="51"/>
  <c r="AW597" i="51"/>
  <c r="AV597" i="51"/>
  <c r="AU597" i="51"/>
  <c r="AT597" i="51"/>
  <c r="AS597" i="51"/>
  <c r="AR597" i="51"/>
  <c r="AQ597" i="51"/>
  <c r="AP597" i="51"/>
  <c r="AO597" i="51"/>
  <c r="AN597" i="51"/>
  <c r="AM597" i="51"/>
  <c r="AL597" i="51"/>
  <c r="AK597" i="51"/>
  <c r="AJ597" i="51"/>
  <c r="AZ596" i="51"/>
  <c r="AY596" i="51"/>
  <c r="AX596" i="51"/>
  <c r="AW596" i="51"/>
  <c r="AV596" i="51"/>
  <c r="AU596" i="51"/>
  <c r="AT596" i="51"/>
  <c r="AS596" i="51"/>
  <c r="AR596" i="51"/>
  <c r="AQ596" i="51"/>
  <c r="AP596" i="51"/>
  <c r="AO596" i="51"/>
  <c r="AN596" i="51"/>
  <c r="AM596" i="51"/>
  <c r="AL596" i="51"/>
  <c r="AK596" i="51"/>
  <c r="AJ596" i="51"/>
  <c r="AZ595" i="51"/>
  <c r="AY595" i="51"/>
  <c r="AX595" i="51"/>
  <c r="AW595" i="51"/>
  <c r="AV595" i="51"/>
  <c r="AU595" i="51"/>
  <c r="AT595" i="51"/>
  <c r="AS595" i="51"/>
  <c r="AR595" i="51"/>
  <c r="AQ595" i="51"/>
  <c r="AP595" i="51"/>
  <c r="AO595" i="51"/>
  <c r="AN595" i="51"/>
  <c r="AM595" i="51"/>
  <c r="AL595" i="51"/>
  <c r="AK595" i="51"/>
  <c r="AJ595" i="51"/>
  <c r="AZ594" i="51"/>
  <c r="AY594" i="51"/>
  <c r="AX594" i="51"/>
  <c r="AW594" i="51"/>
  <c r="AV594" i="51"/>
  <c r="AU594" i="51"/>
  <c r="AT594" i="51"/>
  <c r="AS594" i="51"/>
  <c r="AR594" i="51"/>
  <c r="AQ594" i="51"/>
  <c r="AP594" i="51"/>
  <c r="AO594" i="51"/>
  <c r="AN594" i="51"/>
  <c r="AM594" i="51"/>
  <c r="AL594" i="51"/>
  <c r="AK594" i="51"/>
  <c r="AJ594" i="51"/>
  <c r="AZ593" i="51"/>
  <c r="AY593" i="51"/>
  <c r="AX593" i="51"/>
  <c r="AW593" i="51"/>
  <c r="AV593" i="51"/>
  <c r="AU593" i="51"/>
  <c r="AT593" i="51"/>
  <c r="AS593" i="51"/>
  <c r="AR593" i="51"/>
  <c r="AQ593" i="51"/>
  <c r="AP593" i="51"/>
  <c r="AO593" i="51"/>
  <c r="AN593" i="51"/>
  <c r="AM593" i="51"/>
  <c r="AL593" i="51"/>
  <c r="AK593" i="51"/>
  <c r="AJ593" i="51"/>
  <c r="AZ592" i="51"/>
  <c r="AY592" i="51"/>
  <c r="AX592" i="51"/>
  <c r="AW592" i="51"/>
  <c r="AV592" i="51"/>
  <c r="AU592" i="51"/>
  <c r="AT592" i="51"/>
  <c r="AS592" i="51"/>
  <c r="AR592" i="51"/>
  <c r="AQ592" i="51"/>
  <c r="AP592" i="51"/>
  <c r="AO592" i="51"/>
  <c r="AN592" i="51"/>
  <c r="AM592" i="51"/>
  <c r="AL592" i="51"/>
  <c r="AK592" i="51"/>
  <c r="AJ592" i="51"/>
  <c r="AZ591" i="51"/>
  <c r="AY591" i="51"/>
  <c r="AX591" i="51"/>
  <c r="AW591" i="51"/>
  <c r="AV591" i="51"/>
  <c r="AU591" i="51"/>
  <c r="AT591" i="51"/>
  <c r="AS591" i="51"/>
  <c r="AR591" i="51"/>
  <c r="AQ591" i="51"/>
  <c r="AP591" i="51"/>
  <c r="AO591" i="51"/>
  <c r="AN591" i="51"/>
  <c r="AM591" i="51"/>
  <c r="AL591" i="51"/>
  <c r="AK591" i="51"/>
  <c r="AJ591" i="51"/>
  <c r="AZ590" i="51"/>
  <c r="AY590" i="51"/>
  <c r="AX590" i="51"/>
  <c r="AW590" i="51"/>
  <c r="AV590" i="51"/>
  <c r="AU590" i="51"/>
  <c r="AT590" i="51"/>
  <c r="AS590" i="51"/>
  <c r="AR590" i="51"/>
  <c r="AQ590" i="51"/>
  <c r="AP590" i="51"/>
  <c r="AO590" i="51"/>
  <c r="AN590" i="51"/>
  <c r="AM590" i="51"/>
  <c r="AL590" i="51"/>
  <c r="AK590" i="51"/>
  <c r="AJ590" i="51"/>
  <c r="AZ589" i="51"/>
  <c r="AY589" i="51"/>
  <c r="AX589" i="51"/>
  <c r="AW589" i="51"/>
  <c r="AV589" i="51"/>
  <c r="AU589" i="51"/>
  <c r="AT589" i="51"/>
  <c r="AS589" i="51"/>
  <c r="AR589" i="51"/>
  <c r="AQ589" i="51"/>
  <c r="AP589" i="51"/>
  <c r="AO589" i="51"/>
  <c r="AN589" i="51"/>
  <c r="AM589" i="51"/>
  <c r="AL589" i="51"/>
  <c r="AK589" i="51"/>
  <c r="AJ589" i="51"/>
  <c r="AZ588" i="51"/>
  <c r="AY588" i="51"/>
  <c r="AX588" i="51"/>
  <c r="AW588" i="51"/>
  <c r="AV588" i="51"/>
  <c r="AU588" i="51"/>
  <c r="AT588" i="51"/>
  <c r="AS588" i="51"/>
  <c r="AR588" i="51"/>
  <c r="AQ588" i="51"/>
  <c r="AP588" i="51"/>
  <c r="AO588" i="51"/>
  <c r="AN588" i="51"/>
  <c r="AM588" i="51"/>
  <c r="AL588" i="51"/>
  <c r="AK588" i="51"/>
  <c r="AJ588" i="51"/>
  <c r="AZ587" i="51"/>
  <c r="AY587" i="51"/>
  <c r="AX587" i="51"/>
  <c r="AW587" i="51"/>
  <c r="AV587" i="51"/>
  <c r="AU587" i="51"/>
  <c r="AT587" i="51"/>
  <c r="AS587" i="51"/>
  <c r="AR587" i="51"/>
  <c r="AQ587" i="51"/>
  <c r="AP587" i="51"/>
  <c r="AO587" i="51"/>
  <c r="AN587" i="51"/>
  <c r="AM587" i="51"/>
  <c r="AL587" i="51"/>
  <c r="AK587" i="51"/>
  <c r="AJ587" i="51"/>
  <c r="AZ586" i="51"/>
  <c r="AY586" i="51"/>
  <c r="AX586" i="51"/>
  <c r="AW586" i="51"/>
  <c r="AV586" i="51"/>
  <c r="AU586" i="51"/>
  <c r="AT586" i="51"/>
  <c r="AS586" i="51"/>
  <c r="AR586" i="51"/>
  <c r="AQ586" i="51"/>
  <c r="AP586" i="51"/>
  <c r="AO586" i="51"/>
  <c r="AN586" i="51"/>
  <c r="AM586" i="51"/>
  <c r="AL586" i="51"/>
  <c r="AK586" i="51"/>
  <c r="AJ586" i="51"/>
  <c r="AZ585" i="51"/>
  <c r="AY585" i="51"/>
  <c r="AX585" i="51"/>
  <c r="AW585" i="51"/>
  <c r="AV585" i="51"/>
  <c r="AU585" i="51"/>
  <c r="AT585" i="51"/>
  <c r="AS585" i="51"/>
  <c r="AR585" i="51"/>
  <c r="AQ585" i="51"/>
  <c r="AP585" i="51"/>
  <c r="AO585" i="51"/>
  <c r="AN585" i="51"/>
  <c r="AM585" i="51"/>
  <c r="AL585" i="51"/>
  <c r="AK585" i="51"/>
  <c r="AJ585" i="51"/>
  <c r="AZ584" i="51"/>
  <c r="AY584" i="51"/>
  <c r="AX584" i="51"/>
  <c r="AW584" i="51"/>
  <c r="AV584" i="51"/>
  <c r="AU584" i="51"/>
  <c r="AT584" i="51"/>
  <c r="AS584" i="51"/>
  <c r="AR584" i="51"/>
  <c r="AQ584" i="51"/>
  <c r="AP584" i="51"/>
  <c r="AO584" i="51"/>
  <c r="AN584" i="51"/>
  <c r="AM584" i="51"/>
  <c r="AL584" i="51"/>
  <c r="AK584" i="51"/>
  <c r="AJ584" i="51"/>
  <c r="AZ583" i="51"/>
  <c r="AY583" i="51"/>
  <c r="AX583" i="51"/>
  <c r="AW583" i="51"/>
  <c r="AV583" i="51"/>
  <c r="AU583" i="51"/>
  <c r="AT583" i="51"/>
  <c r="AS583" i="51"/>
  <c r="AR583" i="51"/>
  <c r="AQ583" i="51"/>
  <c r="AP583" i="51"/>
  <c r="AO583" i="51"/>
  <c r="AN583" i="51"/>
  <c r="AM583" i="51"/>
  <c r="AL583" i="51"/>
  <c r="AK583" i="51"/>
  <c r="AJ583" i="51"/>
  <c r="AZ582" i="51"/>
  <c r="AY582" i="51"/>
  <c r="AX582" i="51"/>
  <c r="AW582" i="51"/>
  <c r="AV582" i="51"/>
  <c r="AU582" i="51"/>
  <c r="AT582" i="51"/>
  <c r="AS582" i="51"/>
  <c r="AR582" i="51"/>
  <c r="AQ582" i="51"/>
  <c r="AP582" i="51"/>
  <c r="AO582" i="51"/>
  <c r="AN582" i="51"/>
  <c r="AM582" i="51"/>
  <c r="AL582" i="51"/>
  <c r="AK582" i="51"/>
  <c r="AJ582" i="51"/>
  <c r="AZ581" i="51"/>
  <c r="AY581" i="51"/>
  <c r="AX581" i="51"/>
  <c r="AW581" i="51"/>
  <c r="AV581" i="51"/>
  <c r="AU581" i="51"/>
  <c r="AT581" i="51"/>
  <c r="AS581" i="51"/>
  <c r="AR581" i="51"/>
  <c r="AQ581" i="51"/>
  <c r="AP581" i="51"/>
  <c r="AO581" i="51"/>
  <c r="AN581" i="51"/>
  <c r="AM581" i="51"/>
  <c r="AL581" i="51"/>
  <c r="AK581" i="51"/>
  <c r="AJ581" i="51"/>
  <c r="AZ580" i="51"/>
  <c r="AY580" i="51"/>
  <c r="AX580" i="51"/>
  <c r="AW580" i="51"/>
  <c r="AV580" i="51"/>
  <c r="AU580" i="51"/>
  <c r="AT580" i="51"/>
  <c r="AS580" i="51"/>
  <c r="AR580" i="51"/>
  <c r="AQ580" i="51"/>
  <c r="AP580" i="51"/>
  <c r="AO580" i="51"/>
  <c r="AN580" i="51"/>
  <c r="AM580" i="51"/>
  <c r="AL580" i="51"/>
  <c r="AK580" i="51"/>
  <c r="AJ580" i="51"/>
  <c r="AZ579" i="51"/>
  <c r="AY579" i="51"/>
  <c r="AX579" i="51"/>
  <c r="AW579" i="51"/>
  <c r="AV579" i="51"/>
  <c r="AU579" i="51"/>
  <c r="AT579" i="51"/>
  <c r="AS579" i="51"/>
  <c r="AR579" i="51"/>
  <c r="AQ579" i="51"/>
  <c r="AP579" i="51"/>
  <c r="AO579" i="51"/>
  <c r="AN579" i="51"/>
  <c r="AM579" i="51"/>
  <c r="AL579" i="51"/>
  <c r="AK579" i="51"/>
  <c r="AJ579" i="51"/>
  <c r="AZ578" i="51"/>
  <c r="AY578" i="51"/>
  <c r="AX578" i="51"/>
  <c r="AW578" i="51"/>
  <c r="AV578" i="51"/>
  <c r="AU578" i="51"/>
  <c r="AT578" i="51"/>
  <c r="AS578" i="51"/>
  <c r="AR578" i="51"/>
  <c r="AQ578" i="51"/>
  <c r="AP578" i="51"/>
  <c r="AO578" i="51"/>
  <c r="AN578" i="51"/>
  <c r="AM578" i="51"/>
  <c r="AL578" i="51"/>
  <c r="AK578" i="51"/>
  <c r="AJ578" i="51"/>
  <c r="AZ577" i="51"/>
  <c r="AY577" i="51"/>
  <c r="AX577" i="51"/>
  <c r="AW577" i="51"/>
  <c r="AV577" i="51"/>
  <c r="AU577" i="51"/>
  <c r="AT577" i="51"/>
  <c r="AS577" i="51"/>
  <c r="AR577" i="51"/>
  <c r="AQ577" i="51"/>
  <c r="AP577" i="51"/>
  <c r="AO577" i="51"/>
  <c r="AN577" i="51"/>
  <c r="AM577" i="51"/>
  <c r="AL577" i="51"/>
  <c r="AK577" i="51"/>
  <c r="AJ577" i="51"/>
  <c r="AZ576" i="51"/>
  <c r="AY576" i="51"/>
  <c r="AX576" i="51"/>
  <c r="AW576" i="51"/>
  <c r="AV576" i="51"/>
  <c r="AU576" i="51"/>
  <c r="AT576" i="51"/>
  <c r="AS576" i="51"/>
  <c r="AR576" i="51"/>
  <c r="AQ576" i="51"/>
  <c r="AP576" i="51"/>
  <c r="AO576" i="51"/>
  <c r="AN576" i="51"/>
  <c r="AM576" i="51"/>
  <c r="AL576" i="51"/>
  <c r="AK576" i="51"/>
  <c r="AJ576" i="51"/>
  <c r="AZ575" i="51"/>
  <c r="AY575" i="51"/>
  <c r="AX575" i="51"/>
  <c r="AW575" i="51"/>
  <c r="AV575" i="51"/>
  <c r="AU575" i="51"/>
  <c r="AT575" i="51"/>
  <c r="AS575" i="51"/>
  <c r="AR575" i="51"/>
  <c r="AQ575" i="51"/>
  <c r="AP575" i="51"/>
  <c r="AO575" i="51"/>
  <c r="AN575" i="51"/>
  <c r="AM575" i="51"/>
  <c r="AL575" i="51"/>
  <c r="AK575" i="51"/>
  <c r="AJ575" i="51"/>
  <c r="AZ574" i="51"/>
  <c r="AY574" i="51"/>
  <c r="AX574" i="51"/>
  <c r="AW574" i="51"/>
  <c r="AV574" i="51"/>
  <c r="AU574" i="51"/>
  <c r="AT574" i="51"/>
  <c r="AS574" i="51"/>
  <c r="AR574" i="51"/>
  <c r="AQ574" i="51"/>
  <c r="AP574" i="51"/>
  <c r="AO574" i="51"/>
  <c r="AN574" i="51"/>
  <c r="AM574" i="51"/>
  <c r="AL574" i="51"/>
  <c r="AK574" i="51"/>
  <c r="AJ574" i="51"/>
  <c r="AZ573" i="51"/>
  <c r="AY573" i="51"/>
  <c r="AX573" i="51"/>
  <c r="AW573" i="51"/>
  <c r="AV573" i="51"/>
  <c r="AU573" i="51"/>
  <c r="AT573" i="51"/>
  <c r="AS573" i="51"/>
  <c r="AR573" i="51"/>
  <c r="AQ573" i="51"/>
  <c r="AP573" i="51"/>
  <c r="AO573" i="51"/>
  <c r="AN573" i="51"/>
  <c r="AM573" i="51"/>
  <c r="AL573" i="51"/>
  <c r="AK573" i="51"/>
  <c r="AJ573" i="51"/>
  <c r="AZ572" i="51"/>
  <c r="AY572" i="51"/>
  <c r="AX572" i="51"/>
  <c r="AW572" i="51"/>
  <c r="AV572" i="51"/>
  <c r="AU572" i="51"/>
  <c r="AT572" i="51"/>
  <c r="AS572" i="51"/>
  <c r="AR572" i="51"/>
  <c r="AQ572" i="51"/>
  <c r="AP572" i="51"/>
  <c r="AO572" i="51"/>
  <c r="AN572" i="51"/>
  <c r="AM572" i="51"/>
  <c r="AL572" i="51"/>
  <c r="AK572" i="51"/>
  <c r="AJ572" i="51"/>
  <c r="AZ571" i="51"/>
  <c r="AY571" i="51"/>
  <c r="AX571" i="51"/>
  <c r="AW571" i="51"/>
  <c r="AV571" i="51"/>
  <c r="AU571" i="51"/>
  <c r="AT571" i="51"/>
  <c r="AS571" i="51"/>
  <c r="AR571" i="51"/>
  <c r="AQ571" i="51"/>
  <c r="AP571" i="51"/>
  <c r="AO571" i="51"/>
  <c r="AN571" i="51"/>
  <c r="AM571" i="51"/>
  <c r="AL571" i="51"/>
  <c r="AK571" i="51"/>
  <c r="AJ571" i="51"/>
  <c r="AZ570" i="51"/>
  <c r="AY570" i="51"/>
  <c r="AX570" i="51"/>
  <c r="AW570" i="51"/>
  <c r="AV570" i="51"/>
  <c r="AU570" i="51"/>
  <c r="AT570" i="51"/>
  <c r="AS570" i="51"/>
  <c r="AR570" i="51"/>
  <c r="AQ570" i="51"/>
  <c r="AP570" i="51"/>
  <c r="AO570" i="51"/>
  <c r="AN570" i="51"/>
  <c r="AM570" i="51"/>
  <c r="AL570" i="51"/>
  <c r="AK570" i="51"/>
  <c r="AJ570" i="51"/>
  <c r="AZ569" i="51"/>
  <c r="AY569" i="51"/>
  <c r="AX569" i="51"/>
  <c r="AW569" i="51"/>
  <c r="AV569" i="51"/>
  <c r="AU569" i="51"/>
  <c r="AT569" i="51"/>
  <c r="AS569" i="51"/>
  <c r="AR569" i="51"/>
  <c r="AQ569" i="51"/>
  <c r="AP569" i="51"/>
  <c r="AO569" i="51"/>
  <c r="AN569" i="51"/>
  <c r="AM569" i="51"/>
  <c r="AL569" i="51"/>
  <c r="AK569" i="51"/>
  <c r="AJ569" i="51"/>
  <c r="AZ568" i="51"/>
  <c r="AY568" i="51"/>
  <c r="AX568" i="51"/>
  <c r="AW568" i="51"/>
  <c r="AV568" i="51"/>
  <c r="AU568" i="51"/>
  <c r="AT568" i="51"/>
  <c r="AS568" i="51"/>
  <c r="AR568" i="51"/>
  <c r="AQ568" i="51"/>
  <c r="AP568" i="51"/>
  <c r="AO568" i="51"/>
  <c r="AN568" i="51"/>
  <c r="AM568" i="51"/>
  <c r="AL568" i="51"/>
  <c r="AK568" i="51"/>
  <c r="AJ568" i="51"/>
  <c r="AZ567" i="51"/>
  <c r="AY567" i="51"/>
  <c r="AX567" i="51"/>
  <c r="AW567" i="51"/>
  <c r="AV567" i="51"/>
  <c r="AU567" i="51"/>
  <c r="AT567" i="51"/>
  <c r="AS567" i="51"/>
  <c r="AR567" i="51"/>
  <c r="AQ567" i="51"/>
  <c r="AP567" i="51"/>
  <c r="AO567" i="51"/>
  <c r="AN567" i="51"/>
  <c r="AM567" i="51"/>
  <c r="AL567" i="51"/>
  <c r="AK567" i="51"/>
  <c r="AJ567" i="51"/>
  <c r="AZ566" i="51"/>
  <c r="AY566" i="51"/>
  <c r="AX566" i="51"/>
  <c r="AW566" i="51"/>
  <c r="AV566" i="51"/>
  <c r="AU566" i="51"/>
  <c r="AT566" i="51"/>
  <c r="AS566" i="51"/>
  <c r="AR566" i="51"/>
  <c r="AQ566" i="51"/>
  <c r="AP566" i="51"/>
  <c r="AO566" i="51"/>
  <c r="AN566" i="51"/>
  <c r="AM566" i="51"/>
  <c r="AL566" i="51"/>
  <c r="AK566" i="51"/>
  <c r="AJ566" i="51"/>
  <c r="AZ565" i="51"/>
  <c r="AY565" i="51"/>
  <c r="AX565" i="51"/>
  <c r="AW565" i="51"/>
  <c r="AV565" i="51"/>
  <c r="AU565" i="51"/>
  <c r="AT565" i="51"/>
  <c r="AS565" i="51"/>
  <c r="AR565" i="51"/>
  <c r="AQ565" i="51"/>
  <c r="AP565" i="51"/>
  <c r="AO565" i="51"/>
  <c r="AN565" i="51"/>
  <c r="AM565" i="51"/>
  <c r="AL565" i="51"/>
  <c r="AK565" i="51"/>
  <c r="AJ565" i="51"/>
  <c r="AZ564" i="51"/>
  <c r="AY564" i="51"/>
  <c r="AX564" i="51"/>
  <c r="AW564" i="51"/>
  <c r="AV564" i="51"/>
  <c r="AU564" i="51"/>
  <c r="AT564" i="51"/>
  <c r="AS564" i="51"/>
  <c r="AR564" i="51"/>
  <c r="AQ564" i="51"/>
  <c r="AP564" i="51"/>
  <c r="AO564" i="51"/>
  <c r="AN564" i="51"/>
  <c r="AM564" i="51"/>
  <c r="AL564" i="51"/>
  <c r="AK564" i="51"/>
  <c r="AJ564" i="51"/>
  <c r="AZ563" i="51"/>
  <c r="AY563" i="51"/>
  <c r="AX563" i="51"/>
  <c r="AW563" i="51"/>
  <c r="AV563" i="51"/>
  <c r="AU563" i="51"/>
  <c r="AT563" i="51"/>
  <c r="AS563" i="51"/>
  <c r="AR563" i="51"/>
  <c r="AQ563" i="51"/>
  <c r="AP563" i="51"/>
  <c r="AO563" i="51"/>
  <c r="AN563" i="51"/>
  <c r="AM563" i="51"/>
  <c r="AL563" i="51"/>
  <c r="AK563" i="51"/>
  <c r="AJ563" i="51"/>
  <c r="AZ562" i="51"/>
  <c r="AY562" i="51"/>
  <c r="AX562" i="51"/>
  <c r="AW562" i="51"/>
  <c r="AV562" i="51"/>
  <c r="AU562" i="51"/>
  <c r="AT562" i="51"/>
  <c r="AS562" i="51"/>
  <c r="AR562" i="51"/>
  <c r="AQ562" i="51"/>
  <c r="AP562" i="51"/>
  <c r="AO562" i="51"/>
  <c r="AN562" i="51"/>
  <c r="AM562" i="51"/>
  <c r="AL562" i="51"/>
  <c r="AK562" i="51"/>
  <c r="AJ562" i="51"/>
  <c r="AZ561" i="51"/>
  <c r="AY561" i="51"/>
  <c r="AX561" i="51"/>
  <c r="AW561" i="51"/>
  <c r="AV561" i="51"/>
  <c r="AU561" i="51"/>
  <c r="AT561" i="51"/>
  <c r="AS561" i="51"/>
  <c r="AR561" i="51"/>
  <c r="AQ561" i="51"/>
  <c r="AP561" i="51"/>
  <c r="AO561" i="51"/>
  <c r="AN561" i="51"/>
  <c r="AM561" i="51"/>
  <c r="AL561" i="51"/>
  <c r="AK561" i="51"/>
  <c r="AJ561" i="51"/>
  <c r="AZ560" i="51"/>
  <c r="AY560" i="51"/>
  <c r="AX560" i="51"/>
  <c r="AW560" i="51"/>
  <c r="AV560" i="51"/>
  <c r="AU560" i="51"/>
  <c r="AT560" i="51"/>
  <c r="AS560" i="51"/>
  <c r="AR560" i="51"/>
  <c r="AQ560" i="51"/>
  <c r="AP560" i="51"/>
  <c r="AO560" i="51"/>
  <c r="AN560" i="51"/>
  <c r="AM560" i="51"/>
  <c r="AL560" i="51"/>
  <c r="AK560" i="51"/>
  <c r="AJ560" i="51"/>
  <c r="AZ559" i="51"/>
  <c r="AY559" i="51"/>
  <c r="AX559" i="51"/>
  <c r="AW559" i="51"/>
  <c r="AV559" i="51"/>
  <c r="AU559" i="51"/>
  <c r="AT559" i="51"/>
  <c r="AS559" i="51"/>
  <c r="AR559" i="51"/>
  <c r="AQ559" i="51"/>
  <c r="AP559" i="51"/>
  <c r="AO559" i="51"/>
  <c r="AN559" i="51"/>
  <c r="AM559" i="51"/>
  <c r="AL559" i="51"/>
  <c r="AK559" i="51"/>
  <c r="AJ559" i="51"/>
  <c r="AZ558" i="51"/>
  <c r="AY558" i="51"/>
  <c r="AX558" i="51"/>
  <c r="AW558" i="51"/>
  <c r="AV558" i="51"/>
  <c r="AU558" i="51"/>
  <c r="AT558" i="51"/>
  <c r="AS558" i="51"/>
  <c r="AR558" i="51"/>
  <c r="AQ558" i="51"/>
  <c r="AP558" i="51"/>
  <c r="AO558" i="51"/>
  <c r="AN558" i="51"/>
  <c r="AM558" i="51"/>
  <c r="AL558" i="51"/>
  <c r="AK558" i="51"/>
  <c r="AJ558" i="51"/>
  <c r="AZ557" i="51"/>
  <c r="AY557" i="51"/>
  <c r="AX557" i="51"/>
  <c r="AW557" i="51"/>
  <c r="AV557" i="51"/>
  <c r="AU557" i="51"/>
  <c r="AT557" i="51"/>
  <c r="AS557" i="51"/>
  <c r="AR557" i="51"/>
  <c r="AQ557" i="51"/>
  <c r="AP557" i="51"/>
  <c r="AO557" i="51"/>
  <c r="AN557" i="51"/>
  <c r="AM557" i="51"/>
  <c r="AL557" i="51"/>
  <c r="AK557" i="51"/>
  <c r="AJ557" i="51"/>
  <c r="AZ556" i="51"/>
  <c r="AY556" i="51"/>
  <c r="AX556" i="51"/>
  <c r="AW556" i="51"/>
  <c r="AV556" i="51"/>
  <c r="AU556" i="51"/>
  <c r="AT556" i="51"/>
  <c r="AS556" i="51"/>
  <c r="AR556" i="51"/>
  <c r="AQ556" i="51"/>
  <c r="AP556" i="51"/>
  <c r="AO556" i="51"/>
  <c r="AN556" i="51"/>
  <c r="AM556" i="51"/>
  <c r="AL556" i="51"/>
  <c r="AK556" i="51"/>
  <c r="AJ556" i="51"/>
  <c r="AZ555" i="51"/>
  <c r="AY555" i="51"/>
  <c r="AX555" i="51"/>
  <c r="AW555" i="51"/>
  <c r="AV555" i="51"/>
  <c r="AU555" i="51"/>
  <c r="AT555" i="51"/>
  <c r="AS555" i="51"/>
  <c r="AR555" i="51"/>
  <c r="AQ555" i="51"/>
  <c r="AP555" i="51"/>
  <c r="AO555" i="51"/>
  <c r="AN555" i="51"/>
  <c r="AM555" i="51"/>
  <c r="AL555" i="51"/>
  <c r="AK555" i="51"/>
  <c r="AJ555" i="51"/>
  <c r="AZ554" i="51"/>
  <c r="AY554" i="51"/>
  <c r="AX554" i="51"/>
  <c r="AW554" i="51"/>
  <c r="AV554" i="51"/>
  <c r="AU554" i="51"/>
  <c r="AT554" i="51"/>
  <c r="AS554" i="51"/>
  <c r="AR554" i="51"/>
  <c r="AQ554" i="51"/>
  <c r="AP554" i="51"/>
  <c r="AO554" i="51"/>
  <c r="AN554" i="51"/>
  <c r="AM554" i="51"/>
  <c r="AL554" i="51"/>
  <c r="AK554" i="51"/>
  <c r="AJ554" i="51"/>
  <c r="AZ553" i="51"/>
  <c r="AY553" i="51"/>
  <c r="AX553" i="51"/>
  <c r="AW553" i="51"/>
  <c r="AV553" i="51"/>
  <c r="AU553" i="51"/>
  <c r="AT553" i="51"/>
  <c r="AS553" i="51"/>
  <c r="AR553" i="51"/>
  <c r="AQ553" i="51"/>
  <c r="AP553" i="51"/>
  <c r="AO553" i="51"/>
  <c r="AN553" i="51"/>
  <c r="AM553" i="51"/>
  <c r="AL553" i="51"/>
  <c r="AK553" i="51"/>
  <c r="AJ553" i="51"/>
  <c r="AZ552" i="51"/>
  <c r="AY552" i="51"/>
  <c r="AX552" i="51"/>
  <c r="AW552" i="51"/>
  <c r="AV552" i="51"/>
  <c r="AU552" i="51"/>
  <c r="AT552" i="51"/>
  <c r="AS552" i="51"/>
  <c r="AR552" i="51"/>
  <c r="AQ552" i="51"/>
  <c r="AP552" i="51"/>
  <c r="AO552" i="51"/>
  <c r="AN552" i="51"/>
  <c r="AM552" i="51"/>
  <c r="AL552" i="51"/>
  <c r="AK552" i="51"/>
  <c r="AJ552" i="51"/>
  <c r="AZ551" i="51"/>
  <c r="AY551" i="51"/>
  <c r="AX551" i="51"/>
  <c r="AW551" i="51"/>
  <c r="AV551" i="51"/>
  <c r="AU551" i="51"/>
  <c r="AT551" i="51"/>
  <c r="AS551" i="51"/>
  <c r="AR551" i="51"/>
  <c r="AQ551" i="51"/>
  <c r="AP551" i="51"/>
  <c r="AO551" i="51"/>
  <c r="AN551" i="51"/>
  <c r="AM551" i="51"/>
  <c r="AL551" i="51"/>
  <c r="AK551" i="51"/>
  <c r="AJ551" i="51"/>
  <c r="AZ550" i="51"/>
  <c r="AY550" i="51"/>
  <c r="AX550" i="51"/>
  <c r="AW550" i="51"/>
  <c r="AV550" i="51"/>
  <c r="AU550" i="51"/>
  <c r="AT550" i="51"/>
  <c r="AS550" i="51"/>
  <c r="AR550" i="51"/>
  <c r="AQ550" i="51"/>
  <c r="AP550" i="51"/>
  <c r="AO550" i="51"/>
  <c r="AN550" i="51"/>
  <c r="AM550" i="51"/>
  <c r="AL550" i="51"/>
  <c r="AK550" i="51"/>
  <c r="AJ550" i="51"/>
  <c r="AZ549" i="51"/>
  <c r="AY549" i="51"/>
  <c r="AX549" i="51"/>
  <c r="AW549" i="51"/>
  <c r="AV549" i="51"/>
  <c r="AU549" i="51"/>
  <c r="AT549" i="51"/>
  <c r="AS549" i="51"/>
  <c r="AR549" i="51"/>
  <c r="AQ549" i="51"/>
  <c r="AP549" i="51"/>
  <c r="AO549" i="51"/>
  <c r="AN549" i="51"/>
  <c r="AM549" i="51"/>
  <c r="AL549" i="51"/>
  <c r="AK549" i="51"/>
  <c r="AJ549" i="51"/>
  <c r="AZ548" i="51"/>
  <c r="AY548" i="51"/>
  <c r="AX548" i="51"/>
  <c r="AW548" i="51"/>
  <c r="AV548" i="51"/>
  <c r="AU548" i="51"/>
  <c r="AT548" i="51"/>
  <c r="AS548" i="51"/>
  <c r="AR548" i="51"/>
  <c r="AQ548" i="51"/>
  <c r="AP548" i="51"/>
  <c r="AO548" i="51"/>
  <c r="AN548" i="51"/>
  <c r="AM548" i="51"/>
  <c r="AL548" i="51"/>
  <c r="AK548" i="51"/>
  <c r="AJ548" i="51"/>
  <c r="AZ547" i="51"/>
  <c r="AY547" i="51"/>
  <c r="AX547" i="51"/>
  <c r="AW547" i="51"/>
  <c r="AV547" i="51"/>
  <c r="AU547" i="51"/>
  <c r="AT547" i="51"/>
  <c r="AS547" i="51"/>
  <c r="AR547" i="51"/>
  <c r="AQ547" i="51"/>
  <c r="AP547" i="51"/>
  <c r="AO547" i="51"/>
  <c r="AN547" i="51"/>
  <c r="AM547" i="51"/>
  <c r="AL547" i="51"/>
  <c r="AK547" i="51"/>
  <c r="AJ547" i="51"/>
  <c r="AZ546" i="51"/>
  <c r="AY546" i="51"/>
  <c r="AX546" i="51"/>
  <c r="AW546" i="51"/>
  <c r="AV546" i="51"/>
  <c r="AU546" i="51"/>
  <c r="AT546" i="51"/>
  <c r="AS546" i="51"/>
  <c r="AR546" i="51"/>
  <c r="AQ546" i="51"/>
  <c r="AP546" i="51"/>
  <c r="AO546" i="51"/>
  <c r="AN546" i="51"/>
  <c r="AM546" i="51"/>
  <c r="AL546" i="51"/>
  <c r="AK546" i="51"/>
  <c r="AJ546" i="51"/>
  <c r="AZ545" i="51"/>
  <c r="AY545" i="51"/>
  <c r="AX545" i="51"/>
  <c r="AW545" i="51"/>
  <c r="AV545" i="51"/>
  <c r="AU545" i="51"/>
  <c r="AT545" i="51"/>
  <c r="AS545" i="51"/>
  <c r="AR545" i="51"/>
  <c r="AQ545" i="51"/>
  <c r="AP545" i="51"/>
  <c r="AO545" i="51"/>
  <c r="AN545" i="51"/>
  <c r="AM545" i="51"/>
  <c r="AL545" i="51"/>
  <c r="AK545" i="51"/>
  <c r="AJ545" i="51"/>
  <c r="AZ544" i="51"/>
  <c r="AY544" i="51"/>
  <c r="AX544" i="51"/>
  <c r="AW544" i="51"/>
  <c r="AV544" i="51"/>
  <c r="AU544" i="51"/>
  <c r="AT544" i="51"/>
  <c r="AS544" i="51"/>
  <c r="AR544" i="51"/>
  <c r="AQ544" i="51"/>
  <c r="AP544" i="51"/>
  <c r="AO544" i="51"/>
  <c r="AN544" i="51"/>
  <c r="AM544" i="51"/>
  <c r="AL544" i="51"/>
  <c r="AK544" i="51"/>
  <c r="AJ544" i="51"/>
  <c r="AZ543" i="51"/>
  <c r="AY543" i="51"/>
  <c r="AX543" i="51"/>
  <c r="AW543" i="51"/>
  <c r="AV543" i="51"/>
  <c r="AU543" i="51"/>
  <c r="AT543" i="51"/>
  <c r="AS543" i="51"/>
  <c r="AR543" i="51"/>
  <c r="AQ543" i="51"/>
  <c r="AP543" i="51"/>
  <c r="AO543" i="51"/>
  <c r="AN543" i="51"/>
  <c r="AM543" i="51"/>
  <c r="AL543" i="51"/>
  <c r="AK543" i="51"/>
  <c r="AJ543" i="51"/>
  <c r="AZ542" i="51"/>
  <c r="AY542" i="51"/>
  <c r="AX542" i="51"/>
  <c r="AW542" i="51"/>
  <c r="AV542" i="51"/>
  <c r="AU542" i="51"/>
  <c r="AT542" i="51"/>
  <c r="AS542" i="51"/>
  <c r="AR542" i="51"/>
  <c r="AQ542" i="51"/>
  <c r="AP542" i="51"/>
  <c r="AO542" i="51"/>
  <c r="AN542" i="51"/>
  <c r="AM542" i="51"/>
  <c r="AL542" i="51"/>
  <c r="AK542" i="51"/>
  <c r="AJ542" i="51"/>
  <c r="AZ541" i="51"/>
  <c r="AY541" i="51"/>
  <c r="AX541" i="51"/>
  <c r="AW541" i="51"/>
  <c r="AV541" i="51"/>
  <c r="AU541" i="51"/>
  <c r="AT541" i="51"/>
  <c r="AS541" i="51"/>
  <c r="AR541" i="51"/>
  <c r="AQ541" i="51"/>
  <c r="AP541" i="51"/>
  <c r="AO541" i="51"/>
  <c r="AN541" i="51"/>
  <c r="AM541" i="51"/>
  <c r="AL541" i="51"/>
  <c r="AK541" i="51"/>
  <c r="AJ541" i="51"/>
  <c r="AZ540" i="51"/>
  <c r="AY540" i="51"/>
  <c r="AX540" i="51"/>
  <c r="AW540" i="51"/>
  <c r="AV540" i="51"/>
  <c r="AU540" i="51"/>
  <c r="AT540" i="51"/>
  <c r="AS540" i="51"/>
  <c r="AR540" i="51"/>
  <c r="AQ540" i="51"/>
  <c r="AP540" i="51"/>
  <c r="AO540" i="51"/>
  <c r="AN540" i="51"/>
  <c r="AM540" i="51"/>
  <c r="AL540" i="51"/>
  <c r="AK540" i="51"/>
  <c r="AJ540" i="51"/>
  <c r="AZ539" i="51"/>
  <c r="AY539" i="51"/>
  <c r="AX539" i="51"/>
  <c r="AW539" i="51"/>
  <c r="AV539" i="51"/>
  <c r="AU539" i="51"/>
  <c r="AT539" i="51"/>
  <c r="AS539" i="51"/>
  <c r="AR539" i="51"/>
  <c r="AQ539" i="51"/>
  <c r="AP539" i="51"/>
  <c r="AO539" i="51"/>
  <c r="AN539" i="51"/>
  <c r="AM539" i="51"/>
  <c r="AL539" i="51"/>
  <c r="AK539" i="51"/>
  <c r="AJ539" i="51"/>
  <c r="AZ538" i="51"/>
  <c r="AY538" i="51"/>
  <c r="AX538" i="51"/>
  <c r="AW538" i="51"/>
  <c r="AV538" i="51"/>
  <c r="AU538" i="51"/>
  <c r="AT538" i="51"/>
  <c r="AS538" i="51"/>
  <c r="AR538" i="51"/>
  <c r="AQ538" i="51"/>
  <c r="AP538" i="51"/>
  <c r="AO538" i="51"/>
  <c r="AN538" i="51"/>
  <c r="AM538" i="51"/>
  <c r="AL538" i="51"/>
  <c r="AK538" i="51"/>
  <c r="AJ538" i="51"/>
  <c r="AZ537" i="51"/>
  <c r="AY537" i="51"/>
  <c r="AX537" i="51"/>
  <c r="AW537" i="51"/>
  <c r="AV537" i="51"/>
  <c r="AU537" i="51"/>
  <c r="AT537" i="51"/>
  <c r="AS537" i="51"/>
  <c r="AR537" i="51"/>
  <c r="AQ537" i="51"/>
  <c r="AP537" i="51"/>
  <c r="AO537" i="51"/>
  <c r="AN537" i="51"/>
  <c r="AM537" i="51"/>
  <c r="AL537" i="51"/>
  <c r="AK537" i="51"/>
  <c r="AJ537" i="51"/>
  <c r="AZ536" i="51"/>
  <c r="AY536" i="51"/>
  <c r="AX536" i="51"/>
  <c r="AW536" i="51"/>
  <c r="AV536" i="51"/>
  <c r="AU536" i="51"/>
  <c r="AT536" i="51"/>
  <c r="AS536" i="51"/>
  <c r="AR536" i="51"/>
  <c r="AQ536" i="51"/>
  <c r="AP536" i="51"/>
  <c r="AO536" i="51"/>
  <c r="AN536" i="51"/>
  <c r="AM536" i="51"/>
  <c r="AL536" i="51"/>
  <c r="AK536" i="51"/>
  <c r="AJ536" i="51"/>
  <c r="AZ535" i="51"/>
  <c r="AY535" i="51"/>
  <c r="AX535" i="51"/>
  <c r="AW535" i="51"/>
  <c r="AV535" i="51"/>
  <c r="AU535" i="51"/>
  <c r="AT535" i="51"/>
  <c r="AS535" i="51"/>
  <c r="AR535" i="51"/>
  <c r="AQ535" i="51"/>
  <c r="AP535" i="51"/>
  <c r="AO535" i="51"/>
  <c r="AN535" i="51"/>
  <c r="AM535" i="51"/>
  <c r="AL535" i="51"/>
  <c r="AK535" i="51"/>
  <c r="AJ535" i="51"/>
  <c r="AZ534" i="51"/>
  <c r="AY534" i="51"/>
  <c r="AX534" i="51"/>
  <c r="AW534" i="51"/>
  <c r="AV534" i="51"/>
  <c r="AU534" i="51"/>
  <c r="AT534" i="51"/>
  <c r="AS534" i="51"/>
  <c r="AR534" i="51"/>
  <c r="AQ534" i="51"/>
  <c r="AP534" i="51"/>
  <c r="AO534" i="51"/>
  <c r="AN534" i="51"/>
  <c r="AM534" i="51"/>
  <c r="AL534" i="51"/>
  <c r="AK534" i="51"/>
  <c r="AJ534" i="51"/>
  <c r="AZ533" i="51"/>
  <c r="AY533" i="51"/>
  <c r="AX533" i="51"/>
  <c r="AW533" i="51"/>
  <c r="AV533" i="51"/>
  <c r="AU533" i="51"/>
  <c r="AT533" i="51"/>
  <c r="AS533" i="51"/>
  <c r="AR533" i="51"/>
  <c r="AQ533" i="51"/>
  <c r="AP533" i="51"/>
  <c r="AO533" i="51"/>
  <c r="AN533" i="51"/>
  <c r="AM533" i="51"/>
  <c r="AL533" i="51"/>
  <c r="AK533" i="51"/>
  <c r="AJ533" i="51"/>
  <c r="AZ532" i="51"/>
  <c r="AY532" i="51"/>
  <c r="AX532" i="51"/>
  <c r="AW532" i="51"/>
  <c r="AV532" i="51"/>
  <c r="AU532" i="51"/>
  <c r="AT532" i="51"/>
  <c r="AS532" i="51"/>
  <c r="AR532" i="51"/>
  <c r="AQ532" i="51"/>
  <c r="AP532" i="51"/>
  <c r="AO532" i="51"/>
  <c r="AN532" i="51"/>
  <c r="AM532" i="51"/>
  <c r="AL532" i="51"/>
  <c r="AK532" i="51"/>
  <c r="AJ532" i="51"/>
  <c r="AZ531" i="51"/>
  <c r="AY531" i="51"/>
  <c r="AX531" i="51"/>
  <c r="AW531" i="51"/>
  <c r="AV531" i="51"/>
  <c r="AU531" i="51"/>
  <c r="AT531" i="51"/>
  <c r="AS531" i="51"/>
  <c r="AR531" i="51"/>
  <c r="AQ531" i="51"/>
  <c r="AP531" i="51"/>
  <c r="AO531" i="51"/>
  <c r="AN531" i="51"/>
  <c r="AM531" i="51"/>
  <c r="AL531" i="51"/>
  <c r="AK531" i="51"/>
  <c r="AJ531" i="51"/>
  <c r="AZ530" i="51"/>
  <c r="AY530" i="51"/>
  <c r="AX530" i="51"/>
  <c r="AW530" i="51"/>
  <c r="AV530" i="51"/>
  <c r="AU530" i="51"/>
  <c r="AT530" i="51"/>
  <c r="AS530" i="51"/>
  <c r="AR530" i="51"/>
  <c r="AQ530" i="51"/>
  <c r="AP530" i="51"/>
  <c r="AO530" i="51"/>
  <c r="AN530" i="51"/>
  <c r="AM530" i="51"/>
  <c r="AL530" i="51"/>
  <c r="AK530" i="51"/>
  <c r="AJ530" i="51"/>
  <c r="AZ529" i="51"/>
  <c r="AY529" i="51"/>
  <c r="AX529" i="51"/>
  <c r="AW529" i="51"/>
  <c r="AV529" i="51"/>
  <c r="AU529" i="51"/>
  <c r="AT529" i="51"/>
  <c r="AS529" i="51"/>
  <c r="AR529" i="51"/>
  <c r="AQ529" i="51"/>
  <c r="AP529" i="51"/>
  <c r="AO529" i="51"/>
  <c r="AN529" i="51"/>
  <c r="AM529" i="51"/>
  <c r="AL529" i="51"/>
  <c r="AK529" i="51"/>
  <c r="AJ529" i="51"/>
  <c r="AZ528" i="51"/>
  <c r="AY528" i="51"/>
  <c r="AX528" i="51"/>
  <c r="AW528" i="51"/>
  <c r="AV528" i="51"/>
  <c r="AU528" i="51"/>
  <c r="AT528" i="51"/>
  <c r="AS528" i="51"/>
  <c r="AR528" i="51"/>
  <c r="AQ528" i="51"/>
  <c r="AP528" i="51"/>
  <c r="AO528" i="51"/>
  <c r="AN528" i="51"/>
  <c r="AM528" i="51"/>
  <c r="AL528" i="51"/>
  <c r="AK528" i="51"/>
  <c r="AJ528" i="51"/>
  <c r="AZ527" i="51"/>
  <c r="AY527" i="51"/>
  <c r="AX527" i="51"/>
  <c r="AW527" i="51"/>
  <c r="AV527" i="51"/>
  <c r="AU527" i="51"/>
  <c r="AT527" i="51"/>
  <c r="AS527" i="51"/>
  <c r="AR527" i="51"/>
  <c r="AQ527" i="51"/>
  <c r="AP527" i="51"/>
  <c r="AO527" i="51"/>
  <c r="AN527" i="51"/>
  <c r="AM527" i="51"/>
  <c r="AL527" i="51"/>
  <c r="AK527" i="51"/>
  <c r="AJ527" i="51"/>
  <c r="AZ526" i="51"/>
  <c r="AY526" i="51"/>
  <c r="AX526" i="51"/>
  <c r="AW526" i="51"/>
  <c r="AV526" i="51"/>
  <c r="AU526" i="51"/>
  <c r="AT526" i="51"/>
  <c r="AS526" i="51"/>
  <c r="AR526" i="51"/>
  <c r="AQ526" i="51"/>
  <c r="AP526" i="51"/>
  <c r="AO526" i="51"/>
  <c r="AN526" i="51"/>
  <c r="AM526" i="51"/>
  <c r="AL526" i="51"/>
  <c r="AK526" i="51"/>
  <c r="AJ526" i="51"/>
  <c r="AZ525" i="51"/>
  <c r="AY525" i="51"/>
  <c r="AX525" i="51"/>
  <c r="AW525" i="51"/>
  <c r="AV525" i="51"/>
  <c r="AU525" i="51"/>
  <c r="AT525" i="51"/>
  <c r="AS525" i="51"/>
  <c r="AR525" i="51"/>
  <c r="AQ525" i="51"/>
  <c r="AP525" i="51"/>
  <c r="AO525" i="51"/>
  <c r="AN525" i="51"/>
  <c r="AM525" i="51"/>
  <c r="AL525" i="51"/>
  <c r="AK525" i="51"/>
  <c r="AJ525" i="51"/>
  <c r="AZ524" i="51"/>
  <c r="AY524" i="51"/>
  <c r="AX524" i="51"/>
  <c r="AW524" i="51"/>
  <c r="AV524" i="51"/>
  <c r="AU524" i="51"/>
  <c r="AT524" i="51"/>
  <c r="AS524" i="51"/>
  <c r="AR524" i="51"/>
  <c r="AQ524" i="51"/>
  <c r="AP524" i="51"/>
  <c r="AO524" i="51"/>
  <c r="AN524" i="51"/>
  <c r="AM524" i="51"/>
  <c r="AL524" i="51"/>
  <c r="AK524" i="51"/>
  <c r="AJ524" i="51"/>
  <c r="AZ523" i="51"/>
  <c r="AY523" i="51"/>
  <c r="AX523" i="51"/>
  <c r="AW523" i="51"/>
  <c r="AV523" i="51"/>
  <c r="AU523" i="51"/>
  <c r="AT523" i="51"/>
  <c r="AS523" i="51"/>
  <c r="AR523" i="51"/>
  <c r="AQ523" i="51"/>
  <c r="AP523" i="51"/>
  <c r="AO523" i="51"/>
  <c r="AN523" i="51"/>
  <c r="AM523" i="51"/>
  <c r="AL523" i="51"/>
  <c r="AK523" i="51"/>
  <c r="AJ523" i="51"/>
  <c r="AZ522" i="51"/>
  <c r="AY522" i="51"/>
  <c r="AX522" i="51"/>
  <c r="AW522" i="51"/>
  <c r="AV522" i="51"/>
  <c r="AU522" i="51"/>
  <c r="AT522" i="51"/>
  <c r="AS522" i="51"/>
  <c r="AR522" i="51"/>
  <c r="AQ522" i="51"/>
  <c r="AP522" i="51"/>
  <c r="AO522" i="51"/>
  <c r="AN522" i="51"/>
  <c r="AM522" i="51"/>
  <c r="AL522" i="51"/>
  <c r="AK522" i="51"/>
  <c r="AJ522" i="51"/>
  <c r="AZ521" i="51"/>
  <c r="AY521" i="51"/>
  <c r="AX521" i="51"/>
  <c r="AW521" i="51"/>
  <c r="AV521" i="51"/>
  <c r="AU521" i="51"/>
  <c r="AT521" i="51"/>
  <c r="AS521" i="51"/>
  <c r="AR521" i="51"/>
  <c r="AQ521" i="51"/>
  <c r="AP521" i="51"/>
  <c r="AO521" i="51"/>
  <c r="AN521" i="51"/>
  <c r="AM521" i="51"/>
  <c r="AL521" i="51"/>
  <c r="AK521" i="51"/>
  <c r="AJ521" i="51"/>
  <c r="AZ520" i="51"/>
  <c r="AY520" i="51"/>
  <c r="AX520" i="51"/>
  <c r="AW520" i="51"/>
  <c r="AV520" i="51"/>
  <c r="AU520" i="51"/>
  <c r="AT520" i="51"/>
  <c r="AS520" i="51"/>
  <c r="AR520" i="51"/>
  <c r="AQ520" i="51"/>
  <c r="AP520" i="51"/>
  <c r="AO520" i="51"/>
  <c r="AN520" i="51"/>
  <c r="AM520" i="51"/>
  <c r="AL520" i="51"/>
  <c r="AK520" i="51"/>
  <c r="AJ520" i="51"/>
  <c r="AZ519" i="51"/>
  <c r="AY519" i="51"/>
  <c r="AX519" i="51"/>
  <c r="AW519" i="51"/>
  <c r="AV519" i="51"/>
  <c r="AU519" i="51"/>
  <c r="AT519" i="51"/>
  <c r="AS519" i="51"/>
  <c r="AR519" i="51"/>
  <c r="AQ519" i="51"/>
  <c r="AP519" i="51"/>
  <c r="AO519" i="51"/>
  <c r="AN519" i="51"/>
  <c r="AM519" i="51"/>
  <c r="AL519" i="51"/>
  <c r="AK519" i="51"/>
  <c r="AJ519" i="51"/>
  <c r="AZ518" i="51"/>
  <c r="AY518" i="51"/>
  <c r="AX518" i="51"/>
  <c r="AW518" i="51"/>
  <c r="AV518" i="51"/>
  <c r="AU518" i="51"/>
  <c r="AT518" i="51"/>
  <c r="AS518" i="51"/>
  <c r="AR518" i="51"/>
  <c r="AQ518" i="51"/>
  <c r="AP518" i="51"/>
  <c r="AO518" i="51"/>
  <c r="AN518" i="51"/>
  <c r="AM518" i="51"/>
  <c r="AL518" i="51"/>
  <c r="AK518" i="51"/>
  <c r="AJ518" i="51"/>
  <c r="AZ517" i="51"/>
  <c r="AY517" i="51"/>
  <c r="AX517" i="51"/>
  <c r="AW517" i="51"/>
  <c r="AV517" i="51"/>
  <c r="AU517" i="51"/>
  <c r="AT517" i="51"/>
  <c r="AS517" i="51"/>
  <c r="AR517" i="51"/>
  <c r="AQ517" i="51"/>
  <c r="AP517" i="51"/>
  <c r="AO517" i="51"/>
  <c r="AN517" i="51"/>
  <c r="AM517" i="51"/>
  <c r="AL517" i="51"/>
  <c r="AK517" i="51"/>
  <c r="AJ517" i="51"/>
  <c r="AZ516" i="51"/>
  <c r="AY516" i="51"/>
  <c r="AX516" i="51"/>
  <c r="AW516" i="51"/>
  <c r="AV516" i="51"/>
  <c r="AU516" i="51"/>
  <c r="AT516" i="51"/>
  <c r="AS516" i="51"/>
  <c r="AR516" i="51"/>
  <c r="AQ516" i="51"/>
  <c r="AP516" i="51"/>
  <c r="AO516" i="51"/>
  <c r="AN516" i="51"/>
  <c r="AM516" i="51"/>
  <c r="AL516" i="51"/>
  <c r="AK516" i="51"/>
  <c r="AJ516" i="51"/>
  <c r="AZ515" i="51"/>
  <c r="AY515" i="51"/>
  <c r="AX515" i="51"/>
  <c r="AW515" i="51"/>
  <c r="AV515" i="51"/>
  <c r="AU515" i="51"/>
  <c r="AT515" i="51"/>
  <c r="AS515" i="51"/>
  <c r="AR515" i="51"/>
  <c r="AQ515" i="51"/>
  <c r="AP515" i="51"/>
  <c r="AO515" i="51"/>
  <c r="AN515" i="51"/>
  <c r="AM515" i="51"/>
  <c r="AL515" i="51"/>
  <c r="AK515" i="51"/>
  <c r="AJ515" i="51"/>
  <c r="AZ514" i="51"/>
  <c r="AY514" i="51"/>
  <c r="AX514" i="51"/>
  <c r="AW514" i="51"/>
  <c r="AV514" i="51"/>
  <c r="AU514" i="51"/>
  <c r="AT514" i="51"/>
  <c r="AS514" i="51"/>
  <c r="AR514" i="51"/>
  <c r="AQ514" i="51"/>
  <c r="AP514" i="51"/>
  <c r="AO514" i="51"/>
  <c r="AN514" i="51"/>
  <c r="AM514" i="51"/>
  <c r="AL514" i="51"/>
  <c r="AK514" i="51"/>
  <c r="AJ514" i="51"/>
  <c r="AZ513" i="51"/>
  <c r="AY513" i="51"/>
  <c r="AX513" i="51"/>
  <c r="AW513" i="51"/>
  <c r="AV513" i="51"/>
  <c r="AU513" i="51"/>
  <c r="AT513" i="51"/>
  <c r="AS513" i="51"/>
  <c r="AR513" i="51"/>
  <c r="AQ513" i="51"/>
  <c r="AP513" i="51"/>
  <c r="AO513" i="51"/>
  <c r="AN513" i="51"/>
  <c r="AM513" i="51"/>
  <c r="AL513" i="51"/>
  <c r="AK513" i="51"/>
  <c r="AJ513" i="51"/>
  <c r="AZ512" i="51"/>
  <c r="AY512" i="51"/>
  <c r="AX512" i="51"/>
  <c r="AW512" i="51"/>
  <c r="AV512" i="51"/>
  <c r="AU512" i="51"/>
  <c r="AT512" i="51"/>
  <c r="AS512" i="51"/>
  <c r="AR512" i="51"/>
  <c r="AQ512" i="51"/>
  <c r="AP512" i="51"/>
  <c r="AO512" i="51"/>
  <c r="AN512" i="51"/>
  <c r="AM512" i="51"/>
  <c r="AL512" i="51"/>
  <c r="AK512" i="51"/>
  <c r="AJ512" i="51"/>
  <c r="AZ511" i="51"/>
  <c r="AY511" i="51"/>
  <c r="AX511" i="51"/>
  <c r="AW511" i="51"/>
  <c r="AV511" i="51"/>
  <c r="AU511" i="51"/>
  <c r="AT511" i="51"/>
  <c r="AS511" i="51"/>
  <c r="AR511" i="51"/>
  <c r="AQ511" i="51"/>
  <c r="AP511" i="51"/>
  <c r="AO511" i="51"/>
  <c r="AN511" i="51"/>
  <c r="AM511" i="51"/>
  <c r="AL511" i="51"/>
  <c r="AK511" i="51"/>
  <c r="AJ511" i="51"/>
  <c r="AZ510" i="51"/>
  <c r="AY510" i="51"/>
  <c r="AX510" i="51"/>
  <c r="AW510" i="51"/>
  <c r="AV510" i="51"/>
  <c r="AU510" i="51"/>
  <c r="AT510" i="51"/>
  <c r="AS510" i="51"/>
  <c r="AR510" i="51"/>
  <c r="AQ510" i="51"/>
  <c r="AP510" i="51"/>
  <c r="AO510" i="51"/>
  <c r="AN510" i="51"/>
  <c r="AM510" i="51"/>
  <c r="AL510" i="51"/>
  <c r="AK510" i="51"/>
  <c r="AJ510" i="51"/>
  <c r="AZ509" i="51"/>
  <c r="AY509" i="51"/>
  <c r="AX509" i="51"/>
  <c r="AW509" i="51"/>
  <c r="AV509" i="51"/>
  <c r="AU509" i="51"/>
  <c r="AT509" i="51"/>
  <c r="AS509" i="51"/>
  <c r="AR509" i="51"/>
  <c r="AQ509" i="51"/>
  <c r="AP509" i="51"/>
  <c r="AO509" i="51"/>
  <c r="AN509" i="51"/>
  <c r="AM509" i="51"/>
  <c r="AL509" i="51"/>
  <c r="AK509" i="51"/>
  <c r="AJ509" i="51"/>
  <c r="AZ508" i="51"/>
  <c r="AY508" i="51"/>
  <c r="AX508" i="51"/>
  <c r="AW508" i="51"/>
  <c r="AV508" i="51"/>
  <c r="AU508" i="51"/>
  <c r="AT508" i="51"/>
  <c r="AS508" i="51"/>
  <c r="AR508" i="51"/>
  <c r="AQ508" i="51"/>
  <c r="AP508" i="51"/>
  <c r="AO508" i="51"/>
  <c r="AN508" i="51"/>
  <c r="AM508" i="51"/>
  <c r="AL508" i="51"/>
  <c r="AK508" i="51"/>
  <c r="AJ508" i="51"/>
  <c r="AZ507" i="51"/>
  <c r="AY507" i="51"/>
  <c r="AX507" i="51"/>
  <c r="AW507" i="51"/>
  <c r="AV507" i="51"/>
  <c r="AU507" i="51"/>
  <c r="AT507" i="51"/>
  <c r="AS507" i="51"/>
  <c r="AR507" i="51"/>
  <c r="AQ507" i="51"/>
  <c r="AP507" i="51"/>
  <c r="AO507" i="51"/>
  <c r="AN507" i="51"/>
  <c r="AM507" i="51"/>
  <c r="AL507" i="51"/>
  <c r="AK507" i="51"/>
  <c r="AJ507" i="51"/>
  <c r="AZ506" i="51"/>
  <c r="AY506" i="51"/>
  <c r="AX506" i="51"/>
  <c r="AW506" i="51"/>
  <c r="AV506" i="51"/>
  <c r="AU506" i="51"/>
  <c r="AT506" i="51"/>
  <c r="AS506" i="51"/>
  <c r="AR506" i="51"/>
  <c r="AQ506" i="51"/>
  <c r="AP506" i="51"/>
  <c r="AO506" i="51"/>
  <c r="AN506" i="51"/>
  <c r="AM506" i="51"/>
  <c r="AL506" i="51"/>
  <c r="AK506" i="51"/>
  <c r="AJ506" i="51"/>
  <c r="AZ505" i="51"/>
  <c r="AY505" i="51"/>
  <c r="AX505" i="51"/>
  <c r="AW505" i="51"/>
  <c r="AV505" i="51"/>
  <c r="AU505" i="51"/>
  <c r="AT505" i="51"/>
  <c r="AS505" i="51"/>
  <c r="AR505" i="51"/>
  <c r="AQ505" i="51"/>
  <c r="AP505" i="51"/>
  <c r="AO505" i="51"/>
  <c r="AN505" i="51"/>
  <c r="AM505" i="51"/>
  <c r="AL505" i="51"/>
  <c r="AK505" i="51"/>
  <c r="AJ505" i="51"/>
  <c r="AZ504" i="51"/>
  <c r="AY504" i="51"/>
  <c r="AX504" i="51"/>
  <c r="AW504" i="51"/>
  <c r="AV504" i="51"/>
  <c r="AU504" i="51"/>
  <c r="AT504" i="51"/>
  <c r="AS504" i="51"/>
  <c r="AR504" i="51"/>
  <c r="AQ504" i="51"/>
  <c r="AP504" i="51"/>
  <c r="AO504" i="51"/>
  <c r="AN504" i="51"/>
  <c r="AM504" i="51"/>
  <c r="AL504" i="51"/>
  <c r="AK504" i="51"/>
  <c r="AJ504" i="51"/>
  <c r="AZ503" i="51"/>
  <c r="AY503" i="51"/>
  <c r="AX503" i="51"/>
  <c r="AW503" i="51"/>
  <c r="AV503" i="51"/>
  <c r="AU503" i="51"/>
  <c r="AT503" i="51"/>
  <c r="AS503" i="51"/>
  <c r="AR503" i="51"/>
  <c r="AQ503" i="51"/>
  <c r="AP503" i="51"/>
  <c r="AO503" i="51"/>
  <c r="AN503" i="51"/>
  <c r="AM503" i="51"/>
  <c r="AL503" i="51"/>
  <c r="AK503" i="51"/>
  <c r="AJ503" i="51"/>
  <c r="AZ502" i="51"/>
  <c r="AY502" i="51"/>
  <c r="AX502" i="51"/>
  <c r="AW502" i="51"/>
  <c r="AV502" i="51"/>
  <c r="AU502" i="51"/>
  <c r="AT502" i="51"/>
  <c r="AS502" i="51"/>
  <c r="AR502" i="51"/>
  <c r="AQ502" i="51"/>
  <c r="AP502" i="51"/>
  <c r="AO502" i="51"/>
  <c r="AN502" i="51"/>
  <c r="AM502" i="51"/>
  <c r="AL502" i="51"/>
  <c r="AK502" i="51"/>
  <c r="AJ502" i="51"/>
  <c r="AZ501" i="51"/>
  <c r="AY501" i="51"/>
  <c r="AX501" i="51"/>
  <c r="AW501" i="51"/>
  <c r="AV501" i="51"/>
  <c r="AU501" i="51"/>
  <c r="AT501" i="51"/>
  <c r="AS501" i="51"/>
  <c r="AR501" i="51"/>
  <c r="AQ501" i="51"/>
  <c r="AP501" i="51"/>
  <c r="AO501" i="51"/>
  <c r="AN501" i="51"/>
  <c r="AM501" i="51"/>
  <c r="AL501" i="51"/>
  <c r="AK501" i="51"/>
  <c r="AJ501" i="51"/>
  <c r="AZ500" i="51"/>
  <c r="AY500" i="51"/>
  <c r="AX500" i="51"/>
  <c r="AW500" i="51"/>
  <c r="AV500" i="51"/>
  <c r="AU500" i="51"/>
  <c r="AT500" i="51"/>
  <c r="AS500" i="51"/>
  <c r="AR500" i="51"/>
  <c r="AQ500" i="51"/>
  <c r="AP500" i="51"/>
  <c r="AO500" i="51"/>
  <c r="AN500" i="51"/>
  <c r="AM500" i="51"/>
  <c r="AL500" i="51"/>
  <c r="AK500" i="51"/>
  <c r="AJ500" i="51"/>
  <c r="AZ499" i="51"/>
  <c r="AY499" i="51"/>
  <c r="AX499" i="51"/>
  <c r="AW499" i="51"/>
  <c r="AV499" i="51"/>
  <c r="AU499" i="51"/>
  <c r="AT499" i="51"/>
  <c r="AS499" i="51"/>
  <c r="AR499" i="51"/>
  <c r="AQ499" i="51"/>
  <c r="AP499" i="51"/>
  <c r="AO499" i="51"/>
  <c r="AN499" i="51"/>
  <c r="AM499" i="51"/>
  <c r="AL499" i="51"/>
  <c r="AK499" i="51"/>
  <c r="AJ499" i="51"/>
  <c r="AZ498" i="51"/>
  <c r="AY498" i="51"/>
  <c r="AX498" i="51"/>
  <c r="AW498" i="51"/>
  <c r="AV498" i="51"/>
  <c r="AU498" i="51"/>
  <c r="AT498" i="51"/>
  <c r="AS498" i="51"/>
  <c r="AR498" i="51"/>
  <c r="AQ498" i="51"/>
  <c r="AP498" i="51"/>
  <c r="AO498" i="51"/>
  <c r="AN498" i="51"/>
  <c r="AM498" i="51"/>
  <c r="AL498" i="51"/>
  <c r="AK498" i="51"/>
  <c r="AJ498" i="51"/>
  <c r="AZ497" i="51"/>
  <c r="AY497" i="51"/>
  <c r="AX497" i="51"/>
  <c r="AW497" i="51"/>
  <c r="AV497" i="51"/>
  <c r="AU497" i="51"/>
  <c r="AT497" i="51"/>
  <c r="AS497" i="51"/>
  <c r="AR497" i="51"/>
  <c r="AQ497" i="51"/>
  <c r="AP497" i="51"/>
  <c r="AO497" i="51"/>
  <c r="AN497" i="51"/>
  <c r="AM497" i="51"/>
  <c r="AL497" i="51"/>
  <c r="AK497" i="51"/>
  <c r="AJ497" i="51"/>
  <c r="AZ496" i="51"/>
  <c r="AY496" i="51"/>
  <c r="AX496" i="51"/>
  <c r="AW496" i="51"/>
  <c r="AV496" i="51"/>
  <c r="AU496" i="51"/>
  <c r="AT496" i="51"/>
  <c r="AS496" i="51"/>
  <c r="AR496" i="51"/>
  <c r="AQ496" i="51"/>
  <c r="AP496" i="51"/>
  <c r="AO496" i="51"/>
  <c r="AN496" i="51"/>
  <c r="AM496" i="51"/>
  <c r="AL496" i="51"/>
  <c r="AK496" i="51"/>
  <c r="AJ496" i="51"/>
  <c r="AZ495" i="51"/>
  <c r="AY495" i="51"/>
  <c r="AX495" i="51"/>
  <c r="AW495" i="51"/>
  <c r="AV495" i="51"/>
  <c r="AU495" i="51"/>
  <c r="AT495" i="51"/>
  <c r="AS495" i="51"/>
  <c r="AR495" i="51"/>
  <c r="AQ495" i="51"/>
  <c r="AP495" i="51"/>
  <c r="AO495" i="51"/>
  <c r="AN495" i="51"/>
  <c r="AM495" i="51"/>
  <c r="AL495" i="51"/>
  <c r="AK495" i="51"/>
  <c r="AJ495" i="51"/>
  <c r="AZ494" i="51"/>
  <c r="AY494" i="51"/>
  <c r="AX494" i="51"/>
  <c r="AW494" i="51"/>
  <c r="AV494" i="51"/>
  <c r="AU494" i="51"/>
  <c r="AT494" i="51"/>
  <c r="AS494" i="51"/>
  <c r="AR494" i="51"/>
  <c r="AQ494" i="51"/>
  <c r="AP494" i="51"/>
  <c r="AO494" i="51"/>
  <c r="AN494" i="51"/>
  <c r="AM494" i="51"/>
  <c r="AL494" i="51"/>
  <c r="AK494" i="51"/>
  <c r="AJ494" i="51"/>
  <c r="AZ493" i="51"/>
  <c r="AY493" i="51"/>
  <c r="AX493" i="51"/>
  <c r="AW493" i="51"/>
  <c r="AV493" i="51"/>
  <c r="AU493" i="51"/>
  <c r="AT493" i="51"/>
  <c r="AS493" i="51"/>
  <c r="AR493" i="51"/>
  <c r="AQ493" i="51"/>
  <c r="AP493" i="51"/>
  <c r="AO493" i="51"/>
  <c r="AN493" i="51"/>
  <c r="AM493" i="51"/>
  <c r="AL493" i="51"/>
  <c r="AK493" i="51"/>
  <c r="AJ493" i="51"/>
  <c r="AZ492" i="51"/>
  <c r="AY492" i="51"/>
  <c r="AX492" i="51"/>
  <c r="AW492" i="51"/>
  <c r="AV492" i="51"/>
  <c r="AU492" i="51"/>
  <c r="AT492" i="51"/>
  <c r="AS492" i="51"/>
  <c r="AR492" i="51"/>
  <c r="AQ492" i="51"/>
  <c r="AP492" i="51"/>
  <c r="AO492" i="51"/>
  <c r="AN492" i="51"/>
  <c r="AM492" i="51"/>
  <c r="AL492" i="51"/>
  <c r="AK492" i="51"/>
  <c r="AJ492" i="51"/>
  <c r="AZ491" i="51"/>
  <c r="AY491" i="51"/>
  <c r="AX491" i="51"/>
  <c r="AW491" i="51"/>
  <c r="AV491" i="51"/>
  <c r="AU491" i="51"/>
  <c r="AT491" i="51"/>
  <c r="AS491" i="51"/>
  <c r="AR491" i="51"/>
  <c r="AQ491" i="51"/>
  <c r="AP491" i="51"/>
  <c r="AO491" i="51"/>
  <c r="AN491" i="51"/>
  <c r="AM491" i="51"/>
  <c r="AL491" i="51"/>
  <c r="AK491" i="51"/>
  <c r="AJ491" i="51"/>
  <c r="AZ490" i="51"/>
  <c r="AY490" i="51"/>
  <c r="AX490" i="51"/>
  <c r="AW490" i="51"/>
  <c r="AV490" i="51"/>
  <c r="AU490" i="51"/>
  <c r="AT490" i="51"/>
  <c r="AS490" i="51"/>
  <c r="AR490" i="51"/>
  <c r="AQ490" i="51"/>
  <c r="AP490" i="51"/>
  <c r="AO490" i="51"/>
  <c r="AN490" i="51"/>
  <c r="AM490" i="51"/>
  <c r="AL490" i="51"/>
  <c r="AK490" i="51"/>
  <c r="AJ490" i="51"/>
  <c r="AZ489" i="51"/>
  <c r="AY489" i="51"/>
  <c r="AX489" i="51"/>
  <c r="AW489" i="51"/>
  <c r="AV489" i="51"/>
  <c r="AU489" i="51"/>
  <c r="AT489" i="51"/>
  <c r="AS489" i="51"/>
  <c r="AR489" i="51"/>
  <c r="AQ489" i="51"/>
  <c r="AP489" i="51"/>
  <c r="AO489" i="51"/>
  <c r="AN489" i="51"/>
  <c r="AM489" i="51"/>
  <c r="AL489" i="51"/>
  <c r="AK489" i="51"/>
  <c r="AJ489" i="51"/>
  <c r="AZ488" i="51"/>
  <c r="AY488" i="51"/>
  <c r="AX488" i="51"/>
  <c r="AW488" i="51"/>
  <c r="AV488" i="51"/>
  <c r="AU488" i="51"/>
  <c r="AT488" i="51"/>
  <c r="AS488" i="51"/>
  <c r="AR488" i="51"/>
  <c r="AQ488" i="51"/>
  <c r="AP488" i="51"/>
  <c r="AO488" i="51"/>
  <c r="AN488" i="51"/>
  <c r="AM488" i="51"/>
  <c r="AL488" i="51"/>
  <c r="AK488" i="51"/>
  <c r="AJ488" i="51"/>
  <c r="AZ487" i="51"/>
  <c r="AY487" i="51"/>
  <c r="AX487" i="51"/>
  <c r="AW487" i="51"/>
  <c r="AV487" i="51"/>
  <c r="AU487" i="51"/>
  <c r="AT487" i="51"/>
  <c r="AS487" i="51"/>
  <c r="AR487" i="51"/>
  <c r="AQ487" i="51"/>
  <c r="AP487" i="51"/>
  <c r="AO487" i="51"/>
  <c r="AN487" i="51"/>
  <c r="AM487" i="51"/>
  <c r="AL487" i="51"/>
  <c r="AK487" i="51"/>
  <c r="AJ487" i="51"/>
  <c r="AZ486" i="51"/>
  <c r="AY486" i="51"/>
  <c r="AX486" i="51"/>
  <c r="AW486" i="51"/>
  <c r="AV486" i="51"/>
  <c r="AU486" i="51"/>
  <c r="AT486" i="51"/>
  <c r="AS486" i="51"/>
  <c r="AR486" i="51"/>
  <c r="AQ486" i="51"/>
  <c r="AP486" i="51"/>
  <c r="AO486" i="51"/>
  <c r="AN486" i="51"/>
  <c r="AM486" i="51"/>
  <c r="AL486" i="51"/>
  <c r="AK486" i="51"/>
  <c r="AJ486" i="51"/>
  <c r="AZ485" i="51"/>
  <c r="AY485" i="51"/>
  <c r="AX485" i="51"/>
  <c r="AW485" i="51"/>
  <c r="AV485" i="51"/>
  <c r="AU485" i="51"/>
  <c r="AT485" i="51"/>
  <c r="AS485" i="51"/>
  <c r="AR485" i="51"/>
  <c r="AQ485" i="51"/>
  <c r="AP485" i="51"/>
  <c r="AO485" i="51"/>
  <c r="AN485" i="51"/>
  <c r="AM485" i="51"/>
  <c r="AL485" i="51"/>
  <c r="AK485" i="51"/>
  <c r="AJ485" i="51"/>
  <c r="AZ484" i="51"/>
  <c r="AY484" i="51"/>
  <c r="AX484" i="51"/>
  <c r="AW484" i="51"/>
  <c r="AV484" i="51"/>
  <c r="AU484" i="51"/>
  <c r="AT484" i="51"/>
  <c r="AS484" i="51"/>
  <c r="AR484" i="51"/>
  <c r="AQ484" i="51"/>
  <c r="AP484" i="51"/>
  <c r="AO484" i="51"/>
  <c r="AN484" i="51"/>
  <c r="AM484" i="51"/>
  <c r="AL484" i="51"/>
  <c r="AK484" i="51"/>
  <c r="AJ484" i="51"/>
  <c r="AZ483" i="51"/>
  <c r="AY483" i="51"/>
  <c r="AX483" i="51"/>
  <c r="AW483" i="51"/>
  <c r="AV483" i="51"/>
  <c r="AU483" i="51"/>
  <c r="AT483" i="51"/>
  <c r="AS483" i="51"/>
  <c r="AR483" i="51"/>
  <c r="AQ483" i="51"/>
  <c r="AP483" i="51"/>
  <c r="AO483" i="51"/>
  <c r="AN483" i="51"/>
  <c r="AM483" i="51"/>
  <c r="AL483" i="51"/>
  <c r="AK483" i="51"/>
  <c r="AJ483" i="51"/>
  <c r="AZ482" i="51"/>
  <c r="AY482" i="51"/>
  <c r="AX482" i="51"/>
  <c r="AW482" i="51"/>
  <c r="AV482" i="51"/>
  <c r="AU482" i="51"/>
  <c r="AT482" i="51"/>
  <c r="AS482" i="51"/>
  <c r="AR482" i="51"/>
  <c r="AQ482" i="51"/>
  <c r="AP482" i="51"/>
  <c r="AO482" i="51"/>
  <c r="AN482" i="51"/>
  <c r="AM482" i="51"/>
  <c r="AL482" i="51"/>
  <c r="AK482" i="51"/>
  <c r="AJ482" i="51"/>
  <c r="AZ481" i="51"/>
  <c r="AY481" i="51"/>
  <c r="AX481" i="51"/>
  <c r="AW481" i="51"/>
  <c r="AV481" i="51"/>
  <c r="AU481" i="51"/>
  <c r="AT481" i="51"/>
  <c r="AS481" i="51"/>
  <c r="AR481" i="51"/>
  <c r="AQ481" i="51"/>
  <c r="AP481" i="51"/>
  <c r="AO481" i="51"/>
  <c r="AN481" i="51"/>
  <c r="AM481" i="51"/>
  <c r="AL481" i="51"/>
  <c r="AK481" i="51"/>
  <c r="AJ481" i="51"/>
  <c r="AZ480" i="51"/>
  <c r="AY480" i="51"/>
  <c r="AX480" i="51"/>
  <c r="AW480" i="51"/>
  <c r="AV480" i="51"/>
  <c r="AU480" i="51"/>
  <c r="AT480" i="51"/>
  <c r="AS480" i="51"/>
  <c r="AR480" i="51"/>
  <c r="AQ480" i="51"/>
  <c r="AP480" i="51"/>
  <c r="AO480" i="51"/>
  <c r="AN480" i="51"/>
  <c r="AM480" i="51"/>
  <c r="AL480" i="51"/>
  <c r="AK480" i="51"/>
  <c r="AJ480" i="51"/>
  <c r="AZ479" i="51"/>
  <c r="AY479" i="51"/>
  <c r="AX479" i="51"/>
  <c r="AW479" i="51"/>
  <c r="AV479" i="51"/>
  <c r="AU479" i="51"/>
  <c r="AT479" i="51"/>
  <c r="AS479" i="51"/>
  <c r="AR479" i="51"/>
  <c r="AQ479" i="51"/>
  <c r="AP479" i="51"/>
  <c r="AO479" i="51"/>
  <c r="AN479" i="51"/>
  <c r="AM479" i="51"/>
  <c r="AL479" i="51"/>
  <c r="AK479" i="51"/>
  <c r="AJ479" i="51"/>
  <c r="AZ478" i="51"/>
  <c r="AY478" i="51"/>
  <c r="AX478" i="51"/>
  <c r="AW478" i="51"/>
  <c r="AV478" i="51"/>
  <c r="AU478" i="51"/>
  <c r="AT478" i="51"/>
  <c r="AS478" i="51"/>
  <c r="AR478" i="51"/>
  <c r="AQ478" i="51"/>
  <c r="AP478" i="51"/>
  <c r="AO478" i="51"/>
  <c r="AN478" i="51"/>
  <c r="AM478" i="51"/>
  <c r="AL478" i="51"/>
  <c r="AK478" i="51"/>
  <c r="AJ478" i="51"/>
  <c r="AZ477" i="51"/>
  <c r="AY477" i="51"/>
  <c r="AX477" i="51"/>
  <c r="AW477" i="51"/>
  <c r="AV477" i="51"/>
  <c r="AU477" i="51"/>
  <c r="AT477" i="51"/>
  <c r="AS477" i="51"/>
  <c r="AR477" i="51"/>
  <c r="AQ477" i="51"/>
  <c r="AP477" i="51"/>
  <c r="AO477" i="51"/>
  <c r="AN477" i="51"/>
  <c r="AM477" i="51"/>
  <c r="AL477" i="51"/>
  <c r="AK477" i="51"/>
  <c r="AJ477" i="51"/>
  <c r="AZ476" i="51"/>
  <c r="AY476" i="51"/>
  <c r="AX476" i="51"/>
  <c r="AW476" i="51"/>
  <c r="AV476" i="51"/>
  <c r="AU476" i="51"/>
  <c r="AT476" i="51"/>
  <c r="AS476" i="51"/>
  <c r="AR476" i="51"/>
  <c r="AQ476" i="51"/>
  <c r="AP476" i="51"/>
  <c r="AO476" i="51"/>
  <c r="AN476" i="51"/>
  <c r="AM476" i="51"/>
  <c r="AL476" i="51"/>
  <c r="AK476" i="51"/>
  <c r="AJ476" i="51"/>
  <c r="AZ475" i="51"/>
  <c r="AY475" i="51"/>
  <c r="AX475" i="51"/>
  <c r="AW475" i="51"/>
  <c r="AV475" i="51"/>
  <c r="AU475" i="51"/>
  <c r="AT475" i="51"/>
  <c r="AS475" i="51"/>
  <c r="AR475" i="51"/>
  <c r="AQ475" i="51"/>
  <c r="AP475" i="51"/>
  <c r="AO475" i="51"/>
  <c r="AN475" i="51"/>
  <c r="AM475" i="51"/>
  <c r="AL475" i="51"/>
  <c r="AK475" i="51"/>
  <c r="AJ475" i="51"/>
  <c r="AZ474" i="51"/>
  <c r="AY474" i="51"/>
  <c r="AX474" i="51"/>
  <c r="AW474" i="51"/>
  <c r="AV474" i="51"/>
  <c r="AU474" i="51"/>
  <c r="AT474" i="51"/>
  <c r="AS474" i="51"/>
  <c r="AR474" i="51"/>
  <c r="AQ474" i="51"/>
  <c r="AP474" i="51"/>
  <c r="AO474" i="51"/>
  <c r="AN474" i="51"/>
  <c r="AM474" i="51"/>
  <c r="AL474" i="51"/>
  <c r="AK474" i="51"/>
  <c r="AJ474" i="51"/>
  <c r="AZ473" i="51"/>
  <c r="AY473" i="51"/>
  <c r="AX473" i="51"/>
  <c r="AW473" i="51"/>
  <c r="AV473" i="51"/>
  <c r="AU473" i="51"/>
  <c r="AT473" i="51"/>
  <c r="AS473" i="51"/>
  <c r="AR473" i="51"/>
  <c r="AQ473" i="51"/>
  <c r="AP473" i="51"/>
  <c r="AO473" i="51"/>
  <c r="AN473" i="51"/>
  <c r="AM473" i="51"/>
  <c r="AL473" i="51"/>
  <c r="AK473" i="51"/>
  <c r="AJ473" i="51"/>
  <c r="AZ472" i="51"/>
  <c r="AY472" i="51"/>
  <c r="AX472" i="51"/>
  <c r="AW472" i="51"/>
  <c r="AV472" i="51"/>
  <c r="AU472" i="51"/>
  <c r="AT472" i="51"/>
  <c r="AS472" i="51"/>
  <c r="AR472" i="51"/>
  <c r="AQ472" i="51"/>
  <c r="AP472" i="51"/>
  <c r="AO472" i="51"/>
  <c r="AN472" i="51"/>
  <c r="AM472" i="51"/>
  <c r="AL472" i="51"/>
  <c r="AK472" i="51"/>
  <c r="AJ472" i="51"/>
  <c r="AZ471" i="51"/>
  <c r="AY471" i="51"/>
  <c r="AX471" i="51"/>
  <c r="AW471" i="51"/>
  <c r="AV471" i="51"/>
  <c r="AU471" i="51"/>
  <c r="AT471" i="51"/>
  <c r="AS471" i="51"/>
  <c r="AR471" i="51"/>
  <c r="AQ471" i="51"/>
  <c r="AP471" i="51"/>
  <c r="AO471" i="51"/>
  <c r="AN471" i="51"/>
  <c r="AM471" i="51"/>
  <c r="AL471" i="51"/>
  <c r="AK471" i="51"/>
  <c r="AJ471" i="51"/>
  <c r="AZ470" i="51"/>
  <c r="AY470" i="51"/>
  <c r="AX470" i="51"/>
  <c r="AW470" i="51"/>
  <c r="AV470" i="51"/>
  <c r="AU470" i="51"/>
  <c r="AT470" i="51"/>
  <c r="AS470" i="51"/>
  <c r="AR470" i="51"/>
  <c r="AQ470" i="51"/>
  <c r="AP470" i="51"/>
  <c r="AO470" i="51"/>
  <c r="AN470" i="51"/>
  <c r="AM470" i="51"/>
  <c r="AL470" i="51"/>
  <c r="AK470" i="51"/>
  <c r="AJ470" i="51"/>
  <c r="AZ469" i="51"/>
  <c r="AY469" i="51"/>
  <c r="AX469" i="51"/>
  <c r="AW469" i="51"/>
  <c r="AV469" i="51"/>
  <c r="AU469" i="51"/>
  <c r="AT469" i="51"/>
  <c r="AS469" i="51"/>
  <c r="AR469" i="51"/>
  <c r="AQ469" i="51"/>
  <c r="AP469" i="51"/>
  <c r="AO469" i="51"/>
  <c r="AN469" i="51"/>
  <c r="AM469" i="51"/>
  <c r="AL469" i="51"/>
  <c r="AK469" i="51"/>
  <c r="AJ469" i="51"/>
  <c r="AZ468" i="51"/>
  <c r="AY468" i="51"/>
  <c r="AX468" i="51"/>
  <c r="AW468" i="51"/>
  <c r="AV468" i="51"/>
  <c r="AU468" i="51"/>
  <c r="AT468" i="51"/>
  <c r="AS468" i="51"/>
  <c r="AR468" i="51"/>
  <c r="AQ468" i="51"/>
  <c r="AP468" i="51"/>
  <c r="AO468" i="51"/>
  <c r="AN468" i="51"/>
  <c r="AM468" i="51"/>
  <c r="AL468" i="51"/>
  <c r="AK468" i="51"/>
  <c r="AJ468" i="51"/>
  <c r="AZ467" i="51"/>
  <c r="AY467" i="51"/>
  <c r="AX467" i="51"/>
  <c r="AW467" i="51"/>
  <c r="AV467" i="51"/>
  <c r="AU467" i="51"/>
  <c r="AT467" i="51"/>
  <c r="AS467" i="51"/>
  <c r="AR467" i="51"/>
  <c r="AQ467" i="51"/>
  <c r="AP467" i="51"/>
  <c r="AO467" i="51"/>
  <c r="AN467" i="51"/>
  <c r="AM467" i="51"/>
  <c r="AL467" i="51"/>
  <c r="AK467" i="51"/>
  <c r="AJ467" i="51"/>
  <c r="AZ466" i="51"/>
  <c r="AY466" i="51"/>
  <c r="AX466" i="51"/>
  <c r="AW466" i="51"/>
  <c r="AV466" i="51"/>
  <c r="AU466" i="51"/>
  <c r="AT466" i="51"/>
  <c r="AS466" i="51"/>
  <c r="AR466" i="51"/>
  <c r="AQ466" i="51"/>
  <c r="AP466" i="51"/>
  <c r="AO466" i="51"/>
  <c r="AN466" i="51"/>
  <c r="AM466" i="51"/>
  <c r="AL466" i="51"/>
  <c r="AK466" i="51"/>
  <c r="AJ466" i="51"/>
  <c r="AZ465" i="51"/>
  <c r="AY465" i="51"/>
  <c r="AX465" i="51"/>
  <c r="AW465" i="51"/>
  <c r="AV465" i="51"/>
  <c r="AU465" i="51"/>
  <c r="AT465" i="51"/>
  <c r="AS465" i="51"/>
  <c r="AR465" i="51"/>
  <c r="AQ465" i="51"/>
  <c r="AP465" i="51"/>
  <c r="AO465" i="51"/>
  <c r="AN465" i="51"/>
  <c r="AM465" i="51"/>
  <c r="AL465" i="51"/>
  <c r="AK465" i="51"/>
  <c r="AJ465" i="51"/>
  <c r="AZ464" i="51"/>
  <c r="AY464" i="51"/>
  <c r="AX464" i="51"/>
  <c r="AW464" i="51"/>
  <c r="AV464" i="51"/>
  <c r="AU464" i="51"/>
  <c r="AT464" i="51"/>
  <c r="AS464" i="51"/>
  <c r="AR464" i="51"/>
  <c r="AQ464" i="51"/>
  <c r="AP464" i="51"/>
  <c r="AO464" i="51"/>
  <c r="AN464" i="51"/>
  <c r="AM464" i="51"/>
  <c r="AL464" i="51"/>
  <c r="AK464" i="51"/>
  <c r="AJ464" i="51"/>
  <c r="AZ463" i="51"/>
  <c r="AY463" i="51"/>
  <c r="AX463" i="51"/>
  <c r="AW463" i="51"/>
  <c r="AV463" i="51"/>
  <c r="AU463" i="51"/>
  <c r="AT463" i="51"/>
  <c r="AS463" i="51"/>
  <c r="AR463" i="51"/>
  <c r="AQ463" i="51"/>
  <c r="AP463" i="51"/>
  <c r="AO463" i="51"/>
  <c r="AN463" i="51"/>
  <c r="AM463" i="51"/>
  <c r="AL463" i="51"/>
  <c r="AK463" i="51"/>
  <c r="AJ463" i="51"/>
  <c r="AZ462" i="51"/>
  <c r="AY462" i="51"/>
  <c r="AX462" i="51"/>
  <c r="AW462" i="51"/>
  <c r="AV462" i="51"/>
  <c r="AU462" i="51"/>
  <c r="AT462" i="51"/>
  <c r="AS462" i="51"/>
  <c r="AR462" i="51"/>
  <c r="AQ462" i="51"/>
  <c r="AP462" i="51"/>
  <c r="AO462" i="51"/>
  <c r="AN462" i="51"/>
  <c r="AM462" i="51"/>
  <c r="AL462" i="51"/>
  <c r="AK462" i="51"/>
  <c r="AJ462" i="51"/>
  <c r="AZ461" i="51"/>
  <c r="AY461" i="51"/>
  <c r="AX461" i="51"/>
  <c r="AW461" i="51"/>
  <c r="AV461" i="51"/>
  <c r="AU461" i="51"/>
  <c r="AT461" i="51"/>
  <c r="AS461" i="51"/>
  <c r="AR461" i="51"/>
  <c r="AQ461" i="51"/>
  <c r="AP461" i="51"/>
  <c r="AO461" i="51"/>
  <c r="AN461" i="51"/>
  <c r="AM461" i="51"/>
  <c r="AL461" i="51"/>
  <c r="AK461" i="51"/>
  <c r="AJ461" i="51"/>
  <c r="AZ460" i="51"/>
  <c r="AY460" i="51"/>
  <c r="AX460" i="51"/>
  <c r="AW460" i="51"/>
  <c r="AV460" i="51"/>
  <c r="AU460" i="51"/>
  <c r="AT460" i="51"/>
  <c r="AS460" i="51"/>
  <c r="AR460" i="51"/>
  <c r="AQ460" i="51"/>
  <c r="AP460" i="51"/>
  <c r="AO460" i="51"/>
  <c r="AN460" i="51"/>
  <c r="AM460" i="51"/>
  <c r="AL460" i="51"/>
  <c r="AK460" i="51"/>
  <c r="AJ460" i="51"/>
  <c r="AZ459" i="51"/>
  <c r="AY459" i="51"/>
  <c r="AX459" i="51"/>
  <c r="AW459" i="51"/>
  <c r="AV459" i="51"/>
  <c r="AU459" i="51"/>
  <c r="AT459" i="51"/>
  <c r="AS459" i="51"/>
  <c r="AR459" i="51"/>
  <c r="AQ459" i="51"/>
  <c r="AP459" i="51"/>
  <c r="AO459" i="51"/>
  <c r="AN459" i="51"/>
  <c r="AM459" i="51"/>
  <c r="AL459" i="51"/>
  <c r="AK459" i="51"/>
  <c r="AJ459" i="51"/>
  <c r="AZ458" i="51"/>
  <c r="AY458" i="51"/>
  <c r="AX458" i="51"/>
  <c r="AW458" i="51"/>
  <c r="AV458" i="51"/>
  <c r="AU458" i="51"/>
  <c r="AT458" i="51"/>
  <c r="AS458" i="51"/>
  <c r="AR458" i="51"/>
  <c r="AQ458" i="51"/>
  <c r="AP458" i="51"/>
  <c r="AO458" i="51"/>
  <c r="AN458" i="51"/>
  <c r="AM458" i="51"/>
  <c r="AL458" i="51"/>
  <c r="AK458" i="51"/>
  <c r="AJ458" i="51"/>
  <c r="AZ457" i="51"/>
  <c r="AY457" i="51"/>
  <c r="AX457" i="51"/>
  <c r="AW457" i="51"/>
  <c r="AV457" i="51"/>
  <c r="AU457" i="51"/>
  <c r="AT457" i="51"/>
  <c r="AS457" i="51"/>
  <c r="AR457" i="51"/>
  <c r="AQ457" i="51"/>
  <c r="AP457" i="51"/>
  <c r="AO457" i="51"/>
  <c r="AN457" i="51"/>
  <c r="AM457" i="51"/>
  <c r="AL457" i="51"/>
  <c r="AK457" i="51"/>
  <c r="AJ457" i="51"/>
  <c r="AZ456" i="51"/>
  <c r="AY456" i="51"/>
  <c r="AX456" i="51"/>
  <c r="AW456" i="51"/>
  <c r="AV456" i="51"/>
  <c r="AU456" i="51"/>
  <c r="AT456" i="51"/>
  <c r="AS456" i="51"/>
  <c r="AR456" i="51"/>
  <c r="AQ456" i="51"/>
  <c r="AP456" i="51"/>
  <c r="AO456" i="51"/>
  <c r="AN456" i="51"/>
  <c r="AM456" i="51"/>
  <c r="AL456" i="51"/>
  <c r="AK456" i="51"/>
  <c r="AJ456" i="51"/>
  <c r="AZ455" i="51"/>
  <c r="AY455" i="51"/>
  <c r="AX455" i="51"/>
  <c r="AW455" i="51"/>
  <c r="AV455" i="51"/>
  <c r="AU455" i="51"/>
  <c r="AT455" i="51"/>
  <c r="AS455" i="51"/>
  <c r="AR455" i="51"/>
  <c r="AQ455" i="51"/>
  <c r="AP455" i="51"/>
  <c r="AO455" i="51"/>
  <c r="AN455" i="51"/>
  <c r="AM455" i="51"/>
  <c r="AL455" i="51"/>
  <c r="AK455" i="51"/>
  <c r="AJ455" i="51"/>
  <c r="AZ454" i="51"/>
  <c r="AY454" i="51"/>
  <c r="AX454" i="51"/>
  <c r="AW454" i="51"/>
  <c r="AV454" i="51"/>
  <c r="AU454" i="51"/>
  <c r="AT454" i="51"/>
  <c r="AS454" i="51"/>
  <c r="AR454" i="51"/>
  <c r="AQ454" i="51"/>
  <c r="AP454" i="51"/>
  <c r="AO454" i="51"/>
  <c r="AN454" i="51"/>
  <c r="AM454" i="51"/>
  <c r="AL454" i="51"/>
  <c r="AK454" i="51"/>
  <c r="AJ454" i="51"/>
  <c r="AZ453" i="51"/>
  <c r="AY453" i="51"/>
  <c r="AX453" i="51"/>
  <c r="AW453" i="51"/>
  <c r="AV453" i="51"/>
  <c r="AU453" i="51"/>
  <c r="AT453" i="51"/>
  <c r="AS453" i="51"/>
  <c r="AR453" i="51"/>
  <c r="AQ453" i="51"/>
  <c r="AP453" i="51"/>
  <c r="AO453" i="51"/>
  <c r="AN453" i="51"/>
  <c r="AM453" i="51"/>
  <c r="AL453" i="51"/>
  <c r="AK453" i="51"/>
  <c r="AJ453" i="51"/>
  <c r="AZ452" i="51"/>
  <c r="AY452" i="51"/>
  <c r="AX452" i="51"/>
  <c r="AW452" i="51"/>
  <c r="AV452" i="51"/>
  <c r="AU452" i="51"/>
  <c r="AT452" i="51"/>
  <c r="AS452" i="51"/>
  <c r="AR452" i="51"/>
  <c r="AQ452" i="51"/>
  <c r="AP452" i="51"/>
  <c r="AO452" i="51"/>
  <c r="AN452" i="51"/>
  <c r="AM452" i="51"/>
  <c r="AL452" i="51"/>
  <c r="AK452" i="51"/>
  <c r="AJ452" i="51"/>
  <c r="AZ451" i="51"/>
  <c r="AY451" i="51"/>
  <c r="AX451" i="51"/>
  <c r="AW451" i="51"/>
  <c r="AV451" i="51"/>
  <c r="AU451" i="51"/>
  <c r="AT451" i="51"/>
  <c r="AS451" i="51"/>
  <c r="AR451" i="51"/>
  <c r="AQ451" i="51"/>
  <c r="AP451" i="51"/>
  <c r="AO451" i="51"/>
  <c r="AN451" i="51"/>
  <c r="AM451" i="51"/>
  <c r="AL451" i="51"/>
  <c r="AK451" i="51"/>
  <c r="AJ451" i="51"/>
  <c r="AZ450" i="51"/>
  <c r="AY450" i="51"/>
  <c r="AX450" i="51"/>
  <c r="AW450" i="51"/>
  <c r="AV450" i="51"/>
  <c r="AU450" i="51"/>
  <c r="AT450" i="51"/>
  <c r="AS450" i="51"/>
  <c r="AR450" i="51"/>
  <c r="AQ450" i="51"/>
  <c r="AP450" i="51"/>
  <c r="AO450" i="51"/>
  <c r="AN450" i="51"/>
  <c r="AM450" i="51"/>
  <c r="AL450" i="51"/>
  <c r="AK450" i="51"/>
  <c r="AJ450" i="51"/>
  <c r="AZ449" i="51"/>
  <c r="AY449" i="51"/>
  <c r="AX449" i="51"/>
  <c r="AW449" i="51"/>
  <c r="AV449" i="51"/>
  <c r="AU449" i="51"/>
  <c r="AT449" i="51"/>
  <c r="AS449" i="51"/>
  <c r="AR449" i="51"/>
  <c r="AQ449" i="51"/>
  <c r="AP449" i="51"/>
  <c r="AO449" i="51"/>
  <c r="AN449" i="51"/>
  <c r="AM449" i="51"/>
  <c r="AL449" i="51"/>
  <c r="AK449" i="51"/>
  <c r="AJ449" i="51"/>
  <c r="AZ448" i="51"/>
  <c r="AY448" i="51"/>
  <c r="AX448" i="51"/>
  <c r="AW448" i="51"/>
  <c r="AV448" i="51"/>
  <c r="AU448" i="51"/>
  <c r="AT448" i="51"/>
  <c r="AS448" i="51"/>
  <c r="AR448" i="51"/>
  <c r="AQ448" i="51"/>
  <c r="AP448" i="51"/>
  <c r="AO448" i="51"/>
  <c r="AN448" i="51"/>
  <c r="AM448" i="51"/>
  <c r="AL448" i="51"/>
  <c r="AK448" i="51"/>
  <c r="AJ448" i="51"/>
  <c r="AZ447" i="51"/>
  <c r="AY447" i="51"/>
  <c r="AX447" i="51"/>
  <c r="AW447" i="51"/>
  <c r="AV447" i="51"/>
  <c r="AU447" i="51"/>
  <c r="AT447" i="51"/>
  <c r="AS447" i="51"/>
  <c r="AR447" i="51"/>
  <c r="AQ447" i="51"/>
  <c r="AP447" i="51"/>
  <c r="AO447" i="51"/>
  <c r="AN447" i="51"/>
  <c r="AM447" i="51"/>
  <c r="AL447" i="51"/>
  <c r="AK447" i="51"/>
  <c r="AJ447" i="51"/>
  <c r="AZ446" i="51"/>
  <c r="AY446" i="51"/>
  <c r="AX446" i="51"/>
  <c r="AW446" i="51"/>
  <c r="AV446" i="51"/>
  <c r="AU446" i="51"/>
  <c r="AT446" i="51"/>
  <c r="AS446" i="51"/>
  <c r="AR446" i="51"/>
  <c r="AQ446" i="51"/>
  <c r="AP446" i="51"/>
  <c r="AO446" i="51"/>
  <c r="AN446" i="51"/>
  <c r="AM446" i="51"/>
  <c r="AL446" i="51"/>
  <c r="AK446" i="51"/>
  <c r="AJ446" i="51"/>
  <c r="AZ445" i="51"/>
  <c r="AY445" i="51"/>
  <c r="AX445" i="51"/>
  <c r="AW445" i="51"/>
  <c r="AV445" i="51"/>
  <c r="AU445" i="51"/>
  <c r="AT445" i="51"/>
  <c r="AS445" i="51"/>
  <c r="AR445" i="51"/>
  <c r="AQ445" i="51"/>
  <c r="AP445" i="51"/>
  <c r="AO445" i="51"/>
  <c r="AN445" i="51"/>
  <c r="AM445" i="51"/>
  <c r="AL445" i="51"/>
  <c r="AK445" i="51"/>
  <c r="AJ445" i="51"/>
  <c r="AZ444" i="51"/>
  <c r="AY444" i="51"/>
  <c r="AX444" i="51"/>
  <c r="AW444" i="51"/>
  <c r="AV444" i="51"/>
  <c r="AU444" i="51"/>
  <c r="AT444" i="51"/>
  <c r="AS444" i="51"/>
  <c r="AR444" i="51"/>
  <c r="AQ444" i="51"/>
  <c r="AP444" i="51"/>
  <c r="AO444" i="51"/>
  <c r="AN444" i="51"/>
  <c r="AM444" i="51"/>
  <c r="AL444" i="51"/>
  <c r="AK444" i="51"/>
  <c r="AJ444" i="51"/>
  <c r="AZ443" i="51"/>
  <c r="AY443" i="51"/>
  <c r="AX443" i="51"/>
  <c r="AW443" i="51"/>
  <c r="AV443" i="51"/>
  <c r="AU443" i="51"/>
  <c r="AT443" i="51"/>
  <c r="AS443" i="51"/>
  <c r="AR443" i="51"/>
  <c r="AQ443" i="51"/>
  <c r="AP443" i="51"/>
  <c r="AO443" i="51"/>
  <c r="AN443" i="51"/>
  <c r="AM443" i="51"/>
  <c r="AL443" i="51"/>
  <c r="AK443" i="51"/>
  <c r="AJ443" i="51"/>
  <c r="AZ442" i="51"/>
  <c r="AY442" i="51"/>
  <c r="AX442" i="51"/>
  <c r="AW442" i="51"/>
  <c r="AV442" i="51"/>
  <c r="AU442" i="51"/>
  <c r="AT442" i="51"/>
  <c r="AS442" i="51"/>
  <c r="AR442" i="51"/>
  <c r="AQ442" i="51"/>
  <c r="AP442" i="51"/>
  <c r="AO442" i="51"/>
  <c r="AN442" i="51"/>
  <c r="AM442" i="51"/>
  <c r="AL442" i="51"/>
  <c r="AK442" i="51"/>
  <c r="AJ442" i="51"/>
  <c r="AZ441" i="51"/>
  <c r="AY441" i="51"/>
  <c r="AX441" i="51"/>
  <c r="AW441" i="51"/>
  <c r="AV441" i="51"/>
  <c r="AU441" i="51"/>
  <c r="AT441" i="51"/>
  <c r="AS441" i="51"/>
  <c r="AR441" i="51"/>
  <c r="AQ441" i="51"/>
  <c r="AP441" i="51"/>
  <c r="AO441" i="51"/>
  <c r="AN441" i="51"/>
  <c r="AM441" i="51"/>
  <c r="AL441" i="51"/>
  <c r="AK441" i="51"/>
  <c r="AJ441" i="51"/>
  <c r="AZ440" i="51"/>
  <c r="AY440" i="51"/>
  <c r="AX440" i="51"/>
  <c r="AW440" i="51"/>
  <c r="AV440" i="51"/>
  <c r="AU440" i="51"/>
  <c r="AT440" i="51"/>
  <c r="AS440" i="51"/>
  <c r="AR440" i="51"/>
  <c r="AQ440" i="51"/>
  <c r="AP440" i="51"/>
  <c r="AO440" i="51"/>
  <c r="AN440" i="51"/>
  <c r="AM440" i="51"/>
  <c r="AL440" i="51"/>
  <c r="AK440" i="51"/>
  <c r="AJ440" i="51"/>
  <c r="AZ439" i="51"/>
  <c r="AY439" i="51"/>
  <c r="AX439" i="51"/>
  <c r="AW439" i="51"/>
  <c r="AV439" i="51"/>
  <c r="AU439" i="51"/>
  <c r="AT439" i="51"/>
  <c r="AS439" i="51"/>
  <c r="AR439" i="51"/>
  <c r="AQ439" i="51"/>
  <c r="AP439" i="51"/>
  <c r="AO439" i="51"/>
  <c r="AN439" i="51"/>
  <c r="AM439" i="51"/>
  <c r="AL439" i="51"/>
  <c r="AK439" i="51"/>
  <c r="AJ439" i="51"/>
  <c r="AZ438" i="51"/>
  <c r="AY438" i="51"/>
  <c r="AX438" i="51"/>
  <c r="AW438" i="51"/>
  <c r="AV438" i="51"/>
  <c r="AU438" i="51"/>
  <c r="AT438" i="51"/>
  <c r="AS438" i="51"/>
  <c r="AR438" i="51"/>
  <c r="AQ438" i="51"/>
  <c r="AP438" i="51"/>
  <c r="AO438" i="51"/>
  <c r="AN438" i="51"/>
  <c r="AM438" i="51"/>
  <c r="AL438" i="51"/>
  <c r="AK438" i="51"/>
  <c r="AJ438" i="51"/>
  <c r="AZ437" i="51"/>
  <c r="AY437" i="51"/>
  <c r="AX437" i="51"/>
  <c r="AW437" i="51"/>
  <c r="AV437" i="51"/>
  <c r="AU437" i="51"/>
  <c r="AT437" i="51"/>
  <c r="AS437" i="51"/>
  <c r="AR437" i="51"/>
  <c r="AQ437" i="51"/>
  <c r="AP437" i="51"/>
  <c r="AO437" i="51"/>
  <c r="AN437" i="51"/>
  <c r="AM437" i="51"/>
  <c r="AL437" i="51"/>
  <c r="AK437" i="51"/>
  <c r="AJ437" i="51"/>
  <c r="AZ436" i="51"/>
  <c r="AY436" i="51"/>
  <c r="AX436" i="51"/>
  <c r="AW436" i="51"/>
  <c r="AV436" i="51"/>
  <c r="AU436" i="51"/>
  <c r="AT436" i="51"/>
  <c r="AS436" i="51"/>
  <c r="AR436" i="51"/>
  <c r="AQ436" i="51"/>
  <c r="AP436" i="51"/>
  <c r="AO436" i="51"/>
  <c r="AN436" i="51"/>
  <c r="AM436" i="51"/>
  <c r="AL436" i="51"/>
  <c r="AK436" i="51"/>
  <c r="AJ436" i="51"/>
  <c r="AZ435" i="51"/>
  <c r="AY435" i="51"/>
  <c r="AX435" i="51"/>
  <c r="AW435" i="51"/>
  <c r="AV435" i="51"/>
  <c r="AU435" i="51"/>
  <c r="AT435" i="51"/>
  <c r="AS435" i="51"/>
  <c r="AR435" i="51"/>
  <c r="AQ435" i="51"/>
  <c r="AP435" i="51"/>
  <c r="AO435" i="51"/>
  <c r="AN435" i="51"/>
  <c r="AM435" i="51"/>
  <c r="AL435" i="51"/>
  <c r="AK435" i="51"/>
  <c r="AJ435" i="51"/>
  <c r="AZ434" i="51"/>
  <c r="AY434" i="51"/>
  <c r="AX434" i="51"/>
  <c r="AW434" i="51"/>
  <c r="AV434" i="51"/>
  <c r="AU434" i="51"/>
  <c r="AT434" i="51"/>
  <c r="AS434" i="51"/>
  <c r="AR434" i="51"/>
  <c r="AQ434" i="51"/>
  <c r="AP434" i="51"/>
  <c r="AO434" i="51"/>
  <c r="AN434" i="51"/>
  <c r="AM434" i="51"/>
  <c r="AL434" i="51"/>
  <c r="AK434" i="51"/>
  <c r="AJ434" i="51"/>
  <c r="AZ433" i="51"/>
  <c r="AY433" i="51"/>
  <c r="AX433" i="51"/>
  <c r="AW433" i="51"/>
  <c r="AV433" i="51"/>
  <c r="AU433" i="51"/>
  <c r="AT433" i="51"/>
  <c r="AS433" i="51"/>
  <c r="AR433" i="51"/>
  <c r="AQ433" i="51"/>
  <c r="AP433" i="51"/>
  <c r="AO433" i="51"/>
  <c r="AN433" i="51"/>
  <c r="AM433" i="51"/>
  <c r="AL433" i="51"/>
  <c r="AK433" i="51"/>
  <c r="AJ433" i="51"/>
  <c r="AZ432" i="51"/>
  <c r="AY432" i="51"/>
  <c r="AX432" i="51"/>
  <c r="AW432" i="51"/>
  <c r="AV432" i="51"/>
  <c r="AU432" i="51"/>
  <c r="AT432" i="51"/>
  <c r="AS432" i="51"/>
  <c r="AR432" i="51"/>
  <c r="AQ432" i="51"/>
  <c r="AP432" i="51"/>
  <c r="AO432" i="51"/>
  <c r="AN432" i="51"/>
  <c r="AM432" i="51"/>
  <c r="AL432" i="51"/>
  <c r="AK432" i="51"/>
  <c r="AJ432" i="51"/>
  <c r="AZ431" i="51"/>
  <c r="AY431" i="51"/>
  <c r="AX431" i="51"/>
  <c r="AW431" i="51"/>
  <c r="AV431" i="51"/>
  <c r="AU431" i="51"/>
  <c r="AT431" i="51"/>
  <c r="AS431" i="51"/>
  <c r="AR431" i="51"/>
  <c r="AQ431" i="51"/>
  <c r="AP431" i="51"/>
  <c r="AO431" i="51"/>
  <c r="AN431" i="51"/>
  <c r="AM431" i="51"/>
  <c r="AL431" i="51"/>
  <c r="AK431" i="51"/>
  <c r="AJ431" i="51"/>
  <c r="AZ430" i="51"/>
  <c r="AY430" i="51"/>
  <c r="AX430" i="51"/>
  <c r="AW430" i="51"/>
  <c r="AV430" i="51"/>
  <c r="AU430" i="51"/>
  <c r="AT430" i="51"/>
  <c r="AS430" i="51"/>
  <c r="AR430" i="51"/>
  <c r="AQ430" i="51"/>
  <c r="AP430" i="51"/>
  <c r="AO430" i="51"/>
  <c r="AN430" i="51"/>
  <c r="AM430" i="51"/>
  <c r="AL430" i="51"/>
  <c r="AK430" i="51"/>
  <c r="AJ430" i="51"/>
  <c r="AZ429" i="51"/>
  <c r="AY429" i="51"/>
  <c r="AX429" i="51"/>
  <c r="AW429" i="51"/>
  <c r="AV429" i="51"/>
  <c r="AU429" i="51"/>
  <c r="AT429" i="51"/>
  <c r="AS429" i="51"/>
  <c r="AR429" i="51"/>
  <c r="AQ429" i="51"/>
  <c r="AP429" i="51"/>
  <c r="AO429" i="51"/>
  <c r="AN429" i="51"/>
  <c r="AM429" i="51"/>
  <c r="AL429" i="51"/>
  <c r="AK429" i="51"/>
  <c r="AJ429" i="51"/>
  <c r="AZ428" i="51"/>
  <c r="AY428" i="51"/>
  <c r="AX428" i="51"/>
  <c r="AW428" i="51"/>
  <c r="AV428" i="51"/>
  <c r="AU428" i="51"/>
  <c r="AT428" i="51"/>
  <c r="AS428" i="51"/>
  <c r="AR428" i="51"/>
  <c r="AQ428" i="51"/>
  <c r="AP428" i="51"/>
  <c r="AO428" i="51"/>
  <c r="AN428" i="51"/>
  <c r="AM428" i="51"/>
  <c r="AL428" i="51"/>
  <c r="AK428" i="51"/>
  <c r="AJ428" i="51"/>
  <c r="AZ427" i="51"/>
  <c r="AY427" i="51"/>
  <c r="AX427" i="51"/>
  <c r="AW427" i="51"/>
  <c r="AV427" i="51"/>
  <c r="AU427" i="51"/>
  <c r="AT427" i="51"/>
  <c r="AS427" i="51"/>
  <c r="AR427" i="51"/>
  <c r="AQ427" i="51"/>
  <c r="AP427" i="51"/>
  <c r="AO427" i="51"/>
  <c r="AN427" i="51"/>
  <c r="AM427" i="51"/>
  <c r="AL427" i="51"/>
  <c r="AK427" i="51"/>
  <c r="AJ427" i="51"/>
  <c r="AZ426" i="51"/>
  <c r="AY426" i="51"/>
  <c r="AX426" i="51"/>
  <c r="AW426" i="51"/>
  <c r="AV426" i="51"/>
  <c r="AU426" i="51"/>
  <c r="AT426" i="51"/>
  <c r="AS426" i="51"/>
  <c r="AR426" i="51"/>
  <c r="AQ426" i="51"/>
  <c r="AP426" i="51"/>
  <c r="AO426" i="51"/>
  <c r="AN426" i="51"/>
  <c r="AM426" i="51"/>
  <c r="AL426" i="51"/>
  <c r="AK426" i="51"/>
  <c r="AJ426" i="51"/>
  <c r="AZ425" i="51"/>
  <c r="AY425" i="51"/>
  <c r="AX425" i="51"/>
  <c r="AW425" i="51"/>
  <c r="AV425" i="51"/>
  <c r="AU425" i="51"/>
  <c r="AT425" i="51"/>
  <c r="AS425" i="51"/>
  <c r="AR425" i="51"/>
  <c r="AQ425" i="51"/>
  <c r="AP425" i="51"/>
  <c r="AO425" i="51"/>
  <c r="AN425" i="51"/>
  <c r="AM425" i="51"/>
  <c r="AL425" i="51"/>
  <c r="AK425" i="51"/>
  <c r="AJ425" i="51"/>
  <c r="AZ424" i="51"/>
  <c r="AY424" i="51"/>
  <c r="AX424" i="51"/>
  <c r="AW424" i="51"/>
  <c r="AV424" i="51"/>
  <c r="AU424" i="51"/>
  <c r="AT424" i="51"/>
  <c r="AS424" i="51"/>
  <c r="AR424" i="51"/>
  <c r="AQ424" i="51"/>
  <c r="AP424" i="51"/>
  <c r="AO424" i="51"/>
  <c r="AN424" i="51"/>
  <c r="AM424" i="51"/>
  <c r="AL424" i="51"/>
  <c r="AK424" i="51"/>
  <c r="AJ424" i="51"/>
  <c r="AZ423" i="51"/>
  <c r="AY423" i="51"/>
  <c r="AX423" i="51"/>
  <c r="AW423" i="51"/>
  <c r="AV423" i="51"/>
  <c r="AU423" i="51"/>
  <c r="AT423" i="51"/>
  <c r="AS423" i="51"/>
  <c r="AR423" i="51"/>
  <c r="AQ423" i="51"/>
  <c r="AP423" i="51"/>
  <c r="AO423" i="51"/>
  <c r="AN423" i="51"/>
  <c r="AM423" i="51"/>
  <c r="AL423" i="51"/>
  <c r="AK423" i="51"/>
  <c r="AJ423" i="51"/>
  <c r="AZ422" i="51"/>
  <c r="AY422" i="51"/>
  <c r="AX422" i="51"/>
  <c r="AW422" i="51"/>
  <c r="AV422" i="51"/>
  <c r="AU422" i="51"/>
  <c r="AT422" i="51"/>
  <c r="AS422" i="51"/>
  <c r="AR422" i="51"/>
  <c r="AQ422" i="51"/>
  <c r="AP422" i="51"/>
  <c r="AO422" i="51"/>
  <c r="AN422" i="51"/>
  <c r="AM422" i="51"/>
  <c r="AL422" i="51"/>
  <c r="AK422" i="51"/>
  <c r="AJ422" i="51"/>
  <c r="AZ421" i="51"/>
  <c r="AY421" i="51"/>
  <c r="AX421" i="51"/>
  <c r="AW421" i="51"/>
  <c r="AV421" i="51"/>
  <c r="AU421" i="51"/>
  <c r="AT421" i="51"/>
  <c r="AS421" i="51"/>
  <c r="AR421" i="51"/>
  <c r="AQ421" i="51"/>
  <c r="AP421" i="51"/>
  <c r="AO421" i="51"/>
  <c r="AN421" i="51"/>
  <c r="AM421" i="51"/>
  <c r="AL421" i="51"/>
  <c r="AK421" i="51"/>
  <c r="AJ421" i="51"/>
  <c r="AZ420" i="51"/>
  <c r="AY420" i="51"/>
  <c r="AX420" i="51"/>
  <c r="AW420" i="51"/>
  <c r="AV420" i="51"/>
  <c r="AU420" i="51"/>
  <c r="AT420" i="51"/>
  <c r="AS420" i="51"/>
  <c r="AR420" i="51"/>
  <c r="AQ420" i="51"/>
  <c r="AP420" i="51"/>
  <c r="AO420" i="51"/>
  <c r="AN420" i="51"/>
  <c r="AM420" i="51"/>
  <c r="AL420" i="51"/>
  <c r="AK420" i="51"/>
  <c r="AJ420" i="51"/>
  <c r="AZ419" i="51"/>
  <c r="AY419" i="51"/>
  <c r="AX419" i="51"/>
  <c r="AW419" i="51"/>
  <c r="AV419" i="51"/>
  <c r="AU419" i="51"/>
  <c r="AT419" i="51"/>
  <c r="AS419" i="51"/>
  <c r="AR419" i="51"/>
  <c r="AQ419" i="51"/>
  <c r="AP419" i="51"/>
  <c r="AO419" i="51"/>
  <c r="AN419" i="51"/>
  <c r="AM419" i="51"/>
  <c r="AL419" i="51"/>
  <c r="AK419" i="51"/>
  <c r="AJ419" i="51"/>
  <c r="AZ418" i="51"/>
  <c r="AY418" i="51"/>
  <c r="AX418" i="51"/>
  <c r="AW418" i="51"/>
  <c r="AV418" i="51"/>
  <c r="AU418" i="51"/>
  <c r="AT418" i="51"/>
  <c r="AS418" i="51"/>
  <c r="AR418" i="51"/>
  <c r="AQ418" i="51"/>
  <c r="AP418" i="51"/>
  <c r="AO418" i="51"/>
  <c r="AN418" i="51"/>
  <c r="AM418" i="51"/>
  <c r="AL418" i="51"/>
  <c r="AK418" i="51"/>
  <c r="AJ418" i="51"/>
  <c r="AZ417" i="51"/>
  <c r="AY417" i="51"/>
  <c r="AX417" i="51"/>
  <c r="AW417" i="51"/>
  <c r="AV417" i="51"/>
  <c r="AU417" i="51"/>
  <c r="AT417" i="51"/>
  <c r="AS417" i="51"/>
  <c r="AR417" i="51"/>
  <c r="AQ417" i="51"/>
  <c r="AP417" i="51"/>
  <c r="AO417" i="51"/>
  <c r="AN417" i="51"/>
  <c r="AM417" i="51"/>
  <c r="AL417" i="51"/>
  <c r="AK417" i="51"/>
  <c r="AJ417" i="51"/>
  <c r="AZ416" i="51"/>
  <c r="AY416" i="51"/>
  <c r="AX416" i="51"/>
  <c r="AW416" i="51"/>
  <c r="AV416" i="51"/>
  <c r="AU416" i="51"/>
  <c r="AT416" i="51"/>
  <c r="AS416" i="51"/>
  <c r="AR416" i="51"/>
  <c r="AQ416" i="51"/>
  <c r="AP416" i="51"/>
  <c r="AO416" i="51"/>
  <c r="AN416" i="51"/>
  <c r="AM416" i="51"/>
  <c r="AL416" i="51"/>
  <c r="AK416" i="51"/>
  <c r="AJ416" i="51"/>
  <c r="AZ415" i="51"/>
  <c r="AY415" i="51"/>
  <c r="AX415" i="51"/>
  <c r="AW415" i="51"/>
  <c r="AV415" i="51"/>
  <c r="AU415" i="51"/>
  <c r="AT415" i="51"/>
  <c r="AS415" i="51"/>
  <c r="AR415" i="51"/>
  <c r="AQ415" i="51"/>
  <c r="AP415" i="51"/>
  <c r="AO415" i="51"/>
  <c r="AN415" i="51"/>
  <c r="AM415" i="51"/>
  <c r="AL415" i="51"/>
  <c r="AK415" i="51"/>
  <c r="AJ415" i="51"/>
  <c r="AZ414" i="51"/>
  <c r="AY414" i="51"/>
  <c r="AX414" i="51"/>
  <c r="AW414" i="51"/>
  <c r="AV414" i="51"/>
  <c r="AU414" i="51"/>
  <c r="AT414" i="51"/>
  <c r="AS414" i="51"/>
  <c r="AR414" i="51"/>
  <c r="AQ414" i="51"/>
  <c r="AP414" i="51"/>
  <c r="AO414" i="51"/>
  <c r="AN414" i="51"/>
  <c r="AM414" i="51"/>
  <c r="AL414" i="51"/>
  <c r="AK414" i="51"/>
  <c r="AJ414" i="51"/>
  <c r="AZ413" i="51"/>
  <c r="AY413" i="51"/>
  <c r="AX413" i="51"/>
  <c r="AW413" i="51"/>
  <c r="AV413" i="51"/>
  <c r="AU413" i="51"/>
  <c r="AT413" i="51"/>
  <c r="AS413" i="51"/>
  <c r="AR413" i="51"/>
  <c r="AQ413" i="51"/>
  <c r="AP413" i="51"/>
  <c r="AO413" i="51"/>
  <c r="AN413" i="51"/>
  <c r="AM413" i="51"/>
  <c r="AL413" i="51"/>
  <c r="AK413" i="51"/>
  <c r="AJ413" i="51"/>
  <c r="AZ412" i="51"/>
  <c r="AY412" i="51"/>
  <c r="AX412" i="51"/>
  <c r="AW412" i="51"/>
  <c r="AV412" i="51"/>
  <c r="AU412" i="51"/>
  <c r="AT412" i="51"/>
  <c r="AS412" i="51"/>
  <c r="AR412" i="51"/>
  <c r="AQ412" i="51"/>
  <c r="AP412" i="51"/>
  <c r="AO412" i="51"/>
  <c r="AN412" i="51"/>
  <c r="AM412" i="51"/>
  <c r="AL412" i="51"/>
  <c r="AK412" i="51"/>
  <c r="AJ412" i="51"/>
  <c r="AZ411" i="51"/>
  <c r="AY411" i="51"/>
  <c r="AX411" i="51"/>
  <c r="AW411" i="51"/>
  <c r="AV411" i="51"/>
  <c r="AU411" i="51"/>
  <c r="AT411" i="51"/>
  <c r="AS411" i="51"/>
  <c r="AR411" i="51"/>
  <c r="AQ411" i="51"/>
  <c r="AP411" i="51"/>
  <c r="AO411" i="51"/>
  <c r="AN411" i="51"/>
  <c r="AM411" i="51"/>
  <c r="AL411" i="51"/>
  <c r="AK411" i="51"/>
  <c r="AJ411" i="51"/>
  <c r="AZ410" i="51"/>
  <c r="AY410" i="51"/>
  <c r="AX410" i="51"/>
  <c r="AW410" i="51"/>
  <c r="AV410" i="51"/>
  <c r="AU410" i="51"/>
  <c r="AT410" i="51"/>
  <c r="AS410" i="51"/>
  <c r="AR410" i="51"/>
  <c r="AQ410" i="51"/>
  <c r="AP410" i="51"/>
  <c r="AO410" i="51"/>
  <c r="AN410" i="51"/>
  <c r="AM410" i="51"/>
  <c r="AL410" i="51"/>
  <c r="AK410" i="51"/>
  <c r="AJ410" i="51"/>
  <c r="AZ409" i="51"/>
  <c r="AY409" i="51"/>
  <c r="AX409" i="51"/>
  <c r="AW409" i="51"/>
  <c r="AV409" i="51"/>
  <c r="AU409" i="51"/>
  <c r="AT409" i="51"/>
  <c r="AS409" i="51"/>
  <c r="AR409" i="51"/>
  <c r="AQ409" i="51"/>
  <c r="AP409" i="51"/>
  <c r="AO409" i="51"/>
  <c r="AN409" i="51"/>
  <c r="AM409" i="51"/>
  <c r="AL409" i="51"/>
  <c r="AK409" i="51"/>
  <c r="AJ409" i="51"/>
  <c r="AZ408" i="51"/>
  <c r="AY408" i="51"/>
  <c r="AX408" i="51"/>
  <c r="AW408" i="51"/>
  <c r="AV408" i="51"/>
  <c r="AU408" i="51"/>
  <c r="AT408" i="51"/>
  <c r="AS408" i="51"/>
  <c r="AR408" i="51"/>
  <c r="AQ408" i="51"/>
  <c r="AP408" i="51"/>
  <c r="AO408" i="51"/>
  <c r="AN408" i="51"/>
  <c r="AM408" i="51"/>
  <c r="AL408" i="51"/>
  <c r="AK408" i="51"/>
  <c r="AJ408" i="51"/>
  <c r="AZ407" i="51"/>
  <c r="AY407" i="51"/>
  <c r="AX407" i="51"/>
  <c r="AW407" i="51"/>
  <c r="AV407" i="51"/>
  <c r="AU407" i="51"/>
  <c r="AT407" i="51"/>
  <c r="AS407" i="51"/>
  <c r="AR407" i="51"/>
  <c r="AQ407" i="51"/>
  <c r="AP407" i="51"/>
  <c r="AO407" i="51"/>
  <c r="AN407" i="51"/>
  <c r="AM407" i="51"/>
  <c r="AL407" i="51"/>
  <c r="AK407" i="51"/>
  <c r="AJ407" i="51"/>
  <c r="AZ406" i="51"/>
  <c r="AY406" i="51"/>
  <c r="AX406" i="51"/>
  <c r="AW406" i="51"/>
  <c r="AV406" i="51"/>
  <c r="AU406" i="51"/>
  <c r="AT406" i="51"/>
  <c r="AS406" i="51"/>
  <c r="AR406" i="51"/>
  <c r="AQ406" i="51"/>
  <c r="AP406" i="51"/>
  <c r="AO406" i="51"/>
  <c r="AN406" i="51"/>
  <c r="AM406" i="51"/>
  <c r="AL406" i="51"/>
  <c r="AK406" i="51"/>
  <c r="AJ406" i="51"/>
  <c r="AZ405" i="51"/>
  <c r="AY405" i="51"/>
  <c r="AX405" i="51"/>
  <c r="AW405" i="51"/>
  <c r="AV405" i="51"/>
  <c r="AU405" i="51"/>
  <c r="AT405" i="51"/>
  <c r="AS405" i="51"/>
  <c r="AR405" i="51"/>
  <c r="AQ405" i="51"/>
  <c r="AP405" i="51"/>
  <c r="AO405" i="51"/>
  <c r="AN405" i="51"/>
  <c r="AM405" i="51"/>
  <c r="AL405" i="51"/>
  <c r="AK405" i="51"/>
  <c r="AJ405" i="51"/>
  <c r="AZ404" i="51"/>
  <c r="AY404" i="51"/>
  <c r="AX404" i="51"/>
  <c r="AW404" i="51"/>
  <c r="AV404" i="51"/>
  <c r="AU404" i="51"/>
  <c r="AT404" i="51"/>
  <c r="AS404" i="51"/>
  <c r="AR404" i="51"/>
  <c r="AQ404" i="51"/>
  <c r="AP404" i="51"/>
  <c r="AO404" i="51"/>
  <c r="AN404" i="51"/>
  <c r="AM404" i="51"/>
  <c r="AL404" i="51"/>
  <c r="AK404" i="51"/>
  <c r="AJ404" i="51"/>
  <c r="AZ403" i="51"/>
  <c r="AY403" i="51"/>
  <c r="AX403" i="51"/>
  <c r="AW403" i="51"/>
  <c r="AV403" i="51"/>
  <c r="AU403" i="51"/>
  <c r="AT403" i="51"/>
  <c r="AS403" i="51"/>
  <c r="AR403" i="51"/>
  <c r="AQ403" i="51"/>
  <c r="AP403" i="51"/>
  <c r="AO403" i="51"/>
  <c r="AN403" i="51"/>
  <c r="AM403" i="51"/>
  <c r="AL403" i="51"/>
  <c r="AK403" i="51"/>
  <c r="AJ403" i="51"/>
  <c r="AZ402" i="51"/>
  <c r="AY402" i="51"/>
  <c r="AX402" i="51"/>
  <c r="AW402" i="51"/>
  <c r="AV402" i="51"/>
  <c r="AU402" i="51"/>
  <c r="AT402" i="51"/>
  <c r="AS402" i="51"/>
  <c r="AR402" i="51"/>
  <c r="AQ402" i="51"/>
  <c r="AP402" i="51"/>
  <c r="AO402" i="51"/>
  <c r="AN402" i="51"/>
  <c r="AM402" i="51"/>
  <c r="AL402" i="51"/>
  <c r="AK402" i="51"/>
  <c r="AJ402" i="51"/>
  <c r="AZ401" i="51"/>
  <c r="AY401" i="51"/>
  <c r="AX401" i="51"/>
  <c r="AW401" i="51"/>
  <c r="AV401" i="51"/>
  <c r="AU401" i="51"/>
  <c r="AT401" i="51"/>
  <c r="AS401" i="51"/>
  <c r="AR401" i="51"/>
  <c r="AQ401" i="51"/>
  <c r="AP401" i="51"/>
  <c r="AO401" i="51"/>
  <c r="AN401" i="51"/>
  <c r="AM401" i="51"/>
  <c r="AL401" i="51"/>
  <c r="AK401" i="51"/>
  <c r="AJ401" i="51"/>
  <c r="AZ400" i="51"/>
  <c r="AY400" i="51"/>
  <c r="AX400" i="51"/>
  <c r="AW400" i="51"/>
  <c r="AV400" i="51"/>
  <c r="AU400" i="51"/>
  <c r="AT400" i="51"/>
  <c r="AS400" i="51"/>
  <c r="AR400" i="51"/>
  <c r="AQ400" i="51"/>
  <c r="AP400" i="51"/>
  <c r="AO400" i="51"/>
  <c r="AN400" i="51"/>
  <c r="AM400" i="51"/>
  <c r="AL400" i="51"/>
  <c r="AK400" i="51"/>
  <c r="AJ400" i="51"/>
  <c r="AZ399" i="51"/>
  <c r="AY399" i="51"/>
  <c r="AX399" i="51"/>
  <c r="AW399" i="51"/>
  <c r="AV399" i="51"/>
  <c r="AU399" i="51"/>
  <c r="AT399" i="51"/>
  <c r="AS399" i="51"/>
  <c r="AR399" i="51"/>
  <c r="AQ399" i="51"/>
  <c r="AP399" i="51"/>
  <c r="AO399" i="51"/>
  <c r="AN399" i="51"/>
  <c r="AM399" i="51"/>
  <c r="AL399" i="51"/>
  <c r="AK399" i="51"/>
  <c r="AJ399" i="51"/>
  <c r="AZ398" i="51"/>
  <c r="AY398" i="51"/>
  <c r="AX398" i="51"/>
  <c r="AW398" i="51"/>
  <c r="AV398" i="51"/>
  <c r="AU398" i="51"/>
  <c r="AT398" i="51"/>
  <c r="AS398" i="51"/>
  <c r="AR398" i="51"/>
  <c r="AQ398" i="51"/>
  <c r="AP398" i="51"/>
  <c r="AO398" i="51"/>
  <c r="AN398" i="51"/>
  <c r="AM398" i="51"/>
  <c r="AL398" i="51"/>
  <c r="AK398" i="51"/>
  <c r="AJ398" i="51"/>
  <c r="AZ397" i="51"/>
  <c r="AY397" i="51"/>
  <c r="AX397" i="51"/>
  <c r="AW397" i="51"/>
  <c r="AV397" i="51"/>
  <c r="AU397" i="51"/>
  <c r="AT397" i="51"/>
  <c r="AS397" i="51"/>
  <c r="AR397" i="51"/>
  <c r="AQ397" i="51"/>
  <c r="AP397" i="51"/>
  <c r="AO397" i="51"/>
  <c r="AN397" i="51"/>
  <c r="AM397" i="51"/>
  <c r="AL397" i="51"/>
  <c r="AK397" i="51"/>
  <c r="AJ397" i="51"/>
  <c r="AZ396" i="51"/>
  <c r="AY396" i="51"/>
  <c r="AX396" i="51"/>
  <c r="AW396" i="51"/>
  <c r="AV396" i="51"/>
  <c r="AU396" i="51"/>
  <c r="AT396" i="51"/>
  <c r="AS396" i="51"/>
  <c r="AR396" i="51"/>
  <c r="AQ396" i="51"/>
  <c r="AP396" i="51"/>
  <c r="AO396" i="51"/>
  <c r="AN396" i="51"/>
  <c r="AM396" i="51"/>
  <c r="AL396" i="51"/>
  <c r="AK396" i="51"/>
  <c r="AJ396" i="51"/>
  <c r="AZ395" i="51"/>
  <c r="AY395" i="51"/>
  <c r="AX395" i="51"/>
  <c r="AW395" i="51"/>
  <c r="AV395" i="51"/>
  <c r="AU395" i="51"/>
  <c r="AT395" i="51"/>
  <c r="AS395" i="51"/>
  <c r="AR395" i="51"/>
  <c r="AQ395" i="51"/>
  <c r="AP395" i="51"/>
  <c r="AO395" i="51"/>
  <c r="AN395" i="51"/>
  <c r="AM395" i="51"/>
  <c r="AL395" i="51"/>
  <c r="AK395" i="51"/>
  <c r="AJ395" i="51"/>
  <c r="AZ394" i="51"/>
  <c r="AY394" i="51"/>
  <c r="AX394" i="51"/>
  <c r="AW394" i="51"/>
  <c r="AV394" i="51"/>
  <c r="AU394" i="51"/>
  <c r="AT394" i="51"/>
  <c r="AS394" i="51"/>
  <c r="AR394" i="51"/>
  <c r="AQ394" i="51"/>
  <c r="AP394" i="51"/>
  <c r="AO394" i="51"/>
  <c r="AN394" i="51"/>
  <c r="AM394" i="51"/>
  <c r="AL394" i="51"/>
  <c r="AK394" i="51"/>
  <c r="AJ394" i="51"/>
  <c r="AZ393" i="51"/>
  <c r="AY393" i="51"/>
  <c r="AX393" i="51"/>
  <c r="AW393" i="51"/>
  <c r="AV393" i="51"/>
  <c r="AU393" i="51"/>
  <c r="AT393" i="51"/>
  <c r="AS393" i="51"/>
  <c r="AR393" i="51"/>
  <c r="AQ393" i="51"/>
  <c r="AP393" i="51"/>
  <c r="AO393" i="51"/>
  <c r="AN393" i="51"/>
  <c r="AM393" i="51"/>
  <c r="AL393" i="51"/>
  <c r="AK393" i="51"/>
  <c r="AJ393" i="51"/>
  <c r="AZ392" i="51"/>
  <c r="AY392" i="51"/>
  <c r="AX392" i="51"/>
  <c r="AW392" i="51"/>
  <c r="AV392" i="51"/>
  <c r="AU392" i="51"/>
  <c r="AT392" i="51"/>
  <c r="AS392" i="51"/>
  <c r="AR392" i="51"/>
  <c r="AQ392" i="51"/>
  <c r="AP392" i="51"/>
  <c r="AO392" i="51"/>
  <c r="AN392" i="51"/>
  <c r="AM392" i="51"/>
  <c r="AL392" i="51"/>
  <c r="AK392" i="51"/>
  <c r="AJ392" i="51"/>
  <c r="AZ391" i="51"/>
  <c r="AY391" i="51"/>
  <c r="AX391" i="51"/>
  <c r="AW391" i="51"/>
  <c r="AV391" i="51"/>
  <c r="AU391" i="51"/>
  <c r="AT391" i="51"/>
  <c r="AS391" i="51"/>
  <c r="AR391" i="51"/>
  <c r="AQ391" i="51"/>
  <c r="AP391" i="51"/>
  <c r="AO391" i="51"/>
  <c r="AN391" i="51"/>
  <c r="AM391" i="51"/>
  <c r="AL391" i="51"/>
  <c r="AK391" i="51"/>
  <c r="AJ391" i="51"/>
  <c r="AZ390" i="51"/>
  <c r="AY390" i="51"/>
  <c r="AX390" i="51"/>
  <c r="AW390" i="51"/>
  <c r="AV390" i="51"/>
  <c r="AU390" i="51"/>
  <c r="AT390" i="51"/>
  <c r="AS390" i="51"/>
  <c r="AR390" i="51"/>
  <c r="AQ390" i="51"/>
  <c r="AP390" i="51"/>
  <c r="AO390" i="51"/>
  <c r="AN390" i="51"/>
  <c r="AM390" i="51"/>
  <c r="AL390" i="51"/>
  <c r="AK390" i="51"/>
  <c r="AJ390" i="51"/>
  <c r="AZ389" i="51"/>
  <c r="AY389" i="51"/>
  <c r="AX389" i="51"/>
  <c r="AW389" i="51"/>
  <c r="AV389" i="51"/>
  <c r="AU389" i="51"/>
  <c r="AT389" i="51"/>
  <c r="AS389" i="51"/>
  <c r="AR389" i="51"/>
  <c r="AQ389" i="51"/>
  <c r="AP389" i="51"/>
  <c r="AO389" i="51"/>
  <c r="AN389" i="51"/>
  <c r="AM389" i="51"/>
  <c r="AL389" i="51"/>
  <c r="AK389" i="51"/>
  <c r="AJ389" i="51"/>
  <c r="AZ388" i="51"/>
  <c r="AY388" i="51"/>
  <c r="AX388" i="51"/>
  <c r="AW388" i="51"/>
  <c r="AV388" i="51"/>
  <c r="AU388" i="51"/>
  <c r="AT388" i="51"/>
  <c r="AS388" i="51"/>
  <c r="AR388" i="51"/>
  <c r="AQ388" i="51"/>
  <c r="AP388" i="51"/>
  <c r="AO388" i="51"/>
  <c r="AN388" i="51"/>
  <c r="AM388" i="51"/>
  <c r="AL388" i="51"/>
  <c r="AK388" i="51"/>
  <c r="AJ388" i="51"/>
  <c r="AZ387" i="51"/>
  <c r="AY387" i="51"/>
  <c r="AX387" i="51"/>
  <c r="AW387" i="51"/>
  <c r="AV387" i="51"/>
  <c r="AU387" i="51"/>
  <c r="AT387" i="51"/>
  <c r="AS387" i="51"/>
  <c r="AR387" i="51"/>
  <c r="AQ387" i="51"/>
  <c r="AP387" i="51"/>
  <c r="AO387" i="51"/>
  <c r="AN387" i="51"/>
  <c r="AM387" i="51"/>
  <c r="AL387" i="51"/>
  <c r="AK387" i="51"/>
  <c r="AJ387" i="51"/>
  <c r="AZ386" i="51"/>
  <c r="AY386" i="51"/>
  <c r="AX386" i="51"/>
  <c r="AW386" i="51"/>
  <c r="AV386" i="51"/>
  <c r="AU386" i="51"/>
  <c r="AT386" i="51"/>
  <c r="AS386" i="51"/>
  <c r="AR386" i="51"/>
  <c r="AQ386" i="51"/>
  <c r="AP386" i="51"/>
  <c r="AO386" i="51"/>
  <c r="AN386" i="51"/>
  <c r="AM386" i="51"/>
  <c r="AL386" i="51"/>
  <c r="AK386" i="51"/>
  <c r="AJ386" i="51"/>
  <c r="AZ385" i="51"/>
  <c r="AY385" i="51"/>
  <c r="AX385" i="51"/>
  <c r="AW385" i="51"/>
  <c r="AV385" i="51"/>
  <c r="AU385" i="51"/>
  <c r="AT385" i="51"/>
  <c r="AS385" i="51"/>
  <c r="AR385" i="51"/>
  <c r="AQ385" i="51"/>
  <c r="AP385" i="51"/>
  <c r="AO385" i="51"/>
  <c r="AN385" i="51"/>
  <c r="AM385" i="51"/>
  <c r="AL385" i="51"/>
  <c r="AK385" i="51"/>
  <c r="AJ385" i="51"/>
  <c r="AZ384" i="51"/>
  <c r="AY384" i="51"/>
  <c r="AX384" i="51"/>
  <c r="AW384" i="51"/>
  <c r="AV384" i="51"/>
  <c r="AU384" i="51"/>
  <c r="AT384" i="51"/>
  <c r="AS384" i="51"/>
  <c r="AR384" i="51"/>
  <c r="AQ384" i="51"/>
  <c r="AP384" i="51"/>
  <c r="AO384" i="51"/>
  <c r="AN384" i="51"/>
  <c r="AM384" i="51"/>
  <c r="AL384" i="51"/>
  <c r="AK384" i="51"/>
  <c r="AJ384" i="51"/>
  <c r="AZ383" i="51"/>
  <c r="AY383" i="51"/>
  <c r="AX383" i="51"/>
  <c r="AW383" i="51"/>
  <c r="AV383" i="51"/>
  <c r="AU383" i="51"/>
  <c r="AT383" i="51"/>
  <c r="AS383" i="51"/>
  <c r="AR383" i="51"/>
  <c r="AQ383" i="51"/>
  <c r="AP383" i="51"/>
  <c r="AO383" i="51"/>
  <c r="AN383" i="51"/>
  <c r="AM383" i="51"/>
  <c r="AL383" i="51"/>
  <c r="AK383" i="51"/>
  <c r="AJ383" i="51"/>
  <c r="AZ382" i="51"/>
  <c r="AY382" i="51"/>
  <c r="AX382" i="51"/>
  <c r="AW382" i="51"/>
  <c r="AV382" i="51"/>
  <c r="AU382" i="51"/>
  <c r="AT382" i="51"/>
  <c r="AS382" i="51"/>
  <c r="AR382" i="51"/>
  <c r="AQ382" i="51"/>
  <c r="AP382" i="51"/>
  <c r="AO382" i="51"/>
  <c r="AN382" i="51"/>
  <c r="AM382" i="51"/>
  <c r="AL382" i="51"/>
  <c r="AK382" i="51"/>
  <c r="AJ382" i="51"/>
  <c r="AZ381" i="51"/>
  <c r="AY381" i="51"/>
  <c r="AX381" i="51"/>
  <c r="AW381" i="51"/>
  <c r="AV381" i="51"/>
  <c r="AU381" i="51"/>
  <c r="AT381" i="51"/>
  <c r="AS381" i="51"/>
  <c r="AR381" i="51"/>
  <c r="AQ381" i="51"/>
  <c r="AP381" i="51"/>
  <c r="AO381" i="51"/>
  <c r="AN381" i="51"/>
  <c r="AM381" i="51"/>
  <c r="AL381" i="51"/>
  <c r="AK381" i="51"/>
  <c r="AJ381" i="51"/>
  <c r="AZ380" i="51"/>
  <c r="AY380" i="51"/>
  <c r="AX380" i="51"/>
  <c r="AW380" i="51"/>
  <c r="AV380" i="51"/>
  <c r="AU380" i="51"/>
  <c r="AT380" i="51"/>
  <c r="AS380" i="51"/>
  <c r="AR380" i="51"/>
  <c r="AQ380" i="51"/>
  <c r="AP380" i="51"/>
  <c r="AO380" i="51"/>
  <c r="AN380" i="51"/>
  <c r="AM380" i="51"/>
  <c r="AL380" i="51"/>
  <c r="AK380" i="51"/>
  <c r="AJ380" i="51"/>
  <c r="AZ379" i="51"/>
  <c r="AY379" i="51"/>
  <c r="AX379" i="51"/>
  <c r="AW379" i="51"/>
  <c r="AV379" i="51"/>
  <c r="AU379" i="51"/>
  <c r="AT379" i="51"/>
  <c r="AS379" i="51"/>
  <c r="AR379" i="51"/>
  <c r="AQ379" i="51"/>
  <c r="AP379" i="51"/>
  <c r="AO379" i="51"/>
  <c r="AN379" i="51"/>
  <c r="AM379" i="51"/>
  <c r="AL379" i="51"/>
  <c r="AK379" i="51"/>
  <c r="AJ379" i="51"/>
  <c r="AZ378" i="51"/>
  <c r="AY378" i="51"/>
  <c r="AX378" i="51"/>
  <c r="AW378" i="51"/>
  <c r="AV378" i="51"/>
  <c r="AU378" i="51"/>
  <c r="AT378" i="51"/>
  <c r="AS378" i="51"/>
  <c r="AR378" i="51"/>
  <c r="AQ378" i="51"/>
  <c r="AP378" i="51"/>
  <c r="AO378" i="51"/>
  <c r="AN378" i="51"/>
  <c r="AM378" i="51"/>
  <c r="AL378" i="51"/>
  <c r="AK378" i="51"/>
  <c r="AJ378" i="51"/>
  <c r="AZ377" i="51"/>
  <c r="AY377" i="51"/>
  <c r="AX377" i="51"/>
  <c r="AW377" i="51"/>
  <c r="AV377" i="51"/>
  <c r="AU377" i="51"/>
  <c r="AT377" i="51"/>
  <c r="AS377" i="51"/>
  <c r="AR377" i="51"/>
  <c r="AQ377" i="51"/>
  <c r="AP377" i="51"/>
  <c r="AO377" i="51"/>
  <c r="AN377" i="51"/>
  <c r="AM377" i="51"/>
  <c r="AL377" i="51"/>
  <c r="AK377" i="51"/>
  <c r="AJ377" i="51"/>
  <c r="AZ376" i="51"/>
  <c r="AY376" i="51"/>
  <c r="AX376" i="51"/>
  <c r="AW376" i="51"/>
  <c r="AV376" i="51"/>
  <c r="AU376" i="51"/>
  <c r="AT376" i="51"/>
  <c r="AS376" i="51"/>
  <c r="AR376" i="51"/>
  <c r="AQ376" i="51"/>
  <c r="AP376" i="51"/>
  <c r="AO376" i="51"/>
  <c r="AN376" i="51"/>
  <c r="AM376" i="51"/>
  <c r="AL376" i="51"/>
  <c r="AK376" i="51"/>
  <c r="AJ376" i="51"/>
  <c r="AZ375" i="51"/>
  <c r="AY375" i="51"/>
  <c r="AX375" i="51"/>
  <c r="AW375" i="51"/>
  <c r="AV375" i="51"/>
  <c r="AU375" i="51"/>
  <c r="AT375" i="51"/>
  <c r="AS375" i="51"/>
  <c r="AR375" i="51"/>
  <c r="AQ375" i="51"/>
  <c r="AP375" i="51"/>
  <c r="AO375" i="51"/>
  <c r="AN375" i="51"/>
  <c r="AM375" i="51"/>
  <c r="AL375" i="51"/>
  <c r="AK375" i="51"/>
  <c r="AJ375" i="51"/>
  <c r="AZ374" i="51"/>
  <c r="AY374" i="51"/>
  <c r="AX374" i="51"/>
  <c r="AW374" i="51"/>
  <c r="AV374" i="51"/>
  <c r="AU374" i="51"/>
  <c r="AT374" i="51"/>
  <c r="AS374" i="51"/>
  <c r="AR374" i="51"/>
  <c r="AQ374" i="51"/>
  <c r="AP374" i="51"/>
  <c r="AO374" i="51"/>
  <c r="AN374" i="51"/>
  <c r="AM374" i="51"/>
  <c r="AL374" i="51"/>
  <c r="AK374" i="51"/>
  <c r="AJ374" i="51"/>
  <c r="AZ373" i="51"/>
  <c r="AY373" i="51"/>
  <c r="AX373" i="51"/>
  <c r="AW373" i="51"/>
  <c r="AV373" i="51"/>
  <c r="AU373" i="51"/>
  <c r="AT373" i="51"/>
  <c r="AS373" i="51"/>
  <c r="AR373" i="51"/>
  <c r="AQ373" i="51"/>
  <c r="AP373" i="51"/>
  <c r="AO373" i="51"/>
  <c r="AN373" i="51"/>
  <c r="AM373" i="51"/>
  <c r="AL373" i="51"/>
  <c r="AK373" i="51"/>
  <c r="AJ373" i="51"/>
  <c r="AZ372" i="51"/>
  <c r="AY372" i="51"/>
  <c r="AX372" i="51"/>
  <c r="AW372" i="51"/>
  <c r="AV372" i="51"/>
  <c r="AU372" i="51"/>
  <c r="AT372" i="51"/>
  <c r="AS372" i="51"/>
  <c r="AR372" i="51"/>
  <c r="AQ372" i="51"/>
  <c r="AP372" i="51"/>
  <c r="AO372" i="51"/>
  <c r="AN372" i="51"/>
  <c r="AM372" i="51"/>
  <c r="AL372" i="51"/>
  <c r="AK372" i="51"/>
  <c r="AJ372" i="51"/>
  <c r="AZ371" i="51"/>
  <c r="AY371" i="51"/>
  <c r="AX371" i="51"/>
  <c r="AW371" i="51"/>
  <c r="AV371" i="51"/>
  <c r="AU371" i="51"/>
  <c r="AT371" i="51"/>
  <c r="AS371" i="51"/>
  <c r="AR371" i="51"/>
  <c r="AQ371" i="51"/>
  <c r="AP371" i="51"/>
  <c r="AO371" i="51"/>
  <c r="AN371" i="51"/>
  <c r="AM371" i="51"/>
  <c r="AL371" i="51"/>
  <c r="AK371" i="51"/>
  <c r="AJ371" i="51"/>
  <c r="AZ370" i="51"/>
  <c r="AY370" i="51"/>
  <c r="AX370" i="51"/>
  <c r="AW370" i="51"/>
  <c r="AV370" i="51"/>
  <c r="AU370" i="51"/>
  <c r="AT370" i="51"/>
  <c r="AS370" i="51"/>
  <c r="AR370" i="51"/>
  <c r="AQ370" i="51"/>
  <c r="AP370" i="51"/>
  <c r="AO370" i="51"/>
  <c r="AN370" i="51"/>
  <c r="AM370" i="51"/>
  <c r="AL370" i="51"/>
  <c r="AK370" i="51"/>
  <c r="AJ370" i="51"/>
  <c r="AZ369" i="51"/>
  <c r="AY369" i="51"/>
  <c r="AX369" i="51"/>
  <c r="AW369" i="51"/>
  <c r="AV369" i="51"/>
  <c r="AU369" i="51"/>
  <c r="AT369" i="51"/>
  <c r="AS369" i="51"/>
  <c r="AR369" i="51"/>
  <c r="AQ369" i="51"/>
  <c r="AP369" i="51"/>
  <c r="AO369" i="51"/>
  <c r="AN369" i="51"/>
  <c r="AM369" i="51"/>
  <c r="AL369" i="51"/>
  <c r="AK369" i="51"/>
  <c r="AJ369" i="51"/>
  <c r="AZ368" i="51"/>
  <c r="AY368" i="51"/>
  <c r="AX368" i="51"/>
  <c r="AW368" i="51"/>
  <c r="AV368" i="51"/>
  <c r="AU368" i="51"/>
  <c r="AT368" i="51"/>
  <c r="AS368" i="51"/>
  <c r="AR368" i="51"/>
  <c r="AQ368" i="51"/>
  <c r="AP368" i="51"/>
  <c r="AO368" i="51"/>
  <c r="AN368" i="51"/>
  <c r="AM368" i="51"/>
  <c r="AL368" i="51"/>
  <c r="AK368" i="51"/>
  <c r="AJ368" i="51"/>
  <c r="AZ367" i="51"/>
  <c r="AY367" i="51"/>
  <c r="AX367" i="51"/>
  <c r="AW367" i="51"/>
  <c r="AV367" i="51"/>
  <c r="AU367" i="51"/>
  <c r="AT367" i="51"/>
  <c r="AS367" i="51"/>
  <c r="AR367" i="51"/>
  <c r="AQ367" i="51"/>
  <c r="AP367" i="51"/>
  <c r="AO367" i="51"/>
  <c r="AN367" i="51"/>
  <c r="AM367" i="51"/>
  <c r="AL367" i="51"/>
  <c r="AK367" i="51"/>
  <c r="AJ367" i="51"/>
  <c r="AZ366" i="51"/>
  <c r="AY366" i="51"/>
  <c r="AX366" i="51"/>
  <c r="AW366" i="51"/>
  <c r="AV366" i="51"/>
  <c r="AU366" i="51"/>
  <c r="AT366" i="51"/>
  <c r="AS366" i="51"/>
  <c r="AR366" i="51"/>
  <c r="AQ366" i="51"/>
  <c r="AP366" i="51"/>
  <c r="AO366" i="51"/>
  <c r="AN366" i="51"/>
  <c r="AM366" i="51"/>
  <c r="AL366" i="51"/>
  <c r="AK366" i="51"/>
  <c r="AJ366" i="51"/>
  <c r="AZ365" i="51"/>
  <c r="AY365" i="51"/>
  <c r="AX365" i="51"/>
  <c r="AW365" i="51"/>
  <c r="AV365" i="51"/>
  <c r="AU365" i="51"/>
  <c r="AT365" i="51"/>
  <c r="AS365" i="51"/>
  <c r="AR365" i="51"/>
  <c r="AQ365" i="51"/>
  <c r="AP365" i="51"/>
  <c r="AO365" i="51"/>
  <c r="AN365" i="51"/>
  <c r="AM365" i="51"/>
  <c r="AL365" i="51"/>
  <c r="AK365" i="51"/>
  <c r="AJ365" i="51"/>
  <c r="AZ364" i="51"/>
  <c r="AY364" i="51"/>
  <c r="AX364" i="51"/>
  <c r="AW364" i="51"/>
  <c r="AV364" i="51"/>
  <c r="AU364" i="51"/>
  <c r="AT364" i="51"/>
  <c r="AS364" i="51"/>
  <c r="AR364" i="51"/>
  <c r="AQ364" i="51"/>
  <c r="AP364" i="51"/>
  <c r="AO364" i="51"/>
  <c r="AN364" i="51"/>
  <c r="AM364" i="51"/>
  <c r="AL364" i="51"/>
  <c r="AK364" i="51"/>
  <c r="AJ364" i="51"/>
  <c r="AZ363" i="51"/>
  <c r="AY363" i="51"/>
  <c r="AX363" i="51"/>
  <c r="AW363" i="51"/>
  <c r="AV363" i="51"/>
  <c r="AU363" i="51"/>
  <c r="AT363" i="51"/>
  <c r="AS363" i="51"/>
  <c r="AR363" i="51"/>
  <c r="AQ363" i="51"/>
  <c r="AP363" i="51"/>
  <c r="AO363" i="51"/>
  <c r="AN363" i="51"/>
  <c r="AM363" i="51"/>
  <c r="AL363" i="51"/>
  <c r="AK363" i="51"/>
  <c r="AJ363" i="51"/>
  <c r="AZ362" i="51"/>
  <c r="AY362" i="51"/>
  <c r="AX362" i="51"/>
  <c r="AW362" i="51"/>
  <c r="AV362" i="51"/>
  <c r="AU362" i="51"/>
  <c r="AT362" i="51"/>
  <c r="AS362" i="51"/>
  <c r="AR362" i="51"/>
  <c r="AQ362" i="51"/>
  <c r="AP362" i="51"/>
  <c r="AO362" i="51"/>
  <c r="AN362" i="51"/>
  <c r="AM362" i="51"/>
  <c r="AL362" i="51"/>
  <c r="AK362" i="51"/>
  <c r="AJ362" i="51"/>
  <c r="AZ361" i="51"/>
  <c r="AY361" i="51"/>
  <c r="AX361" i="51"/>
  <c r="AW361" i="51"/>
  <c r="AV361" i="51"/>
  <c r="AU361" i="51"/>
  <c r="AT361" i="51"/>
  <c r="AS361" i="51"/>
  <c r="AR361" i="51"/>
  <c r="AQ361" i="51"/>
  <c r="AP361" i="51"/>
  <c r="AO361" i="51"/>
  <c r="AN361" i="51"/>
  <c r="AM361" i="51"/>
  <c r="AL361" i="51"/>
  <c r="AK361" i="51"/>
  <c r="AJ361" i="51"/>
  <c r="AZ360" i="51"/>
  <c r="AY360" i="51"/>
  <c r="AX360" i="51"/>
  <c r="AW360" i="51"/>
  <c r="AV360" i="51"/>
  <c r="AU360" i="51"/>
  <c r="AT360" i="51"/>
  <c r="AS360" i="51"/>
  <c r="AR360" i="51"/>
  <c r="AQ360" i="51"/>
  <c r="AP360" i="51"/>
  <c r="AO360" i="51"/>
  <c r="AN360" i="51"/>
  <c r="AM360" i="51"/>
  <c r="AL360" i="51"/>
  <c r="AK360" i="51"/>
  <c r="AJ360" i="51"/>
  <c r="AZ359" i="51"/>
  <c r="AY359" i="51"/>
  <c r="AX359" i="51"/>
  <c r="AW359" i="51"/>
  <c r="AV359" i="51"/>
  <c r="AU359" i="51"/>
  <c r="AT359" i="51"/>
  <c r="AS359" i="51"/>
  <c r="AR359" i="51"/>
  <c r="AQ359" i="51"/>
  <c r="AP359" i="51"/>
  <c r="AO359" i="51"/>
  <c r="AN359" i="51"/>
  <c r="AM359" i="51"/>
  <c r="AL359" i="51"/>
  <c r="AK359" i="51"/>
  <c r="AJ359" i="51"/>
  <c r="AZ358" i="51"/>
  <c r="AY358" i="51"/>
  <c r="AX358" i="51"/>
  <c r="AW358" i="51"/>
  <c r="AV358" i="51"/>
  <c r="AU358" i="51"/>
  <c r="AT358" i="51"/>
  <c r="AS358" i="51"/>
  <c r="AR358" i="51"/>
  <c r="AQ358" i="51"/>
  <c r="AP358" i="51"/>
  <c r="AO358" i="51"/>
  <c r="AN358" i="51"/>
  <c r="AM358" i="51"/>
  <c r="AL358" i="51"/>
  <c r="AK358" i="51"/>
  <c r="AJ358" i="51"/>
  <c r="AZ357" i="51"/>
  <c r="AY357" i="51"/>
  <c r="AX357" i="51"/>
  <c r="AW357" i="51"/>
  <c r="AV357" i="51"/>
  <c r="AU357" i="51"/>
  <c r="AT357" i="51"/>
  <c r="AS357" i="51"/>
  <c r="AR357" i="51"/>
  <c r="AQ357" i="51"/>
  <c r="AP357" i="51"/>
  <c r="AO357" i="51"/>
  <c r="AN357" i="51"/>
  <c r="AM357" i="51"/>
  <c r="AL357" i="51"/>
  <c r="AK357" i="51"/>
  <c r="AJ357" i="51"/>
  <c r="AZ356" i="51"/>
  <c r="AY356" i="51"/>
  <c r="AX356" i="51"/>
  <c r="AW356" i="51"/>
  <c r="AV356" i="51"/>
  <c r="AU356" i="51"/>
  <c r="AT356" i="51"/>
  <c r="AS356" i="51"/>
  <c r="AR356" i="51"/>
  <c r="AQ356" i="51"/>
  <c r="AP356" i="51"/>
  <c r="AO356" i="51"/>
  <c r="AN356" i="51"/>
  <c r="AM356" i="51"/>
  <c r="AL356" i="51"/>
  <c r="AK356" i="51"/>
  <c r="AJ356" i="51"/>
  <c r="AZ355" i="51"/>
  <c r="AY355" i="51"/>
  <c r="AX355" i="51"/>
  <c r="AW355" i="51"/>
  <c r="AV355" i="51"/>
  <c r="AU355" i="51"/>
  <c r="AT355" i="51"/>
  <c r="AS355" i="51"/>
  <c r="AR355" i="51"/>
  <c r="AQ355" i="51"/>
  <c r="AP355" i="51"/>
  <c r="AO355" i="51"/>
  <c r="AN355" i="51"/>
  <c r="AM355" i="51"/>
  <c r="AL355" i="51"/>
  <c r="AK355" i="51"/>
  <c r="AJ355" i="51"/>
  <c r="AZ354" i="51"/>
  <c r="AY354" i="51"/>
  <c r="AX354" i="51"/>
  <c r="AW354" i="51"/>
  <c r="AV354" i="51"/>
  <c r="AU354" i="51"/>
  <c r="AT354" i="51"/>
  <c r="AS354" i="51"/>
  <c r="AR354" i="51"/>
  <c r="AQ354" i="51"/>
  <c r="AP354" i="51"/>
  <c r="AO354" i="51"/>
  <c r="AN354" i="51"/>
  <c r="AM354" i="51"/>
  <c r="AL354" i="51"/>
  <c r="AK354" i="51"/>
  <c r="AJ354" i="51"/>
  <c r="AZ353" i="51"/>
  <c r="AY353" i="51"/>
  <c r="AX353" i="51"/>
  <c r="AW353" i="51"/>
  <c r="AV353" i="51"/>
  <c r="AU353" i="51"/>
  <c r="AT353" i="51"/>
  <c r="AS353" i="51"/>
  <c r="AR353" i="51"/>
  <c r="AQ353" i="51"/>
  <c r="AP353" i="51"/>
  <c r="AO353" i="51"/>
  <c r="AN353" i="51"/>
  <c r="AM353" i="51"/>
  <c r="AL353" i="51"/>
  <c r="AK353" i="51"/>
  <c r="AJ353" i="51"/>
  <c r="AZ352" i="51"/>
  <c r="AY352" i="51"/>
  <c r="AX352" i="51"/>
  <c r="AW352" i="51"/>
  <c r="AV352" i="51"/>
  <c r="AU352" i="51"/>
  <c r="AT352" i="51"/>
  <c r="AS352" i="51"/>
  <c r="AR352" i="51"/>
  <c r="AQ352" i="51"/>
  <c r="AP352" i="51"/>
  <c r="AO352" i="51"/>
  <c r="AN352" i="51"/>
  <c r="AM352" i="51"/>
  <c r="AL352" i="51"/>
  <c r="AK352" i="51"/>
  <c r="AJ352" i="51"/>
  <c r="AZ351" i="51"/>
  <c r="AY351" i="51"/>
  <c r="AX351" i="51"/>
  <c r="AW351" i="51"/>
  <c r="AV351" i="51"/>
  <c r="AU351" i="51"/>
  <c r="AT351" i="51"/>
  <c r="AS351" i="51"/>
  <c r="AR351" i="51"/>
  <c r="AQ351" i="51"/>
  <c r="AP351" i="51"/>
  <c r="AO351" i="51"/>
  <c r="AN351" i="51"/>
  <c r="AM351" i="51"/>
  <c r="AL351" i="51"/>
  <c r="AK351" i="51"/>
  <c r="AJ351" i="51"/>
  <c r="AZ350" i="51"/>
  <c r="AY350" i="51"/>
  <c r="AX350" i="51"/>
  <c r="AW350" i="51"/>
  <c r="AV350" i="51"/>
  <c r="AU350" i="51"/>
  <c r="AT350" i="51"/>
  <c r="AS350" i="51"/>
  <c r="AR350" i="51"/>
  <c r="AQ350" i="51"/>
  <c r="AP350" i="51"/>
  <c r="AO350" i="51"/>
  <c r="AN350" i="51"/>
  <c r="AM350" i="51"/>
  <c r="AL350" i="51"/>
  <c r="AK350" i="51"/>
  <c r="AJ350" i="51"/>
  <c r="AZ349" i="51"/>
  <c r="AY349" i="51"/>
  <c r="AX349" i="51"/>
  <c r="AW349" i="51"/>
  <c r="AV349" i="51"/>
  <c r="AU349" i="51"/>
  <c r="AT349" i="51"/>
  <c r="AS349" i="51"/>
  <c r="AR349" i="51"/>
  <c r="AQ349" i="51"/>
  <c r="AP349" i="51"/>
  <c r="AO349" i="51"/>
  <c r="AN349" i="51"/>
  <c r="AM349" i="51"/>
  <c r="AL349" i="51"/>
  <c r="AK349" i="51"/>
  <c r="AJ349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Z347" i="51"/>
  <c r="AY347" i="51"/>
  <c r="AX347" i="51"/>
  <c r="AW347" i="51"/>
  <c r="AV347" i="51"/>
  <c r="AU347" i="51"/>
  <c r="AT347" i="51"/>
  <c r="AS347" i="51"/>
  <c r="AR347" i="51"/>
  <c r="AQ347" i="51"/>
  <c r="AP347" i="51"/>
  <c r="AO347" i="51"/>
  <c r="AN347" i="51"/>
  <c r="AM347" i="51"/>
  <c r="AL347" i="51"/>
  <c r="AK347" i="51"/>
  <c r="AJ347" i="51"/>
  <c r="AZ346" i="51"/>
  <c r="AY346" i="51"/>
  <c r="AX346" i="51"/>
  <c r="AW346" i="51"/>
  <c r="AV346" i="51"/>
  <c r="AU346" i="51"/>
  <c r="AT346" i="51"/>
  <c r="AS346" i="51"/>
  <c r="AR346" i="51"/>
  <c r="AQ346" i="51"/>
  <c r="AP346" i="51"/>
  <c r="AO346" i="51"/>
  <c r="AN346" i="51"/>
  <c r="AM346" i="51"/>
  <c r="AL346" i="51"/>
  <c r="AK346" i="51"/>
  <c r="AJ346" i="51"/>
  <c r="AZ345" i="51"/>
  <c r="AY345" i="51"/>
  <c r="AX345" i="51"/>
  <c r="AW345" i="51"/>
  <c r="AV345" i="51"/>
  <c r="AU345" i="51"/>
  <c r="AT345" i="51"/>
  <c r="AS345" i="51"/>
  <c r="AR345" i="51"/>
  <c r="AQ345" i="51"/>
  <c r="AP345" i="51"/>
  <c r="AO345" i="51"/>
  <c r="AN345" i="51"/>
  <c r="AM345" i="51"/>
  <c r="AL345" i="51"/>
  <c r="AK345" i="51"/>
  <c r="AJ345" i="51"/>
  <c r="AZ344" i="51"/>
  <c r="AY344" i="51"/>
  <c r="AX344" i="51"/>
  <c r="AW344" i="51"/>
  <c r="AV344" i="51"/>
  <c r="AU344" i="51"/>
  <c r="AT344" i="51"/>
  <c r="AS344" i="51"/>
  <c r="AR344" i="51"/>
  <c r="AQ344" i="51"/>
  <c r="AP344" i="51"/>
  <c r="AO344" i="51"/>
  <c r="AN344" i="51"/>
  <c r="AM344" i="51"/>
  <c r="AL344" i="51"/>
  <c r="AK344" i="51"/>
  <c r="AJ344" i="51"/>
  <c r="AZ343" i="51"/>
  <c r="AY343" i="51"/>
  <c r="AX343" i="51"/>
  <c r="AW343" i="51"/>
  <c r="AV343" i="51"/>
  <c r="AU343" i="51"/>
  <c r="AT343" i="51"/>
  <c r="AS343" i="51"/>
  <c r="AR343" i="51"/>
  <c r="AQ343" i="51"/>
  <c r="AP343" i="51"/>
  <c r="AO343" i="51"/>
  <c r="AN343" i="51"/>
  <c r="AM343" i="51"/>
  <c r="AL343" i="51"/>
  <c r="AK343" i="51"/>
  <c r="AJ343" i="51"/>
  <c r="AZ342" i="51"/>
  <c r="AY342" i="51"/>
  <c r="AX342" i="51"/>
  <c r="AW342" i="51"/>
  <c r="AV342" i="51"/>
  <c r="AU342" i="51"/>
  <c r="AT342" i="51"/>
  <c r="AS342" i="51"/>
  <c r="AR342" i="51"/>
  <c r="AQ342" i="51"/>
  <c r="AP342" i="51"/>
  <c r="AO342" i="51"/>
  <c r="AN342" i="51"/>
  <c r="AM342" i="51"/>
  <c r="AL342" i="51"/>
  <c r="AK342" i="51"/>
  <c r="AJ342" i="51"/>
  <c r="AZ341" i="51"/>
  <c r="AY341" i="51"/>
  <c r="AX341" i="51"/>
  <c r="AW341" i="51"/>
  <c r="AV341" i="51"/>
  <c r="AU341" i="51"/>
  <c r="AT341" i="51"/>
  <c r="AS341" i="51"/>
  <c r="AR341" i="51"/>
  <c r="AQ341" i="51"/>
  <c r="AP341" i="51"/>
  <c r="AO341" i="51"/>
  <c r="AN341" i="51"/>
  <c r="AM341" i="51"/>
  <c r="AL341" i="51"/>
  <c r="AK341" i="51"/>
  <c r="AJ341" i="51"/>
  <c r="AZ340" i="51"/>
  <c r="AY340" i="51"/>
  <c r="AX340" i="51"/>
  <c r="AW340" i="51"/>
  <c r="AV340" i="51"/>
  <c r="AU340" i="51"/>
  <c r="AT340" i="51"/>
  <c r="AS340" i="51"/>
  <c r="AR340" i="51"/>
  <c r="AQ340" i="51"/>
  <c r="AP340" i="51"/>
  <c r="AO340" i="51"/>
  <c r="AN340" i="51"/>
  <c r="AM340" i="51"/>
  <c r="AL340" i="51"/>
  <c r="AK340" i="51"/>
  <c r="AJ340" i="51"/>
  <c r="AZ339" i="51"/>
  <c r="AY339" i="51"/>
  <c r="AX339" i="51"/>
  <c r="AW339" i="51"/>
  <c r="AV339" i="51"/>
  <c r="AU339" i="51"/>
  <c r="AT339" i="51"/>
  <c r="AS339" i="51"/>
  <c r="AR339" i="51"/>
  <c r="AQ339" i="51"/>
  <c r="AP339" i="51"/>
  <c r="AO339" i="51"/>
  <c r="AN339" i="51"/>
  <c r="AM339" i="51"/>
  <c r="AL339" i="51"/>
  <c r="AK339" i="51"/>
  <c r="AJ339" i="51"/>
  <c r="AZ338" i="51"/>
  <c r="AY338" i="51"/>
  <c r="AX338" i="51"/>
  <c r="AW338" i="51"/>
  <c r="AV338" i="51"/>
  <c r="AU338" i="51"/>
  <c r="AT338" i="51"/>
  <c r="AS338" i="51"/>
  <c r="AR338" i="51"/>
  <c r="AQ338" i="51"/>
  <c r="AP338" i="51"/>
  <c r="AO338" i="51"/>
  <c r="AN338" i="51"/>
  <c r="AM338" i="51"/>
  <c r="AL338" i="51"/>
  <c r="AK338" i="51"/>
  <c r="AJ338" i="51"/>
  <c r="AZ337" i="51"/>
  <c r="AY337" i="51"/>
  <c r="AX337" i="51"/>
  <c r="AW337" i="51"/>
  <c r="AV337" i="51"/>
  <c r="AU337" i="51"/>
  <c r="AT337" i="51"/>
  <c r="AS337" i="51"/>
  <c r="AR337" i="51"/>
  <c r="AQ337" i="51"/>
  <c r="AP337" i="51"/>
  <c r="AO337" i="51"/>
  <c r="AN337" i="51"/>
  <c r="AM337" i="51"/>
  <c r="AL337" i="51"/>
  <c r="AK337" i="51"/>
  <c r="AJ337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Z335" i="51"/>
  <c r="AY335" i="51"/>
  <c r="AX335" i="51"/>
  <c r="AW335" i="51"/>
  <c r="AV335" i="51"/>
  <c r="AU335" i="51"/>
  <c r="AT335" i="51"/>
  <c r="AS335" i="51"/>
  <c r="AR335" i="51"/>
  <c r="AQ335" i="51"/>
  <c r="AP335" i="51"/>
  <c r="AO335" i="51"/>
  <c r="AN335" i="51"/>
  <c r="AM335" i="51"/>
  <c r="AL335" i="51"/>
  <c r="AK335" i="51"/>
  <c r="AJ335" i="51"/>
  <c r="AZ334" i="51"/>
  <c r="AY334" i="51"/>
  <c r="AX334" i="51"/>
  <c r="AW334" i="51"/>
  <c r="AV334" i="51"/>
  <c r="AU334" i="51"/>
  <c r="AT334" i="51"/>
  <c r="AS334" i="51"/>
  <c r="AR334" i="51"/>
  <c r="AQ334" i="51"/>
  <c r="AP334" i="51"/>
  <c r="AO334" i="51"/>
  <c r="AN334" i="51"/>
  <c r="AM334" i="51"/>
  <c r="AL334" i="51"/>
  <c r="AK334" i="51"/>
  <c r="AJ334" i="51"/>
  <c r="AZ333" i="51"/>
  <c r="AY333" i="51"/>
  <c r="AX333" i="51"/>
  <c r="AW333" i="51"/>
  <c r="AV333" i="51"/>
  <c r="AU333" i="51"/>
  <c r="AT333" i="51"/>
  <c r="AS333" i="51"/>
  <c r="AR333" i="51"/>
  <c r="AQ333" i="51"/>
  <c r="AP333" i="51"/>
  <c r="AO333" i="51"/>
  <c r="AN333" i="51"/>
  <c r="AM333" i="51"/>
  <c r="AL333" i="51"/>
  <c r="AK333" i="51"/>
  <c r="AJ333" i="51"/>
  <c r="AZ332" i="51"/>
  <c r="AY332" i="51"/>
  <c r="AX332" i="51"/>
  <c r="AW332" i="51"/>
  <c r="AV332" i="51"/>
  <c r="AU332" i="51"/>
  <c r="AT332" i="51"/>
  <c r="AS332" i="51"/>
  <c r="AR332" i="51"/>
  <c r="AQ332" i="51"/>
  <c r="AP332" i="51"/>
  <c r="AO332" i="51"/>
  <c r="AN332" i="51"/>
  <c r="AM332" i="51"/>
  <c r="AL332" i="51"/>
  <c r="AK332" i="51"/>
  <c r="AJ332" i="51"/>
  <c r="AZ331" i="51"/>
  <c r="AY331" i="51"/>
  <c r="AX331" i="51"/>
  <c r="AW331" i="51"/>
  <c r="AV331" i="51"/>
  <c r="AU331" i="51"/>
  <c r="AT331" i="51"/>
  <c r="AS331" i="51"/>
  <c r="AR331" i="51"/>
  <c r="AQ331" i="51"/>
  <c r="AP331" i="51"/>
  <c r="AO331" i="51"/>
  <c r="AN331" i="51"/>
  <c r="AM331" i="51"/>
  <c r="AL331" i="51"/>
  <c r="AK331" i="51"/>
  <c r="AJ331" i="51"/>
  <c r="AZ330" i="51"/>
  <c r="AY330" i="51"/>
  <c r="AX330" i="51"/>
  <c r="AW330" i="51"/>
  <c r="AV330" i="51"/>
  <c r="AU330" i="51"/>
  <c r="AT330" i="51"/>
  <c r="AS330" i="51"/>
  <c r="AR330" i="51"/>
  <c r="AQ330" i="51"/>
  <c r="AP330" i="51"/>
  <c r="AO330" i="51"/>
  <c r="AN330" i="51"/>
  <c r="AM330" i="51"/>
  <c r="AL330" i="51"/>
  <c r="AK330" i="51"/>
  <c r="AJ330" i="51"/>
  <c r="AZ329" i="51"/>
  <c r="AY329" i="51"/>
  <c r="AX329" i="51"/>
  <c r="AW329" i="51"/>
  <c r="AV329" i="51"/>
  <c r="AU329" i="51"/>
  <c r="AT329" i="51"/>
  <c r="AS329" i="51"/>
  <c r="AR329" i="51"/>
  <c r="AQ329" i="51"/>
  <c r="AP329" i="51"/>
  <c r="AO329" i="51"/>
  <c r="AN329" i="51"/>
  <c r="AM329" i="51"/>
  <c r="AL329" i="51"/>
  <c r="AK329" i="51"/>
  <c r="AJ329" i="51"/>
  <c r="AZ328" i="51"/>
  <c r="AY328" i="51"/>
  <c r="AX328" i="51"/>
  <c r="AW328" i="51"/>
  <c r="AV328" i="51"/>
  <c r="AU328" i="51"/>
  <c r="AT328" i="51"/>
  <c r="AS328" i="51"/>
  <c r="AR328" i="51"/>
  <c r="AQ328" i="51"/>
  <c r="AP328" i="51"/>
  <c r="AO328" i="51"/>
  <c r="AN328" i="51"/>
  <c r="AM328" i="51"/>
  <c r="AL328" i="51"/>
  <c r="AK328" i="51"/>
  <c r="AJ328" i="51"/>
  <c r="AZ327" i="51"/>
  <c r="AY327" i="51"/>
  <c r="AX327" i="51"/>
  <c r="AW327" i="51"/>
  <c r="AV327" i="51"/>
  <c r="AU327" i="51"/>
  <c r="AT327" i="51"/>
  <c r="AS327" i="51"/>
  <c r="AR327" i="51"/>
  <c r="AQ327" i="51"/>
  <c r="AP327" i="51"/>
  <c r="AO327" i="51"/>
  <c r="AN327" i="51"/>
  <c r="AM327" i="51"/>
  <c r="AL327" i="51"/>
  <c r="AK327" i="51"/>
  <c r="AJ327" i="51"/>
  <c r="AZ326" i="51"/>
  <c r="AY326" i="51"/>
  <c r="AX326" i="51"/>
  <c r="AW326" i="51"/>
  <c r="AV326" i="51"/>
  <c r="AU326" i="51"/>
  <c r="AT326" i="51"/>
  <c r="AS326" i="51"/>
  <c r="AR326" i="51"/>
  <c r="AQ326" i="51"/>
  <c r="AP326" i="51"/>
  <c r="AO326" i="51"/>
  <c r="AN326" i="51"/>
  <c r="AM326" i="51"/>
  <c r="AL326" i="51"/>
  <c r="AK326" i="51"/>
  <c r="AJ326" i="51"/>
  <c r="AZ325" i="51"/>
  <c r="AY325" i="51"/>
  <c r="AX325" i="51"/>
  <c r="AW325" i="51"/>
  <c r="AV325" i="51"/>
  <c r="AU325" i="51"/>
  <c r="AT325" i="51"/>
  <c r="AS325" i="51"/>
  <c r="AR325" i="51"/>
  <c r="AQ325" i="51"/>
  <c r="AP325" i="51"/>
  <c r="AO325" i="51"/>
  <c r="AN325" i="51"/>
  <c r="AM325" i="51"/>
  <c r="AL325" i="51"/>
  <c r="AK325" i="51"/>
  <c r="AJ325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Z323" i="51"/>
  <c r="AY323" i="51"/>
  <c r="AX323" i="51"/>
  <c r="AW323" i="51"/>
  <c r="AV323" i="51"/>
  <c r="AU323" i="51"/>
  <c r="AT323" i="51"/>
  <c r="AS323" i="51"/>
  <c r="AR323" i="51"/>
  <c r="AQ323" i="51"/>
  <c r="AP323" i="51"/>
  <c r="AO323" i="51"/>
  <c r="AN323" i="51"/>
  <c r="AM323" i="51"/>
  <c r="AL323" i="51"/>
  <c r="AK323" i="51"/>
  <c r="AJ323" i="51"/>
  <c r="AZ322" i="51"/>
  <c r="AY322" i="51"/>
  <c r="AX322" i="51"/>
  <c r="AW322" i="51"/>
  <c r="AV322" i="51"/>
  <c r="AU322" i="51"/>
  <c r="AT322" i="51"/>
  <c r="AS322" i="51"/>
  <c r="AR322" i="51"/>
  <c r="AQ322" i="51"/>
  <c r="AP322" i="51"/>
  <c r="AO322" i="51"/>
  <c r="AN322" i="51"/>
  <c r="AM322" i="51"/>
  <c r="AL322" i="51"/>
  <c r="AK322" i="51"/>
  <c r="AJ322" i="51"/>
  <c r="AZ321" i="51"/>
  <c r="AY321" i="51"/>
  <c r="AX321" i="51"/>
  <c r="AW321" i="51"/>
  <c r="AV321" i="51"/>
  <c r="AU321" i="51"/>
  <c r="AT321" i="51"/>
  <c r="AS321" i="51"/>
  <c r="AR321" i="51"/>
  <c r="AQ321" i="51"/>
  <c r="AP321" i="51"/>
  <c r="AO321" i="51"/>
  <c r="AN321" i="51"/>
  <c r="AM321" i="51"/>
  <c r="AL321" i="51"/>
  <c r="AK321" i="51"/>
  <c r="AJ321" i="51"/>
  <c r="AZ320" i="51"/>
  <c r="AY320" i="51"/>
  <c r="AX320" i="51"/>
  <c r="AW320" i="51"/>
  <c r="AV320" i="51"/>
  <c r="AU320" i="51"/>
  <c r="AT320" i="51"/>
  <c r="AS320" i="51"/>
  <c r="AR320" i="51"/>
  <c r="AQ320" i="51"/>
  <c r="AP320" i="51"/>
  <c r="AO320" i="51"/>
  <c r="AN320" i="51"/>
  <c r="AM320" i="51"/>
  <c r="AL320" i="51"/>
  <c r="AK320" i="51"/>
  <c r="AJ320" i="51"/>
  <c r="AZ319" i="51"/>
  <c r="AY319" i="51"/>
  <c r="AX319" i="51"/>
  <c r="AW319" i="51"/>
  <c r="AV319" i="51"/>
  <c r="AU319" i="51"/>
  <c r="AT319" i="51"/>
  <c r="AS319" i="51"/>
  <c r="AR319" i="51"/>
  <c r="AQ319" i="51"/>
  <c r="AP319" i="51"/>
  <c r="AO319" i="51"/>
  <c r="AN319" i="51"/>
  <c r="AM319" i="51"/>
  <c r="AL319" i="51"/>
  <c r="AK319" i="51"/>
  <c r="AJ319" i="51"/>
  <c r="AZ318" i="51"/>
  <c r="AY318" i="51"/>
  <c r="AX318" i="51"/>
  <c r="AW318" i="51"/>
  <c r="AV318" i="51"/>
  <c r="AU318" i="51"/>
  <c r="AT318" i="51"/>
  <c r="AS318" i="51"/>
  <c r="AR318" i="51"/>
  <c r="AQ318" i="51"/>
  <c r="AP318" i="51"/>
  <c r="AO318" i="51"/>
  <c r="AN318" i="51"/>
  <c r="AM318" i="51"/>
  <c r="AL318" i="51"/>
  <c r="AK318" i="51"/>
  <c r="AJ318" i="51"/>
  <c r="AZ317" i="51"/>
  <c r="AY317" i="51"/>
  <c r="AX317" i="51"/>
  <c r="AW317" i="51"/>
  <c r="AV317" i="51"/>
  <c r="AU317" i="51"/>
  <c r="AT317" i="51"/>
  <c r="AS317" i="51"/>
  <c r="AR317" i="51"/>
  <c r="AQ317" i="51"/>
  <c r="AP317" i="51"/>
  <c r="AO317" i="51"/>
  <c r="AN317" i="51"/>
  <c r="AM317" i="51"/>
  <c r="AL317" i="51"/>
  <c r="AK317" i="51"/>
  <c r="AJ317" i="51"/>
  <c r="AZ316" i="51"/>
  <c r="AY316" i="51"/>
  <c r="AX316" i="51"/>
  <c r="AW316" i="51"/>
  <c r="AV316" i="51"/>
  <c r="AU316" i="51"/>
  <c r="AT316" i="51"/>
  <c r="AS316" i="51"/>
  <c r="AR316" i="51"/>
  <c r="AQ316" i="51"/>
  <c r="AP316" i="51"/>
  <c r="AO316" i="51"/>
  <c r="AN316" i="51"/>
  <c r="AM316" i="51"/>
  <c r="AL316" i="51"/>
  <c r="AK316" i="51"/>
  <c r="AJ316" i="51"/>
  <c r="AZ315" i="51"/>
  <c r="AY315" i="51"/>
  <c r="AX315" i="51"/>
  <c r="AW315" i="51"/>
  <c r="AV315" i="51"/>
  <c r="AU315" i="51"/>
  <c r="AT315" i="51"/>
  <c r="AS315" i="51"/>
  <c r="AR315" i="51"/>
  <c r="AQ315" i="51"/>
  <c r="AP315" i="51"/>
  <c r="AO315" i="51"/>
  <c r="AN315" i="51"/>
  <c r="AM315" i="51"/>
  <c r="AL315" i="51"/>
  <c r="AK315" i="51"/>
  <c r="AJ315" i="51"/>
  <c r="AZ314" i="51"/>
  <c r="AY314" i="51"/>
  <c r="AX314" i="51"/>
  <c r="AW314" i="51"/>
  <c r="AV314" i="51"/>
  <c r="AU314" i="51"/>
  <c r="AT314" i="51"/>
  <c r="AS314" i="51"/>
  <c r="AR314" i="51"/>
  <c r="AQ314" i="51"/>
  <c r="AP314" i="51"/>
  <c r="AO314" i="51"/>
  <c r="AN314" i="51"/>
  <c r="AM314" i="51"/>
  <c r="AL314" i="51"/>
  <c r="AK314" i="51"/>
  <c r="AJ314" i="51"/>
  <c r="AZ313" i="51"/>
  <c r="AY313" i="51"/>
  <c r="AX313" i="51"/>
  <c r="AW313" i="51"/>
  <c r="AV313" i="51"/>
  <c r="AU313" i="51"/>
  <c r="AT313" i="51"/>
  <c r="AS313" i="51"/>
  <c r="AR313" i="51"/>
  <c r="AQ313" i="51"/>
  <c r="AP313" i="51"/>
  <c r="AO313" i="51"/>
  <c r="AN313" i="51"/>
  <c r="AM313" i="51"/>
  <c r="AL313" i="51"/>
  <c r="AK313" i="51"/>
  <c r="AJ313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Z311" i="51"/>
  <c r="AY311" i="51"/>
  <c r="AX311" i="51"/>
  <c r="AW311" i="51"/>
  <c r="AV311" i="51"/>
  <c r="AU311" i="51"/>
  <c r="AT311" i="51"/>
  <c r="AS311" i="51"/>
  <c r="AR311" i="51"/>
  <c r="AQ311" i="51"/>
  <c r="AP311" i="51"/>
  <c r="AO311" i="51"/>
  <c r="AN311" i="51"/>
  <c r="AM311" i="51"/>
  <c r="AL311" i="51"/>
  <c r="AK311" i="51"/>
  <c r="AJ311" i="51"/>
  <c r="AZ310" i="51"/>
  <c r="AY310" i="51"/>
  <c r="AX310" i="51"/>
  <c r="AW310" i="51"/>
  <c r="AV310" i="51"/>
  <c r="AU310" i="51"/>
  <c r="AT310" i="51"/>
  <c r="AS310" i="51"/>
  <c r="AR310" i="51"/>
  <c r="AQ310" i="51"/>
  <c r="AP310" i="51"/>
  <c r="AO310" i="51"/>
  <c r="AN310" i="51"/>
  <c r="AM310" i="51"/>
  <c r="AL310" i="51"/>
  <c r="AK310" i="51"/>
  <c r="AJ310" i="51"/>
  <c r="AZ309" i="51"/>
  <c r="AY309" i="51"/>
  <c r="AX309" i="51"/>
  <c r="AW309" i="51"/>
  <c r="AV309" i="51"/>
  <c r="AU309" i="51"/>
  <c r="AT309" i="51"/>
  <c r="AS309" i="51"/>
  <c r="AR309" i="51"/>
  <c r="AQ309" i="51"/>
  <c r="AP309" i="51"/>
  <c r="AO309" i="51"/>
  <c r="AN309" i="51"/>
  <c r="AM309" i="51"/>
  <c r="AL309" i="51"/>
  <c r="AK309" i="51"/>
  <c r="AJ309" i="51"/>
  <c r="AZ308" i="51"/>
  <c r="AY308" i="51"/>
  <c r="AX308" i="51"/>
  <c r="AW308" i="51"/>
  <c r="AV308" i="51"/>
  <c r="AU308" i="51"/>
  <c r="AT308" i="51"/>
  <c r="AS308" i="51"/>
  <c r="AR308" i="51"/>
  <c r="AQ308" i="51"/>
  <c r="AP308" i="51"/>
  <c r="AO308" i="51"/>
  <c r="AN308" i="51"/>
  <c r="AM308" i="51"/>
  <c r="AL308" i="51"/>
  <c r="AK308" i="51"/>
  <c r="AJ308" i="51"/>
  <c r="AZ307" i="51"/>
  <c r="AY307" i="51"/>
  <c r="AX307" i="51"/>
  <c r="AW307" i="51"/>
  <c r="AV307" i="51"/>
  <c r="AU307" i="51"/>
  <c r="AT307" i="51"/>
  <c r="AS307" i="51"/>
  <c r="AR307" i="51"/>
  <c r="AQ307" i="51"/>
  <c r="AP307" i="51"/>
  <c r="AO307" i="51"/>
  <c r="AN307" i="51"/>
  <c r="AM307" i="51"/>
  <c r="AL307" i="51"/>
  <c r="AK307" i="51"/>
  <c r="AJ307" i="51"/>
  <c r="AZ306" i="51"/>
  <c r="AY306" i="51"/>
  <c r="AX306" i="51"/>
  <c r="AW306" i="51"/>
  <c r="AV306" i="51"/>
  <c r="AU306" i="51"/>
  <c r="AT306" i="51"/>
  <c r="AS306" i="51"/>
  <c r="AR306" i="51"/>
  <c r="AQ306" i="51"/>
  <c r="AP306" i="51"/>
  <c r="AO306" i="51"/>
  <c r="AN306" i="51"/>
  <c r="AM306" i="51"/>
  <c r="AL306" i="51"/>
  <c r="AK306" i="51"/>
  <c r="AJ306" i="51"/>
  <c r="AZ305" i="51"/>
  <c r="AY305" i="51"/>
  <c r="AX305" i="51"/>
  <c r="AW305" i="51"/>
  <c r="AV305" i="51"/>
  <c r="AU305" i="51"/>
  <c r="AT305" i="51"/>
  <c r="AS305" i="51"/>
  <c r="AR305" i="51"/>
  <c r="AQ305" i="51"/>
  <c r="AP305" i="51"/>
  <c r="AO305" i="51"/>
  <c r="AN305" i="51"/>
  <c r="AM305" i="51"/>
  <c r="AL305" i="51"/>
  <c r="AK305" i="51"/>
  <c r="AJ305" i="51"/>
  <c r="AZ304" i="51"/>
  <c r="AY304" i="51"/>
  <c r="AX304" i="51"/>
  <c r="AW304" i="51"/>
  <c r="AV304" i="51"/>
  <c r="AU304" i="51"/>
  <c r="AT304" i="51"/>
  <c r="AS304" i="51"/>
  <c r="AR304" i="51"/>
  <c r="AQ304" i="51"/>
  <c r="AP304" i="51"/>
  <c r="AO304" i="51"/>
  <c r="AN304" i="51"/>
  <c r="AM304" i="51"/>
  <c r="AL304" i="51"/>
  <c r="AK304" i="51"/>
  <c r="AJ304" i="51"/>
  <c r="AZ303" i="51"/>
  <c r="AY303" i="51"/>
  <c r="AX303" i="51"/>
  <c r="AW303" i="51"/>
  <c r="AV303" i="51"/>
  <c r="AU303" i="51"/>
  <c r="AT303" i="51"/>
  <c r="AS303" i="51"/>
  <c r="AR303" i="51"/>
  <c r="AQ303" i="51"/>
  <c r="AP303" i="51"/>
  <c r="AO303" i="51"/>
  <c r="AN303" i="51"/>
  <c r="AM303" i="51"/>
  <c r="AL303" i="51"/>
  <c r="AK303" i="51"/>
  <c r="AJ303" i="51"/>
  <c r="AZ302" i="51"/>
  <c r="AY302" i="51"/>
  <c r="AX302" i="51"/>
  <c r="AW302" i="51"/>
  <c r="AV302" i="51"/>
  <c r="AU302" i="51"/>
  <c r="AT302" i="51"/>
  <c r="AS302" i="51"/>
  <c r="AR302" i="51"/>
  <c r="AQ302" i="51"/>
  <c r="AP302" i="51"/>
  <c r="AO302" i="51"/>
  <c r="AN302" i="51"/>
  <c r="AM302" i="51"/>
  <c r="AL302" i="51"/>
  <c r="AK302" i="51"/>
  <c r="AJ302" i="51"/>
  <c r="AZ301" i="51"/>
  <c r="AY301" i="51"/>
  <c r="AX301" i="51"/>
  <c r="AW301" i="51"/>
  <c r="AV301" i="51"/>
  <c r="AU301" i="51"/>
  <c r="AT301" i="51"/>
  <c r="AS301" i="51"/>
  <c r="AR301" i="51"/>
  <c r="AQ301" i="51"/>
  <c r="AP301" i="51"/>
  <c r="AO301" i="51"/>
  <c r="AN301" i="51"/>
  <c r="AM301" i="51"/>
  <c r="AL301" i="51"/>
  <c r="AK301" i="51"/>
  <c r="AJ301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Z299" i="51"/>
  <c r="AY299" i="51"/>
  <c r="AX299" i="51"/>
  <c r="AW299" i="51"/>
  <c r="AV299" i="51"/>
  <c r="AU299" i="51"/>
  <c r="AT299" i="51"/>
  <c r="AS299" i="51"/>
  <c r="AR299" i="51"/>
  <c r="AQ299" i="51"/>
  <c r="AP299" i="51"/>
  <c r="AO299" i="51"/>
  <c r="AN299" i="51"/>
  <c r="AM299" i="51"/>
  <c r="AL299" i="51"/>
  <c r="AK299" i="51"/>
  <c r="AJ299" i="51"/>
  <c r="AZ298" i="51"/>
  <c r="AY298" i="51"/>
  <c r="AX298" i="51"/>
  <c r="AW298" i="51"/>
  <c r="AV298" i="51"/>
  <c r="AU298" i="51"/>
  <c r="AT298" i="51"/>
  <c r="AS298" i="51"/>
  <c r="AR298" i="51"/>
  <c r="AQ298" i="51"/>
  <c r="AP298" i="51"/>
  <c r="AO298" i="51"/>
  <c r="AN298" i="51"/>
  <c r="AM298" i="51"/>
  <c r="AL298" i="51"/>
  <c r="AK298" i="51"/>
  <c r="AJ298" i="51"/>
  <c r="AZ297" i="51"/>
  <c r="AY297" i="51"/>
  <c r="AX297" i="51"/>
  <c r="AW297" i="51"/>
  <c r="AV297" i="51"/>
  <c r="AU297" i="51"/>
  <c r="AT297" i="51"/>
  <c r="AS297" i="51"/>
  <c r="AR297" i="51"/>
  <c r="AQ297" i="51"/>
  <c r="AP297" i="51"/>
  <c r="AO297" i="51"/>
  <c r="AN297" i="51"/>
  <c r="AM297" i="51"/>
  <c r="AL297" i="51"/>
  <c r="AK297" i="51"/>
  <c r="AJ297" i="51"/>
  <c r="AZ296" i="51"/>
  <c r="AY296" i="51"/>
  <c r="AX296" i="51"/>
  <c r="AW296" i="51"/>
  <c r="AV296" i="51"/>
  <c r="AU296" i="51"/>
  <c r="AT296" i="51"/>
  <c r="AS296" i="51"/>
  <c r="AR296" i="51"/>
  <c r="AQ296" i="51"/>
  <c r="AP296" i="51"/>
  <c r="AO296" i="51"/>
  <c r="AN296" i="51"/>
  <c r="AM296" i="51"/>
  <c r="AL296" i="51"/>
  <c r="AK296" i="51"/>
  <c r="AJ296" i="51"/>
  <c r="AZ295" i="51"/>
  <c r="AY295" i="51"/>
  <c r="AX295" i="51"/>
  <c r="AW295" i="51"/>
  <c r="AV295" i="51"/>
  <c r="AU295" i="51"/>
  <c r="AT295" i="51"/>
  <c r="AS295" i="51"/>
  <c r="AR295" i="51"/>
  <c r="AQ295" i="51"/>
  <c r="AP295" i="51"/>
  <c r="AO295" i="51"/>
  <c r="AN295" i="51"/>
  <c r="AM295" i="51"/>
  <c r="AL295" i="51"/>
  <c r="AK295" i="51"/>
  <c r="AJ295" i="51"/>
  <c r="AZ294" i="51"/>
  <c r="AY294" i="51"/>
  <c r="AX294" i="51"/>
  <c r="AW294" i="51"/>
  <c r="AV294" i="51"/>
  <c r="AU294" i="51"/>
  <c r="AT294" i="51"/>
  <c r="AS294" i="51"/>
  <c r="AR294" i="51"/>
  <c r="AQ294" i="51"/>
  <c r="AP294" i="51"/>
  <c r="AO294" i="51"/>
  <c r="AN294" i="51"/>
  <c r="AM294" i="51"/>
  <c r="AL294" i="51"/>
  <c r="AK294" i="51"/>
  <c r="AJ294" i="51"/>
  <c r="AZ293" i="51"/>
  <c r="AY293" i="51"/>
  <c r="AX293" i="51"/>
  <c r="AW293" i="51"/>
  <c r="AV293" i="51"/>
  <c r="AU293" i="51"/>
  <c r="AT293" i="51"/>
  <c r="AS293" i="51"/>
  <c r="AR293" i="51"/>
  <c r="AQ293" i="51"/>
  <c r="AP293" i="51"/>
  <c r="AO293" i="51"/>
  <c r="AN293" i="51"/>
  <c r="AM293" i="51"/>
  <c r="AL293" i="51"/>
  <c r="AK293" i="51"/>
  <c r="AJ293" i="51"/>
  <c r="AZ292" i="51"/>
  <c r="AY292" i="51"/>
  <c r="AX292" i="51"/>
  <c r="AW292" i="51"/>
  <c r="AV292" i="51"/>
  <c r="AU292" i="51"/>
  <c r="AT292" i="51"/>
  <c r="AS292" i="51"/>
  <c r="AR292" i="51"/>
  <c r="AQ292" i="51"/>
  <c r="AP292" i="51"/>
  <c r="AO292" i="51"/>
  <c r="AN292" i="51"/>
  <c r="AM292" i="51"/>
  <c r="AL292" i="51"/>
  <c r="AK292" i="51"/>
  <c r="AJ292" i="51"/>
  <c r="AZ291" i="51"/>
  <c r="AY291" i="51"/>
  <c r="AX291" i="51"/>
  <c r="AW291" i="51"/>
  <c r="AV291" i="51"/>
  <c r="AU291" i="51"/>
  <c r="AT291" i="51"/>
  <c r="AS291" i="51"/>
  <c r="AR291" i="51"/>
  <c r="AQ291" i="51"/>
  <c r="AP291" i="51"/>
  <c r="AO291" i="51"/>
  <c r="AN291" i="51"/>
  <c r="AM291" i="51"/>
  <c r="AL291" i="51"/>
  <c r="AK291" i="51"/>
  <c r="AJ291" i="51"/>
  <c r="AZ290" i="51"/>
  <c r="AY290" i="51"/>
  <c r="AX290" i="51"/>
  <c r="AW290" i="51"/>
  <c r="AV290" i="51"/>
  <c r="AU290" i="51"/>
  <c r="AT290" i="51"/>
  <c r="AS290" i="51"/>
  <c r="AR290" i="51"/>
  <c r="AQ290" i="51"/>
  <c r="AP290" i="51"/>
  <c r="AO290" i="51"/>
  <c r="AN290" i="51"/>
  <c r="AM290" i="51"/>
  <c r="AL290" i="51"/>
  <c r="AK290" i="51"/>
  <c r="AJ290" i="51"/>
  <c r="AZ289" i="51"/>
  <c r="AY289" i="51"/>
  <c r="AX289" i="51"/>
  <c r="AW289" i="51"/>
  <c r="AV289" i="51"/>
  <c r="AU289" i="51"/>
  <c r="AT289" i="51"/>
  <c r="AS289" i="51"/>
  <c r="AR289" i="51"/>
  <c r="AQ289" i="51"/>
  <c r="AP289" i="51"/>
  <c r="AO289" i="51"/>
  <c r="AN289" i="51"/>
  <c r="AM289" i="51"/>
  <c r="AL289" i="51"/>
  <c r="AK289" i="51"/>
  <c r="AJ289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Z287" i="51"/>
  <c r="AY287" i="51"/>
  <c r="AX287" i="51"/>
  <c r="AW287" i="51"/>
  <c r="AV287" i="51"/>
  <c r="AU287" i="51"/>
  <c r="AT287" i="51"/>
  <c r="AS287" i="51"/>
  <c r="AR287" i="51"/>
  <c r="AQ287" i="51"/>
  <c r="AP287" i="51"/>
  <c r="AO287" i="51"/>
  <c r="AN287" i="51"/>
  <c r="AM287" i="51"/>
  <c r="AL287" i="51"/>
  <c r="AK287" i="51"/>
  <c r="AJ287" i="51"/>
  <c r="AZ286" i="51"/>
  <c r="AY286" i="51"/>
  <c r="AX286" i="51"/>
  <c r="AW286" i="51"/>
  <c r="AV286" i="51"/>
  <c r="AU286" i="51"/>
  <c r="AT286" i="51"/>
  <c r="AS286" i="51"/>
  <c r="AR286" i="51"/>
  <c r="AQ286" i="51"/>
  <c r="AP286" i="51"/>
  <c r="AO286" i="51"/>
  <c r="AN286" i="51"/>
  <c r="AM286" i="51"/>
  <c r="AL286" i="51"/>
  <c r="AK286" i="51"/>
  <c r="AJ286" i="51"/>
  <c r="AZ285" i="51"/>
  <c r="AY285" i="51"/>
  <c r="AX285" i="51"/>
  <c r="AW285" i="51"/>
  <c r="AV285" i="51"/>
  <c r="AU285" i="51"/>
  <c r="AT285" i="51"/>
  <c r="AS285" i="51"/>
  <c r="AR285" i="51"/>
  <c r="AQ285" i="51"/>
  <c r="AP285" i="51"/>
  <c r="AO285" i="51"/>
  <c r="AN285" i="51"/>
  <c r="AM285" i="51"/>
  <c r="AL285" i="51"/>
  <c r="AK285" i="51"/>
  <c r="AJ285" i="51"/>
  <c r="AZ284" i="51"/>
  <c r="AY284" i="51"/>
  <c r="AX284" i="51"/>
  <c r="AW284" i="51"/>
  <c r="AV284" i="51"/>
  <c r="AU284" i="51"/>
  <c r="AT284" i="51"/>
  <c r="AS284" i="51"/>
  <c r="AR284" i="51"/>
  <c r="AQ284" i="51"/>
  <c r="AP284" i="51"/>
  <c r="AO284" i="51"/>
  <c r="AN284" i="51"/>
  <c r="AM284" i="51"/>
  <c r="AL284" i="51"/>
  <c r="AK284" i="51"/>
  <c r="AJ284" i="51"/>
  <c r="AZ283" i="51"/>
  <c r="AY283" i="51"/>
  <c r="AX283" i="51"/>
  <c r="AW283" i="51"/>
  <c r="AV283" i="51"/>
  <c r="AU283" i="51"/>
  <c r="AT283" i="51"/>
  <c r="AS283" i="51"/>
  <c r="AR283" i="51"/>
  <c r="AQ283" i="51"/>
  <c r="AP283" i="51"/>
  <c r="AO283" i="51"/>
  <c r="AN283" i="51"/>
  <c r="AM283" i="51"/>
  <c r="AL283" i="51"/>
  <c r="AK283" i="51"/>
  <c r="AJ283" i="51"/>
  <c r="AZ282" i="51"/>
  <c r="AY282" i="51"/>
  <c r="AX282" i="51"/>
  <c r="AW282" i="51"/>
  <c r="AV282" i="51"/>
  <c r="AU282" i="51"/>
  <c r="AT282" i="51"/>
  <c r="AS282" i="51"/>
  <c r="AR282" i="51"/>
  <c r="AQ282" i="51"/>
  <c r="AP282" i="51"/>
  <c r="AO282" i="51"/>
  <c r="AN282" i="51"/>
  <c r="AM282" i="51"/>
  <c r="AL282" i="51"/>
  <c r="AK282" i="51"/>
  <c r="AJ282" i="51"/>
  <c r="AZ281" i="51"/>
  <c r="AY281" i="51"/>
  <c r="AX281" i="51"/>
  <c r="AW281" i="51"/>
  <c r="AV281" i="51"/>
  <c r="AU281" i="51"/>
  <c r="AT281" i="51"/>
  <c r="AS281" i="51"/>
  <c r="AR281" i="51"/>
  <c r="AQ281" i="51"/>
  <c r="AP281" i="51"/>
  <c r="AO281" i="51"/>
  <c r="AN281" i="51"/>
  <c r="AM281" i="51"/>
  <c r="AL281" i="51"/>
  <c r="AK281" i="51"/>
  <c r="AJ281" i="51"/>
  <c r="AZ280" i="51"/>
  <c r="AY280" i="51"/>
  <c r="AX280" i="51"/>
  <c r="AW280" i="51"/>
  <c r="AV280" i="51"/>
  <c r="AU280" i="51"/>
  <c r="AT280" i="51"/>
  <c r="AS280" i="51"/>
  <c r="AR280" i="51"/>
  <c r="AQ280" i="51"/>
  <c r="AP280" i="51"/>
  <c r="AO280" i="51"/>
  <c r="AN280" i="51"/>
  <c r="AM280" i="51"/>
  <c r="AL280" i="51"/>
  <c r="AK280" i="51"/>
  <c r="AJ280" i="51"/>
  <c r="AZ279" i="51"/>
  <c r="AY279" i="51"/>
  <c r="AX279" i="51"/>
  <c r="AW279" i="51"/>
  <c r="AV279" i="51"/>
  <c r="AU279" i="51"/>
  <c r="AT279" i="51"/>
  <c r="AS279" i="51"/>
  <c r="AR279" i="51"/>
  <c r="AQ279" i="51"/>
  <c r="AP279" i="51"/>
  <c r="AO279" i="51"/>
  <c r="AN279" i="51"/>
  <c r="AM279" i="51"/>
  <c r="AL279" i="51"/>
  <c r="AK279" i="51"/>
  <c r="AJ279" i="51"/>
  <c r="AZ278" i="51"/>
  <c r="AY278" i="51"/>
  <c r="AX278" i="51"/>
  <c r="AW278" i="51"/>
  <c r="AV278" i="51"/>
  <c r="AU278" i="51"/>
  <c r="AT278" i="51"/>
  <c r="AS278" i="51"/>
  <c r="AR278" i="51"/>
  <c r="AQ278" i="51"/>
  <c r="AP278" i="51"/>
  <c r="AO278" i="51"/>
  <c r="AN278" i="51"/>
  <c r="AM278" i="51"/>
  <c r="AL278" i="51"/>
  <c r="AK278" i="51"/>
  <c r="AJ278" i="51"/>
  <c r="AZ277" i="51"/>
  <c r="AY277" i="51"/>
  <c r="AX277" i="51"/>
  <c r="AW277" i="51"/>
  <c r="AV277" i="51"/>
  <c r="AU277" i="51"/>
  <c r="AT277" i="51"/>
  <c r="AS277" i="51"/>
  <c r="AR277" i="51"/>
  <c r="AQ277" i="51"/>
  <c r="AP277" i="51"/>
  <c r="AO277" i="51"/>
  <c r="AN277" i="51"/>
  <c r="AM277" i="51"/>
  <c r="AL277" i="51"/>
  <c r="AK277" i="51"/>
  <c r="AJ277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Z275" i="51"/>
  <c r="AY275" i="51"/>
  <c r="AX275" i="51"/>
  <c r="AW275" i="51"/>
  <c r="AV275" i="51"/>
  <c r="AU275" i="51"/>
  <c r="AT275" i="51"/>
  <c r="AS275" i="51"/>
  <c r="AR275" i="51"/>
  <c r="AQ275" i="51"/>
  <c r="AP275" i="51"/>
  <c r="AO275" i="51"/>
  <c r="AN275" i="51"/>
  <c r="AM275" i="51"/>
  <c r="AL275" i="51"/>
  <c r="AK275" i="51"/>
  <c r="AJ275" i="51"/>
  <c r="AZ274" i="51"/>
  <c r="AY274" i="51"/>
  <c r="AX274" i="51"/>
  <c r="AW274" i="51"/>
  <c r="AV274" i="51"/>
  <c r="AU274" i="51"/>
  <c r="AT274" i="51"/>
  <c r="AS274" i="51"/>
  <c r="AR274" i="51"/>
  <c r="AQ274" i="51"/>
  <c r="AP274" i="51"/>
  <c r="AO274" i="51"/>
  <c r="AN274" i="51"/>
  <c r="AM274" i="51"/>
  <c r="AL274" i="51"/>
  <c r="AK274" i="51"/>
  <c r="AJ274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L33" i="49"/>
  <c r="L32" i="49"/>
  <c r="L31" i="49"/>
  <c r="L30" i="49"/>
  <c r="L29" i="49"/>
  <c r="L28" i="49"/>
  <c r="L27" i="49"/>
  <c r="L26" i="49"/>
  <c r="L25" i="49"/>
  <c r="L24" i="49"/>
  <c r="L23" i="49"/>
  <c r="L22" i="49"/>
  <c r="L21" i="49"/>
  <c r="L20" i="49"/>
  <c r="M19" i="49"/>
  <c r="M31" i="49" s="1"/>
  <c r="N31" i="49" s="1"/>
  <c r="L19" i="49"/>
  <c r="M18" i="49"/>
  <c r="N18" i="49" s="1"/>
  <c r="L18" i="49"/>
  <c r="M17" i="49"/>
  <c r="N17" i="49" s="1"/>
  <c r="M16" i="49"/>
  <c r="N16" i="49" s="1"/>
  <c r="M15" i="49"/>
  <c r="N15" i="49" s="1"/>
  <c r="M14" i="49"/>
  <c r="N14" i="49" s="1"/>
  <c r="L14" i="49"/>
  <c r="M13" i="49"/>
  <c r="N13" i="49" s="1"/>
  <c r="M12" i="49"/>
  <c r="N12" i="49" s="1"/>
  <c r="M11" i="49"/>
  <c r="N11" i="49" s="1"/>
  <c r="M10" i="49"/>
  <c r="N10" i="49" s="1"/>
  <c r="L10" i="49"/>
  <c r="M9" i="49"/>
  <c r="N9" i="49" s="1"/>
  <c r="M8" i="49"/>
  <c r="N8" i="49" s="1"/>
  <c r="M7" i="49"/>
  <c r="N7" i="49" s="1"/>
  <c r="M6" i="49"/>
  <c r="N6" i="49" s="1"/>
  <c r="M5" i="49"/>
  <c r="N5" i="49" s="1"/>
  <c r="L5" i="49"/>
  <c r="L6" i="49" s="1"/>
  <c r="R33" i="49"/>
  <c r="P32" i="49"/>
  <c r="R29" i="49"/>
  <c r="P28" i="49"/>
  <c r="R25" i="49"/>
  <c r="P24" i="49"/>
  <c r="R21" i="49"/>
  <c r="P20" i="49"/>
  <c r="R17" i="49"/>
  <c r="P16" i="49"/>
  <c r="R13" i="49"/>
  <c r="P12" i="49"/>
  <c r="Q8" i="49"/>
  <c r="Q23" i="49"/>
  <c r="Q15" i="49"/>
  <c r="R7" i="49"/>
  <c r="P15" i="49"/>
  <c r="P11" i="49"/>
  <c r="Q33" i="49"/>
  <c r="Q29" i="49"/>
  <c r="Q25" i="49"/>
  <c r="Q21" i="49"/>
  <c r="Q17" i="49"/>
  <c r="Q13" i="49"/>
  <c r="R9" i="49"/>
  <c r="P8" i="49"/>
  <c r="R5" i="49"/>
  <c r="Q24" i="49"/>
  <c r="Q16" i="49"/>
  <c r="P33" i="49"/>
  <c r="R30" i="49"/>
  <c r="P29" i="49"/>
  <c r="R26" i="49"/>
  <c r="P25" i="49"/>
  <c r="R22" i="49"/>
  <c r="P21" i="49"/>
  <c r="R18" i="49"/>
  <c r="P17" i="49"/>
  <c r="R14" i="49"/>
  <c r="P13" i="49"/>
  <c r="R10" i="49"/>
  <c r="Q9" i="49"/>
  <c r="Q5" i="49"/>
  <c r="R6" i="49"/>
  <c r="P5" i="49"/>
  <c r="P7" i="49"/>
  <c r="Q30" i="49"/>
  <c r="Q26" i="49"/>
  <c r="Q22" i="49"/>
  <c r="Q18" i="49"/>
  <c r="Q14" i="49"/>
  <c r="Q10" i="49"/>
  <c r="P9" i="49"/>
  <c r="Q19" i="49"/>
  <c r="P6" i="49"/>
  <c r="R16" i="49"/>
  <c r="R12" i="49"/>
  <c r="Q28" i="49"/>
  <c r="R31" i="49"/>
  <c r="P30" i="49"/>
  <c r="R27" i="49"/>
  <c r="P26" i="49"/>
  <c r="R23" i="49"/>
  <c r="P22" i="49"/>
  <c r="R19" i="49"/>
  <c r="P18" i="49"/>
  <c r="R15" i="49"/>
  <c r="P14" i="49"/>
  <c r="R11" i="49"/>
  <c r="P10" i="49"/>
  <c r="Q6" i="49"/>
  <c r="Q11" i="49"/>
  <c r="Q7" i="49"/>
  <c r="Q12" i="49"/>
  <c r="R8" i="49"/>
  <c r="Q31" i="49"/>
  <c r="Q27" i="49"/>
  <c r="Q32" i="49"/>
  <c r="Q20" i="49"/>
  <c r="R32" i="49"/>
  <c r="P31" i="49"/>
  <c r="R28" i="49"/>
  <c r="P27" i="49"/>
  <c r="R24" i="49"/>
  <c r="P23" i="49"/>
  <c r="R20" i="49"/>
  <c r="P19" i="49"/>
  <c r="M30" i="49" l="1"/>
  <c r="N30" i="49" s="1"/>
  <c r="M26" i="49"/>
  <c r="N26" i="49" s="1"/>
  <c r="N19" i="49"/>
  <c r="M22" i="49"/>
  <c r="N22" i="49" s="1"/>
  <c r="L13" i="49"/>
  <c r="L8" i="49"/>
  <c r="M21" i="49"/>
  <c r="N21" i="49" s="1"/>
  <c r="M25" i="49"/>
  <c r="N25" i="49" s="1"/>
  <c r="M29" i="49"/>
  <c r="N29" i="49" s="1"/>
  <c r="M33" i="49"/>
  <c r="L9" i="49"/>
  <c r="L17" i="49"/>
  <c r="L12" i="49"/>
  <c r="L16" i="49"/>
  <c r="L7" i="49"/>
  <c r="M20" i="49"/>
  <c r="N20" i="49" s="1"/>
  <c r="M24" i="49"/>
  <c r="N24" i="49" s="1"/>
  <c r="M28" i="49"/>
  <c r="N28" i="49" s="1"/>
  <c r="M32" i="49"/>
  <c r="N32" i="49" s="1"/>
  <c r="L11" i="49"/>
  <c r="L15" i="49"/>
  <c r="M23" i="49"/>
  <c r="N23" i="49" s="1"/>
  <c r="M27" i="49"/>
  <c r="N27" i="49" s="1"/>
  <c r="B10" i="49" l="1"/>
  <c r="N33" i="49"/>
  <c r="C23" i="2" l="1"/>
  <c r="D23" i="2"/>
  <c r="E23" i="2"/>
  <c r="C24" i="2"/>
  <c r="D24" i="2"/>
  <c r="E24" i="2"/>
  <c r="D22" i="2"/>
  <c r="E22" i="2"/>
  <c r="C22" i="2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<sst xmlns="http://schemas.openxmlformats.org/spreadsheetml/2006/main" count="14235" uniqueCount="785">
  <si>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</si>
  <si>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</si>
  <si>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</si>
  <si>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</si>
  <si>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</si>
  <si>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</si>
  <si>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</si>
  <si>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</si>
  <si>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</si>
  <si>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</si>
  <si>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</si>
  <si>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</si>
  <si>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</si>
  <si>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</si>
  <si>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</si>
  <si>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</si>
  <si>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</si>
  <si>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</si>
  <si>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</si>
  <si>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</si>
  <si>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</si>
  <si>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</si>
  <si>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</si>
  <si>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</si>
  <si>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</si>
  <si>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</si>
  <si>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</si>
  <si>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</si>
  <si>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</si>
  <si>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</si>
  <si>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</si>
  <si>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</si>
  <si>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</si>
  <si>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</si>
  <si>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</si>
  <si>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</si>
  <si>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</si>
  <si>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</si>
  <si>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</si>
  <si>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</si>
  <si>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</si>
  <si>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</si>
  <si>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</si>
  <si>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</si>
  <si>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</si>
  <si>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</si>
  <si>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</si>
  <si>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</si>
  <si>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</si>
  <si>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</si>
  <si>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</si>
  <si>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</si>
  <si>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</si>
  <si>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</si>
  <si>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</si>
  <si>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</si>
  <si>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</si>
  <si>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</si>
  <si>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</si>
  <si>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</si>
  <si>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</si>
  <si>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</si>
  <si>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</si>
  <si>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</si>
  <si>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</si>
  <si>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</si>
  <si>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</si>
  <si>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</si>
  <si>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</si>
  <si>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</si>
  <si>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</si>
  <si>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</si>
  <si>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</si>
  <si>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</si>
  <si>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</si>
  <si>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</si>
  <si>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</si>
  <si>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</si>
  <si>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</si>
  <si>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</si>
  <si>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</si>
  <si>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</si>
  <si>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</si>
  <si>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</si>
  <si>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</si>
  <si>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</si>
  <si>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</si>
  <si>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</si>
  <si>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</si>
  <si>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</si>
  <si>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</si>
  <si>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</si>
  <si>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</si>
  <si>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</si>
  <si>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</si>
  <si>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</si>
  <si>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</si>
  <si>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</si>
  <si>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</si>
  <si>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</si>
  <si>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</si>
  <si>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</si>
  <si>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</si>
  <si>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</si>
  <si>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</si>
  <si>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</si>
  <si>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</si>
  <si>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</si>
  <si>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</si>
  <si>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</si>
  <si>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</si>
  <si>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</si>
  <si>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</si>
  <si>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</si>
  <si>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</si>
  <si>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</si>
  <si>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</si>
  <si>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</si>
  <si>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</si>
  <si>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</si>
  <si>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</si>
  <si>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</si>
  <si>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</si>
  <si>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</si>
  <si>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</si>
  <si>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</si>
  <si>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</si>
  <si>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</si>
  <si>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</si>
  <si>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</si>
  <si>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</si>
  <si>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</si>
  <si>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</si>
  <si>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</si>
  <si>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</si>
  <si>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</si>
  <si>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</si>
  <si>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</si>
  <si>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R_1-L-BD-CU_NBFR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</si>
  <si>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</si>
  <si>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</si>
  <si>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</si>
  <si>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</si>
  <si>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</si>
  <si>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R_1-BD</t>
  </si>
  <si>
    <t>Depth</t>
  </si>
  <si>
    <t>Damage</t>
  </si>
  <si>
    <t>Copy of default formula for reference</t>
  </si>
  <si>
    <t>storeys:</t>
  </si>
  <si>
    <t>total (composite)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</si>
  <si>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</si>
  <si>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</si>
  <si>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</si>
  <si>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</si>
  <si>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</si>
  <si>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</si>
  <si>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</si>
  <si>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</si>
  <si>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</si>
  <si>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joist size (nominal)</t>
  </si>
  <si>
    <t>2x8</t>
  </si>
  <si>
    <t>floor to floor (m)</t>
  </si>
  <si>
    <t xml:space="preserve">Total Response Costs: </t>
  </si>
  <si>
    <t>Main</t>
  </si>
  <si>
    <t>Basement</t>
  </si>
  <si>
    <t>Upper</t>
  </si>
  <si>
    <t>(2.7 basement)</t>
  </si>
  <si>
    <t>LaundryRoom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</si>
  <si>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</si>
  <si>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</si>
  <si>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</si>
  <si>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</si>
  <si>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</si>
  <si>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</si>
  <si>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</si>
  <si>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</si>
  <si>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R_1-L-BD-CU</t>
  </si>
  <si>
    <t>residential</t>
  </si>
  <si>
    <t>large</t>
  </si>
  <si>
    <t>yes</t>
  </si>
  <si>
    <t>custom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</si>
  <si>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</si>
  <si>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</si>
  <si>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</si>
  <si>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</si>
  <si>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</si>
  <si>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</si>
  <si>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</si>
  <si>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</si>
  <si>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</si>
  <si>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</si>
  <si>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</si>
  <si>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</si>
  <si>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Custom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</si>
  <si>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</si>
  <si>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</si>
  <si>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</si>
  <si>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</si>
  <si>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</si>
  <si>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</si>
  <si>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</si>
  <si>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</si>
  <si>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</si>
  <si>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>no</t>
  </si>
  <si>
    <t xml:space="preserve">Exclude Foundation </t>
  </si>
  <si>
    <t>Foundation Shape</t>
  </si>
  <si>
    <t>6-7 Corners - L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</si>
  <si>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</si>
  <si>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</si>
  <si>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</si>
  <si>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</si>
  <si>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</si>
  <si>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</si>
  <si>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</si>
  <si>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</si>
  <si>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</si>
  <si>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</si>
  <si>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 40%, hardwood plank 40%, tile ceramic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</si>
  <si>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</si>
  <si>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</si>
  <si>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</si>
  <si>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</si>
  <si>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</si>
  <si>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</si>
  <si>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</si>
  <si>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</si>
  <si>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</si>
  <si>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</si>
  <si>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(3), sliding patio door (1)</t>
  </si>
  <si>
    <t>specialty windows</t>
  </si>
  <si>
    <t>specialty window (4)</t>
  </si>
  <si>
    <t>exterior trim and details</t>
  </si>
  <si>
    <t>average wall height</t>
  </si>
  <si>
    <t>interior wall material</t>
  </si>
  <si>
    <t>drywall 100%</t>
  </si>
  <si>
    <t>interior wall finish</t>
  </si>
  <si>
    <t>paint 50%, wallpaper 40%, paneling 10%</t>
  </si>
  <si>
    <t>ceiling finish</t>
  </si>
  <si>
    <t>paint 100%</t>
  </si>
  <si>
    <t>heating system</t>
  </si>
  <si>
    <t xml:space="preserve">forced air </t>
  </si>
  <si>
    <t xml:space="preserve">cooling system </t>
  </si>
  <si>
    <t>central air</t>
  </si>
  <si>
    <t>specitaly systems</t>
  </si>
  <si>
    <t>water softener</t>
  </si>
  <si>
    <t>electrical service</t>
  </si>
  <si>
    <t>200 amp</t>
  </si>
  <si>
    <t>fireplaces</t>
  </si>
  <si>
    <t>masonry fireplace</t>
  </si>
  <si>
    <t>lighting</t>
  </si>
  <si>
    <t>ornate chandelier, ceiling fan, track lighting</t>
  </si>
  <si>
    <t>staircases and coveyances</t>
  </si>
  <si>
    <t>interior doors and millwork</t>
  </si>
  <si>
    <t>built-in bookcase/entertainment</t>
  </si>
  <si>
    <t>other</t>
  </si>
  <si>
    <t>laundry tub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</si>
  <si>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</si>
  <si>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</si>
  <si>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</si>
  <si>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</si>
  <si>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</si>
  <si>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</si>
  <si>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</si>
  <si>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Large</t>
  </si>
  <si>
    <t>chair rail</t>
  </si>
  <si>
    <t>Garbage Disposal, Dishwasher, Range Hood - built in, space saver microwave, cook top, built-in double oven, extra sink (1), built-in refrigerator, built-in freezer</t>
  </si>
  <si>
    <t>quartz</t>
  </si>
  <si>
    <t>peninsula bar, glass cabinet doors (10), chiar rail</t>
  </si>
  <si>
    <t>Bath</t>
  </si>
  <si>
    <t>medium</t>
  </si>
  <si>
    <t>nat. marble tub/shower surround, extra sink (1), brass faucet (1)</t>
  </si>
  <si>
    <t>Bath2</t>
  </si>
  <si>
    <t>Half Bath</t>
  </si>
  <si>
    <t>small</t>
  </si>
  <si>
    <t>Bath3</t>
  </si>
  <si>
    <t>1.5 Bath</t>
  </si>
  <si>
    <t>nat. marble tub/shower surround, jetted tub, extra sink (1), brass faucet (1)</t>
  </si>
  <si>
    <t>Bath4</t>
  </si>
  <si>
    <t>nat. marble tub/shower surround,  extra sink (1), brass faucet (1)</t>
  </si>
  <si>
    <t>Bath5</t>
  </si>
  <si>
    <t>cathedral/vaulted ceiling, cornice or crown molding</t>
  </si>
  <si>
    <t>Bedroom2</t>
  </si>
  <si>
    <t>Bedroom3</t>
  </si>
  <si>
    <t>Bedroom4</t>
  </si>
  <si>
    <t>x-large</t>
  </si>
  <si>
    <t>Bedroom5</t>
  </si>
  <si>
    <t>cornice or crown molding</t>
  </si>
  <si>
    <t>Bedroom6</t>
  </si>
  <si>
    <t>Bedroom7</t>
  </si>
  <si>
    <t>Bedroom8</t>
  </si>
  <si>
    <t>FamilyRoom</t>
  </si>
  <si>
    <t>cathedral/vaulted ceiling, cornice or crown molding, decorative beams (1)</t>
  </si>
  <si>
    <t>LivingRoom</t>
  </si>
  <si>
    <t>LivingRoom2</t>
  </si>
  <si>
    <t>cornice or crown molding, decorative beams (1)</t>
  </si>
  <si>
    <t>LivingRoom3</t>
  </si>
  <si>
    <t>DiningRoom</t>
  </si>
  <si>
    <t>Dining Room</t>
  </si>
  <si>
    <t>EntryFoyer</t>
  </si>
  <si>
    <t>Entry Foyer</t>
  </si>
  <si>
    <t>Laundry Room</t>
  </si>
  <si>
    <t>LaundryRoom2</t>
  </si>
  <si>
    <t>Hallway2</t>
  </si>
  <si>
    <t>Hallway3</t>
  </si>
  <si>
    <t>Hallway4</t>
  </si>
  <si>
    <t>Nook2</t>
  </si>
  <si>
    <t xml:space="preserve"> cornice or crown molding</t>
  </si>
  <si>
    <t>UtilityRoom</t>
  </si>
  <si>
    <t>UtilityRoom2</t>
  </si>
  <si>
    <t>WalkInCloset</t>
  </si>
  <si>
    <t>Walk-In Closet</t>
  </si>
  <si>
    <t>WalkInCloset2</t>
  </si>
  <si>
    <t>Fredericton,  New Brunswick</t>
  </si>
  <si>
    <t>R_1-L-BD-CU_info</t>
  </si>
  <si>
    <t>R_1-L-BD-CU_NBFR.xlsx</t>
  </si>
  <si>
    <t>R_1-L-BD-CU_NBFR_rep.xlsx</t>
  </si>
  <si>
    <t>david.sol at 2023-09-18 13:10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</si>
  <si>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</si>
  <si>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</si>
  <si>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</si>
  <si>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</si>
  <si>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</si>
  <si>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</si>
  <si>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</si>
  <si>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</si>
  <si>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</si>
  <si>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</si>
  <si>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</si>
  <si>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Stain &amp; finish wood window sill</t>
  </si>
  <si>
    <t>LF</t>
  </si>
  <si>
    <t>PNT</t>
  </si>
  <si>
    <t>SILLS</t>
  </si>
  <si>
    <t>Window sill - hardwood</t>
  </si>
  <si>
    <t>FNC</t>
  </si>
  <si>
    <t>SILLH</t>
  </si>
  <si>
    <t>EA</t>
  </si>
  <si>
    <t>Smoke detector - High grade</t>
  </si>
  <si>
    <t>ELE</t>
  </si>
  <si>
    <t>SMOKE+</t>
  </si>
  <si>
    <t>Fluorescent - two tube - 6' - fixture w/lens</t>
  </si>
  <si>
    <t>LIT</t>
  </si>
  <si>
    <t>FL2-6+</t>
  </si>
  <si>
    <t>Clothes dryer vent - installed</t>
  </si>
  <si>
    <t>HVC</t>
  </si>
  <si>
    <t>DVENT</t>
  </si>
  <si>
    <t>Stain &amp; finish handrail - wall mounted</t>
  </si>
  <si>
    <t>HRS</t>
  </si>
  <si>
    <t>Handrail - detailed profile - softwood - wall mounted</t>
  </si>
  <si>
    <t>HR+</t>
  </si>
  <si>
    <t>SF</t>
  </si>
  <si>
    <t>HR</t>
  </si>
  <si>
    <t>LAB</t>
  </si>
  <si>
    <t>Finish Carpenter - per hour</t>
  </si>
  <si>
    <t>PLM</t>
  </si>
  <si>
    <t>Rough-in plumbing - per fixture</t>
  </si>
  <si>
    <t>RGHFIX</t>
  </si>
  <si>
    <t>Water heater - 50 gallon - Gas - 6 yr</t>
  </si>
  <si>
    <t>WH50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</si>
  <si>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</si>
  <si>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</si>
  <si>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</si>
  <si>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</si>
  <si>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</si>
  <si>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</si>
  <si>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heavy texture, ready for paint</t>
  </si>
  <si>
    <t>DRY</t>
  </si>
  <si>
    <t>1/2+</t>
  </si>
  <si>
    <t>Door knob - interior - High grade</t>
  </si>
  <si>
    <t>FNH</t>
  </si>
  <si>
    <t>DORH+</t>
  </si>
  <si>
    <t>Interior door unit - High grade</t>
  </si>
  <si>
    <t>DOR</t>
  </si>
  <si>
    <t>AV+</t>
  </si>
  <si>
    <t>Paint door/window trim &amp; jamb - 2 coats (per side)</t>
  </si>
  <si>
    <t>DORT</t>
  </si>
  <si>
    <t>Paint door slab only - 2 coats (per side)</t>
  </si>
  <si>
    <t>Batt insulation - 10" - R30 - paper / foil faced</t>
  </si>
  <si>
    <t>INS</t>
  </si>
  <si>
    <t>BTF10</t>
  </si>
  <si>
    <t>Furnace - forced air - high efficiency - 100,000 BTU</t>
  </si>
  <si>
    <t>FRFAH&gt;</t>
  </si>
  <si>
    <t>Ductwork system - hot or cold air - 1600 to 2199 SF home</t>
  </si>
  <si>
    <t>DCT&gt;</t>
  </si>
  <si>
    <t>Thermostat - High grade</t>
  </si>
  <si>
    <t>TS+</t>
  </si>
  <si>
    <t>Condensate drain line</t>
  </si>
  <si>
    <t>DRNL</t>
  </si>
  <si>
    <t>Central air conditioning system - 4 ton - up to 13 SEER</t>
  </si>
  <si>
    <t>AC&gt;</t>
  </si>
  <si>
    <t>FPL</t>
  </si>
  <si>
    <t>Stain &amp; finish wood fireplace mantel</t>
  </si>
  <si>
    <t>MNTLS</t>
  </si>
  <si>
    <t>Fireplace mantel - stain grade or hardwood - prefab.</t>
  </si>
  <si>
    <t>MNTL+</t>
  </si>
  <si>
    <t>Water softener - electronically metered - Large</t>
  </si>
  <si>
    <t>WS&gt;</t>
  </si>
  <si>
    <t>Seal &amp; paint bookcase</t>
  </si>
  <si>
    <t>BK</t>
  </si>
  <si>
    <t>Bookcase - built in - 12" - (SF of face area)</t>
  </si>
  <si>
    <t>BK12</t>
  </si>
  <si>
    <t>Sink faucet - Kitchen - High grade</t>
  </si>
  <si>
    <t>FAU+</t>
  </si>
  <si>
    <t>Laundry tub - High grade</t>
  </si>
  <si>
    <t>LTUB+</t>
  </si>
  <si>
    <t>Track lighting - track only</t>
  </si>
  <si>
    <t>TRK</t>
  </si>
  <si>
    <t>Fixture (can) for track lighting - High grade</t>
  </si>
  <si>
    <t>TRKCN+</t>
  </si>
  <si>
    <t>Ceiling fan without light - High grade</t>
  </si>
  <si>
    <t>FN+</t>
  </si>
  <si>
    <t>Chandelier - oversized - Premium grade</t>
  </si>
  <si>
    <t>CHAN&gt;++</t>
  </si>
  <si>
    <t>Exterior light fixture - High grade</t>
  </si>
  <si>
    <t>X+</t>
  </si>
  <si>
    <t>Door lockset &amp; deadbolt - exterior</t>
  </si>
  <si>
    <t>DBX</t>
  </si>
  <si>
    <t>Exterior door - metal - insulated / wood - High grade</t>
  </si>
  <si>
    <t>6-0 6-8 vinyl sliding patio door - High grade</t>
  </si>
  <si>
    <t>WDP</t>
  </si>
  <si>
    <t>6V+</t>
  </si>
  <si>
    <t>AV</t>
  </si>
  <si>
    <t>Phone, TV, or speaker outlet</t>
  </si>
  <si>
    <t>OL</t>
  </si>
  <si>
    <t>Breaker panel - 200 amp</t>
  </si>
  <si>
    <t>BPNL200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</si>
  <si>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</si>
  <si>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</si>
  <si>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</si>
  <si>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</si>
  <si>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</si>
  <si>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</si>
  <si>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</si>
  <si>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</si>
  <si>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Sink faucet - Brass</t>
  </si>
  <si>
    <t>FAUB</t>
  </si>
  <si>
    <t>Outlet</t>
  </si>
  <si>
    <t>OS</t>
  </si>
  <si>
    <t>Light fixture - High grade</t>
  </si>
  <si>
    <t>Wallpaper border - Standard grade</t>
  </si>
  <si>
    <t>WPR</t>
  </si>
  <si>
    <t>BORDR-</t>
  </si>
  <si>
    <t>Wallpaper - Standard grade</t>
  </si>
  <si>
    <t>AV-</t>
  </si>
  <si>
    <t>Seal the surface area w/latex based stain blocker - one coat</t>
  </si>
  <si>
    <t>S</t>
  </si>
  <si>
    <t>Paneling</t>
  </si>
  <si>
    <t>PNL</t>
  </si>
  <si>
    <t>Paint crown moulding, oversized - one coat</t>
  </si>
  <si>
    <t>CWN&gt;</t>
  </si>
  <si>
    <t>Crown moulding - 4 1/4" stain grade</t>
  </si>
  <si>
    <t>CWN&gt;+</t>
  </si>
  <si>
    <t>Pilaster - urethane - smooth face</t>
  </si>
  <si>
    <t>PILS</t>
  </si>
  <si>
    <t>Pediment - peaked cap style</t>
  </si>
  <si>
    <t>PDPC</t>
  </si>
  <si>
    <t>Stain &amp; finish baseboard</t>
  </si>
  <si>
    <t>BS</t>
  </si>
  <si>
    <t>Baseboard - 3 1/4" stain grade</t>
  </si>
  <si>
    <t>B3+</t>
  </si>
  <si>
    <t>Paint the surface area - one coat</t>
  </si>
  <si>
    <t>P</t>
  </si>
  <si>
    <t>Tile floor covering - Premium grade</t>
  </si>
  <si>
    <t>FCT</t>
  </si>
  <si>
    <t>AV++</t>
  </si>
  <si>
    <t>Sand &amp; finish wood floor (natural finish)</t>
  </si>
  <si>
    <t>FCW</t>
  </si>
  <si>
    <t>FIN</t>
  </si>
  <si>
    <t>Oak flooring - select grade - no finish</t>
  </si>
  <si>
    <t>Carpet pad - High grade</t>
  </si>
  <si>
    <t>FCC</t>
  </si>
  <si>
    <t>PAD+</t>
  </si>
  <si>
    <t>Carpet - Premium grade</t>
  </si>
  <si>
    <t>Shelving - 12" - in place</t>
  </si>
  <si>
    <t>SH12</t>
  </si>
  <si>
    <t>Wall veneer panels - natural marble</t>
  </si>
  <si>
    <t>MBL</t>
  </si>
  <si>
    <t>WN</t>
  </si>
  <si>
    <t>Mortar bed for tile</t>
  </si>
  <si>
    <t>TIL</t>
  </si>
  <si>
    <t>BMUD</t>
  </si>
  <si>
    <t>Toilet paper holder - High grade</t>
  </si>
  <si>
    <t>TP+</t>
  </si>
  <si>
    <t>Towel bar - High grade</t>
  </si>
  <si>
    <t>TBAR+</t>
  </si>
  <si>
    <t>Towel ring - High grade</t>
  </si>
  <si>
    <t>TR+</t>
  </si>
  <si>
    <t>Mirror - 1/4" plate glass</t>
  </si>
  <si>
    <t>MSD</t>
  </si>
  <si>
    <t>Medicine cabinet - High grade</t>
  </si>
  <si>
    <t>CAB</t>
  </si>
  <si>
    <t>MC+</t>
  </si>
  <si>
    <t>Toilet seat - High grade</t>
  </si>
  <si>
    <t>TLTS+</t>
  </si>
  <si>
    <t>Toilet - High grade</t>
  </si>
  <si>
    <t>TLT+</t>
  </si>
  <si>
    <t>Bathtub - High grade</t>
  </si>
  <si>
    <t>TUB+</t>
  </si>
  <si>
    <t>Bathtub enclosure - sliding glass doors - High grade</t>
  </si>
  <si>
    <t>TUBDR+</t>
  </si>
  <si>
    <t>Tub/shower faucet - High grade</t>
  </si>
  <si>
    <t>TSFAU+</t>
  </si>
  <si>
    <t>Ductwork - flexible - non-insulated - 3" round</t>
  </si>
  <si>
    <t>DCTFN3</t>
  </si>
  <si>
    <t>Bathroom ventilation fan - High grade</t>
  </si>
  <si>
    <t>BVENT+</t>
  </si>
  <si>
    <t>Light bar - 3 lights - High grade</t>
  </si>
  <si>
    <t>BAR3+</t>
  </si>
  <si>
    <t>Ground fault interrupter (GFI) outlet</t>
  </si>
  <si>
    <t>GFI</t>
  </si>
  <si>
    <t>Vanity - High grade</t>
  </si>
  <si>
    <t>VAN+</t>
  </si>
  <si>
    <t>Countertop - solid surface - High grade</t>
  </si>
  <si>
    <t>CTSS+</t>
  </si>
  <si>
    <t>Sink faucet - Bathroom - High grade</t>
  </si>
  <si>
    <t>FAUBA+</t>
  </si>
  <si>
    <t>Sink - single - High grade</t>
  </si>
  <si>
    <t>SNK+</t>
  </si>
  <si>
    <t>Shower door - High grade</t>
  </si>
  <si>
    <t>SDOR+</t>
  </si>
  <si>
    <t>Shower pan - Large</t>
  </si>
  <si>
    <t>SWRPAN&gt;</t>
  </si>
  <si>
    <t>Light bar - 4 lights - High grade</t>
  </si>
  <si>
    <t>BAR4+</t>
  </si>
  <si>
    <t>Jetted tub faucet - High grade</t>
  </si>
  <si>
    <t>JTFAU+</t>
  </si>
  <si>
    <t>Jetted tub - Acrylic - High grade</t>
  </si>
  <si>
    <t>JT+</t>
  </si>
  <si>
    <t>Trim board - 1" x 6" - installed (hardwood - oak or =)</t>
  </si>
  <si>
    <t>1X6H</t>
  </si>
  <si>
    <t>Trim board - 1" x 12" - installed (hardwood - oak or =)</t>
  </si>
  <si>
    <t>1X12H</t>
  </si>
  <si>
    <t>Paint bifold door set - slab only - 2 coats (per side)</t>
  </si>
  <si>
    <t>BF</t>
  </si>
  <si>
    <t>Bifold door set - Birch veneer - Double</t>
  </si>
  <si>
    <t>BF+</t>
  </si>
  <si>
    <t>Light fixture</t>
  </si>
  <si>
    <t>Deck</t>
  </si>
  <si>
    <t>Exterior light fixture</t>
  </si>
  <si>
    <t>X</t>
  </si>
  <si>
    <t>Light bar - 2 lights - High grade</t>
  </si>
  <si>
    <t>BAR2+</t>
  </si>
  <si>
    <t>Washing machine outlet box with valves</t>
  </si>
  <si>
    <t>WBOX</t>
  </si>
  <si>
    <t>220 volt outlet</t>
  </si>
  <si>
    <t>OL220</t>
  </si>
  <si>
    <t>Cabinetry - upper (wall) units - High grade</t>
  </si>
  <si>
    <t>UP+</t>
  </si>
  <si>
    <t>Add for leaded glass (standard design), per cabinet door</t>
  </si>
  <si>
    <t>GL+</t>
  </si>
  <si>
    <t>Sink faucet - Kitchen - Premium grade</t>
  </si>
  <si>
    <t>FAU++</t>
  </si>
  <si>
    <t>Sink - double basin - Premium grade</t>
  </si>
  <si>
    <t>SNKD++</t>
  </si>
  <si>
    <t>Fluorescent - four tube - 4' - fixture w/lens</t>
  </si>
  <si>
    <t>FL4-4+</t>
  </si>
  <si>
    <t>Cabinetry - full height unit - Premium grade</t>
  </si>
  <si>
    <t>FH++</t>
  </si>
  <si>
    <t>Cabinetry - lower (base) units - Premium grade</t>
  </si>
  <si>
    <t>LOW++</t>
  </si>
  <si>
    <t>Refrigerator/icemaker water supply box with valve</t>
  </si>
  <si>
    <t>WSBOX</t>
  </si>
  <si>
    <t>Appliance water line - 1/4"</t>
  </si>
  <si>
    <t>APP</t>
  </si>
  <si>
    <t>WL</t>
  </si>
  <si>
    <t>Cabinet knob or pull</t>
  </si>
  <si>
    <t>KNPL</t>
  </si>
  <si>
    <t>Custom cabinets - wall units - up to 24" tall - High grade</t>
  </si>
  <si>
    <t>CUW24+</t>
  </si>
  <si>
    <t>Cabinetry - laminate lower (base) units - High grade</t>
  </si>
  <si>
    <t>FLOW+</t>
  </si>
  <si>
    <t>Microwave oven - over range w/built-in hood - High grade</t>
  </si>
  <si>
    <t>MWS+</t>
  </si>
  <si>
    <t>Cabinetry - full height unit - High grade</t>
  </si>
  <si>
    <t>FH+</t>
  </si>
  <si>
    <t>Built-in freezer - 36" - High grade</t>
  </si>
  <si>
    <t>FRBI+</t>
  </si>
  <si>
    <t>110 volt copper wiring run, box and outlet</t>
  </si>
  <si>
    <t>110</t>
  </si>
  <si>
    <t>220 volt copper wiring run, box and receptacle</t>
  </si>
  <si>
    <t>220</t>
  </si>
  <si>
    <t>Built-in refrigerator - 42" - High grade</t>
  </si>
  <si>
    <t>RFBI&gt;+</t>
  </si>
  <si>
    <t>Built-in double oven - High grade</t>
  </si>
  <si>
    <t>OVBID+</t>
  </si>
  <si>
    <t>Garbage disposer - High grade</t>
  </si>
  <si>
    <t>GD+</t>
  </si>
  <si>
    <t>Wood range hood, 42" - tapered canopy - High grade</t>
  </si>
  <si>
    <t>RH42+</t>
  </si>
  <si>
    <t>Cooktop - gas - High grade</t>
  </si>
  <si>
    <t>CTG+</t>
  </si>
  <si>
    <t>Dishwasher connection</t>
  </si>
  <si>
    <t>DW</t>
  </si>
  <si>
    <t>Dishwasher - Premium grade</t>
  </si>
  <si>
    <t>DW++</t>
  </si>
  <si>
    <t>Stain &amp; finish chair rail</t>
  </si>
  <si>
    <t>CHRS</t>
  </si>
  <si>
    <t>Chair rail - 2 1/2" hardwood - moulded w/intricate detail</t>
  </si>
  <si>
    <t>CHRH++</t>
  </si>
  <si>
    <t>Patio</t>
  </si>
  <si>
    <t>Storm door assembly - High grade</t>
  </si>
  <si>
    <t>STRMD+</t>
  </si>
  <si>
    <t>Cat.Sel</t>
  </si>
  <si>
    <t>group_1</t>
  </si>
  <si>
    <t>PNT.SILLS</t>
  </si>
  <si>
    <t>general</t>
  </si>
  <si>
    <t>FNC.SILLH</t>
  </si>
  <si>
    <t>ELE.SMOKE+</t>
  </si>
  <si>
    <t>LIT.FL2-6+</t>
  </si>
  <si>
    <t>HVC.DVENT</t>
  </si>
  <si>
    <t>PNT.HRS</t>
  </si>
  <si>
    <t>FNC.HR+</t>
  </si>
  <si>
    <t>FNC.LAB</t>
  </si>
  <si>
    <t>PLM.RGHFIX</t>
  </si>
  <si>
    <t>PLM.WH50</t>
  </si>
  <si>
    <t>mech_single</t>
  </si>
  <si>
    <t>PNT.SHW</t>
  </si>
  <si>
    <t>FNC.SH16</t>
  </si>
  <si>
    <t>PNT.SP</t>
  </si>
  <si>
    <t>DRY.1/2+</t>
  </si>
  <si>
    <t>FNH.DORH+</t>
  </si>
  <si>
    <t>DOR.AV+</t>
  </si>
  <si>
    <t>PNT.DORT</t>
  </si>
  <si>
    <t>PNT.DOR</t>
  </si>
  <si>
    <t>INS.BTF10_b1</t>
  </si>
  <si>
    <t>HVC.FRFAH&gt;</t>
  </si>
  <si>
    <t>HVC.DCT&gt;_b1</t>
  </si>
  <si>
    <t>HVC.TS+</t>
  </si>
  <si>
    <t>HVC.DRNL</t>
  </si>
  <si>
    <t>HVC.AC&gt;_b</t>
  </si>
  <si>
    <t>PNT.MNTLS</t>
  </si>
  <si>
    <t>general_main</t>
  </si>
  <si>
    <t>FPL.MNTL+</t>
  </si>
  <si>
    <t>PLM.WS&gt;</t>
  </si>
  <si>
    <t>PNT.BK</t>
  </si>
  <si>
    <t>FNC.BK12</t>
  </si>
  <si>
    <t>PLM.FAU+</t>
  </si>
  <si>
    <t>PLM.LTUB+</t>
  </si>
  <si>
    <t>LIT.TRK</t>
  </si>
  <si>
    <t>LIT.TRKCN+</t>
  </si>
  <si>
    <t>LIT.FN+</t>
  </si>
  <si>
    <t>LIT.CHAN&gt;++</t>
  </si>
  <si>
    <t>LIT.X+</t>
  </si>
  <si>
    <t>FNH.DBX</t>
  </si>
  <si>
    <t>DOR.X+</t>
  </si>
  <si>
    <t>WDP.6V+</t>
  </si>
  <si>
    <t>ELE.OL</t>
  </si>
  <si>
    <t>ELE.BPNL200</t>
  </si>
  <si>
    <t>ELE.LV</t>
  </si>
  <si>
    <t>ELE.XOS</t>
  </si>
  <si>
    <t>ELE.REWIRE</t>
  </si>
  <si>
    <t>FNC.CLROD</t>
  </si>
  <si>
    <t>PLM.FAUB</t>
  </si>
  <si>
    <t>ELE.OS</t>
  </si>
  <si>
    <t>LIT.AV+</t>
  </si>
  <si>
    <t>WPR.BORDR-</t>
  </si>
  <si>
    <t>WPR.AV-</t>
  </si>
  <si>
    <t>PNT.S</t>
  </si>
  <si>
    <t>PNL.AV</t>
  </si>
  <si>
    <t>PNT.CWN&gt;</t>
  </si>
  <si>
    <t>FNC.CWN&gt;+</t>
  </si>
  <si>
    <t>FNC.PILS</t>
  </si>
  <si>
    <t>FNC.PDPC</t>
  </si>
  <si>
    <t>PNT.BS</t>
  </si>
  <si>
    <t>FNC.B3+</t>
  </si>
  <si>
    <t>PNT.P</t>
  </si>
  <si>
    <t>FCT.AV++</t>
  </si>
  <si>
    <t>FCW.FIN</t>
  </si>
  <si>
    <t>FCW.AV+</t>
  </si>
  <si>
    <t>FCC.PAD+</t>
  </si>
  <si>
    <t>FCC.AV++</t>
  </si>
  <si>
    <t>FNC.SH12</t>
  </si>
  <si>
    <t>MBL.WN</t>
  </si>
  <si>
    <t>TIL.BMUD</t>
  </si>
  <si>
    <t>FNH.TP+</t>
  </si>
  <si>
    <t>FNH.TBAR+</t>
  </si>
  <si>
    <t>FNH.TR+</t>
  </si>
  <si>
    <t>MSD.AV</t>
  </si>
  <si>
    <t>CAB.MC+</t>
  </si>
  <si>
    <t>PLM.TLTS+</t>
  </si>
  <si>
    <t>PLM.TLT+</t>
  </si>
  <si>
    <t>PLM.TUB+</t>
  </si>
  <si>
    <t>MSD.TUBDR+</t>
  </si>
  <si>
    <t>PLM.TSFAU+</t>
  </si>
  <si>
    <t>HVC.DCTFN3</t>
  </si>
  <si>
    <t>HVC.BVENT+</t>
  </si>
  <si>
    <t>LIT.BAR3+</t>
  </si>
  <si>
    <t>ELE.GFI</t>
  </si>
  <si>
    <t>CAB.VAN+</t>
  </si>
  <si>
    <t>CAB.CTSS+</t>
  </si>
  <si>
    <t>PLM.FAUBA+</t>
  </si>
  <si>
    <t>PLM.SNK+</t>
  </si>
  <si>
    <t>MSD.SDOR+</t>
  </si>
  <si>
    <t>PLM.SWRPAN&gt;</t>
  </si>
  <si>
    <t>LIT.BAR4+</t>
  </si>
  <si>
    <t>PLM.JTFAU+</t>
  </si>
  <si>
    <t>PLM.JT+</t>
  </si>
  <si>
    <t>FNC.1X6H</t>
  </si>
  <si>
    <t>FNC.1X12H</t>
  </si>
  <si>
    <t>PNT.BF</t>
  </si>
  <si>
    <t>DOR.BF+</t>
  </si>
  <si>
    <t>LIT.AV</t>
  </si>
  <si>
    <t>LIT.X</t>
  </si>
  <si>
    <t>LIT.BAR2+</t>
  </si>
  <si>
    <t>PLM.WBOX</t>
  </si>
  <si>
    <t>ELE.OL220</t>
  </si>
  <si>
    <t>CAB.UP+</t>
  </si>
  <si>
    <t>CAB.GL+</t>
  </si>
  <si>
    <t>PLM.FAU++</t>
  </si>
  <si>
    <t>PLM.SNKD++</t>
  </si>
  <si>
    <t>LIT.FL4-4+</t>
  </si>
  <si>
    <t>CAB.FH++</t>
  </si>
  <si>
    <t>CAB.LOW++</t>
  </si>
  <si>
    <t>PLM.WSBOX</t>
  </si>
  <si>
    <t>APP.WL</t>
  </si>
  <si>
    <t>CAB.KNPL</t>
  </si>
  <si>
    <t>CAB.CUW24+</t>
  </si>
  <si>
    <t>CAB.FLOW+</t>
  </si>
  <si>
    <t>APP.MWS+</t>
  </si>
  <si>
    <t>CAB.FH+</t>
  </si>
  <si>
    <t>APP.FRBI+</t>
  </si>
  <si>
    <t>ELE.110</t>
  </si>
  <si>
    <t>ELE.220</t>
  </si>
  <si>
    <t>APP.RFBI&gt;+</t>
  </si>
  <si>
    <t>APP.OVBID+</t>
  </si>
  <si>
    <t>APP.GD+</t>
  </si>
  <si>
    <t>CAB.RH42+</t>
  </si>
  <si>
    <t>APP.CTG+</t>
  </si>
  <si>
    <t>PLM.DW</t>
  </si>
  <si>
    <t>APP.DW++</t>
  </si>
  <si>
    <t>PNT.CHRS</t>
  </si>
  <si>
    <t>FNC.CHRH++</t>
  </si>
  <si>
    <t>DOR.STRMD+</t>
  </si>
  <si>
    <t>david.sol at 2023-09-18 13:11</t>
  </si>
  <si>
    <t>NBFR8X_SEP23</t>
  </si>
  <si>
    <t>11' 10" x 9' 10" x 9'</t>
  </si>
  <si>
    <t>7' 10" x 4' 11" x 9'</t>
  </si>
  <si>
    <t>9' 10" x 7' 10" x 9'</t>
  </si>
  <si>
    <t>17' 8" x 11' 10" x 9'</t>
  </si>
  <si>
    <t>9' 10" x 9' 10" x 9'</t>
  </si>
  <si>
    <t>19' 8" x 13' 9" x 9'</t>
  </si>
  <si>
    <t>14' 9" x 3' 11" x 9'</t>
  </si>
  <si>
    <t>10' 11" x 10' 11" x 9'</t>
  </si>
  <si>
    <t>4' 11" x 4' 11" x 9'</t>
  </si>
  <si>
    <t>13' 9" x 11' 10" x 9'</t>
  </si>
  <si>
    <t>14' 9" x 10' 10" x 9'</t>
  </si>
  <si>
    <t>15' 9" x 13' 9" x 9'</t>
  </si>
  <si>
    <t>14' 9" x 5' 11" x 9'</t>
  </si>
  <si>
    <t>14' 2" x 14' 2" x 9'</t>
  </si>
  <si>
    <t>source: NBFR8X_SEP23</t>
  </si>
  <si>
    <t>Kitchen-Large</t>
  </si>
  <si>
    <t>Laundry Room-medium</t>
  </si>
  <si>
    <t>Entry Foyer-medium</t>
  </si>
  <si>
    <t>Walk-In Closet-Large</t>
  </si>
  <si>
    <t>Full Bath-medium</t>
  </si>
  <si>
    <t>1.5 Bath-large</t>
  </si>
  <si>
    <t>Living Area-medium</t>
  </si>
  <si>
    <t>Bedroom-medium</t>
  </si>
  <si>
    <t>Nook-medium</t>
  </si>
  <si>
    <t>Living Area-large</t>
  </si>
  <si>
    <t>Hallway-medium</t>
  </si>
  <si>
    <t>Dining Room-medium</t>
  </si>
  <si>
    <t>Half Bath-small</t>
  </si>
  <si>
    <t>Utility Room-large</t>
  </si>
  <si>
    <t>Walk-In Closet-large</t>
  </si>
  <si>
    <t>Bedroom-large</t>
  </si>
  <si>
    <t>Bedroom-x-large</t>
  </si>
  <si>
    <t>Hallway-large</t>
  </si>
  <si>
    <t>Bedroom-Large</t>
  </si>
  <si>
    <t>david.sol at 2023-09-18 13:14</t>
  </si>
  <si>
    <t>group_2</t>
  </si>
  <si>
    <t>group_3</t>
  </si>
  <si>
    <t>raw_est</t>
  </si>
  <si>
    <t>level</t>
  </si>
  <si>
    <t>Depth-Replacement</t>
  </si>
  <si>
    <t>Depth-Cost</t>
  </si>
  <si>
    <t>david.sol at 2023-09-18 13:16</t>
  </si>
  <si>
    <t>david.sol at 2023-09-18 13:17</t>
  </si>
  <si>
    <t>Copy of group_2 pivot</t>
  </si>
  <si>
    <t>Copy of group_3 pivot</t>
  </si>
  <si>
    <t>R_1-L-BD-CU_NBFR_m2</t>
  </si>
  <si>
    <t>DDFwork_R_1-L-BD-CU_NBFR.xlsm</t>
  </si>
  <si>
    <t>david.sol</t>
  </si>
  <si>
    <t>impact</t>
  </si>
  <si>
    <t>R_1-L-BD-CU_NBFR_struct</t>
  </si>
  <si>
    <t>david.sol at 2023-09-18 13:18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</si>
</sst>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1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164" fontId="14" fillId="0" borderId="0" xfId="5" applyNumberFormat="1" applyFont="1" applyAlignment="1">
      <alignment wrapText="1"/>
    </xf>
    <xf numFmtId="164" fontId="14" fillId="0" borderId="13" xfId="5" applyNumberFormat="1" applyFont="1" applyBorder="1" applyAlignment="1">
      <alignment wrapText="1"/>
    </xf>
    <xf numFmtId="0" fontId="4" fillId="3" borderId="14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0" fontId="3" fillId="0" borderId="0" xfId="5" applyAlignment="1">
      <alignment horizontal="center"/>
    </xf>
    <xf numFmtId="164" fontId="3" fillId="0" borderId="0" xfId="5" applyNumberFormat="1"/>
    <xf numFmtId="0" fontId="3" fillId="0" borderId="12" xfId="5" applyBorder="1"/>
    <xf numFmtId="164" fontId="3" fillId="0" borderId="12" xfId="5" applyNumberFormat="1" applyBorder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1" fillId="0" borderId="0" xfId="1" applyBorder="1" applyAlignment="1">
      <alignment horizontal="left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2" xfId="5" applyNumberFormat="1" applyFont="1" applyFill="1" applyBorder="1" applyAlignment="1">
      <alignment horizontal="center"/>
    </xf>
    <xf numFmtId="0" fontId="4" fillId="3" borderId="12" xfId="5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553752083331" createdVersion="3" refreshedVersion="8" minRefreshableVersion="3" recordCount="1020" xr:uid="{B16C574A-5520-4EC9-B47C-F6DB2D6177F9}">
  <cacheSource type="worksheet">
    <worksheetSource ref="AH2:AZ1022" sheet="LineItems"/>
  </cacheSource>
  <cacheFields count="19">
    <cacheField name="level" numFmtId="0">
      <sharedItems/>
    </cacheField>
    <cacheField name="type" numFmtId="0">
      <sharedItems count="16">
        <s v="general-split"/>
        <s v="general-mechanical"/>
        <s v="general-main"/>
        <s v="Kitchen"/>
        <s v="Laundry Room"/>
        <s v="Entry Foyer"/>
        <s v="Walk-In Closet"/>
        <s v="Full Bath"/>
        <s v="1.5 Bath"/>
        <s v="Living Area"/>
        <s v="Bedroom"/>
        <s v="Nook"/>
        <s v="Hallway"/>
        <s v="Dining Room"/>
        <s v="Half Bath"/>
        <s v="Utility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2407.9699999999998"/>
    </cacheField>
    <cacheField name="0.05" numFmtId="0">
      <sharedItems containsSemiMixedTypes="0" containsString="0" containsNumber="1" minValue="0" maxValue="7352.88"/>
    </cacheField>
    <cacheField name="0.1" numFmtId="0">
      <sharedItems containsSemiMixedTypes="0" containsString="0" containsNumber="1" minValue="0" maxValue="7352.88"/>
    </cacheField>
    <cacheField name="0.15" numFmtId="0">
      <sharedItems containsSemiMixedTypes="0" containsString="0" containsNumber="1" minValue="0" maxValue="10943"/>
    </cacheField>
    <cacheField name="0.3" numFmtId="0">
      <sharedItems containsSemiMixedTypes="0" containsString="0" containsNumber="1" minValue="0" maxValue="10943"/>
    </cacheField>
    <cacheField name="0.46" numFmtId="0">
      <sharedItems containsSemiMixedTypes="0" containsString="0" containsNumber="1" minValue="0" maxValue="12888"/>
    </cacheField>
    <cacheField name="0.61" numFmtId="0">
      <sharedItems containsSemiMixedTypes="0" containsString="0" containsNumber="1" minValue="0" maxValue="12888"/>
    </cacheField>
    <cacheField name="0.76" numFmtId="0">
      <sharedItems containsSemiMixedTypes="0" containsString="0" containsNumber="1" minValue="0" maxValue="12888"/>
    </cacheField>
    <cacheField name="0.91" numFmtId="0">
      <sharedItems containsSemiMixedTypes="0" containsString="0" containsNumber="1" minValue="0" maxValue="12888"/>
    </cacheField>
    <cacheField name="1.02" numFmtId="0">
      <sharedItems containsSemiMixedTypes="0" containsString="0" containsNumber="1" minValue="0" maxValue="12888"/>
    </cacheField>
    <cacheField name="1.22" numFmtId="0">
      <sharedItems containsSemiMixedTypes="0" containsString="0" containsNumber="1" minValue="0" maxValue="12888"/>
    </cacheField>
    <cacheField name="1.52" numFmtId="0">
      <sharedItems containsSemiMixedTypes="0" containsString="0" containsNumber="1" minValue="0" maxValue="12888"/>
    </cacheField>
    <cacheField name="1.83" numFmtId="0">
      <sharedItems containsSemiMixedTypes="0" containsString="0" containsNumber="1" minValue="13.6" maxValue="12888"/>
    </cacheField>
    <cacheField name="2.7" numFmtId="0">
      <sharedItems containsSemiMixedTypes="0" containsString="0" containsNumber="1" minValue="13.6" maxValue="128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553752893517" createdVersion="3" refreshedVersion="8" minRefreshableVersion="3" recordCount="1020" xr:uid="{525E6D16-EDBE-48E5-8772-51D168773FB9}">
  <cacheSource type="worksheet">
    <worksheetSource ref="AH2:AZ1022" sheet="LineItems"/>
  </cacheSource>
  <cacheFields count="19">
    <cacheField name="level" numFmtId="0">
      <sharedItems count="4">
        <s v="split"/>
        <s v="mechanical"/>
        <s v="main"/>
        <s v="basement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2407.9699999999998"/>
    </cacheField>
    <cacheField name="0.05" numFmtId="0">
      <sharedItems containsSemiMixedTypes="0" containsString="0" containsNumber="1" minValue="0" maxValue="7352.88"/>
    </cacheField>
    <cacheField name="0.1" numFmtId="0">
      <sharedItems containsSemiMixedTypes="0" containsString="0" containsNumber="1" minValue="0" maxValue="7352.88"/>
    </cacheField>
    <cacheField name="0.15" numFmtId="0">
      <sharedItems containsSemiMixedTypes="0" containsString="0" containsNumber="1" minValue="0" maxValue="10943"/>
    </cacheField>
    <cacheField name="0.3" numFmtId="0">
      <sharedItems containsSemiMixedTypes="0" containsString="0" containsNumber="1" minValue="0" maxValue="10943"/>
    </cacheField>
    <cacheField name="0.46" numFmtId="0">
      <sharedItems containsSemiMixedTypes="0" containsString="0" containsNumber="1" minValue="0" maxValue="12888"/>
    </cacheField>
    <cacheField name="0.61" numFmtId="0">
      <sharedItems containsSemiMixedTypes="0" containsString="0" containsNumber="1" minValue="0" maxValue="12888"/>
    </cacheField>
    <cacheField name="0.76" numFmtId="0">
      <sharedItems containsSemiMixedTypes="0" containsString="0" containsNumber="1" minValue="0" maxValue="12888"/>
    </cacheField>
    <cacheField name="0.91" numFmtId="0">
      <sharedItems containsSemiMixedTypes="0" containsString="0" containsNumber="1" minValue="0" maxValue="12888"/>
    </cacheField>
    <cacheField name="1.02" numFmtId="0">
      <sharedItems containsSemiMixedTypes="0" containsString="0" containsNumber="1" minValue="0" maxValue="12888"/>
    </cacheField>
    <cacheField name="1.22" numFmtId="0">
      <sharedItems containsSemiMixedTypes="0" containsString="0" containsNumber="1" minValue="0" maxValue="12888"/>
    </cacheField>
    <cacheField name="1.52" numFmtId="0">
      <sharedItems containsSemiMixedTypes="0" containsString="0" containsNumber="1" minValue="0" maxValue="12888"/>
    </cacheField>
    <cacheField name="1.83" numFmtId="0">
      <sharedItems containsSemiMixedTypes="0" containsString="0" containsNumber="1" minValue="13.6" maxValue="12888"/>
    </cacheField>
    <cacheField name="2.7" numFmtId="0">
      <sharedItems containsSemiMixedTypes="0" containsString="0" containsNumber="1" minValue="13.6" maxValue="128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0">
  <r>
    <s v="split"/>
    <x v="0"/>
    <n v="0"/>
    <n v="0"/>
    <n v="0"/>
    <n v="0"/>
    <n v="0"/>
    <n v="0"/>
    <n v="0"/>
    <n v="0"/>
    <n v="0"/>
    <n v="0"/>
    <n v="0"/>
    <n v="573.24"/>
    <n v="573.24"/>
    <n v="573.24"/>
    <n v="573.24"/>
    <n v="573.24"/>
    <n v="573.24"/>
  </r>
  <r>
    <s v="split"/>
    <x v="0"/>
    <n v="0"/>
    <n v="0"/>
    <n v="0"/>
    <n v="0"/>
    <n v="0"/>
    <n v="0"/>
    <n v="0"/>
    <n v="0"/>
    <n v="0"/>
    <n v="0"/>
    <n v="0"/>
    <n v="1122"/>
    <n v="1122"/>
    <n v="1122"/>
    <n v="1122"/>
    <n v="1122"/>
    <n v="1122"/>
  </r>
  <r>
    <s v="split"/>
    <x v="0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split"/>
    <x v="0"/>
    <n v="0"/>
    <n v="0"/>
    <n v="0"/>
    <n v="0"/>
    <n v="0"/>
    <n v="0"/>
    <n v="0"/>
    <n v="0"/>
    <n v="0"/>
    <n v="0"/>
    <n v="0"/>
    <n v="0"/>
    <n v="0"/>
    <n v="0"/>
    <n v="172.18"/>
    <n v="172.18"/>
    <n v="172.18"/>
  </r>
  <r>
    <s v="split"/>
    <x v="0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s v="split"/>
    <x v="0"/>
    <n v="0"/>
    <n v="0"/>
    <n v="0"/>
    <n v="0"/>
    <n v="0"/>
    <n v="0"/>
    <n v="0"/>
    <n v="0"/>
    <n v="0"/>
    <n v="0"/>
    <n v="0"/>
    <n v="76.319999999999993"/>
    <n v="76.319999999999993"/>
    <n v="76.319999999999993"/>
    <n v="76.319999999999993"/>
    <n v="76.319999999999993"/>
    <n v="76.319999999999993"/>
  </r>
  <r>
    <s v="split"/>
    <x v="0"/>
    <n v="0"/>
    <n v="0"/>
    <n v="0"/>
    <n v="0"/>
    <n v="0"/>
    <n v="0"/>
    <n v="0"/>
    <n v="0"/>
    <n v="0"/>
    <n v="0"/>
    <n v="0"/>
    <n v="0"/>
    <n v="0"/>
    <n v="663.12"/>
    <n v="663.12"/>
    <n v="663.12"/>
    <n v="663.12"/>
  </r>
  <r>
    <s v="split"/>
    <x v="0"/>
    <n v="0"/>
    <n v="0"/>
    <n v="0"/>
    <n v="0"/>
    <n v="323.35900000000004"/>
    <n v="323.35900000000004"/>
    <n v="646.71800000000007"/>
    <n v="646.71800000000007"/>
    <n v="646.71800000000007"/>
    <n v="970.077"/>
    <n v="970.077"/>
    <n v="1616.7950000000001"/>
    <n v="3233.59"/>
    <n v="3233.59"/>
    <n v="3233.59"/>
    <n v="3233.59"/>
    <n v="3233.59"/>
  </r>
  <r>
    <s v="split"/>
    <x v="0"/>
    <n v="0"/>
    <n v="0"/>
    <n v="0"/>
    <n v="0"/>
    <n v="0"/>
    <n v="0"/>
    <n v="0"/>
    <n v="0"/>
    <n v="0"/>
    <n v="1573.76"/>
    <n v="1573.76"/>
    <n v="1573.76"/>
    <n v="1573.76"/>
    <n v="1573.76"/>
    <n v="1573.76"/>
    <n v="1573.76"/>
    <n v="1573.76"/>
  </r>
  <r>
    <s v="mechanical"/>
    <x v="1"/>
    <n v="0"/>
    <n v="0"/>
    <n v="0"/>
    <n v="0"/>
    <n v="0"/>
    <n v="3508.9"/>
    <n v="3508.9"/>
    <n v="3508.9"/>
    <n v="3508.9"/>
    <n v="3508.9"/>
    <n v="3508.9"/>
    <n v="3508.9"/>
    <n v="3508.9"/>
    <n v="3508.9"/>
    <n v="3508.9"/>
    <n v="3508.9"/>
    <n v="3508.9"/>
  </r>
  <r>
    <s v="split"/>
    <x v="0"/>
    <n v="0"/>
    <n v="0"/>
    <n v="0"/>
    <n v="0"/>
    <n v="0"/>
    <n v="0"/>
    <n v="0"/>
    <n v="0"/>
    <n v="0"/>
    <n v="0"/>
    <n v="0"/>
    <n v="133.19999999999999"/>
    <n v="133.19999999999999"/>
    <n v="133.19999999999999"/>
    <n v="133.19999999999999"/>
    <n v="133.19999999999999"/>
    <n v="133.19999999999999"/>
  </r>
  <r>
    <s v="split"/>
    <x v="0"/>
    <n v="0"/>
    <n v="0"/>
    <n v="0"/>
    <n v="0"/>
    <n v="0"/>
    <n v="0"/>
    <n v="0"/>
    <n v="0"/>
    <n v="0"/>
    <n v="0"/>
    <n v="0"/>
    <n v="346.51"/>
    <n v="346.51"/>
    <n v="346.51"/>
    <n v="346.51"/>
    <n v="346.51"/>
    <n v="346.51"/>
  </r>
  <r>
    <s v="split"/>
    <x v="0"/>
    <n v="0"/>
    <n v="0"/>
    <n v="0"/>
    <n v="0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</r>
  <r>
    <s v="split"/>
    <x v="0"/>
    <n v="0"/>
    <n v="0"/>
    <n v="0"/>
    <n v="122.97499999999999"/>
    <n v="122.97499999999999"/>
    <n v="122.97499999999999"/>
    <n v="122.97499999999999"/>
    <n v="245.95"/>
    <n v="245.95"/>
    <n v="245.95"/>
    <n v="245.95"/>
    <n v="491.9"/>
    <n v="491.9"/>
    <n v="491.9"/>
    <n v="491.9"/>
    <n v="491.9"/>
    <n v="491.9"/>
  </r>
  <r>
    <s v="split"/>
    <x v="0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split"/>
    <x v="0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split"/>
    <x v="0"/>
    <n v="0"/>
    <n v="0"/>
    <n v="0"/>
    <n v="2177.1224999999999"/>
    <n v="2177.1224999999999"/>
    <n v="2177.1224999999999"/>
    <n v="2177.1224999999999"/>
    <n v="2177.1224999999999"/>
    <n v="4354.2449999999999"/>
    <n v="4354.2449999999999"/>
    <n v="4354.2449999999999"/>
    <n v="4354.2449999999999"/>
    <n v="8708.49"/>
    <n v="8708.49"/>
    <n v="8708.49"/>
    <n v="8708.49"/>
    <n v="8708.49"/>
  </r>
  <r>
    <s v="split"/>
    <x v="0"/>
    <n v="0"/>
    <n v="0"/>
    <n v="0"/>
    <n v="1950"/>
    <n v="1950"/>
    <n v="1950"/>
    <n v="1950"/>
    <n v="1950"/>
    <n v="3900"/>
    <n v="3900"/>
    <n v="3900"/>
    <n v="3900"/>
    <n v="7800"/>
    <n v="7800"/>
    <n v="7800"/>
    <n v="7800"/>
    <n v="7800"/>
  </r>
  <r>
    <s v="mechanical"/>
    <x v="1"/>
    <n v="0"/>
    <n v="0"/>
    <n v="0"/>
    <n v="0"/>
    <n v="0"/>
    <n v="0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7488.92"/>
    <n v="7488.92"/>
  </r>
  <r>
    <s v="split"/>
    <x v="0"/>
    <n v="0"/>
    <n v="0"/>
    <n v="0"/>
    <n v="0"/>
    <n v="0"/>
    <n v="0"/>
    <n v="0"/>
    <n v="0"/>
    <n v="0"/>
    <n v="0"/>
    <n v="0"/>
    <n v="0"/>
    <n v="0"/>
    <n v="188.17"/>
    <n v="188.17"/>
    <n v="188.17"/>
    <n v="188.17"/>
  </r>
  <r>
    <s v="mechanical"/>
    <x v="1"/>
    <n v="0"/>
    <n v="0"/>
    <n v="0"/>
    <n v="0"/>
    <n v="0"/>
    <n v="0"/>
    <n v="81.31"/>
    <n v="81.31"/>
    <n v="81.31"/>
    <n v="81.31"/>
    <n v="81.31"/>
    <n v="81.31"/>
    <n v="81.31"/>
    <n v="81.31"/>
    <n v="81.31"/>
    <n v="81.31"/>
    <n v="81.31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5188.96"/>
    <n v="5188.96"/>
  </r>
  <r>
    <s v="main"/>
    <x v="2"/>
    <n v="0"/>
    <n v="0"/>
    <n v="0"/>
    <n v="0"/>
    <n v="0"/>
    <n v="0"/>
    <n v="0"/>
    <n v="0"/>
    <n v="0"/>
    <n v="0"/>
    <n v="0"/>
    <n v="0"/>
    <n v="0"/>
    <n v="0"/>
    <n v="53.2"/>
    <n v="53.2"/>
    <n v="53.2"/>
  </r>
  <r>
    <s v="main"/>
    <x v="2"/>
    <n v="0"/>
    <n v="0"/>
    <n v="0"/>
    <n v="0"/>
    <n v="0"/>
    <n v="0"/>
    <n v="0"/>
    <n v="0"/>
    <n v="0"/>
    <n v="0"/>
    <n v="0"/>
    <n v="0"/>
    <n v="0"/>
    <n v="0"/>
    <n v="870.63"/>
    <n v="870.63"/>
    <n v="870.63"/>
  </r>
  <r>
    <s v="mechanical"/>
    <x v="1"/>
    <n v="0"/>
    <n v="0"/>
    <n v="0"/>
    <n v="0"/>
    <n v="0"/>
    <n v="0"/>
    <n v="0"/>
    <n v="0"/>
    <n v="1664.68"/>
    <n v="1664.68"/>
    <n v="1664.68"/>
    <n v="1664.68"/>
    <n v="1664.68"/>
    <n v="1664.68"/>
    <n v="1664.68"/>
    <n v="1664.68"/>
    <n v="1664.68"/>
  </r>
  <r>
    <s v="split"/>
    <x v="0"/>
    <n v="0"/>
    <n v="0"/>
    <n v="0"/>
    <n v="0"/>
    <n v="248.4"/>
    <n v="248.4"/>
    <n v="248.4"/>
    <n v="248.4"/>
    <n v="248.4"/>
    <n v="248.4"/>
    <n v="248.4"/>
    <n v="248.4"/>
    <n v="248.4"/>
    <n v="248.4"/>
    <n v="248.4"/>
    <n v="248.4"/>
    <n v="248.4"/>
  </r>
  <r>
    <s v="split"/>
    <x v="0"/>
    <n v="0"/>
    <n v="0"/>
    <n v="0"/>
    <n v="0"/>
    <n v="0"/>
    <n v="0"/>
    <n v="414.45"/>
    <n v="414.45"/>
    <n v="828.9"/>
    <n v="828.9"/>
    <n v="1657.8"/>
    <n v="1657.8"/>
    <n v="1657.8"/>
    <n v="1657.8"/>
    <n v="1657.8"/>
    <n v="1657.8"/>
    <n v="1657.8"/>
  </r>
  <r>
    <s v="split"/>
    <x v="0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main"/>
    <x v="3"/>
    <n v="0"/>
    <n v="0"/>
    <n v="0"/>
    <n v="0"/>
    <n v="0"/>
    <n v="0"/>
    <n v="0"/>
    <n v="0"/>
    <n v="0"/>
    <n v="0"/>
    <n v="0"/>
    <n v="505.12"/>
    <n v="505.12"/>
    <n v="505.12"/>
    <n v="505.12"/>
    <n v="505.12"/>
    <n v="505.12"/>
  </r>
  <r>
    <s v="main"/>
    <x v="4"/>
    <n v="0"/>
    <n v="0"/>
    <n v="0"/>
    <n v="0"/>
    <n v="0"/>
    <n v="0"/>
    <n v="0"/>
    <n v="0"/>
    <n v="0"/>
    <n v="0"/>
    <n v="0"/>
    <n v="539.19000000000005"/>
    <n v="539.19000000000005"/>
    <n v="539.19000000000005"/>
    <n v="539.19000000000005"/>
    <n v="539.19000000000005"/>
    <n v="539.19000000000005"/>
  </r>
  <r>
    <s v="split"/>
    <x v="0"/>
    <n v="0"/>
    <n v="0"/>
    <n v="0"/>
    <n v="0"/>
    <n v="0"/>
    <n v="0"/>
    <n v="0"/>
    <n v="0"/>
    <n v="0"/>
    <n v="0"/>
    <n v="0"/>
    <n v="0"/>
    <n v="0"/>
    <n v="0"/>
    <n v="47.96"/>
    <n v="47.96"/>
    <n v="47.96"/>
  </r>
  <r>
    <s v="split"/>
    <x v="0"/>
    <n v="0"/>
    <n v="0"/>
    <n v="0"/>
    <n v="0"/>
    <n v="0"/>
    <n v="0"/>
    <n v="0"/>
    <n v="0"/>
    <n v="0"/>
    <n v="0"/>
    <n v="0"/>
    <n v="0"/>
    <n v="0"/>
    <n v="0"/>
    <n v="61.65"/>
    <n v="61.65"/>
    <n v="61.65"/>
  </r>
  <r>
    <s v="split"/>
    <x v="0"/>
    <n v="0"/>
    <n v="0"/>
    <n v="0"/>
    <n v="0"/>
    <n v="0"/>
    <n v="0"/>
    <n v="0"/>
    <n v="0"/>
    <n v="0"/>
    <n v="0"/>
    <n v="0"/>
    <n v="0"/>
    <n v="0"/>
    <n v="0"/>
    <n v="1252.8800000000001"/>
    <n v="1252.8800000000001"/>
    <n v="1252.8800000000001"/>
  </r>
  <r>
    <s v="split"/>
    <x v="0"/>
    <n v="0"/>
    <n v="0"/>
    <n v="0"/>
    <n v="0"/>
    <n v="0"/>
    <n v="0"/>
    <n v="0"/>
    <n v="0"/>
    <n v="0"/>
    <n v="0"/>
    <n v="0"/>
    <n v="0"/>
    <n v="0"/>
    <n v="0"/>
    <n v="2793.82"/>
    <n v="2793.82"/>
    <n v="2793.82"/>
  </r>
  <r>
    <s v="main"/>
    <x v="2"/>
    <n v="0"/>
    <n v="0"/>
    <n v="0"/>
    <n v="0"/>
    <n v="0"/>
    <n v="0"/>
    <n v="0"/>
    <n v="0"/>
    <n v="0"/>
    <n v="0"/>
    <n v="0"/>
    <n v="0"/>
    <n v="0"/>
    <n v="0"/>
    <n v="412.09"/>
    <n v="412.09"/>
    <n v="412.09"/>
  </r>
  <r>
    <s v="main"/>
    <x v="2"/>
    <n v="0"/>
    <n v="0"/>
    <n v="0"/>
    <n v="0"/>
    <n v="0"/>
    <n v="0"/>
    <n v="0"/>
    <n v="0"/>
    <n v="0"/>
    <n v="0"/>
    <n v="0"/>
    <n v="378.03"/>
    <n v="378.03"/>
    <n v="378.03"/>
    <n v="378.03"/>
    <n v="378.03"/>
    <n v="378.03"/>
  </r>
  <r>
    <s v="main"/>
    <x v="2"/>
    <n v="0"/>
    <n v="0"/>
    <n v="0"/>
    <n v="0"/>
    <n v="2048.9"/>
    <n v="2048.9"/>
    <n v="2048.9"/>
    <n v="2048.9"/>
    <n v="2048.9"/>
    <n v="2048.9"/>
    <n v="2048.9"/>
    <n v="2048.9"/>
    <n v="2048.9"/>
    <n v="2048.9"/>
    <n v="2048.9"/>
    <n v="2048.9"/>
    <n v="2048.9"/>
  </r>
  <r>
    <s v="main"/>
    <x v="2"/>
    <n v="0"/>
    <n v="0"/>
    <n v="0"/>
    <n v="0"/>
    <n v="1938.36"/>
    <n v="1938.36"/>
    <n v="1938.36"/>
    <n v="1938.36"/>
    <n v="1938.36"/>
    <n v="1938.36"/>
    <n v="1938.36"/>
    <n v="1938.36"/>
    <n v="1938.36"/>
    <n v="1938.36"/>
    <n v="1938.36"/>
    <n v="1938.36"/>
    <n v="1938.36"/>
  </r>
  <r>
    <s v="split"/>
    <x v="0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s v="mechanical"/>
    <x v="1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s v="main"/>
    <x v="2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s v="split"/>
    <x v="0"/>
    <n v="0"/>
    <n v="0"/>
    <n v="0"/>
    <n v="0"/>
    <n v="0"/>
    <n v="0"/>
    <n v="0"/>
    <n v="0"/>
    <n v="12888"/>
    <n v="12888"/>
    <n v="12888"/>
    <n v="12888"/>
    <n v="12888"/>
    <n v="12888"/>
    <n v="12888"/>
    <n v="12888"/>
    <n v="12888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split"/>
    <x v="0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split"/>
    <x v="0"/>
    <n v="0"/>
    <n v="0"/>
    <n v="0"/>
    <n v="0"/>
    <n v="0"/>
    <n v="0"/>
    <n v="0"/>
    <n v="0"/>
    <n v="0"/>
    <n v="0"/>
    <n v="0"/>
    <n v="0"/>
    <n v="0"/>
    <n v="57"/>
    <n v="57"/>
    <n v="57"/>
    <n v="57"/>
  </r>
  <r>
    <s v="split"/>
    <x v="0"/>
    <n v="0"/>
    <n v="0"/>
    <n v="0"/>
    <n v="0"/>
    <n v="286.94"/>
    <n v="286.94"/>
    <n v="286.94"/>
    <n v="286.94"/>
    <n v="286.94"/>
    <n v="286.94"/>
    <n v="286.94"/>
    <n v="286.94"/>
    <n v="286.94"/>
    <n v="286.94"/>
    <n v="286.94"/>
    <n v="286.94"/>
    <n v="286.94"/>
  </r>
  <r>
    <s v="split"/>
    <x v="0"/>
    <n v="0"/>
    <n v="0"/>
    <n v="0"/>
    <n v="245.95"/>
    <n v="245.95"/>
    <n v="245.95"/>
    <n v="245.95"/>
    <n v="491.9"/>
    <n v="491.9"/>
    <n v="491.9"/>
    <n v="491.9"/>
    <n v="983.8"/>
    <n v="983.8"/>
    <n v="983.8"/>
    <n v="983.8"/>
    <n v="983.8"/>
    <n v="983.8"/>
  </r>
  <r>
    <s v="split"/>
    <x v="0"/>
    <n v="0"/>
    <n v="0"/>
    <n v="0"/>
    <n v="0"/>
    <n v="0"/>
    <n v="0"/>
    <n v="0"/>
    <n v="0"/>
    <n v="0"/>
    <n v="0"/>
    <n v="0"/>
    <n v="149.78"/>
    <n v="149.78"/>
    <n v="149.78"/>
    <n v="149.78"/>
    <n v="149.78"/>
    <n v="149.78"/>
  </r>
  <r>
    <s v="split"/>
    <x v="0"/>
    <n v="0"/>
    <n v="0"/>
    <n v="0"/>
    <n v="0"/>
    <n v="878.84"/>
    <n v="878.84"/>
    <n v="878.84"/>
    <n v="878.84"/>
    <n v="878.84"/>
    <n v="878.84"/>
    <n v="878.84"/>
    <n v="878.84"/>
    <n v="878.84"/>
    <n v="878.84"/>
    <n v="878.84"/>
    <n v="878.84"/>
    <n v="878.84"/>
  </r>
  <r>
    <s v="split"/>
    <x v="0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s v="split"/>
    <x v="0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s v="split"/>
    <x v="0"/>
    <n v="0"/>
    <n v="0"/>
    <n v="0"/>
    <n v="0"/>
    <n v="0"/>
    <n v="0"/>
    <n v="0"/>
    <n v="0"/>
    <n v="0"/>
    <n v="0"/>
    <n v="0"/>
    <n v="2855.72"/>
    <n v="2855.72"/>
    <n v="2855.72"/>
    <n v="2855.72"/>
    <n v="2855.72"/>
    <n v="2855.72"/>
  </r>
  <r>
    <s v="main"/>
    <x v="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5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5"/>
    <n v="0"/>
    <n v="0"/>
    <n v="0"/>
    <n v="0"/>
    <n v="0"/>
    <n v="0"/>
    <n v="0"/>
    <n v="0"/>
    <n v="0"/>
    <n v="0"/>
    <n v="0"/>
    <n v="49.45"/>
    <n v="49.45"/>
    <n v="49.45"/>
    <n v="49.45"/>
    <n v="49.45"/>
    <n v="49.45"/>
  </r>
  <r>
    <s v="main"/>
    <x v="5"/>
    <n v="0"/>
    <n v="0"/>
    <n v="0"/>
    <n v="367.04"/>
    <n v="367.04"/>
    <n v="367.04"/>
    <n v="367.04"/>
    <n v="367.04"/>
    <n v="367.04"/>
    <n v="367.04"/>
    <n v="367.04"/>
    <n v="367.04"/>
    <n v="367.04"/>
    <n v="367.04"/>
    <n v="367.04"/>
    <n v="367.04"/>
    <n v="367.04"/>
  </r>
  <r>
    <s v="main"/>
    <x v="5"/>
    <n v="0"/>
    <n v="0"/>
    <n v="0"/>
    <n v="0"/>
    <n v="0"/>
    <n v="0"/>
    <n v="0"/>
    <n v="0"/>
    <n v="0"/>
    <n v="0"/>
    <n v="0"/>
    <n v="0"/>
    <n v="0"/>
    <n v="0"/>
    <n v="107.05"/>
    <n v="107.05"/>
    <n v="107.05"/>
  </r>
  <r>
    <s v="main"/>
    <x v="5"/>
    <n v="0"/>
    <n v="0"/>
    <n v="0"/>
    <n v="0"/>
    <n v="208.16"/>
    <n v="208.16"/>
    <n v="208.16"/>
    <n v="208.16"/>
    <n v="208.16"/>
    <n v="208.16"/>
    <n v="208.16"/>
    <n v="208.16"/>
    <n v="208.16"/>
    <n v="208.16"/>
    <n v="208.16"/>
    <n v="208.16"/>
    <n v="208.16"/>
  </r>
  <r>
    <s v="main"/>
    <x v="5"/>
    <n v="0"/>
    <n v="0"/>
    <n v="0"/>
    <n v="39.93"/>
    <n v="39.93"/>
    <n v="39.93"/>
    <n v="39.93"/>
    <n v="39.93"/>
    <n v="79.86"/>
    <n v="79.86"/>
    <n v="79.86"/>
    <n v="159.72"/>
    <n v="159.72"/>
    <n v="159.72"/>
    <n v="159.72"/>
    <n v="159.72"/>
    <n v="159.72"/>
  </r>
  <r>
    <s v="main"/>
    <x v="5"/>
    <n v="0"/>
    <n v="0"/>
    <n v="0"/>
    <n v="356.83"/>
    <n v="356.83"/>
    <n v="356.83"/>
    <n v="356.83"/>
    <n v="713.66"/>
    <n v="713.66"/>
    <n v="713.66"/>
    <n v="713.66"/>
    <n v="1427.32"/>
    <n v="1427.32"/>
    <n v="1427.32"/>
    <n v="1427.32"/>
    <n v="1427.32"/>
    <n v="1427.32"/>
  </r>
  <r>
    <s v="main"/>
    <x v="5"/>
    <n v="0"/>
    <n v="0"/>
    <n v="0"/>
    <n v="0"/>
    <n v="0"/>
    <n v="0"/>
    <n v="0"/>
    <n v="0"/>
    <n v="0"/>
    <n v="0"/>
    <n v="0"/>
    <n v="49.08"/>
    <n v="49.08"/>
    <n v="49.08"/>
    <n v="49.08"/>
    <n v="49.08"/>
    <n v="49.08"/>
  </r>
  <r>
    <s v="main"/>
    <x v="5"/>
    <n v="0"/>
    <n v="0"/>
    <n v="0"/>
    <n v="0"/>
    <n v="0"/>
    <n v="0"/>
    <n v="0"/>
    <n v="0"/>
    <n v="0"/>
    <n v="0"/>
    <n v="0"/>
    <n v="378.51"/>
    <n v="378.51"/>
    <n v="378.51"/>
    <n v="378.51"/>
    <n v="378.51"/>
    <n v="378.51"/>
  </r>
  <r>
    <s v="main"/>
    <x v="5"/>
    <n v="0"/>
    <n v="0"/>
    <n v="0"/>
    <n v="0"/>
    <n v="1068.82"/>
    <n v="1068.82"/>
    <n v="1068.82"/>
    <n v="1068.82"/>
    <n v="1068.82"/>
    <n v="1068.82"/>
    <n v="1068.82"/>
    <n v="1068.82"/>
    <n v="1068.82"/>
    <n v="1068.82"/>
    <n v="1068.82"/>
    <n v="1068.82"/>
    <n v="1068.82"/>
  </r>
  <r>
    <s v="main"/>
    <x v="5"/>
    <n v="0"/>
    <n v="0"/>
    <n v="0"/>
    <n v="0"/>
    <n v="0"/>
    <n v="0"/>
    <n v="0"/>
    <n v="0"/>
    <n v="0"/>
    <n v="0"/>
    <n v="0"/>
    <n v="0"/>
    <n v="0"/>
    <n v="0"/>
    <n v="572.16"/>
    <n v="572.16"/>
    <n v="572.16"/>
  </r>
  <r>
    <s v="main"/>
    <x v="5"/>
    <n v="0"/>
    <n v="0"/>
    <n v="0"/>
    <n v="71.27"/>
    <n v="71.27"/>
    <n v="71.27"/>
    <n v="71.27"/>
    <n v="71.27"/>
    <n v="71.27"/>
    <n v="71.27"/>
    <n v="71.27"/>
    <n v="71.27"/>
    <n v="71.27"/>
    <n v="71.27"/>
    <n v="71.27"/>
    <n v="71.27"/>
    <n v="71.27"/>
  </r>
  <r>
    <s v="main"/>
    <x v="5"/>
    <n v="0"/>
    <n v="0"/>
    <n v="0"/>
    <n v="268.07"/>
    <n v="268.07"/>
    <n v="268.07"/>
    <n v="268.07"/>
    <n v="268.07"/>
    <n v="268.07"/>
    <n v="268.07"/>
    <n v="268.07"/>
    <n v="268.07"/>
    <n v="268.07"/>
    <n v="268.07"/>
    <n v="268.07"/>
    <n v="268.07"/>
    <n v="268.07"/>
  </r>
  <r>
    <s v="main"/>
    <x v="5"/>
    <n v="0"/>
    <n v="0"/>
    <n v="0"/>
    <n v="137.82249999999999"/>
    <n v="137.82249999999999"/>
    <n v="137.82249999999999"/>
    <n v="137.82249999999999"/>
    <n v="275.64499999999998"/>
    <n v="275.64499999999998"/>
    <n v="275.64499999999998"/>
    <n v="275.64499999999998"/>
    <n v="551.29"/>
    <n v="551.29"/>
    <n v="551.29"/>
    <n v="551.29"/>
    <n v="551.29"/>
    <n v="551.29"/>
  </r>
  <r>
    <s v="main"/>
    <x v="5"/>
    <n v="0"/>
    <n v="0"/>
    <n v="0"/>
    <n v="0"/>
    <n v="0"/>
    <n v="0"/>
    <n v="0"/>
    <n v="0"/>
    <n v="0"/>
    <n v="0"/>
    <n v="0"/>
    <n v="0"/>
    <n v="0"/>
    <n v="0"/>
    <n v="103.36"/>
    <n v="103.36"/>
    <n v="103.36"/>
  </r>
  <r>
    <s v="main"/>
    <x v="5"/>
    <n v="0"/>
    <n v="0"/>
    <n v="0"/>
    <n v="113.2"/>
    <n v="113.2"/>
    <n v="113.2"/>
    <n v="113.2"/>
    <n v="113.2"/>
    <n v="113.2"/>
    <n v="113.2"/>
    <n v="113.2"/>
    <n v="113.2"/>
    <n v="113.2"/>
    <n v="113.2"/>
    <n v="113.2"/>
    <n v="113.2"/>
    <n v="113.2"/>
  </r>
  <r>
    <s v="main"/>
    <x v="5"/>
    <n v="0"/>
    <n v="0"/>
    <n v="0"/>
    <n v="0"/>
    <n v="0"/>
    <n v="0"/>
    <n v="0"/>
    <n v="0"/>
    <n v="0"/>
    <n v="402.67"/>
    <n v="402.67"/>
    <n v="402.67"/>
    <n v="402.67"/>
    <n v="402.67"/>
    <n v="402.67"/>
    <n v="402.67"/>
    <n v="402.67"/>
  </r>
  <r>
    <s v="main"/>
    <x v="5"/>
    <n v="0"/>
    <n v="0"/>
    <n v="0"/>
    <n v="166.17"/>
    <n v="166.17"/>
    <n v="166.17"/>
    <n v="166.17"/>
    <n v="166.17"/>
    <n v="166.17"/>
    <n v="166.17"/>
    <n v="166.17"/>
    <n v="166.17"/>
    <n v="166.17"/>
    <n v="166.17"/>
    <n v="166.17"/>
    <n v="166.17"/>
    <n v="166.17"/>
  </r>
  <r>
    <s v="main"/>
    <x v="5"/>
    <n v="0"/>
    <n v="0"/>
    <n v="0"/>
    <n v="457.2"/>
    <n v="457.2"/>
    <n v="457.2"/>
    <n v="457.2"/>
    <n v="457.2"/>
    <n v="457.2"/>
    <n v="457.2"/>
    <n v="457.2"/>
    <n v="457.2"/>
    <n v="457.2"/>
    <n v="457.2"/>
    <n v="457.2"/>
    <n v="457.2"/>
    <n v="457.2"/>
  </r>
  <r>
    <s v="main"/>
    <x v="5"/>
    <n v="0"/>
    <n v="0"/>
    <n v="0"/>
    <n v="54.45"/>
    <n v="54.45"/>
    <n v="54.45"/>
    <n v="54.45"/>
    <n v="54.45"/>
    <n v="54.45"/>
    <n v="54.45"/>
    <n v="54.45"/>
    <n v="54.45"/>
    <n v="54.45"/>
    <n v="54.45"/>
    <n v="54.45"/>
    <n v="54.45"/>
    <n v="54.45"/>
  </r>
  <r>
    <s v="main"/>
    <x v="5"/>
    <n v="0"/>
    <n v="0"/>
    <n v="0"/>
    <n v="492.67"/>
    <n v="492.67"/>
    <n v="492.67"/>
    <n v="492.67"/>
    <n v="492.67"/>
    <n v="492.67"/>
    <n v="492.67"/>
    <n v="492.67"/>
    <n v="492.67"/>
    <n v="492.67"/>
    <n v="492.67"/>
    <n v="492.67"/>
    <n v="492.67"/>
    <n v="492.67"/>
  </r>
  <r>
    <s v="basement"/>
    <x v="6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basement"/>
    <x v="6"/>
    <n v="0"/>
    <n v="0"/>
    <n v="0"/>
    <n v="0"/>
    <n v="0"/>
    <n v="0"/>
    <n v="0"/>
    <n v="0"/>
    <n v="0"/>
    <n v="0"/>
    <n v="0"/>
    <n v="277.06"/>
    <n v="277.06"/>
    <n v="277.06"/>
    <n v="277.06"/>
    <n v="277.06"/>
    <n v="277.06"/>
  </r>
  <r>
    <s v="basement"/>
    <x v="6"/>
    <n v="0"/>
    <n v="0"/>
    <n v="0"/>
    <n v="0"/>
    <n v="0"/>
    <n v="0"/>
    <n v="0"/>
    <n v="0"/>
    <n v="0"/>
    <n v="0"/>
    <n v="0"/>
    <n v="360.36"/>
    <n v="360.36"/>
    <n v="360.36"/>
    <n v="360.36"/>
    <n v="360.36"/>
    <n v="360.36"/>
  </r>
  <r>
    <s v="basement"/>
    <x v="6"/>
    <n v="0"/>
    <n v="0"/>
    <n v="0"/>
    <n v="0"/>
    <n v="0"/>
    <n v="0"/>
    <n v="0"/>
    <n v="0"/>
    <n v="0"/>
    <n v="0"/>
    <n v="335.72"/>
    <n v="335.72"/>
    <n v="335.72"/>
    <n v="335.72"/>
    <n v="335.72"/>
    <n v="335.72"/>
    <n v="335.72"/>
  </r>
  <r>
    <s v="basement"/>
    <x v="6"/>
    <n v="0"/>
    <n v="0"/>
    <n v="0"/>
    <n v="0"/>
    <n v="0"/>
    <n v="0"/>
    <n v="0"/>
    <n v="0"/>
    <n v="0"/>
    <n v="0"/>
    <n v="0"/>
    <n v="0"/>
    <n v="0"/>
    <n v="148.19999999999999"/>
    <n v="148.19999999999999"/>
    <n v="148.19999999999999"/>
    <n v="148.19999999999999"/>
  </r>
  <r>
    <s v="basement"/>
    <x v="6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basement"/>
    <x v="6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basement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6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6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basement"/>
    <x v="6"/>
    <n v="0"/>
    <n v="0"/>
    <n v="0"/>
    <n v="0"/>
    <n v="0"/>
    <n v="0"/>
    <n v="0"/>
    <n v="0"/>
    <n v="0"/>
    <n v="0"/>
    <n v="0"/>
    <n v="54.48"/>
    <n v="54.48"/>
    <n v="54.48"/>
    <n v="54.48"/>
    <n v="54.48"/>
    <n v="54.48"/>
  </r>
  <r>
    <s v="basement"/>
    <x v="6"/>
    <n v="0"/>
    <n v="0"/>
    <n v="0"/>
    <n v="404.36"/>
    <n v="404.36"/>
    <n v="404.36"/>
    <n v="404.36"/>
    <n v="404.36"/>
    <n v="404.36"/>
    <n v="404.36"/>
    <n v="404.36"/>
    <n v="404.36"/>
    <n v="404.36"/>
    <n v="404.36"/>
    <n v="404.36"/>
    <n v="404.36"/>
    <n v="404.36"/>
  </r>
  <r>
    <s v="basement"/>
    <x v="6"/>
    <n v="0"/>
    <n v="0"/>
    <n v="0"/>
    <n v="0"/>
    <n v="0"/>
    <n v="0"/>
    <n v="0"/>
    <n v="0"/>
    <n v="0"/>
    <n v="0"/>
    <n v="0"/>
    <n v="0"/>
    <n v="0"/>
    <n v="0"/>
    <n v="117.94"/>
    <n v="117.94"/>
    <n v="117.94"/>
  </r>
  <r>
    <s v="basement"/>
    <x v="6"/>
    <n v="0"/>
    <n v="0"/>
    <n v="0"/>
    <n v="0"/>
    <n v="229.32"/>
    <n v="229.32"/>
    <n v="229.32"/>
    <n v="229.32"/>
    <n v="229.32"/>
    <n v="229.32"/>
    <n v="229.32"/>
    <n v="229.32"/>
    <n v="229.32"/>
    <n v="229.32"/>
    <n v="229.32"/>
    <n v="229.32"/>
    <n v="229.32"/>
  </r>
  <r>
    <s v="basement"/>
    <x v="6"/>
    <n v="0"/>
    <n v="0"/>
    <n v="0"/>
    <n v="43.99"/>
    <n v="43.99"/>
    <n v="43.99"/>
    <n v="43.99"/>
    <n v="43.99"/>
    <n v="87.98"/>
    <n v="87.98"/>
    <n v="87.98"/>
    <n v="175.96"/>
    <n v="175.96"/>
    <n v="175.96"/>
    <n v="175.96"/>
    <n v="175.96"/>
    <n v="175.96"/>
  </r>
  <r>
    <s v="basement"/>
    <x v="6"/>
    <n v="0"/>
    <n v="0"/>
    <n v="0"/>
    <n v="393.12"/>
    <n v="393.12"/>
    <n v="393.12"/>
    <n v="393.12"/>
    <n v="786.24"/>
    <n v="786.24"/>
    <n v="786.24"/>
    <n v="786.24"/>
    <n v="1572.48"/>
    <n v="1572.48"/>
    <n v="1572.48"/>
    <n v="1572.48"/>
    <n v="1572.48"/>
    <n v="1572.48"/>
  </r>
  <r>
    <s v="basement"/>
    <x v="6"/>
    <n v="0"/>
    <n v="0"/>
    <n v="0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</r>
  <r>
    <s v="basement"/>
    <x v="6"/>
    <n v="0"/>
    <n v="0"/>
    <n v="0"/>
    <n v="295.33"/>
    <n v="295.33"/>
    <n v="295.33"/>
    <n v="295.33"/>
    <n v="295.33"/>
    <n v="295.33"/>
    <n v="295.33"/>
    <n v="295.33"/>
    <n v="295.33"/>
    <n v="295.33"/>
    <n v="295.33"/>
    <n v="295.33"/>
    <n v="295.33"/>
    <n v="295.33"/>
  </r>
  <r>
    <s v="basement"/>
    <x v="6"/>
    <n v="0"/>
    <n v="0"/>
    <n v="0"/>
    <n v="117.2925"/>
    <n v="117.2925"/>
    <n v="117.2925"/>
    <n v="117.2925"/>
    <n v="234.58500000000001"/>
    <n v="234.58500000000001"/>
    <n v="234.58500000000001"/>
    <n v="234.58500000000001"/>
    <n v="469.17"/>
    <n v="469.17"/>
    <n v="469.17"/>
    <n v="469.17"/>
    <n v="469.17"/>
    <n v="469.17"/>
  </r>
  <r>
    <s v="basement"/>
    <x v="6"/>
    <n v="0"/>
    <n v="0"/>
    <n v="0"/>
    <n v="0"/>
    <n v="0"/>
    <n v="0"/>
    <n v="0"/>
    <n v="0"/>
    <n v="0"/>
    <n v="0"/>
    <n v="0"/>
    <n v="0"/>
    <n v="0"/>
    <n v="0"/>
    <n v="87.97"/>
    <n v="87.97"/>
    <n v="87.97"/>
  </r>
  <r>
    <s v="basement"/>
    <x v="6"/>
    <n v="0"/>
    <n v="0"/>
    <n v="0"/>
    <n v="96.35"/>
    <n v="96.35"/>
    <n v="96.35"/>
    <n v="96.35"/>
    <n v="96.35"/>
    <n v="96.35"/>
    <n v="96.35"/>
    <n v="96.35"/>
    <n v="96.35"/>
    <n v="96.35"/>
    <n v="96.35"/>
    <n v="96.35"/>
    <n v="96.35"/>
    <n v="96.35"/>
  </r>
  <r>
    <s v="basement"/>
    <x v="6"/>
    <n v="0"/>
    <n v="0"/>
    <n v="0"/>
    <n v="0"/>
    <n v="0"/>
    <n v="0"/>
    <n v="0"/>
    <n v="0"/>
    <n v="0"/>
    <n v="484.47"/>
    <n v="484.47"/>
    <n v="484.47"/>
    <n v="484.47"/>
    <n v="484.47"/>
    <n v="484.47"/>
    <n v="484.47"/>
    <n v="484.47"/>
  </r>
  <r>
    <s v="basement"/>
    <x v="6"/>
    <n v="0"/>
    <n v="0"/>
    <n v="0"/>
    <n v="199.93"/>
    <n v="199.93"/>
    <n v="199.93"/>
    <n v="199.93"/>
    <n v="199.93"/>
    <n v="199.93"/>
    <n v="199.93"/>
    <n v="199.93"/>
    <n v="199.93"/>
    <n v="199.93"/>
    <n v="199.93"/>
    <n v="199.93"/>
    <n v="199.93"/>
    <n v="199.93"/>
  </r>
  <r>
    <s v="basement"/>
    <x v="6"/>
    <n v="0"/>
    <n v="0"/>
    <n v="0"/>
    <n v="550.1"/>
    <n v="550.1"/>
    <n v="550.1"/>
    <n v="550.1"/>
    <n v="550.1"/>
    <n v="550.1"/>
    <n v="550.1"/>
    <n v="550.1"/>
    <n v="550.1"/>
    <n v="550.1"/>
    <n v="550.1"/>
    <n v="550.1"/>
    <n v="550.1"/>
    <n v="550.1"/>
  </r>
  <r>
    <s v="basement"/>
    <x v="6"/>
    <n v="0"/>
    <n v="0"/>
    <n v="0"/>
    <n v="65.52"/>
    <n v="65.52"/>
    <n v="65.52"/>
    <n v="65.52"/>
    <n v="65.52"/>
    <n v="65.52"/>
    <n v="65.52"/>
    <n v="65.52"/>
    <n v="65.52"/>
    <n v="65.52"/>
    <n v="65.52"/>
    <n v="65.52"/>
    <n v="65.52"/>
    <n v="65.52"/>
  </r>
  <r>
    <s v="basement"/>
    <x v="6"/>
    <n v="0"/>
    <n v="0"/>
    <n v="0"/>
    <n v="592.9"/>
    <n v="592.9"/>
    <n v="592.9"/>
    <n v="592.9"/>
    <n v="592.9"/>
    <n v="592.9"/>
    <n v="592.9"/>
    <n v="592.9"/>
    <n v="592.9"/>
    <n v="592.9"/>
    <n v="592.9"/>
    <n v="592.9"/>
    <n v="592.9"/>
    <n v="592.9"/>
  </r>
  <r>
    <s v="main"/>
    <x v="7"/>
    <n v="0"/>
    <n v="0"/>
    <n v="0"/>
    <n v="1504.98"/>
    <n v="1504.98"/>
    <n v="1504.98"/>
    <n v="1504.98"/>
    <n v="1504.98"/>
    <n v="3009.96"/>
    <n v="3009.96"/>
    <n v="3009.96"/>
    <n v="6019.92"/>
    <n v="6019.92"/>
    <n v="6019.92"/>
    <n v="6019.92"/>
    <n v="6019.92"/>
    <n v="6019.92"/>
  </r>
  <r>
    <s v="main"/>
    <x v="7"/>
    <n v="0"/>
    <n v="0"/>
    <n v="0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</r>
  <r>
    <s v="main"/>
    <x v="7"/>
    <n v="0"/>
    <n v="0"/>
    <n v="0"/>
    <n v="0"/>
    <n v="0"/>
    <n v="0"/>
    <n v="0"/>
    <n v="0"/>
    <n v="0"/>
    <n v="51.12"/>
    <n v="51.12"/>
    <n v="51.12"/>
    <n v="51.12"/>
    <n v="51.12"/>
    <n v="51.12"/>
    <n v="51.12"/>
    <n v="51.12"/>
  </r>
  <r>
    <s v="main"/>
    <x v="7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s v="main"/>
    <x v="7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s v="main"/>
    <x v="7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s v="main"/>
    <x v="7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s v="main"/>
    <x v="7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7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7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s v="main"/>
    <x v="7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main"/>
    <x v="7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main"/>
    <x v="7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main"/>
    <x v="7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main"/>
    <x v="7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s v="main"/>
    <x v="7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s v="main"/>
    <x v="7"/>
    <n v="0"/>
    <n v="0"/>
    <n v="0"/>
    <n v="0"/>
    <n v="0"/>
    <n v="0"/>
    <n v="0"/>
    <n v="0"/>
    <n v="0"/>
    <n v="1359.69"/>
    <n v="1359.69"/>
    <n v="1359.69"/>
    <n v="1359.69"/>
    <n v="1359.69"/>
    <n v="1359.69"/>
    <n v="1359.69"/>
    <n v="1359.69"/>
  </r>
  <r>
    <s v="main"/>
    <x v="7"/>
    <n v="0"/>
    <n v="0"/>
    <n v="0"/>
    <n v="0"/>
    <n v="0"/>
    <n v="0"/>
    <n v="0"/>
    <n v="0"/>
    <n v="0"/>
    <n v="786.48"/>
    <n v="786.48"/>
    <n v="786.48"/>
    <n v="786.48"/>
    <n v="786.48"/>
    <n v="786.48"/>
    <n v="786.48"/>
    <n v="786.48"/>
  </r>
  <r>
    <s v="main"/>
    <x v="7"/>
    <n v="0"/>
    <n v="0"/>
    <n v="0"/>
    <n v="0"/>
    <n v="0"/>
    <n v="0"/>
    <n v="0"/>
    <n v="0"/>
    <n v="0"/>
    <n v="0"/>
    <n v="0"/>
    <n v="498.26"/>
    <n v="498.26"/>
    <n v="498.26"/>
    <n v="498.26"/>
    <n v="498.26"/>
    <n v="498.26"/>
  </r>
  <r>
    <s v="main"/>
    <x v="7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7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s v="main"/>
    <x v="7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s v="main"/>
    <x v="7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7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7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7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7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7"/>
    <n v="0"/>
    <n v="0"/>
    <n v="0"/>
    <n v="0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</r>
  <r>
    <s v="main"/>
    <x v="7"/>
    <n v="0"/>
    <n v="0"/>
    <n v="0"/>
    <n v="0"/>
    <n v="0"/>
    <n v="0"/>
    <n v="0"/>
    <n v="0"/>
    <n v="0"/>
    <n v="0"/>
    <n v="1163.8800000000001"/>
    <n v="1163.8800000000001"/>
    <n v="1163.8800000000001"/>
    <n v="1163.8800000000001"/>
    <n v="1163.8800000000001"/>
    <n v="1163.8800000000001"/>
    <n v="1163.8800000000001"/>
  </r>
  <r>
    <s v="main"/>
    <x v="7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s v="main"/>
    <x v="7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s v="main"/>
    <x v="7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s v="main"/>
    <x v="7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s v="main"/>
    <x v="7"/>
    <n v="0"/>
    <n v="0"/>
    <n v="0"/>
    <n v="0"/>
    <n v="0"/>
    <n v="0"/>
    <n v="0"/>
    <n v="0"/>
    <n v="0"/>
    <n v="0"/>
    <n v="0"/>
    <n v="32.06"/>
    <n v="32.06"/>
    <n v="32.06"/>
    <n v="32.06"/>
    <n v="32.06"/>
    <n v="32.06"/>
  </r>
  <r>
    <s v="main"/>
    <x v="7"/>
    <n v="0"/>
    <n v="0"/>
    <n v="0"/>
    <n v="237.95"/>
    <n v="237.95"/>
    <n v="237.95"/>
    <n v="237.95"/>
    <n v="237.95"/>
    <n v="237.95"/>
    <n v="237.95"/>
    <n v="237.95"/>
    <n v="237.95"/>
    <n v="237.95"/>
    <n v="237.95"/>
    <n v="237.95"/>
    <n v="237.95"/>
    <n v="237.95"/>
  </r>
  <r>
    <s v="main"/>
    <x v="7"/>
    <n v="0"/>
    <n v="0"/>
    <n v="0"/>
    <n v="0"/>
    <n v="0"/>
    <n v="0"/>
    <n v="0"/>
    <n v="0"/>
    <n v="0"/>
    <n v="0"/>
    <n v="0"/>
    <n v="0"/>
    <n v="0"/>
    <n v="0"/>
    <n v="69.39"/>
    <n v="69.39"/>
    <n v="69.39"/>
  </r>
  <r>
    <s v="main"/>
    <x v="7"/>
    <n v="0"/>
    <n v="0"/>
    <n v="0"/>
    <n v="0"/>
    <n v="134.96"/>
    <n v="134.96"/>
    <n v="134.96"/>
    <n v="134.96"/>
    <n v="134.96"/>
    <n v="134.96"/>
    <n v="134.96"/>
    <n v="134.96"/>
    <n v="134.96"/>
    <n v="134.96"/>
    <n v="134.96"/>
    <n v="134.96"/>
    <n v="134.96"/>
  </r>
  <r>
    <s v="main"/>
    <x v="7"/>
    <n v="0"/>
    <n v="0"/>
    <n v="0"/>
    <n v="25.887499999999999"/>
    <n v="25.887499999999999"/>
    <n v="25.887499999999999"/>
    <n v="25.887499999999999"/>
    <n v="25.887499999999999"/>
    <n v="51.774999999999999"/>
    <n v="51.774999999999999"/>
    <n v="51.774999999999999"/>
    <n v="103.55"/>
    <n v="103.55"/>
    <n v="103.55"/>
    <n v="103.55"/>
    <n v="103.55"/>
    <n v="103.55"/>
  </r>
  <r>
    <s v="main"/>
    <x v="7"/>
    <n v="0"/>
    <n v="0"/>
    <n v="0"/>
    <n v="231.33500000000001"/>
    <n v="231.33500000000001"/>
    <n v="231.33500000000001"/>
    <n v="231.33500000000001"/>
    <n v="462.67"/>
    <n v="462.67"/>
    <n v="462.67"/>
    <n v="462.67"/>
    <n v="925.34"/>
    <n v="925.34"/>
    <n v="925.34"/>
    <n v="925.34"/>
    <n v="925.34"/>
    <n v="925.34"/>
  </r>
  <r>
    <s v="main"/>
    <x v="7"/>
    <n v="0"/>
    <n v="0"/>
    <n v="0"/>
    <n v="46.21"/>
    <n v="46.21"/>
    <n v="46.21"/>
    <n v="46.21"/>
    <n v="46.21"/>
    <n v="46.21"/>
    <n v="46.21"/>
    <n v="46.21"/>
    <n v="46.21"/>
    <n v="46.21"/>
    <n v="46.21"/>
    <n v="46.21"/>
    <n v="46.21"/>
    <n v="46.21"/>
  </r>
  <r>
    <s v="main"/>
    <x v="7"/>
    <n v="0"/>
    <n v="0"/>
    <n v="0"/>
    <n v="173.8"/>
    <n v="173.8"/>
    <n v="173.8"/>
    <n v="173.8"/>
    <n v="173.8"/>
    <n v="173.8"/>
    <n v="173.8"/>
    <n v="173.8"/>
    <n v="173.8"/>
    <n v="173.8"/>
    <n v="173.8"/>
    <n v="173.8"/>
    <n v="173.8"/>
    <n v="173.8"/>
  </r>
  <r>
    <s v="main"/>
    <x v="7"/>
    <n v="0"/>
    <n v="0"/>
    <n v="0"/>
    <n v="38.817500000000003"/>
    <n v="38.817500000000003"/>
    <n v="38.817500000000003"/>
    <n v="38.817500000000003"/>
    <n v="77.635000000000005"/>
    <n v="77.635000000000005"/>
    <n v="77.635000000000005"/>
    <n v="77.635000000000005"/>
    <n v="155.27000000000001"/>
    <n v="155.27000000000001"/>
    <n v="155.27000000000001"/>
    <n v="155.27000000000001"/>
    <n v="155.27000000000001"/>
    <n v="155.27000000000001"/>
  </r>
  <r>
    <s v="main"/>
    <x v="7"/>
    <n v="0"/>
    <n v="0"/>
    <n v="0"/>
    <n v="0"/>
    <n v="0"/>
    <n v="0"/>
    <n v="0"/>
    <n v="0"/>
    <n v="0"/>
    <n v="0"/>
    <n v="0"/>
    <n v="0"/>
    <n v="0"/>
    <n v="0"/>
    <n v="29.12"/>
    <n v="29.12"/>
    <n v="29.12"/>
  </r>
  <r>
    <s v="main"/>
    <x v="7"/>
    <n v="0"/>
    <n v="0"/>
    <n v="0"/>
    <n v="31.89"/>
    <n v="31.89"/>
    <n v="31.89"/>
    <n v="31.89"/>
    <n v="31.89"/>
    <n v="31.89"/>
    <n v="31.89"/>
    <n v="31.89"/>
    <n v="31.89"/>
    <n v="31.89"/>
    <n v="31.89"/>
    <n v="31.89"/>
    <n v="31.89"/>
    <n v="31.89"/>
  </r>
  <r>
    <s v="main"/>
    <x v="7"/>
    <n v="0"/>
    <n v="0"/>
    <n v="0"/>
    <n v="0"/>
    <n v="0"/>
    <n v="0"/>
    <n v="0"/>
    <n v="0"/>
    <n v="0"/>
    <n v="160.32"/>
    <n v="160.32"/>
    <n v="160.32"/>
    <n v="160.32"/>
    <n v="160.32"/>
    <n v="160.32"/>
    <n v="160.32"/>
    <n v="160.32"/>
  </r>
  <r>
    <s v="main"/>
    <x v="7"/>
    <n v="0"/>
    <n v="0"/>
    <n v="0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</r>
  <r>
    <s v="main"/>
    <x v="7"/>
    <n v="0"/>
    <n v="0"/>
    <n v="0"/>
    <n v="182.15"/>
    <n v="182.15"/>
    <n v="182.15"/>
    <n v="182.15"/>
    <n v="182.15"/>
    <n v="182.15"/>
    <n v="182.15"/>
    <n v="182.15"/>
    <n v="182.15"/>
    <n v="182.15"/>
    <n v="182.15"/>
    <n v="182.15"/>
    <n v="182.15"/>
    <n v="182.15"/>
  </r>
  <r>
    <s v="main"/>
    <x v="7"/>
    <n v="0"/>
    <n v="0"/>
    <n v="0"/>
    <n v="21.69"/>
    <n v="21.69"/>
    <n v="21.69"/>
    <n v="21.69"/>
    <n v="21.69"/>
    <n v="21.69"/>
    <n v="21.69"/>
    <n v="21.69"/>
    <n v="21.69"/>
    <n v="21.69"/>
    <n v="21.69"/>
    <n v="21.69"/>
    <n v="21.69"/>
    <n v="21.69"/>
  </r>
  <r>
    <s v="main"/>
    <x v="7"/>
    <n v="0"/>
    <n v="0"/>
    <n v="0"/>
    <n v="196.28"/>
    <n v="196.28"/>
    <n v="196.28"/>
    <n v="196.28"/>
    <n v="196.28"/>
    <n v="196.28"/>
    <n v="196.28"/>
    <n v="196.28"/>
    <n v="196.28"/>
    <n v="196.28"/>
    <n v="196.28"/>
    <n v="196.28"/>
    <n v="196.28"/>
    <n v="196.28"/>
  </r>
  <r>
    <s v="basement"/>
    <x v="7"/>
    <n v="0"/>
    <n v="0"/>
    <n v="0"/>
    <n v="1504.98"/>
    <n v="1504.98"/>
    <n v="1504.98"/>
    <n v="1504.98"/>
    <n v="1504.98"/>
    <n v="3009.96"/>
    <n v="3009.96"/>
    <n v="3009.96"/>
    <n v="6019.92"/>
    <n v="6019.92"/>
    <n v="6019.92"/>
    <n v="6019.92"/>
    <n v="6019.92"/>
    <n v="6019.92"/>
  </r>
  <r>
    <s v="basement"/>
    <x v="7"/>
    <n v="0"/>
    <n v="0"/>
    <n v="0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</r>
  <r>
    <s v="basement"/>
    <x v="7"/>
    <n v="0"/>
    <n v="0"/>
    <n v="0"/>
    <n v="0"/>
    <n v="0"/>
    <n v="0"/>
    <n v="0"/>
    <n v="0"/>
    <n v="0"/>
    <n v="51.12"/>
    <n v="51.12"/>
    <n v="51.12"/>
    <n v="51.12"/>
    <n v="51.12"/>
    <n v="51.12"/>
    <n v="51.12"/>
    <n v="51.12"/>
  </r>
  <r>
    <s v="basement"/>
    <x v="7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s v="basement"/>
    <x v="7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s v="basement"/>
    <x v="7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s v="basement"/>
    <x v="7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s v="basement"/>
    <x v="7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basement"/>
    <x v="7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basement"/>
    <x v="7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s v="basement"/>
    <x v="7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basement"/>
    <x v="7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basement"/>
    <x v="7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basement"/>
    <x v="7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basement"/>
    <x v="7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s v="basement"/>
    <x v="7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s v="basement"/>
    <x v="7"/>
    <n v="0"/>
    <n v="0"/>
    <n v="0"/>
    <n v="0"/>
    <n v="0"/>
    <n v="0"/>
    <n v="0"/>
    <n v="0"/>
    <n v="0"/>
    <n v="1359.69"/>
    <n v="1359.69"/>
    <n v="1359.69"/>
    <n v="1359.69"/>
    <n v="1359.69"/>
    <n v="1359.69"/>
    <n v="1359.69"/>
    <n v="1359.69"/>
  </r>
  <r>
    <s v="basement"/>
    <x v="7"/>
    <n v="0"/>
    <n v="0"/>
    <n v="0"/>
    <n v="0"/>
    <n v="0"/>
    <n v="0"/>
    <n v="0"/>
    <n v="0"/>
    <n v="0"/>
    <n v="786.48"/>
    <n v="786.48"/>
    <n v="786.48"/>
    <n v="786.48"/>
    <n v="786.48"/>
    <n v="786.48"/>
    <n v="786.48"/>
    <n v="786.48"/>
  </r>
  <r>
    <s v="basement"/>
    <x v="7"/>
    <n v="0"/>
    <n v="0"/>
    <n v="0"/>
    <n v="0"/>
    <n v="0"/>
    <n v="0"/>
    <n v="0"/>
    <n v="0"/>
    <n v="0"/>
    <n v="0"/>
    <n v="0"/>
    <n v="498.26"/>
    <n v="498.26"/>
    <n v="498.26"/>
    <n v="498.26"/>
    <n v="498.26"/>
    <n v="498.26"/>
  </r>
  <r>
    <s v="basement"/>
    <x v="7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basement"/>
    <x v="7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s v="basement"/>
    <x v="7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s v="basement"/>
    <x v="7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basement"/>
    <x v="7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7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7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basement"/>
    <x v="7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basement"/>
    <x v="7"/>
    <n v="0"/>
    <n v="0"/>
    <n v="0"/>
    <n v="0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</r>
  <r>
    <s v="basement"/>
    <x v="7"/>
    <n v="0"/>
    <n v="0"/>
    <n v="0"/>
    <n v="0"/>
    <n v="0"/>
    <n v="0"/>
    <n v="0"/>
    <n v="0"/>
    <n v="0"/>
    <n v="0"/>
    <n v="1163.8800000000001"/>
    <n v="1163.8800000000001"/>
    <n v="1163.8800000000001"/>
    <n v="1163.8800000000001"/>
    <n v="1163.8800000000001"/>
    <n v="1163.8800000000001"/>
    <n v="1163.8800000000001"/>
  </r>
  <r>
    <s v="basement"/>
    <x v="7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s v="basement"/>
    <x v="7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s v="basement"/>
    <x v="7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s v="basement"/>
    <x v="7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s v="basement"/>
    <x v="7"/>
    <n v="0"/>
    <n v="0"/>
    <n v="0"/>
    <n v="0"/>
    <n v="0"/>
    <n v="0"/>
    <n v="0"/>
    <n v="0"/>
    <n v="0"/>
    <n v="0"/>
    <n v="0"/>
    <n v="32.06"/>
    <n v="32.06"/>
    <n v="32.06"/>
    <n v="32.06"/>
    <n v="32.06"/>
    <n v="32.06"/>
  </r>
  <r>
    <s v="basement"/>
    <x v="7"/>
    <n v="0"/>
    <n v="0"/>
    <n v="0"/>
    <n v="237.95"/>
    <n v="237.95"/>
    <n v="237.95"/>
    <n v="237.95"/>
    <n v="237.95"/>
    <n v="237.95"/>
    <n v="237.95"/>
    <n v="237.95"/>
    <n v="237.95"/>
    <n v="237.95"/>
    <n v="237.95"/>
    <n v="237.95"/>
    <n v="237.95"/>
    <n v="237.95"/>
  </r>
  <r>
    <s v="basement"/>
    <x v="7"/>
    <n v="0"/>
    <n v="0"/>
    <n v="0"/>
    <n v="0"/>
    <n v="0"/>
    <n v="0"/>
    <n v="0"/>
    <n v="0"/>
    <n v="0"/>
    <n v="0"/>
    <n v="0"/>
    <n v="0"/>
    <n v="0"/>
    <n v="0"/>
    <n v="69.39"/>
    <n v="69.39"/>
    <n v="69.39"/>
  </r>
  <r>
    <s v="basement"/>
    <x v="7"/>
    <n v="0"/>
    <n v="0"/>
    <n v="0"/>
    <n v="0"/>
    <n v="134.96"/>
    <n v="134.96"/>
    <n v="134.96"/>
    <n v="134.96"/>
    <n v="134.96"/>
    <n v="134.96"/>
    <n v="134.96"/>
    <n v="134.96"/>
    <n v="134.96"/>
    <n v="134.96"/>
    <n v="134.96"/>
    <n v="134.96"/>
    <n v="134.96"/>
  </r>
  <r>
    <s v="basement"/>
    <x v="7"/>
    <n v="0"/>
    <n v="0"/>
    <n v="0"/>
    <n v="25.887499999999999"/>
    <n v="25.887499999999999"/>
    <n v="25.887499999999999"/>
    <n v="25.887499999999999"/>
    <n v="25.887499999999999"/>
    <n v="51.774999999999999"/>
    <n v="51.774999999999999"/>
    <n v="51.774999999999999"/>
    <n v="103.55"/>
    <n v="103.55"/>
    <n v="103.55"/>
    <n v="103.55"/>
    <n v="103.55"/>
    <n v="103.55"/>
  </r>
  <r>
    <s v="basement"/>
    <x v="7"/>
    <n v="0"/>
    <n v="0"/>
    <n v="0"/>
    <n v="231.33500000000001"/>
    <n v="231.33500000000001"/>
    <n v="231.33500000000001"/>
    <n v="231.33500000000001"/>
    <n v="462.67"/>
    <n v="462.67"/>
    <n v="462.67"/>
    <n v="462.67"/>
    <n v="925.34"/>
    <n v="925.34"/>
    <n v="925.34"/>
    <n v="925.34"/>
    <n v="925.34"/>
    <n v="925.34"/>
  </r>
  <r>
    <s v="basement"/>
    <x v="7"/>
    <n v="0"/>
    <n v="0"/>
    <n v="0"/>
    <n v="46.21"/>
    <n v="46.21"/>
    <n v="46.21"/>
    <n v="46.21"/>
    <n v="46.21"/>
    <n v="46.21"/>
    <n v="46.21"/>
    <n v="46.21"/>
    <n v="46.21"/>
    <n v="46.21"/>
    <n v="46.21"/>
    <n v="46.21"/>
    <n v="46.21"/>
    <n v="46.21"/>
  </r>
  <r>
    <s v="basement"/>
    <x v="7"/>
    <n v="0"/>
    <n v="0"/>
    <n v="0"/>
    <n v="173.8"/>
    <n v="173.8"/>
    <n v="173.8"/>
    <n v="173.8"/>
    <n v="173.8"/>
    <n v="173.8"/>
    <n v="173.8"/>
    <n v="173.8"/>
    <n v="173.8"/>
    <n v="173.8"/>
    <n v="173.8"/>
    <n v="173.8"/>
    <n v="173.8"/>
    <n v="173.8"/>
  </r>
  <r>
    <s v="basement"/>
    <x v="7"/>
    <n v="0"/>
    <n v="0"/>
    <n v="0"/>
    <n v="38.817500000000003"/>
    <n v="38.817500000000003"/>
    <n v="38.817500000000003"/>
    <n v="38.817500000000003"/>
    <n v="77.635000000000005"/>
    <n v="77.635000000000005"/>
    <n v="77.635000000000005"/>
    <n v="77.635000000000005"/>
    <n v="155.27000000000001"/>
    <n v="155.27000000000001"/>
    <n v="155.27000000000001"/>
    <n v="155.27000000000001"/>
    <n v="155.27000000000001"/>
    <n v="155.27000000000001"/>
  </r>
  <r>
    <s v="basement"/>
    <x v="7"/>
    <n v="0"/>
    <n v="0"/>
    <n v="0"/>
    <n v="0"/>
    <n v="0"/>
    <n v="0"/>
    <n v="0"/>
    <n v="0"/>
    <n v="0"/>
    <n v="0"/>
    <n v="0"/>
    <n v="0"/>
    <n v="0"/>
    <n v="0"/>
    <n v="29.12"/>
    <n v="29.12"/>
    <n v="29.12"/>
  </r>
  <r>
    <s v="basement"/>
    <x v="7"/>
    <n v="0"/>
    <n v="0"/>
    <n v="0"/>
    <n v="31.89"/>
    <n v="31.89"/>
    <n v="31.89"/>
    <n v="31.89"/>
    <n v="31.89"/>
    <n v="31.89"/>
    <n v="31.89"/>
    <n v="31.89"/>
    <n v="31.89"/>
    <n v="31.89"/>
    <n v="31.89"/>
    <n v="31.89"/>
    <n v="31.89"/>
    <n v="31.89"/>
  </r>
  <r>
    <s v="basement"/>
    <x v="7"/>
    <n v="0"/>
    <n v="0"/>
    <n v="0"/>
    <n v="0"/>
    <n v="0"/>
    <n v="0"/>
    <n v="0"/>
    <n v="0"/>
    <n v="0"/>
    <n v="160.32"/>
    <n v="160.32"/>
    <n v="160.32"/>
    <n v="160.32"/>
    <n v="160.32"/>
    <n v="160.32"/>
    <n v="160.32"/>
    <n v="160.32"/>
  </r>
  <r>
    <s v="basement"/>
    <x v="7"/>
    <n v="0"/>
    <n v="0"/>
    <n v="0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</r>
  <r>
    <s v="basement"/>
    <x v="7"/>
    <n v="0"/>
    <n v="0"/>
    <n v="0"/>
    <n v="182.15"/>
    <n v="182.15"/>
    <n v="182.15"/>
    <n v="182.15"/>
    <n v="182.15"/>
    <n v="182.15"/>
    <n v="182.15"/>
    <n v="182.15"/>
    <n v="182.15"/>
    <n v="182.15"/>
    <n v="182.15"/>
    <n v="182.15"/>
    <n v="182.15"/>
    <n v="182.15"/>
  </r>
  <r>
    <s v="basement"/>
    <x v="7"/>
    <n v="0"/>
    <n v="0"/>
    <n v="0"/>
    <n v="21.69"/>
    <n v="21.69"/>
    <n v="21.69"/>
    <n v="21.69"/>
    <n v="21.69"/>
    <n v="21.69"/>
    <n v="21.69"/>
    <n v="21.69"/>
    <n v="21.69"/>
    <n v="21.69"/>
    <n v="21.69"/>
    <n v="21.69"/>
    <n v="21.69"/>
    <n v="21.69"/>
  </r>
  <r>
    <s v="basement"/>
    <x v="7"/>
    <n v="0"/>
    <n v="0"/>
    <n v="0"/>
    <n v="196.28"/>
    <n v="196.28"/>
    <n v="196.28"/>
    <n v="196.28"/>
    <n v="196.28"/>
    <n v="196.28"/>
    <n v="196.28"/>
    <n v="196.28"/>
    <n v="196.28"/>
    <n v="196.28"/>
    <n v="196.28"/>
    <n v="196.28"/>
    <n v="196.28"/>
    <n v="196.28"/>
  </r>
  <r>
    <s v="basement"/>
    <x v="7"/>
    <n v="0"/>
    <n v="0"/>
    <n v="0"/>
    <n v="1504.98"/>
    <n v="1504.98"/>
    <n v="1504.98"/>
    <n v="1504.98"/>
    <n v="1504.98"/>
    <n v="3009.96"/>
    <n v="3009.96"/>
    <n v="3009.96"/>
    <n v="6019.92"/>
    <n v="6019.92"/>
    <n v="6019.92"/>
    <n v="6019.92"/>
    <n v="6019.92"/>
    <n v="6019.92"/>
  </r>
  <r>
    <s v="basement"/>
    <x v="7"/>
    <n v="0"/>
    <n v="0"/>
    <n v="0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</r>
  <r>
    <s v="basement"/>
    <x v="7"/>
    <n v="0"/>
    <n v="0"/>
    <n v="0"/>
    <n v="0"/>
    <n v="0"/>
    <n v="0"/>
    <n v="0"/>
    <n v="0"/>
    <n v="0"/>
    <n v="51.12"/>
    <n v="51.12"/>
    <n v="51.12"/>
    <n v="51.12"/>
    <n v="51.12"/>
    <n v="51.12"/>
    <n v="51.12"/>
    <n v="51.12"/>
  </r>
  <r>
    <s v="basement"/>
    <x v="7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s v="basement"/>
    <x v="7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s v="basement"/>
    <x v="7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s v="basement"/>
    <x v="7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s v="basement"/>
    <x v="7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basement"/>
    <x v="7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basement"/>
    <x v="7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s v="basement"/>
    <x v="7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basement"/>
    <x v="7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basement"/>
    <x v="7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basement"/>
    <x v="7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basement"/>
    <x v="7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s v="basement"/>
    <x v="7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s v="basement"/>
    <x v="7"/>
    <n v="0"/>
    <n v="0"/>
    <n v="0"/>
    <n v="0"/>
    <n v="0"/>
    <n v="0"/>
    <n v="0"/>
    <n v="0"/>
    <n v="0"/>
    <n v="1359.69"/>
    <n v="1359.69"/>
    <n v="1359.69"/>
    <n v="1359.69"/>
    <n v="1359.69"/>
    <n v="1359.69"/>
    <n v="1359.69"/>
    <n v="1359.69"/>
  </r>
  <r>
    <s v="basement"/>
    <x v="7"/>
    <n v="0"/>
    <n v="0"/>
    <n v="0"/>
    <n v="0"/>
    <n v="0"/>
    <n v="0"/>
    <n v="0"/>
    <n v="0"/>
    <n v="0"/>
    <n v="786.48"/>
    <n v="786.48"/>
    <n v="786.48"/>
    <n v="786.48"/>
    <n v="786.48"/>
    <n v="786.48"/>
    <n v="786.48"/>
    <n v="786.48"/>
  </r>
  <r>
    <s v="basement"/>
    <x v="7"/>
    <n v="0"/>
    <n v="0"/>
    <n v="0"/>
    <n v="0"/>
    <n v="0"/>
    <n v="0"/>
    <n v="0"/>
    <n v="0"/>
    <n v="0"/>
    <n v="0"/>
    <n v="0"/>
    <n v="498.26"/>
    <n v="498.26"/>
    <n v="498.26"/>
    <n v="498.26"/>
    <n v="498.26"/>
    <n v="498.26"/>
  </r>
  <r>
    <s v="basement"/>
    <x v="7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basement"/>
    <x v="7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s v="basement"/>
    <x v="7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s v="basement"/>
    <x v="7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basement"/>
    <x v="7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7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7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basement"/>
    <x v="7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basement"/>
    <x v="7"/>
    <n v="0"/>
    <n v="0"/>
    <n v="0"/>
    <n v="0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</r>
  <r>
    <s v="basement"/>
    <x v="7"/>
    <n v="0"/>
    <n v="0"/>
    <n v="0"/>
    <n v="0"/>
    <n v="0"/>
    <n v="0"/>
    <n v="0"/>
    <n v="0"/>
    <n v="0"/>
    <n v="0"/>
    <n v="1163.8800000000001"/>
    <n v="1163.8800000000001"/>
    <n v="1163.8800000000001"/>
    <n v="1163.8800000000001"/>
    <n v="1163.8800000000001"/>
    <n v="1163.8800000000001"/>
    <n v="1163.8800000000001"/>
  </r>
  <r>
    <s v="basement"/>
    <x v="7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s v="basement"/>
    <x v="7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s v="basement"/>
    <x v="7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s v="basement"/>
    <x v="7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s v="basement"/>
    <x v="7"/>
    <n v="0"/>
    <n v="0"/>
    <n v="0"/>
    <n v="0"/>
    <n v="0"/>
    <n v="0"/>
    <n v="0"/>
    <n v="0"/>
    <n v="0"/>
    <n v="0"/>
    <n v="0"/>
    <n v="32.06"/>
    <n v="32.06"/>
    <n v="32.06"/>
    <n v="32.06"/>
    <n v="32.06"/>
    <n v="32.06"/>
  </r>
  <r>
    <s v="basement"/>
    <x v="7"/>
    <n v="0"/>
    <n v="0"/>
    <n v="0"/>
    <n v="237.95"/>
    <n v="237.95"/>
    <n v="237.95"/>
    <n v="237.95"/>
    <n v="237.95"/>
    <n v="237.95"/>
    <n v="237.95"/>
    <n v="237.95"/>
    <n v="237.95"/>
    <n v="237.95"/>
    <n v="237.95"/>
    <n v="237.95"/>
    <n v="237.95"/>
    <n v="237.95"/>
  </r>
  <r>
    <s v="basement"/>
    <x v="7"/>
    <n v="0"/>
    <n v="0"/>
    <n v="0"/>
    <n v="0"/>
    <n v="0"/>
    <n v="0"/>
    <n v="0"/>
    <n v="0"/>
    <n v="0"/>
    <n v="0"/>
    <n v="0"/>
    <n v="0"/>
    <n v="0"/>
    <n v="0"/>
    <n v="69.39"/>
    <n v="69.39"/>
    <n v="69.39"/>
  </r>
  <r>
    <s v="basement"/>
    <x v="7"/>
    <n v="0"/>
    <n v="0"/>
    <n v="0"/>
    <n v="0"/>
    <n v="134.96"/>
    <n v="134.96"/>
    <n v="134.96"/>
    <n v="134.96"/>
    <n v="134.96"/>
    <n v="134.96"/>
    <n v="134.96"/>
    <n v="134.96"/>
    <n v="134.96"/>
    <n v="134.96"/>
    <n v="134.96"/>
    <n v="134.96"/>
    <n v="134.96"/>
  </r>
  <r>
    <s v="basement"/>
    <x v="7"/>
    <n v="0"/>
    <n v="0"/>
    <n v="0"/>
    <n v="25.887499999999999"/>
    <n v="25.887499999999999"/>
    <n v="25.887499999999999"/>
    <n v="25.887499999999999"/>
    <n v="25.887499999999999"/>
    <n v="51.774999999999999"/>
    <n v="51.774999999999999"/>
    <n v="51.774999999999999"/>
    <n v="103.55"/>
    <n v="103.55"/>
    <n v="103.55"/>
    <n v="103.55"/>
    <n v="103.55"/>
    <n v="103.55"/>
  </r>
  <r>
    <s v="basement"/>
    <x v="7"/>
    <n v="0"/>
    <n v="0"/>
    <n v="0"/>
    <n v="231.33500000000001"/>
    <n v="231.33500000000001"/>
    <n v="231.33500000000001"/>
    <n v="231.33500000000001"/>
    <n v="462.67"/>
    <n v="462.67"/>
    <n v="462.67"/>
    <n v="462.67"/>
    <n v="925.34"/>
    <n v="925.34"/>
    <n v="925.34"/>
    <n v="925.34"/>
    <n v="925.34"/>
    <n v="925.34"/>
  </r>
  <r>
    <s v="basement"/>
    <x v="7"/>
    <n v="0"/>
    <n v="0"/>
    <n v="0"/>
    <n v="46.21"/>
    <n v="46.21"/>
    <n v="46.21"/>
    <n v="46.21"/>
    <n v="46.21"/>
    <n v="46.21"/>
    <n v="46.21"/>
    <n v="46.21"/>
    <n v="46.21"/>
    <n v="46.21"/>
    <n v="46.21"/>
    <n v="46.21"/>
    <n v="46.21"/>
    <n v="46.21"/>
  </r>
  <r>
    <s v="basement"/>
    <x v="7"/>
    <n v="0"/>
    <n v="0"/>
    <n v="0"/>
    <n v="173.8"/>
    <n v="173.8"/>
    <n v="173.8"/>
    <n v="173.8"/>
    <n v="173.8"/>
    <n v="173.8"/>
    <n v="173.8"/>
    <n v="173.8"/>
    <n v="173.8"/>
    <n v="173.8"/>
    <n v="173.8"/>
    <n v="173.8"/>
    <n v="173.8"/>
    <n v="173.8"/>
  </r>
  <r>
    <s v="basement"/>
    <x v="7"/>
    <n v="0"/>
    <n v="0"/>
    <n v="0"/>
    <n v="38.817500000000003"/>
    <n v="38.817500000000003"/>
    <n v="38.817500000000003"/>
    <n v="38.817500000000003"/>
    <n v="77.635000000000005"/>
    <n v="77.635000000000005"/>
    <n v="77.635000000000005"/>
    <n v="77.635000000000005"/>
    <n v="155.27000000000001"/>
    <n v="155.27000000000001"/>
    <n v="155.27000000000001"/>
    <n v="155.27000000000001"/>
    <n v="155.27000000000001"/>
    <n v="155.27000000000001"/>
  </r>
  <r>
    <s v="basement"/>
    <x v="7"/>
    <n v="0"/>
    <n v="0"/>
    <n v="0"/>
    <n v="0"/>
    <n v="0"/>
    <n v="0"/>
    <n v="0"/>
    <n v="0"/>
    <n v="0"/>
    <n v="0"/>
    <n v="0"/>
    <n v="0"/>
    <n v="0"/>
    <n v="0"/>
    <n v="29.12"/>
    <n v="29.12"/>
    <n v="29.12"/>
  </r>
  <r>
    <s v="basement"/>
    <x v="7"/>
    <n v="0"/>
    <n v="0"/>
    <n v="0"/>
    <n v="31.89"/>
    <n v="31.89"/>
    <n v="31.89"/>
    <n v="31.89"/>
    <n v="31.89"/>
    <n v="31.89"/>
    <n v="31.89"/>
    <n v="31.89"/>
    <n v="31.89"/>
    <n v="31.89"/>
    <n v="31.89"/>
    <n v="31.89"/>
    <n v="31.89"/>
    <n v="31.89"/>
  </r>
  <r>
    <s v="basement"/>
    <x v="7"/>
    <n v="0"/>
    <n v="0"/>
    <n v="0"/>
    <n v="0"/>
    <n v="0"/>
    <n v="0"/>
    <n v="0"/>
    <n v="0"/>
    <n v="0"/>
    <n v="160.32"/>
    <n v="160.32"/>
    <n v="160.32"/>
    <n v="160.32"/>
    <n v="160.32"/>
    <n v="160.32"/>
    <n v="160.32"/>
    <n v="160.32"/>
  </r>
  <r>
    <s v="basement"/>
    <x v="7"/>
    <n v="0"/>
    <n v="0"/>
    <n v="0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</r>
  <r>
    <s v="basement"/>
    <x v="7"/>
    <n v="0"/>
    <n v="0"/>
    <n v="0"/>
    <n v="182.15"/>
    <n v="182.15"/>
    <n v="182.15"/>
    <n v="182.15"/>
    <n v="182.15"/>
    <n v="182.15"/>
    <n v="182.15"/>
    <n v="182.15"/>
    <n v="182.15"/>
    <n v="182.15"/>
    <n v="182.15"/>
    <n v="182.15"/>
    <n v="182.15"/>
    <n v="182.15"/>
  </r>
  <r>
    <s v="basement"/>
    <x v="7"/>
    <n v="0"/>
    <n v="0"/>
    <n v="0"/>
    <n v="21.69"/>
    <n v="21.69"/>
    <n v="21.69"/>
    <n v="21.69"/>
    <n v="21.69"/>
    <n v="21.69"/>
    <n v="21.69"/>
    <n v="21.69"/>
    <n v="21.69"/>
    <n v="21.69"/>
    <n v="21.69"/>
    <n v="21.69"/>
    <n v="21.69"/>
    <n v="21.69"/>
  </r>
  <r>
    <s v="basement"/>
    <x v="7"/>
    <n v="0"/>
    <n v="0"/>
    <n v="0"/>
    <n v="196.28"/>
    <n v="196.28"/>
    <n v="196.28"/>
    <n v="196.28"/>
    <n v="196.28"/>
    <n v="196.28"/>
    <n v="196.28"/>
    <n v="196.28"/>
    <n v="196.28"/>
    <n v="196.28"/>
    <n v="196.28"/>
    <n v="196.28"/>
    <n v="196.28"/>
    <n v="196.28"/>
  </r>
  <r>
    <s v="main"/>
    <x v="8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8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8"/>
    <n v="0"/>
    <n v="0"/>
    <n v="0"/>
    <n v="2407.9699999999998"/>
    <n v="2407.9699999999998"/>
    <n v="2407.9699999999998"/>
    <n v="2407.9699999999998"/>
    <n v="2407.9699999999998"/>
    <n v="4815.9399999999996"/>
    <n v="4815.9399999999996"/>
    <n v="4815.9399999999996"/>
    <n v="9631.8799999999992"/>
    <n v="9631.8799999999992"/>
    <n v="9631.8799999999992"/>
    <n v="9631.8799999999992"/>
    <n v="9631.8799999999992"/>
    <n v="9631.8799999999992"/>
  </r>
  <r>
    <s v="main"/>
    <x v="8"/>
    <n v="0"/>
    <n v="0"/>
    <n v="0"/>
    <n v="1014.92"/>
    <n v="1014.92"/>
    <n v="1014.92"/>
    <n v="1014.92"/>
    <n v="1014.92"/>
    <n v="1014.92"/>
    <n v="1014.92"/>
    <n v="1014.92"/>
    <n v="1014.92"/>
    <n v="1014.92"/>
    <n v="1014.92"/>
    <n v="1014.92"/>
    <n v="1014.92"/>
    <n v="1014.92"/>
  </r>
  <r>
    <s v="main"/>
    <x v="8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s v="main"/>
    <x v="8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s v="main"/>
    <x v="8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s v="main"/>
    <x v="8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s v="main"/>
    <x v="8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8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s v="main"/>
    <x v="8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main"/>
    <x v="8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main"/>
    <x v="8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main"/>
    <x v="8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main"/>
    <x v="8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s v="main"/>
    <x v="8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s v="main"/>
    <x v="8"/>
    <n v="0"/>
    <n v="0"/>
    <n v="0"/>
    <n v="0"/>
    <n v="0"/>
    <n v="0"/>
    <n v="0"/>
    <n v="0"/>
    <n v="0"/>
    <n v="973"/>
    <n v="973"/>
    <n v="973"/>
    <n v="973"/>
    <n v="973"/>
    <n v="973"/>
    <n v="973"/>
    <n v="973"/>
  </r>
  <r>
    <s v="main"/>
    <x v="8"/>
    <n v="0"/>
    <n v="0"/>
    <n v="0"/>
    <n v="0"/>
    <n v="0"/>
    <n v="0"/>
    <n v="0"/>
    <n v="284.58999999999997"/>
    <n v="284.58999999999997"/>
    <n v="284.58999999999997"/>
    <n v="284.58999999999997"/>
    <n v="284.58999999999997"/>
    <n v="284.58999999999997"/>
    <n v="284.58999999999997"/>
    <n v="284.58999999999997"/>
    <n v="284.58999999999997"/>
    <n v="284.58999999999997"/>
  </r>
  <r>
    <s v="main"/>
    <x v="8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8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s v="main"/>
    <x v="8"/>
    <n v="0"/>
    <n v="0"/>
    <n v="0"/>
    <n v="0"/>
    <n v="0"/>
    <n v="0"/>
    <n v="0"/>
    <n v="0"/>
    <n v="0"/>
    <n v="0"/>
    <n v="0"/>
    <n v="0"/>
    <n v="0"/>
    <n v="0"/>
    <n v="240.72"/>
    <n v="240.72"/>
    <n v="240.72"/>
  </r>
  <r>
    <s v="main"/>
    <x v="8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8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8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8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8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main"/>
    <x v="8"/>
    <n v="0"/>
    <n v="0"/>
    <n v="0"/>
    <n v="0"/>
    <n v="0"/>
    <n v="0"/>
    <n v="0"/>
    <n v="0"/>
    <n v="0"/>
    <n v="466.19"/>
    <n v="466.19"/>
    <n v="466.19"/>
    <n v="466.19"/>
    <n v="466.19"/>
    <n v="466.19"/>
    <n v="466.19"/>
    <n v="466.19"/>
  </r>
  <r>
    <s v="main"/>
    <x v="8"/>
    <n v="0"/>
    <n v="0"/>
    <n v="0"/>
    <n v="0"/>
    <n v="0"/>
    <n v="0"/>
    <n v="0"/>
    <n v="0"/>
    <n v="0"/>
    <n v="4560.91"/>
    <n v="4560.91"/>
    <n v="4560.91"/>
    <n v="4560.91"/>
    <n v="4560.91"/>
    <n v="4560.91"/>
    <n v="4560.91"/>
    <n v="4560.91"/>
  </r>
  <r>
    <s v="main"/>
    <x v="8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main"/>
    <x v="8"/>
    <n v="0"/>
    <n v="0"/>
    <n v="0"/>
    <n v="0"/>
    <n v="2681.87"/>
    <n v="2681.87"/>
    <n v="2681.87"/>
    <n v="2681.87"/>
    <n v="2681.87"/>
    <n v="2681.87"/>
    <n v="2681.87"/>
    <n v="2681.87"/>
    <n v="2681.87"/>
    <n v="2681.87"/>
    <n v="2681.87"/>
    <n v="2681.87"/>
    <n v="2681.87"/>
  </r>
  <r>
    <s v="main"/>
    <x v="8"/>
    <n v="0"/>
    <n v="0"/>
    <n v="0"/>
    <n v="0"/>
    <n v="0"/>
    <n v="0"/>
    <n v="0"/>
    <n v="0"/>
    <n v="0"/>
    <n v="0"/>
    <n v="1396.66"/>
    <n v="1396.66"/>
    <n v="1396.66"/>
    <n v="1396.66"/>
    <n v="1396.66"/>
    <n v="1396.66"/>
    <n v="1396.66"/>
  </r>
  <r>
    <s v="main"/>
    <x v="8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s v="main"/>
    <x v="8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s v="main"/>
    <x v="8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s v="main"/>
    <x v="8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s v="main"/>
    <x v="8"/>
    <n v="0"/>
    <n v="0"/>
    <n v="0"/>
    <n v="0"/>
    <n v="0"/>
    <n v="0"/>
    <n v="0"/>
    <n v="0"/>
    <n v="0"/>
    <n v="0"/>
    <n v="0"/>
    <n v="44.42"/>
    <n v="44.42"/>
    <n v="44.42"/>
    <n v="44.42"/>
    <n v="44.42"/>
    <n v="44.42"/>
  </r>
  <r>
    <s v="main"/>
    <x v="8"/>
    <n v="0"/>
    <n v="0"/>
    <n v="0"/>
    <n v="329.71"/>
    <n v="329.71"/>
    <n v="329.71"/>
    <n v="329.71"/>
    <n v="329.71"/>
    <n v="329.71"/>
    <n v="329.71"/>
    <n v="329.71"/>
    <n v="329.71"/>
    <n v="329.71"/>
    <n v="329.71"/>
    <n v="329.71"/>
    <n v="329.71"/>
    <n v="329.71"/>
  </r>
  <r>
    <s v="main"/>
    <x v="8"/>
    <n v="0"/>
    <n v="0"/>
    <n v="0"/>
    <n v="0"/>
    <n v="0"/>
    <n v="0"/>
    <n v="0"/>
    <n v="0"/>
    <n v="0"/>
    <n v="0"/>
    <n v="0"/>
    <n v="0"/>
    <n v="0"/>
    <n v="0"/>
    <n v="96.16"/>
    <n v="96.16"/>
    <n v="96.16"/>
  </r>
  <r>
    <s v="main"/>
    <x v="8"/>
    <n v="0"/>
    <n v="0"/>
    <n v="0"/>
    <n v="0"/>
    <n v="186.98"/>
    <n v="186.98"/>
    <n v="186.98"/>
    <n v="186.98"/>
    <n v="186.98"/>
    <n v="186.98"/>
    <n v="186.98"/>
    <n v="186.98"/>
    <n v="186.98"/>
    <n v="186.98"/>
    <n v="186.98"/>
    <n v="186.98"/>
    <n v="186.98"/>
  </r>
  <r>
    <s v="main"/>
    <x v="8"/>
    <n v="0"/>
    <n v="0"/>
    <n v="0"/>
    <n v="35.872500000000002"/>
    <n v="35.872500000000002"/>
    <n v="35.872500000000002"/>
    <n v="35.872500000000002"/>
    <n v="35.872500000000002"/>
    <n v="71.745000000000005"/>
    <n v="71.745000000000005"/>
    <n v="71.745000000000005"/>
    <n v="143.49"/>
    <n v="143.49"/>
    <n v="143.49"/>
    <n v="143.49"/>
    <n v="143.49"/>
    <n v="143.49"/>
  </r>
  <r>
    <s v="main"/>
    <x v="8"/>
    <n v="0"/>
    <n v="0"/>
    <n v="0"/>
    <n v="320.54500000000002"/>
    <n v="320.54500000000002"/>
    <n v="320.54500000000002"/>
    <n v="320.54500000000002"/>
    <n v="641.09"/>
    <n v="641.09"/>
    <n v="641.09"/>
    <n v="641.09"/>
    <n v="1282.18"/>
    <n v="1282.18"/>
    <n v="1282.18"/>
    <n v="1282.18"/>
    <n v="1282.18"/>
    <n v="1282.18"/>
  </r>
  <r>
    <s v="main"/>
    <x v="8"/>
    <n v="0"/>
    <n v="0"/>
    <n v="0"/>
    <n v="64.03"/>
    <n v="64.03"/>
    <n v="64.03"/>
    <n v="64.03"/>
    <n v="64.03"/>
    <n v="64.03"/>
    <n v="64.03"/>
    <n v="64.03"/>
    <n v="64.03"/>
    <n v="64.03"/>
    <n v="64.03"/>
    <n v="64.03"/>
    <n v="64.03"/>
    <n v="64.03"/>
  </r>
  <r>
    <s v="main"/>
    <x v="8"/>
    <n v="0"/>
    <n v="0"/>
    <n v="0"/>
    <n v="240.81"/>
    <n v="240.81"/>
    <n v="240.81"/>
    <n v="240.81"/>
    <n v="240.81"/>
    <n v="240.81"/>
    <n v="240.81"/>
    <n v="240.81"/>
    <n v="240.81"/>
    <n v="240.81"/>
    <n v="240.81"/>
    <n v="240.81"/>
    <n v="240.81"/>
    <n v="240.81"/>
  </r>
  <r>
    <s v="main"/>
    <x v="8"/>
    <n v="0"/>
    <n v="0"/>
    <n v="0"/>
    <n v="77.644999999999996"/>
    <n v="77.644999999999996"/>
    <n v="77.644999999999996"/>
    <n v="77.644999999999996"/>
    <n v="155.29"/>
    <n v="155.29"/>
    <n v="155.29"/>
    <n v="155.29"/>
    <n v="310.58"/>
    <n v="310.58"/>
    <n v="310.58"/>
    <n v="310.58"/>
    <n v="310.58"/>
    <n v="310.58"/>
  </r>
  <r>
    <s v="main"/>
    <x v="8"/>
    <n v="0"/>
    <n v="0"/>
    <n v="0"/>
    <n v="0"/>
    <n v="0"/>
    <n v="0"/>
    <n v="0"/>
    <n v="0"/>
    <n v="0"/>
    <n v="0"/>
    <n v="0"/>
    <n v="0"/>
    <n v="0"/>
    <n v="0"/>
    <n v="58.23"/>
    <n v="58.23"/>
    <n v="58.23"/>
  </r>
  <r>
    <s v="main"/>
    <x v="8"/>
    <n v="0"/>
    <n v="0"/>
    <n v="0"/>
    <n v="63.79"/>
    <n v="63.79"/>
    <n v="63.79"/>
    <n v="63.79"/>
    <n v="63.79"/>
    <n v="63.79"/>
    <n v="63.79"/>
    <n v="63.79"/>
    <n v="63.79"/>
    <n v="63.79"/>
    <n v="63.79"/>
    <n v="63.79"/>
    <n v="63.79"/>
    <n v="63.79"/>
  </r>
  <r>
    <s v="main"/>
    <x v="8"/>
    <n v="0"/>
    <n v="0"/>
    <n v="0"/>
    <n v="0"/>
    <n v="0"/>
    <n v="0"/>
    <n v="0"/>
    <n v="0"/>
    <n v="0"/>
    <n v="320.83999999999997"/>
    <n v="320.83999999999997"/>
    <n v="320.83999999999997"/>
    <n v="320.83999999999997"/>
    <n v="320.83999999999997"/>
    <n v="320.83999999999997"/>
    <n v="320.83999999999997"/>
    <n v="320.83999999999997"/>
  </r>
  <r>
    <s v="main"/>
    <x v="8"/>
    <n v="0"/>
    <n v="0"/>
    <n v="0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</r>
  <r>
    <s v="main"/>
    <x v="8"/>
    <n v="0"/>
    <n v="0"/>
    <n v="0"/>
    <n v="364.18"/>
    <n v="364.18"/>
    <n v="364.18"/>
    <n v="364.18"/>
    <n v="364.18"/>
    <n v="364.18"/>
    <n v="364.18"/>
    <n v="364.18"/>
    <n v="364.18"/>
    <n v="364.18"/>
    <n v="364.18"/>
    <n v="364.18"/>
    <n v="364.18"/>
    <n v="364.18"/>
  </r>
  <r>
    <s v="main"/>
    <x v="8"/>
    <n v="0"/>
    <n v="0"/>
    <n v="0"/>
    <n v="43.36"/>
    <n v="43.36"/>
    <n v="43.36"/>
    <n v="43.36"/>
    <n v="43.36"/>
    <n v="43.36"/>
    <n v="43.36"/>
    <n v="43.36"/>
    <n v="43.36"/>
    <n v="43.36"/>
    <n v="43.36"/>
    <n v="43.36"/>
    <n v="43.36"/>
    <n v="43.36"/>
  </r>
  <r>
    <s v="main"/>
    <x v="8"/>
    <n v="0"/>
    <n v="0"/>
    <n v="0"/>
    <n v="392.42"/>
    <n v="392.42"/>
    <n v="392.42"/>
    <n v="392.42"/>
    <n v="392.42"/>
    <n v="392.42"/>
    <n v="392.42"/>
    <n v="392.42"/>
    <n v="392.42"/>
    <n v="392.42"/>
    <n v="392.42"/>
    <n v="392.42"/>
    <n v="392.42"/>
    <n v="392.42"/>
  </r>
  <r>
    <s v="main"/>
    <x v="9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s v="main"/>
    <x v="9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9"/>
    <n v="0"/>
    <n v="0"/>
    <n v="0"/>
    <n v="0"/>
    <n v="0"/>
    <n v="0"/>
    <n v="0"/>
    <n v="0"/>
    <n v="0"/>
    <n v="0"/>
    <n v="0"/>
    <n v="74.19"/>
    <n v="74.19"/>
    <n v="74.19"/>
    <n v="74.19"/>
    <n v="74.19"/>
    <n v="74.19"/>
  </r>
  <r>
    <s v="main"/>
    <x v="9"/>
    <n v="0"/>
    <n v="0"/>
    <n v="0"/>
    <n v="550.54"/>
    <n v="550.54"/>
    <n v="550.54"/>
    <n v="550.54"/>
    <n v="550.54"/>
    <n v="550.54"/>
    <n v="550.54"/>
    <n v="550.54"/>
    <n v="550.54"/>
    <n v="550.54"/>
    <n v="550.54"/>
    <n v="550.54"/>
    <n v="550.54"/>
    <n v="550.54"/>
  </r>
  <r>
    <s v="main"/>
    <x v="9"/>
    <n v="0"/>
    <n v="0"/>
    <n v="0"/>
    <n v="0"/>
    <n v="0"/>
    <n v="0"/>
    <n v="0"/>
    <n v="0"/>
    <n v="0"/>
    <n v="0"/>
    <n v="0"/>
    <n v="0"/>
    <n v="0"/>
    <n v="0"/>
    <n v="160.57"/>
    <n v="160.57"/>
    <n v="160.57"/>
  </r>
  <r>
    <s v="main"/>
    <x v="9"/>
    <n v="0"/>
    <n v="0"/>
    <n v="0"/>
    <n v="0"/>
    <n v="312.23"/>
    <n v="312.23"/>
    <n v="312.23"/>
    <n v="312.23"/>
    <n v="312.23"/>
    <n v="312.23"/>
    <n v="312.23"/>
    <n v="312.23"/>
    <n v="312.23"/>
    <n v="312.23"/>
    <n v="312.23"/>
    <n v="312.23"/>
    <n v="312.23"/>
  </r>
  <r>
    <s v="main"/>
    <x v="9"/>
    <n v="0"/>
    <n v="0"/>
    <n v="0"/>
    <n v="59.9"/>
    <n v="59.9"/>
    <n v="59.9"/>
    <n v="59.9"/>
    <n v="59.9"/>
    <n v="119.8"/>
    <n v="119.8"/>
    <n v="119.8"/>
    <n v="239.6"/>
    <n v="239.6"/>
    <n v="239.6"/>
    <n v="239.6"/>
    <n v="239.6"/>
    <n v="239.6"/>
  </r>
  <r>
    <s v="main"/>
    <x v="9"/>
    <n v="0"/>
    <n v="0"/>
    <n v="0"/>
    <n v="535.25"/>
    <n v="535.25"/>
    <n v="535.25"/>
    <n v="535.25"/>
    <n v="1070.5"/>
    <n v="1070.5"/>
    <n v="1070.5"/>
    <n v="1070.5"/>
    <n v="2141"/>
    <n v="2141"/>
    <n v="2141"/>
    <n v="2141"/>
    <n v="2141"/>
    <n v="2141"/>
  </r>
  <r>
    <s v="main"/>
    <x v="9"/>
    <n v="0"/>
    <n v="0"/>
    <n v="0"/>
    <n v="0"/>
    <n v="0"/>
    <n v="0"/>
    <n v="0"/>
    <n v="0"/>
    <n v="0"/>
    <n v="0"/>
    <n v="0"/>
    <n v="173.44"/>
    <n v="173.44"/>
    <n v="173.44"/>
    <n v="173.44"/>
    <n v="173.44"/>
    <n v="173.44"/>
  </r>
  <r>
    <s v="main"/>
    <x v="9"/>
    <n v="0"/>
    <n v="0"/>
    <n v="0"/>
    <n v="0"/>
    <n v="0"/>
    <n v="0"/>
    <n v="0"/>
    <n v="0"/>
    <n v="0"/>
    <n v="0"/>
    <n v="0"/>
    <n v="646.54"/>
    <n v="646.54"/>
    <n v="646.54"/>
    <n v="646.54"/>
    <n v="646.54"/>
    <n v="646.54"/>
  </r>
  <r>
    <s v="main"/>
    <x v="9"/>
    <n v="0"/>
    <n v="0"/>
    <n v="0"/>
    <n v="0"/>
    <n v="0"/>
    <n v="0"/>
    <n v="0"/>
    <n v="0"/>
    <n v="0"/>
    <n v="0"/>
    <n v="0"/>
    <n v="73.64"/>
    <n v="73.64"/>
    <n v="73.64"/>
    <n v="73.64"/>
    <n v="73.64"/>
    <n v="73.64"/>
  </r>
  <r>
    <s v="main"/>
    <x v="9"/>
    <n v="0"/>
    <n v="0"/>
    <n v="0"/>
    <n v="0"/>
    <n v="0"/>
    <n v="0"/>
    <n v="0"/>
    <n v="0"/>
    <n v="0"/>
    <n v="0"/>
    <n v="0"/>
    <n v="567.82000000000005"/>
    <n v="567.82000000000005"/>
    <n v="567.82000000000005"/>
    <n v="567.82000000000005"/>
    <n v="567.82000000000005"/>
    <n v="567.82000000000005"/>
  </r>
  <r>
    <s v="main"/>
    <x v="9"/>
    <n v="0"/>
    <n v="0"/>
    <n v="0"/>
    <n v="106.91"/>
    <n v="106.91"/>
    <n v="106.91"/>
    <n v="106.91"/>
    <n v="106.91"/>
    <n v="106.91"/>
    <n v="106.91"/>
    <n v="106.91"/>
    <n v="106.91"/>
    <n v="106.91"/>
    <n v="106.91"/>
    <n v="106.91"/>
    <n v="106.91"/>
    <n v="106.91"/>
  </r>
  <r>
    <s v="main"/>
    <x v="9"/>
    <n v="0"/>
    <n v="0"/>
    <n v="0"/>
    <n v="402.14"/>
    <n v="402.14"/>
    <n v="402.14"/>
    <n v="402.14"/>
    <n v="402.14"/>
    <n v="402.14"/>
    <n v="402.14"/>
    <n v="402.14"/>
    <n v="402.14"/>
    <n v="402.14"/>
    <n v="402.14"/>
    <n v="402.14"/>
    <n v="402.14"/>
    <n v="402.14"/>
  </r>
  <r>
    <s v="main"/>
    <x v="9"/>
    <n v="0"/>
    <n v="0"/>
    <n v="0"/>
    <n v="297.96499999999997"/>
    <n v="297.96499999999997"/>
    <n v="297.96499999999997"/>
    <n v="297.96499999999997"/>
    <n v="595.92999999999995"/>
    <n v="595.92999999999995"/>
    <n v="595.92999999999995"/>
    <n v="595.92999999999995"/>
    <n v="1191.8599999999999"/>
    <n v="1191.8599999999999"/>
    <n v="1191.8599999999999"/>
    <n v="1191.8599999999999"/>
    <n v="1191.8599999999999"/>
    <n v="1191.8599999999999"/>
  </r>
  <r>
    <s v="main"/>
    <x v="9"/>
    <n v="0"/>
    <n v="0"/>
    <n v="0"/>
    <n v="0"/>
    <n v="0"/>
    <n v="0"/>
    <n v="0"/>
    <n v="0"/>
    <n v="0"/>
    <n v="0"/>
    <n v="0"/>
    <n v="0"/>
    <n v="0"/>
    <n v="0"/>
    <n v="223.47"/>
    <n v="223.47"/>
    <n v="223.47"/>
  </r>
  <r>
    <s v="main"/>
    <x v="9"/>
    <n v="0"/>
    <n v="0"/>
    <n v="0"/>
    <n v="244.76"/>
    <n v="244.76"/>
    <n v="244.76"/>
    <n v="244.76"/>
    <n v="244.76"/>
    <n v="244.76"/>
    <n v="244.76"/>
    <n v="244.76"/>
    <n v="244.76"/>
    <n v="244.76"/>
    <n v="244.76"/>
    <n v="244.76"/>
    <n v="244.76"/>
    <n v="244.76"/>
  </r>
  <r>
    <s v="main"/>
    <x v="9"/>
    <n v="0"/>
    <n v="0"/>
    <n v="0"/>
    <n v="0"/>
    <n v="0"/>
    <n v="0"/>
    <n v="0"/>
    <n v="0"/>
    <n v="0"/>
    <n v="870.48"/>
    <n v="870.48"/>
    <n v="870.48"/>
    <n v="870.48"/>
    <n v="870.48"/>
    <n v="870.48"/>
    <n v="870.48"/>
    <n v="870.48"/>
  </r>
  <r>
    <s v="main"/>
    <x v="9"/>
    <n v="0"/>
    <n v="0"/>
    <n v="0"/>
    <n v="359.24"/>
    <n v="359.24"/>
    <n v="359.24"/>
    <n v="359.24"/>
    <n v="359.24"/>
    <n v="359.24"/>
    <n v="359.24"/>
    <n v="359.24"/>
    <n v="359.24"/>
    <n v="359.24"/>
    <n v="359.24"/>
    <n v="359.24"/>
    <n v="359.24"/>
    <n v="359.24"/>
  </r>
  <r>
    <s v="main"/>
    <x v="9"/>
    <n v="0"/>
    <n v="0"/>
    <n v="0"/>
    <n v="988.4"/>
    <n v="988.4"/>
    <n v="988.4"/>
    <n v="988.4"/>
    <n v="988.4"/>
    <n v="988.4"/>
    <n v="988.4"/>
    <n v="988.4"/>
    <n v="988.4"/>
    <n v="988.4"/>
    <n v="988.4"/>
    <n v="988.4"/>
    <n v="988.4"/>
    <n v="988.4"/>
  </r>
  <r>
    <s v="main"/>
    <x v="9"/>
    <n v="0"/>
    <n v="0"/>
    <n v="0"/>
    <n v="117.71"/>
    <n v="117.71"/>
    <n v="117.71"/>
    <n v="117.71"/>
    <n v="117.71"/>
    <n v="117.71"/>
    <n v="117.71"/>
    <n v="117.71"/>
    <n v="117.71"/>
    <n v="117.71"/>
    <n v="117.71"/>
    <n v="117.71"/>
    <n v="117.71"/>
    <n v="117.71"/>
  </r>
  <r>
    <s v="main"/>
    <x v="9"/>
    <n v="0"/>
    <n v="0"/>
    <n v="0"/>
    <n v="1065.19"/>
    <n v="1065.19"/>
    <n v="1065.19"/>
    <n v="1065.19"/>
    <n v="1065.19"/>
    <n v="1065.19"/>
    <n v="1065.19"/>
    <n v="1065.19"/>
    <n v="1065.19"/>
    <n v="1065.19"/>
    <n v="1065.19"/>
    <n v="1065.19"/>
    <n v="1065.19"/>
    <n v="1065.19"/>
  </r>
  <r>
    <s v="main"/>
    <x v="10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main"/>
    <x v="10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main"/>
    <x v="10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s v="main"/>
    <x v="10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s v="main"/>
    <x v="10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s v="main"/>
    <x v="10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main"/>
    <x v="10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0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10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10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s v="main"/>
    <x v="1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0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10"/>
    <n v="0"/>
    <n v="0"/>
    <n v="0"/>
    <n v="0"/>
    <n v="0"/>
    <n v="0"/>
    <n v="0"/>
    <n v="0"/>
    <n v="0"/>
    <n v="0"/>
    <n v="0"/>
    <n v="49.45"/>
    <n v="49.45"/>
    <n v="49.45"/>
    <n v="49.45"/>
    <n v="49.45"/>
    <n v="49.45"/>
  </r>
  <r>
    <s v="main"/>
    <x v="10"/>
    <n v="0"/>
    <n v="0"/>
    <n v="0"/>
    <n v="367.04"/>
    <n v="367.04"/>
    <n v="367.04"/>
    <n v="367.04"/>
    <n v="367.04"/>
    <n v="367.04"/>
    <n v="367.04"/>
    <n v="367.04"/>
    <n v="367.04"/>
    <n v="367.04"/>
    <n v="367.04"/>
    <n v="367.04"/>
    <n v="367.04"/>
    <n v="367.04"/>
  </r>
  <r>
    <s v="main"/>
    <x v="10"/>
    <n v="0"/>
    <n v="0"/>
    <n v="0"/>
    <n v="0"/>
    <n v="0"/>
    <n v="0"/>
    <n v="0"/>
    <n v="0"/>
    <n v="0"/>
    <n v="0"/>
    <n v="0"/>
    <n v="0"/>
    <n v="0"/>
    <n v="0"/>
    <n v="107.05"/>
    <n v="107.05"/>
    <n v="107.05"/>
  </r>
  <r>
    <s v="main"/>
    <x v="10"/>
    <n v="0"/>
    <n v="0"/>
    <n v="0"/>
    <n v="0"/>
    <n v="208.16"/>
    <n v="208.16"/>
    <n v="208.16"/>
    <n v="208.16"/>
    <n v="208.16"/>
    <n v="208.16"/>
    <n v="208.16"/>
    <n v="208.16"/>
    <n v="208.16"/>
    <n v="208.16"/>
    <n v="208.16"/>
    <n v="208.16"/>
    <n v="208.16"/>
  </r>
  <r>
    <s v="main"/>
    <x v="10"/>
    <n v="0"/>
    <n v="0"/>
    <n v="0"/>
    <n v="39.93"/>
    <n v="39.93"/>
    <n v="39.93"/>
    <n v="39.93"/>
    <n v="39.93"/>
    <n v="79.86"/>
    <n v="79.86"/>
    <n v="79.86"/>
    <n v="159.72"/>
    <n v="159.72"/>
    <n v="159.72"/>
    <n v="159.72"/>
    <n v="159.72"/>
    <n v="159.72"/>
  </r>
  <r>
    <s v="main"/>
    <x v="10"/>
    <n v="0"/>
    <n v="0"/>
    <n v="0"/>
    <n v="356.83"/>
    <n v="356.83"/>
    <n v="356.83"/>
    <n v="356.83"/>
    <n v="713.66"/>
    <n v="713.66"/>
    <n v="713.66"/>
    <n v="713.66"/>
    <n v="1427.32"/>
    <n v="1427.32"/>
    <n v="1427.32"/>
    <n v="1427.32"/>
    <n v="1427.32"/>
    <n v="1427.32"/>
  </r>
  <r>
    <s v="main"/>
    <x v="10"/>
    <n v="0"/>
    <n v="0"/>
    <n v="0"/>
    <n v="0"/>
    <n v="0"/>
    <n v="0"/>
    <n v="0"/>
    <n v="0"/>
    <n v="0"/>
    <n v="0"/>
    <n v="0"/>
    <n v="49.08"/>
    <n v="49.08"/>
    <n v="49.08"/>
    <n v="49.08"/>
    <n v="49.08"/>
    <n v="49.08"/>
  </r>
  <r>
    <s v="main"/>
    <x v="10"/>
    <n v="0"/>
    <n v="0"/>
    <n v="0"/>
    <n v="0"/>
    <n v="0"/>
    <n v="0"/>
    <n v="0"/>
    <n v="0"/>
    <n v="0"/>
    <n v="0"/>
    <n v="0"/>
    <n v="378.51"/>
    <n v="378.51"/>
    <n v="378.51"/>
    <n v="378.51"/>
    <n v="378.51"/>
    <n v="378.51"/>
  </r>
  <r>
    <s v="main"/>
    <x v="10"/>
    <n v="0"/>
    <n v="0"/>
    <n v="0"/>
    <n v="71.27"/>
    <n v="71.27"/>
    <n v="71.27"/>
    <n v="71.27"/>
    <n v="71.27"/>
    <n v="71.27"/>
    <n v="71.27"/>
    <n v="71.27"/>
    <n v="71.27"/>
    <n v="71.27"/>
    <n v="71.27"/>
    <n v="71.27"/>
    <n v="71.27"/>
    <n v="71.27"/>
  </r>
  <r>
    <s v="main"/>
    <x v="10"/>
    <n v="0"/>
    <n v="0"/>
    <n v="0"/>
    <n v="268.07"/>
    <n v="268.07"/>
    <n v="268.07"/>
    <n v="268.07"/>
    <n v="268.07"/>
    <n v="268.07"/>
    <n v="268.07"/>
    <n v="268.07"/>
    <n v="268.07"/>
    <n v="268.07"/>
    <n v="268.07"/>
    <n v="268.07"/>
    <n v="268.07"/>
    <n v="268.07"/>
  </r>
  <r>
    <s v="main"/>
    <x v="10"/>
    <n v="0"/>
    <n v="0"/>
    <n v="0"/>
    <n v="137.82249999999999"/>
    <n v="137.82249999999999"/>
    <n v="137.82249999999999"/>
    <n v="137.82249999999999"/>
    <n v="275.64499999999998"/>
    <n v="275.64499999999998"/>
    <n v="275.64499999999998"/>
    <n v="275.64499999999998"/>
    <n v="551.29"/>
    <n v="551.29"/>
    <n v="551.29"/>
    <n v="551.29"/>
    <n v="551.29"/>
    <n v="551.29"/>
  </r>
  <r>
    <s v="main"/>
    <x v="10"/>
    <n v="0"/>
    <n v="0"/>
    <n v="0"/>
    <n v="0"/>
    <n v="0"/>
    <n v="0"/>
    <n v="0"/>
    <n v="0"/>
    <n v="0"/>
    <n v="0"/>
    <n v="0"/>
    <n v="0"/>
    <n v="0"/>
    <n v="0"/>
    <n v="103.36"/>
    <n v="103.36"/>
    <n v="103.36"/>
  </r>
  <r>
    <s v="main"/>
    <x v="10"/>
    <n v="0"/>
    <n v="0"/>
    <n v="0"/>
    <n v="113.2"/>
    <n v="113.2"/>
    <n v="113.2"/>
    <n v="113.2"/>
    <n v="113.2"/>
    <n v="113.2"/>
    <n v="113.2"/>
    <n v="113.2"/>
    <n v="113.2"/>
    <n v="113.2"/>
    <n v="113.2"/>
    <n v="113.2"/>
    <n v="113.2"/>
    <n v="113.2"/>
  </r>
  <r>
    <s v="main"/>
    <x v="10"/>
    <n v="0"/>
    <n v="0"/>
    <n v="0"/>
    <n v="0"/>
    <n v="0"/>
    <n v="0"/>
    <n v="0"/>
    <n v="0"/>
    <n v="0"/>
    <n v="402.67"/>
    <n v="402.67"/>
    <n v="402.67"/>
    <n v="402.67"/>
    <n v="402.67"/>
    <n v="402.67"/>
    <n v="402.67"/>
    <n v="402.67"/>
  </r>
  <r>
    <s v="main"/>
    <x v="10"/>
    <n v="0"/>
    <n v="0"/>
    <n v="0"/>
    <n v="166.17"/>
    <n v="166.17"/>
    <n v="166.17"/>
    <n v="166.17"/>
    <n v="166.17"/>
    <n v="166.17"/>
    <n v="166.17"/>
    <n v="166.17"/>
    <n v="166.17"/>
    <n v="166.17"/>
    <n v="166.17"/>
    <n v="166.17"/>
    <n v="166.17"/>
    <n v="166.17"/>
  </r>
  <r>
    <s v="main"/>
    <x v="10"/>
    <n v="0"/>
    <n v="0"/>
    <n v="0"/>
    <n v="457.2"/>
    <n v="457.2"/>
    <n v="457.2"/>
    <n v="457.2"/>
    <n v="457.2"/>
    <n v="457.2"/>
    <n v="457.2"/>
    <n v="457.2"/>
    <n v="457.2"/>
    <n v="457.2"/>
    <n v="457.2"/>
    <n v="457.2"/>
    <n v="457.2"/>
    <n v="457.2"/>
  </r>
  <r>
    <s v="main"/>
    <x v="10"/>
    <n v="0"/>
    <n v="0"/>
    <n v="0"/>
    <n v="54.45"/>
    <n v="54.45"/>
    <n v="54.45"/>
    <n v="54.45"/>
    <n v="54.45"/>
    <n v="54.45"/>
    <n v="54.45"/>
    <n v="54.45"/>
    <n v="54.45"/>
    <n v="54.45"/>
    <n v="54.45"/>
    <n v="54.45"/>
    <n v="54.45"/>
    <n v="54.45"/>
  </r>
  <r>
    <s v="main"/>
    <x v="10"/>
    <n v="0"/>
    <n v="0"/>
    <n v="0"/>
    <n v="492.67"/>
    <n v="492.67"/>
    <n v="492.67"/>
    <n v="492.67"/>
    <n v="492.67"/>
    <n v="492.67"/>
    <n v="492.67"/>
    <n v="492.67"/>
    <n v="492.67"/>
    <n v="492.67"/>
    <n v="492.67"/>
    <n v="492.67"/>
    <n v="492.67"/>
    <n v="492.67"/>
  </r>
  <r>
    <s v="main"/>
    <x v="11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11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1"/>
    <n v="0"/>
    <n v="0"/>
    <n v="0"/>
    <n v="0"/>
    <n v="0"/>
    <n v="0"/>
    <n v="0"/>
    <n v="0"/>
    <n v="0"/>
    <n v="0"/>
    <n v="0"/>
    <n v="49.45"/>
    <n v="49.45"/>
    <n v="49.45"/>
    <n v="49.45"/>
    <n v="49.45"/>
    <n v="49.45"/>
  </r>
  <r>
    <s v="main"/>
    <x v="11"/>
    <n v="0"/>
    <n v="0"/>
    <n v="0"/>
    <n v="367.04"/>
    <n v="367.04"/>
    <n v="367.04"/>
    <n v="367.04"/>
    <n v="367.04"/>
    <n v="367.04"/>
    <n v="367.04"/>
    <n v="367.04"/>
    <n v="367.04"/>
    <n v="367.04"/>
    <n v="367.04"/>
    <n v="367.04"/>
    <n v="367.04"/>
    <n v="367.04"/>
  </r>
  <r>
    <s v="main"/>
    <x v="11"/>
    <n v="0"/>
    <n v="0"/>
    <n v="0"/>
    <n v="0"/>
    <n v="0"/>
    <n v="0"/>
    <n v="0"/>
    <n v="0"/>
    <n v="0"/>
    <n v="0"/>
    <n v="0"/>
    <n v="0"/>
    <n v="0"/>
    <n v="0"/>
    <n v="107.05"/>
    <n v="107.05"/>
    <n v="107.05"/>
  </r>
  <r>
    <s v="main"/>
    <x v="11"/>
    <n v="0"/>
    <n v="0"/>
    <n v="0"/>
    <n v="0"/>
    <n v="208.16"/>
    <n v="208.16"/>
    <n v="208.16"/>
    <n v="208.16"/>
    <n v="208.16"/>
    <n v="208.16"/>
    <n v="208.16"/>
    <n v="208.16"/>
    <n v="208.16"/>
    <n v="208.16"/>
    <n v="208.16"/>
    <n v="208.16"/>
    <n v="208.16"/>
  </r>
  <r>
    <s v="main"/>
    <x v="11"/>
    <n v="0"/>
    <n v="0"/>
    <n v="0"/>
    <n v="39.93"/>
    <n v="39.93"/>
    <n v="39.93"/>
    <n v="39.93"/>
    <n v="39.93"/>
    <n v="79.86"/>
    <n v="79.86"/>
    <n v="79.86"/>
    <n v="159.72"/>
    <n v="159.72"/>
    <n v="159.72"/>
    <n v="159.72"/>
    <n v="159.72"/>
    <n v="159.72"/>
  </r>
  <r>
    <s v="main"/>
    <x v="11"/>
    <n v="0"/>
    <n v="0"/>
    <n v="0"/>
    <n v="356.83"/>
    <n v="356.83"/>
    <n v="356.83"/>
    <n v="356.83"/>
    <n v="713.66"/>
    <n v="713.66"/>
    <n v="713.66"/>
    <n v="713.66"/>
    <n v="1427.32"/>
    <n v="1427.32"/>
    <n v="1427.32"/>
    <n v="1427.32"/>
    <n v="1427.32"/>
    <n v="1427.32"/>
  </r>
  <r>
    <s v="main"/>
    <x v="11"/>
    <n v="0"/>
    <n v="0"/>
    <n v="0"/>
    <n v="0"/>
    <n v="0"/>
    <n v="0"/>
    <n v="0"/>
    <n v="0"/>
    <n v="0"/>
    <n v="0"/>
    <n v="0"/>
    <n v="49.08"/>
    <n v="49.08"/>
    <n v="49.08"/>
    <n v="49.08"/>
    <n v="49.08"/>
    <n v="49.08"/>
  </r>
  <r>
    <s v="main"/>
    <x v="11"/>
    <n v="0"/>
    <n v="0"/>
    <n v="0"/>
    <n v="0"/>
    <n v="0"/>
    <n v="0"/>
    <n v="0"/>
    <n v="0"/>
    <n v="0"/>
    <n v="0"/>
    <n v="0"/>
    <n v="378.51"/>
    <n v="378.51"/>
    <n v="378.51"/>
    <n v="378.51"/>
    <n v="378.51"/>
    <n v="378.51"/>
  </r>
  <r>
    <s v="main"/>
    <x v="11"/>
    <n v="0"/>
    <n v="0"/>
    <n v="0"/>
    <n v="71.27"/>
    <n v="71.27"/>
    <n v="71.27"/>
    <n v="71.27"/>
    <n v="71.27"/>
    <n v="71.27"/>
    <n v="71.27"/>
    <n v="71.27"/>
    <n v="71.27"/>
    <n v="71.27"/>
    <n v="71.27"/>
    <n v="71.27"/>
    <n v="71.27"/>
    <n v="71.27"/>
  </r>
  <r>
    <s v="main"/>
    <x v="11"/>
    <n v="0"/>
    <n v="0"/>
    <n v="0"/>
    <n v="268.07"/>
    <n v="268.07"/>
    <n v="268.07"/>
    <n v="268.07"/>
    <n v="268.07"/>
    <n v="268.07"/>
    <n v="268.07"/>
    <n v="268.07"/>
    <n v="268.07"/>
    <n v="268.07"/>
    <n v="268.07"/>
    <n v="268.07"/>
    <n v="268.07"/>
    <n v="268.07"/>
  </r>
  <r>
    <s v="main"/>
    <x v="11"/>
    <n v="0"/>
    <n v="0"/>
    <n v="0"/>
    <n v="137.82249999999999"/>
    <n v="137.82249999999999"/>
    <n v="137.82249999999999"/>
    <n v="137.82249999999999"/>
    <n v="275.64499999999998"/>
    <n v="275.64499999999998"/>
    <n v="275.64499999999998"/>
    <n v="275.64499999999998"/>
    <n v="551.29"/>
    <n v="551.29"/>
    <n v="551.29"/>
    <n v="551.29"/>
    <n v="551.29"/>
    <n v="551.29"/>
  </r>
  <r>
    <s v="main"/>
    <x v="11"/>
    <n v="0"/>
    <n v="0"/>
    <n v="0"/>
    <n v="0"/>
    <n v="0"/>
    <n v="0"/>
    <n v="0"/>
    <n v="0"/>
    <n v="0"/>
    <n v="0"/>
    <n v="0"/>
    <n v="0"/>
    <n v="0"/>
    <n v="0"/>
    <n v="103.36"/>
    <n v="103.36"/>
    <n v="103.36"/>
  </r>
  <r>
    <s v="main"/>
    <x v="11"/>
    <n v="0"/>
    <n v="0"/>
    <n v="0"/>
    <n v="113.2"/>
    <n v="113.2"/>
    <n v="113.2"/>
    <n v="113.2"/>
    <n v="113.2"/>
    <n v="113.2"/>
    <n v="113.2"/>
    <n v="113.2"/>
    <n v="113.2"/>
    <n v="113.2"/>
    <n v="113.2"/>
    <n v="113.2"/>
    <n v="113.2"/>
    <n v="113.2"/>
  </r>
  <r>
    <s v="main"/>
    <x v="11"/>
    <n v="0"/>
    <n v="0"/>
    <n v="0"/>
    <n v="0"/>
    <n v="0"/>
    <n v="0"/>
    <n v="0"/>
    <n v="0"/>
    <n v="0"/>
    <n v="402.67"/>
    <n v="402.67"/>
    <n v="402.67"/>
    <n v="402.67"/>
    <n v="402.67"/>
    <n v="402.67"/>
    <n v="402.67"/>
    <n v="402.67"/>
  </r>
  <r>
    <s v="main"/>
    <x v="11"/>
    <n v="0"/>
    <n v="0"/>
    <n v="0"/>
    <n v="166.17"/>
    <n v="166.17"/>
    <n v="166.17"/>
    <n v="166.17"/>
    <n v="166.17"/>
    <n v="166.17"/>
    <n v="166.17"/>
    <n v="166.17"/>
    <n v="166.17"/>
    <n v="166.17"/>
    <n v="166.17"/>
    <n v="166.17"/>
    <n v="166.17"/>
    <n v="166.17"/>
  </r>
  <r>
    <s v="main"/>
    <x v="11"/>
    <n v="0"/>
    <n v="0"/>
    <n v="0"/>
    <n v="457.2"/>
    <n v="457.2"/>
    <n v="457.2"/>
    <n v="457.2"/>
    <n v="457.2"/>
    <n v="457.2"/>
    <n v="457.2"/>
    <n v="457.2"/>
    <n v="457.2"/>
    <n v="457.2"/>
    <n v="457.2"/>
    <n v="457.2"/>
    <n v="457.2"/>
    <n v="457.2"/>
  </r>
  <r>
    <s v="main"/>
    <x v="11"/>
    <n v="0"/>
    <n v="0"/>
    <n v="0"/>
    <n v="54.45"/>
    <n v="54.45"/>
    <n v="54.45"/>
    <n v="54.45"/>
    <n v="54.45"/>
    <n v="54.45"/>
    <n v="54.45"/>
    <n v="54.45"/>
    <n v="54.45"/>
    <n v="54.45"/>
    <n v="54.45"/>
    <n v="54.45"/>
    <n v="54.45"/>
    <n v="54.45"/>
  </r>
  <r>
    <s v="main"/>
    <x v="11"/>
    <n v="0"/>
    <n v="0"/>
    <n v="0"/>
    <n v="492.67"/>
    <n v="492.67"/>
    <n v="492.67"/>
    <n v="492.67"/>
    <n v="492.67"/>
    <n v="492.67"/>
    <n v="492.67"/>
    <n v="492.67"/>
    <n v="492.67"/>
    <n v="492.67"/>
    <n v="492.67"/>
    <n v="492.67"/>
    <n v="492.67"/>
    <n v="492.67"/>
  </r>
  <r>
    <s v="main"/>
    <x v="9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s v="main"/>
    <x v="9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9"/>
    <n v="0"/>
    <n v="0"/>
    <n v="0"/>
    <n v="0"/>
    <n v="0"/>
    <n v="0"/>
    <n v="0"/>
    <n v="0"/>
    <n v="0"/>
    <n v="0"/>
    <n v="0"/>
    <n v="84.03"/>
    <n v="84.03"/>
    <n v="84.03"/>
    <n v="84.03"/>
    <n v="84.03"/>
    <n v="84.03"/>
  </r>
  <r>
    <s v="main"/>
    <x v="9"/>
    <n v="0"/>
    <n v="0"/>
    <n v="0"/>
    <n v="623.64"/>
    <n v="623.64"/>
    <n v="623.64"/>
    <n v="623.64"/>
    <n v="623.64"/>
    <n v="623.64"/>
    <n v="623.64"/>
    <n v="623.64"/>
    <n v="623.64"/>
    <n v="623.64"/>
    <n v="623.64"/>
    <n v="623.64"/>
    <n v="623.64"/>
    <n v="623.64"/>
  </r>
  <r>
    <s v="main"/>
    <x v="9"/>
    <n v="0"/>
    <n v="0"/>
    <n v="0"/>
    <n v="0"/>
    <n v="0"/>
    <n v="0"/>
    <n v="0"/>
    <n v="0"/>
    <n v="0"/>
    <n v="0"/>
    <n v="0"/>
    <n v="0"/>
    <n v="0"/>
    <n v="0"/>
    <n v="181.9"/>
    <n v="181.9"/>
    <n v="181.9"/>
  </r>
  <r>
    <s v="main"/>
    <x v="9"/>
    <n v="0"/>
    <n v="0"/>
    <n v="0"/>
    <n v="0"/>
    <n v="353.68"/>
    <n v="353.68"/>
    <n v="353.68"/>
    <n v="353.68"/>
    <n v="353.68"/>
    <n v="353.68"/>
    <n v="353.68"/>
    <n v="353.68"/>
    <n v="353.68"/>
    <n v="353.68"/>
    <n v="353.68"/>
    <n v="353.68"/>
    <n v="353.68"/>
  </r>
  <r>
    <s v="main"/>
    <x v="9"/>
    <n v="0"/>
    <n v="0"/>
    <n v="0"/>
    <n v="67.849999999999994"/>
    <n v="67.849999999999994"/>
    <n v="67.849999999999994"/>
    <n v="67.849999999999994"/>
    <n v="67.849999999999994"/>
    <n v="135.69999999999999"/>
    <n v="135.69999999999999"/>
    <n v="135.69999999999999"/>
    <n v="271.39999999999998"/>
    <n v="271.39999999999998"/>
    <n v="271.39999999999998"/>
    <n v="271.39999999999998"/>
    <n v="271.39999999999998"/>
    <n v="271.39999999999998"/>
  </r>
  <r>
    <s v="main"/>
    <x v="9"/>
    <n v="0"/>
    <n v="0"/>
    <n v="0"/>
    <n v="606.30999999999995"/>
    <n v="606.30999999999995"/>
    <n v="606.30999999999995"/>
    <n v="606.30999999999995"/>
    <n v="1212.6199999999999"/>
    <n v="1212.6199999999999"/>
    <n v="1212.6199999999999"/>
    <n v="1212.6199999999999"/>
    <n v="2425.2399999999998"/>
    <n v="2425.2399999999998"/>
    <n v="2425.2399999999998"/>
    <n v="2425.2399999999998"/>
    <n v="2425.2399999999998"/>
    <n v="2425.2399999999998"/>
  </r>
  <r>
    <s v="main"/>
    <x v="9"/>
    <n v="0"/>
    <n v="0"/>
    <n v="0"/>
    <n v="0"/>
    <n v="0"/>
    <n v="0"/>
    <n v="0"/>
    <n v="0"/>
    <n v="0"/>
    <n v="0"/>
    <n v="0"/>
    <n v="193.08"/>
    <n v="193.08"/>
    <n v="193.08"/>
    <n v="193.08"/>
    <n v="193.08"/>
    <n v="193.08"/>
  </r>
  <r>
    <s v="main"/>
    <x v="9"/>
    <n v="0"/>
    <n v="0"/>
    <n v="0"/>
    <n v="0"/>
    <n v="0"/>
    <n v="0"/>
    <n v="0"/>
    <n v="0"/>
    <n v="0"/>
    <n v="0"/>
    <n v="0"/>
    <n v="719.74"/>
    <n v="719.74"/>
    <n v="719.74"/>
    <n v="719.74"/>
    <n v="719.74"/>
    <n v="719.74"/>
  </r>
  <r>
    <s v="main"/>
    <x v="9"/>
    <n v="0"/>
    <n v="0"/>
    <n v="0"/>
    <n v="0"/>
    <n v="0"/>
    <n v="0"/>
    <n v="0"/>
    <n v="0"/>
    <n v="0"/>
    <n v="0"/>
    <n v="0"/>
    <n v="83.4"/>
    <n v="83.4"/>
    <n v="83.4"/>
    <n v="83.4"/>
    <n v="83.4"/>
    <n v="83.4"/>
  </r>
  <r>
    <s v="main"/>
    <x v="9"/>
    <n v="0"/>
    <n v="0"/>
    <n v="0"/>
    <n v="0"/>
    <n v="0"/>
    <n v="0"/>
    <n v="0"/>
    <n v="0"/>
    <n v="0"/>
    <n v="0"/>
    <n v="0"/>
    <n v="643.17999999999995"/>
    <n v="643.17999999999995"/>
    <n v="643.17999999999995"/>
    <n v="643.17999999999995"/>
    <n v="643.17999999999995"/>
    <n v="643.17999999999995"/>
  </r>
  <r>
    <s v="main"/>
    <x v="9"/>
    <n v="0"/>
    <n v="0"/>
    <n v="0"/>
    <n v="121.09"/>
    <n v="121.09"/>
    <n v="121.09"/>
    <n v="121.09"/>
    <n v="121.09"/>
    <n v="121.09"/>
    <n v="121.09"/>
    <n v="121.09"/>
    <n v="121.09"/>
    <n v="121.09"/>
    <n v="121.09"/>
    <n v="121.09"/>
    <n v="121.09"/>
    <n v="121.09"/>
  </r>
  <r>
    <s v="main"/>
    <x v="9"/>
    <n v="0"/>
    <n v="0"/>
    <n v="0"/>
    <n v="455.51"/>
    <n v="455.51"/>
    <n v="455.51"/>
    <n v="455.51"/>
    <n v="455.51"/>
    <n v="455.51"/>
    <n v="455.51"/>
    <n v="455.51"/>
    <n v="455.51"/>
    <n v="455.51"/>
    <n v="455.51"/>
    <n v="455.51"/>
    <n v="455.51"/>
    <n v="455.51"/>
  </r>
  <r>
    <s v="main"/>
    <x v="9"/>
    <n v="0"/>
    <n v="0"/>
    <n v="0"/>
    <n v="385.43"/>
    <n v="385.43"/>
    <n v="385.43"/>
    <n v="385.43"/>
    <n v="770.86"/>
    <n v="770.86"/>
    <n v="770.86"/>
    <n v="770.86"/>
    <n v="1541.72"/>
    <n v="1541.72"/>
    <n v="1541.72"/>
    <n v="1541.72"/>
    <n v="1541.72"/>
    <n v="1541.72"/>
  </r>
  <r>
    <s v="main"/>
    <x v="9"/>
    <n v="0"/>
    <n v="0"/>
    <n v="0"/>
    <n v="0"/>
    <n v="0"/>
    <n v="0"/>
    <n v="0"/>
    <n v="0"/>
    <n v="0"/>
    <n v="0"/>
    <n v="0"/>
    <n v="0"/>
    <n v="0"/>
    <n v="0"/>
    <n v="289.07"/>
    <n v="289.07"/>
    <n v="289.07"/>
  </r>
  <r>
    <s v="main"/>
    <x v="9"/>
    <n v="0"/>
    <n v="0"/>
    <n v="0"/>
    <n v="316.60000000000002"/>
    <n v="316.60000000000002"/>
    <n v="316.60000000000002"/>
    <n v="316.60000000000002"/>
    <n v="316.60000000000002"/>
    <n v="316.60000000000002"/>
    <n v="316.60000000000002"/>
    <n v="316.60000000000002"/>
    <n v="316.60000000000002"/>
    <n v="316.60000000000002"/>
    <n v="316.60000000000002"/>
    <n v="316.60000000000002"/>
    <n v="316.60000000000002"/>
    <n v="316.60000000000002"/>
  </r>
  <r>
    <s v="main"/>
    <x v="9"/>
    <n v="0"/>
    <n v="0"/>
    <n v="0"/>
    <n v="0"/>
    <n v="0"/>
    <n v="0"/>
    <n v="0"/>
    <n v="0"/>
    <n v="0"/>
    <n v="1125.95"/>
    <n v="1125.95"/>
    <n v="1125.95"/>
    <n v="1125.95"/>
    <n v="1125.95"/>
    <n v="1125.95"/>
    <n v="1125.95"/>
    <n v="1125.95"/>
  </r>
  <r>
    <s v="main"/>
    <x v="9"/>
    <n v="0"/>
    <n v="0"/>
    <n v="0"/>
    <n v="464.71"/>
    <n v="464.71"/>
    <n v="464.71"/>
    <n v="464.71"/>
    <n v="464.71"/>
    <n v="464.71"/>
    <n v="464.71"/>
    <n v="464.71"/>
    <n v="464.71"/>
    <n v="464.71"/>
    <n v="464.71"/>
    <n v="464.71"/>
    <n v="464.71"/>
    <n v="464.71"/>
  </r>
  <r>
    <s v="main"/>
    <x v="9"/>
    <n v="0"/>
    <n v="0"/>
    <n v="0"/>
    <n v="1278.57"/>
    <n v="1278.57"/>
    <n v="1278.57"/>
    <n v="1278.57"/>
    <n v="1278.57"/>
    <n v="1278.57"/>
    <n v="1278.57"/>
    <n v="1278.57"/>
    <n v="1278.57"/>
    <n v="1278.57"/>
    <n v="1278.57"/>
    <n v="1278.57"/>
    <n v="1278.57"/>
    <n v="1278.57"/>
  </r>
  <r>
    <s v="main"/>
    <x v="9"/>
    <n v="0"/>
    <n v="0"/>
    <n v="0"/>
    <n v="152.26"/>
    <n v="152.26"/>
    <n v="152.26"/>
    <n v="152.26"/>
    <n v="152.26"/>
    <n v="152.26"/>
    <n v="152.26"/>
    <n v="152.26"/>
    <n v="152.26"/>
    <n v="152.26"/>
    <n v="152.26"/>
    <n v="152.26"/>
    <n v="152.26"/>
    <n v="152.26"/>
  </r>
  <r>
    <s v="main"/>
    <x v="9"/>
    <n v="0"/>
    <n v="0"/>
    <n v="0"/>
    <n v="1377.74"/>
    <n v="1377.74"/>
    <n v="1377.74"/>
    <n v="1377.74"/>
    <n v="1377.74"/>
    <n v="1377.74"/>
    <n v="1377.74"/>
    <n v="1377.74"/>
    <n v="1377.74"/>
    <n v="1377.74"/>
    <n v="1377.74"/>
    <n v="1377.74"/>
    <n v="1377.74"/>
    <n v="1377.74"/>
  </r>
  <r>
    <s v="main"/>
    <x v="12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main"/>
    <x v="12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s v="main"/>
    <x v="12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2"/>
    <n v="0"/>
    <n v="0"/>
    <n v="0"/>
    <n v="0"/>
    <n v="0"/>
    <n v="0"/>
    <n v="0"/>
    <n v="0"/>
    <n v="0"/>
    <n v="0"/>
    <n v="0"/>
    <n v="46.94"/>
    <n v="46.94"/>
    <n v="46.94"/>
    <n v="46.94"/>
    <n v="46.94"/>
    <n v="46.94"/>
  </r>
  <r>
    <s v="main"/>
    <x v="12"/>
    <n v="0"/>
    <n v="0"/>
    <n v="0"/>
    <n v="348.36"/>
    <n v="348.36"/>
    <n v="348.36"/>
    <n v="348.36"/>
    <n v="348.36"/>
    <n v="348.36"/>
    <n v="348.36"/>
    <n v="348.36"/>
    <n v="348.36"/>
    <n v="348.36"/>
    <n v="348.36"/>
    <n v="348.36"/>
    <n v="348.36"/>
    <n v="348.36"/>
  </r>
  <r>
    <s v="main"/>
    <x v="12"/>
    <n v="0"/>
    <n v="0"/>
    <n v="0"/>
    <n v="0"/>
    <n v="0"/>
    <n v="0"/>
    <n v="0"/>
    <n v="0"/>
    <n v="0"/>
    <n v="0"/>
    <n v="0"/>
    <n v="0"/>
    <n v="0"/>
    <n v="0"/>
    <n v="101.61"/>
    <n v="101.61"/>
    <n v="101.61"/>
  </r>
  <r>
    <s v="main"/>
    <x v="12"/>
    <n v="0"/>
    <n v="0"/>
    <n v="0"/>
    <n v="0"/>
    <n v="197.56"/>
    <n v="197.56"/>
    <n v="197.56"/>
    <n v="197.56"/>
    <n v="197.56"/>
    <n v="197.56"/>
    <n v="197.56"/>
    <n v="197.56"/>
    <n v="197.56"/>
    <n v="197.56"/>
    <n v="197.56"/>
    <n v="197.56"/>
    <n v="197.56"/>
  </r>
  <r>
    <s v="main"/>
    <x v="12"/>
    <n v="0"/>
    <n v="0"/>
    <n v="0"/>
    <n v="37.9"/>
    <n v="37.9"/>
    <n v="37.9"/>
    <n v="37.9"/>
    <n v="37.9"/>
    <n v="75.8"/>
    <n v="75.8"/>
    <n v="75.8"/>
    <n v="151.6"/>
    <n v="151.6"/>
    <n v="151.6"/>
    <n v="151.6"/>
    <n v="151.6"/>
    <n v="151.6"/>
  </r>
  <r>
    <s v="main"/>
    <x v="12"/>
    <n v="0"/>
    <n v="0"/>
    <n v="0"/>
    <n v="338.69"/>
    <n v="338.69"/>
    <n v="338.69"/>
    <n v="338.69"/>
    <n v="677.38"/>
    <n v="677.38"/>
    <n v="677.38"/>
    <n v="677.38"/>
    <n v="1354.76"/>
    <n v="1354.76"/>
    <n v="1354.76"/>
    <n v="1354.76"/>
    <n v="1354.76"/>
    <n v="1354.76"/>
  </r>
  <r>
    <s v="main"/>
    <x v="12"/>
    <n v="0"/>
    <n v="0"/>
    <n v="0"/>
    <n v="0"/>
    <n v="0"/>
    <n v="0"/>
    <n v="0"/>
    <n v="0"/>
    <n v="0"/>
    <n v="0"/>
    <n v="0"/>
    <n v="46.58"/>
    <n v="46.58"/>
    <n v="46.58"/>
    <n v="46.58"/>
    <n v="46.58"/>
    <n v="46.58"/>
  </r>
  <r>
    <s v="main"/>
    <x v="12"/>
    <n v="0"/>
    <n v="0"/>
    <n v="0"/>
    <n v="0"/>
    <n v="0"/>
    <n v="0"/>
    <n v="0"/>
    <n v="0"/>
    <n v="0"/>
    <n v="0"/>
    <n v="0"/>
    <n v="359.27"/>
    <n v="359.27"/>
    <n v="359.27"/>
    <n v="359.27"/>
    <n v="359.27"/>
    <n v="359.27"/>
  </r>
  <r>
    <s v="main"/>
    <x v="12"/>
    <n v="0"/>
    <n v="0"/>
    <n v="0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</r>
  <r>
    <s v="main"/>
    <x v="12"/>
    <n v="0"/>
    <n v="0"/>
    <n v="0"/>
    <n v="254.43"/>
    <n v="254.43"/>
    <n v="254.43"/>
    <n v="254.43"/>
    <n v="254.43"/>
    <n v="254.43"/>
    <n v="254.43"/>
    <n v="254.43"/>
    <n v="254.43"/>
    <n v="254.43"/>
    <n v="254.43"/>
    <n v="254.43"/>
    <n v="254.43"/>
    <n v="254.43"/>
  </r>
  <r>
    <s v="main"/>
    <x v="12"/>
    <n v="0"/>
    <n v="0"/>
    <n v="0"/>
    <n v="58.232500000000002"/>
    <n v="58.232500000000002"/>
    <n v="58.232500000000002"/>
    <n v="58.232500000000002"/>
    <n v="116.465"/>
    <n v="116.465"/>
    <n v="116.465"/>
    <n v="116.465"/>
    <n v="232.93"/>
    <n v="232.93"/>
    <n v="232.93"/>
    <n v="232.93"/>
    <n v="232.93"/>
    <n v="232.93"/>
  </r>
  <r>
    <s v="main"/>
    <x v="12"/>
    <n v="0"/>
    <n v="0"/>
    <n v="0"/>
    <n v="0"/>
    <n v="0"/>
    <n v="0"/>
    <n v="0"/>
    <n v="0"/>
    <n v="0"/>
    <n v="0"/>
    <n v="0"/>
    <n v="0"/>
    <n v="0"/>
    <n v="0"/>
    <n v="43.68"/>
    <n v="43.68"/>
    <n v="43.68"/>
  </r>
  <r>
    <s v="main"/>
    <x v="12"/>
    <n v="0"/>
    <n v="0"/>
    <n v="0"/>
    <n v="47.84"/>
    <n v="47.84"/>
    <n v="47.84"/>
    <n v="47.84"/>
    <n v="47.84"/>
    <n v="47.84"/>
    <n v="47.84"/>
    <n v="47.84"/>
    <n v="47.84"/>
    <n v="47.84"/>
    <n v="47.84"/>
    <n v="47.84"/>
    <n v="47.84"/>
    <n v="47.84"/>
  </r>
  <r>
    <s v="main"/>
    <x v="12"/>
    <n v="0"/>
    <n v="0"/>
    <n v="0"/>
    <n v="0"/>
    <n v="0"/>
    <n v="0"/>
    <n v="0"/>
    <n v="0"/>
    <n v="0"/>
    <n v="240.47"/>
    <n v="240.47"/>
    <n v="240.47"/>
    <n v="240.47"/>
    <n v="240.47"/>
    <n v="240.47"/>
    <n v="240.47"/>
    <n v="240.47"/>
  </r>
  <r>
    <s v="main"/>
    <x v="12"/>
    <n v="0"/>
    <n v="0"/>
    <n v="0"/>
    <n v="99.27"/>
    <n v="99.27"/>
    <n v="99.27"/>
    <n v="99.27"/>
    <n v="99.27"/>
    <n v="99.27"/>
    <n v="99.27"/>
    <n v="99.27"/>
    <n v="99.27"/>
    <n v="99.27"/>
    <n v="99.27"/>
    <n v="99.27"/>
    <n v="99.27"/>
    <n v="99.27"/>
  </r>
  <r>
    <s v="main"/>
    <x v="12"/>
    <n v="0"/>
    <n v="0"/>
    <n v="0"/>
    <n v="273.14999999999998"/>
    <n v="273.14999999999998"/>
    <n v="273.14999999999998"/>
    <n v="273.14999999999998"/>
    <n v="273.14999999999998"/>
    <n v="273.14999999999998"/>
    <n v="273.14999999999998"/>
    <n v="273.14999999999998"/>
    <n v="273.14999999999998"/>
    <n v="273.14999999999998"/>
    <n v="273.14999999999998"/>
    <n v="273.14999999999998"/>
    <n v="273.14999999999998"/>
    <n v="273.14999999999998"/>
  </r>
  <r>
    <s v="main"/>
    <x v="12"/>
    <n v="0"/>
    <n v="0"/>
    <n v="0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</r>
  <r>
    <s v="main"/>
    <x v="12"/>
    <n v="0"/>
    <n v="0"/>
    <n v="0"/>
    <n v="294.27999999999997"/>
    <n v="294.27999999999997"/>
    <n v="294.27999999999997"/>
    <n v="294.27999999999997"/>
    <n v="294.27999999999997"/>
    <n v="294.27999999999997"/>
    <n v="294.27999999999997"/>
    <n v="294.27999999999997"/>
    <n v="294.27999999999997"/>
    <n v="294.27999999999997"/>
    <n v="294.27999999999997"/>
    <n v="294.27999999999997"/>
    <n v="294.27999999999997"/>
    <n v="294.27999999999997"/>
  </r>
  <r>
    <s v="main"/>
    <x v="13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13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3"/>
    <n v="0"/>
    <n v="0"/>
    <n v="0"/>
    <n v="0"/>
    <n v="0"/>
    <n v="0"/>
    <n v="0"/>
    <n v="0"/>
    <n v="0"/>
    <n v="0"/>
    <n v="0"/>
    <n v="74.19"/>
    <n v="74.19"/>
    <n v="74.19"/>
    <n v="74.19"/>
    <n v="74.19"/>
    <n v="74.19"/>
  </r>
  <r>
    <s v="main"/>
    <x v="13"/>
    <n v="0"/>
    <n v="0"/>
    <n v="0"/>
    <n v="550.54"/>
    <n v="550.54"/>
    <n v="550.54"/>
    <n v="550.54"/>
    <n v="550.54"/>
    <n v="550.54"/>
    <n v="550.54"/>
    <n v="550.54"/>
    <n v="550.54"/>
    <n v="550.54"/>
    <n v="550.54"/>
    <n v="550.54"/>
    <n v="550.54"/>
    <n v="550.54"/>
  </r>
  <r>
    <s v="main"/>
    <x v="13"/>
    <n v="0"/>
    <n v="0"/>
    <n v="0"/>
    <n v="0"/>
    <n v="0"/>
    <n v="0"/>
    <n v="0"/>
    <n v="0"/>
    <n v="0"/>
    <n v="0"/>
    <n v="0"/>
    <n v="0"/>
    <n v="0"/>
    <n v="0"/>
    <n v="160.57"/>
    <n v="160.57"/>
    <n v="160.57"/>
  </r>
  <r>
    <s v="main"/>
    <x v="13"/>
    <n v="0"/>
    <n v="0"/>
    <n v="0"/>
    <n v="0"/>
    <n v="312.23"/>
    <n v="312.23"/>
    <n v="312.23"/>
    <n v="312.23"/>
    <n v="312.23"/>
    <n v="312.23"/>
    <n v="312.23"/>
    <n v="312.23"/>
    <n v="312.23"/>
    <n v="312.23"/>
    <n v="312.23"/>
    <n v="312.23"/>
    <n v="312.23"/>
  </r>
  <r>
    <s v="main"/>
    <x v="13"/>
    <n v="0"/>
    <n v="0"/>
    <n v="0"/>
    <n v="59.9"/>
    <n v="59.9"/>
    <n v="59.9"/>
    <n v="59.9"/>
    <n v="59.9"/>
    <n v="119.8"/>
    <n v="119.8"/>
    <n v="119.8"/>
    <n v="239.6"/>
    <n v="239.6"/>
    <n v="239.6"/>
    <n v="239.6"/>
    <n v="239.6"/>
    <n v="239.6"/>
  </r>
  <r>
    <s v="main"/>
    <x v="13"/>
    <n v="0"/>
    <n v="0"/>
    <n v="0"/>
    <n v="535.25"/>
    <n v="535.25"/>
    <n v="535.25"/>
    <n v="535.25"/>
    <n v="1070.5"/>
    <n v="1070.5"/>
    <n v="1070.5"/>
    <n v="1070.5"/>
    <n v="2141"/>
    <n v="2141"/>
    <n v="2141"/>
    <n v="2141"/>
    <n v="2141"/>
    <n v="2141"/>
  </r>
  <r>
    <s v="main"/>
    <x v="13"/>
    <n v="0"/>
    <n v="0"/>
    <n v="0"/>
    <n v="0"/>
    <n v="0"/>
    <n v="0"/>
    <n v="0"/>
    <n v="0"/>
    <n v="0"/>
    <n v="0"/>
    <n v="0"/>
    <n v="73.64"/>
    <n v="73.64"/>
    <n v="73.64"/>
    <n v="73.64"/>
    <n v="73.64"/>
    <n v="73.64"/>
  </r>
  <r>
    <s v="main"/>
    <x v="13"/>
    <n v="0"/>
    <n v="0"/>
    <n v="0"/>
    <n v="0"/>
    <n v="0"/>
    <n v="0"/>
    <n v="0"/>
    <n v="0"/>
    <n v="0"/>
    <n v="0"/>
    <n v="0"/>
    <n v="567.82000000000005"/>
    <n v="567.82000000000005"/>
    <n v="567.82000000000005"/>
    <n v="567.82000000000005"/>
    <n v="567.82000000000005"/>
    <n v="567.82000000000005"/>
  </r>
  <r>
    <s v="main"/>
    <x v="13"/>
    <n v="0"/>
    <n v="0"/>
    <n v="0"/>
    <n v="0"/>
    <n v="1068.82"/>
    <n v="1068.82"/>
    <n v="1068.82"/>
    <n v="1068.82"/>
    <n v="1068.82"/>
    <n v="1068.82"/>
    <n v="1068.82"/>
    <n v="1068.82"/>
    <n v="1068.82"/>
    <n v="1068.82"/>
    <n v="1068.82"/>
    <n v="1068.82"/>
    <n v="1068.82"/>
  </r>
  <r>
    <s v="main"/>
    <x v="13"/>
    <n v="0"/>
    <n v="0"/>
    <n v="0"/>
    <n v="0"/>
    <n v="0"/>
    <n v="0"/>
    <n v="0"/>
    <n v="0"/>
    <n v="0"/>
    <n v="0"/>
    <n v="0"/>
    <n v="0"/>
    <n v="0"/>
    <n v="0"/>
    <n v="572.16"/>
    <n v="572.16"/>
    <n v="572.16"/>
  </r>
  <r>
    <s v="main"/>
    <x v="13"/>
    <n v="0"/>
    <n v="0"/>
    <n v="0"/>
    <n v="106.91"/>
    <n v="106.91"/>
    <n v="106.91"/>
    <n v="106.91"/>
    <n v="106.91"/>
    <n v="106.91"/>
    <n v="106.91"/>
    <n v="106.91"/>
    <n v="106.91"/>
    <n v="106.91"/>
    <n v="106.91"/>
    <n v="106.91"/>
    <n v="106.91"/>
    <n v="106.91"/>
  </r>
  <r>
    <s v="main"/>
    <x v="13"/>
    <n v="0"/>
    <n v="0"/>
    <n v="0"/>
    <n v="402.14"/>
    <n v="402.14"/>
    <n v="402.14"/>
    <n v="402.14"/>
    <n v="402.14"/>
    <n v="402.14"/>
    <n v="402.14"/>
    <n v="402.14"/>
    <n v="402.14"/>
    <n v="402.14"/>
    <n v="402.14"/>
    <n v="402.14"/>
    <n v="402.14"/>
    <n v="402.14"/>
  </r>
  <r>
    <s v="main"/>
    <x v="13"/>
    <n v="0"/>
    <n v="0"/>
    <n v="0"/>
    <n v="297.96499999999997"/>
    <n v="297.96499999999997"/>
    <n v="297.96499999999997"/>
    <n v="297.96499999999997"/>
    <n v="595.92999999999995"/>
    <n v="595.92999999999995"/>
    <n v="595.92999999999995"/>
    <n v="595.92999999999995"/>
    <n v="1191.8599999999999"/>
    <n v="1191.8599999999999"/>
    <n v="1191.8599999999999"/>
    <n v="1191.8599999999999"/>
    <n v="1191.8599999999999"/>
    <n v="1191.8599999999999"/>
  </r>
  <r>
    <s v="main"/>
    <x v="13"/>
    <n v="0"/>
    <n v="0"/>
    <n v="0"/>
    <n v="0"/>
    <n v="0"/>
    <n v="0"/>
    <n v="0"/>
    <n v="0"/>
    <n v="0"/>
    <n v="0"/>
    <n v="0"/>
    <n v="0"/>
    <n v="0"/>
    <n v="0"/>
    <n v="223.47"/>
    <n v="223.47"/>
    <n v="223.47"/>
  </r>
  <r>
    <s v="main"/>
    <x v="13"/>
    <n v="0"/>
    <n v="0"/>
    <n v="0"/>
    <n v="244.76"/>
    <n v="244.76"/>
    <n v="244.76"/>
    <n v="244.76"/>
    <n v="244.76"/>
    <n v="244.76"/>
    <n v="244.76"/>
    <n v="244.76"/>
    <n v="244.76"/>
    <n v="244.76"/>
    <n v="244.76"/>
    <n v="244.76"/>
    <n v="244.76"/>
    <n v="244.76"/>
  </r>
  <r>
    <s v="main"/>
    <x v="13"/>
    <n v="0"/>
    <n v="0"/>
    <n v="0"/>
    <n v="0"/>
    <n v="0"/>
    <n v="0"/>
    <n v="0"/>
    <n v="0"/>
    <n v="0"/>
    <n v="870.48"/>
    <n v="870.48"/>
    <n v="870.48"/>
    <n v="870.48"/>
    <n v="870.48"/>
    <n v="870.48"/>
    <n v="870.48"/>
    <n v="870.48"/>
  </r>
  <r>
    <s v="main"/>
    <x v="13"/>
    <n v="0"/>
    <n v="0"/>
    <n v="0"/>
    <n v="359.24"/>
    <n v="359.24"/>
    <n v="359.24"/>
    <n v="359.24"/>
    <n v="359.24"/>
    <n v="359.24"/>
    <n v="359.24"/>
    <n v="359.24"/>
    <n v="359.24"/>
    <n v="359.24"/>
    <n v="359.24"/>
    <n v="359.24"/>
    <n v="359.24"/>
    <n v="359.24"/>
  </r>
  <r>
    <s v="main"/>
    <x v="13"/>
    <n v="0"/>
    <n v="0"/>
    <n v="0"/>
    <n v="988.4"/>
    <n v="988.4"/>
    <n v="988.4"/>
    <n v="988.4"/>
    <n v="988.4"/>
    <n v="988.4"/>
    <n v="988.4"/>
    <n v="988.4"/>
    <n v="988.4"/>
    <n v="988.4"/>
    <n v="988.4"/>
    <n v="988.4"/>
    <n v="988.4"/>
    <n v="988.4"/>
  </r>
  <r>
    <s v="main"/>
    <x v="13"/>
    <n v="0"/>
    <n v="0"/>
    <n v="0"/>
    <n v="117.71"/>
    <n v="117.71"/>
    <n v="117.71"/>
    <n v="117.71"/>
    <n v="117.71"/>
    <n v="117.71"/>
    <n v="117.71"/>
    <n v="117.71"/>
    <n v="117.71"/>
    <n v="117.71"/>
    <n v="117.71"/>
    <n v="117.71"/>
    <n v="117.71"/>
    <n v="117.71"/>
  </r>
  <r>
    <s v="main"/>
    <x v="13"/>
    <n v="0"/>
    <n v="0"/>
    <n v="0"/>
    <n v="1065.19"/>
    <n v="1065.19"/>
    <n v="1065.19"/>
    <n v="1065.19"/>
    <n v="1065.19"/>
    <n v="1065.19"/>
    <n v="1065.19"/>
    <n v="1065.19"/>
    <n v="1065.19"/>
    <n v="1065.19"/>
    <n v="1065.19"/>
    <n v="1065.19"/>
    <n v="1065.19"/>
    <n v="1065.19"/>
  </r>
  <r>
    <s v="main"/>
    <x v="2"/>
    <n v="0"/>
    <n v="0"/>
    <n v="0"/>
    <n v="0"/>
    <n v="0"/>
    <n v="0"/>
    <n v="0"/>
    <n v="0"/>
    <n v="0"/>
    <n v="0"/>
    <n v="0"/>
    <n v="0"/>
    <n v="0"/>
    <n v="0"/>
    <n v="100.03"/>
    <n v="100.03"/>
    <n v="100.03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basement"/>
    <x v="11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basement"/>
    <x v="11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basement"/>
    <x v="11"/>
    <n v="0"/>
    <n v="0"/>
    <n v="0"/>
    <n v="0"/>
    <n v="0"/>
    <n v="0"/>
    <n v="0"/>
    <n v="0"/>
    <n v="0"/>
    <n v="0"/>
    <n v="0"/>
    <n v="49.45"/>
    <n v="49.45"/>
    <n v="49.45"/>
    <n v="49.45"/>
    <n v="49.45"/>
    <n v="49.45"/>
  </r>
  <r>
    <s v="basement"/>
    <x v="11"/>
    <n v="0"/>
    <n v="0"/>
    <n v="0"/>
    <n v="367.04"/>
    <n v="367.04"/>
    <n v="367.04"/>
    <n v="367.04"/>
    <n v="367.04"/>
    <n v="367.04"/>
    <n v="367.04"/>
    <n v="367.04"/>
    <n v="367.04"/>
    <n v="367.04"/>
    <n v="367.04"/>
    <n v="367.04"/>
    <n v="367.04"/>
    <n v="367.04"/>
  </r>
  <r>
    <s v="basement"/>
    <x v="11"/>
    <n v="0"/>
    <n v="0"/>
    <n v="0"/>
    <n v="0"/>
    <n v="0"/>
    <n v="0"/>
    <n v="0"/>
    <n v="0"/>
    <n v="0"/>
    <n v="0"/>
    <n v="0"/>
    <n v="0"/>
    <n v="0"/>
    <n v="0"/>
    <n v="107.05"/>
    <n v="107.05"/>
    <n v="107.05"/>
  </r>
  <r>
    <s v="basement"/>
    <x v="11"/>
    <n v="0"/>
    <n v="0"/>
    <n v="0"/>
    <n v="0"/>
    <n v="208.16"/>
    <n v="208.16"/>
    <n v="208.16"/>
    <n v="208.16"/>
    <n v="208.16"/>
    <n v="208.16"/>
    <n v="208.16"/>
    <n v="208.16"/>
    <n v="208.16"/>
    <n v="208.16"/>
    <n v="208.16"/>
    <n v="208.16"/>
    <n v="208.16"/>
  </r>
  <r>
    <s v="basement"/>
    <x v="11"/>
    <n v="0"/>
    <n v="0"/>
    <n v="0"/>
    <n v="39.93"/>
    <n v="39.93"/>
    <n v="39.93"/>
    <n v="39.93"/>
    <n v="39.93"/>
    <n v="79.86"/>
    <n v="79.86"/>
    <n v="79.86"/>
    <n v="159.72"/>
    <n v="159.72"/>
    <n v="159.72"/>
    <n v="159.72"/>
    <n v="159.72"/>
    <n v="159.72"/>
  </r>
  <r>
    <s v="basement"/>
    <x v="11"/>
    <n v="0"/>
    <n v="0"/>
    <n v="0"/>
    <n v="356.83"/>
    <n v="356.83"/>
    <n v="356.83"/>
    <n v="356.83"/>
    <n v="713.66"/>
    <n v="713.66"/>
    <n v="713.66"/>
    <n v="713.66"/>
    <n v="1427.32"/>
    <n v="1427.32"/>
    <n v="1427.32"/>
    <n v="1427.32"/>
    <n v="1427.32"/>
    <n v="1427.32"/>
  </r>
  <r>
    <s v="basement"/>
    <x v="11"/>
    <n v="0"/>
    <n v="0"/>
    <n v="0"/>
    <n v="0"/>
    <n v="0"/>
    <n v="0"/>
    <n v="0"/>
    <n v="0"/>
    <n v="0"/>
    <n v="0"/>
    <n v="0"/>
    <n v="49.08"/>
    <n v="49.08"/>
    <n v="49.08"/>
    <n v="49.08"/>
    <n v="49.08"/>
    <n v="49.08"/>
  </r>
  <r>
    <s v="basement"/>
    <x v="11"/>
    <n v="0"/>
    <n v="0"/>
    <n v="0"/>
    <n v="0"/>
    <n v="0"/>
    <n v="0"/>
    <n v="0"/>
    <n v="0"/>
    <n v="0"/>
    <n v="0"/>
    <n v="0"/>
    <n v="378.51"/>
    <n v="378.51"/>
    <n v="378.51"/>
    <n v="378.51"/>
    <n v="378.51"/>
    <n v="378.51"/>
  </r>
  <r>
    <s v="basement"/>
    <x v="11"/>
    <n v="0"/>
    <n v="0"/>
    <n v="0"/>
    <n v="71.27"/>
    <n v="71.27"/>
    <n v="71.27"/>
    <n v="71.27"/>
    <n v="71.27"/>
    <n v="71.27"/>
    <n v="71.27"/>
    <n v="71.27"/>
    <n v="71.27"/>
    <n v="71.27"/>
    <n v="71.27"/>
    <n v="71.27"/>
    <n v="71.27"/>
    <n v="71.27"/>
  </r>
  <r>
    <s v="basement"/>
    <x v="11"/>
    <n v="0"/>
    <n v="0"/>
    <n v="0"/>
    <n v="268.07"/>
    <n v="268.07"/>
    <n v="268.07"/>
    <n v="268.07"/>
    <n v="268.07"/>
    <n v="268.07"/>
    <n v="268.07"/>
    <n v="268.07"/>
    <n v="268.07"/>
    <n v="268.07"/>
    <n v="268.07"/>
    <n v="268.07"/>
    <n v="268.07"/>
    <n v="268.07"/>
  </r>
  <r>
    <s v="basement"/>
    <x v="11"/>
    <n v="0"/>
    <n v="0"/>
    <n v="0"/>
    <n v="97.465000000000003"/>
    <n v="97.465000000000003"/>
    <n v="97.465000000000003"/>
    <n v="97.465000000000003"/>
    <n v="194.93"/>
    <n v="194.93"/>
    <n v="194.93"/>
    <n v="194.93"/>
    <n v="389.86"/>
    <n v="389.86"/>
    <n v="389.86"/>
    <n v="389.86"/>
    <n v="389.86"/>
    <n v="389.86"/>
  </r>
  <r>
    <s v="basement"/>
    <x v="11"/>
    <n v="0"/>
    <n v="0"/>
    <n v="0"/>
    <n v="0"/>
    <n v="0"/>
    <n v="0"/>
    <n v="0"/>
    <n v="0"/>
    <n v="0"/>
    <n v="0"/>
    <n v="0"/>
    <n v="0"/>
    <n v="0"/>
    <n v="0"/>
    <n v="73.09"/>
    <n v="73.09"/>
    <n v="73.09"/>
  </r>
  <r>
    <s v="basement"/>
    <x v="11"/>
    <n v="0"/>
    <n v="0"/>
    <n v="0"/>
    <n v="80.06"/>
    <n v="80.06"/>
    <n v="80.06"/>
    <n v="80.06"/>
    <n v="80.06"/>
    <n v="80.06"/>
    <n v="80.06"/>
    <n v="80.06"/>
    <n v="80.06"/>
    <n v="80.06"/>
    <n v="80.06"/>
    <n v="80.06"/>
    <n v="80.06"/>
    <n v="80.06"/>
  </r>
  <r>
    <s v="basement"/>
    <x v="11"/>
    <n v="0"/>
    <n v="0"/>
    <n v="0"/>
    <n v="0"/>
    <n v="0"/>
    <n v="0"/>
    <n v="0"/>
    <n v="0"/>
    <n v="0"/>
    <n v="402.67"/>
    <n v="402.67"/>
    <n v="402.67"/>
    <n v="402.67"/>
    <n v="402.67"/>
    <n v="402.67"/>
    <n v="402.67"/>
    <n v="402.67"/>
  </r>
  <r>
    <s v="basement"/>
    <x v="11"/>
    <n v="0"/>
    <n v="0"/>
    <n v="0"/>
    <n v="166.17"/>
    <n v="166.17"/>
    <n v="166.17"/>
    <n v="166.17"/>
    <n v="166.17"/>
    <n v="166.17"/>
    <n v="166.17"/>
    <n v="166.17"/>
    <n v="166.17"/>
    <n v="166.17"/>
    <n v="166.17"/>
    <n v="166.17"/>
    <n v="166.17"/>
    <n v="166.17"/>
  </r>
  <r>
    <s v="basement"/>
    <x v="11"/>
    <n v="0"/>
    <n v="0"/>
    <n v="0"/>
    <n v="457.2"/>
    <n v="457.2"/>
    <n v="457.2"/>
    <n v="457.2"/>
    <n v="457.2"/>
    <n v="457.2"/>
    <n v="457.2"/>
    <n v="457.2"/>
    <n v="457.2"/>
    <n v="457.2"/>
    <n v="457.2"/>
    <n v="457.2"/>
    <n v="457.2"/>
    <n v="457.2"/>
  </r>
  <r>
    <s v="basement"/>
    <x v="11"/>
    <n v="0"/>
    <n v="0"/>
    <n v="0"/>
    <n v="54.45"/>
    <n v="54.45"/>
    <n v="54.45"/>
    <n v="54.45"/>
    <n v="54.45"/>
    <n v="54.45"/>
    <n v="54.45"/>
    <n v="54.45"/>
    <n v="54.45"/>
    <n v="54.45"/>
    <n v="54.45"/>
    <n v="54.45"/>
    <n v="54.45"/>
    <n v="54.45"/>
  </r>
  <r>
    <s v="basement"/>
    <x v="11"/>
    <n v="0"/>
    <n v="0"/>
    <n v="0"/>
    <n v="492.67"/>
    <n v="492.67"/>
    <n v="492.67"/>
    <n v="492.67"/>
    <n v="492.67"/>
    <n v="492.67"/>
    <n v="492.67"/>
    <n v="492.67"/>
    <n v="492.67"/>
    <n v="492.67"/>
    <n v="492.67"/>
    <n v="492.67"/>
    <n v="492.67"/>
    <n v="492.67"/>
  </r>
  <r>
    <s v="main"/>
    <x v="1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14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14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s v="main"/>
    <x v="14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s v="main"/>
    <x v="14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s v="main"/>
    <x v="14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s v="main"/>
    <x v="14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14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s v="main"/>
    <x v="14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main"/>
    <x v="14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main"/>
    <x v="14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s v="main"/>
    <x v="14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s v="main"/>
    <x v="14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14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s v="main"/>
    <x v="14"/>
    <n v="0"/>
    <n v="0"/>
    <n v="0"/>
    <n v="0"/>
    <n v="0"/>
    <n v="0"/>
    <n v="0"/>
    <n v="0"/>
    <n v="0"/>
    <n v="0"/>
    <n v="0"/>
    <n v="0"/>
    <n v="0"/>
    <n v="0"/>
    <n v="163.99"/>
    <n v="163.99"/>
    <n v="163.99"/>
  </r>
  <r>
    <s v="main"/>
    <x v="14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1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4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14"/>
    <n v="0"/>
    <n v="0"/>
    <n v="0"/>
    <n v="0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</r>
  <r>
    <s v="main"/>
    <x v="14"/>
    <n v="0"/>
    <n v="0"/>
    <n v="0"/>
    <n v="0"/>
    <n v="0"/>
    <n v="0"/>
    <n v="0"/>
    <n v="0"/>
    <n v="0"/>
    <n v="0"/>
    <n v="698.32"/>
    <n v="698.32"/>
    <n v="698.32"/>
    <n v="698.32"/>
    <n v="698.32"/>
    <n v="698.32"/>
    <n v="698.32"/>
  </r>
  <r>
    <s v="main"/>
    <x v="14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s v="main"/>
    <x v="14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main"/>
    <x v="14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main"/>
    <x v="14"/>
    <n v="0"/>
    <n v="0"/>
    <n v="0"/>
    <n v="0"/>
    <n v="0"/>
    <n v="0"/>
    <n v="0"/>
    <n v="0"/>
    <n v="0"/>
    <n v="0"/>
    <n v="0"/>
    <n v="487.96"/>
    <n v="487.96"/>
    <n v="487.96"/>
    <n v="487.96"/>
    <n v="487.96"/>
    <n v="487.96"/>
  </r>
  <r>
    <s v="main"/>
    <x v="14"/>
    <n v="0"/>
    <n v="0"/>
    <n v="0"/>
    <n v="0"/>
    <n v="0"/>
    <n v="0"/>
    <n v="0"/>
    <n v="0"/>
    <n v="0"/>
    <n v="0"/>
    <n v="0"/>
    <n v="24.74"/>
    <n v="24.74"/>
    <n v="24.74"/>
    <n v="24.74"/>
    <n v="24.74"/>
    <n v="24.74"/>
  </r>
  <r>
    <s v="main"/>
    <x v="14"/>
    <n v="0"/>
    <n v="0"/>
    <n v="0"/>
    <n v="183.51"/>
    <n v="183.51"/>
    <n v="183.51"/>
    <n v="183.51"/>
    <n v="183.51"/>
    <n v="183.51"/>
    <n v="183.51"/>
    <n v="183.51"/>
    <n v="183.51"/>
    <n v="183.51"/>
    <n v="183.51"/>
    <n v="183.51"/>
    <n v="183.51"/>
    <n v="183.51"/>
  </r>
  <r>
    <s v="main"/>
    <x v="14"/>
    <n v="0"/>
    <n v="0"/>
    <n v="0"/>
    <n v="0"/>
    <n v="0"/>
    <n v="0"/>
    <n v="0"/>
    <n v="0"/>
    <n v="0"/>
    <n v="0"/>
    <n v="0"/>
    <n v="0"/>
    <n v="0"/>
    <n v="0"/>
    <n v="53.52"/>
    <n v="53.52"/>
    <n v="53.52"/>
  </r>
  <r>
    <s v="main"/>
    <x v="14"/>
    <n v="0"/>
    <n v="0"/>
    <n v="0"/>
    <n v="0"/>
    <n v="104.07"/>
    <n v="104.07"/>
    <n v="104.07"/>
    <n v="104.07"/>
    <n v="104.07"/>
    <n v="104.07"/>
    <n v="104.07"/>
    <n v="104.07"/>
    <n v="104.07"/>
    <n v="104.07"/>
    <n v="104.07"/>
    <n v="104.07"/>
    <n v="104.07"/>
  </r>
  <r>
    <s v="main"/>
    <x v="14"/>
    <n v="0"/>
    <n v="0"/>
    <n v="0"/>
    <n v="19.967500000000001"/>
    <n v="19.967500000000001"/>
    <n v="19.967500000000001"/>
    <n v="19.967500000000001"/>
    <n v="19.967500000000001"/>
    <n v="39.935000000000002"/>
    <n v="39.935000000000002"/>
    <n v="39.935000000000002"/>
    <n v="79.87"/>
    <n v="79.87"/>
    <n v="79.87"/>
    <n v="79.87"/>
    <n v="79.87"/>
    <n v="79.87"/>
  </r>
  <r>
    <s v="main"/>
    <x v="14"/>
    <n v="0"/>
    <n v="0"/>
    <n v="0"/>
    <n v="178.41499999999999"/>
    <n v="178.41499999999999"/>
    <n v="178.41499999999999"/>
    <n v="178.41499999999999"/>
    <n v="356.83"/>
    <n v="356.83"/>
    <n v="356.83"/>
    <n v="356.83"/>
    <n v="713.66"/>
    <n v="713.66"/>
    <n v="713.66"/>
    <n v="713.66"/>
    <n v="713.66"/>
    <n v="713.66"/>
  </r>
  <r>
    <s v="main"/>
    <x v="14"/>
    <n v="0"/>
    <n v="0"/>
    <n v="0"/>
    <n v="35.64"/>
    <n v="35.64"/>
    <n v="35.64"/>
    <n v="35.64"/>
    <n v="35.64"/>
    <n v="35.64"/>
    <n v="35.64"/>
    <n v="35.64"/>
    <n v="35.64"/>
    <n v="35.64"/>
    <n v="35.64"/>
    <n v="35.64"/>
    <n v="35.64"/>
    <n v="35.64"/>
  </r>
  <r>
    <s v="main"/>
    <x v="14"/>
    <n v="0"/>
    <n v="0"/>
    <n v="0"/>
    <n v="134.07"/>
    <n v="134.07"/>
    <n v="134.07"/>
    <n v="134.07"/>
    <n v="134.07"/>
    <n v="134.07"/>
    <n v="134.07"/>
    <n v="134.07"/>
    <n v="134.07"/>
    <n v="134.07"/>
    <n v="134.07"/>
    <n v="134.07"/>
    <n v="134.07"/>
    <n v="134.07"/>
  </r>
  <r>
    <s v="main"/>
    <x v="14"/>
    <n v="0"/>
    <n v="0"/>
    <n v="0"/>
    <n v="24.362500000000001"/>
    <n v="24.362500000000001"/>
    <n v="24.362500000000001"/>
    <n v="24.362500000000001"/>
    <n v="48.725000000000001"/>
    <n v="48.725000000000001"/>
    <n v="48.725000000000001"/>
    <n v="48.725000000000001"/>
    <n v="97.45"/>
    <n v="97.45"/>
    <n v="97.45"/>
    <n v="97.45"/>
    <n v="97.45"/>
    <n v="97.45"/>
  </r>
  <r>
    <s v="main"/>
    <x v="14"/>
    <n v="0"/>
    <n v="0"/>
    <n v="0"/>
    <n v="0"/>
    <n v="0"/>
    <n v="0"/>
    <n v="0"/>
    <n v="0"/>
    <n v="0"/>
    <n v="0"/>
    <n v="0"/>
    <n v="0"/>
    <n v="0"/>
    <n v="0"/>
    <n v="18.27"/>
    <n v="18.27"/>
    <n v="18.27"/>
  </r>
  <r>
    <s v="main"/>
    <x v="14"/>
    <n v="0"/>
    <n v="0"/>
    <n v="0"/>
    <n v="20.02"/>
    <n v="20.02"/>
    <n v="20.02"/>
    <n v="20.02"/>
    <n v="20.02"/>
    <n v="20.02"/>
    <n v="20.02"/>
    <n v="20.02"/>
    <n v="20.02"/>
    <n v="20.02"/>
    <n v="20.02"/>
    <n v="20.02"/>
    <n v="20.02"/>
    <n v="20.02"/>
  </r>
  <r>
    <s v="main"/>
    <x v="14"/>
    <n v="0"/>
    <n v="0"/>
    <n v="0"/>
    <n v="0"/>
    <n v="0"/>
    <n v="0"/>
    <n v="0"/>
    <n v="0"/>
    <n v="0"/>
    <n v="100.56"/>
    <n v="100.56"/>
    <n v="100.56"/>
    <n v="100.56"/>
    <n v="100.56"/>
    <n v="100.56"/>
    <n v="100.56"/>
    <n v="100.56"/>
  </r>
  <r>
    <s v="main"/>
    <x v="14"/>
    <n v="0"/>
    <n v="0"/>
    <n v="0"/>
    <n v="41.54"/>
    <n v="41.54"/>
    <n v="41.54"/>
    <n v="41.54"/>
    <n v="41.54"/>
    <n v="41.54"/>
    <n v="41.54"/>
    <n v="41.54"/>
    <n v="41.54"/>
    <n v="41.54"/>
    <n v="41.54"/>
    <n v="41.54"/>
    <n v="41.54"/>
    <n v="41.54"/>
  </r>
  <r>
    <s v="main"/>
    <x v="14"/>
    <n v="0"/>
    <n v="0"/>
    <n v="0"/>
    <n v="114.31"/>
    <n v="114.31"/>
    <n v="114.31"/>
    <n v="114.31"/>
    <n v="114.31"/>
    <n v="114.31"/>
    <n v="114.31"/>
    <n v="114.31"/>
    <n v="114.31"/>
    <n v="114.31"/>
    <n v="114.31"/>
    <n v="114.31"/>
    <n v="114.31"/>
    <n v="114.31"/>
  </r>
  <r>
    <s v="main"/>
    <x v="14"/>
    <n v="0"/>
    <n v="0"/>
    <n v="0"/>
    <n v="13.6"/>
    <n v="13.6"/>
    <n v="13.6"/>
    <n v="13.6"/>
    <n v="13.6"/>
    <n v="13.6"/>
    <n v="13.6"/>
    <n v="13.6"/>
    <n v="13.6"/>
    <n v="13.6"/>
    <n v="13.6"/>
    <n v="13.6"/>
    <n v="13.6"/>
    <n v="13.6"/>
  </r>
  <r>
    <s v="main"/>
    <x v="14"/>
    <n v="0"/>
    <n v="0"/>
    <n v="0"/>
    <n v="123.16"/>
    <n v="123.16"/>
    <n v="123.16"/>
    <n v="123.16"/>
    <n v="123.16"/>
    <n v="123.16"/>
    <n v="123.16"/>
    <n v="123.16"/>
    <n v="123.16"/>
    <n v="123.16"/>
    <n v="123.16"/>
    <n v="123.16"/>
    <n v="123.16"/>
    <n v="123.16"/>
  </r>
  <r>
    <s v="main"/>
    <x v="4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s v="main"/>
    <x v="4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4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4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4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main"/>
    <x v="4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4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4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4"/>
    <n v="0"/>
    <n v="0"/>
    <n v="0"/>
    <n v="0"/>
    <n v="0"/>
    <n v="0"/>
    <n v="0"/>
    <n v="0"/>
    <n v="0"/>
    <n v="0"/>
    <n v="0"/>
    <n v="0"/>
    <n v="1369.44"/>
    <n v="1369.44"/>
    <n v="1369.44"/>
    <n v="1369.44"/>
    <n v="1369.44"/>
  </r>
  <r>
    <s v="main"/>
    <x v="4"/>
    <n v="0"/>
    <n v="0"/>
    <n v="0"/>
    <n v="0"/>
    <n v="0"/>
    <n v="0"/>
    <n v="0"/>
    <n v="0"/>
    <n v="0"/>
    <n v="0"/>
    <n v="0"/>
    <n v="44.42"/>
    <n v="44.42"/>
    <n v="44.42"/>
    <n v="44.42"/>
    <n v="44.42"/>
    <n v="44.42"/>
  </r>
  <r>
    <s v="main"/>
    <x v="4"/>
    <n v="0"/>
    <n v="0"/>
    <n v="0"/>
    <n v="329.71"/>
    <n v="329.71"/>
    <n v="329.71"/>
    <n v="329.71"/>
    <n v="329.71"/>
    <n v="329.71"/>
    <n v="329.71"/>
    <n v="329.71"/>
    <n v="329.71"/>
    <n v="329.71"/>
    <n v="329.71"/>
    <n v="329.71"/>
    <n v="329.71"/>
    <n v="329.71"/>
  </r>
  <r>
    <s v="main"/>
    <x v="4"/>
    <n v="0"/>
    <n v="0"/>
    <n v="0"/>
    <n v="0"/>
    <n v="0"/>
    <n v="0"/>
    <n v="0"/>
    <n v="0"/>
    <n v="0"/>
    <n v="0"/>
    <n v="0"/>
    <n v="0"/>
    <n v="0"/>
    <n v="0"/>
    <n v="96.16"/>
    <n v="96.16"/>
    <n v="96.16"/>
  </r>
  <r>
    <s v="main"/>
    <x v="4"/>
    <n v="0"/>
    <n v="0"/>
    <n v="0"/>
    <n v="0"/>
    <n v="186.98"/>
    <n v="186.98"/>
    <n v="186.98"/>
    <n v="186.98"/>
    <n v="186.98"/>
    <n v="186.98"/>
    <n v="186.98"/>
    <n v="186.98"/>
    <n v="186.98"/>
    <n v="186.98"/>
    <n v="186.98"/>
    <n v="186.98"/>
    <n v="186.98"/>
  </r>
  <r>
    <s v="main"/>
    <x v="4"/>
    <n v="0"/>
    <n v="0"/>
    <n v="0"/>
    <n v="35.872500000000002"/>
    <n v="35.872500000000002"/>
    <n v="35.872500000000002"/>
    <n v="35.872500000000002"/>
    <n v="35.872500000000002"/>
    <n v="71.745000000000005"/>
    <n v="71.745000000000005"/>
    <n v="71.745000000000005"/>
    <n v="143.49"/>
    <n v="143.49"/>
    <n v="143.49"/>
    <n v="143.49"/>
    <n v="143.49"/>
    <n v="143.49"/>
  </r>
  <r>
    <s v="main"/>
    <x v="4"/>
    <n v="0"/>
    <n v="0"/>
    <n v="0"/>
    <n v="320.54500000000002"/>
    <n v="320.54500000000002"/>
    <n v="320.54500000000002"/>
    <n v="320.54500000000002"/>
    <n v="641.09"/>
    <n v="641.09"/>
    <n v="641.09"/>
    <n v="641.09"/>
    <n v="1282.18"/>
    <n v="1282.18"/>
    <n v="1282.18"/>
    <n v="1282.18"/>
    <n v="1282.18"/>
    <n v="1282.18"/>
  </r>
  <r>
    <s v="main"/>
    <x v="4"/>
    <n v="0"/>
    <n v="0"/>
    <n v="0"/>
    <n v="64.03"/>
    <n v="64.03"/>
    <n v="64.03"/>
    <n v="64.03"/>
    <n v="64.03"/>
    <n v="64.03"/>
    <n v="64.03"/>
    <n v="64.03"/>
    <n v="64.03"/>
    <n v="64.03"/>
    <n v="64.03"/>
    <n v="64.03"/>
    <n v="64.03"/>
    <n v="64.03"/>
  </r>
  <r>
    <s v="main"/>
    <x v="4"/>
    <n v="0"/>
    <n v="0"/>
    <n v="0"/>
    <n v="240.81"/>
    <n v="240.81"/>
    <n v="240.81"/>
    <n v="240.81"/>
    <n v="240.81"/>
    <n v="240.81"/>
    <n v="240.81"/>
    <n v="240.81"/>
    <n v="240.81"/>
    <n v="240.81"/>
    <n v="240.81"/>
    <n v="240.81"/>
    <n v="240.81"/>
    <n v="240.81"/>
  </r>
  <r>
    <s v="main"/>
    <x v="4"/>
    <n v="0"/>
    <n v="0"/>
    <n v="0"/>
    <n v="77.644999999999996"/>
    <n v="77.644999999999996"/>
    <n v="77.644999999999996"/>
    <n v="77.644999999999996"/>
    <n v="155.29"/>
    <n v="155.29"/>
    <n v="155.29"/>
    <n v="155.29"/>
    <n v="310.58"/>
    <n v="310.58"/>
    <n v="310.58"/>
    <n v="310.58"/>
    <n v="310.58"/>
    <n v="310.58"/>
  </r>
  <r>
    <s v="main"/>
    <x v="4"/>
    <n v="0"/>
    <n v="0"/>
    <n v="0"/>
    <n v="0"/>
    <n v="0"/>
    <n v="0"/>
    <n v="0"/>
    <n v="0"/>
    <n v="0"/>
    <n v="0"/>
    <n v="0"/>
    <n v="0"/>
    <n v="0"/>
    <n v="0"/>
    <n v="58.23"/>
    <n v="58.23"/>
    <n v="58.23"/>
  </r>
  <r>
    <s v="main"/>
    <x v="4"/>
    <n v="0"/>
    <n v="0"/>
    <n v="0"/>
    <n v="63.79"/>
    <n v="63.79"/>
    <n v="63.79"/>
    <n v="63.79"/>
    <n v="63.79"/>
    <n v="63.79"/>
    <n v="63.79"/>
    <n v="63.79"/>
    <n v="63.79"/>
    <n v="63.79"/>
    <n v="63.79"/>
    <n v="63.79"/>
    <n v="63.79"/>
    <n v="63.79"/>
  </r>
  <r>
    <s v="main"/>
    <x v="4"/>
    <n v="0"/>
    <n v="0"/>
    <n v="0"/>
    <n v="0"/>
    <n v="0"/>
    <n v="0"/>
    <n v="0"/>
    <n v="0"/>
    <n v="0"/>
    <n v="320.83999999999997"/>
    <n v="320.83999999999997"/>
    <n v="320.83999999999997"/>
    <n v="320.83999999999997"/>
    <n v="320.83999999999997"/>
    <n v="320.83999999999997"/>
    <n v="320.83999999999997"/>
    <n v="320.83999999999997"/>
  </r>
  <r>
    <s v="main"/>
    <x v="4"/>
    <n v="0"/>
    <n v="0"/>
    <n v="0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</r>
  <r>
    <s v="main"/>
    <x v="4"/>
    <n v="0"/>
    <n v="0"/>
    <n v="0"/>
    <n v="364.18"/>
    <n v="364.18"/>
    <n v="364.18"/>
    <n v="364.18"/>
    <n v="364.18"/>
    <n v="364.18"/>
    <n v="364.18"/>
    <n v="364.18"/>
    <n v="364.18"/>
    <n v="364.18"/>
    <n v="364.18"/>
    <n v="364.18"/>
    <n v="364.18"/>
    <n v="364.18"/>
  </r>
  <r>
    <s v="main"/>
    <x v="4"/>
    <n v="0"/>
    <n v="0"/>
    <n v="0"/>
    <n v="43.36"/>
    <n v="43.36"/>
    <n v="43.36"/>
    <n v="43.36"/>
    <n v="43.36"/>
    <n v="43.36"/>
    <n v="43.36"/>
    <n v="43.36"/>
    <n v="43.36"/>
    <n v="43.36"/>
    <n v="43.36"/>
    <n v="43.36"/>
    <n v="43.36"/>
    <n v="43.36"/>
  </r>
  <r>
    <s v="main"/>
    <x v="4"/>
    <n v="0"/>
    <n v="0"/>
    <n v="0"/>
    <n v="392.42"/>
    <n v="392.42"/>
    <n v="392.42"/>
    <n v="392.42"/>
    <n v="392.42"/>
    <n v="392.42"/>
    <n v="392.42"/>
    <n v="392.42"/>
    <n v="392.42"/>
    <n v="392.42"/>
    <n v="392.42"/>
    <n v="392.42"/>
    <n v="392.42"/>
    <n v="392.42"/>
  </r>
  <r>
    <s v="main"/>
    <x v="15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15"/>
    <n v="0"/>
    <n v="0"/>
    <n v="0"/>
    <n v="0"/>
    <n v="0"/>
    <n v="0"/>
    <n v="0"/>
    <n v="0"/>
    <n v="0"/>
    <n v="0"/>
    <n v="0"/>
    <n v="277.06"/>
    <n v="277.06"/>
    <n v="277.06"/>
    <n v="277.06"/>
    <n v="277.06"/>
    <n v="277.06"/>
  </r>
  <r>
    <s v="main"/>
    <x v="15"/>
    <n v="0"/>
    <n v="0"/>
    <n v="0"/>
    <n v="0"/>
    <n v="0"/>
    <n v="0"/>
    <n v="0"/>
    <n v="0"/>
    <n v="0"/>
    <n v="0"/>
    <n v="0"/>
    <n v="360.36"/>
    <n v="360.36"/>
    <n v="360.36"/>
    <n v="360.36"/>
    <n v="360.36"/>
    <n v="360.36"/>
  </r>
  <r>
    <s v="main"/>
    <x v="15"/>
    <n v="0"/>
    <n v="0"/>
    <n v="0"/>
    <n v="0"/>
    <n v="0"/>
    <n v="0"/>
    <n v="0"/>
    <n v="0"/>
    <n v="0"/>
    <n v="0"/>
    <n v="335.72"/>
    <n v="335.72"/>
    <n v="335.72"/>
    <n v="335.72"/>
    <n v="335.72"/>
    <n v="335.72"/>
    <n v="335.72"/>
  </r>
  <r>
    <s v="main"/>
    <x v="15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5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1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5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5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15"/>
    <n v="0"/>
    <n v="0"/>
    <n v="0"/>
    <n v="0"/>
    <n v="0"/>
    <n v="0"/>
    <n v="0"/>
    <n v="0"/>
    <n v="0"/>
    <n v="0"/>
    <n v="0"/>
    <n v="54.48"/>
    <n v="54.48"/>
    <n v="54.48"/>
    <n v="54.48"/>
    <n v="54.48"/>
    <n v="54.48"/>
  </r>
  <r>
    <s v="main"/>
    <x v="15"/>
    <n v="0"/>
    <n v="0"/>
    <n v="0"/>
    <n v="404.36"/>
    <n v="404.36"/>
    <n v="404.36"/>
    <n v="404.36"/>
    <n v="404.36"/>
    <n v="404.36"/>
    <n v="404.36"/>
    <n v="404.36"/>
    <n v="404.36"/>
    <n v="404.36"/>
    <n v="404.36"/>
    <n v="404.36"/>
    <n v="404.36"/>
    <n v="404.36"/>
  </r>
  <r>
    <s v="main"/>
    <x v="15"/>
    <n v="0"/>
    <n v="0"/>
    <n v="0"/>
    <n v="0"/>
    <n v="0"/>
    <n v="0"/>
    <n v="0"/>
    <n v="0"/>
    <n v="0"/>
    <n v="0"/>
    <n v="0"/>
    <n v="0"/>
    <n v="0"/>
    <n v="0"/>
    <n v="117.94"/>
    <n v="117.94"/>
    <n v="117.94"/>
  </r>
  <r>
    <s v="main"/>
    <x v="15"/>
    <n v="0"/>
    <n v="0"/>
    <n v="0"/>
    <n v="0"/>
    <n v="229.32"/>
    <n v="229.32"/>
    <n v="229.32"/>
    <n v="229.32"/>
    <n v="229.32"/>
    <n v="229.32"/>
    <n v="229.32"/>
    <n v="229.32"/>
    <n v="229.32"/>
    <n v="229.32"/>
    <n v="229.32"/>
    <n v="229.32"/>
    <n v="229.32"/>
  </r>
  <r>
    <s v="main"/>
    <x v="15"/>
    <n v="0"/>
    <n v="0"/>
    <n v="0"/>
    <n v="43.99"/>
    <n v="43.99"/>
    <n v="43.99"/>
    <n v="43.99"/>
    <n v="43.99"/>
    <n v="87.98"/>
    <n v="87.98"/>
    <n v="87.98"/>
    <n v="175.96"/>
    <n v="175.96"/>
    <n v="175.96"/>
    <n v="175.96"/>
    <n v="175.96"/>
    <n v="175.96"/>
  </r>
  <r>
    <s v="main"/>
    <x v="15"/>
    <n v="0"/>
    <n v="0"/>
    <n v="0"/>
    <n v="393.12"/>
    <n v="393.12"/>
    <n v="393.12"/>
    <n v="393.12"/>
    <n v="786.24"/>
    <n v="786.24"/>
    <n v="786.24"/>
    <n v="786.24"/>
    <n v="1572.48"/>
    <n v="1572.48"/>
    <n v="1572.48"/>
    <n v="1572.48"/>
    <n v="1572.48"/>
    <n v="1572.48"/>
  </r>
  <r>
    <s v="main"/>
    <x v="15"/>
    <n v="0"/>
    <n v="0"/>
    <n v="0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</r>
  <r>
    <s v="main"/>
    <x v="15"/>
    <n v="0"/>
    <n v="0"/>
    <n v="0"/>
    <n v="295.33"/>
    <n v="295.33"/>
    <n v="295.33"/>
    <n v="295.33"/>
    <n v="295.33"/>
    <n v="295.33"/>
    <n v="295.33"/>
    <n v="295.33"/>
    <n v="295.33"/>
    <n v="295.33"/>
    <n v="295.33"/>
    <n v="295.33"/>
    <n v="295.33"/>
    <n v="295.33"/>
  </r>
  <r>
    <s v="main"/>
    <x v="15"/>
    <n v="0"/>
    <n v="0"/>
    <n v="0"/>
    <n v="117.2925"/>
    <n v="117.2925"/>
    <n v="117.2925"/>
    <n v="117.2925"/>
    <n v="234.58500000000001"/>
    <n v="234.58500000000001"/>
    <n v="234.58500000000001"/>
    <n v="234.58500000000001"/>
    <n v="469.17"/>
    <n v="469.17"/>
    <n v="469.17"/>
    <n v="469.17"/>
    <n v="469.17"/>
    <n v="469.17"/>
  </r>
  <r>
    <s v="main"/>
    <x v="15"/>
    <n v="0"/>
    <n v="0"/>
    <n v="0"/>
    <n v="0"/>
    <n v="0"/>
    <n v="0"/>
    <n v="0"/>
    <n v="0"/>
    <n v="0"/>
    <n v="0"/>
    <n v="0"/>
    <n v="0"/>
    <n v="0"/>
    <n v="0"/>
    <n v="87.97"/>
    <n v="87.97"/>
    <n v="87.97"/>
  </r>
  <r>
    <s v="main"/>
    <x v="15"/>
    <n v="0"/>
    <n v="0"/>
    <n v="0"/>
    <n v="96.35"/>
    <n v="96.35"/>
    <n v="96.35"/>
    <n v="96.35"/>
    <n v="96.35"/>
    <n v="96.35"/>
    <n v="96.35"/>
    <n v="96.35"/>
    <n v="96.35"/>
    <n v="96.35"/>
    <n v="96.35"/>
    <n v="96.35"/>
    <n v="96.35"/>
    <n v="96.35"/>
  </r>
  <r>
    <s v="main"/>
    <x v="15"/>
    <n v="0"/>
    <n v="0"/>
    <n v="0"/>
    <n v="0"/>
    <n v="0"/>
    <n v="0"/>
    <n v="0"/>
    <n v="0"/>
    <n v="0"/>
    <n v="484.47"/>
    <n v="484.47"/>
    <n v="484.47"/>
    <n v="484.47"/>
    <n v="484.47"/>
    <n v="484.47"/>
    <n v="484.47"/>
    <n v="484.47"/>
  </r>
  <r>
    <s v="main"/>
    <x v="15"/>
    <n v="0"/>
    <n v="0"/>
    <n v="0"/>
    <n v="199.93"/>
    <n v="199.93"/>
    <n v="199.93"/>
    <n v="199.93"/>
    <n v="199.93"/>
    <n v="199.93"/>
    <n v="199.93"/>
    <n v="199.93"/>
    <n v="199.93"/>
    <n v="199.93"/>
    <n v="199.93"/>
    <n v="199.93"/>
    <n v="199.93"/>
    <n v="199.93"/>
  </r>
  <r>
    <s v="main"/>
    <x v="15"/>
    <n v="0"/>
    <n v="0"/>
    <n v="0"/>
    <n v="550.1"/>
    <n v="550.1"/>
    <n v="550.1"/>
    <n v="550.1"/>
    <n v="550.1"/>
    <n v="550.1"/>
    <n v="550.1"/>
    <n v="550.1"/>
    <n v="550.1"/>
    <n v="550.1"/>
    <n v="550.1"/>
    <n v="550.1"/>
    <n v="550.1"/>
    <n v="550.1"/>
  </r>
  <r>
    <s v="main"/>
    <x v="15"/>
    <n v="0"/>
    <n v="0"/>
    <n v="0"/>
    <n v="65.52"/>
    <n v="65.52"/>
    <n v="65.52"/>
    <n v="65.52"/>
    <n v="65.52"/>
    <n v="65.52"/>
    <n v="65.52"/>
    <n v="65.52"/>
    <n v="65.52"/>
    <n v="65.52"/>
    <n v="65.52"/>
    <n v="65.52"/>
    <n v="65.52"/>
    <n v="65.52"/>
  </r>
  <r>
    <s v="main"/>
    <x v="15"/>
    <n v="0"/>
    <n v="0"/>
    <n v="0"/>
    <n v="592.9"/>
    <n v="592.9"/>
    <n v="592.9"/>
    <n v="592.9"/>
    <n v="592.9"/>
    <n v="592.9"/>
    <n v="592.9"/>
    <n v="592.9"/>
    <n v="592.9"/>
    <n v="592.9"/>
    <n v="592.9"/>
    <n v="592.9"/>
    <n v="592.9"/>
    <n v="592.9"/>
  </r>
  <r>
    <s v="basement"/>
    <x v="15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basement"/>
    <x v="15"/>
    <n v="0"/>
    <n v="0"/>
    <n v="0"/>
    <n v="0"/>
    <n v="0"/>
    <n v="0"/>
    <n v="0"/>
    <n v="0"/>
    <n v="0"/>
    <n v="0"/>
    <n v="0"/>
    <n v="277.06"/>
    <n v="277.06"/>
    <n v="277.06"/>
    <n v="277.06"/>
    <n v="277.06"/>
    <n v="277.06"/>
  </r>
  <r>
    <s v="basement"/>
    <x v="15"/>
    <n v="0"/>
    <n v="0"/>
    <n v="0"/>
    <n v="0"/>
    <n v="0"/>
    <n v="0"/>
    <n v="0"/>
    <n v="0"/>
    <n v="0"/>
    <n v="0"/>
    <n v="0"/>
    <n v="360.36"/>
    <n v="360.36"/>
    <n v="360.36"/>
    <n v="360.36"/>
    <n v="360.36"/>
    <n v="360.36"/>
  </r>
  <r>
    <s v="basement"/>
    <x v="15"/>
    <n v="0"/>
    <n v="0"/>
    <n v="0"/>
    <n v="0"/>
    <n v="0"/>
    <n v="0"/>
    <n v="0"/>
    <n v="0"/>
    <n v="0"/>
    <n v="0"/>
    <n v="335.72"/>
    <n v="335.72"/>
    <n v="335.72"/>
    <n v="335.72"/>
    <n v="335.72"/>
    <n v="335.72"/>
    <n v="335.72"/>
  </r>
  <r>
    <s v="basement"/>
    <x v="15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basement"/>
    <x v="15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basement"/>
    <x v="1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15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15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basement"/>
    <x v="15"/>
    <n v="0"/>
    <n v="0"/>
    <n v="0"/>
    <n v="0"/>
    <n v="0"/>
    <n v="0"/>
    <n v="0"/>
    <n v="0"/>
    <n v="0"/>
    <n v="0"/>
    <n v="0"/>
    <n v="54.48"/>
    <n v="54.48"/>
    <n v="54.48"/>
    <n v="54.48"/>
    <n v="54.48"/>
    <n v="54.48"/>
  </r>
  <r>
    <s v="basement"/>
    <x v="15"/>
    <n v="0"/>
    <n v="0"/>
    <n v="0"/>
    <n v="404.36"/>
    <n v="404.36"/>
    <n v="404.36"/>
    <n v="404.36"/>
    <n v="404.36"/>
    <n v="404.36"/>
    <n v="404.36"/>
    <n v="404.36"/>
    <n v="404.36"/>
    <n v="404.36"/>
    <n v="404.36"/>
    <n v="404.36"/>
    <n v="404.36"/>
    <n v="404.36"/>
  </r>
  <r>
    <s v="basement"/>
    <x v="15"/>
    <n v="0"/>
    <n v="0"/>
    <n v="0"/>
    <n v="0"/>
    <n v="0"/>
    <n v="0"/>
    <n v="0"/>
    <n v="0"/>
    <n v="0"/>
    <n v="0"/>
    <n v="0"/>
    <n v="0"/>
    <n v="0"/>
    <n v="0"/>
    <n v="117.94"/>
    <n v="117.94"/>
    <n v="117.94"/>
  </r>
  <r>
    <s v="basement"/>
    <x v="15"/>
    <n v="0"/>
    <n v="0"/>
    <n v="0"/>
    <n v="0"/>
    <n v="229.32"/>
    <n v="229.32"/>
    <n v="229.32"/>
    <n v="229.32"/>
    <n v="229.32"/>
    <n v="229.32"/>
    <n v="229.32"/>
    <n v="229.32"/>
    <n v="229.32"/>
    <n v="229.32"/>
    <n v="229.32"/>
    <n v="229.32"/>
    <n v="229.32"/>
  </r>
  <r>
    <s v="basement"/>
    <x v="15"/>
    <n v="0"/>
    <n v="0"/>
    <n v="0"/>
    <n v="43.99"/>
    <n v="43.99"/>
    <n v="43.99"/>
    <n v="43.99"/>
    <n v="43.99"/>
    <n v="87.98"/>
    <n v="87.98"/>
    <n v="87.98"/>
    <n v="175.96"/>
    <n v="175.96"/>
    <n v="175.96"/>
    <n v="175.96"/>
    <n v="175.96"/>
    <n v="175.96"/>
  </r>
  <r>
    <s v="basement"/>
    <x v="15"/>
    <n v="0"/>
    <n v="0"/>
    <n v="0"/>
    <n v="393.12"/>
    <n v="393.12"/>
    <n v="393.12"/>
    <n v="393.12"/>
    <n v="786.24"/>
    <n v="786.24"/>
    <n v="786.24"/>
    <n v="786.24"/>
    <n v="1572.48"/>
    <n v="1572.48"/>
    <n v="1572.48"/>
    <n v="1572.48"/>
    <n v="1572.48"/>
    <n v="1572.48"/>
  </r>
  <r>
    <s v="basement"/>
    <x v="15"/>
    <n v="0"/>
    <n v="0"/>
    <n v="0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</r>
  <r>
    <s v="basement"/>
    <x v="15"/>
    <n v="0"/>
    <n v="0"/>
    <n v="0"/>
    <n v="295.33"/>
    <n v="295.33"/>
    <n v="295.33"/>
    <n v="295.33"/>
    <n v="295.33"/>
    <n v="295.33"/>
    <n v="295.33"/>
    <n v="295.33"/>
    <n v="295.33"/>
    <n v="295.33"/>
    <n v="295.33"/>
    <n v="295.33"/>
    <n v="295.33"/>
    <n v="295.33"/>
  </r>
  <r>
    <s v="basement"/>
    <x v="15"/>
    <n v="0"/>
    <n v="0"/>
    <n v="0"/>
    <n v="117.2925"/>
    <n v="117.2925"/>
    <n v="117.2925"/>
    <n v="117.2925"/>
    <n v="234.58500000000001"/>
    <n v="234.58500000000001"/>
    <n v="234.58500000000001"/>
    <n v="234.58500000000001"/>
    <n v="469.17"/>
    <n v="469.17"/>
    <n v="469.17"/>
    <n v="469.17"/>
    <n v="469.17"/>
    <n v="469.17"/>
  </r>
  <r>
    <s v="basement"/>
    <x v="15"/>
    <n v="0"/>
    <n v="0"/>
    <n v="0"/>
    <n v="0"/>
    <n v="0"/>
    <n v="0"/>
    <n v="0"/>
    <n v="0"/>
    <n v="0"/>
    <n v="0"/>
    <n v="0"/>
    <n v="0"/>
    <n v="0"/>
    <n v="0"/>
    <n v="87.97"/>
    <n v="87.97"/>
    <n v="87.97"/>
  </r>
  <r>
    <s v="basement"/>
    <x v="15"/>
    <n v="0"/>
    <n v="0"/>
    <n v="0"/>
    <n v="96.35"/>
    <n v="96.35"/>
    <n v="96.35"/>
    <n v="96.35"/>
    <n v="96.35"/>
    <n v="96.35"/>
    <n v="96.35"/>
    <n v="96.35"/>
    <n v="96.35"/>
    <n v="96.35"/>
    <n v="96.35"/>
    <n v="96.35"/>
    <n v="96.35"/>
    <n v="96.35"/>
  </r>
  <r>
    <s v="basement"/>
    <x v="15"/>
    <n v="0"/>
    <n v="0"/>
    <n v="0"/>
    <n v="0"/>
    <n v="0"/>
    <n v="0"/>
    <n v="0"/>
    <n v="0"/>
    <n v="0"/>
    <n v="484.47"/>
    <n v="484.47"/>
    <n v="484.47"/>
    <n v="484.47"/>
    <n v="484.47"/>
    <n v="484.47"/>
    <n v="484.47"/>
    <n v="484.47"/>
  </r>
  <r>
    <s v="basement"/>
    <x v="15"/>
    <n v="0"/>
    <n v="0"/>
    <n v="0"/>
    <n v="199.93"/>
    <n v="199.93"/>
    <n v="199.93"/>
    <n v="199.93"/>
    <n v="199.93"/>
    <n v="199.93"/>
    <n v="199.93"/>
    <n v="199.93"/>
    <n v="199.93"/>
    <n v="199.93"/>
    <n v="199.93"/>
    <n v="199.93"/>
    <n v="199.93"/>
    <n v="199.93"/>
  </r>
  <r>
    <s v="basement"/>
    <x v="15"/>
    <n v="0"/>
    <n v="0"/>
    <n v="0"/>
    <n v="550.1"/>
    <n v="550.1"/>
    <n v="550.1"/>
    <n v="550.1"/>
    <n v="550.1"/>
    <n v="550.1"/>
    <n v="550.1"/>
    <n v="550.1"/>
    <n v="550.1"/>
    <n v="550.1"/>
    <n v="550.1"/>
    <n v="550.1"/>
    <n v="550.1"/>
    <n v="550.1"/>
  </r>
  <r>
    <s v="basement"/>
    <x v="15"/>
    <n v="0"/>
    <n v="0"/>
    <n v="0"/>
    <n v="65.52"/>
    <n v="65.52"/>
    <n v="65.52"/>
    <n v="65.52"/>
    <n v="65.52"/>
    <n v="65.52"/>
    <n v="65.52"/>
    <n v="65.52"/>
    <n v="65.52"/>
    <n v="65.52"/>
    <n v="65.52"/>
    <n v="65.52"/>
    <n v="65.52"/>
    <n v="65.52"/>
  </r>
  <r>
    <s v="basement"/>
    <x v="15"/>
    <n v="0"/>
    <n v="0"/>
    <n v="0"/>
    <n v="592.9"/>
    <n v="592.9"/>
    <n v="592.9"/>
    <n v="592.9"/>
    <n v="592.9"/>
    <n v="592.9"/>
    <n v="592.9"/>
    <n v="592.9"/>
    <n v="592.9"/>
    <n v="592.9"/>
    <n v="592.9"/>
    <n v="592.9"/>
    <n v="592.9"/>
    <n v="592.9"/>
  </r>
  <r>
    <s v="basement"/>
    <x v="4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s v="basement"/>
    <x v="4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basement"/>
    <x v="4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basement"/>
    <x v="4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basement"/>
    <x v="4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basement"/>
    <x v="4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basement"/>
    <x v="4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basement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4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basement"/>
    <x v="4"/>
    <n v="0"/>
    <n v="0"/>
    <n v="0"/>
    <n v="0"/>
    <n v="0"/>
    <n v="0"/>
    <n v="0"/>
    <n v="0"/>
    <n v="0"/>
    <n v="0"/>
    <n v="0"/>
    <n v="0"/>
    <n v="1369.44"/>
    <n v="1369.44"/>
    <n v="1369.44"/>
    <n v="1369.44"/>
    <n v="1369.44"/>
  </r>
  <r>
    <s v="basement"/>
    <x v="4"/>
    <n v="0"/>
    <n v="0"/>
    <n v="0"/>
    <n v="0"/>
    <n v="0"/>
    <n v="0"/>
    <n v="0"/>
    <n v="0"/>
    <n v="0"/>
    <n v="0"/>
    <n v="0"/>
    <n v="44.42"/>
    <n v="44.42"/>
    <n v="44.42"/>
    <n v="44.42"/>
    <n v="44.42"/>
    <n v="44.42"/>
  </r>
  <r>
    <s v="basement"/>
    <x v="4"/>
    <n v="0"/>
    <n v="0"/>
    <n v="0"/>
    <n v="329.71"/>
    <n v="329.71"/>
    <n v="329.71"/>
    <n v="329.71"/>
    <n v="329.71"/>
    <n v="329.71"/>
    <n v="329.71"/>
    <n v="329.71"/>
    <n v="329.71"/>
    <n v="329.71"/>
    <n v="329.71"/>
    <n v="329.71"/>
    <n v="329.71"/>
    <n v="329.71"/>
  </r>
  <r>
    <s v="basement"/>
    <x v="4"/>
    <n v="0"/>
    <n v="0"/>
    <n v="0"/>
    <n v="0"/>
    <n v="0"/>
    <n v="0"/>
    <n v="0"/>
    <n v="0"/>
    <n v="0"/>
    <n v="0"/>
    <n v="0"/>
    <n v="0"/>
    <n v="0"/>
    <n v="0"/>
    <n v="96.16"/>
    <n v="96.16"/>
    <n v="96.16"/>
  </r>
  <r>
    <s v="basement"/>
    <x v="4"/>
    <n v="0"/>
    <n v="0"/>
    <n v="0"/>
    <n v="0"/>
    <n v="186.98"/>
    <n v="186.98"/>
    <n v="186.98"/>
    <n v="186.98"/>
    <n v="186.98"/>
    <n v="186.98"/>
    <n v="186.98"/>
    <n v="186.98"/>
    <n v="186.98"/>
    <n v="186.98"/>
    <n v="186.98"/>
    <n v="186.98"/>
    <n v="186.98"/>
  </r>
  <r>
    <s v="basement"/>
    <x v="4"/>
    <n v="0"/>
    <n v="0"/>
    <n v="0"/>
    <n v="35.872500000000002"/>
    <n v="35.872500000000002"/>
    <n v="35.872500000000002"/>
    <n v="35.872500000000002"/>
    <n v="35.872500000000002"/>
    <n v="71.745000000000005"/>
    <n v="71.745000000000005"/>
    <n v="71.745000000000005"/>
    <n v="143.49"/>
    <n v="143.49"/>
    <n v="143.49"/>
    <n v="143.49"/>
    <n v="143.49"/>
    <n v="143.49"/>
  </r>
  <r>
    <s v="basement"/>
    <x v="4"/>
    <n v="0"/>
    <n v="0"/>
    <n v="0"/>
    <n v="320.54500000000002"/>
    <n v="320.54500000000002"/>
    <n v="320.54500000000002"/>
    <n v="320.54500000000002"/>
    <n v="641.09"/>
    <n v="641.09"/>
    <n v="641.09"/>
    <n v="641.09"/>
    <n v="1282.18"/>
    <n v="1282.18"/>
    <n v="1282.18"/>
    <n v="1282.18"/>
    <n v="1282.18"/>
    <n v="1282.18"/>
  </r>
  <r>
    <s v="basement"/>
    <x v="4"/>
    <n v="0"/>
    <n v="0"/>
    <n v="0"/>
    <n v="64.03"/>
    <n v="64.03"/>
    <n v="64.03"/>
    <n v="64.03"/>
    <n v="64.03"/>
    <n v="64.03"/>
    <n v="64.03"/>
    <n v="64.03"/>
    <n v="64.03"/>
    <n v="64.03"/>
    <n v="64.03"/>
    <n v="64.03"/>
    <n v="64.03"/>
    <n v="64.03"/>
  </r>
  <r>
    <s v="basement"/>
    <x v="4"/>
    <n v="0"/>
    <n v="0"/>
    <n v="0"/>
    <n v="240.81"/>
    <n v="240.81"/>
    <n v="240.81"/>
    <n v="240.81"/>
    <n v="240.81"/>
    <n v="240.81"/>
    <n v="240.81"/>
    <n v="240.81"/>
    <n v="240.81"/>
    <n v="240.81"/>
    <n v="240.81"/>
    <n v="240.81"/>
    <n v="240.81"/>
    <n v="240.81"/>
  </r>
  <r>
    <s v="basement"/>
    <x v="4"/>
    <n v="0"/>
    <n v="0"/>
    <n v="0"/>
    <n v="77.644999999999996"/>
    <n v="77.644999999999996"/>
    <n v="77.644999999999996"/>
    <n v="77.644999999999996"/>
    <n v="155.29"/>
    <n v="155.29"/>
    <n v="155.29"/>
    <n v="155.29"/>
    <n v="310.58"/>
    <n v="310.58"/>
    <n v="310.58"/>
    <n v="310.58"/>
    <n v="310.58"/>
    <n v="310.58"/>
  </r>
  <r>
    <s v="basement"/>
    <x v="4"/>
    <n v="0"/>
    <n v="0"/>
    <n v="0"/>
    <n v="0"/>
    <n v="0"/>
    <n v="0"/>
    <n v="0"/>
    <n v="0"/>
    <n v="0"/>
    <n v="0"/>
    <n v="0"/>
    <n v="0"/>
    <n v="0"/>
    <n v="0"/>
    <n v="58.23"/>
    <n v="58.23"/>
    <n v="58.23"/>
  </r>
  <r>
    <s v="basement"/>
    <x v="4"/>
    <n v="0"/>
    <n v="0"/>
    <n v="0"/>
    <n v="63.79"/>
    <n v="63.79"/>
    <n v="63.79"/>
    <n v="63.79"/>
    <n v="63.79"/>
    <n v="63.79"/>
    <n v="63.79"/>
    <n v="63.79"/>
    <n v="63.79"/>
    <n v="63.79"/>
    <n v="63.79"/>
    <n v="63.79"/>
    <n v="63.79"/>
    <n v="63.79"/>
  </r>
  <r>
    <s v="basement"/>
    <x v="4"/>
    <n v="0"/>
    <n v="0"/>
    <n v="0"/>
    <n v="0"/>
    <n v="0"/>
    <n v="0"/>
    <n v="0"/>
    <n v="0"/>
    <n v="0"/>
    <n v="320.83999999999997"/>
    <n v="320.83999999999997"/>
    <n v="320.83999999999997"/>
    <n v="320.83999999999997"/>
    <n v="320.83999999999997"/>
    <n v="320.83999999999997"/>
    <n v="320.83999999999997"/>
    <n v="320.83999999999997"/>
  </r>
  <r>
    <s v="basement"/>
    <x v="4"/>
    <n v="0"/>
    <n v="0"/>
    <n v="0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</r>
  <r>
    <s v="basement"/>
    <x v="4"/>
    <n v="0"/>
    <n v="0"/>
    <n v="0"/>
    <n v="364.18"/>
    <n v="364.18"/>
    <n v="364.18"/>
    <n v="364.18"/>
    <n v="364.18"/>
    <n v="364.18"/>
    <n v="364.18"/>
    <n v="364.18"/>
    <n v="364.18"/>
    <n v="364.18"/>
    <n v="364.18"/>
    <n v="364.18"/>
    <n v="364.18"/>
    <n v="364.18"/>
  </r>
  <r>
    <s v="basement"/>
    <x v="4"/>
    <n v="0"/>
    <n v="0"/>
    <n v="0"/>
    <n v="43.36"/>
    <n v="43.36"/>
    <n v="43.36"/>
    <n v="43.36"/>
    <n v="43.36"/>
    <n v="43.36"/>
    <n v="43.36"/>
    <n v="43.36"/>
    <n v="43.36"/>
    <n v="43.36"/>
    <n v="43.36"/>
    <n v="43.36"/>
    <n v="43.36"/>
    <n v="43.36"/>
  </r>
  <r>
    <s v="basement"/>
    <x v="4"/>
    <n v="0"/>
    <n v="0"/>
    <n v="0"/>
    <n v="392.42"/>
    <n v="392.42"/>
    <n v="392.42"/>
    <n v="392.42"/>
    <n v="392.42"/>
    <n v="392.42"/>
    <n v="392.42"/>
    <n v="392.42"/>
    <n v="392.42"/>
    <n v="392.42"/>
    <n v="392.42"/>
    <n v="392.42"/>
    <n v="392.42"/>
    <n v="392.42"/>
  </r>
  <r>
    <s v="main"/>
    <x v="6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6"/>
    <n v="0"/>
    <n v="0"/>
    <n v="0"/>
    <n v="0"/>
    <n v="0"/>
    <n v="0"/>
    <n v="0"/>
    <n v="0"/>
    <n v="0"/>
    <n v="0"/>
    <n v="0"/>
    <n v="277.06"/>
    <n v="277.06"/>
    <n v="277.06"/>
    <n v="277.06"/>
    <n v="277.06"/>
    <n v="277.06"/>
  </r>
  <r>
    <s v="main"/>
    <x v="6"/>
    <n v="0"/>
    <n v="0"/>
    <n v="0"/>
    <n v="0"/>
    <n v="0"/>
    <n v="0"/>
    <n v="0"/>
    <n v="0"/>
    <n v="0"/>
    <n v="0"/>
    <n v="0"/>
    <n v="360.36"/>
    <n v="360.36"/>
    <n v="360.36"/>
    <n v="360.36"/>
    <n v="360.36"/>
    <n v="360.36"/>
  </r>
  <r>
    <s v="main"/>
    <x v="6"/>
    <n v="0"/>
    <n v="0"/>
    <n v="0"/>
    <n v="0"/>
    <n v="0"/>
    <n v="0"/>
    <n v="0"/>
    <n v="0"/>
    <n v="0"/>
    <n v="0"/>
    <n v="335.72"/>
    <n v="335.72"/>
    <n v="335.72"/>
    <n v="335.72"/>
    <n v="335.72"/>
    <n v="335.72"/>
    <n v="335.72"/>
  </r>
  <r>
    <s v="main"/>
    <x v="6"/>
    <n v="0"/>
    <n v="0"/>
    <n v="0"/>
    <n v="0"/>
    <n v="0"/>
    <n v="0"/>
    <n v="0"/>
    <n v="0"/>
    <n v="0"/>
    <n v="0"/>
    <n v="0"/>
    <n v="0"/>
    <n v="0"/>
    <n v="148.19999999999999"/>
    <n v="148.19999999999999"/>
    <n v="148.19999999999999"/>
    <n v="148.19999999999999"/>
  </r>
  <r>
    <s v="main"/>
    <x v="6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6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6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6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6"/>
    <n v="0"/>
    <n v="0"/>
    <n v="0"/>
    <n v="0"/>
    <n v="0"/>
    <n v="0"/>
    <n v="0"/>
    <n v="0"/>
    <n v="0"/>
    <n v="0"/>
    <n v="0"/>
    <n v="54.48"/>
    <n v="54.48"/>
    <n v="54.48"/>
    <n v="54.48"/>
    <n v="54.48"/>
    <n v="54.48"/>
  </r>
  <r>
    <s v="main"/>
    <x v="6"/>
    <n v="0"/>
    <n v="0"/>
    <n v="0"/>
    <n v="404.36"/>
    <n v="404.36"/>
    <n v="404.36"/>
    <n v="404.36"/>
    <n v="404.36"/>
    <n v="404.36"/>
    <n v="404.36"/>
    <n v="404.36"/>
    <n v="404.36"/>
    <n v="404.36"/>
    <n v="404.36"/>
    <n v="404.36"/>
    <n v="404.36"/>
    <n v="404.36"/>
  </r>
  <r>
    <s v="main"/>
    <x v="6"/>
    <n v="0"/>
    <n v="0"/>
    <n v="0"/>
    <n v="0"/>
    <n v="0"/>
    <n v="0"/>
    <n v="0"/>
    <n v="0"/>
    <n v="0"/>
    <n v="0"/>
    <n v="0"/>
    <n v="0"/>
    <n v="0"/>
    <n v="0"/>
    <n v="117.94"/>
    <n v="117.94"/>
    <n v="117.94"/>
  </r>
  <r>
    <s v="main"/>
    <x v="6"/>
    <n v="0"/>
    <n v="0"/>
    <n v="0"/>
    <n v="0"/>
    <n v="229.32"/>
    <n v="229.32"/>
    <n v="229.32"/>
    <n v="229.32"/>
    <n v="229.32"/>
    <n v="229.32"/>
    <n v="229.32"/>
    <n v="229.32"/>
    <n v="229.32"/>
    <n v="229.32"/>
    <n v="229.32"/>
    <n v="229.32"/>
    <n v="229.32"/>
  </r>
  <r>
    <s v="main"/>
    <x v="6"/>
    <n v="0"/>
    <n v="0"/>
    <n v="0"/>
    <n v="43.99"/>
    <n v="43.99"/>
    <n v="43.99"/>
    <n v="43.99"/>
    <n v="43.99"/>
    <n v="87.98"/>
    <n v="87.98"/>
    <n v="87.98"/>
    <n v="175.96"/>
    <n v="175.96"/>
    <n v="175.96"/>
    <n v="175.96"/>
    <n v="175.96"/>
    <n v="175.96"/>
  </r>
  <r>
    <s v="main"/>
    <x v="6"/>
    <n v="0"/>
    <n v="0"/>
    <n v="0"/>
    <n v="393.12"/>
    <n v="393.12"/>
    <n v="393.12"/>
    <n v="393.12"/>
    <n v="786.24"/>
    <n v="786.24"/>
    <n v="786.24"/>
    <n v="786.24"/>
    <n v="1572.48"/>
    <n v="1572.48"/>
    <n v="1572.48"/>
    <n v="1572.48"/>
    <n v="1572.48"/>
    <n v="1572.48"/>
  </r>
  <r>
    <s v="main"/>
    <x v="6"/>
    <n v="0"/>
    <n v="0"/>
    <n v="0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</r>
  <r>
    <s v="main"/>
    <x v="6"/>
    <n v="0"/>
    <n v="0"/>
    <n v="0"/>
    <n v="295.33"/>
    <n v="295.33"/>
    <n v="295.33"/>
    <n v="295.33"/>
    <n v="295.33"/>
    <n v="295.33"/>
    <n v="295.33"/>
    <n v="295.33"/>
    <n v="295.33"/>
    <n v="295.33"/>
    <n v="295.33"/>
    <n v="295.33"/>
    <n v="295.33"/>
    <n v="295.33"/>
  </r>
  <r>
    <s v="main"/>
    <x v="6"/>
    <n v="0"/>
    <n v="0"/>
    <n v="0"/>
    <n v="117.2925"/>
    <n v="117.2925"/>
    <n v="117.2925"/>
    <n v="117.2925"/>
    <n v="234.58500000000001"/>
    <n v="234.58500000000001"/>
    <n v="234.58500000000001"/>
    <n v="234.58500000000001"/>
    <n v="469.17"/>
    <n v="469.17"/>
    <n v="469.17"/>
    <n v="469.17"/>
    <n v="469.17"/>
    <n v="469.17"/>
  </r>
  <r>
    <s v="main"/>
    <x v="6"/>
    <n v="0"/>
    <n v="0"/>
    <n v="0"/>
    <n v="0"/>
    <n v="0"/>
    <n v="0"/>
    <n v="0"/>
    <n v="0"/>
    <n v="0"/>
    <n v="0"/>
    <n v="0"/>
    <n v="0"/>
    <n v="0"/>
    <n v="0"/>
    <n v="87.97"/>
    <n v="87.97"/>
    <n v="87.97"/>
  </r>
  <r>
    <s v="main"/>
    <x v="6"/>
    <n v="0"/>
    <n v="0"/>
    <n v="0"/>
    <n v="96.35"/>
    <n v="96.35"/>
    <n v="96.35"/>
    <n v="96.35"/>
    <n v="96.35"/>
    <n v="96.35"/>
    <n v="96.35"/>
    <n v="96.35"/>
    <n v="96.35"/>
    <n v="96.35"/>
    <n v="96.35"/>
    <n v="96.35"/>
    <n v="96.35"/>
    <n v="96.35"/>
  </r>
  <r>
    <s v="main"/>
    <x v="6"/>
    <n v="0"/>
    <n v="0"/>
    <n v="0"/>
    <n v="0"/>
    <n v="0"/>
    <n v="0"/>
    <n v="0"/>
    <n v="0"/>
    <n v="0"/>
    <n v="484.47"/>
    <n v="484.47"/>
    <n v="484.47"/>
    <n v="484.47"/>
    <n v="484.47"/>
    <n v="484.47"/>
    <n v="484.47"/>
    <n v="484.47"/>
  </r>
  <r>
    <s v="main"/>
    <x v="6"/>
    <n v="0"/>
    <n v="0"/>
    <n v="0"/>
    <n v="199.93"/>
    <n v="199.93"/>
    <n v="199.93"/>
    <n v="199.93"/>
    <n v="199.93"/>
    <n v="199.93"/>
    <n v="199.93"/>
    <n v="199.93"/>
    <n v="199.93"/>
    <n v="199.93"/>
    <n v="199.93"/>
    <n v="199.93"/>
    <n v="199.93"/>
    <n v="199.93"/>
  </r>
  <r>
    <s v="main"/>
    <x v="6"/>
    <n v="0"/>
    <n v="0"/>
    <n v="0"/>
    <n v="550.1"/>
    <n v="550.1"/>
    <n v="550.1"/>
    <n v="550.1"/>
    <n v="550.1"/>
    <n v="550.1"/>
    <n v="550.1"/>
    <n v="550.1"/>
    <n v="550.1"/>
    <n v="550.1"/>
    <n v="550.1"/>
    <n v="550.1"/>
    <n v="550.1"/>
    <n v="550.1"/>
  </r>
  <r>
    <s v="main"/>
    <x v="6"/>
    <n v="0"/>
    <n v="0"/>
    <n v="0"/>
    <n v="65.52"/>
    <n v="65.52"/>
    <n v="65.52"/>
    <n v="65.52"/>
    <n v="65.52"/>
    <n v="65.52"/>
    <n v="65.52"/>
    <n v="65.52"/>
    <n v="65.52"/>
    <n v="65.52"/>
    <n v="65.52"/>
    <n v="65.52"/>
    <n v="65.52"/>
    <n v="65.52"/>
  </r>
  <r>
    <s v="main"/>
    <x v="6"/>
    <n v="0"/>
    <n v="0"/>
    <n v="0"/>
    <n v="592.9"/>
    <n v="592.9"/>
    <n v="592.9"/>
    <n v="592.9"/>
    <n v="592.9"/>
    <n v="592.9"/>
    <n v="592.9"/>
    <n v="592.9"/>
    <n v="592.9"/>
    <n v="592.9"/>
    <n v="592.9"/>
    <n v="592.9"/>
    <n v="592.9"/>
    <n v="592.9"/>
  </r>
  <r>
    <s v="main"/>
    <x v="10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main"/>
    <x v="10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main"/>
    <x v="10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s v="main"/>
    <x v="10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s v="main"/>
    <x v="10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s v="main"/>
    <x v="10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main"/>
    <x v="10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0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10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10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s v="main"/>
    <x v="1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0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10"/>
    <n v="0"/>
    <n v="0"/>
    <n v="0"/>
    <n v="0"/>
    <n v="0"/>
    <n v="0"/>
    <n v="0"/>
    <n v="0"/>
    <n v="0"/>
    <n v="0"/>
    <n v="0"/>
    <n v="64.349999999999994"/>
    <n v="64.349999999999994"/>
    <n v="64.349999999999994"/>
    <n v="64.349999999999994"/>
    <n v="64.349999999999994"/>
    <n v="64.349999999999994"/>
  </r>
  <r>
    <s v="main"/>
    <x v="10"/>
    <n v="0"/>
    <n v="0"/>
    <n v="0"/>
    <n v="477.45"/>
    <n v="477.45"/>
    <n v="477.45"/>
    <n v="477.45"/>
    <n v="477.45"/>
    <n v="477.45"/>
    <n v="477.45"/>
    <n v="477.45"/>
    <n v="477.45"/>
    <n v="477.45"/>
    <n v="477.45"/>
    <n v="477.45"/>
    <n v="477.45"/>
    <n v="477.45"/>
  </r>
  <r>
    <s v="main"/>
    <x v="10"/>
    <n v="0"/>
    <n v="0"/>
    <n v="0"/>
    <n v="0"/>
    <n v="0"/>
    <n v="0"/>
    <n v="0"/>
    <n v="0"/>
    <n v="0"/>
    <n v="0"/>
    <n v="0"/>
    <n v="0"/>
    <n v="0"/>
    <n v="0"/>
    <n v="139.27000000000001"/>
    <n v="139.27000000000001"/>
    <n v="139.27000000000001"/>
  </r>
  <r>
    <s v="main"/>
    <x v="10"/>
    <n v="0"/>
    <n v="0"/>
    <n v="0"/>
    <n v="0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</r>
  <r>
    <s v="main"/>
    <x v="10"/>
    <n v="0"/>
    <n v="0"/>
    <n v="0"/>
    <n v="51.947499999999998"/>
    <n v="51.947499999999998"/>
    <n v="51.947499999999998"/>
    <n v="51.947499999999998"/>
    <n v="51.947499999999998"/>
    <n v="103.895"/>
    <n v="103.895"/>
    <n v="103.895"/>
    <n v="207.79"/>
    <n v="207.79"/>
    <n v="207.79"/>
    <n v="207.79"/>
    <n v="207.79"/>
    <n v="207.79"/>
  </r>
  <r>
    <s v="main"/>
    <x v="10"/>
    <n v="0"/>
    <n v="0"/>
    <n v="0"/>
    <n v="464.185"/>
    <n v="464.185"/>
    <n v="464.185"/>
    <n v="464.185"/>
    <n v="928.37"/>
    <n v="928.37"/>
    <n v="928.37"/>
    <n v="928.37"/>
    <n v="1856.74"/>
    <n v="1856.74"/>
    <n v="1856.74"/>
    <n v="1856.74"/>
    <n v="1856.74"/>
    <n v="1856.74"/>
  </r>
  <r>
    <s v="main"/>
    <x v="10"/>
    <n v="0"/>
    <n v="0"/>
    <n v="0"/>
    <n v="0"/>
    <n v="0"/>
    <n v="0"/>
    <n v="0"/>
    <n v="0"/>
    <n v="0"/>
    <n v="0"/>
    <n v="0"/>
    <n v="63.86"/>
    <n v="63.86"/>
    <n v="63.86"/>
    <n v="63.86"/>
    <n v="63.86"/>
    <n v="63.86"/>
  </r>
  <r>
    <s v="main"/>
    <x v="10"/>
    <n v="0"/>
    <n v="0"/>
    <n v="0"/>
    <n v="0"/>
    <n v="0"/>
    <n v="0"/>
    <n v="0"/>
    <n v="0"/>
    <n v="0"/>
    <n v="0"/>
    <n v="0"/>
    <n v="492.46"/>
    <n v="492.46"/>
    <n v="492.46"/>
    <n v="492.46"/>
    <n v="492.46"/>
    <n v="492.46"/>
  </r>
  <r>
    <s v="main"/>
    <x v="10"/>
    <n v="0"/>
    <n v="0"/>
    <n v="0"/>
    <n v="92.73"/>
    <n v="92.73"/>
    <n v="92.73"/>
    <n v="92.73"/>
    <n v="92.73"/>
    <n v="92.73"/>
    <n v="92.73"/>
    <n v="92.73"/>
    <n v="92.73"/>
    <n v="92.73"/>
    <n v="92.73"/>
    <n v="92.73"/>
    <n v="92.73"/>
    <n v="92.73"/>
  </r>
  <r>
    <s v="main"/>
    <x v="10"/>
    <n v="0"/>
    <n v="0"/>
    <n v="0"/>
    <n v="348.79"/>
    <n v="348.79"/>
    <n v="348.79"/>
    <n v="348.79"/>
    <n v="348.79"/>
    <n v="348.79"/>
    <n v="348.79"/>
    <n v="348.79"/>
    <n v="348.79"/>
    <n v="348.79"/>
    <n v="348.79"/>
    <n v="348.79"/>
    <n v="348.79"/>
    <n v="348.79"/>
  </r>
  <r>
    <s v="main"/>
    <x v="10"/>
    <n v="0"/>
    <n v="0"/>
    <n v="0"/>
    <n v="231.91"/>
    <n v="231.91"/>
    <n v="231.91"/>
    <n v="231.91"/>
    <n v="463.82"/>
    <n v="463.82"/>
    <n v="463.82"/>
    <n v="463.82"/>
    <n v="927.64"/>
    <n v="927.64"/>
    <n v="927.64"/>
    <n v="927.64"/>
    <n v="927.64"/>
    <n v="927.64"/>
  </r>
  <r>
    <s v="main"/>
    <x v="10"/>
    <n v="0"/>
    <n v="0"/>
    <n v="0"/>
    <n v="0"/>
    <n v="0"/>
    <n v="0"/>
    <n v="0"/>
    <n v="0"/>
    <n v="0"/>
    <n v="0"/>
    <n v="0"/>
    <n v="0"/>
    <n v="0"/>
    <n v="0"/>
    <n v="173.92"/>
    <n v="173.92"/>
    <n v="173.92"/>
  </r>
  <r>
    <s v="main"/>
    <x v="10"/>
    <n v="0"/>
    <n v="0"/>
    <n v="0"/>
    <n v="190.51"/>
    <n v="190.51"/>
    <n v="190.51"/>
    <n v="190.51"/>
    <n v="190.51"/>
    <n v="190.51"/>
    <n v="190.51"/>
    <n v="190.51"/>
    <n v="190.51"/>
    <n v="190.51"/>
    <n v="190.51"/>
    <n v="190.51"/>
    <n v="190.51"/>
    <n v="190.51"/>
  </r>
  <r>
    <s v="main"/>
    <x v="10"/>
    <n v="0"/>
    <n v="0"/>
    <n v="0"/>
    <n v="0"/>
    <n v="0"/>
    <n v="0"/>
    <n v="0"/>
    <n v="0"/>
    <n v="0"/>
    <n v="677.49"/>
    <n v="677.49"/>
    <n v="677.49"/>
    <n v="677.49"/>
    <n v="677.49"/>
    <n v="677.49"/>
    <n v="677.49"/>
    <n v="677.49"/>
  </r>
  <r>
    <s v="main"/>
    <x v="10"/>
    <n v="0"/>
    <n v="0"/>
    <n v="0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</r>
  <r>
    <s v="main"/>
    <x v="10"/>
    <n v="0"/>
    <n v="0"/>
    <n v="0"/>
    <n v="769.24"/>
    <n v="769.24"/>
    <n v="769.24"/>
    <n v="769.24"/>
    <n v="769.24"/>
    <n v="769.24"/>
    <n v="769.24"/>
    <n v="769.24"/>
    <n v="769.24"/>
    <n v="769.24"/>
    <n v="769.24"/>
    <n v="769.24"/>
    <n v="769.24"/>
    <n v="769.24"/>
  </r>
  <r>
    <s v="main"/>
    <x v="10"/>
    <n v="0"/>
    <n v="0"/>
    <n v="0"/>
    <n v="91.63"/>
    <n v="91.63"/>
    <n v="91.63"/>
    <n v="91.63"/>
    <n v="91.63"/>
    <n v="91.63"/>
    <n v="91.63"/>
    <n v="91.63"/>
    <n v="91.63"/>
    <n v="91.63"/>
    <n v="91.63"/>
    <n v="91.63"/>
    <n v="91.63"/>
    <n v="91.63"/>
  </r>
  <r>
    <s v="main"/>
    <x v="10"/>
    <n v="0"/>
    <n v="0"/>
    <n v="0"/>
    <n v="829.05"/>
    <n v="829.05"/>
    <n v="829.05"/>
    <n v="829.05"/>
    <n v="829.05"/>
    <n v="829.05"/>
    <n v="829.05"/>
    <n v="829.05"/>
    <n v="829.05"/>
    <n v="829.05"/>
    <n v="829.05"/>
    <n v="829.05"/>
    <n v="829.05"/>
    <n v="829.05"/>
  </r>
  <r>
    <s v="main"/>
    <x v="3"/>
    <n v="0"/>
    <n v="0"/>
    <n v="0"/>
    <n v="0"/>
    <n v="0"/>
    <n v="0"/>
    <n v="0"/>
    <n v="0"/>
    <n v="0"/>
    <n v="0"/>
    <n v="0"/>
    <n v="0"/>
    <n v="1011.84"/>
    <n v="1011.84"/>
    <n v="1011.84"/>
    <n v="1011.84"/>
    <n v="1011.84"/>
  </r>
  <r>
    <s v="main"/>
    <x v="3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3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3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3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main"/>
    <x v="3"/>
    <n v="0"/>
    <n v="0"/>
    <n v="0"/>
    <n v="0"/>
    <n v="0"/>
    <n v="0"/>
    <n v="0"/>
    <n v="0"/>
    <n v="0"/>
    <n v="0"/>
    <n v="0"/>
    <n v="692.32"/>
    <n v="692.32"/>
    <n v="692.32"/>
    <n v="692.32"/>
    <n v="692.32"/>
    <n v="692.32"/>
  </r>
  <r>
    <s v="main"/>
    <x v="3"/>
    <n v="0"/>
    <n v="0"/>
    <n v="0"/>
    <n v="0"/>
    <n v="0"/>
    <n v="0"/>
    <n v="0"/>
    <n v="0"/>
    <n v="0"/>
    <n v="0"/>
    <n v="0"/>
    <n v="951.24"/>
    <n v="951.24"/>
    <n v="951.24"/>
    <n v="951.24"/>
    <n v="951.24"/>
    <n v="951.24"/>
  </r>
  <r>
    <s v="main"/>
    <x v="3"/>
    <n v="0"/>
    <n v="0"/>
    <n v="0"/>
    <n v="0"/>
    <n v="0"/>
    <n v="0"/>
    <n v="0"/>
    <n v="0"/>
    <n v="0"/>
    <n v="0"/>
    <n v="0"/>
    <n v="0"/>
    <n v="0"/>
    <n v="0"/>
    <n v="169.46"/>
    <n v="169.46"/>
    <n v="169.46"/>
  </r>
  <r>
    <s v="main"/>
    <x v="3"/>
    <n v="0"/>
    <n v="0"/>
    <n v="0"/>
    <n v="0"/>
    <n v="3893.26"/>
    <n v="3893.26"/>
    <n v="3893.26"/>
    <n v="3893.26"/>
    <n v="3893.26"/>
    <n v="3893.26"/>
    <n v="3893.26"/>
    <n v="3893.26"/>
    <n v="3893.26"/>
    <n v="3893.26"/>
    <n v="3893.26"/>
    <n v="3893.26"/>
    <n v="3893.26"/>
  </r>
  <r>
    <s v="main"/>
    <x v="3"/>
    <n v="0"/>
    <n v="0"/>
    <n v="0"/>
    <n v="0"/>
    <n v="3891.46"/>
    <n v="3891.46"/>
    <n v="3891.46"/>
    <n v="3891.46"/>
    <n v="3891.46"/>
    <n v="3891.46"/>
    <n v="3891.46"/>
    <n v="3891.46"/>
    <n v="3891.46"/>
    <n v="3891.46"/>
    <n v="3891.46"/>
    <n v="3891.46"/>
    <n v="3891.46"/>
  </r>
  <r>
    <s v="main"/>
    <x v="3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main"/>
    <x v="3"/>
    <n v="0"/>
    <n v="0"/>
    <n v="0"/>
    <n v="0"/>
    <n v="0"/>
    <n v="0"/>
    <n v="0"/>
    <n v="0"/>
    <n v="0"/>
    <n v="0"/>
    <n v="0"/>
    <n v="692.32"/>
    <n v="692.32"/>
    <n v="692.32"/>
    <n v="692.32"/>
    <n v="692.32"/>
    <n v="692.32"/>
  </r>
  <r>
    <s v="main"/>
    <x v="3"/>
    <n v="0"/>
    <n v="0"/>
    <n v="0"/>
    <n v="0"/>
    <n v="0"/>
    <n v="0"/>
    <n v="0"/>
    <n v="0"/>
    <n v="0"/>
    <n v="0"/>
    <n v="0"/>
    <n v="951.24"/>
    <n v="951.24"/>
    <n v="951.24"/>
    <n v="951.24"/>
    <n v="951.24"/>
    <n v="951.24"/>
  </r>
  <r>
    <s v="main"/>
    <x v="3"/>
    <n v="0"/>
    <n v="0"/>
    <n v="0"/>
    <n v="0"/>
    <n v="0"/>
    <n v="0"/>
    <n v="0"/>
    <n v="0"/>
    <n v="0"/>
    <n v="167.68"/>
    <n v="167.68"/>
    <n v="167.68"/>
    <n v="167.68"/>
    <n v="167.68"/>
    <n v="167.68"/>
    <n v="167.68"/>
    <n v="167.68"/>
  </r>
  <r>
    <s v="main"/>
    <x v="3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s v="main"/>
    <x v="3"/>
    <n v="0"/>
    <n v="0"/>
    <n v="0"/>
    <n v="0"/>
    <n v="0"/>
    <n v="0"/>
    <n v="0"/>
    <n v="0"/>
    <n v="0"/>
    <n v="0"/>
    <n v="390.46"/>
    <n v="390.46"/>
    <n v="390.46"/>
    <n v="390.46"/>
    <n v="390.46"/>
    <n v="390.46"/>
    <n v="390.46"/>
  </r>
  <r>
    <s v="main"/>
    <x v="3"/>
    <n v="0"/>
    <n v="0"/>
    <n v="0"/>
    <n v="0"/>
    <n v="0"/>
    <n v="0"/>
    <n v="0"/>
    <n v="0"/>
    <n v="0"/>
    <n v="0"/>
    <n v="0"/>
    <n v="0"/>
    <n v="5469.5"/>
    <n v="5469.5"/>
    <n v="5469.5"/>
    <n v="5469.5"/>
    <n v="5469.5"/>
  </r>
  <r>
    <s v="main"/>
    <x v="3"/>
    <n v="0"/>
    <n v="0"/>
    <n v="0"/>
    <n v="0"/>
    <n v="7352.88"/>
    <n v="7352.88"/>
    <n v="7352.88"/>
    <n v="7352.88"/>
    <n v="7352.88"/>
    <n v="7352.88"/>
    <n v="7352.88"/>
    <n v="7352.88"/>
    <n v="7352.88"/>
    <n v="7352.88"/>
    <n v="7352.88"/>
    <n v="7352.88"/>
    <n v="7352.88"/>
  </r>
  <r>
    <s v="main"/>
    <x v="3"/>
    <n v="0"/>
    <n v="0"/>
    <n v="0"/>
    <n v="0"/>
    <n v="0"/>
    <n v="0"/>
    <n v="0"/>
    <n v="0"/>
    <n v="0"/>
    <n v="0"/>
    <n v="0"/>
    <n v="0"/>
    <n v="0"/>
    <n v="1099.21"/>
    <n v="1099.21"/>
    <n v="1099.21"/>
    <n v="1099.21"/>
  </r>
  <r>
    <s v="main"/>
    <x v="3"/>
    <n v="0"/>
    <n v="0"/>
    <n v="0"/>
    <n v="0"/>
    <n v="0"/>
    <n v="0"/>
    <n v="0"/>
    <n v="0"/>
    <n v="0"/>
    <n v="0"/>
    <n v="4655.5200000000004"/>
    <n v="4655.5200000000004"/>
    <n v="4655.5200000000004"/>
    <n v="4655.5200000000004"/>
    <n v="4655.5200000000004"/>
    <n v="4655.5200000000004"/>
    <n v="4655.5200000000004"/>
  </r>
  <r>
    <s v="main"/>
    <x v="3"/>
    <n v="0"/>
    <n v="0"/>
    <n v="0"/>
    <n v="0"/>
    <n v="0"/>
    <n v="0"/>
    <n v="0"/>
    <n v="0"/>
    <n v="0"/>
    <n v="0"/>
    <n v="1862.2"/>
    <n v="1862.2"/>
    <n v="1862.2"/>
    <n v="1862.2"/>
    <n v="1862.2"/>
    <n v="1862.2"/>
    <n v="1862.2"/>
  </r>
  <r>
    <s v="main"/>
    <x v="3"/>
    <n v="0"/>
    <n v="0"/>
    <n v="0"/>
    <n v="0"/>
    <n v="1220.52"/>
    <n v="1220.52"/>
    <n v="1220.52"/>
    <n v="1220.52"/>
    <n v="1220.52"/>
    <n v="1220.52"/>
    <n v="1220.52"/>
    <n v="1220.52"/>
    <n v="1220.52"/>
    <n v="1220.52"/>
    <n v="1220.52"/>
    <n v="1220.52"/>
    <n v="1220.52"/>
  </r>
  <r>
    <s v="main"/>
    <x v="3"/>
    <n v="0"/>
    <n v="0"/>
    <n v="0"/>
    <n v="0"/>
    <n v="0"/>
    <n v="0"/>
    <n v="7064.41"/>
    <n v="7064.41"/>
    <n v="7064.41"/>
    <n v="7064.41"/>
    <n v="7064.41"/>
    <n v="7064.41"/>
    <n v="7064.41"/>
    <n v="7064.41"/>
    <n v="7064.41"/>
    <n v="7064.41"/>
    <n v="7064.41"/>
  </r>
  <r>
    <s v="main"/>
    <x v="3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3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3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s v="main"/>
    <x v="3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3"/>
    <n v="0"/>
    <n v="0"/>
    <n v="0"/>
    <n v="0"/>
    <n v="0"/>
    <n v="0"/>
    <n v="10943"/>
    <n v="10943"/>
    <n v="10943"/>
    <n v="10943"/>
    <n v="10943"/>
    <n v="10943"/>
    <n v="10943"/>
    <n v="10943"/>
    <n v="10943"/>
    <n v="10943"/>
    <n v="10943"/>
  </r>
  <r>
    <s v="main"/>
    <x v="3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s v="main"/>
    <x v="3"/>
    <n v="0"/>
    <n v="0"/>
    <n v="0"/>
    <n v="0"/>
    <n v="0"/>
    <n v="0"/>
    <n v="0"/>
    <n v="0"/>
    <n v="0"/>
    <n v="5050.33"/>
    <n v="5050.33"/>
    <n v="5050.33"/>
    <n v="5050.33"/>
    <n v="5050.33"/>
    <n v="5050.33"/>
    <n v="5050.33"/>
    <n v="5050.33"/>
  </r>
  <r>
    <s v="main"/>
    <x v="3"/>
    <n v="0"/>
    <n v="0"/>
    <n v="0"/>
    <n v="0"/>
    <n v="0"/>
    <n v="0"/>
    <n v="0"/>
    <n v="0"/>
    <n v="0"/>
    <n v="469.16"/>
    <n v="469.16"/>
    <n v="469.16"/>
    <n v="469.16"/>
    <n v="469.16"/>
    <n v="469.16"/>
    <n v="469.16"/>
    <n v="469.16"/>
  </r>
  <r>
    <s v="main"/>
    <x v="3"/>
    <n v="0"/>
    <n v="0"/>
    <n v="0"/>
    <n v="0"/>
    <n v="0"/>
    <n v="0"/>
    <n v="0"/>
    <n v="0"/>
    <n v="0"/>
    <n v="0"/>
    <n v="0"/>
    <n v="0"/>
    <n v="0"/>
    <n v="2645.15"/>
    <n v="2645.15"/>
    <n v="2645.15"/>
    <n v="2645.15"/>
  </r>
  <r>
    <s v="main"/>
    <x v="3"/>
    <n v="0"/>
    <n v="0"/>
    <n v="0"/>
    <n v="0"/>
    <n v="0"/>
    <n v="0"/>
    <n v="0"/>
    <n v="0"/>
    <n v="0"/>
    <n v="0"/>
    <n v="1212.1300000000001"/>
    <n v="1212.1300000000001"/>
    <n v="1212.1300000000001"/>
    <n v="1212.1300000000001"/>
    <n v="1212.1300000000001"/>
    <n v="1212.1300000000001"/>
    <n v="1212.1300000000001"/>
  </r>
  <r>
    <s v="main"/>
    <x v="3"/>
    <n v="0"/>
    <n v="0"/>
    <n v="0"/>
    <n v="0"/>
    <n v="0"/>
    <n v="0"/>
    <n v="0"/>
    <n v="0"/>
    <n v="0"/>
    <n v="167.48"/>
    <n v="167.48"/>
    <n v="167.48"/>
    <n v="167.48"/>
    <n v="167.48"/>
    <n v="167.48"/>
    <n v="167.48"/>
    <n v="167.48"/>
  </r>
  <r>
    <s v="main"/>
    <x v="3"/>
    <n v="0"/>
    <n v="0"/>
    <n v="0"/>
    <n v="0"/>
    <n v="0"/>
    <n v="0"/>
    <n v="1830.08"/>
    <n v="1830.08"/>
    <n v="1830.08"/>
    <n v="1830.08"/>
    <n v="1830.08"/>
    <n v="1830.08"/>
    <n v="1830.08"/>
    <n v="1830.08"/>
    <n v="1830.08"/>
    <n v="1830.08"/>
    <n v="1830.08"/>
  </r>
  <r>
    <s v="main"/>
    <x v="3"/>
    <n v="0"/>
    <n v="0"/>
    <n v="0"/>
    <n v="0"/>
    <n v="0"/>
    <n v="0"/>
    <n v="0"/>
    <n v="0"/>
    <n v="0"/>
    <n v="0"/>
    <n v="0"/>
    <n v="64.349999999999994"/>
    <n v="64.349999999999994"/>
    <n v="64.349999999999994"/>
    <n v="64.349999999999994"/>
    <n v="64.349999999999994"/>
    <n v="64.349999999999994"/>
  </r>
  <r>
    <s v="main"/>
    <x v="3"/>
    <n v="0"/>
    <n v="0"/>
    <n v="0"/>
    <n v="477.45"/>
    <n v="477.45"/>
    <n v="477.45"/>
    <n v="477.45"/>
    <n v="477.45"/>
    <n v="477.45"/>
    <n v="477.45"/>
    <n v="477.45"/>
    <n v="477.45"/>
    <n v="477.45"/>
    <n v="477.45"/>
    <n v="477.45"/>
    <n v="477.45"/>
    <n v="477.45"/>
  </r>
  <r>
    <s v="main"/>
    <x v="3"/>
    <n v="0"/>
    <n v="0"/>
    <n v="0"/>
    <n v="0"/>
    <n v="0"/>
    <n v="0"/>
    <n v="0"/>
    <n v="0"/>
    <n v="0"/>
    <n v="0"/>
    <n v="0"/>
    <n v="0"/>
    <n v="0"/>
    <n v="0"/>
    <n v="139.27000000000001"/>
    <n v="139.27000000000001"/>
    <n v="139.27000000000001"/>
  </r>
  <r>
    <s v="main"/>
    <x v="3"/>
    <n v="0"/>
    <n v="0"/>
    <n v="0"/>
    <n v="0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</r>
  <r>
    <s v="main"/>
    <x v="3"/>
    <n v="0"/>
    <n v="0"/>
    <n v="0"/>
    <n v="51.947499999999998"/>
    <n v="51.947499999999998"/>
    <n v="51.947499999999998"/>
    <n v="51.947499999999998"/>
    <n v="51.947499999999998"/>
    <n v="103.895"/>
    <n v="103.895"/>
    <n v="103.895"/>
    <n v="207.79"/>
    <n v="207.79"/>
    <n v="207.79"/>
    <n v="207.79"/>
    <n v="207.79"/>
    <n v="207.79"/>
  </r>
  <r>
    <s v="main"/>
    <x v="3"/>
    <n v="0"/>
    <n v="0"/>
    <n v="0"/>
    <n v="464.185"/>
    <n v="464.185"/>
    <n v="464.185"/>
    <n v="464.185"/>
    <n v="928.37"/>
    <n v="928.37"/>
    <n v="928.37"/>
    <n v="928.37"/>
    <n v="1856.74"/>
    <n v="1856.74"/>
    <n v="1856.74"/>
    <n v="1856.74"/>
    <n v="1856.74"/>
    <n v="1856.74"/>
  </r>
  <r>
    <s v="main"/>
    <x v="3"/>
    <n v="0"/>
    <n v="0"/>
    <n v="0"/>
    <n v="0"/>
    <n v="0"/>
    <n v="0"/>
    <n v="0"/>
    <n v="0"/>
    <n v="0"/>
    <n v="0"/>
    <n v="92.73"/>
    <n v="92.73"/>
    <n v="92.73"/>
    <n v="92.73"/>
    <n v="92.73"/>
    <n v="92.73"/>
    <n v="92.73"/>
  </r>
  <r>
    <s v="main"/>
    <x v="3"/>
    <n v="0"/>
    <n v="0"/>
    <n v="0"/>
    <n v="0"/>
    <n v="0"/>
    <n v="0"/>
    <n v="0"/>
    <n v="0"/>
    <n v="0"/>
    <n v="0"/>
    <n v="458.68"/>
    <n v="458.68"/>
    <n v="458.68"/>
    <n v="458.68"/>
    <n v="458.68"/>
    <n v="458.68"/>
    <n v="458.68"/>
  </r>
  <r>
    <s v="main"/>
    <x v="3"/>
    <n v="0"/>
    <n v="0"/>
    <n v="0"/>
    <n v="0"/>
    <n v="1068.82"/>
    <n v="1068.82"/>
    <n v="1068.82"/>
    <n v="1068.82"/>
    <n v="1068.82"/>
    <n v="1068.82"/>
    <n v="1068.82"/>
    <n v="1068.82"/>
    <n v="1068.82"/>
    <n v="1068.82"/>
    <n v="1068.82"/>
    <n v="1068.82"/>
    <n v="1068.82"/>
  </r>
  <r>
    <s v="main"/>
    <x v="3"/>
    <n v="0"/>
    <n v="0"/>
    <n v="0"/>
    <n v="0"/>
    <n v="0"/>
    <n v="0"/>
    <n v="0"/>
    <n v="0"/>
    <n v="0"/>
    <n v="0"/>
    <n v="0"/>
    <n v="0"/>
    <n v="0"/>
    <n v="0"/>
    <n v="572.16"/>
    <n v="572.16"/>
    <n v="572.16"/>
  </r>
  <r>
    <s v="main"/>
    <x v="3"/>
    <n v="0"/>
    <n v="0"/>
    <n v="0"/>
    <n v="92.73"/>
    <n v="92.73"/>
    <n v="92.73"/>
    <n v="92.73"/>
    <n v="92.73"/>
    <n v="92.73"/>
    <n v="92.73"/>
    <n v="92.73"/>
    <n v="92.73"/>
    <n v="92.73"/>
    <n v="92.73"/>
    <n v="92.73"/>
    <n v="92.73"/>
    <n v="92.73"/>
  </r>
  <r>
    <s v="main"/>
    <x v="3"/>
    <n v="0"/>
    <n v="0"/>
    <n v="0"/>
    <n v="348.79"/>
    <n v="348.79"/>
    <n v="348.79"/>
    <n v="348.79"/>
    <n v="348.79"/>
    <n v="348.79"/>
    <n v="348.79"/>
    <n v="348.79"/>
    <n v="348.79"/>
    <n v="348.79"/>
    <n v="348.79"/>
    <n v="348.79"/>
    <n v="348.79"/>
    <n v="348.79"/>
  </r>
  <r>
    <s v="main"/>
    <x v="3"/>
    <n v="0"/>
    <n v="0"/>
    <n v="0"/>
    <n v="161.0675"/>
    <n v="161.0675"/>
    <n v="161.0675"/>
    <n v="161.0675"/>
    <n v="322.13499999999999"/>
    <n v="322.13499999999999"/>
    <n v="322.13499999999999"/>
    <n v="322.13499999999999"/>
    <n v="644.27"/>
    <n v="644.27"/>
    <n v="644.27"/>
    <n v="644.27"/>
    <n v="644.27"/>
    <n v="644.27"/>
  </r>
  <r>
    <s v="main"/>
    <x v="3"/>
    <n v="0"/>
    <n v="0"/>
    <n v="0"/>
    <n v="0"/>
    <n v="0"/>
    <n v="0"/>
    <n v="0"/>
    <n v="0"/>
    <n v="0"/>
    <n v="0"/>
    <n v="0"/>
    <n v="0"/>
    <n v="0"/>
    <n v="0"/>
    <n v="120.81"/>
    <n v="120.81"/>
    <n v="120.81"/>
  </r>
  <r>
    <s v="main"/>
    <x v="3"/>
    <n v="0"/>
    <n v="0"/>
    <n v="0"/>
    <n v="132.32"/>
    <n v="132.32"/>
    <n v="132.32"/>
    <n v="132.32"/>
    <n v="132.32"/>
    <n v="132.32"/>
    <n v="132.32"/>
    <n v="132.32"/>
    <n v="132.32"/>
    <n v="132.32"/>
    <n v="132.32"/>
    <n v="132.32"/>
    <n v="132.32"/>
    <n v="132.32"/>
  </r>
  <r>
    <s v="main"/>
    <x v="3"/>
    <n v="0"/>
    <n v="0"/>
    <n v="0"/>
    <n v="0"/>
    <n v="0"/>
    <n v="0"/>
    <n v="0"/>
    <n v="0"/>
    <n v="0"/>
    <n v="665.41"/>
    <n v="665.41"/>
    <n v="665.41"/>
    <n v="665.41"/>
    <n v="665.41"/>
    <n v="665.41"/>
    <n v="665.41"/>
    <n v="665.41"/>
  </r>
  <r>
    <s v="main"/>
    <x v="3"/>
    <n v="0"/>
    <n v="0"/>
    <n v="0"/>
    <n v="274.58999999999997"/>
    <n v="274.58999999999997"/>
    <n v="274.58999999999997"/>
    <n v="274.58999999999997"/>
    <n v="274.58999999999997"/>
    <n v="274.58999999999997"/>
    <n v="274.58999999999997"/>
    <n v="274.58999999999997"/>
    <n v="274.58999999999997"/>
    <n v="274.58999999999997"/>
    <n v="274.58999999999997"/>
    <n v="274.58999999999997"/>
    <n v="274.58999999999997"/>
    <n v="274.58999999999997"/>
  </r>
  <r>
    <s v="main"/>
    <x v="3"/>
    <n v="0"/>
    <n v="0"/>
    <n v="0"/>
    <n v="755.53"/>
    <n v="755.53"/>
    <n v="755.53"/>
    <n v="755.53"/>
    <n v="755.53"/>
    <n v="755.53"/>
    <n v="755.53"/>
    <n v="755.53"/>
    <n v="755.53"/>
    <n v="755.53"/>
    <n v="755.53"/>
    <n v="755.53"/>
    <n v="755.53"/>
    <n v="755.53"/>
  </r>
  <r>
    <s v="main"/>
    <x v="3"/>
    <n v="0"/>
    <n v="0"/>
    <n v="0"/>
    <n v="89.97"/>
    <n v="89.97"/>
    <n v="89.97"/>
    <n v="89.97"/>
    <n v="89.97"/>
    <n v="89.97"/>
    <n v="89.97"/>
    <n v="89.97"/>
    <n v="89.97"/>
    <n v="89.97"/>
    <n v="89.97"/>
    <n v="89.97"/>
    <n v="89.97"/>
    <n v="89.97"/>
  </r>
  <r>
    <s v="main"/>
    <x v="3"/>
    <n v="0"/>
    <n v="0"/>
    <n v="0"/>
    <n v="814.09"/>
    <n v="814.09"/>
    <n v="814.09"/>
    <n v="814.09"/>
    <n v="814.09"/>
    <n v="814.09"/>
    <n v="814.09"/>
    <n v="814.09"/>
    <n v="814.09"/>
    <n v="814.09"/>
    <n v="814.09"/>
    <n v="814.09"/>
    <n v="814.09"/>
    <n v="814.09"/>
  </r>
  <r>
    <s v="main"/>
    <x v="10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main"/>
    <x v="10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main"/>
    <x v="10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s v="main"/>
    <x v="10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s v="main"/>
    <x v="10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s v="main"/>
    <x v="10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main"/>
    <x v="10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0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10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10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s v="main"/>
    <x v="1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0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10"/>
    <n v="0"/>
    <n v="0"/>
    <n v="0"/>
    <n v="0"/>
    <n v="0"/>
    <n v="0"/>
    <n v="0"/>
    <n v="0"/>
    <n v="0"/>
    <n v="0"/>
    <n v="0"/>
    <n v="64.349999999999994"/>
    <n v="64.349999999999994"/>
    <n v="64.349999999999994"/>
    <n v="64.349999999999994"/>
    <n v="64.349999999999994"/>
    <n v="64.349999999999994"/>
  </r>
  <r>
    <s v="main"/>
    <x v="10"/>
    <n v="0"/>
    <n v="0"/>
    <n v="0"/>
    <n v="477.45"/>
    <n v="477.45"/>
    <n v="477.45"/>
    <n v="477.45"/>
    <n v="477.45"/>
    <n v="477.45"/>
    <n v="477.45"/>
    <n v="477.45"/>
    <n v="477.45"/>
    <n v="477.45"/>
    <n v="477.45"/>
    <n v="477.45"/>
    <n v="477.45"/>
    <n v="477.45"/>
  </r>
  <r>
    <s v="main"/>
    <x v="10"/>
    <n v="0"/>
    <n v="0"/>
    <n v="0"/>
    <n v="0"/>
    <n v="0"/>
    <n v="0"/>
    <n v="0"/>
    <n v="0"/>
    <n v="0"/>
    <n v="0"/>
    <n v="0"/>
    <n v="0"/>
    <n v="0"/>
    <n v="0"/>
    <n v="139.27000000000001"/>
    <n v="139.27000000000001"/>
    <n v="139.27000000000001"/>
  </r>
  <r>
    <s v="main"/>
    <x v="10"/>
    <n v="0"/>
    <n v="0"/>
    <n v="0"/>
    <n v="0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</r>
  <r>
    <s v="main"/>
    <x v="10"/>
    <n v="0"/>
    <n v="0"/>
    <n v="0"/>
    <n v="51.947499999999998"/>
    <n v="51.947499999999998"/>
    <n v="51.947499999999998"/>
    <n v="51.947499999999998"/>
    <n v="51.947499999999998"/>
    <n v="103.895"/>
    <n v="103.895"/>
    <n v="103.895"/>
    <n v="207.79"/>
    <n v="207.79"/>
    <n v="207.79"/>
    <n v="207.79"/>
    <n v="207.79"/>
    <n v="207.79"/>
  </r>
  <r>
    <s v="main"/>
    <x v="10"/>
    <n v="0"/>
    <n v="0"/>
    <n v="0"/>
    <n v="464.185"/>
    <n v="464.185"/>
    <n v="464.185"/>
    <n v="464.185"/>
    <n v="928.37"/>
    <n v="928.37"/>
    <n v="928.37"/>
    <n v="928.37"/>
    <n v="1856.74"/>
    <n v="1856.74"/>
    <n v="1856.74"/>
    <n v="1856.74"/>
    <n v="1856.74"/>
    <n v="1856.74"/>
  </r>
  <r>
    <s v="main"/>
    <x v="10"/>
    <n v="0"/>
    <n v="0"/>
    <n v="0"/>
    <n v="0"/>
    <n v="0"/>
    <n v="0"/>
    <n v="0"/>
    <n v="0"/>
    <n v="0"/>
    <n v="0"/>
    <n v="0"/>
    <n v="63.86"/>
    <n v="63.86"/>
    <n v="63.86"/>
    <n v="63.86"/>
    <n v="63.86"/>
    <n v="63.86"/>
  </r>
  <r>
    <s v="main"/>
    <x v="10"/>
    <n v="0"/>
    <n v="0"/>
    <n v="0"/>
    <n v="0"/>
    <n v="0"/>
    <n v="0"/>
    <n v="0"/>
    <n v="0"/>
    <n v="0"/>
    <n v="0"/>
    <n v="0"/>
    <n v="492.46"/>
    <n v="492.46"/>
    <n v="492.46"/>
    <n v="492.46"/>
    <n v="492.46"/>
    <n v="492.46"/>
  </r>
  <r>
    <s v="main"/>
    <x v="10"/>
    <n v="0"/>
    <n v="0"/>
    <n v="0"/>
    <n v="92.73"/>
    <n v="92.73"/>
    <n v="92.73"/>
    <n v="92.73"/>
    <n v="92.73"/>
    <n v="92.73"/>
    <n v="92.73"/>
    <n v="92.73"/>
    <n v="92.73"/>
    <n v="92.73"/>
    <n v="92.73"/>
    <n v="92.73"/>
    <n v="92.73"/>
    <n v="92.73"/>
  </r>
  <r>
    <s v="main"/>
    <x v="10"/>
    <n v="0"/>
    <n v="0"/>
    <n v="0"/>
    <n v="348.79"/>
    <n v="348.79"/>
    <n v="348.79"/>
    <n v="348.79"/>
    <n v="348.79"/>
    <n v="348.79"/>
    <n v="348.79"/>
    <n v="348.79"/>
    <n v="348.79"/>
    <n v="348.79"/>
    <n v="348.79"/>
    <n v="348.79"/>
    <n v="348.79"/>
    <n v="348.79"/>
  </r>
  <r>
    <s v="main"/>
    <x v="10"/>
    <n v="0"/>
    <n v="0"/>
    <n v="0"/>
    <n v="231.91"/>
    <n v="231.91"/>
    <n v="231.91"/>
    <n v="231.91"/>
    <n v="463.82"/>
    <n v="463.82"/>
    <n v="463.82"/>
    <n v="463.82"/>
    <n v="927.64"/>
    <n v="927.64"/>
    <n v="927.64"/>
    <n v="927.64"/>
    <n v="927.64"/>
    <n v="927.64"/>
  </r>
  <r>
    <s v="main"/>
    <x v="10"/>
    <n v="0"/>
    <n v="0"/>
    <n v="0"/>
    <n v="0"/>
    <n v="0"/>
    <n v="0"/>
    <n v="0"/>
    <n v="0"/>
    <n v="0"/>
    <n v="0"/>
    <n v="0"/>
    <n v="0"/>
    <n v="0"/>
    <n v="0"/>
    <n v="173.92"/>
    <n v="173.92"/>
    <n v="173.92"/>
  </r>
  <r>
    <s v="main"/>
    <x v="10"/>
    <n v="0"/>
    <n v="0"/>
    <n v="0"/>
    <n v="190.51"/>
    <n v="190.51"/>
    <n v="190.51"/>
    <n v="190.51"/>
    <n v="190.51"/>
    <n v="190.51"/>
    <n v="190.51"/>
    <n v="190.51"/>
    <n v="190.51"/>
    <n v="190.51"/>
    <n v="190.51"/>
    <n v="190.51"/>
    <n v="190.51"/>
    <n v="190.51"/>
  </r>
  <r>
    <s v="main"/>
    <x v="10"/>
    <n v="0"/>
    <n v="0"/>
    <n v="0"/>
    <n v="0"/>
    <n v="0"/>
    <n v="0"/>
    <n v="0"/>
    <n v="0"/>
    <n v="0"/>
    <n v="677.49"/>
    <n v="677.49"/>
    <n v="677.49"/>
    <n v="677.49"/>
    <n v="677.49"/>
    <n v="677.49"/>
    <n v="677.49"/>
    <n v="677.49"/>
  </r>
  <r>
    <s v="main"/>
    <x v="10"/>
    <n v="0"/>
    <n v="0"/>
    <n v="0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</r>
  <r>
    <s v="main"/>
    <x v="10"/>
    <n v="0"/>
    <n v="0"/>
    <n v="0"/>
    <n v="769.24"/>
    <n v="769.24"/>
    <n v="769.24"/>
    <n v="769.24"/>
    <n v="769.24"/>
    <n v="769.24"/>
    <n v="769.24"/>
    <n v="769.24"/>
    <n v="769.24"/>
    <n v="769.24"/>
    <n v="769.24"/>
    <n v="769.24"/>
    <n v="769.24"/>
    <n v="769.24"/>
  </r>
  <r>
    <s v="main"/>
    <x v="10"/>
    <n v="0"/>
    <n v="0"/>
    <n v="0"/>
    <n v="91.63"/>
    <n v="91.63"/>
    <n v="91.63"/>
    <n v="91.63"/>
    <n v="91.63"/>
    <n v="91.63"/>
    <n v="91.63"/>
    <n v="91.63"/>
    <n v="91.63"/>
    <n v="91.63"/>
    <n v="91.63"/>
    <n v="91.63"/>
    <n v="91.63"/>
    <n v="91.63"/>
  </r>
  <r>
    <s v="main"/>
    <x v="10"/>
    <n v="0"/>
    <n v="0"/>
    <n v="0"/>
    <n v="829.05"/>
    <n v="829.05"/>
    <n v="829.05"/>
    <n v="829.05"/>
    <n v="829.05"/>
    <n v="829.05"/>
    <n v="829.05"/>
    <n v="829.05"/>
    <n v="829.05"/>
    <n v="829.05"/>
    <n v="829.05"/>
    <n v="829.05"/>
    <n v="829.05"/>
    <n v="829.05"/>
  </r>
  <r>
    <s v="basement"/>
    <x v="10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basement"/>
    <x v="10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basement"/>
    <x v="10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s v="basement"/>
    <x v="10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s v="basement"/>
    <x v="10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s v="basement"/>
    <x v="10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basement"/>
    <x v="10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basement"/>
    <x v="10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basement"/>
    <x v="10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basement"/>
    <x v="10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s v="basement"/>
    <x v="1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1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10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basement"/>
    <x v="10"/>
    <n v="0"/>
    <n v="0"/>
    <n v="0"/>
    <n v="0"/>
    <n v="0"/>
    <n v="0"/>
    <n v="0"/>
    <n v="0"/>
    <n v="0"/>
    <n v="0"/>
    <n v="0"/>
    <n v="74.19"/>
    <n v="74.19"/>
    <n v="74.19"/>
    <n v="74.19"/>
    <n v="74.19"/>
    <n v="74.19"/>
  </r>
  <r>
    <s v="basement"/>
    <x v="10"/>
    <n v="0"/>
    <n v="0"/>
    <n v="0"/>
    <n v="550.54"/>
    <n v="550.54"/>
    <n v="550.54"/>
    <n v="550.54"/>
    <n v="550.54"/>
    <n v="550.54"/>
    <n v="550.54"/>
    <n v="550.54"/>
    <n v="550.54"/>
    <n v="550.54"/>
    <n v="550.54"/>
    <n v="550.54"/>
    <n v="550.54"/>
    <n v="550.54"/>
  </r>
  <r>
    <s v="basement"/>
    <x v="10"/>
    <n v="0"/>
    <n v="0"/>
    <n v="0"/>
    <n v="0"/>
    <n v="0"/>
    <n v="0"/>
    <n v="0"/>
    <n v="0"/>
    <n v="0"/>
    <n v="0"/>
    <n v="0"/>
    <n v="0"/>
    <n v="0"/>
    <n v="0"/>
    <n v="160.57"/>
    <n v="160.57"/>
    <n v="160.57"/>
  </r>
  <r>
    <s v="basement"/>
    <x v="10"/>
    <n v="0"/>
    <n v="0"/>
    <n v="0"/>
    <n v="0"/>
    <n v="312.23"/>
    <n v="312.23"/>
    <n v="312.23"/>
    <n v="312.23"/>
    <n v="312.23"/>
    <n v="312.23"/>
    <n v="312.23"/>
    <n v="312.23"/>
    <n v="312.23"/>
    <n v="312.23"/>
    <n v="312.23"/>
    <n v="312.23"/>
    <n v="312.23"/>
  </r>
  <r>
    <s v="basement"/>
    <x v="10"/>
    <n v="0"/>
    <n v="0"/>
    <n v="0"/>
    <n v="59.9"/>
    <n v="59.9"/>
    <n v="59.9"/>
    <n v="59.9"/>
    <n v="59.9"/>
    <n v="119.8"/>
    <n v="119.8"/>
    <n v="119.8"/>
    <n v="239.6"/>
    <n v="239.6"/>
    <n v="239.6"/>
    <n v="239.6"/>
    <n v="239.6"/>
    <n v="239.6"/>
  </r>
  <r>
    <s v="basement"/>
    <x v="10"/>
    <n v="0"/>
    <n v="0"/>
    <n v="0"/>
    <n v="535.25"/>
    <n v="535.25"/>
    <n v="535.25"/>
    <n v="535.25"/>
    <n v="1070.5"/>
    <n v="1070.5"/>
    <n v="1070.5"/>
    <n v="1070.5"/>
    <n v="2141"/>
    <n v="2141"/>
    <n v="2141"/>
    <n v="2141"/>
    <n v="2141"/>
    <n v="2141"/>
  </r>
  <r>
    <s v="basement"/>
    <x v="10"/>
    <n v="0"/>
    <n v="0"/>
    <n v="0"/>
    <n v="0"/>
    <n v="0"/>
    <n v="0"/>
    <n v="0"/>
    <n v="0"/>
    <n v="0"/>
    <n v="0"/>
    <n v="0"/>
    <n v="73.64"/>
    <n v="73.64"/>
    <n v="73.64"/>
    <n v="73.64"/>
    <n v="73.64"/>
    <n v="73.64"/>
  </r>
  <r>
    <s v="basement"/>
    <x v="10"/>
    <n v="0"/>
    <n v="0"/>
    <n v="0"/>
    <n v="0"/>
    <n v="0"/>
    <n v="0"/>
    <n v="0"/>
    <n v="0"/>
    <n v="0"/>
    <n v="0"/>
    <n v="0"/>
    <n v="567.82000000000005"/>
    <n v="567.82000000000005"/>
    <n v="567.82000000000005"/>
    <n v="567.82000000000005"/>
    <n v="567.82000000000005"/>
    <n v="567.82000000000005"/>
  </r>
  <r>
    <s v="basement"/>
    <x v="10"/>
    <n v="0"/>
    <n v="0"/>
    <n v="0"/>
    <n v="106.91"/>
    <n v="106.91"/>
    <n v="106.91"/>
    <n v="106.91"/>
    <n v="106.91"/>
    <n v="106.91"/>
    <n v="106.91"/>
    <n v="106.91"/>
    <n v="106.91"/>
    <n v="106.91"/>
    <n v="106.91"/>
    <n v="106.91"/>
    <n v="106.91"/>
    <n v="106.91"/>
  </r>
  <r>
    <s v="basement"/>
    <x v="10"/>
    <n v="0"/>
    <n v="0"/>
    <n v="0"/>
    <n v="402.14"/>
    <n v="402.14"/>
    <n v="402.14"/>
    <n v="402.14"/>
    <n v="402.14"/>
    <n v="402.14"/>
    <n v="402.14"/>
    <n v="402.14"/>
    <n v="402.14"/>
    <n v="402.14"/>
    <n v="402.14"/>
    <n v="402.14"/>
    <n v="402.14"/>
    <n v="402.14"/>
  </r>
  <r>
    <s v="basement"/>
    <x v="10"/>
    <n v="0"/>
    <n v="0"/>
    <n v="0"/>
    <n v="218.29"/>
    <n v="218.29"/>
    <n v="218.29"/>
    <n v="218.29"/>
    <n v="436.58"/>
    <n v="436.58"/>
    <n v="436.58"/>
    <n v="436.58"/>
    <n v="873.16"/>
    <n v="873.16"/>
    <n v="873.16"/>
    <n v="873.16"/>
    <n v="873.16"/>
    <n v="873.16"/>
  </r>
  <r>
    <s v="basement"/>
    <x v="10"/>
    <n v="0"/>
    <n v="0"/>
    <n v="0"/>
    <n v="0"/>
    <n v="0"/>
    <n v="0"/>
    <n v="0"/>
    <n v="0"/>
    <n v="0"/>
    <n v="0"/>
    <n v="0"/>
    <n v="0"/>
    <n v="0"/>
    <n v="0"/>
    <n v="163.71"/>
    <n v="163.71"/>
    <n v="163.71"/>
  </r>
  <r>
    <s v="basement"/>
    <x v="10"/>
    <n v="0"/>
    <n v="0"/>
    <n v="0"/>
    <n v="179.31"/>
    <n v="179.31"/>
    <n v="179.31"/>
    <n v="179.31"/>
    <n v="179.31"/>
    <n v="179.31"/>
    <n v="179.31"/>
    <n v="179.31"/>
    <n v="179.31"/>
    <n v="179.31"/>
    <n v="179.31"/>
    <n v="179.31"/>
    <n v="179.31"/>
    <n v="179.31"/>
  </r>
  <r>
    <s v="basement"/>
    <x v="10"/>
    <n v="0"/>
    <n v="0"/>
    <n v="0"/>
    <n v="0"/>
    <n v="0"/>
    <n v="0"/>
    <n v="0"/>
    <n v="0"/>
    <n v="0"/>
    <n v="901.71"/>
    <n v="901.71"/>
    <n v="901.71"/>
    <n v="901.71"/>
    <n v="901.71"/>
    <n v="901.71"/>
    <n v="901.71"/>
    <n v="901.71"/>
  </r>
  <r>
    <s v="basement"/>
    <x v="10"/>
    <n v="0"/>
    <n v="0"/>
    <n v="0"/>
    <n v="372.16"/>
    <n v="372.16"/>
    <n v="372.16"/>
    <n v="372.16"/>
    <n v="372.16"/>
    <n v="372.16"/>
    <n v="372.16"/>
    <n v="372.16"/>
    <n v="372.16"/>
    <n v="372.16"/>
    <n v="372.16"/>
    <n v="372.16"/>
    <n v="372.16"/>
    <n v="372.16"/>
  </r>
  <r>
    <s v="basement"/>
    <x v="10"/>
    <n v="0"/>
    <n v="0"/>
    <n v="0"/>
    <n v="1023.97"/>
    <n v="1023.97"/>
    <n v="1023.97"/>
    <n v="1023.97"/>
    <n v="1023.97"/>
    <n v="1023.97"/>
    <n v="1023.97"/>
    <n v="1023.97"/>
    <n v="1023.97"/>
    <n v="1023.97"/>
    <n v="1023.97"/>
    <n v="1023.97"/>
    <n v="1023.97"/>
    <n v="1023.97"/>
  </r>
  <r>
    <s v="basement"/>
    <x v="10"/>
    <n v="0"/>
    <n v="0"/>
    <n v="0"/>
    <n v="121.93"/>
    <n v="121.93"/>
    <n v="121.93"/>
    <n v="121.93"/>
    <n v="121.93"/>
    <n v="121.93"/>
    <n v="121.93"/>
    <n v="121.93"/>
    <n v="121.93"/>
    <n v="121.93"/>
    <n v="121.93"/>
    <n v="121.93"/>
    <n v="121.93"/>
    <n v="121.93"/>
  </r>
  <r>
    <s v="basement"/>
    <x v="10"/>
    <n v="0"/>
    <n v="0"/>
    <n v="0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</r>
  <r>
    <s v="basement"/>
    <x v="12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basement"/>
    <x v="12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s v="basement"/>
    <x v="12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basement"/>
    <x v="12"/>
    <n v="0"/>
    <n v="0"/>
    <n v="0"/>
    <n v="0"/>
    <n v="0"/>
    <n v="0"/>
    <n v="0"/>
    <n v="0"/>
    <n v="0"/>
    <n v="0"/>
    <n v="0"/>
    <n v="46.94"/>
    <n v="46.94"/>
    <n v="46.94"/>
    <n v="46.94"/>
    <n v="46.94"/>
    <n v="46.94"/>
  </r>
  <r>
    <s v="basement"/>
    <x v="12"/>
    <n v="0"/>
    <n v="0"/>
    <n v="0"/>
    <n v="348.36"/>
    <n v="348.36"/>
    <n v="348.36"/>
    <n v="348.36"/>
    <n v="348.36"/>
    <n v="348.36"/>
    <n v="348.36"/>
    <n v="348.36"/>
    <n v="348.36"/>
    <n v="348.36"/>
    <n v="348.36"/>
    <n v="348.36"/>
    <n v="348.36"/>
    <n v="348.36"/>
  </r>
  <r>
    <s v="basement"/>
    <x v="12"/>
    <n v="0"/>
    <n v="0"/>
    <n v="0"/>
    <n v="0"/>
    <n v="0"/>
    <n v="0"/>
    <n v="0"/>
    <n v="0"/>
    <n v="0"/>
    <n v="0"/>
    <n v="0"/>
    <n v="0"/>
    <n v="0"/>
    <n v="0"/>
    <n v="101.61"/>
    <n v="101.61"/>
    <n v="101.61"/>
  </r>
  <r>
    <s v="basement"/>
    <x v="12"/>
    <n v="0"/>
    <n v="0"/>
    <n v="0"/>
    <n v="0"/>
    <n v="197.56"/>
    <n v="197.56"/>
    <n v="197.56"/>
    <n v="197.56"/>
    <n v="197.56"/>
    <n v="197.56"/>
    <n v="197.56"/>
    <n v="197.56"/>
    <n v="197.56"/>
    <n v="197.56"/>
    <n v="197.56"/>
    <n v="197.56"/>
    <n v="197.56"/>
  </r>
  <r>
    <s v="basement"/>
    <x v="12"/>
    <n v="0"/>
    <n v="0"/>
    <n v="0"/>
    <n v="37.9"/>
    <n v="37.9"/>
    <n v="37.9"/>
    <n v="37.9"/>
    <n v="37.9"/>
    <n v="75.8"/>
    <n v="75.8"/>
    <n v="75.8"/>
    <n v="151.6"/>
    <n v="151.6"/>
    <n v="151.6"/>
    <n v="151.6"/>
    <n v="151.6"/>
    <n v="151.6"/>
  </r>
  <r>
    <s v="basement"/>
    <x v="12"/>
    <n v="0"/>
    <n v="0"/>
    <n v="0"/>
    <n v="338.69"/>
    <n v="338.69"/>
    <n v="338.69"/>
    <n v="338.69"/>
    <n v="677.38"/>
    <n v="677.38"/>
    <n v="677.38"/>
    <n v="677.38"/>
    <n v="1354.76"/>
    <n v="1354.76"/>
    <n v="1354.76"/>
    <n v="1354.76"/>
    <n v="1354.76"/>
    <n v="1354.76"/>
  </r>
  <r>
    <s v="basement"/>
    <x v="12"/>
    <n v="0"/>
    <n v="0"/>
    <n v="0"/>
    <n v="0"/>
    <n v="0"/>
    <n v="0"/>
    <n v="0"/>
    <n v="0"/>
    <n v="0"/>
    <n v="0"/>
    <n v="0"/>
    <n v="46.58"/>
    <n v="46.58"/>
    <n v="46.58"/>
    <n v="46.58"/>
    <n v="46.58"/>
    <n v="46.58"/>
  </r>
  <r>
    <s v="basement"/>
    <x v="12"/>
    <n v="0"/>
    <n v="0"/>
    <n v="0"/>
    <n v="0"/>
    <n v="0"/>
    <n v="0"/>
    <n v="0"/>
    <n v="0"/>
    <n v="0"/>
    <n v="0"/>
    <n v="0"/>
    <n v="359.27"/>
    <n v="359.27"/>
    <n v="359.27"/>
    <n v="359.27"/>
    <n v="359.27"/>
    <n v="359.27"/>
  </r>
  <r>
    <s v="basement"/>
    <x v="12"/>
    <n v="0"/>
    <n v="0"/>
    <n v="0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</r>
  <r>
    <s v="basement"/>
    <x v="12"/>
    <n v="0"/>
    <n v="0"/>
    <n v="0"/>
    <n v="254.43"/>
    <n v="254.43"/>
    <n v="254.43"/>
    <n v="254.43"/>
    <n v="254.43"/>
    <n v="254.43"/>
    <n v="254.43"/>
    <n v="254.43"/>
    <n v="254.43"/>
    <n v="254.43"/>
    <n v="254.43"/>
    <n v="254.43"/>
    <n v="254.43"/>
    <n v="254.43"/>
  </r>
  <r>
    <s v="basement"/>
    <x v="12"/>
    <n v="0"/>
    <n v="0"/>
    <n v="0"/>
    <n v="58.232500000000002"/>
    <n v="58.232500000000002"/>
    <n v="58.232500000000002"/>
    <n v="58.232500000000002"/>
    <n v="116.465"/>
    <n v="116.465"/>
    <n v="116.465"/>
    <n v="116.465"/>
    <n v="232.93"/>
    <n v="232.93"/>
    <n v="232.93"/>
    <n v="232.93"/>
    <n v="232.93"/>
    <n v="232.93"/>
  </r>
  <r>
    <s v="basement"/>
    <x v="12"/>
    <n v="0"/>
    <n v="0"/>
    <n v="0"/>
    <n v="0"/>
    <n v="0"/>
    <n v="0"/>
    <n v="0"/>
    <n v="0"/>
    <n v="0"/>
    <n v="0"/>
    <n v="0"/>
    <n v="0"/>
    <n v="0"/>
    <n v="0"/>
    <n v="43.68"/>
    <n v="43.68"/>
    <n v="43.68"/>
  </r>
  <r>
    <s v="basement"/>
    <x v="12"/>
    <n v="0"/>
    <n v="0"/>
    <n v="0"/>
    <n v="47.84"/>
    <n v="47.84"/>
    <n v="47.84"/>
    <n v="47.84"/>
    <n v="47.84"/>
    <n v="47.84"/>
    <n v="47.84"/>
    <n v="47.84"/>
    <n v="47.84"/>
    <n v="47.84"/>
    <n v="47.84"/>
    <n v="47.84"/>
    <n v="47.84"/>
    <n v="47.84"/>
  </r>
  <r>
    <s v="basement"/>
    <x v="12"/>
    <n v="0"/>
    <n v="0"/>
    <n v="0"/>
    <n v="0"/>
    <n v="0"/>
    <n v="0"/>
    <n v="0"/>
    <n v="0"/>
    <n v="0"/>
    <n v="240.47"/>
    <n v="240.47"/>
    <n v="240.47"/>
    <n v="240.47"/>
    <n v="240.47"/>
    <n v="240.47"/>
    <n v="240.47"/>
    <n v="240.47"/>
  </r>
  <r>
    <s v="basement"/>
    <x v="12"/>
    <n v="0"/>
    <n v="0"/>
    <n v="0"/>
    <n v="99.27"/>
    <n v="99.27"/>
    <n v="99.27"/>
    <n v="99.27"/>
    <n v="99.27"/>
    <n v="99.27"/>
    <n v="99.27"/>
    <n v="99.27"/>
    <n v="99.27"/>
    <n v="99.27"/>
    <n v="99.27"/>
    <n v="99.27"/>
    <n v="99.27"/>
    <n v="99.27"/>
  </r>
  <r>
    <s v="basement"/>
    <x v="12"/>
    <n v="0"/>
    <n v="0"/>
    <n v="0"/>
    <n v="273.14999999999998"/>
    <n v="273.14999999999998"/>
    <n v="273.14999999999998"/>
    <n v="273.14999999999998"/>
    <n v="273.14999999999998"/>
    <n v="273.14999999999998"/>
    <n v="273.14999999999998"/>
    <n v="273.14999999999998"/>
    <n v="273.14999999999998"/>
    <n v="273.14999999999998"/>
    <n v="273.14999999999998"/>
    <n v="273.14999999999998"/>
    <n v="273.14999999999998"/>
    <n v="273.14999999999998"/>
  </r>
  <r>
    <s v="basement"/>
    <x v="12"/>
    <n v="0"/>
    <n v="0"/>
    <n v="0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</r>
  <r>
    <s v="basement"/>
    <x v="12"/>
    <n v="0"/>
    <n v="0"/>
    <n v="0"/>
    <n v="294.27999999999997"/>
    <n v="294.27999999999997"/>
    <n v="294.27999999999997"/>
    <n v="294.27999999999997"/>
    <n v="294.27999999999997"/>
    <n v="294.27999999999997"/>
    <n v="294.27999999999997"/>
    <n v="294.27999999999997"/>
    <n v="294.27999999999997"/>
    <n v="294.27999999999997"/>
    <n v="294.27999999999997"/>
    <n v="294.27999999999997"/>
    <n v="294.27999999999997"/>
    <n v="294.27999999999997"/>
  </r>
  <r>
    <s v="main"/>
    <x v="12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main"/>
    <x v="12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s v="main"/>
    <x v="12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2"/>
    <n v="0"/>
    <n v="0"/>
    <n v="0"/>
    <n v="0"/>
    <n v="0"/>
    <n v="0"/>
    <n v="0"/>
    <n v="0"/>
    <n v="0"/>
    <n v="0"/>
    <n v="0"/>
    <n v="51.97"/>
    <n v="51.97"/>
    <n v="51.97"/>
    <n v="51.97"/>
    <n v="51.97"/>
    <n v="51.97"/>
  </r>
  <r>
    <s v="main"/>
    <x v="12"/>
    <n v="0"/>
    <n v="0"/>
    <n v="0"/>
    <n v="385.69"/>
    <n v="385.69"/>
    <n v="385.69"/>
    <n v="385.69"/>
    <n v="385.69"/>
    <n v="385.69"/>
    <n v="385.69"/>
    <n v="385.69"/>
    <n v="385.69"/>
    <n v="385.69"/>
    <n v="385.69"/>
    <n v="385.69"/>
    <n v="385.69"/>
    <n v="385.69"/>
  </r>
  <r>
    <s v="main"/>
    <x v="12"/>
    <n v="0"/>
    <n v="0"/>
    <n v="0"/>
    <n v="0"/>
    <n v="0"/>
    <n v="0"/>
    <n v="0"/>
    <n v="0"/>
    <n v="0"/>
    <n v="0"/>
    <n v="0"/>
    <n v="0"/>
    <n v="0"/>
    <n v="0"/>
    <n v="112.48"/>
    <n v="112.48"/>
    <n v="112.48"/>
  </r>
  <r>
    <s v="main"/>
    <x v="12"/>
    <n v="0"/>
    <n v="0"/>
    <n v="0"/>
    <n v="0"/>
    <n v="218.74"/>
    <n v="218.74"/>
    <n v="218.74"/>
    <n v="218.74"/>
    <n v="218.74"/>
    <n v="218.74"/>
    <n v="218.74"/>
    <n v="218.74"/>
    <n v="218.74"/>
    <n v="218.74"/>
    <n v="218.74"/>
    <n v="218.74"/>
    <n v="218.74"/>
  </r>
  <r>
    <s v="main"/>
    <x v="12"/>
    <n v="0"/>
    <n v="0"/>
    <n v="0"/>
    <n v="41.962499999999999"/>
    <n v="41.962499999999999"/>
    <n v="41.962499999999999"/>
    <n v="41.962499999999999"/>
    <n v="41.962499999999999"/>
    <n v="83.924999999999997"/>
    <n v="83.924999999999997"/>
    <n v="83.924999999999997"/>
    <n v="167.85"/>
    <n v="167.85"/>
    <n v="167.85"/>
    <n v="167.85"/>
    <n v="167.85"/>
    <n v="167.85"/>
  </r>
  <r>
    <s v="main"/>
    <x v="12"/>
    <n v="0"/>
    <n v="0"/>
    <n v="0"/>
    <n v="374.97500000000002"/>
    <n v="374.97500000000002"/>
    <n v="374.97500000000002"/>
    <n v="374.97500000000002"/>
    <n v="749.95"/>
    <n v="749.95"/>
    <n v="749.95"/>
    <n v="749.95"/>
    <n v="1499.9"/>
    <n v="1499.9"/>
    <n v="1499.9"/>
    <n v="1499.9"/>
    <n v="1499.9"/>
    <n v="1499.9"/>
  </r>
  <r>
    <s v="main"/>
    <x v="12"/>
    <n v="0"/>
    <n v="0"/>
    <n v="0"/>
    <n v="0"/>
    <n v="0"/>
    <n v="0"/>
    <n v="0"/>
    <n v="0"/>
    <n v="0"/>
    <n v="0"/>
    <n v="0"/>
    <n v="51.58"/>
    <n v="51.58"/>
    <n v="51.58"/>
    <n v="51.58"/>
    <n v="51.58"/>
    <n v="51.58"/>
  </r>
  <r>
    <s v="main"/>
    <x v="12"/>
    <n v="0"/>
    <n v="0"/>
    <n v="0"/>
    <n v="0"/>
    <n v="0"/>
    <n v="0"/>
    <n v="0"/>
    <n v="0"/>
    <n v="0"/>
    <n v="0"/>
    <n v="0"/>
    <n v="397.77"/>
    <n v="397.77"/>
    <n v="397.77"/>
    <n v="397.77"/>
    <n v="397.77"/>
    <n v="397.77"/>
  </r>
  <r>
    <s v="main"/>
    <x v="12"/>
    <n v="0"/>
    <n v="0"/>
    <n v="0"/>
    <n v="74.89"/>
    <n v="74.89"/>
    <n v="74.89"/>
    <n v="74.89"/>
    <n v="74.89"/>
    <n v="74.89"/>
    <n v="74.89"/>
    <n v="74.89"/>
    <n v="74.89"/>
    <n v="74.89"/>
    <n v="74.89"/>
    <n v="74.89"/>
    <n v="74.89"/>
    <n v="74.89"/>
  </r>
  <r>
    <s v="main"/>
    <x v="12"/>
    <n v="0"/>
    <n v="0"/>
    <n v="0"/>
    <n v="281.70999999999998"/>
    <n v="281.70999999999998"/>
    <n v="281.70999999999998"/>
    <n v="281.70999999999998"/>
    <n v="281.70999999999998"/>
    <n v="281.70999999999998"/>
    <n v="281.70999999999998"/>
    <n v="281.70999999999998"/>
    <n v="281.70999999999998"/>
    <n v="281.70999999999998"/>
    <n v="281.70999999999998"/>
    <n v="281.70999999999998"/>
    <n v="281.70999999999998"/>
    <n v="281.70999999999998"/>
  </r>
  <r>
    <s v="main"/>
    <x v="12"/>
    <n v="0"/>
    <n v="0"/>
    <n v="0"/>
    <n v="87.967500000000001"/>
    <n v="87.967500000000001"/>
    <n v="87.967500000000001"/>
    <n v="87.967500000000001"/>
    <n v="175.935"/>
    <n v="175.935"/>
    <n v="175.935"/>
    <n v="175.935"/>
    <n v="351.87"/>
    <n v="351.87"/>
    <n v="351.87"/>
    <n v="351.87"/>
    <n v="351.87"/>
    <n v="351.87"/>
  </r>
  <r>
    <s v="main"/>
    <x v="12"/>
    <n v="0"/>
    <n v="0"/>
    <n v="0"/>
    <n v="0"/>
    <n v="0"/>
    <n v="0"/>
    <n v="0"/>
    <n v="0"/>
    <n v="0"/>
    <n v="0"/>
    <n v="0"/>
    <n v="0"/>
    <n v="0"/>
    <n v="0"/>
    <n v="65.98"/>
    <n v="65.98"/>
    <n v="65.98"/>
  </r>
  <r>
    <s v="main"/>
    <x v="12"/>
    <n v="0"/>
    <n v="0"/>
    <n v="0"/>
    <n v="72.260000000000005"/>
    <n v="72.260000000000005"/>
    <n v="72.260000000000005"/>
    <n v="72.260000000000005"/>
    <n v="72.260000000000005"/>
    <n v="72.260000000000005"/>
    <n v="72.260000000000005"/>
    <n v="72.260000000000005"/>
    <n v="72.260000000000005"/>
    <n v="72.260000000000005"/>
    <n v="72.260000000000005"/>
    <n v="72.260000000000005"/>
    <n v="72.260000000000005"/>
    <n v="72.260000000000005"/>
  </r>
  <r>
    <s v="main"/>
    <x v="12"/>
    <n v="0"/>
    <n v="0"/>
    <n v="0"/>
    <n v="0"/>
    <n v="0"/>
    <n v="0"/>
    <n v="0"/>
    <n v="0"/>
    <n v="0"/>
    <n v="363.32"/>
    <n v="363.32"/>
    <n v="363.32"/>
    <n v="363.32"/>
    <n v="363.32"/>
    <n v="363.32"/>
    <n v="363.32"/>
    <n v="363.32"/>
  </r>
  <r>
    <s v="main"/>
    <x v="12"/>
    <n v="0"/>
    <n v="0"/>
    <n v="0"/>
    <n v="149.97999999999999"/>
    <n v="149.97999999999999"/>
    <n v="149.97999999999999"/>
    <n v="149.97999999999999"/>
    <n v="149.97999999999999"/>
    <n v="149.97999999999999"/>
    <n v="149.97999999999999"/>
    <n v="149.97999999999999"/>
    <n v="149.97999999999999"/>
    <n v="149.97999999999999"/>
    <n v="149.97999999999999"/>
    <n v="149.97999999999999"/>
    <n v="149.97999999999999"/>
    <n v="149.97999999999999"/>
  </r>
  <r>
    <s v="main"/>
    <x v="12"/>
    <n v="0"/>
    <n v="0"/>
    <n v="0"/>
    <n v="412.64"/>
    <n v="412.64"/>
    <n v="412.64"/>
    <n v="412.64"/>
    <n v="412.64"/>
    <n v="412.64"/>
    <n v="412.64"/>
    <n v="412.64"/>
    <n v="412.64"/>
    <n v="412.64"/>
    <n v="412.64"/>
    <n v="412.64"/>
    <n v="412.64"/>
    <n v="412.64"/>
  </r>
  <r>
    <s v="main"/>
    <x v="12"/>
    <n v="0"/>
    <n v="0"/>
    <n v="0"/>
    <n v="49.12"/>
    <n v="49.12"/>
    <n v="49.12"/>
    <n v="49.12"/>
    <n v="49.12"/>
    <n v="49.12"/>
    <n v="49.12"/>
    <n v="49.12"/>
    <n v="49.12"/>
    <n v="49.12"/>
    <n v="49.12"/>
    <n v="49.12"/>
    <n v="49.12"/>
    <n v="49.12"/>
  </r>
  <r>
    <s v="main"/>
    <x v="12"/>
    <n v="0"/>
    <n v="0"/>
    <n v="0"/>
    <n v="444.59"/>
    <n v="444.59"/>
    <n v="444.59"/>
    <n v="444.59"/>
    <n v="444.59"/>
    <n v="444.59"/>
    <n v="444.59"/>
    <n v="444.59"/>
    <n v="444.59"/>
    <n v="444.59"/>
    <n v="444.59"/>
    <n v="444.59"/>
    <n v="444.59"/>
    <n v="444.59"/>
  </r>
  <r>
    <s v="basement"/>
    <x v="10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basement"/>
    <x v="10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basement"/>
    <x v="10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s v="basement"/>
    <x v="10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s v="basement"/>
    <x v="10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s v="basement"/>
    <x v="10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basement"/>
    <x v="10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basement"/>
    <x v="10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basement"/>
    <x v="10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basement"/>
    <x v="10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s v="basement"/>
    <x v="1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1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10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basement"/>
    <x v="10"/>
    <n v="0"/>
    <n v="0"/>
    <n v="0"/>
    <n v="0"/>
    <n v="0"/>
    <n v="0"/>
    <n v="0"/>
    <n v="0"/>
    <n v="0"/>
    <n v="0"/>
    <n v="0"/>
    <n v="74.19"/>
    <n v="74.19"/>
    <n v="74.19"/>
    <n v="74.19"/>
    <n v="74.19"/>
    <n v="74.19"/>
  </r>
  <r>
    <s v="basement"/>
    <x v="10"/>
    <n v="0"/>
    <n v="0"/>
    <n v="0"/>
    <n v="550.54"/>
    <n v="550.54"/>
    <n v="550.54"/>
    <n v="550.54"/>
    <n v="550.54"/>
    <n v="550.54"/>
    <n v="550.54"/>
    <n v="550.54"/>
    <n v="550.54"/>
    <n v="550.54"/>
    <n v="550.54"/>
    <n v="550.54"/>
    <n v="550.54"/>
    <n v="550.54"/>
  </r>
  <r>
    <s v="basement"/>
    <x v="10"/>
    <n v="0"/>
    <n v="0"/>
    <n v="0"/>
    <n v="0"/>
    <n v="0"/>
    <n v="0"/>
    <n v="0"/>
    <n v="0"/>
    <n v="0"/>
    <n v="0"/>
    <n v="0"/>
    <n v="0"/>
    <n v="0"/>
    <n v="0"/>
    <n v="160.57"/>
    <n v="160.57"/>
    <n v="160.57"/>
  </r>
  <r>
    <s v="basement"/>
    <x v="10"/>
    <n v="0"/>
    <n v="0"/>
    <n v="0"/>
    <n v="0"/>
    <n v="312.23"/>
    <n v="312.23"/>
    <n v="312.23"/>
    <n v="312.23"/>
    <n v="312.23"/>
    <n v="312.23"/>
    <n v="312.23"/>
    <n v="312.23"/>
    <n v="312.23"/>
    <n v="312.23"/>
    <n v="312.23"/>
    <n v="312.23"/>
    <n v="312.23"/>
  </r>
  <r>
    <s v="basement"/>
    <x v="10"/>
    <n v="0"/>
    <n v="0"/>
    <n v="0"/>
    <n v="59.9"/>
    <n v="59.9"/>
    <n v="59.9"/>
    <n v="59.9"/>
    <n v="59.9"/>
    <n v="119.8"/>
    <n v="119.8"/>
    <n v="119.8"/>
    <n v="239.6"/>
    <n v="239.6"/>
    <n v="239.6"/>
    <n v="239.6"/>
    <n v="239.6"/>
    <n v="239.6"/>
  </r>
  <r>
    <s v="basement"/>
    <x v="10"/>
    <n v="0"/>
    <n v="0"/>
    <n v="0"/>
    <n v="535.25"/>
    <n v="535.25"/>
    <n v="535.25"/>
    <n v="535.25"/>
    <n v="1070.5"/>
    <n v="1070.5"/>
    <n v="1070.5"/>
    <n v="1070.5"/>
    <n v="2141"/>
    <n v="2141"/>
    <n v="2141"/>
    <n v="2141"/>
    <n v="2141"/>
    <n v="2141"/>
  </r>
  <r>
    <s v="basement"/>
    <x v="10"/>
    <n v="0"/>
    <n v="0"/>
    <n v="0"/>
    <n v="0"/>
    <n v="0"/>
    <n v="0"/>
    <n v="0"/>
    <n v="0"/>
    <n v="0"/>
    <n v="0"/>
    <n v="0"/>
    <n v="73.64"/>
    <n v="73.64"/>
    <n v="73.64"/>
    <n v="73.64"/>
    <n v="73.64"/>
    <n v="73.64"/>
  </r>
  <r>
    <s v="basement"/>
    <x v="10"/>
    <n v="0"/>
    <n v="0"/>
    <n v="0"/>
    <n v="0"/>
    <n v="0"/>
    <n v="0"/>
    <n v="0"/>
    <n v="0"/>
    <n v="0"/>
    <n v="0"/>
    <n v="0"/>
    <n v="567.82000000000005"/>
    <n v="567.82000000000005"/>
    <n v="567.82000000000005"/>
    <n v="567.82000000000005"/>
    <n v="567.82000000000005"/>
    <n v="567.82000000000005"/>
  </r>
  <r>
    <s v="basement"/>
    <x v="10"/>
    <n v="0"/>
    <n v="0"/>
    <n v="0"/>
    <n v="106.91"/>
    <n v="106.91"/>
    <n v="106.91"/>
    <n v="106.91"/>
    <n v="106.91"/>
    <n v="106.91"/>
    <n v="106.91"/>
    <n v="106.91"/>
    <n v="106.91"/>
    <n v="106.91"/>
    <n v="106.91"/>
    <n v="106.91"/>
    <n v="106.91"/>
    <n v="106.91"/>
  </r>
  <r>
    <s v="basement"/>
    <x v="10"/>
    <n v="0"/>
    <n v="0"/>
    <n v="0"/>
    <n v="402.14"/>
    <n v="402.14"/>
    <n v="402.14"/>
    <n v="402.14"/>
    <n v="402.14"/>
    <n v="402.14"/>
    <n v="402.14"/>
    <n v="402.14"/>
    <n v="402.14"/>
    <n v="402.14"/>
    <n v="402.14"/>
    <n v="402.14"/>
    <n v="402.14"/>
    <n v="402.14"/>
  </r>
  <r>
    <s v="basement"/>
    <x v="10"/>
    <n v="0"/>
    <n v="0"/>
    <n v="0"/>
    <n v="218.29"/>
    <n v="218.29"/>
    <n v="218.29"/>
    <n v="218.29"/>
    <n v="436.58"/>
    <n v="436.58"/>
    <n v="436.58"/>
    <n v="436.58"/>
    <n v="873.16"/>
    <n v="873.16"/>
    <n v="873.16"/>
    <n v="873.16"/>
    <n v="873.16"/>
    <n v="873.16"/>
  </r>
  <r>
    <s v="basement"/>
    <x v="10"/>
    <n v="0"/>
    <n v="0"/>
    <n v="0"/>
    <n v="0"/>
    <n v="0"/>
    <n v="0"/>
    <n v="0"/>
    <n v="0"/>
    <n v="0"/>
    <n v="0"/>
    <n v="0"/>
    <n v="0"/>
    <n v="0"/>
    <n v="0"/>
    <n v="163.71"/>
    <n v="163.71"/>
    <n v="163.71"/>
  </r>
  <r>
    <s v="basement"/>
    <x v="10"/>
    <n v="0"/>
    <n v="0"/>
    <n v="0"/>
    <n v="179.31"/>
    <n v="179.31"/>
    <n v="179.31"/>
    <n v="179.31"/>
    <n v="179.31"/>
    <n v="179.31"/>
    <n v="179.31"/>
    <n v="179.31"/>
    <n v="179.31"/>
    <n v="179.31"/>
    <n v="179.31"/>
    <n v="179.31"/>
    <n v="179.31"/>
    <n v="179.31"/>
  </r>
  <r>
    <s v="basement"/>
    <x v="10"/>
    <n v="0"/>
    <n v="0"/>
    <n v="0"/>
    <n v="0"/>
    <n v="0"/>
    <n v="0"/>
    <n v="0"/>
    <n v="0"/>
    <n v="0"/>
    <n v="901.71"/>
    <n v="901.71"/>
    <n v="901.71"/>
    <n v="901.71"/>
    <n v="901.71"/>
    <n v="901.71"/>
    <n v="901.71"/>
    <n v="901.71"/>
  </r>
  <r>
    <s v="basement"/>
    <x v="10"/>
    <n v="0"/>
    <n v="0"/>
    <n v="0"/>
    <n v="372.16"/>
    <n v="372.16"/>
    <n v="372.16"/>
    <n v="372.16"/>
    <n v="372.16"/>
    <n v="372.16"/>
    <n v="372.16"/>
    <n v="372.16"/>
    <n v="372.16"/>
    <n v="372.16"/>
    <n v="372.16"/>
    <n v="372.16"/>
    <n v="372.16"/>
    <n v="372.16"/>
  </r>
  <r>
    <s v="basement"/>
    <x v="10"/>
    <n v="0"/>
    <n v="0"/>
    <n v="0"/>
    <n v="1023.97"/>
    <n v="1023.97"/>
    <n v="1023.97"/>
    <n v="1023.97"/>
    <n v="1023.97"/>
    <n v="1023.97"/>
    <n v="1023.97"/>
    <n v="1023.97"/>
    <n v="1023.97"/>
    <n v="1023.97"/>
    <n v="1023.97"/>
    <n v="1023.97"/>
    <n v="1023.97"/>
    <n v="1023.97"/>
  </r>
  <r>
    <s v="basement"/>
    <x v="10"/>
    <n v="0"/>
    <n v="0"/>
    <n v="0"/>
    <n v="121.93"/>
    <n v="121.93"/>
    <n v="121.93"/>
    <n v="121.93"/>
    <n v="121.93"/>
    <n v="121.93"/>
    <n v="121.93"/>
    <n v="121.93"/>
    <n v="121.93"/>
    <n v="121.93"/>
    <n v="121.93"/>
    <n v="121.93"/>
    <n v="121.93"/>
    <n v="121.93"/>
  </r>
  <r>
    <s v="basement"/>
    <x v="10"/>
    <n v="0"/>
    <n v="0"/>
    <n v="0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</r>
  <r>
    <s v="main"/>
    <x v="10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main"/>
    <x v="10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main"/>
    <x v="10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s v="main"/>
    <x v="10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s v="main"/>
    <x v="10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s v="main"/>
    <x v="10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main"/>
    <x v="10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0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10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10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s v="main"/>
    <x v="1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0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10"/>
    <n v="0"/>
    <n v="0"/>
    <n v="0"/>
    <n v="0"/>
    <n v="0"/>
    <n v="0"/>
    <n v="0"/>
    <n v="0"/>
    <n v="0"/>
    <n v="0"/>
    <n v="0"/>
    <n v="74.19"/>
    <n v="74.19"/>
    <n v="74.19"/>
    <n v="74.19"/>
    <n v="74.19"/>
    <n v="74.19"/>
  </r>
  <r>
    <s v="main"/>
    <x v="10"/>
    <n v="0"/>
    <n v="0"/>
    <n v="0"/>
    <n v="550.54"/>
    <n v="550.54"/>
    <n v="550.54"/>
    <n v="550.54"/>
    <n v="550.54"/>
    <n v="550.54"/>
    <n v="550.54"/>
    <n v="550.54"/>
    <n v="550.54"/>
    <n v="550.54"/>
    <n v="550.54"/>
    <n v="550.54"/>
    <n v="550.54"/>
    <n v="550.54"/>
  </r>
  <r>
    <s v="main"/>
    <x v="10"/>
    <n v="0"/>
    <n v="0"/>
    <n v="0"/>
    <n v="0"/>
    <n v="0"/>
    <n v="0"/>
    <n v="0"/>
    <n v="0"/>
    <n v="0"/>
    <n v="0"/>
    <n v="0"/>
    <n v="0"/>
    <n v="0"/>
    <n v="0"/>
    <n v="160.57"/>
    <n v="160.57"/>
    <n v="160.57"/>
  </r>
  <r>
    <s v="main"/>
    <x v="10"/>
    <n v="0"/>
    <n v="0"/>
    <n v="0"/>
    <n v="0"/>
    <n v="312.23"/>
    <n v="312.23"/>
    <n v="312.23"/>
    <n v="312.23"/>
    <n v="312.23"/>
    <n v="312.23"/>
    <n v="312.23"/>
    <n v="312.23"/>
    <n v="312.23"/>
    <n v="312.23"/>
    <n v="312.23"/>
    <n v="312.23"/>
    <n v="312.23"/>
  </r>
  <r>
    <s v="main"/>
    <x v="10"/>
    <n v="0"/>
    <n v="0"/>
    <n v="0"/>
    <n v="59.9"/>
    <n v="59.9"/>
    <n v="59.9"/>
    <n v="59.9"/>
    <n v="59.9"/>
    <n v="119.8"/>
    <n v="119.8"/>
    <n v="119.8"/>
    <n v="239.6"/>
    <n v="239.6"/>
    <n v="239.6"/>
    <n v="239.6"/>
    <n v="239.6"/>
    <n v="239.6"/>
  </r>
  <r>
    <s v="main"/>
    <x v="10"/>
    <n v="0"/>
    <n v="0"/>
    <n v="0"/>
    <n v="535.25"/>
    <n v="535.25"/>
    <n v="535.25"/>
    <n v="535.25"/>
    <n v="1070.5"/>
    <n v="1070.5"/>
    <n v="1070.5"/>
    <n v="1070.5"/>
    <n v="2141"/>
    <n v="2141"/>
    <n v="2141"/>
    <n v="2141"/>
    <n v="2141"/>
    <n v="2141"/>
  </r>
  <r>
    <s v="main"/>
    <x v="10"/>
    <n v="0"/>
    <n v="0"/>
    <n v="0"/>
    <n v="0"/>
    <n v="0"/>
    <n v="0"/>
    <n v="0"/>
    <n v="0"/>
    <n v="0"/>
    <n v="0"/>
    <n v="0"/>
    <n v="73.64"/>
    <n v="73.64"/>
    <n v="73.64"/>
    <n v="73.64"/>
    <n v="73.64"/>
    <n v="73.64"/>
  </r>
  <r>
    <s v="main"/>
    <x v="10"/>
    <n v="0"/>
    <n v="0"/>
    <n v="0"/>
    <n v="0"/>
    <n v="0"/>
    <n v="0"/>
    <n v="0"/>
    <n v="0"/>
    <n v="0"/>
    <n v="0"/>
    <n v="0"/>
    <n v="567.82000000000005"/>
    <n v="567.82000000000005"/>
    <n v="567.82000000000005"/>
    <n v="567.82000000000005"/>
    <n v="567.82000000000005"/>
    <n v="567.82000000000005"/>
  </r>
  <r>
    <s v="main"/>
    <x v="10"/>
    <n v="0"/>
    <n v="0"/>
    <n v="0"/>
    <n v="106.91"/>
    <n v="106.91"/>
    <n v="106.91"/>
    <n v="106.91"/>
    <n v="106.91"/>
    <n v="106.91"/>
    <n v="106.91"/>
    <n v="106.91"/>
    <n v="106.91"/>
    <n v="106.91"/>
    <n v="106.91"/>
    <n v="106.91"/>
    <n v="106.91"/>
    <n v="106.91"/>
  </r>
  <r>
    <s v="main"/>
    <x v="10"/>
    <n v="0"/>
    <n v="0"/>
    <n v="0"/>
    <n v="402.14"/>
    <n v="402.14"/>
    <n v="402.14"/>
    <n v="402.14"/>
    <n v="402.14"/>
    <n v="402.14"/>
    <n v="402.14"/>
    <n v="402.14"/>
    <n v="402.14"/>
    <n v="402.14"/>
    <n v="402.14"/>
    <n v="402.14"/>
    <n v="402.14"/>
    <n v="402.14"/>
  </r>
  <r>
    <s v="main"/>
    <x v="10"/>
    <n v="0"/>
    <n v="0"/>
    <n v="0"/>
    <n v="308.67"/>
    <n v="308.67"/>
    <n v="308.67"/>
    <n v="308.67"/>
    <n v="617.34"/>
    <n v="617.34"/>
    <n v="617.34"/>
    <n v="617.34"/>
    <n v="1234.68"/>
    <n v="1234.68"/>
    <n v="1234.68"/>
    <n v="1234.68"/>
    <n v="1234.68"/>
    <n v="1234.68"/>
  </r>
  <r>
    <s v="main"/>
    <x v="10"/>
    <n v="0"/>
    <n v="0"/>
    <n v="0"/>
    <n v="0"/>
    <n v="0"/>
    <n v="0"/>
    <n v="0"/>
    <n v="0"/>
    <n v="0"/>
    <n v="0"/>
    <n v="0"/>
    <n v="0"/>
    <n v="0"/>
    <n v="0"/>
    <n v="231.5"/>
    <n v="231.5"/>
    <n v="231.5"/>
  </r>
  <r>
    <s v="main"/>
    <x v="10"/>
    <n v="0"/>
    <n v="0"/>
    <n v="0"/>
    <n v="253.55"/>
    <n v="253.55"/>
    <n v="253.55"/>
    <n v="253.55"/>
    <n v="253.55"/>
    <n v="253.55"/>
    <n v="253.55"/>
    <n v="253.55"/>
    <n v="253.55"/>
    <n v="253.55"/>
    <n v="253.55"/>
    <n v="253.55"/>
    <n v="253.55"/>
    <n v="253.55"/>
  </r>
  <r>
    <s v="main"/>
    <x v="10"/>
    <n v="0"/>
    <n v="0"/>
    <n v="0"/>
    <n v="0"/>
    <n v="0"/>
    <n v="0"/>
    <n v="0"/>
    <n v="0"/>
    <n v="0"/>
    <n v="901.71"/>
    <n v="901.71"/>
    <n v="901.71"/>
    <n v="901.71"/>
    <n v="901.71"/>
    <n v="901.71"/>
    <n v="901.71"/>
    <n v="901.71"/>
  </r>
  <r>
    <s v="main"/>
    <x v="10"/>
    <n v="0"/>
    <n v="0"/>
    <n v="0"/>
    <n v="372.16"/>
    <n v="372.16"/>
    <n v="372.16"/>
    <n v="372.16"/>
    <n v="372.16"/>
    <n v="372.16"/>
    <n v="372.16"/>
    <n v="372.16"/>
    <n v="372.16"/>
    <n v="372.16"/>
    <n v="372.16"/>
    <n v="372.16"/>
    <n v="372.16"/>
    <n v="372.16"/>
  </r>
  <r>
    <s v="main"/>
    <x v="10"/>
    <n v="0"/>
    <n v="0"/>
    <n v="0"/>
    <n v="1023.97"/>
    <n v="1023.97"/>
    <n v="1023.97"/>
    <n v="1023.97"/>
    <n v="1023.97"/>
    <n v="1023.97"/>
    <n v="1023.97"/>
    <n v="1023.97"/>
    <n v="1023.97"/>
    <n v="1023.97"/>
    <n v="1023.97"/>
    <n v="1023.97"/>
    <n v="1023.97"/>
    <n v="1023.97"/>
  </r>
  <r>
    <s v="main"/>
    <x v="10"/>
    <n v="0"/>
    <n v="0"/>
    <n v="0"/>
    <n v="121.93"/>
    <n v="121.93"/>
    <n v="121.93"/>
    <n v="121.93"/>
    <n v="121.93"/>
    <n v="121.93"/>
    <n v="121.93"/>
    <n v="121.93"/>
    <n v="121.93"/>
    <n v="121.93"/>
    <n v="121.93"/>
    <n v="121.93"/>
    <n v="121.93"/>
    <n v="121.93"/>
  </r>
  <r>
    <s v="main"/>
    <x v="10"/>
    <n v="0"/>
    <n v="0"/>
    <n v="0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</r>
  <r>
    <s v="basement"/>
    <x v="10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basement"/>
    <x v="10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basement"/>
    <x v="10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s v="basement"/>
    <x v="10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s v="basement"/>
    <x v="10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s v="basement"/>
    <x v="10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basement"/>
    <x v="10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basement"/>
    <x v="10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basement"/>
    <x v="10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basement"/>
    <x v="10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s v="basement"/>
    <x v="1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1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10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basement"/>
    <x v="10"/>
    <n v="0"/>
    <n v="0"/>
    <n v="0"/>
    <n v="0"/>
    <n v="0"/>
    <n v="0"/>
    <n v="0"/>
    <n v="0"/>
    <n v="0"/>
    <n v="0"/>
    <n v="0"/>
    <n v="64.349999999999994"/>
    <n v="64.349999999999994"/>
    <n v="64.349999999999994"/>
    <n v="64.349999999999994"/>
    <n v="64.349999999999994"/>
    <n v="64.349999999999994"/>
  </r>
  <r>
    <s v="basement"/>
    <x v="10"/>
    <n v="0"/>
    <n v="0"/>
    <n v="0"/>
    <n v="477.45"/>
    <n v="477.45"/>
    <n v="477.45"/>
    <n v="477.45"/>
    <n v="477.45"/>
    <n v="477.45"/>
    <n v="477.45"/>
    <n v="477.45"/>
    <n v="477.45"/>
    <n v="477.45"/>
    <n v="477.45"/>
    <n v="477.45"/>
    <n v="477.45"/>
    <n v="477.45"/>
  </r>
  <r>
    <s v="basement"/>
    <x v="10"/>
    <n v="0"/>
    <n v="0"/>
    <n v="0"/>
    <n v="0"/>
    <n v="0"/>
    <n v="0"/>
    <n v="0"/>
    <n v="0"/>
    <n v="0"/>
    <n v="0"/>
    <n v="0"/>
    <n v="0"/>
    <n v="0"/>
    <n v="0"/>
    <n v="139.27000000000001"/>
    <n v="139.27000000000001"/>
    <n v="139.27000000000001"/>
  </r>
  <r>
    <s v="basement"/>
    <x v="10"/>
    <n v="0"/>
    <n v="0"/>
    <n v="0"/>
    <n v="0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</r>
  <r>
    <s v="basement"/>
    <x v="10"/>
    <n v="0"/>
    <n v="0"/>
    <n v="0"/>
    <n v="51.947499999999998"/>
    <n v="51.947499999999998"/>
    <n v="51.947499999999998"/>
    <n v="51.947499999999998"/>
    <n v="51.947499999999998"/>
    <n v="103.895"/>
    <n v="103.895"/>
    <n v="103.895"/>
    <n v="207.79"/>
    <n v="207.79"/>
    <n v="207.79"/>
    <n v="207.79"/>
    <n v="207.79"/>
    <n v="207.79"/>
  </r>
  <r>
    <s v="basement"/>
    <x v="10"/>
    <n v="0"/>
    <n v="0"/>
    <n v="0"/>
    <n v="464.185"/>
    <n v="464.185"/>
    <n v="464.185"/>
    <n v="464.185"/>
    <n v="928.37"/>
    <n v="928.37"/>
    <n v="928.37"/>
    <n v="928.37"/>
    <n v="1856.74"/>
    <n v="1856.74"/>
    <n v="1856.74"/>
    <n v="1856.74"/>
    <n v="1856.74"/>
    <n v="1856.74"/>
  </r>
  <r>
    <s v="basement"/>
    <x v="10"/>
    <n v="0"/>
    <n v="0"/>
    <n v="0"/>
    <n v="0"/>
    <n v="0"/>
    <n v="0"/>
    <n v="0"/>
    <n v="0"/>
    <n v="0"/>
    <n v="0"/>
    <n v="0"/>
    <n v="63.86"/>
    <n v="63.86"/>
    <n v="63.86"/>
    <n v="63.86"/>
    <n v="63.86"/>
    <n v="63.86"/>
  </r>
  <r>
    <s v="basement"/>
    <x v="10"/>
    <n v="0"/>
    <n v="0"/>
    <n v="0"/>
    <n v="0"/>
    <n v="0"/>
    <n v="0"/>
    <n v="0"/>
    <n v="0"/>
    <n v="0"/>
    <n v="0"/>
    <n v="0"/>
    <n v="492.46"/>
    <n v="492.46"/>
    <n v="492.46"/>
    <n v="492.46"/>
    <n v="492.46"/>
    <n v="492.46"/>
  </r>
  <r>
    <s v="basement"/>
    <x v="10"/>
    <n v="0"/>
    <n v="0"/>
    <n v="0"/>
    <n v="92.73"/>
    <n v="92.73"/>
    <n v="92.73"/>
    <n v="92.73"/>
    <n v="92.73"/>
    <n v="92.73"/>
    <n v="92.73"/>
    <n v="92.73"/>
    <n v="92.73"/>
    <n v="92.73"/>
    <n v="92.73"/>
    <n v="92.73"/>
    <n v="92.73"/>
    <n v="92.73"/>
  </r>
  <r>
    <s v="basement"/>
    <x v="10"/>
    <n v="0"/>
    <n v="0"/>
    <n v="0"/>
    <n v="348.79"/>
    <n v="348.79"/>
    <n v="348.79"/>
    <n v="348.79"/>
    <n v="348.79"/>
    <n v="348.79"/>
    <n v="348.79"/>
    <n v="348.79"/>
    <n v="348.79"/>
    <n v="348.79"/>
    <n v="348.79"/>
    <n v="348.79"/>
    <n v="348.79"/>
    <n v="348.79"/>
  </r>
  <r>
    <s v="basement"/>
    <x v="10"/>
    <n v="0"/>
    <n v="0"/>
    <n v="0"/>
    <n v="164.01249999999999"/>
    <n v="164.01249999999999"/>
    <n v="164.01249999999999"/>
    <n v="164.01249999999999"/>
    <n v="328.02499999999998"/>
    <n v="328.02499999999998"/>
    <n v="328.02499999999998"/>
    <n v="328.02499999999998"/>
    <n v="656.05"/>
    <n v="656.05"/>
    <n v="656.05"/>
    <n v="656.05"/>
    <n v="656.05"/>
    <n v="656.05"/>
  </r>
  <r>
    <s v="basement"/>
    <x v="10"/>
    <n v="0"/>
    <n v="0"/>
    <n v="0"/>
    <n v="0"/>
    <n v="0"/>
    <n v="0"/>
    <n v="0"/>
    <n v="0"/>
    <n v="0"/>
    <n v="0"/>
    <n v="0"/>
    <n v="0"/>
    <n v="0"/>
    <n v="0"/>
    <n v="123.01"/>
    <n v="123.01"/>
    <n v="123.01"/>
  </r>
  <r>
    <s v="basement"/>
    <x v="10"/>
    <n v="0"/>
    <n v="0"/>
    <n v="0"/>
    <n v="134.72999999999999"/>
    <n v="134.72999999999999"/>
    <n v="134.72999999999999"/>
    <n v="134.72999999999999"/>
    <n v="134.72999999999999"/>
    <n v="134.72999999999999"/>
    <n v="134.72999999999999"/>
    <n v="134.72999999999999"/>
    <n v="134.72999999999999"/>
    <n v="134.72999999999999"/>
    <n v="134.72999999999999"/>
    <n v="134.72999999999999"/>
    <n v="134.72999999999999"/>
    <n v="134.72999999999999"/>
  </r>
  <r>
    <s v="basement"/>
    <x v="10"/>
    <n v="0"/>
    <n v="0"/>
    <n v="0"/>
    <n v="0"/>
    <n v="0"/>
    <n v="0"/>
    <n v="0"/>
    <n v="0"/>
    <n v="0"/>
    <n v="677.49"/>
    <n v="677.49"/>
    <n v="677.49"/>
    <n v="677.49"/>
    <n v="677.49"/>
    <n v="677.49"/>
    <n v="677.49"/>
    <n v="677.49"/>
  </r>
  <r>
    <s v="basement"/>
    <x v="10"/>
    <n v="0"/>
    <n v="0"/>
    <n v="0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</r>
  <r>
    <s v="basement"/>
    <x v="10"/>
    <n v="0"/>
    <n v="0"/>
    <n v="0"/>
    <n v="769.24"/>
    <n v="769.24"/>
    <n v="769.24"/>
    <n v="769.24"/>
    <n v="769.24"/>
    <n v="769.24"/>
    <n v="769.24"/>
    <n v="769.24"/>
    <n v="769.24"/>
    <n v="769.24"/>
    <n v="769.24"/>
    <n v="769.24"/>
    <n v="769.24"/>
    <n v="769.24"/>
  </r>
  <r>
    <s v="basement"/>
    <x v="10"/>
    <n v="0"/>
    <n v="0"/>
    <n v="0"/>
    <n v="91.63"/>
    <n v="91.63"/>
    <n v="91.63"/>
    <n v="91.63"/>
    <n v="91.63"/>
    <n v="91.63"/>
    <n v="91.63"/>
    <n v="91.63"/>
    <n v="91.63"/>
    <n v="91.63"/>
    <n v="91.63"/>
    <n v="91.63"/>
    <n v="91.63"/>
    <n v="91.63"/>
  </r>
  <r>
    <s v="basement"/>
    <x v="10"/>
    <n v="0"/>
    <n v="0"/>
    <n v="0"/>
    <n v="829.05"/>
    <n v="829.05"/>
    <n v="829.05"/>
    <n v="829.05"/>
    <n v="829.05"/>
    <n v="829.05"/>
    <n v="829.05"/>
    <n v="829.05"/>
    <n v="829.05"/>
    <n v="829.05"/>
    <n v="829.05"/>
    <n v="829.05"/>
    <n v="829.05"/>
    <n v="829.05"/>
  </r>
  <r>
    <s v="basement"/>
    <x v="12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basement"/>
    <x v="12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s v="basement"/>
    <x v="12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basement"/>
    <x v="12"/>
    <n v="0"/>
    <n v="0"/>
    <n v="0"/>
    <n v="0"/>
    <n v="0"/>
    <n v="0"/>
    <n v="0"/>
    <n v="0"/>
    <n v="0"/>
    <n v="0"/>
    <n v="0"/>
    <n v="51.97"/>
    <n v="51.97"/>
    <n v="51.97"/>
    <n v="51.97"/>
    <n v="51.97"/>
    <n v="51.97"/>
  </r>
  <r>
    <s v="basement"/>
    <x v="12"/>
    <n v="0"/>
    <n v="0"/>
    <n v="0"/>
    <n v="385.69"/>
    <n v="385.69"/>
    <n v="385.69"/>
    <n v="385.69"/>
    <n v="385.69"/>
    <n v="385.69"/>
    <n v="385.69"/>
    <n v="385.69"/>
    <n v="385.69"/>
    <n v="385.69"/>
    <n v="385.69"/>
    <n v="385.69"/>
    <n v="385.69"/>
    <n v="385.69"/>
  </r>
  <r>
    <s v="basement"/>
    <x v="12"/>
    <n v="0"/>
    <n v="0"/>
    <n v="0"/>
    <n v="0"/>
    <n v="0"/>
    <n v="0"/>
    <n v="0"/>
    <n v="0"/>
    <n v="0"/>
    <n v="0"/>
    <n v="0"/>
    <n v="0"/>
    <n v="0"/>
    <n v="0"/>
    <n v="112.48"/>
    <n v="112.48"/>
    <n v="112.48"/>
  </r>
  <r>
    <s v="basement"/>
    <x v="12"/>
    <n v="0"/>
    <n v="0"/>
    <n v="0"/>
    <n v="0"/>
    <n v="218.74"/>
    <n v="218.74"/>
    <n v="218.74"/>
    <n v="218.74"/>
    <n v="218.74"/>
    <n v="218.74"/>
    <n v="218.74"/>
    <n v="218.74"/>
    <n v="218.74"/>
    <n v="218.74"/>
    <n v="218.74"/>
    <n v="218.74"/>
    <n v="218.74"/>
  </r>
  <r>
    <s v="basement"/>
    <x v="12"/>
    <n v="0"/>
    <n v="0"/>
    <n v="0"/>
    <n v="41.962499999999999"/>
    <n v="41.962499999999999"/>
    <n v="41.962499999999999"/>
    <n v="41.962499999999999"/>
    <n v="41.962499999999999"/>
    <n v="83.924999999999997"/>
    <n v="83.924999999999997"/>
    <n v="83.924999999999997"/>
    <n v="167.85"/>
    <n v="167.85"/>
    <n v="167.85"/>
    <n v="167.85"/>
    <n v="167.85"/>
    <n v="167.85"/>
  </r>
  <r>
    <s v="basement"/>
    <x v="12"/>
    <n v="0"/>
    <n v="0"/>
    <n v="0"/>
    <n v="374.97500000000002"/>
    <n v="374.97500000000002"/>
    <n v="374.97500000000002"/>
    <n v="374.97500000000002"/>
    <n v="749.95"/>
    <n v="749.95"/>
    <n v="749.95"/>
    <n v="749.95"/>
    <n v="1499.9"/>
    <n v="1499.9"/>
    <n v="1499.9"/>
    <n v="1499.9"/>
    <n v="1499.9"/>
    <n v="1499.9"/>
  </r>
  <r>
    <s v="basement"/>
    <x v="12"/>
    <n v="0"/>
    <n v="0"/>
    <n v="0"/>
    <n v="0"/>
    <n v="0"/>
    <n v="0"/>
    <n v="0"/>
    <n v="0"/>
    <n v="0"/>
    <n v="0"/>
    <n v="0"/>
    <n v="51.58"/>
    <n v="51.58"/>
    <n v="51.58"/>
    <n v="51.58"/>
    <n v="51.58"/>
    <n v="51.58"/>
  </r>
  <r>
    <s v="basement"/>
    <x v="12"/>
    <n v="0"/>
    <n v="0"/>
    <n v="0"/>
    <n v="0"/>
    <n v="0"/>
    <n v="0"/>
    <n v="0"/>
    <n v="0"/>
    <n v="0"/>
    <n v="0"/>
    <n v="0"/>
    <n v="397.77"/>
    <n v="397.77"/>
    <n v="397.77"/>
    <n v="397.77"/>
    <n v="397.77"/>
    <n v="397.77"/>
  </r>
  <r>
    <s v="basement"/>
    <x v="12"/>
    <n v="0"/>
    <n v="0"/>
    <n v="0"/>
    <n v="74.89"/>
    <n v="74.89"/>
    <n v="74.89"/>
    <n v="74.89"/>
    <n v="74.89"/>
    <n v="74.89"/>
    <n v="74.89"/>
    <n v="74.89"/>
    <n v="74.89"/>
    <n v="74.89"/>
    <n v="74.89"/>
    <n v="74.89"/>
    <n v="74.89"/>
    <n v="74.89"/>
  </r>
  <r>
    <s v="basement"/>
    <x v="12"/>
    <n v="0"/>
    <n v="0"/>
    <n v="0"/>
    <n v="281.70999999999998"/>
    <n v="281.70999999999998"/>
    <n v="281.70999999999998"/>
    <n v="281.70999999999998"/>
    <n v="281.70999999999998"/>
    <n v="281.70999999999998"/>
    <n v="281.70999999999998"/>
    <n v="281.70999999999998"/>
    <n v="281.70999999999998"/>
    <n v="281.70999999999998"/>
    <n v="281.70999999999998"/>
    <n v="281.70999999999998"/>
    <n v="281.70999999999998"/>
    <n v="281.70999999999998"/>
  </r>
  <r>
    <s v="basement"/>
    <x v="12"/>
    <n v="0"/>
    <n v="0"/>
    <n v="0"/>
    <n v="87.967500000000001"/>
    <n v="87.967500000000001"/>
    <n v="87.967500000000001"/>
    <n v="87.967500000000001"/>
    <n v="175.935"/>
    <n v="175.935"/>
    <n v="175.935"/>
    <n v="175.935"/>
    <n v="351.87"/>
    <n v="351.87"/>
    <n v="351.87"/>
    <n v="351.87"/>
    <n v="351.87"/>
    <n v="351.87"/>
  </r>
  <r>
    <s v="basement"/>
    <x v="12"/>
    <n v="0"/>
    <n v="0"/>
    <n v="0"/>
    <n v="0"/>
    <n v="0"/>
    <n v="0"/>
    <n v="0"/>
    <n v="0"/>
    <n v="0"/>
    <n v="0"/>
    <n v="0"/>
    <n v="0"/>
    <n v="0"/>
    <n v="0"/>
    <n v="65.98"/>
    <n v="65.98"/>
    <n v="65.98"/>
  </r>
  <r>
    <s v="basement"/>
    <x v="12"/>
    <n v="0"/>
    <n v="0"/>
    <n v="0"/>
    <n v="72.260000000000005"/>
    <n v="72.260000000000005"/>
    <n v="72.260000000000005"/>
    <n v="72.260000000000005"/>
    <n v="72.260000000000005"/>
    <n v="72.260000000000005"/>
    <n v="72.260000000000005"/>
    <n v="72.260000000000005"/>
    <n v="72.260000000000005"/>
    <n v="72.260000000000005"/>
    <n v="72.260000000000005"/>
    <n v="72.260000000000005"/>
    <n v="72.260000000000005"/>
    <n v="72.260000000000005"/>
  </r>
  <r>
    <s v="basement"/>
    <x v="12"/>
    <n v="0"/>
    <n v="0"/>
    <n v="0"/>
    <n v="0"/>
    <n v="0"/>
    <n v="0"/>
    <n v="0"/>
    <n v="0"/>
    <n v="0"/>
    <n v="363.32"/>
    <n v="363.32"/>
    <n v="363.32"/>
    <n v="363.32"/>
    <n v="363.32"/>
    <n v="363.32"/>
    <n v="363.32"/>
    <n v="363.32"/>
  </r>
  <r>
    <s v="basement"/>
    <x v="12"/>
    <n v="0"/>
    <n v="0"/>
    <n v="0"/>
    <n v="149.97999999999999"/>
    <n v="149.97999999999999"/>
    <n v="149.97999999999999"/>
    <n v="149.97999999999999"/>
    <n v="149.97999999999999"/>
    <n v="149.97999999999999"/>
    <n v="149.97999999999999"/>
    <n v="149.97999999999999"/>
    <n v="149.97999999999999"/>
    <n v="149.97999999999999"/>
    <n v="149.97999999999999"/>
    <n v="149.97999999999999"/>
    <n v="149.97999999999999"/>
    <n v="149.97999999999999"/>
  </r>
  <r>
    <s v="basement"/>
    <x v="12"/>
    <n v="0"/>
    <n v="0"/>
    <n v="0"/>
    <n v="412.64"/>
    <n v="412.64"/>
    <n v="412.64"/>
    <n v="412.64"/>
    <n v="412.64"/>
    <n v="412.64"/>
    <n v="412.64"/>
    <n v="412.64"/>
    <n v="412.64"/>
    <n v="412.64"/>
    <n v="412.64"/>
    <n v="412.64"/>
    <n v="412.64"/>
    <n v="412.64"/>
  </r>
  <r>
    <s v="basement"/>
    <x v="12"/>
    <n v="0"/>
    <n v="0"/>
    <n v="0"/>
    <n v="49.12"/>
    <n v="49.12"/>
    <n v="49.12"/>
    <n v="49.12"/>
    <n v="49.12"/>
    <n v="49.12"/>
    <n v="49.12"/>
    <n v="49.12"/>
    <n v="49.12"/>
    <n v="49.12"/>
    <n v="49.12"/>
    <n v="49.12"/>
    <n v="49.12"/>
    <n v="49.12"/>
  </r>
  <r>
    <s v="basement"/>
    <x v="12"/>
    <n v="0"/>
    <n v="0"/>
    <n v="0"/>
    <n v="444.59"/>
    <n v="444.59"/>
    <n v="444.59"/>
    <n v="444.59"/>
    <n v="444.59"/>
    <n v="444.59"/>
    <n v="444.59"/>
    <n v="444.59"/>
    <n v="444.59"/>
    <n v="444.59"/>
    <n v="444.59"/>
    <n v="444.59"/>
    <n v="444.59"/>
    <n v="444.59"/>
  </r>
  <r>
    <s v="basement"/>
    <x v="9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s v="basement"/>
    <x v="9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basement"/>
    <x v="9"/>
    <n v="0"/>
    <n v="0"/>
    <n v="0"/>
    <n v="0"/>
    <n v="0"/>
    <n v="0"/>
    <n v="0"/>
    <n v="0"/>
    <n v="0"/>
    <n v="0"/>
    <n v="0"/>
    <n v="84.03"/>
    <n v="84.03"/>
    <n v="84.03"/>
    <n v="84.03"/>
    <n v="84.03"/>
    <n v="84.03"/>
  </r>
  <r>
    <s v="basement"/>
    <x v="9"/>
    <n v="0"/>
    <n v="0"/>
    <n v="0"/>
    <n v="623.64"/>
    <n v="623.64"/>
    <n v="623.64"/>
    <n v="623.64"/>
    <n v="623.64"/>
    <n v="623.64"/>
    <n v="623.64"/>
    <n v="623.64"/>
    <n v="623.64"/>
    <n v="623.64"/>
    <n v="623.64"/>
    <n v="623.64"/>
    <n v="623.64"/>
    <n v="623.64"/>
  </r>
  <r>
    <s v="basement"/>
    <x v="9"/>
    <n v="0"/>
    <n v="0"/>
    <n v="0"/>
    <n v="0"/>
    <n v="0"/>
    <n v="0"/>
    <n v="0"/>
    <n v="0"/>
    <n v="0"/>
    <n v="0"/>
    <n v="0"/>
    <n v="0"/>
    <n v="0"/>
    <n v="0"/>
    <n v="181.9"/>
    <n v="181.9"/>
    <n v="181.9"/>
  </r>
  <r>
    <s v="basement"/>
    <x v="9"/>
    <n v="0"/>
    <n v="0"/>
    <n v="0"/>
    <n v="0"/>
    <n v="353.68"/>
    <n v="353.68"/>
    <n v="353.68"/>
    <n v="353.68"/>
    <n v="353.68"/>
    <n v="353.68"/>
    <n v="353.68"/>
    <n v="353.68"/>
    <n v="353.68"/>
    <n v="353.68"/>
    <n v="353.68"/>
    <n v="353.68"/>
    <n v="353.68"/>
  </r>
  <r>
    <s v="basement"/>
    <x v="9"/>
    <n v="0"/>
    <n v="0"/>
    <n v="0"/>
    <n v="67.849999999999994"/>
    <n v="67.849999999999994"/>
    <n v="67.849999999999994"/>
    <n v="67.849999999999994"/>
    <n v="67.849999999999994"/>
    <n v="135.69999999999999"/>
    <n v="135.69999999999999"/>
    <n v="135.69999999999999"/>
    <n v="271.39999999999998"/>
    <n v="271.39999999999998"/>
    <n v="271.39999999999998"/>
    <n v="271.39999999999998"/>
    <n v="271.39999999999998"/>
    <n v="271.39999999999998"/>
  </r>
  <r>
    <s v="basement"/>
    <x v="9"/>
    <n v="0"/>
    <n v="0"/>
    <n v="0"/>
    <n v="606.30999999999995"/>
    <n v="606.30999999999995"/>
    <n v="606.30999999999995"/>
    <n v="606.30999999999995"/>
    <n v="1212.6199999999999"/>
    <n v="1212.6199999999999"/>
    <n v="1212.6199999999999"/>
    <n v="1212.6199999999999"/>
    <n v="2425.2399999999998"/>
    <n v="2425.2399999999998"/>
    <n v="2425.2399999999998"/>
    <n v="2425.2399999999998"/>
    <n v="2425.2399999999998"/>
    <n v="2425.2399999999998"/>
  </r>
  <r>
    <s v="basement"/>
    <x v="9"/>
    <n v="0"/>
    <n v="0"/>
    <n v="0"/>
    <n v="0"/>
    <n v="0"/>
    <n v="0"/>
    <n v="0"/>
    <n v="0"/>
    <n v="0"/>
    <n v="0"/>
    <n v="0"/>
    <n v="193.08"/>
    <n v="193.08"/>
    <n v="193.08"/>
    <n v="193.08"/>
    <n v="193.08"/>
    <n v="193.08"/>
  </r>
  <r>
    <s v="basement"/>
    <x v="9"/>
    <n v="0"/>
    <n v="0"/>
    <n v="0"/>
    <n v="0"/>
    <n v="0"/>
    <n v="0"/>
    <n v="0"/>
    <n v="0"/>
    <n v="0"/>
    <n v="0"/>
    <n v="0"/>
    <n v="719.74"/>
    <n v="719.74"/>
    <n v="719.74"/>
    <n v="719.74"/>
    <n v="719.74"/>
    <n v="719.74"/>
  </r>
  <r>
    <s v="basement"/>
    <x v="9"/>
    <n v="0"/>
    <n v="0"/>
    <n v="0"/>
    <n v="0"/>
    <n v="0"/>
    <n v="0"/>
    <n v="0"/>
    <n v="0"/>
    <n v="0"/>
    <n v="0"/>
    <n v="0"/>
    <n v="83.4"/>
    <n v="83.4"/>
    <n v="83.4"/>
    <n v="83.4"/>
    <n v="83.4"/>
    <n v="83.4"/>
  </r>
  <r>
    <s v="basement"/>
    <x v="9"/>
    <n v="0"/>
    <n v="0"/>
    <n v="0"/>
    <n v="0"/>
    <n v="0"/>
    <n v="0"/>
    <n v="0"/>
    <n v="0"/>
    <n v="0"/>
    <n v="0"/>
    <n v="0"/>
    <n v="643.17999999999995"/>
    <n v="643.17999999999995"/>
    <n v="643.17999999999995"/>
    <n v="643.17999999999995"/>
    <n v="643.17999999999995"/>
    <n v="643.17999999999995"/>
  </r>
  <r>
    <s v="basement"/>
    <x v="9"/>
    <n v="0"/>
    <n v="0"/>
    <n v="0"/>
    <n v="121.09"/>
    <n v="121.09"/>
    <n v="121.09"/>
    <n v="121.09"/>
    <n v="121.09"/>
    <n v="121.09"/>
    <n v="121.09"/>
    <n v="121.09"/>
    <n v="121.09"/>
    <n v="121.09"/>
    <n v="121.09"/>
    <n v="121.09"/>
    <n v="121.09"/>
    <n v="121.09"/>
  </r>
  <r>
    <s v="basement"/>
    <x v="9"/>
    <n v="0"/>
    <n v="0"/>
    <n v="0"/>
    <n v="455.51"/>
    <n v="455.51"/>
    <n v="455.51"/>
    <n v="455.51"/>
    <n v="455.51"/>
    <n v="455.51"/>
    <n v="455.51"/>
    <n v="455.51"/>
    <n v="455.51"/>
    <n v="455.51"/>
    <n v="455.51"/>
    <n v="455.51"/>
    <n v="455.51"/>
    <n v="455.51"/>
  </r>
  <r>
    <s v="basement"/>
    <x v="9"/>
    <n v="0"/>
    <n v="0"/>
    <n v="0"/>
    <n v="272.58249999999998"/>
    <n v="272.58249999999998"/>
    <n v="272.58249999999998"/>
    <n v="272.58249999999998"/>
    <n v="545.16499999999996"/>
    <n v="545.16499999999996"/>
    <n v="545.16499999999996"/>
    <n v="545.16499999999996"/>
    <n v="1090.33"/>
    <n v="1090.33"/>
    <n v="1090.33"/>
    <n v="1090.33"/>
    <n v="1090.33"/>
    <n v="1090.33"/>
  </r>
  <r>
    <s v="basement"/>
    <x v="9"/>
    <n v="0"/>
    <n v="0"/>
    <n v="0"/>
    <n v="0"/>
    <n v="0"/>
    <n v="0"/>
    <n v="0"/>
    <n v="0"/>
    <n v="0"/>
    <n v="0"/>
    <n v="0"/>
    <n v="0"/>
    <n v="0"/>
    <n v="0"/>
    <n v="204.44"/>
    <n v="204.44"/>
    <n v="204.44"/>
  </r>
  <r>
    <s v="basement"/>
    <x v="9"/>
    <n v="0"/>
    <n v="0"/>
    <n v="0"/>
    <n v="223.91"/>
    <n v="223.91"/>
    <n v="223.91"/>
    <n v="223.91"/>
    <n v="223.91"/>
    <n v="223.91"/>
    <n v="223.91"/>
    <n v="223.91"/>
    <n v="223.91"/>
    <n v="223.91"/>
    <n v="223.91"/>
    <n v="223.91"/>
    <n v="223.91"/>
    <n v="223.91"/>
  </r>
  <r>
    <s v="basement"/>
    <x v="9"/>
    <n v="0"/>
    <n v="0"/>
    <n v="0"/>
    <n v="0"/>
    <n v="0"/>
    <n v="0"/>
    <n v="0"/>
    <n v="0"/>
    <n v="0"/>
    <n v="1125.95"/>
    <n v="1125.95"/>
    <n v="1125.95"/>
    <n v="1125.95"/>
    <n v="1125.95"/>
    <n v="1125.95"/>
    <n v="1125.95"/>
    <n v="1125.95"/>
  </r>
  <r>
    <s v="basement"/>
    <x v="9"/>
    <n v="0"/>
    <n v="0"/>
    <n v="0"/>
    <n v="464.71"/>
    <n v="464.71"/>
    <n v="464.71"/>
    <n v="464.71"/>
    <n v="464.71"/>
    <n v="464.71"/>
    <n v="464.71"/>
    <n v="464.71"/>
    <n v="464.71"/>
    <n v="464.71"/>
    <n v="464.71"/>
    <n v="464.71"/>
    <n v="464.71"/>
    <n v="464.71"/>
  </r>
  <r>
    <s v="basement"/>
    <x v="9"/>
    <n v="0"/>
    <n v="0"/>
    <n v="0"/>
    <n v="1278.57"/>
    <n v="1278.57"/>
    <n v="1278.57"/>
    <n v="1278.57"/>
    <n v="1278.57"/>
    <n v="1278.57"/>
    <n v="1278.57"/>
    <n v="1278.57"/>
    <n v="1278.57"/>
    <n v="1278.57"/>
    <n v="1278.57"/>
    <n v="1278.57"/>
    <n v="1278.57"/>
    <n v="1278.57"/>
  </r>
  <r>
    <s v="basement"/>
    <x v="9"/>
    <n v="0"/>
    <n v="0"/>
    <n v="0"/>
    <n v="152.26"/>
    <n v="152.26"/>
    <n v="152.26"/>
    <n v="152.26"/>
    <n v="152.26"/>
    <n v="152.26"/>
    <n v="152.26"/>
    <n v="152.26"/>
    <n v="152.26"/>
    <n v="152.26"/>
    <n v="152.26"/>
    <n v="152.26"/>
    <n v="152.26"/>
    <n v="152.26"/>
  </r>
  <r>
    <s v="basement"/>
    <x v="9"/>
    <n v="0"/>
    <n v="0"/>
    <n v="0"/>
    <n v="1377.74"/>
    <n v="1377.74"/>
    <n v="1377.74"/>
    <n v="1377.74"/>
    <n v="1377.74"/>
    <n v="1377.74"/>
    <n v="1377.74"/>
    <n v="1377.74"/>
    <n v="1377.74"/>
    <n v="1377.74"/>
    <n v="1377.74"/>
    <n v="1377.74"/>
    <n v="1377.74"/>
    <n v="1377.74"/>
  </r>
  <r>
    <s v="main"/>
    <x v="2"/>
    <n v="0"/>
    <n v="0"/>
    <n v="0"/>
    <n v="0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2"/>
    <n v="0"/>
    <n v="0"/>
    <n v="0"/>
    <n v="0"/>
    <n v="0"/>
    <n v="0"/>
    <n v="0"/>
    <n v="0"/>
    <n v="0"/>
    <n v="0"/>
    <n v="0"/>
    <n v="0"/>
    <n v="0"/>
    <n v="0"/>
    <n v="100.03"/>
    <n v="100.03"/>
    <n v="100.03"/>
  </r>
  <r>
    <s v="basement"/>
    <x v="9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s v="basement"/>
    <x v="9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basement"/>
    <x v="9"/>
    <n v="0"/>
    <n v="0"/>
    <n v="0"/>
    <n v="0"/>
    <n v="0"/>
    <n v="0"/>
    <n v="0"/>
    <n v="0"/>
    <n v="0"/>
    <n v="0"/>
    <n v="0"/>
    <n v="74.19"/>
    <n v="74.19"/>
    <n v="74.19"/>
    <n v="74.19"/>
    <n v="74.19"/>
    <n v="74.19"/>
  </r>
  <r>
    <s v="basement"/>
    <x v="9"/>
    <n v="0"/>
    <n v="0"/>
    <n v="0"/>
    <n v="550.54"/>
    <n v="550.54"/>
    <n v="550.54"/>
    <n v="550.54"/>
    <n v="550.54"/>
    <n v="550.54"/>
    <n v="550.54"/>
    <n v="550.54"/>
    <n v="550.54"/>
    <n v="550.54"/>
    <n v="550.54"/>
    <n v="550.54"/>
    <n v="550.54"/>
    <n v="550.54"/>
  </r>
  <r>
    <s v="basement"/>
    <x v="9"/>
    <n v="0"/>
    <n v="0"/>
    <n v="0"/>
    <n v="0"/>
    <n v="0"/>
    <n v="0"/>
    <n v="0"/>
    <n v="0"/>
    <n v="0"/>
    <n v="0"/>
    <n v="0"/>
    <n v="0"/>
    <n v="0"/>
    <n v="0"/>
    <n v="160.57"/>
    <n v="160.57"/>
    <n v="160.57"/>
  </r>
  <r>
    <s v="basement"/>
    <x v="9"/>
    <n v="0"/>
    <n v="0"/>
    <n v="0"/>
    <n v="0"/>
    <n v="312.23"/>
    <n v="312.23"/>
    <n v="312.23"/>
    <n v="312.23"/>
    <n v="312.23"/>
    <n v="312.23"/>
    <n v="312.23"/>
    <n v="312.23"/>
    <n v="312.23"/>
    <n v="312.23"/>
    <n v="312.23"/>
    <n v="312.23"/>
    <n v="312.23"/>
  </r>
  <r>
    <s v="basement"/>
    <x v="9"/>
    <n v="0"/>
    <n v="0"/>
    <n v="0"/>
    <n v="59.9"/>
    <n v="59.9"/>
    <n v="59.9"/>
    <n v="59.9"/>
    <n v="59.9"/>
    <n v="119.8"/>
    <n v="119.8"/>
    <n v="119.8"/>
    <n v="239.6"/>
    <n v="239.6"/>
    <n v="239.6"/>
    <n v="239.6"/>
    <n v="239.6"/>
    <n v="239.6"/>
  </r>
  <r>
    <s v="basement"/>
    <x v="9"/>
    <n v="0"/>
    <n v="0"/>
    <n v="0"/>
    <n v="535.25"/>
    <n v="535.25"/>
    <n v="535.25"/>
    <n v="535.25"/>
    <n v="1070.5"/>
    <n v="1070.5"/>
    <n v="1070.5"/>
    <n v="1070.5"/>
    <n v="2141"/>
    <n v="2141"/>
    <n v="2141"/>
    <n v="2141"/>
    <n v="2141"/>
    <n v="2141"/>
  </r>
  <r>
    <s v="basement"/>
    <x v="9"/>
    <n v="0"/>
    <n v="0"/>
    <n v="0"/>
    <n v="0"/>
    <n v="0"/>
    <n v="0"/>
    <n v="0"/>
    <n v="0"/>
    <n v="0"/>
    <n v="0"/>
    <n v="0"/>
    <n v="173.44"/>
    <n v="173.44"/>
    <n v="173.44"/>
    <n v="173.44"/>
    <n v="173.44"/>
    <n v="173.44"/>
  </r>
  <r>
    <s v="basement"/>
    <x v="9"/>
    <n v="0"/>
    <n v="0"/>
    <n v="0"/>
    <n v="0"/>
    <n v="0"/>
    <n v="0"/>
    <n v="0"/>
    <n v="0"/>
    <n v="0"/>
    <n v="0"/>
    <n v="0"/>
    <n v="646.54"/>
    <n v="646.54"/>
    <n v="646.54"/>
    <n v="646.54"/>
    <n v="646.54"/>
    <n v="646.54"/>
  </r>
  <r>
    <s v="basement"/>
    <x v="9"/>
    <n v="0"/>
    <n v="0"/>
    <n v="0"/>
    <n v="0"/>
    <n v="0"/>
    <n v="0"/>
    <n v="0"/>
    <n v="0"/>
    <n v="0"/>
    <n v="0"/>
    <n v="0"/>
    <n v="73.64"/>
    <n v="73.64"/>
    <n v="73.64"/>
    <n v="73.64"/>
    <n v="73.64"/>
    <n v="73.64"/>
  </r>
  <r>
    <s v="basement"/>
    <x v="9"/>
    <n v="0"/>
    <n v="0"/>
    <n v="0"/>
    <n v="0"/>
    <n v="0"/>
    <n v="0"/>
    <n v="0"/>
    <n v="0"/>
    <n v="0"/>
    <n v="0"/>
    <n v="0"/>
    <n v="567.82000000000005"/>
    <n v="567.82000000000005"/>
    <n v="567.82000000000005"/>
    <n v="567.82000000000005"/>
    <n v="567.82000000000005"/>
    <n v="567.82000000000005"/>
  </r>
  <r>
    <s v="basement"/>
    <x v="9"/>
    <n v="0"/>
    <n v="0"/>
    <n v="0"/>
    <n v="106.91"/>
    <n v="106.91"/>
    <n v="106.91"/>
    <n v="106.91"/>
    <n v="106.91"/>
    <n v="106.91"/>
    <n v="106.91"/>
    <n v="106.91"/>
    <n v="106.91"/>
    <n v="106.91"/>
    <n v="106.91"/>
    <n v="106.91"/>
    <n v="106.91"/>
    <n v="106.91"/>
  </r>
  <r>
    <s v="basement"/>
    <x v="9"/>
    <n v="0"/>
    <n v="0"/>
    <n v="0"/>
    <n v="402.14"/>
    <n v="402.14"/>
    <n v="402.14"/>
    <n v="402.14"/>
    <n v="402.14"/>
    <n v="402.14"/>
    <n v="402.14"/>
    <n v="402.14"/>
    <n v="402.14"/>
    <n v="402.14"/>
    <n v="402.14"/>
    <n v="402.14"/>
    <n v="402.14"/>
    <n v="402.14"/>
  </r>
  <r>
    <s v="basement"/>
    <x v="9"/>
    <n v="0"/>
    <n v="0"/>
    <n v="0"/>
    <n v="210.73"/>
    <n v="210.73"/>
    <n v="210.73"/>
    <n v="210.73"/>
    <n v="421.46"/>
    <n v="421.46"/>
    <n v="421.46"/>
    <n v="421.46"/>
    <n v="842.92"/>
    <n v="842.92"/>
    <n v="842.92"/>
    <n v="842.92"/>
    <n v="842.92"/>
    <n v="842.92"/>
  </r>
  <r>
    <s v="basement"/>
    <x v="9"/>
    <n v="0"/>
    <n v="0"/>
    <n v="0"/>
    <n v="0"/>
    <n v="0"/>
    <n v="0"/>
    <n v="0"/>
    <n v="0"/>
    <n v="0"/>
    <n v="0"/>
    <n v="0"/>
    <n v="0"/>
    <n v="0"/>
    <n v="0"/>
    <n v="158.05000000000001"/>
    <n v="158.05000000000001"/>
    <n v="158.05000000000001"/>
  </r>
  <r>
    <s v="basement"/>
    <x v="9"/>
    <n v="0"/>
    <n v="0"/>
    <n v="0"/>
    <n v="173.11"/>
    <n v="173.11"/>
    <n v="173.11"/>
    <n v="173.11"/>
    <n v="173.11"/>
    <n v="173.11"/>
    <n v="173.11"/>
    <n v="173.11"/>
    <n v="173.11"/>
    <n v="173.11"/>
    <n v="173.11"/>
    <n v="173.11"/>
    <n v="173.11"/>
    <n v="173.11"/>
  </r>
  <r>
    <s v="basement"/>
    <x v="9"/>
    <n v="0"/>
    <n v="0"/>
    <n v="0"/>
    <n v="0"/>
    <n v="0"/>
    <n v="0"/>
    <n v="0"/>
    <n v="0"/>
    <n v="0"/>
    <n v="870.48"/>
    <n v="870.48"/>
    <n v="870.48"/>
    <n v="870.48"/>
    <n v="870.48"/>
    <n v="870.48"/>
    <n v="870.48"/>
    <n v="870.48"/>
  </r>
  <r>
    <s v="basement"/>
    <x v="9"/>
    <n v="0"/>
    <n v="0"/>
    <n v="0"/>
    <n v="359.24"/>
    <n v="359.24"/>
    <n v="359.24"/>
    <n v="359.24"/>
    <n v="359.24"/>
    <n v="359.24"/>
    <n v="359.24"/>
    <n v="359.24"/>
    <n v="359.24"/>
    <n v="359.24"/>
    <n v="359.24"/>
    <n v="359.24"/>
    <n v="359.24"/>
    <n v="359.24"/>
  </r>
  <r>
    <s v="basement"/>
    <x v="9"/>
    <n v="0"/>
    <n v="0"/>
    <n v="0"/>
    <n v="988.4"/>
    <n v="988.4"/>
    <n v="988.4"/>
    <n v="988.4"/>
    <n v="988.4"/>
    <n v="988.4"/>
    <n v="988.4"/>
    <n v="988.4"/>
    <n v="988.4"/>
    <n v="988.4"/>
    <n v="988.4"/>
    <n v="988.4"/>
    <n v="988.4"/>
    <n v="988.4"/>
  </r>
  <r>
    <s v="basement"/>
    <x v="9"/>
    <n v="0"/>
    <n v="0"/>
    <n v="0"/>
    <n v="117.71"/>
    <n v="117.71"/>
    <n v="117.71"/>
    <n v="117.71"/>
    <n v="117.71"/>
    <n v="117.71"/>
    <n v="117.71"/>
    <n v="117.71"/>
    <n v="117.71"/>
    <n v="117.71"/>
    <n v="117.71"/>
    <n v="117.71"/>
    <n v="117.71"/>
    <n v="117.71"/>
  </r>
  <r>
    <s v="basement"/>
    <x v="9"/>
    <n v="0"/>
    <n v="0"/>
    <n v="0"/>
    <n v="1065.19"/>
    <n v="1065.19"/>
    <n v="1065.19"/>
    <n v="1065.19"/>
    <n v="1065.19"/>
    <n v="1065.19"/>
    <n v="1065.19"/>
    <n v="1065.19"/>
    <n v="1065.19"/>
    <n v="1065.19"/>
    <n v="1065.19"/>
    <n v="1065.19"/>
    <n v="1065.19"/>
    <n v="1065.19"/>
  </r>
  <r>
    <s v="basement"/>
    <x v="10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basement"/>
    <x v="10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basement"/>
    <x v="10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s v="basement"/>
    <x v="10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s v="basement"/>
    <x v="10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s v="basement"/>
    <x v="10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basement"/>
    <x v="10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basement"/>
    <x v="10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basement"/>
    <x v="10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basement"/>
    <x v="10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s v="basement"/>
    <x v="1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1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10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basement"/>
    <x v="10"/>
    <n v="0"/>
    <n v="0"/>
    <n v="0"/>
    <n v="0"/>
    <n v="0"/>
    <n v="0"/>
    <n v="0"/>
    <n v="0"/>
    <n v="0"/>
    <n v="0"/>
    <n v="0"/>
    <n v="74.19"/>
    <n v="74.19"/>
    <n v="74.19"/>
    <n v="74.19"/>
    <n v="74.19"/>
    <n v="74.19"/>
  </r>
  <r>
    <s v="basement"/>
    <x v="10"/>
    <n v="0"/>
    <n v="0"/>
    <n v="0"/>
    <n v="550.54"/>
    <n v="550.54"/>
    <n v="550.54"/>
    <n v="550.54"/>
    <n v="550.54"/>
    <n v="550.54"/>
    <n v="550.54"/>
    <n v="550.54"/>
    <n v="550.54"/>
    <n v="550.54"/>
    <n v="550.54"/>
    <n v="550.54"/>
    <n v="550.54"/>
    <n v="550.54"/>
  </r>
  <r>
    <s v="basement"/>
    <x v="10"/>
    <n v="0"/>
    <n v="0"/>
    <n v="0"/>
    <n v="0"/>
    <n v="0"/>
    <n v="0"/>
    <n v="0"/>
    <n v="0"/>
    <n v="0"/>
    <n v="0"/>
    <n v="0"/>
    <n v="0"/>
    <n v="0"/>
    <n v="0"/>
    <n v="160.57"/>
    <n v="160.57"/>
    <n v="160.57"/>
  </r>
  <r>
    <s v="basement"/>
    <x v="10"/>
    <n v="0"/>
    <n v="0"/>
    <n v="0"/>
    <n v="0"/>
    <n v="312.23"/>
    <n v="312.23"/>
    <n v="312.23"/>
    <n v="312.23"/>
    <n v="312.23"/>
    <n v="312.23"/>
    <n v="312.23"/>
    <n v="312.23"/>
    <n v="312.23"/>
    <n v="312.23"/>
    <n v="312.23"/>
    <n v="312.23"/>
    <n v="312.23"/>
  </r>
  <r>
    <s v="basement"/>
    <x v="10"/>
    <n v="0"/>
    <n v="0"/>
    <n v="0"/>
    <n v="59.9"/>
    <n v="59.9"/>
    <n v="59.9"/>
    <n v="59.9"/>
    <n v="59.9"/>
    <n v="119.8"/>
    <n v="119.8"/>
    <n v="119.8"/>
    <n v="239.6"/>
    <n v="239.6"/>
    <n v="239.6"/>
    <n v="239.6"/>
    <n v="239.6"/>
    <n v="239.6"/>
  </r>
  <r>
    <s v="basement"/>
    <x v="10"/>
    <n v="0"/>
    <n v="0"/>
    <n v="0"/>
    <n v="535.25"/>
    <n v="535.25"/>
    <n v="535.25"/>
    <n v="535.25"/>
    <n v="1070.5"/>
    <n v="1070.5"/>
    <n v="1070.5"/>
    <n v="1070.5"/>
    <n v="2141"/>
    <n v="2141"/>
    <n v="2141"/>
    <n v="2141"/>
    <n v="2141"/>
    <n v="2141"/>
  </r>
  <r>
    <s v="basement"/>
    <x v="10"/>
    <n v="0"/>
    <n v="0"/>
    <n v="0"/>
    <n v="0"/>
    <n v="0"/>
    <n v="0"/>
    <n v="0"/>
    <n v="0"/>
    <n v="0"/>
    <n v="0"/>
    <n v="0"/>
    <n v="73.64"/>
    <n v="73.64"/>
    <n v="73.64"/>
    <n v="73.64"/>
    <n v="73.64"/>
    <n v="73.64"/>
  </r>
  <r>
    <s v="basement"/>
    <x v="10"/>
    <n v="0"/>
    <n v="0"/>
    <n v="0"/>
    <n v="0"/>
    <n v="0"/>
    <n v="0"/>
    <n v="0"/>
    <n v="0"/>
    <n v="0"/>
    <n v="0"/>
    <n v="0"/>
    <n v="567.82000000000005"/>
    <n v="567.82000000000005"/>
    <n v="567.82000000000005"/>
    <n v="567.82000000000005"/>
    <n v="567.82000000000005"/>
    <n v="567.82000000000005"/>
  </r>
  <r>
    <s v="basement"/>
    <x v="10"/>
    <n v="0"/>
    <n v="0"/>
    <n v="0"/>
    <n v="106.91"/>
    <n v="106.91"/>
    <n v="106.91"/>
    <n v="106.91"/>
    <n v="106.91"/>
    <n v="106.91"/>
    <n v="106.91"/>
    <n v="106.91"/>
    <n v="106.91"/>
    <n v="106.91"/>
    <n v="106.91"/>
    <n v="106.91"/>
    <n v="106.91"/>
    <n v="106.91"/>
  </r>
  <r>
    <s v="basement"/>
    <x v="10"/>
    <n v="0"/>
    <n v="0"/>
    <n v="0"/>
    <n v="402.14"/>
    <n v="402.14"/>
    <n v="402.14"/>
    <n v="402.14"/>
    <n v="402.14"/>
    <n v="402.14"/>
    <n v="402.14"/>
    <n v="402.14"/>
    <n v="402.14"/>
    <n v="402.14"/>
    <n v="402.14"/>
    <n v="402.14"/>
    <n v="402.14"/>
    <n v="402.14"/>
  </r>
  <r>
    <s v="basement"/>
    <x v="10"/>
    <n v="0"/>
    <n v="0"/>
    <n v="0"/>
    <n v="218.29"/>
    <n v="218.29"/>
    <n v="218.29"/>
    <n v="218.29"/>
    <n v="436.58"/>
    <n v="436.58"/>
    <n v="436.58"/>
    <n v="436.58"/>
    <n v="873.16"/>
    <n v="873.16"/>
    <n v="873.16"/>
    <n v="873.16"/>
    <n v="873.16"/>
    <n v="873.16"/>
  </r>
  <r>
    <s v="basement"/>
    <x v="10"/>
    <n v="0"/>
    <n v="0"/>
    <n v="0"/>
    <n v="0"/>
    <n v="0"/>
    <n v="0"/>
    <n v="0"/>
    <n v="0"/>
    <n v="0"/>
    <n v="0"/>
    <n v="0"/>
    <n v="0"/>
    <n v="0"/>
    <n v="0"/>
    <n v="163.71"/>
    <n v="163.71"/>
    <n v="163.71"/>
  </r>
  <r>
    <s v="basement"/>
    <x v="10"/>
    <n v="0"/>
    <n v="0"/>
    <n v="0"/>
    <n v="179.31"/>
    <n v="179.31"/>
    <n v="179.31"/>
    <n v="179.31"/>
    <n v="179.31"/>
    <n v="179.31"/>
    <n v="179.31"/>
    <n v="179.31"/>
    <n v="179.31"/>
    <n v="179.31"/>
    <n v="179.31"/>
    <n v="179.31"/>
    <n v="179.31"/>
    <n v="179.31"/>
  </r>
  <r>
    <s v="basement"/>
    <x v="10"/>
    <n v="0"/>
    <n v="0"/>
    <n v="0"/>
    <n v="0"/>
    <n v="0"/>
    <n v="0"/>
    <n v="0"/>
    <n v="0"/>
    <n v="0"/>
    <n v="901.71"/>
    <n v="901.71"/>
    <n v="901.71"/>
    <n v="901.71"/>
    <n v="901.71"/>
    <n v="901.71"/>
    <n v="901.71"/>
    <n v="901.71"/>
  </r>
  <r>
    <s v="basement"/>
    <x v="10"/>
    <n v="0"/>
    <n v="0"/>
    <n v="0"/>
    <n v="372.16"/>
    <n v="372.16"/>
    <n v="372.16"/>
    <n v="372.16"/>
    <n v="372.16"/>
    <n v="372.16"/>
    <n v="372.16"/>
    <n v="372.16"/>
    <n v="372.16"/>
    <n v="372.16"/>
    <n v="372.16"/>
    <n v="372.16"/>
    <n v="372.16"/>
    <n v="372.16"/>
  </r>
  <r>
    <s v="basement"/>
    <x v="10"/>
    <n v="0"/>
    <n v="0"/>
    <n v="0"/>
    <n v="1023.97"/>
    <n v="1023.97"/>
    <n v="1023.97"/>
    <n v="1023.97"/>
    <n v="1023.97"/>
    <n v="1023.97"/>
    <n v="1023.97"/>
    <n v="1023.97"/>
    <n v="1023.97"/>
    <n v="1023.97"/>
    <n v="1023.97"/>
    <n v="1023.97"/>
    <n v="1023.97"/>
    <n v="1023.97"/>
  </r>
  <r>
    <s v="basement"/>
    <x v="10"/>
    <n v="0"/>
    <n v="0"/>
    <n v="0"/>
    <n v="121.93"/>
    <n v="121.93"/>
    <n v="121.93"/>
    <n v="121.93"/>
    <n v="121.93"/>
    <n v="121.93"/>
    <n v="121.93"/>
    <n v="121.93"/>
    <n v="121.93"/>
    <n v="121.93"/>
    <n v="121.93"/>
    <n v="121.93"/>
    <n v="121.93"/>
    <n v="121.93"/>
  </r>
  <r>
    <s v="basement"/>
    <x v="10"/>
    <n v="0"/>
    <n v="0"/>
    <n v="0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0">
  <r>
    <x v="0"/>
    <s v="general-split"/>
    <n v="0"/>
    <n v="0"/>
    <n v="0"/>
    <n v="0"/>
    <n v="0"/>
    <n v="0"/>
    <n v="0"/>
    <n v="0"/>
    <n v="0"/>
    <n v="0"/>
    <n v="0"/>
    <n v="573.24"/>
    <n v="573.24"/>
    <n v="573.24"/>
    <n v="573.24"/>
    <n v="573.24"/>
    <n v="573.24"/>
  </r>
  <r>
    <x v="0"/>
    <s v="general-split"/>
    <n v="0"/>
    <n v="0"/>
    <n v="0"/>
    <n v="0"/>
    <n v="0"/>
    <n v="0"/>
    <n v="0"/>
    <n v="0"/>
    <n v="0"/>
    <n v="0"/>
    <n v="0"/>
    <n v="1122"/>
    <n v="1122"/>
    <n v="1122"/>
    <n v="1122"/>
    <n v="1122"/>
    <n v="1122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72.18"/>
    <n v="172.18"/>
    <n v="172.18"/>
  </r>
  <r>
    <x v="0"/>
    <s v="general-split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x v="0"/>
    <s v="general-split"/>
    <n v="0"/>
    <n v="0"/>
    <n v="0"/>
    <n v="0"/>
    <n v="0"/>
    <n v="0"/>
    <n v="0"/>
    <n v="0"/>
    <n v="0"/>
    <n v="0"/>
    <n v="0"/>
    <n v="76.319999999999993"/>
    <n v="76.319999999999993"/>
    <n v="76.319999999999993"/>
    <n v="76.319999999999993"/>
    <n v="76.319999999999993"/>
    <n v="76.319999999999993"/>
  </r>
  <r>
    <x v="0"/>
    <s v="general-split"/>
    <n v="0"/>
    <n v="0"/>
    <n v="0"/>
    <n v="0"/>
    <n v="0"/>
    <n v="0"/>
    <n v="0"/>
    <n v="0"/>
    <n v="0"/>
    <n v="0"/>
    <n v="0"/>
    <n v="0"/>
    <n v="0"/>
    <n v="663.12"/>
    <n v="663.12"/>
    <n v="663.12"/>
    <n v="663.12"/>
  </r>
  <r>
    <x v="0"/>
    <s v="general-split"/>
    <n v="0"/>
    <n v="0"/>
    <n v="0"/>
    <n v="0"/>
    <n v="323.35900000000004"/>
    <n v="323.35900000000004"/>
    <n v="646.71800000000007"/>
    <n v="646.71800000000007"/>
    <n v="646.71800000000007"/>
    <n v="970.077"/>
    <n v="970.077"/>
    <n v="1616.7950000000001"/>
    <n v="3233.59"/>
    <n v="3233.59"/>
    <n v="3233.59"/>
    <n v="3233.59"/>
    <n v="3233.59"/>
  </r>
  <r>
    <x v="0"/>
    <s v="general-split"/>
    <n v="0"/>
    <n v="0"/>
    <n v="0"/>
    <n v="0"/>
    <n v="0"/>
    <n v="0"/>
    <n v="0"/>
    <n v="0"/>
    <n v="0"/>
    <n v="1573.76"/>
    <n v="1573.76"/>
    <n v="1573.76"/>
    <n v="1573.76"/>
    <n v="1573.76"/>
    <n v="1573.76"/>
    <n v="1573.76"/>
    <n v="1573.76"/>
  </r>
  <r>
    <x v="1"/>
    <s v="general-mechanical"/>
    <n v="0"/>
    <n v="0"/>
    <n v="0"/>
    <n v="0"/>
    <n v="0"/>
    <n v="3508.9"/>
    <n v="3508.9"/>
    <n v="3508.9"/>
    <n v="3508.9"/>
    <n v="3508.9"/>
    <n v="3508.9"/>
    <n v="3508.9"/>
    <n v="3508.9"/>
    <n v="3508.9"/>
    <n v="3508.9"/>
    <n v="3508.9"/>
    <n v="3508.9"/>
  </r>
  <r>
    <x v="0"/>
    <s v="general-split"/>
    <n v="0"/>
    <n v="0"/>
    <n v="0"/>
    <n v="0"/>
    <n v="0"/>
    <n v="0"/>
    <n v="0"/>
    <n v="0"/>
    <n v="0"/>
    <n v="0"/>
    <n v="0"/>
    <n v="133.19999999999999"/>
    <n v="133.19999999999999"/>
    <n v="133.19999999999999"/>
    <n v="133.19999999999999"/>
    <n v="133.19999999999999"/>
    <n v="133.19999999999999"/>
  </r>
  <r>
    <x v="0"/>
    <s v="general-split"/>
    <n v="0"/>
    <n v="0"/>
    <n v="0"/>
    <n v="0"/>
    <n v="0"/>
    <n v="0"/>
    <n v="0"/>
    <n v="0"/>
    <n v="0"/>
    <n v="0"/>
    <n v="0"/>
    <n v="346.51"/>
    <n v="346.51"/>
    <n v="346.51"/>
    <n v="346.51"/>
    <n v="346.51"/>
    <n v="346.51"/>
  </r>
  <r>
    <x v="0"/>
    <s v="general-split"/>
    <n v="0"/>
    <n v="0"/>
    <n v="0"/>
    <n v="0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</r>
  <r>
    <x v="0"/>
    <s v="general-split"/>
    <n v="0"/>
    <n v="0"/>
    <n v="0"/>
    <n v="122.97499999999999"/>
    <n v="122.97499999999999"/>
    <n v="122.97499999999999"/>
    <n v="122.97499999999999"/>
    <n v="245.95"/>
    <n v="245.95"/>
    <n v="245.95"/>
    <n v="245.95"/>
    <n v="491.9"/>
    <n v="491.9"/>
    <n v="491.9"/>
    <n v="491.9"/>
    <n v="491.9"/>
    <n v="491.9"/>
  </r>
  <r>
    <x v="0"/>
    <s v="general-split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0"/>
    <s v="general-split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0"/>
    <s v="general-split"/>
    <n v="0"/>
    <n v="0"/>
    <n v="0"/>
    <n v="2177.1224999999999"/>
    <n v="2177.1224999999999"/>
    <n v="2177.1224999999999"/>
    <n v="2177.1224999999999"/>
    <n v="2177.1224999999999"/>
    <n v="4354.2449999999999"/>
    <n v="4354.2449999999999"/>
    <n v="4354.2449999999999"/>
    <n v="4354.2449999999999"/>
    <n v="8708.49"/>
    <n v="8708.49"/>
    <n v="8708.49"/>
    <n v="8708.49"/>
    <n v="8708.49"/>
  </r>
  <r>
    <x v="0"/>
    <s v="general-split"/>
    <n v="0"/>
    <n v="0"/>
    <n v="0"/>
    <n v="1950"/>
    <n v="1950"/>
    <n v="1950"/>
    <n v="1950"/>
    <n v="1950"/>
    <n v="3900"/>
    <n v="3900"/>
    <n v="3900"/>
    <n v="3900"/>
    <n v="7800"/>
    <n v="7800"/>
    <n v="7800"/>
    <n v="7800"/>
    <n v="7800"/>
  </r>
  <r>
    <x v="1"/>
    <s v="general-mechanical"/>
    <n v="0"/>
    <n v="0"/>
    <n v="0"/>
    <n v="0"/>
    <n v="0"/>
    <n v="0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7488.92"/>
    <n v="7488.92"/>
  </r>
  <r>
    <x v="0"/>
    <s v="general-split"/>
    <n v="0"/>
    <n v="0"/>
    <n v="0"/>
    <n v="0"/>
    <n v="0"/>
    <n v="0"/>
    <n v="0"/>
    <n v="0"/>
    <n v="0"/>
    <n v="0"/>
    <n v="0"/>
    <n v="0"/>
    <n v="0"/>
    <n v="188.17"/>
    <n v="188.17"/>
    <n v="188.17"/>
    <n v="188.17"/>
  </r>
  <r>
    <x v="1"/>
    <s v="general-mechanical"/>
    <n v="0"/>
    <n v="0"/>
    <n v="0"/>
    <n v="0"/>
    <n v="0"/>
    <n v="0"/>
    <n v="81.31"/>
    <n v="81.31"/>
    <n v="81.31"/>
    <n v="81.31"/>
    <n v="81.31"/>
    <n v="81.31"/>
    <n v="81.31"/>
    <n v="81.31"/>
    <n v="81.31"/>
    <n v="81.31"/>
    <n v="81.31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5188.96"/>
    <n v="5188.96"/>
  </r>
  <r>
    <x v="2"/>
    <s v="general-main"/>
    <n v="0"/>
    <n v="0"/>
    <n v="0"/>
    <n v="0"/>
    <n v="0"/>
    <n v="0"/>
    <n v="0"/>
    <n v="0"/>
    <n v="0"/>
    <n v="0"/>
    <n v="0"/>
    <n v="0"/>
    <n v="0"/>
    <n v="0"/>
    <n v="53.2"/>
    <n v="53.2"/>
    <n v="53.2"/>
  </r>
  <r>
    <x v="2"/>
    <s v="general-main"/>
    <n v="0"/>
    <n v="0"/>
    <n v="0"/>
    <n v="0"/>
    <n v="0"/>
    <n v="0"/>
    <n v="0"/>
    <n v="0"/>
    <n v="0"/>
    <n v="0"/>
    <n v="0"/>
    <n v="0"/>
    <n v="0"/>
    <n v="0"/>
    <n v="870.63"/>
    <n v="870.63"/>
    <n v="870.63"/>
  </r>
  <r>
    <x v="1"/>
    <s v="general-mechanical"/>
    <n v="0"/>
    <n v="0"/>
    <n v="0"/>
    <n v="0"/>
    <n v="0"/>
    <n v="0"/>
    <n v="0"/>
    <n v="0"/>
    <n v="1664.68"/>
    <n v="1664.68"/>
    <n v="1664.68"/>
    <n v="1664.68"/>
    <n v="1664.68"/>
    <n v="1664.68"/>
    <n v="1664.68"/>
    <n v="1664.68"/>
    <n v="1664.68"/>
  </r>
  <r>
    <x v="0"/>
    <s v="general-split"/>
    <n v="0"/>
    <n v="0"/>
    <n v="0"/>
    <n v="0"/>
    <n v="248.4"/>
    <n v="248.4"/>
    <n v="248.4"/>
    <n v="248.4"/>
    <n v="248.4"/>
    <n v="248.4"/>
    <n v="248.4"/>
    <n v="248.4"/>
    <n v="248.4"/>
    <n v="248.4"/>
    <n v="248.4"/>
    <n v="248.4"/>
    <n v="248.4"/>
  </r>
  <r>
    <x v="0"/>
    <s v="general-split"/>
    <n v="0"/>
    <n v="0"/>
    <n v="0"/>
    <n v="0"/>
    <n v="0"/>
    <n v="0"/>
    <n v="414.45"/>
    <n v="414.45"/>
    <n v="828.9"/>
    <n v="828.9"/>
    <n v="1657.8"/>
    <n v="1657.8"/>
    <n v="1657.8"/>
    <n v="1657.8"/>
    <n v="1657.8"/>
    <n v="1657.8"/>
    <n v="1657.8"/>
  </r>
  <r>
    <x v="0"/>
    <s v="general-split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2"/>
    <s v="Kitchen"/>
    <n v="0"/>
    <n v="0"/>
    <n v="0"/>
    <n v="0"/>
    <n v="0"/>
    <n v="0"/>
    <n v="0"/>
    <n v="0"/>
    <n v="0"/>
    <n v="0"/>
    <n v="0"/>
    <n v="505.12"/>
    <n v="505.12"/>
    <n v="505.12"/>
    <n v="505.12"/>
    <n v="505.12"/>
    <n v="505.12"/>
  </r>
  <r>
    <x v="2"/>
    <s v="Laundry Room"/>
    <n v="0"/>
    <n v="0"/>
    <n v="0"/>
    <n v="0"/>
    <n v="0"/>
    <n v="0"/>
    <n v="0"/>
    <n v="0"/>
    <n v="0"/>
    <n v="0"/>
    <n v="0"/>
    <n v="539.19000000000005"/>
    <n v="539.19000000000005"/>
    <n v="539.19000000000005"/>
    <n v="539.19000000000005"/>
    <n v="539.19000000000005"/>
    <n v="539.19000000000005"/>
  </r>
  <r>
    <x v="0"/>
    <s v="general-split"/>
    <n v="0"/>
    <n v="0"/>
    <n v="0"/>
    <n v="0"/>
    <n v="0"/>
    <n v="0"/>
    <n v="0"/>
    <n v="0"/>
    <n v="0"/>
    <n v="0"/>
    <n v="0"/>
    <n v="0"/>
    <n v="0"/>
    <n v="0"/>
    <n v="47.96"/>
    <n v="47.96"/>
    <n v="47.96"/>
  </r>
  <r>
    <x v="0"/>
    <s v="general-split"/>
    <n v="0"/>
    <n v="0"/>
    <n v="0"/>
    <n v="0"/>
    <n v="0"/>
    <n v="0"/>
    <n v="0"/>
    <n v="0"/>
    <n v="0"/>
    <n v="0"/>
    <n v="0"/>
    <n v="0"/>
    <n v="0"/>
    <n v="0"/>
    <n v="61.65"/>
    <n v="61.65"/>
    <n v="61.65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252.8800000000001"/>
    <n v="1252.8800000000001"/>
    <n v="1252.8800000000001"/>
  </r>
  <r>
    <x v="0"/>
    <s v="general-split"/>
    <n v="0"/>
    <n v="0"/>
    <n v="0"/>
    <n v="0"/>
    <n v="0"/>
    <n v="0"/>
    <n v="0"/>
    <n v="0"/>
    <n v="0"/>
    <n v="0"/>
    <n v="0"/>
    <n v="0"/>
    <n v="0"/>
    <n v="0"/>
    <n v="2793.82"/>
    <n v="2793.82"/>
    <n v="2793.82"/>
  </r>
  <r>
    <x v="2"/>
    <s v="general-main"/>
    <n v="0"/>
    <n v="0"/>
    <n v="0"/>
    <n v="0"/>
    <n v="0"/>
    <n v="0"/>
    <n v="0"/>
    <n v="0"/>
    <n v="0"/>
    <n v="0"/>
    <n v="0"/>
    <n v="0"/>
    <n v="0"/>
    <n v="0"/>
    <n v="412.09"/>
    <n v="412.09"/>
    <n v="412.09"/>
  </r>
  <r>
    <x v="2"/>
    <s v="general-main"/>
    <n v="0"/>
    <n v="0"/>
    <n v="0"/>
    <n v="0"/>
    <n v="0"/>
    <n v="0"/>
    <n v="0"/>
    <n v="0"/>
    <n v="0"/>
    <n v="0"/>
    <n v="0"/>
    <n v="378.03"/>
    <n v="378.03"/>
    <n v="378.03"/>
    <n v="378.03"/>
    <n v="378.03"/>
    <n v="378.03"/>
  </r>
  <r>
    <x v="2"/>
    <s v="general-main"/>
    <n v="0"/>
    <n v="0"/>
    <n v="0"/>
    <n v="0"/>
    <n v="2048.9"/>
    <n v="2048.9"/>
    <n v="2048.9"/>
    <n v="2048.9"/>
    <n v="2048.9"/>
    <n v="2048.9"/>
    <n v="2048.9"/>
    <n v="2048.9"/>
    <n v="2048.9"/>
    <n v="2048.9"/>
    <n v="2048.9"/>
    <n v="2048.9"/>
    <n v="2048.9"/>
  </r>
  <r>
    <x v="2"/>
    <s v="general-main"/>
    <n v="0"/>
    <n v="0"/>
    <n v="0"/>
    <n v="0"/>
    <n v="1938.36"/>
    <n v="1938.36"/>
    <n v="1938.36"/>
    <n v="1938.36"/>
    <n v="1938.36"/>
    <n v="1938.36"/>
    <n v="1938.36"/>
    <n v="1938.36"/>
    <n v="1938.36"/>
    <n v="1938.36"/>
    <n v="1938.36"/>
    <n v="1938.36"/>
    <n v="1938.36"/>
  </r>
  <r>
    <x v="0"/>
    <s v="general-split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x v="1"/>
    <s v="general-mechanical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x v="2"/>
    <s v="general-main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x v="0"/>
    <s v="general-split"/>
    <n v="0"/>
    <n v="0"/>
    <n v="0"/>
    <n v="0"/>
    <n v="0"/>
    <n v="0"/>
    <n v="0"/>
    <n v="0"/>
    <n v="12888"/>
    <n v="12888"/>
    <n v="12888"/>
    <n v="12888"/>
    <n v="12888"/>
    <n v="12888"/>
    <n v="12888"/>
    <n v="12888"/>
    <n v="12888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0"/>
    <s v="general-split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0"/>
    <s v="general-split"/>
    <n v="0"/>
    <n v="0"/>
    <n v="0"/>
    <n v="0"/>
    <n v="0"/>
    <n v="0"/>
    <n v="0"/>
    <n v="0"/>
    <n v="0"/>
    <n v="0"/>
    <n v="0"/>
    <n v="0"/>
    <n v="0"/>
    <n v="57"/>
    <n v="57"/>
    <n v="57"/>
    <n v="57"/>
  </r>
  <r>
    <x v="0"/>
    <s v="general-split"/>
    <n v="0"/>
    <n v="0"/>
    <n v="0"/>
    <n v="0"/>
    <n v="286.94"/>
    <n v="286.94"/>
    <n v="286.94"/>
    <n v="286.94"/>
    <n v="286.94"/>
    <n v="286.94"/>
    <n v="286.94"/>
    <n v="286.94"/>
    <n v="286.94"/>
    <n v="286.94"/>
    <n v="286.94"/>
    <n v="286.94"/>
    <n v="286.94"/>
  </r>
  <r>
    <x v="0"/>
    <s v="general-split"/>
    <n v="0"/>
    <n v="0"/>
    <n v="0"/>
    <n v="245.95"/>
    <n v="245.95"/>
    <n v="245.95"/>
    <n v="245.95"/>
    <n v="491.9"/>
    <n v="491.9"/>
    <n v="491.9"/>
    <n v="491.9"/>
    <n v="983.8"/>
    <n v="983.8"/>
    <n v="983.8"/>
    <n v="983.8"/>
    <n v="983.8"/>
    <n v="983.8"/>
  </r>
  <r>
    <x v="0"/>
    <s v="general-split"/>
    <n v="0"/>
    <n v="0"/>
    <n v="0"/>
    <n v="0"/>
    <n v="0"/>
    <n v="0"/>
    <n v="0"/>
    <n v="0"/>
    <n v="0"/>
    <n v="0"/>
    <n v="0"/>
    <n v="149.78"/>
    <n v="149.78"/>
    <n v="149.78"/>
    <n v="149.78"/>
    <n v="149.78"/>
    <n v="149.78"/>
  </r>
  <r>
    <x v="0"/>
    <s v="general-split"/>
    <n v="0"/>
    <n v="0"/>
    <n v="0"/>
    <n v="0"/>
    <n v="878.84"/>
    <n v="878.84"/>
    <n v="878.84"/>
    <n v="878.84"/>
    <n v="878.84"/>
    <n v="878.84"/>
    <n v="878.84"/>
    <n v="878.84"/>
    <n v="878.84"/>
    <n v="878.84"/>
    <n v="878.84"/>
    <n v="878.84"/>
    <n v="878.84"/>
  </r>
  <r>
    <x v="0"/>
    <s v="general-split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x v="0"/>
    <s v="general-split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x v="0"/>
    <s v="general-split"/>
    <n v="0"/>
    <n v="0"/>
    <n v="0"/>
    <n v="0"/>
    <n v="0"/>
    <n v="0"/>
    <n v="0"/>
    <n v="0"/>
    <n v="0"/>
    <n v="0"/>
    <n v="0"/>
    <n v="2855.72"/>
    <n v="2855.72"/>
    <n v="2855.72"/>
    <n v="2855.72"/>
    <n v="2855.72"/>
    <n v="2855.72"/>
  </r>
  <r>
    <x v="2"/>
    <s v="Entry Foyer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Entry Foyer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Entry Foyer"/>
    <n v="0"/>
    <n v="0"/>
    <n v="0"/>
    <n v="0"/>
    <n v="0"/>
    <n v="0"/>
    <n v="0"/>
    <n v="0"/>
    <n v="0"/>
    <n v="0"/>
    <n v="0"/>
    <n v="49.45"/>
    <n v="49.45"/>
    <n v="49.45"/>
    <n v="49.45"/>
    <n v="49.45"/>
    <n v="49.45"/>
  </r>
  <r>
    <x v="2"/>
    <s v="Entry Foyer"/>
    <n v="0"/>
    <n v="0"/>
    <n v="0"/>
    <n v="367.04"/>
    <n v="367.04"/>
    <n v="367.04"/>
    <n v="367.04"/>
    <n v="367.04"/>
    <n v="367.04"/>
    <n v="367.04"/>
    <n v="367.04"/>
    <n v="367.04"/>
    <n v="367.04"/>
    <n v="367.04"/>
    <n v="367.04"/>
    <n v="367.04"/>
    <n v="367.04"/>
  </r>
  <r>
    <x v="2"/>
    <s v="Entry Foyer"/>
    <n v="0"/>
    <n v="0"/>
    <n v="0"/>
    <n v="0"/>
    <n v="0"/>
    <n v="0"/>
    <n v="0"/>
    <n v="0"/>
    <n v="0"/>
    <n v="0"/>
    <n v="0"/>
    <n v="0"/>
    <n v="0"/>
    <n v="0"/>
    <n v="107.05"/>
    <n v="107.05"/>
    <n v="107.05"/>
  </r>
  <r>
    <x v="2"/>
    <s v="Entry Foyer"/>
    <n v="0"/>
    <n v="0"/>
    <n v="0"/>
    <n v="0"/>
    <n v="208.16"/>
    <n v="208.16"/>
    <n v="208.16"/>
    <n v="208.16"/>
    <n v="208.16"/>
    <n v="208.16"/>
    <n v="208.16"/>
    <n v="208.16"/>
    <n v="208.16"/>
    <n v="208.16"/>
    <n v="208.16"/>
    <n v="208.16"/>
    <n v="208.16"/>
  </r>
  <r>
    <x v="2"/>
    <s v="Entry Foyer"/>
    <n v="0"/>
    <n v="0"/>
    <n v="0"/>
    <n v="39.93"/>
    <n v="39.93"/>
    <n v="39.93"/>
    <n v="39.93"/>
    <n v="39.93"/>
    <n v="79.86"/>
    <n v="79.86"/>
    <n v="79.86"/>
    <n v="159.72"/>
    <n v="159.72"/>
    <n v="159.72"/>
    <n v="159.72"/>
    <n v="159.72"/>
    <n v="159.72"/>
  </r>
  <r>
    <x v="2"/>
    <s v="Entry Foyer"/>
    <n v="0"/>
    <n v="0"/>
    <n v="0"/>
    <n v="356.83"/>
    <n v="356.83"/>
    <n v="356.83"/>
    <n v="356.83"/>
    <n v="713.66"/>
    <n v="713.66"/>
    <n v="713.66"/>
    <n v="713.66"/>
    <n v="1427.32"/>
    <n v="1427.32"/>
    <n v="1427.32"/>
    <n v="1427.32"/>
    <n v="1427.32"/>
    <n v="1427.32"/>
  </r>
  <r>
    <x v="2"/>
    <s v="Entry Foyer"/>
    <n v="0"/>
    <n v="0"/>
    <n v="0"/>
    <n v="0"/>
    <n v="0"/>
    <n v="0"/>
    <n v="0"/>
    <n v="0"/>
    <n v="0"/>
    <n v="0"/>
    <n v="0"/>
    <n v="49.08"/>
    <n v="49.08"/>
    <n v="49.08"/>
    <n v="49.08"/>
    <n v="49.08"/>
    <n v="49.08"/>
  </r>
  <r>
    <x v="2"/>
    <s v="Entry Foyer"/>
    <n v="0"/>
    <n v="0"/>
    <n v="0"/>
    <n v="0"/>
    <n v="0"/>
    <n v="0"/>
    <n v="0"/>
    <n v="0"/>
    <n v="0"/>
    <n v="0"/>
    <n v="0"/>
    <n v="378.51"/>
    <n v="378.51"/>
    <n v="378.51"/>
    <n v="378.51"/>
    <n v="378.51"/>
    <n v="378.51"/>
  </r>
  <r>
    <x v="2"/>
    <s v="Entry Foyer"/>
    <n v="0"/>
    <n v="0"/>
    <n v="0"/>
    <n v="0"/>
    <n v="1068.82"/>
    <n v="1068.82"/>
    <n v="1068.82"/>
    <n v="1068.82"/>
    <n v="1068.82"/>
    <n v="1068.82"/>
    <n v="1068.82"/>
    <n v="1068.82"/>
    <n v="1068.82"/>
    <n v="1068.82"/>
    <n v="1068.82"/>
    <n v="1068.82"/>
    <n v="1068.82"/>
  </r>
  <r>
    <x v="2"/>
    <s v="Entry Foyer"/>
    <n v="0"/>
    <n v="0"/>
    <n v="0"/>
    <n v="0"/>
    <n v="0"/>
    <n v="0"/>
    <n v="0"/>
    <n v="0"/>
    <n v="0"/>
    <n v="0"/>
    <n v="0"/>
    <n v="0"/>
    <n v="0"/>
    <n v="0"/>
    <n v="572.16"/>
    <n v="572.16"/>
    <n v="572.16"/>
  </r>
  <r>
    <x v="2"/>
    <s v="Entry Foyer"/>
    <n v="0"/>
    <n v="0"/>
    <n v="0"/>
    <n v="71.27"/>
    <n v="71.27"/>
    <n v="71.27"/>
    <n v="71.27"/>
    <n v="71.27"/>
    <n v="71.27"/>
    <n v="71.27"/>
    <n v="71.27"/>
    <n v="71.27"/>
    <n v="71.27"/>
    <n v="71.27"/>
    <n v="71.27"/>
    <n v="71.27"/>
    <n v="71.27"/>
  </r>
  <r>
    <x v="2"/>
    <s v="Entry Foyer"/>
    <n v="0"/>
    <n v="0"/>
    <n v="0"/>
    <n v="268.07"/>
    <n v="268.07"/>
    <n v="268.07"/>
    <n v="268.07"/>
    <n v="268.07"/>
    <n v="268.07"/>
    <n v="268.07"/>
    <n v="268.07"/>
    <n v="268.07"/>
    <n v="268.07"/>
    <n v="268.07"/>
    <n v="268.07"/>
    <n v="268.07"/>
    <n v="268.07"/>
  </r>
  <r>
    <x v="2"/>
    <s v="Entry Foyer"/>
    <n v="0"/>
    <n v="0"/>
    <n v="0"/>
    <n v="137.82249999999999"/>
    <n v="137.82249999999999"/>
    <n v="137.82249999999999"/>
    <n v="137.82249999999999"/>
    <n v="275.64499999999998"/>
    <n v="275.64499999999998"/>
    <n v="275.64499999999998"/>
    <n v="275.64499999999998"/>
    <n v="551.29"/>
    <n v="551.29"/>
    <n v="551.29"/>
    <n v="551.29"/>
    <n v="551.29"/>
    <n v="551.29"/>
  </r>
  <r>
    <x v="2"/>
    <s v="Entry Foyer"/>
    <n v="0"/>
    <n v="0"/>
    <n v="0"/>
    <n v="0"/>
    <n v="0"/>
    <n v="0"/>
    <n v="0"/>
    <n v="0"/>
    <n v="0"/>
    <n v="0"/>
    <n v="0"/>
    <n v="0"/>
    <n v="0"/>
    <n v="0"/>
    <n v="103.36"/>
    <n v="103.36"/>
    <n v="103.36"/>
  </r>
  <r>
    <x v="2"/>
    <s v="Entry Foyer"/>
    <n v="0"/>
    <n v="0"/>
    <n v="0"/>
    <n v="113.2"/>
    <n v="113.2"/>
    <n v="113.2"/>
    <n v="113.2"/>
    <n v="113.2"/>
    <n v="113.2"/>
    <n v="113.2"/>
    <n v="113.2"/>
    <n v="113.2"/>
    <n v="113.2"/>
    <n v="113.2"/>
    <n v="113.2"/>
    <n v="113.2"/>
    <n v="113.2"/>
  </r>
  <r>
    <x v="2"/>
    <s v="Entry Foyer"/>
    <n v="0"/>
    <n v="0"/>
    <n v="0"/>
    <n v="0"/>
    <n v="0"/>
    <n v="0"/>
    <n v="0"/>
    <n v="0"/>
    <n v="0"/>
    <n v="402.67"/>
    <n v="402.67"/>
    <n v="402.67"/>
    <n v="402.67"/>
    <n v="402.67"/>
    <n v="402.67"/>
    <n v="402.67"/>
    <n v="402.67"/>
  </r>
  <r>
    <x v="2"/>
    <s v="Entry Foyer"/>
    <n v="0"/>
    <n v="0"/>
    <n v="0"/>
    <n v="166.17"/>
    <n v="166.17"/>
    <n v="166.17"/>
    <n v="166.17"/>
    <n v="166.17"/>
    <n v="166.17"/>
    <n v="166.17"/>
    <n v="166.17"/>
    <n v="166.17"/>
    <n v="166.17"/>
    <n v="166.17"/>
    <n v="166.17"/>
    <n v="166.17"/>
    <n v="166.17"/>
  </r>
  <r>
    <x v="2"/>
    <s v="Entry Foyer"/>
    <n v="0"/>
    <n v="0"/>
    <n v="0"/>
    <n v="457.2"/>
    <n v="457.2"/>
    <n v="457.2"/>
    <n v="457.2"/>
    <n v="457.2"/>
    <n v="457.2"/>
    <n v="457.2"/>
    <n v="457.2"/>
    <n v="457.2"/>
    <n v="457.2"/>
    <n v="457.2"/>
    <n v="457.2"/>
    <n v="457.2"/>
    <n v="457.2"/>
  </r>
  <r>
    <x v="2"/>
    <s v="Entry Foyer"/>
    <n v="0"/>
    <n v="0"/>
    <n v="0"/>
    <n v="54.45"/>
    <n v="54.45"/>
    <n v="54.45"/>
    <n v="54.45"/>
    <n v="54.45"/>
    <n v="54.45"/>
    <n v="54.45"/>
    <n v="54.45"/>
    <n v="54.45"/>
    <n v="54.45"/>
    <n v="54.45"/>
    <n v="54.45"/>
    <n v="54.45"/>
    <n v="54.45"/>
  </r>
  <r>
    <x v="2"/>
    <s v="Entry Foyer"/>
    <n v="0"/>
    <n v="0"/>
    <n v="0"/>
    <n v="492.67"/>
    <n v="492.67"/>
    <n v="492.67"/>
    <n v="492.67"/>
    <n v="492.67"/>
    <n v="492.67"/>
    <n v="492.67"/>
    <n v="492.67"/>
    <n v="492.67"/>
    <n v="492.67"/>
    <n v="492.67"/>
    <n v="492.67"/>
    <n v="492.67"/>
    <n v="492.67"/>
  </r>
  <r>
    <x v="3"/>
    <s v="Walk-In Closet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Walk-In Closet"/>
    <n v="0"/>
    <n v="0"/>
    <n v="0"/>
    <n v="0"/>
    <n v="0"/>
    <n v="0"/>
    <n v="0"/>
    <n v="0"/>
    <n v="0"/>
    <n v="0"/>
    <n v="0"/>
    <n v="277.06"/>
    <n v="277.06"/>
    <n v="277.06"/>
    <n v="277.06"/>
    <n v="277.06"/>
    <n v="277.06"/>
  </r>
  <r>
    <x v="3"/>
    <s v="Walk-In Closet"/>
    <n v="0"/>
    <n v="0"/>
    <n v="0"/>
    <n v="0"/>
    <n v="0"/>
    <n v="0"/>
    <n v="0"/>
    <n v="0"/>
    <n v="0"/>
    <n v="0"/>
    <n v="0"/>
    <n v="360.36"/>
    <n v="360.36"/>
    <n v="360.36"/>
    <n v="360.36"/>
    <n v="360.36"/>
    <n v="360.36"/>
  </r>
  <r>
    <x v="3"/>
    <s v="Walk-In Closet"/>
    <n v="0"/>
    <n v="0"/>
    <n v="0"/>
    <n v="0"/>
    <n v="0"/>
    <n v="0"/>
    <n v="0"/>
    <n v="0"/>
    <n v="0"/>
    <n v="0"/>
    <n v="335.72"/>
    <n v="335.72"/>
    <n v="335.72"/>
    <n v="335.72"/>
    <n v="335.72"/>
    <n v="335.72"/>
    <n v="335.72"/>
  </r>
  <r>
    <x v="3"/>
    <s v="Walk-In Closet"/>
    <n v="0"/>
    <n v="0"/>
    <n v="0"/>
    <n v="0"/>
    <n v="0"/>
    <n v="0"/>
    <n v="0"/>
    <n v="0"/>
    <n v="0"/>
    <n v="0"/>
    <n v="0"/>
    <n v="0"/>
    <n v="0"/>
    <n v="148.19999999999999"/>
    <n v="148.19999999999999"/>
    <n v="148.19999999999999"/>
    <n v="148.19999999999999"/>
  </r>
  <r>
    <x v="3"/>
    <s v="Walk-In Closet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Walk-In Closet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Walk-In Close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Walk-In Close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Walk-In Closet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Walk-In Closet"/>
    <n v="0"/>
    <n v="0"/>
    <n v="0"/>
    <n v="0"/>
    <n v="0"/>
    <n v="0"/>
    <n v="0"/>
    <n v="0"/>
    <n v="0"/>
    <n v="0"/>
    <n v="0"/>
    <n v="54.48"/>
    <n v="54.48"/>
    <n v="54.48"/>
    <n v="54.48"/>
    <n v="54.48"/>
    <n v="54.48"/>
  </r>
  <r>
    <x v="3"/>
    <s v="Walk-In Closet"/>
    <n v="0"/>
    <n v="0"/>
    <n v="0"/>
    <n v="404.36"/>
    <n v="404.36"/>
    <n v="404.36"/>
    <n v="404.36"/>
    <n v="404.36"/>
    <n v="404.36"/>
    <n v="404.36"/>
    <n v="404.36"/>
    <n v="404.36"/>
    <n v="404.36"/>
    <n v="404.36"/>
    <n v="404.36"/>
    <n v="404.36"/>
    <n v="404.36"/>
  </r>
  <r>
    <x v="3"/>
    <s v="Walk-In Closet"/>
    <n v="0"/>
    <n v="0"/>
    <n v="0"/>
    <n v="0"/>
    <n v="0"/>
    <n v="0"/>
    <n v="0"/>
    <n v="0"/>
    <n v="0"/>
    <n v="0"/>
    <n v="0"/>
    <n v="0"/>
    <n v="0"/>
    <n v="0"/>
    <n v="117.94"/>
    <n v="117.94"/>
    <n v="117.94"/>
  </r>
  <r>
    <x v="3"/>
    <s v="Walk-In Closet"/>
    <n v="0"/>
    <n v="0"/>
    <n v="0"/>
    <n v="0"/>
    <n v="229.32"/>
    <n v="229.32"/>
    <n v="229.32"/>
    <n v="229.32"/>
    <n v="229.32"/>
    <n v="229.32"/>
    <n v="229.32"/>
    <n v="229.32"/>
    <n v="229.32"/>
    <n v="229.32"/>
    <n v="229.32"/>
    <n v="229.32"/>
    <n v="229.32"/>
  </r>
  <r>
    <x v="3"/>
    <s v="Walk-In Closet"/>
    <n v="0"/>
    <n v="0"/>
    <n v="0"/>
    <n v="43.99"/>
    <n v="43.99"/>
    <n v="43.99"/>
    <n v="43.99"/>
    <n v="43.99"/>
    <n v="87.98"/>
    <n v="87.98"/>
    <n v="87.98"/>
    <n v="175.96"/>
    <n v="175.96"/>
    <n v="175.96"/>
    <n v="175.96"/>
    <n v="175.96"/>
    <n v="175.96"/>
  </r>
  <r>
    <x v="3"/>
    <s v="Walk-In Closet"/>
    <n v="0"/>
    <n v="0"/>
    <n v="0"/>
    <n v="393.12"/>
    <n v="393.12"/>
    <n v="393.12"/>
    <n v="393.12"/>
    <n v="786.24"/>
    <n v="786.24"/>
    <n v="786.24"/>
    <n v="786.24"/>
    <n v="1572.48"/>
    <n v="1572.48"/>
    <n v="1572.48"/>
    <n v="1572.48"/>
    <n v="1572.48"/>
    <n v="1572.48"/>
  </r>
  <r>
    <x v="3"/>
    <s v="Walk-In Closet"/>
    <n v="0"/>
    <n v="0"/>
    <n v="0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</r>
  <r>
    <x v="3"/>
    <s v="Walk-In Closet"/>
    <n v="0"/>
    <n v="0"/>
    <n v="0"/>
    <n v="295.33"/>
    <n v="295.33"/>
    <n v="295.33"/>
    <n v="295.33"/>
    <n v="295.33"/>
    <n v="295.33"/>
    <n v="295.33"/>
    <n v="295.33"/>
    <n v="295.33"/>
    <n v="295.33"/>
    <n v="295.33"/>
    <n v="295.33"/>
    <n v="295.33"/>
    <n v="295.33"/>
  </r>
  <r>
    <x v="3"/>
    <s v="Walk-In Closet"/>
    <n v="0"/>
    <n v="0"/>
    <n v="0"/>
    <n v="117.2925"/>
    <n v="117.2925"/>
    <n v="117.2925"/>
    <n v="117.2925"/>
    <n v="234.58500000000001"/>
    <n v="234.58500000000001"/>
    <n v="234.58500000000001"/>
    <n v="234.58500000000001"/>
    <n v="469.17"/>
    <n v="469.17"/>
    <n v="469.17"/>
    <n v="469.17"/>
    <n v="469.17"/>
    <n v="469.17"/>
  </r>
  <r>
    <x v="3"/>
    <s v="Walk-In Closet"/>
    <n v="0"/>
    <n v="0"/>
    <n v="0"/>
    <n v="0"/>
    <n v="0"/>
    <n v="0"/>
    <n v="0"/>
    <n v="0"/>
    <n v="0"/>
    <n v="0"/>
    <n v="0"/>
    <n v="0"/>
    <n v="0"/>
    <n v="0"/>
    <n v="87.97"/>
    <n v="87.97"/>
    <n v="87.97"/>
  </r>
  <r>
    <x v="3"/>
    <s v="Walk-In Closet"/>
    <n v="0"/>
    <n v="0"/>
    <n v="0"/>
    <n v="96.35"/>
    <n v="96.35"/>
    <n v="96.35"/>
    <n v="96.35"/>
    <n v="96.35"/>
    <n v="96.35"/>
    <n v="96.35"/>
    <n v="96.35"/>
    <n v="96.35"/>
    <n v="96.35"/>
    <n v="96.35"/>
    <n v="96.35"/>
    <n v="96.35"/>
    <n v="96.35"/>
  </r>
  <r>
    <x v="3"/>
    <s v="Walk-In Closet"/>
    <n v="0"/>
    <n v="0"/>
    <n v="0"/>
    <n v="0"/>
    <n v="0"/>
    <n v="0"/>
    <n v="0"/>
    <n v="0"/>
    <n v="0"/>
    <n v="484.47"/>
    <n v="484.47"/>
    <n v="484.47"/>
    <n v="484.47"/>
    <n v="484.47"/>
    <n v="484.47"/>
    <n v="484.47"/>
    <n v="484.47"/>
  </r>
  <r>
    <x v="3"/>
    <s v="Walk-In Closet"/>
    <n v="0"/>
    <n v="0"/>
    <n v="0"/>
    <n v="199.93"/>
    <n v="199.93"/>
    <n v="199.93"/>
    <n v="199.93"/>
    <n v="199.93"/>
    <n v="199.93"/>
    <n v="199.93"/>
    <n v="199.93"/>
    <n v="199.93"/>
    <n v="199.93"/>
    <n v="199.93"/>
    <n v="199.93"/>
    <n v="199.93"/>
    <n v="199.93"/>
  </r>
  <r>
    <x v="3"/>
    <s v="Walk-In Closet"/>
    <n v="0"/>
    <n v="0"/>
    <n v="0"/>
    <n v="550.1"/>
    <n v="550.1"/>
    <n v="550.1"/>
    <n v="550.1"/>
    <n v="550.1"/>
    <n v="550.1"/>
    <n v="550.1"/>
    <n v="550.1"/>
    <n v="550.1"/>
    <n v="550.1"/>
    <n v="550.1"/>
    <n v="550.1"/>
    <n v="550.1"/>
    <n v="550.1"/>
  </r>
  <r>
    <x v="3"/>
    <s v="Walk-In Closet"/>
    <n v="0"/>
    <n v="0"/>
    <n v="0"/>
    <n v="65.52"/>
    <n v="65.52"/>
    <n v="65.52"/>
    <n v="65.52"/>
    <n v="65.52"/>
    <n v="65.52"/>
    <n v="65.52"/>
    <n v="65.52"/>
    <n v="65.52"/>
    <n v="65.52"/>
    <n v="65.52"/>
    <n v="65.52"/>
    <n v="65.52"/>
    <n v="65.52"/>
  </r>
  <r>
    <x v="3"/>
    <s v="Walk-In Closet"/>
    <n v="0"/>
    <n v="0"/>
    <n v="0"/>
    <n v="592.9"/>
    <n v="592.9"/>
    <n v="592.9"/>
    <n v="592.9"/>
    <n v="592.9"/>
    <n v="592.9"/>
    <n v="592.9"/>
    <n v="592.9"/>
    <n v="592.9"/>
    <n v="592.9"/>
    <n v="592.9"/>
    <n v="592.9"/>
    <n v="592.9"/>
    <n v="592.9"/>
  </r>
  <r>
    <x v="2"/>
    <s v="Full Bath"/>
    <n v="0"/>
    <n v="0"/>
    <n v="0"/>
    <n v="1504.98"/>
    <n v="1504.98"/>
    <n v="1504.98"/>
    <n v="1504.98"/>
    <n v="1504.98"/>
    <n v="3009.96"/>
    <n v="3009.96"/>
    <n v="3009.96"/>
    <n v="6019.92"/>
    <n v="6019.92"/>
    <n v="6019.92"/>
    <n v="6019.92"/>
    <n v="6019.92"/>
    <n v="6019.92"/>
  </r>
  <r>
    <x v="2"/>
    <s v="Full Bath"/>
    <n v="0"/>
    <n v="0"/>
    <n v="0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</r>
  <r>
    <x v="2"/>
    <s v="Full Bath"/>
    <n v="0"/>
    <n v="0"/>
    <n v="0"/>
    <n v="0"/>
    <n v="0"/>
    <n v="0"/>
    <n v="0"/>
    <n v="0"/>
    <n v="0"/>
    <n v="51.12"/>
    <n v="51.12"/>
    <n v="51.12"/>
    <n v="51.12"/>
    <n v="51.12"/>
    <n v="51.12"/>
    <n v="51.12"/>
    <n v="51.12"/>
  </r>
  <r>
    <x v="2"/>
    <s v="Full Bath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x v="2"/>
    <s v="Full Bath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x v="2"/>
    <s v="Full Bath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x v="2"/>
    <s v="Full Bath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x v="2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Full Bath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x v="2"/>
    <s v="Full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2"/>
    <s v="Full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2"/>
    <s v="Full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2"/>
    <s v="Full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2"/>
    <s v="Full Bath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x v="2"/>
    <s v="Full Bath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x v="2"/>
    <s v="Full Bath"/>
    <n v="0"/>
    <n v="0"/>
    <n v="0"/>
    <n v="0"/>
    <n v="0"/>
    <n v="0"/>
    <n v="0"/>
    <n v="0"/>
    <n v="0"/>
    <n v="1359.69"/>
    <n v="1359.69"/>
    <n v="1359.69"/>
    <n v="1359.69"/>
    <n v="1359.69"/>
    <n v="1359.69"/>
    <n v="1359.69"/>
    <n v="1359.69"/>
  </r>
  <r>
    <x v="2"/>
    <s v="Full Bath"/>
    <n v="0"/>
    <n v="0"/>
    <n v="0"/>
    <n v="0"/>
    <n v="0"/>
    <n v="0"/>
    <n v="0"/>
    <n v="0"/>
    <n v="0"/>
    <n v="786.48"/>
    <n v="786.48"/>
    <n v="786.48"/>
    <n v="786.48"/>
    <n v="786.48"/>
    <n v="786.48"/>
    <n v="786.48"/>
    <n v="786.48"/>
  </r>
  <r>
    <x v="2"/>
    <s v="Full Bath"/>
    <n v="0"/>
    <n v="0"/>
    <n v="0"/>
    <n v="0"/>
    <n v="0"/>
    <n v="0"/>
    <n v="0"/>
    <n v="0"/>
    <n v="0"/>
    <n v="0"/>
    <n v="0"/>
    <n v="498.26"/>
    <n v="498.26"/>
    <n v="498.26"/>
    <n v="498.26"/>
    <n v="498.26"/>
    <n v="498.26"/>
  </r>
  <r>
    <x v="2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Full Bath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x v="2"/>
    <s v="Full Bath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x v="2"/>
    <s v="Full Bath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Full Bath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Full Bath"/>
    <n v="0"/>
    <n v="0"/>
    <n v="0"/>
    <n v="0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</r>
  <r>
    <x v="2"/>
    <s v="Full Bath"/>
    <n v="0"/>
    <n v="0"/>
    <n v="0"/>
    <n v="0"/>
    <n v="0"/>
    <n v="0"/>
    <n v="0"/>
    <n v="0"/>
    <n v="0"/>
    <n v="0"/>
    <n v="1163.8800000000001"/>
    <n v="1163.8800000000001"/>
    <n v="1163.8800000000001"/>
    <n v="1163.8800000000001"/>
    <n v="1163.8800000000001"/>
    <n v="1163.8800000000001"/>
    <n v="1163.8800000000001"/>
  </r>
  <r>
    <x v="2"/>
    <s v="Full Bath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x v="2"/>
    <s v="Full Bath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x v="2"/>
    <s v="Full Bath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x v="2"/>
    <s v="Full Bath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x v="2"/>
    <s v="Full Bath"/>
    <n v="0"/>
    <n v="0"/>
    <n v="0"/>
    <n v="0"/>
    <n v="0"/>
    <n v="0"/>
    <n v="0"/>
    <n v="0"/>
    <n v="0"/>
    <n v="0"/>
    <n v="0"/>
    <n v="32.06"/>
    <n v="32.06"/>
    <n v="32.06"/>
    <n v="32.06"/>
    <n v="32.06"/>
    <n v="32.06"/>
  </r>
  <r>
    <x v="2"/>
    <s v="Full Bath"/>
    <n v="0"/>
    <n v="0"/>
    <n v="0"/>
    <n v="237.95"/>
    <n v="237.95"/>
    <n v="237.95"/>
    <n v="237.95"/>
    <n v="237.95"/>
    <n v="237.95"/>
    <n v="237.95"/>
    <n v="237.95"/>
    <n v="237.95"/>
    <n v="237.95"/>
    <n v="237.95"/>
    <n v="237.95"/>
    <n v="237.95"/>
    <n v="237.95"/>
  </r>
  <r>
    <x v="2"/>
    <s v="Full Bath"/>
    <n v="0"/>
    <n v="0"/>
    <n v="0"/>
    <n v="0"/>
    <n v="0"/>
    <n v="0"/>
    <n v="0"/>
    <n v="0"/>
    <n v="0"/>
    <n v="0"/>
    <n v="0"/>
    <n v="0"/>
    <n v="0"/>
    <n v="0"/>
    <n v="69.39"/>
    <n v="69.39"/>
    <n v="69.39"/>
  </r>
  <r>
    <x v="2"/>
    <s v="Full Bath"/>
    <n v="0"/>
    <n v="0"/>
    <n v="0"/>
    <n v="0"/>
    <n v="134.96"/>
    <n v="134.96"/>
    <n v="134.96"/>
    <n v="134.96"/>
    <n v="134.96"/>
    <n v="134.96"/>
    <n v="134.96"/>
    <n v="134.96"/>
    <n v="134.96"/>
    <n v="134.96"/>
    <n v="134.96"/>
    <n v="134.96"/>
    <n v="134.96"/>
  </r>
  <r>
    <x v="2"/>
    <s v="Full Bath"/>
    <n v="0"/>
    <n v="0"/>
    <n v="0"/>
    <n v="25.887499999999999"/>
    <n v="25.887499999999999"/>
    <n v="25.887499999999999"/>
    <n v="25.887499999999999"/>
    <n v="25.887499999999999"/>
    <n v="51.774999999999999"/>
    <n v="51.774999999999999"/>
    <n v="51.774999999999999"/>
    <n v="103.55"/>
    <n v="103.55"/>
    <n v="103.55"/>
    <n v="103.55"/>
    <n v="103.55"/>
    <n v="103.55"/>
  </r>
  <r>
    <x v="2"/>
    <s v="Full Bath"/>
    <n v="0"/>
    <n v="0"/>
    <n v="0"/>
    <n v="231.33500000000001"/>
    <n v="231.33500000000001"/>
    <n v="231.33500000000001"/>
    <n v="231.33500000000001"/>
    <n v="462.67"/>
    <n v="462.67"/>
    <n v="462.67"/>
    <n v="462.67"/>
    <n v="925.34"/>
    <n v="925.34"/>
    <n v="925.34"/>
    <n v="925.34"/>
    <n v="925.34"/>
    <n v="925.34"/>
  </r>
  <r>
    <x v="2"/>
    <s v="Full Bath"/>
    <n v="0"/>
    <n v="0"/>
    <n v="0"/>
    <n v="46.21"/>
    <n v="46.21"/>
    <n v="46.21"/>
    <n v="46.21"/>
    <n v="46.21"/>
    <n v="46.21"/>
    <n v="46.21"/>
    <n v="46.21"/>
    <n v="46.21"/>
    <n v="46.21"/>
    <n v="46.21"/>
    <n v="46.21"/>
    <n v="46.21"/>
    <n v="46.21"/>
  </r>
  <r>
    <x v="2"/>
    <s v="Full Bath"/>
    <n v="0"/>
    <n v="0"/>
    <n v="0"/>
    <n v="173.8"/>
    <n v="173.8"/>
    <n v="173.8"/>
    <n v="173.8"/>
    <n v="173.8"/>
    <n v="173.8"/>
    <n v="173.8"/>
    <n v="173.8"/>
    <n v="173.8"/>
    <n v="173.8"/>
    <n v="173.8"/>
    <n v="173.8"/>
    <n v="173.8"/>
    <n v="173.8"/>
  </r>
  <r>
    <x v="2"/>
    <s v="Full Bath"/>
    <n v="0"/>
    <n v="0"/>
    <n v="0"/>
    <n v="38.817500000000003"/>
    <n v="38.817500000000003"/>
    <n v="38.817500000000003"/>
    <n v="38.817500000000003"/>
    <n v="77.635000000000005"/>
    <n v="77.635000000000005"/>
    <n v="77.635000000000005"/>
    <n v="77.635000000000005"/>
    <n v="155.27000000000001"/>
    <n v="155.27000000000001"/>
    <n v="155.27000000000001"/>
    <n v="155.27000000000001"/>
    <n v="155.27000000000001"/>
    <n v="155.27000000000001"/>
  </r>
  <r>
    <x v="2"/>
    <s v="Full Bath"/>
    <n v="0"/>
    <n v="0"/>
    <n v="0"/>
    <n v="0"/>
    <n v="0"/>
    <n v="0"/>
    <n v="0"/>
    <n v="0"/>
    <n v="0"/>
    <n v="0"/>
    <n v="0"/>
    <n v="0"/>
    <n v="0"/>
    <n v="0"/>
    <n v="29.12"/>
    <n v="29.12"/>
    <n v="29.12"/>
  </r>
  <r>
    <x v="2"/>
    <s v="Full Bath"/>
    <n v="0"/>
    <n v="0"/>
    <n v="0"/>
    <n v="31.89"/>
    <n v="31.89"/>
    <n v="31.89"/>
    <n v="31.89"/>
    <n v="31.89"/>
    <n v="31.89"/>
    <n v="31.89"/>
    <n v="31.89"/>
    <n v="31.89"/>
    <n v="31.89"/>
    <n v="31.89"/>
    <n v="31.89"/>
    <n v="31.89"/>
    <n v="31.89"/>
  </r>
  <r>
    <x v="2"/>
    <s v="Full Bath"/>
    <n v="0"/>
    <n v="0"/>
    <n v="0"/>
    <n v="0"/>
    <n v="0"/>
    <n v="0"/>
    <n v="0"/>
    <n v="0"/>
    <n v="0"/>
    <n v="160.32"/>
    <n v="160.32"/>
    <n v="160.32"/>
    <n v="160.32"/>
    <n v="160.32"/>
    <n v="160.32"/>
    <n v="160.32"/>
    <n v="160.32"/>
  </r>
  <r>
    <x v="2"/>
    <s v="Full Bath"/>
    <n v="0"/>
    <n v="0"/>
    <n v="0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</r>
  <r>
    <x v="2"/>
    <s v="Full Bath"/>
    <n v="0"/>
    <n v="0"/>
    <n v="0"/>
    <n v="182.15"/>
    <n v="182.15"/>
    <n v="182.15"/>
    <n v="182.15"/>
    <n v="182.15"/>
    <n v="182.15"/>
    <n v="182.15"/>
    <n v="182.15"/>
    <n v="182.15"/>
    <n v="182.15"/>
    <n v="182.15"/>
    <n v="182.15"/>
    <n v="182.15"/>
    <n v="182.15"/>
  </r>
  <r>
    <x v="2"/>
    <s v="Full Bath"/>
    <n v="0"/>
    <n v="0"/>
    <n v="0"/>
    <n v="21.69"/>
    <n v="21.69"/>
    <n v="21.69"/>
    <n v="21.69"/>
    <n v="21.69"/>
    <n v="21.69"/>
    <n v="21.69"/>
    <n v="21.69"/>
    <n v="21.69"/>
    <n v="21.69"/>
    <n v="21.69"/>
    <n v="21.69"/>
    <n v="21.69"/>
    <n v="21.69"/>
  </r>
  <r>
    <x v="2"/>
    <s v="Full Bath"/>
    <n v="0"/>
    <n v="0"/>
    <n v="0"/>
    <n v="196.28"/>
    <n v="196.28"/>
    <n v="196.28"/>
    <n v="196.28"/>
    <n v="196.28"/>
    <n v="196.28"/>
    <n v="196.28"/>
    <n v="196.28"/>
    <n v="196.28"/>
    <n v="196.28"/>
    <n v="196.28"/>
    <n v="196.28"/>
    <n v="196.28"/>
    <n v="196.28"/>
  </r>
  <r>
    <x v="3"/>
    <s v="Full Bath"/>
    <n v="0"/>
    <n v="0"/>
    <n v="0"/>
    <n v="1504.98"/>
    <n v="1504.98"/>
    <n v="1504.98"/>
    <n v="1504.98"/>
    <n v="1504.98"/>
    <n v="3009.96"/>
    <n v="3009.96"/>
    <n v="3009.96"/>
    <n v="6019.92"/>
    <n v="6019.92"/>
    <n v="6019.92"/>
    <n v="6019.92"/>
    <n v="6019.92"/>
    <n v="6019.92"/>
  </r>
  <r>
    <x v="3"/>
    <s v="Full Bath"/>
    <n v="0"/>
    <n v="0"/>
    <n v="0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</r>
  <r>
    <x v="3"/>
    <s v="Full Bath"/>
    <n v="0"/>
    <n v="0"/>
    <n v="0"/>
    <n v="0"/>
    <n v="0"/>
    <n v="0"/>
    <n v="0"/>
    <n v="0"/>
    <n v="0"/>
    <n v="51.12"/>
    <n v="51.12"/>
    <n v="51.12"/>
    <n v="51.12"/>
    <n v="51.12"/>
    <n v="51.12"/>
    <n v="51.12"/>
    <n v="51.12"/>
  </r>
  <r>
    <x v="3"/>
    <s v="Full Bath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x v="3"/>
    <s v="Full Bath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x v="3"/>
    <s v="Full Bath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x v="3"/>
    <s v="Full Bath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x v="3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3"/>
    <s v="Full Bath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x v="3"/>
    <s v="Full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3"/>
    <s v="Full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3"/>
    <s v="Full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3"/>
    <s v="Full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3"/>
    <s v="Full Bath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x v="3"/>
    <s v="Full Bath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x v="3"/>
    <s v="Full Bath"/>
    <n v="0"/>
    <n v="0"/>
    <n v="0"/>
    <n v="0"/>
    <n v="0"/>
    <n v="0"/>
    <n v="0"/>
    <n v="0"/>
    <n v="0"/>
    <n v="1359.69"/>
    <n v="1359.69"/>
    <n v="1359.69"/>
    <n v="1359.69"/>
    <n v="1359.69"/>
    <n v="1359.69"/>
    <n v="1359.69"/>
    <n v="1359.69"/>
  </r>
  <r>
    <x v="3"/>
    <s v="Full Bath"/>
    <n v="0"/>
    <n v="0"/>
    <n v="0"/>
    <n v="0"/>
    <n v="0"/>
    <n v="0"/>
    <n v="0"/>
    <n v="0"/>
    <n v="0"/>
    <n v="786.48"/>
    <n v="786.48"/>
    <n v="786.48"/>
    <n v="786.48"/>
    <n v="786.48"/>
    <n v="786.48"/>
    <n v="786.48"/>
    <n v="786.48"/>
  </r>
  <r>
    <x v="3"/>
    <s v="Full Bath"/>
    <n v="0"/>
    <n v="0"/>
    <n v="0"/>
    <n v="0"/>
    <n v="0"/>
    <n v="0"/>
    <n v="0"/>
    <n v="0"/>
    <n v="0"/>
    <n v="0"/>
    <n v="0"/>
    <n v="498.26"/>
    <n v="498.26"/>
    <n v="498.26"/>
    <n v="498.26"/>
    <n v="498.26"/>
    <n v="498.26"/>
  </r>
  <r>
    <x v="3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3"/>
    <s v="Full Bath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x v="3"/>
    <s v="Full Bath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x v="3"/>
    <s v="Full Bath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Full Bath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Full Bath"/>
    <n v="0"/>
    <n v="0"/>
    <n v="0"/>
    <n v="0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</r>
  <r>
    <x v="3"/>
    <s v="Full Bath"/>
    <n v="0"/>
    <n v="0"/>
    <n v="0"/>
    <n v="0"/>
    <n v="0"/>
    <n v="0"/>
    <n v="0"/>
    <n v="0"/>
    <n v="0"/>
    <n v="0"/>
    <n v="1163.8800000000001"/>
    <n v="1163.8800000000001"/>
    <n v="1163.8800000000001"/>
    <n v="1163.8800000000001"/>
    <n v="1163.8800000000001"/>
    <n v="1163.8800000000001"/>
    <n v="1163.8800000000001"/>
  </r>
  <r>
    <x v="3"/>
    <s v="Full Bath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x v="3"/>
    <s v="Full Bath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x v="3"/>
    <s v="Full Bath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x v="3"/>
    <s v="Full Bath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x v="3"/>
    <s v="Full Bath"/>
    <n v="0"/>
    <n v="0"/>
    <n v="0"/>
    <n v="0"/>
    <n v="0"/>
    <n v="0"/>
    <n v="0"/>
    <n v="0"/>
    <n v="0"/>
    <n v="0"/>
    <n v="0"/>
    <n v="32.06"/>
    <n v="32.06"/>
    <n v="32.06"/>
    <n v="32.06"/>
    <n v="32.06"/>
    <n v="32.06"/>
  </r>
  <r>
    <x v="3"/>
    <s v="Full Bath"/>
    <n v="0"/>
    <n v="0"/>
    <n v="0"/>
    <n v="237.95"/>
    <n v="237.95"/>
    <n v="237.95"/>
    <n v="237.95"/>
    <n v="237.95"/>
    <n v="237.95"/>
    <n v="237.95"/>
    <n v="237.95"/>
    <n v="237.95"/>
    <n v="237.95"/>
    <n v="237.95"/>
    <n v="237.95"/>
    <n v="237.95"/>
    <n v="237.95"/>
  </r>
  <r>
    <x v="3"/>
    <s v="Full Bath"/>
    <n v="0"/>
    <n v="0"/>
    <n v="0"/>
    <n v="0"/>
    <n v="0"/>
    <n v="0"/>
    <n v="0"/>
    <n v="0"/>
    <n v="0"/>
    <n v="0"/>
    <n v="0"/>
    <n v="0"/>
    <n v="0"/>
    <n v="0"/>
    <n v="69.39"/>
    <n v="69.39"/>
    <n v="69.39"/>
  </r>
  <r>
    <x v="3"/>
    <s v="Full Bath"/>
    <n v="0"/>
    <n v="0"/>
    <n v="0"/>
    <n v="0"/>
    <n v="134.96"/>
    <n v="134.96"/>
    <n v="134.96"/>
    <n v="134.96"/>
    <n v="134.96"/>
    <n v="134.96"/>
    <n v="134.96"/>
    <n v="134.96"/>
    <n v="134.96"/>
    <n v="134.96"/>
    <n v="134.96"/>
    <n v="134.96"/>
    <n v="134.96"/>
  </r>
  <r>
    <x v="3"/>
    <s v="Full Bath"/>
    <n v="0"/>
    <n v="0"/>
    <n v="0"/>
    <n v="25.887499999999999"/>
    <n v="25.887499999999999"/>
    <n v="25.887499999999999"/>
    <n v="25.887499999999999"/>
    <n v="25.887499999999999"/>
    <n v="51.774999999999999"/>
    <n v="51.774999999999999"/>
    <n v="51.774999999999999"/>
    <n v="103.55"/>
    <n v="103.55"/>
    <n v="103.55"/>
    <n v="103.55"/>
    <n v="103.55"/>
    <n v="103.55"/>
  </r>
  <r>
    <x v="3"/>
    <s v="Full Bath"/>
    <n v="0"/>
    <n v="0"/>
    <n v="0"/>
    <n v="231.33500000000001"/>
    <n v="231.33500000000001"/>
    <n v="231.33500000000001"/>
    <n v="231.33500000000001"/>
    <n v="462.67"/>
    <n v="462.67"/>
    <n v="462.67"/>
    <n v="462.67"/>
    <n v="925.34"/>
    <n v="925.34"/>
    <n v="925.34"/>
    <n v="925.34"/>
    <n v="925.34"/>
    <n v="925.34"/>
  </r>
  <r>
    <x v="3"/>
    <s v="Full Bath"/>
    <n v="0"/>
    <n v="0"/>
    <n v="0"/>
    <n v="46.21"/>
    <n v="46.21"/>
    <n v="46.21"/>
    <n v="46.21"/>
    <n v="46.21"/>
    <n v="46.21"/>
    <n v="46.21"/>
    <n v="46.21"/>
    <n v="46.21"/>
    <n v="46.21"/>
    <n v="46.21"/>
    <n v="46.21"/>
    <n v="46.21"/>
    <n v="46.21"/>
  </r>
  <r>
    <x v="3"/>
    <s v="Full Bath"/>
    <n v="0"/>
    <n v="0"/>
    <n v="0"/>
    <n v="173.8"/>
    <n v="173.8"/>
    <n v="173.8"/>
    <n v="173.8"/>
    <n v="173.8"/>
    <n v="173.8"/>
    <n v="173.8"/>
    <n v="173.8"/>
    <n v="173.8"/>
    <n v="173.8"/>
    <n v="173.8"/>
    <n v="173.8"/>
    <n v="173.8"/>
    <n v="173.8"/>
  </r>
  <r>
    <x v="3"/>
    <s v="Full Bath"/>
    <n v="0"/>
    <n v="0"/>
    <n v="0"/>
    <n v="38.817500000000003"/>
    <n v="38.817500000000003"/>
    <n v="38.817500000000003"/>
    <n v="38.817500000000003"/>
    <n v="77.635000000000005"/>
    <n v="77.635000000000005"/>
    <n v="77.635000000000005"/>
    <n v="77.635000000000005"/>
    <n v="155.27000000000001"/>
    <n v="155.27000000000001"/>
    <n v="155.27000000000001"/>
    <n v="155.27000000000001"/>
    <n v="155.27000000000001"/>
    <n v="155.27000000000001"/>
  </r>
  <r>
    <x v="3"/>
    <s v="Full Bath"/>
    <n v="0"/>
    <n v="0"/>
    <n v="0"/>
    <n v="0"/>
    <n v="0"/>
    <n v="0"/>
    <n v="0"/>
    <n v="0"/>
    <n v="0"/>
    <n v="0"/>
    <n v="0"/>
    <n v="0"/>
    <n v="0"/>
    <n v="0"/>
    <n v="29.12"/>
    <n v="29.12"/>
    <n v="29.12"/>
  </r>
  <r>
    <x v="3"/>
    <s v="Full Bath"/>
    <n v="0"/>
    <n v="0"/>
    <n v="0"/>
    <n v="31.89"/>
    <n v="31.89"/>
    <n v="31.89"/>
    <n v="31.89"/>
    <n v="31.89"/>
    <n v="31.89"/>
    <n v="31.89"/>
    <n v="31.89"/>
    <n v="31.89"/>
    <n v="31.89"/>
    <n v="31.89"/>
    <n v="31.89"/>
    <n v="31.89"/>
    <n v="31.89"/>
  </r>
  <r>
    <x v="3"/>
    <s v="Full Bath"/>
    <n v="0"/>
    <n v="0"/>
    <n v="0"/>
    <n v="0"/>
    <n v="0"/>
    <n v="0"/>
    <n v="0"/>
    <n v="0"/>
    <n v="0"/>
    <n v="160.32"/>
    <n v="160.32"/>
    <n v="160.32"/>
    <n v="160.32"/>
    <n v="160.32"/>
    <n v="160.32"/>
    <n v="160.32"/>
    <n v="160.32"/>
  </r>
  <r>
    <x v="3"/>
    <s v="Full Bath"/>
    <n v="0"/>
    <n v="0"/>
    <n v="0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</r>
  <r>
    <x v="3"/>
    <s v="Full Bath"/>
    <n v="0"/>
    <n v="0"/>
    <n v="0"/>
    <n v="182.15"/>
    <n v="182.15"/>
    <n v="182.15"/>
    <n v="182.15"/>
    <n v="182.15"/>
    <n v="182.15"/>
    <n v="182.15"/>
    <n v="182.15"/>
    <n v="182.15"/>
    <n v="182.15"/>
    <n v="182.15"/>
    <n v="182.15"/>
    <n v="182.15"/>
    <n v="182.15"/>
  </r>
  <r>
    <x v="3"/>
    <s v="Full Bath"/>
    <n v="0"/>
    <n v="0"/>
    <n v="0"/>
    <n v="21.69"/>
    <n v="21.69"/>
    <n v="21.69"/>
    <n v="21.69"/>
    <n v="21.69"/>
    <n v="21.69"/>
    <n v="21.69"/>
    <n v="21.69"/>
    <n v="21.69"/>
    <n v="21.69"/>
    <n v="21.69"/>
    <n v="21.69"/>
    <n v="21.69"/>
    <n v="21.69"/>
  </r>
  <r>
    <x v="3"/>
    <s v="Full Bath"/>
    <n v="0"/>
    <n v="0"/>
    <n v="0"/>
    <n v="196.28"/>
    <n v="196.28"/>
    <n v="196.28"/>
    <n v="196.28"/>
    <n v="196.28"/>
    <n v="196.28"/>
    <n v="196.28"/>
    <n v="196.28"/>
    <n v="196.28"/>
    <n v="196.28"/>
    <n v="196.28"/>
    <n v="196.28"/>
    <n v="196.28"/>
    <n v="196.28"/>
  </r>
  <r>
    <x v="3"/>
    <s v="Full Bath"/>
    <n v="0"/>
    <n v="0"/>
    <n v="0"/>
    <n v="1504.98"/>
    <n v="1504.98"/>
    <n v="1504.98"/>
    <n v="1504.98"/>
    <n v="1504.98"/>
    <n v="3009.96"/>
    <n v="3009.96"/>
    <n v="3009.96"/>
    <n v="6019.92"/>
    <n v="6019.92"/>
    <n v="6019.92"/>
    <n v="6019.92"/>
    <n v="6019.92"/>
    <n v="6019.92"/>
  </r>
  <r>
    <x v="3"/>
    <s v="Full Bath"/>
    <n v="0"/>
    <n v="0"/>
    <n v="0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</r>
  <r>
    <x v="3"/>
    <s v="Full Bath"/>
    <n v="0"/>
    <n v="0"/>
    <n v="0"/>
    <n v="0"/>
    <n v="0"/>
    <n v="0"/>
    <n v="0"/>
    <n v="0"/>
    <n v="0"/>
    <n v="51.12"/>
    <n v="51.12"/>
    <n v="51.12"/>
    <n v="51.12"/>
    <n v="51.12"/>
    <n v="51.12"/>
    <n v="51.12"/>
    <n v="51.12"/>
  </r>
  <r>
    <x v="3"/>
    <s v="Full Bath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x v="3"/>
    <s v="Full Bath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x v="3"/>
    <s v="Full Bath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x v="3"/>
    <s v="Full Bath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x v="3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3"/>
    <s v="Full Bath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x v="3"/>
    <s v="Full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3"/>
    <s v="Full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3"/>
    <s v="Full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3"/>
    <s v="Full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3"/>
    <s v="Full Bath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x v="3"/>
    <s v="Full Bath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x v="3"/>
    <s v="Full Bath"/>
    <n v="0"/>
    <n v="0"/>
    <n v="0"/>
    <n v="0"/>
    <n v="0"/>
    <n v="0"/>
    <n v="0"/>
    <n v="0"/>
    <n v="0"/>
    <n v="1359.69"/>
    <n v="1359.69"/>
    <n v="1359.69"/>
    <n v="1359.69"/>
    <n v="1359.69"/>
    <n v="1359.69"/>
    <n v="1359.69"/>
    <n v="1359.69"/>
  </r>
  <r>
    <x v="3"/>
    <s v="Full Bath"/>
    <n v="0"/>
    <n v="0"/>
    <n v="0"/>
    <n v="0"/>
    <n v="0"/>
    <n v="0"/>
    <n v="0"/>
    <n v="0"/>
    <n v="0"/>
    <n v="786.48"/>
    <n v="786.48"/>
    <n v="786.48"/>
    <n v="786.48"/>
    <n v="786.48"/>
    <n v="786.48"/>
    <n v="786.48"/>
    <n v="786.48"/>
  </r>
  <r>
    <x v="3"/>
    <s v="Full Bath"/>
    <n v="0"/>
    <n v="0"/>
    <n v="0"/>
    <n v="0"/>
    <n v="0"/>
    <n v="0"/>
    <n v="0"/>
    <n v="0"/>
    <n v="0"/>
    <n v="0"/>
    <n v="0"/>
    <n v="498.26"/>
    <n v="498.26"/>
    <n v="498.26"/>
    <n v="498.26"/>
    <n v="498.26"/>
    <n v="498.26"/>
  </r>
  <r>
    <x v="3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3"/>
    <s v="Full Bath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x v="3"/>
    <s v="Full Bath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x v="3"/>
    <s v="Full Bath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Full Bath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Full Bath"/>
    <n v="0"/>
    <n v="0"/>
    <n v="0"/>
    <n v="0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</r>
  <r>
    <x v="3"/>
    <s v="Full Bath"/>
    <n v="0"/>
    <n v="0"/>
    <n v="0"/>
    <n v="0"/>
    <n v="0"/>
    <n v="0"/>
    <n v="0"/>
    <n v="0"/>
    <n v="0"/>
    <n v="0"/>
    <n v="1163.8800000000001"/>
    <n v="1163.8800000000001"/>
    <n v="1163.8800000000001"/>
    <n v="1163.8800000000001"/>
    <n v="1163.8800000000001"/>
    <n v="1163.8800000000001"/>
    <n v="1163.8800000000001"/>
  </r>
  <r>
    <x v="3"/>
    <s v="Full Bath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x v="3"/>
    <s v="Full Bath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x v="3"/>
    <s v="Full Bath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x v="3"/>
    <s v="Full Bath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x v="3"/>
    <s v="Full Bath"/>
    <n v="0"/>
    <n v="0"/>
    <n v="0"/>
    <n v="0"/>
    <n v="0"/>
    <n v="0"/>
    <n v="0"/>
    <n v="0"/>
    <n v="0"/>
    <n v="0"/>
    <n v="0"/>
    <n v="32.06"/>
    <n v="32.06"/>
    <n v="32.06"/>
    <n v="32.06"/>
    <n v="32.06"/>
    <n v="32.06"/>
  </r>
  <r>
    <x v="3"/>
    <s v="Full Bath"/>
    <n v="0"/>
    <n v="0"/>
    <n v="0"/>
    <n v="237.95"/>
    <n v="237.95"/>
    <n v="237.95"/>
    <n v="237.95"/>
    <n v="237.95"/>
    <n v="237.95"/>
    <n v="237.95"/>
    <n v="237.95"/>
    <n v="237.95"/>
    <n v="237.95"/>
    <n v="237.95"/>
    <n v="237.95"/>
    <n v="237.95"/>
    <n v="237.95"/>
  </r>
  <r>
    <x v="3"/>
    <s v="Full Bath"/>
    <n v="0"/>
    <n v="0"/>
    <n v="0"/>
    <n v="0"/>
    <n v="0"/>
    <n v="0"/>
    <n v="0"/>
    <n v="0"/>
    <n v="0"/>
    <n v="0"/>
    <n v="0"/>
    <n v="0"/>
    <n v="0"/>
    <n v="0"/>
    <n v="69.39"/>
    <n v="69.39"/>
    <n v="69.39"/>
  </r>
  <r>
    <x v="3"/>
    <s v="Full Bath"/>
    <n v="0"/>
    <n v="0"/>
    <n v="0"/>
    <n v="0"/>
    <n v="134.96"/>
    <n v="134.96"/>
    <n v="134.96"/>
    <n v="134.96"/>
    <n v="134.96"/>
    <n v="134.96"/>
    <n v="134.96"/>
    <n v="134.96"/>
    <n v="134.96"/>
    <n v="134.96"/>
    <n v="134.96"/>
    <n v="134.96"/>
    <n v="134.96"/>
  </r>
  <r>
    <x v="3"/>
    <s v="Full Bath"/>
    <n v="0"/>
    <n v="0"/>
    <n v="0"/>
    <n v="25.887499999999999"/>
    <n v="25.887499999999999"/>
    <n v="25.887499999999999"/>
    <n v="25.887499999999999"/>
    <n v="25.887499999999999"/>
    <n v="51.774999999999999"/>
    <n v="51.774999999999999"/>
    <n v="51.774999999999999"/>
    <n v="103.55"/>
    <n v="103.55"/>
    <n v="103.55"/>
    <n v="103.55"/>
    <n v="103.55"/>
    <n v="103.55"/>
  </r>
  <r>
    <x v="3"/>
    <s v="Full Bath"/>
    <n v="0"/>
    <n v="0"/>
    <n v="0"/>
    <n v="231.33500000000001"/>
    <n v="231.33500000000001"/>
    <n v="231.33500000000001"/>
    <n v="231.33500000000001"/>
    <n v="462.67"/>
    <n v="462.67"/>
    <n v="462.67"/>
    <n v="462.67"/>
    <n v="925.34"/>
    <n v="925.34"/>
    <n v="925.34"/>
    <n v="925.34"/>
    <n v="925.34"/>
    <n v="925.34"/>
  </r>
  <r>
    <x v="3"/>
    <s v="Full Bath"/>
    <n v="0"/>
    <n v="0"/>
    <n v="0"/>
    <n v="46.21"/>
    <n v="46.21"/>
    <n v="46.21"/>
    <n v="46.21"/>
    <n v="46.21"/>
    <n v="46.21"/>
    <n v="46.21"/>
    <n v="46.21"/>
    <n v="46.21"/>
    <n v="46.21"/>
    <n v="46.21"/>
    <n v="46.21"/>
    <n v="46.21"/>
    <n v="46.21"/>
  </r>
  <r>
    <x v="3"/>
    <s v="Full Bath"/>
    <n v="0"/>
    <n v="0"/>
    <n v="0"/>
    <n v="173.8"/>
    <n v="173.8"/>
    <n v="173.8"/>
    <n v="173.8"/>
    <n v="173.8"/>
    <n v="173.8"/>
    <n v="173.8"/>
    <n v="173.8"/>
    <n v="173.8"/>
    <n v="173.8"/>
    <n v="173.8"/>
    <n v="173.8"/>
    <n v="173.8"/>
    <n v="173.8"/>
  </r>
  <r>
    <x v="3"/>
    <s v="Full Bath"/>
    <n v="0"/>
    <n v="0"/>
    <n v="0"/>
    <n v="38.817500000000003"/>
    <n v="38.817500000000003"/>
    <n v="38.817500000000003"/>
    <n v="38.817500000000003"/>
    <n v="77.635000000000005"/>
    <n v="77.635000000000005"/>
    <n v="77.635000000000005"/>
    <n v="77.635000000000005"/>
    <n v="155.27000000000001"/>
    <n v="155.27000000000001"/>
    <n v="155.27000000000001"/>
    <n v="155.27000000000001"/>
    <n v="155.27000000000001"/>
    <n v="155.27000000000001"/>
  </r>
  <r>
    <x v="3"/>
    <s v="Full Bath"/>
    <n v="0"/>
    <n v="0"/>
    <n v="0"/>
    <n v="0"/>
    <n v="0"/>
    <n v="0"/>
    <n v="0"/>
    <n v="0"/>
    <n v="0"/>
    <n v="0"/>
    <n v="0"/>
    <n v="0"/>
    <n v="0"/>
    <n v="0"/>
    <n v="29.12"/>
    <n v="29.12"/>
    <n v="29.12"/>
  </r>
  <r>
    <x v="3"/>
    <s v="Full Bath"/>
    <n v="0"/>
    <n v="0"/>
    <n v="0"/>
    <n v="31.89"/>
    <n v="31.89"/>
    <n v="31.89"/>
    <n v="31.89"/>
    <n v="31.89"/>
    <n v="31.89"/>
    <n v="31.89"/>
    <n v="31.89"/>
    <n v="31.89"/>
    <n v="31.89"/>
    <n v="31.89"/>
    <n v="31.89"/>
    <n v="31.89"/>
    <n v="31.89"/>
  </r>
  <r>
    <x v="3"/>
    <s v="Full Bath"/>
    <n v="0"/>
    <n v="0"/>
    <n v="0"/>
    <n v="0"/>
    <n v="0"/>
    <n v="0"/>
    <n v="0"/>
    <n v="0"/>
    <n v="0"/>
    <n v="160.32"/>
    <n v="160.32"/>
    <n v="160.32"/>
    <n v="160.32"/>
    <n v="160.32"/>
    <n v="160.32"/>
    <n v="160.32"/>
    <n v="160.32"/>
  </r>
  <r>
    <x v="3"/>
    <s v="Full Bath"/>
    <n v="0"/>
    <n v="0"/>
    <n v="0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  <n v="66.209999999999994"/>
  </r>
  <r>
    <x v="3"/>
    <s v="Full Bath"/>
    <n v="0"/>
    <n v="0"/>
    <n v="0"/>
    <n v="182.15"/>
    <n v="182.15"/>
    <n v="182.15"/>
    <n v="182.15"/>
    <n v="182.15"/>
    <n v="182.15"/>
    <n v="182.15"/>
    <n v="182.15"/>
    <n v="182.15"/>
    <n v="182.15"/>
    <n v="182.15"/>
    <n v="182.15"/>
    <n v="182.15"/>
    <n v="182.15"/>
  </r>
  <r>
    <x v="3"/>
    <s v="Full Bath"/>
    <n v="0"/>
    <n v="0"/>
    <n v="0"/>
    <n v="21.69"/>
    <n v="21.69"/>
    <n v="21.69"/>
    <n v="21.69"/>
    <n v="21.69"/>
    <n v="21.69"/>
    <n v="21.69"/>
    <n v="21.69"/>
    <n v="21.69"/>
    <n v="21.69"/>
    <n v="21.69"/>
    <n v="21.69"/>
    <n v="21.69"/>
    <n v="21.69"/>
  </r>
  <r>
    <x v="3"/>
    <s v="Full Bath"/>
    <n v="0"/>
    <n v="0"/>
    <n v="0"/>
    <n v="196.28"/>
    <n v="196.28"/>
    <n v="196.28"/>
    <n v="196.28"/>
    <n v="196.28"/>
    <n v="196.28"/>
    <n v="196.28"/>
    <n v="196.28"/>
    <n v="196.28"/>
    <n v="196.28"/>
    <n v="196.28"/>
    <n v="196.28"/>
    <n v="196.28"/>
    <n v="196.28"/>
  </r>
  <r>
    <x v="2"/>
    <s v="1.5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1.5 Bath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1.5 Bath"/>
    <n v="0"/>
    <n v="0"/>
    <n v="0"/>
    <n v="2407.9699999999998"/>
    <n v="2407.9699999999998"/>
    <n v="2407.9699999999998"/>
    <n v="2407.9699999999998"/>
    <n v="2407.9699999999998"/>
    <n v="4815.9399999999996"/>
    <n v="4815.9399999999996"/>
    <n v="4815.9399999999996"/>
    <n v="9631.8799999999992"/>
    <n v="9631.8799999999992"/>
    <n v="9631.8799999999992"/>
    <n v="9631.8799999999992"/>
    <n v="9631.8799999999992"/>
    <n v="9631.8799999999992"/>
  </r>
  <r>
    <x v="2"/>
    <s v="1.5 Bath"/>
    <n v="0"/>
    <n v="0"/>
    <n v="0"/>
    <n v="1014.92"/>
    <n v="1014.92"/>
    <n v="1014.92"/>
    <n v="1014.92"/>
    <n v="1014.92"/>
    <n v="1014.92"/>
    <n v="1014.92"/>
    <n v="1014.92"/>
    <n v="1014.92"/>
    <n v="1014.92"/>
    <n v="1014.92"/>
    <n v="1014.92"/>
    <n v="1014.92"/>
    <n v="1014.92"/>
  </r>
  <r>
    <x v="2"/>
    <s v="1.5 Bath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x v="2"/>
    <s v="1.5 Bath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x v="2"/>
    <s v="1.5 Bath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x v="2"/>
    <s v="1.5 Bath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x v="2"/>
    <s v="1.5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1.5 Bath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x v="2"/>
    <s v="1.5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2"/>
    <s v="1.5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2"/>
    <s v="1.5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2"/>
    <s v="1.5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2"/>
    <s v="1.5 Bath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x v="2"/>
    <s v="1.5 Bath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x v="2"/>
    <s v="1.5 Bath"/>
    <n v="0"/>
    <n v="0"/>
    <n v="0"/>
    <n v="0"/>
    <n v="0"/>
    <n v="0"/>
    <n v="0"/>
    <n v="0"/>
    <n v="0"/>
    <n v="973"/>
    <n v="973"/>
    <n v="973"/>
    <n v="973"/>
    <n v="973"/>
    <n v="973"/>
    <n v="973"/>
    <n v="973"/>
  </r>
  <r>
    <x v="2"/>
    <s v="1.5 Bath"/>
    <n v="0"/>
    <n v="0"/>
    <n v="0"/>
    <n v="0"/>
    <n v="0"/>
    <n v="0"/>
    <n v="0"/>
    <n v="284.58999999999997"/>
    <n v="284.58999999999997"/>
    <n v="284.58999999999997"/>
    <n v="284.58999999999997"/>
    <n v="284.58999999999997"/>
    <n v="284.58999999999997"/>
    <n v="284.58999999999997"/>
    <n v="284.58999999999997"/>
    <n v="284.58999999999997"/>
    <n v="284.58999999999997"/>
  </r>
  <r>
    <x v="2"/>
    <s v="1.5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1.5 Bath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x v="2"/>
    <s v="1.5 Bath"/>
    <n v="0"/>
    <n v="0"/>
    <n v="0"/>
    <n v="0"/>
    <n v="0"/>
    <n v="0"/>
    <n v="0"/>
    <n v="0"/>
    <n v="0"/>
    <n v="0"/>
    <n v="0"/>
    <n v="0"/>
    <n v="0"/>
    <n v="0"/>
    <n v="240.72"/>
    <n v="240.72"/>
    <n v="240.72"/>
  </r>
  <r>
    <x v="2"/>
    <s v="1.5 Bath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1.5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1.5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1.5 Bath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1.5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2"/>
    <s v="1.5 Bath"/>
    <n v="0"/>
    <n v="0"/>
    <n v="0"/>
    <n v="0"/>
    <n v="0"/>
    <n v="0"/>
    <n v="0"/>
    <n v="0"/>
    <n v="0"/>
    <n v="466.19"/>
    <n v="466.19"/>
    <n v="466.19"/>
    <n v="466.19"/>
    <n v="466.19"/>
    <n v="466.19"/>
    <n v="466.19"/>
    <n v="466.19"/>
  </r>
  <r>
    <x v="2"/>
    <s v="1.5 Bath"/>
    <n v="0"/>
    <n v="0"/>
    <n v="0"/>
    <n v="0"/>
    <n v="0"/>
    <n v="0"/>
    <n v="0"/>
    <n v="0"/>
    <n v="0"/>
    <n v="4560.91"/>
    <n v="4560.91"/>
    <n v="4560.91"/>
    <n v="4560.91"/>
    <n v="4560.91"/>
    <n v="4560.91"/>
    <n v="4560.91"/>
    <n v="4560.91"/>
  </r>
  <r>
    <x v="2"/>
    <s v="1.5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2"/>
    <s v="1.5 Bath"/>
    <n v="0"/>
    <n v="0"/>
    <n v="0"/>
    <n v="0"/>
    <n v="2681.87"/>
    <n v="2681.87"/>
    <n v="2681.87"/>
    <n v="2681.87"/>
    <n v="2681.87"/>
    <n v="2681.87"/>
    <n v="2681.87"/>
    <n v="2681.87"/>
    <n v="2681.87"/>
    <n v="2681.87"/>
    <n v="2681.87"/>
    <n v="2681.87"/>
    <n v="2681.87"/>
  </r>
  <r>
    <x v="2"/>
    <s v="1.5 Bath"/>
    <n v="0"/>
    <n v="0"/>
    <n v="0"/>
    <n v="0"/>
    <n v="0"/>
    <n v="0"/>
    <n v="0"/>
    <n v="0"/>
    <n v="0"/>
    <n v="0"/>
    <n v="1396.66"/>
    <n v="1396.66"/>
    <n v="1396.66"/>
    <n v="1396.66"/>
    <n v="1396.66"/>
    <n v="1396.66"/>
    <n v="1396.66"/>
  </r>
  <r>
    <x v="2"/>
    <s v="1.5 Bath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x v="2"/>
    <s v="1.5 Bath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x v="2"/>
    <s v="1.5 Bath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x v="2"/>
    <s v="1.5 Bath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x v="2"/>
    <s v="1.5 Bath"/>
    <n v="0"/>
    <n v="0"/>
    <n v="0"/>
    <n v="0"/>
    <n v="0"/>
    <n v="0"/>
    <n v="0"/>
    <n v="0"/>
    <n v="0"/>
    <n v="0"/>
    <n v="0"/>
    <n v="44.42"/>
    <n v="44.42"/>
    <n v="44.42"/>
    <n v="44.42"/>
    <n v="44.42"/>
    <n v="44.42"/>
  </r>
  <r>
    <x v="2"/>
    <s v="1.5 Bath"/>
    <n v="0"/>
    <n v="0"/>
    <n v="0"/>
    <n v="329.71"/>
    <n v="329.71"/>
    <n v="329.71"/>
    <n v="329.71"/>
    <n v="329.71"/>
    <n v="329.71"/>
    <n v="329.71"/>
    <n v="329.71"/>
    <n v="329.71"/>
    <n v="329.71"/>
    <n v="329.71"/>
    <n v="329.71"/>
    <n v="329.71"/>
    <n v="329.71"/>
  </r>
  <r>
    <x v="2"/>
    <s v="1.5 Bath"/>
    <n v="0"/>
    <n v="0"/>
    <n v="0"/>
    <n v="0"/>
    <n v="0"/>
    <n v="0"/>
    <n v="0"/>
    <n v="0"/>
    <n v="0"/>
    <n v="0"/>
    <n v="0"/>
    <n v="0"/>
    <n v="0"/>
    <n v="0"/>
    <n v="96.16"/>
    <n v="96.16"/>
    <n v="96.16"/>
  </r>
  <r>
    <x v="2"/>
    <s v="1.5 Bath"/>
    <n v="0"/>
    <n v="0"/>
    <n v="0"/>
    <n v="0"/>
    <n v="186.98"/>
    <n v="186.98"/>
    <n v="186.98"/>
    <n v="186.98"/>
    <n v="186.98"/>
    <n v="186.98"/>
    <n v="186.98"/>
    <n v="186.98"/>
    <n v="186.98"/>
    <n v="186.98"/>
    <n v="186.98"/>
    <n v="186.98"/>
    <n v="186.98"/>
  </r>
  <r>
    <x v="2"/>
    <s v="1.5 Bath"/>
    <n v="0"/>
    <n v="0"/>
    <n v="0"/>
    <n v="35.872500000000002"/>
    <n v="35.872500000000002"/>
    <n v="35.872500000000002"/>
    <n v="35.872500000000002"/>
    <n v="35.872500000000002"/>
    <n v="71.745000000000005"/>
    <n v="71.745000000000005"/>
    <n v="71.745000000000005"/>
    <n v="143.49"/>
    <n v="143.49"/>
    <n v="143.49"/>
    <n v="143.49"/>
    <n v="143.49"/>
    <n v="143.49"/>
  </r>
  <r>
    <x v="2"/>
    <s v="1.5 Bath"/>
    <n v="0"/>
    <n v="0"/>
    <n v="0"/>
    <n v="320.54500000000002"/>
    <n v="320.54500000000002"/>
    <n v="320.54500000000002"/>
    <n v="320.54500000000002"/>
    <n v="641.09"/>
    <n v="641.09"/>
    <n v="641.09"/>
    <n v="641.09"/>
    <n v="1282.18"/>
    <n v="1282.18"/>
    <n v="1282.18"/>
    <n v="1282.18"/>
    <n v="1282.18"/>
    <n v="1282.18"/>
  </r>
  <r>
    <x v="2"/>
    <s v="1.5 Bath"/>
    <n v="0"/>
    <n v="0"/>
    <n v="0"/>
    <n v="64.03"/>
    <n v="64.03"/>
    <n v="64.03"/>
    <n v="64.03"/>
    <n v="64.03"/>
    <n v="64.03"/>
    <n v="64.03"/>
    <n v="64.03"/>
    <n v="64.03"/>
    <n v="64.03"/>
    <n v="64.03"/>
    <n v="64.03"/>
    <n v="64.03"/>
    <n v="64.03"/>
  </r>
  <r>
    <x v="2"/>
    <s v="1.5 Bath"/>
    <n v="0"/>
    <n v="0"/>
    <n v="0"/>
    <n v="240.81"/>
    <n v="240.81"/>
    <n v="240.81"/>
    <n v="240.81"/>
    <n v="240.81"/>
    <n v="240.81"/>
    <n v="240.81"/>
    <n v="240.81"/>
    <n v="240.81"/>
    <n v="240.81"/>
    <n v="240.81"/>
    <n v="240.81"/>
    <n v="240.81"/>
    <n v="240.81"/>
  </r>
  <r>
    <x v="2"/>
    <s v="1.5 Bath"/>
    <n v="0"/>
    <n v="0"/>
    <n v="0"/>
    <n v="77.644999999999996"/>
    <n v="77.644999999999996"/>
    <n v="77.644999999999996"/>
    <n v="77.644999999999996"/>
    <n v="155.29"/>
    <n v="155.29"/>
    <n v="155.29"/>
    <n v="155.29"/>
    <n v="310.58"/>
    <n v="310.58"/>
    <n v="310.58"/>
    <n v="310.58"/>
    <n v="310.58"/>
    <n v="310.58"/>
  </r>
  <r>
    <x v="2"/>
    <s v="1.5 Bath"/>
    <n v="0"/>
    <n v="0"/>
    <n v="0"/>
    <n v="0"/>
    <n v="0"/>
    <n v="0"/>
    <n v="0"/>
    <n v="0"/>
    <n v="0"/>
    <n v="0"/>
    <n v="0"/>
    <n v="0"/>
    <n v="0"/>
    <n v="0"/>
    <n v="58.23"/>
    <n v="58.23"/>
    <n v="58.23"/>
  </r>
  <r>
    <x v="2"/>
    <s v="1.5 Bath"/>
    <n v="0"/>
    <n v="0"/>
    <n v="0"/>
    <n v="63.79"/>
    <n v="63.79"/>
    <n v="63.79"/>
    <n v="63.79"/>
    <n v="63.79"/>
    <n v="63.79"/>
    <n v="63.79"/>
    <n v="63.79"/>
    <n v="63.79"/>
    <n v="63.79"/>
    <n v="63.79"/>
    <n v="63.79"/>
    <n v="63.79"/>
    <n v="63.79"/>
  </r>
  <r>
    <x v="2"/>
    <s v="1.5 Bath"/>
    <n v="0"/>
    <n v="0"/>
    <n v="0"/>
    <n v="0"/>
    <n v="0"/>
    <n v="0"/>
    <n v="0"/>
    <n v="0"/>
    <n v="0"/>
    <n v="320.83999999999997"/>
    <n v="320.83999999999997"/>
    <n v="320.83999999999997"/>
    <n v="320.83999999999997"/>
    <n v="320.83999999999997"/>
    <n v="320.83999999999997"/>
    <n v="320.83999999999997"/>
    <n v="320.83999999999997"/>
  </r>
  <r>
    <x v="2"/>
    <s v="1.5 Bath"/>
    <n v="0"/>
    <n v="0"/>
    <n v="0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</r>
  <r>
    <x v="2"/>
    <s v="1.5 Bath"/>
    <n v="0"/>
    <n v="0"/>
    <n v="0"/>
    <n v="364.18"/>
    <n v="364.18"/>
    <n v="364.18"/>
    <n v="364.18"/>
    <n v="364.18"/>
    <n v="364.18"/>
    <n v="364.18"/>
    <n v="364.18"/>
    <n v="364.18"/>
    <n v="364.18"/>
    <n v="364.18"/>
    <n v="364.18"/>
    <n v="364.18"/>
    <n v="364.18"/>
  </r>
  <r>
    <x v="2"/>
    <s v="1.5 Bath"/>
    <n v="0"/>
    <n v="0"/>
    <n v="0"/>
    <n v="43.36"/>
    <n v="43.36"/>
    <n v="43.36"/>
    <n v="43.36"/>
    <n v="43.36"/>
    <n v="43.36"/>
    <n v="43.36"/>
    <n v="43.36"/>
    <n v="43.36"/>
    <n v="43.36"/>
    <n v="43.36"/>
    <n v="43.36"/>
    <n v="43.36"/>
    <n v="43.36"/>
  </r>
  <r>
    <x v="2"/>
    <s v="1.5 Bath"/>
    <n v="0"/>
    <n v="0"/>
    <n v="0"/>
    <n v="392.42"/>
    <n v="392.42"/>
    <n v="392.42"/>
    <n v="392.42"/>
    <n v="392.42"/>
    <n v="392.42"/>
    <n v="392.42"/>
    <n v="392.42"/>
    <n v="392.42"/>
    <n v="392.42"/>
    <n v="392.42"/>
    <n v="392.42"/>
    <n v="392.42"/>
    <n v="392.42"/>
  </r>
  <r>
    <x v="2"/>
    <s v="Living Area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x v="2"/>
    <s v="Living Area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Living Area"/>
    <n v="0"/>
    <n v="0"/>
    <n v="0"/>
    <n v="0"/>
    <n v="0"/>
    <n v="0"/>
    <n v="0"/>
    <n v="0"/>
    <n v="0"/>
    <n v="0"/>
    <n v="0"/>
    <n v="74.19"/>
    <n v="74.19"/>
    <n v="74.19"/>
    <n v="74.19"/>
    <n v="74.19"/>
    <n v="74.19"/>
  </r>
  <r>
    <x v="2"/>
    <s v="Living Area"/>
    <n v="0"/>
    <n v="0"/>
    <n v="0"/>
    <n v="550.54"/>
    <n v="550.54"/>
    <n v="550.54"/>
    <n v="550.54"/>
    <n v="550.54"/>
    <n v="550.54"/>
    <n v="550.54"/>
    <n v="550.54"/>
    <n v="550.54"/>
    <n v="550.54"/>
    <n v="550.54"/>
    <n v="550.54"/>
    <n v="550.54"/>
    <n v="550.54"/>
  </r>
  <r>
    <x v="2"/>
    <s v="Living Area"/>
    <n v="0"/>
    <n v="0"/>
    <n v="0"/>
    <n v="0"/>
    <n v="0"/>
    <n v="0"/>
    <n v="0"/>
    <n v="0"/>
    <n v="0"/>
    <n v="0"/>
    <n v="0"/>
    <n v="0"/>
    <n v="0"/>
    <n v="0"/>
    <n v="160.57"/>
    <n v="160.57"/>
    <n v="160.57"/>
  </r>
  <r>
    <x v="2"/>
    <s v="Living Area"/>
    <n v="0"/>
    <n v="0"/>
    <n v="0"/>
    <n v="0"/>
    <n v="312.23"/>
    <n v="312.23"/>
    <n v="312.23"/>
    <n v="312.23"/>
    <n v="312.23"/>
    <n v="312.23"/>
    <n v="312.23"/>
    <n v="312.23"/>
    <n v="312.23"/>
    <n v="312.23"/>
    <n v="312.23"/>
    <n v="312.23"/>
    <n v="312.23"/>
  </r>
  <r>
    <x v="2"/>
    <s v="Living Area"/>
    <n v="0"/>
    <n v="0"/>
    <n v="0"/>
    <n v="59.9"/>
    <n v="59.9"/>
    <n v="59.9"/>
    <n v="59.9"/>
    <n v="59.9"/>
    <n v="119.8"/>
    <n v="119.8"/>
    <n v="119.8"/>
    <n v="239.6"/>
    <n v="239.6"/>
    <n v="239.6"/>
    <n v="239.6"/>
    <n v="239.6"/>
    <n v="239.6"/>
  </r>
  <r>
    <x v="2"/>
    <s v="Living Area"/>
    <n v="0"/>
    <n v="0"/>
    <n v="0"/>
    <n v="535.25"/>
    <n v="535.25"/>
    <n v="535.25"/>
    <n v="535.25"/>
    <n v="1070.5"/>
    <n v="1070.5"/>
    <n v="1070.5"/>
    <n v="1070.5"/>
    <n v="2141"/>
    <n v="2141"/>
    <n v="2141"/>
    <n v="2141"/>
    <n v="2141"/>
    <n v="2141"/>
  </r>
  <r>
    <x v="2"/>
    <s v="Living Area"/>
    <n v="0"/>
    <n v="0"/>
    <n v="0"/>
    <n v="0"/>
    <n v="0"/>
    <n v="0"/>
    <n v="0"/>
    <n v="0"/>
    <n v="0"/>
    <n v="0"/>
    <n v="0"/>
    <n v="173.44"/>
    <n v="173.44"/>
    <n v="173.44"/>
    <n v="173.44"/>
    <n v="173.44"/>
    <n v="173.44"/>
  </r>
  <r>
    <x v="2"/>
    <s v="Living Area"/>
    <n v="0"/>
    <n v="0"/>
    <n v="0"/>
    <n v="0"/>
    <n v="0"/>
    <n v="0"/>
    <n v="0"/>
    <n v="0"/>
    <n v="0"/>
    <n v="0"/>
    <n v="0"/>
    <n v="646.54"/>
    <n v="646.54"/>
    <n v="646.54"/>
    <n v="646.54"/>
    <n v="646.54"/>
    <n v="646.54"/>
  </r>
  <r>
    <x v="2"/>
    <s v="Living Area"/>
    <n v="0"/>
    <n v="0"/>
    <n v="0"/>
    <n v="0"/>
    <n v="0"/>
    <n v="0"/>
    <n v="0"/>
    <n v="0"/>
    <n v="0"/>
    <n v="0"/>
    <n v="0"/>
    <n v="73.64"/>
    <n v="73.64"/>
    <n v="73.64"/>
    <n v="73.64"/>
    <n v="73.64"/>
    <n v="73.64"/>
  </r>
  <r>
    <x v="2"/>
    <s v="Living Area"/>
    <n v="0"/>
    <n v="0"/>
    <n v="0"/>
    <n v="0"/>
    <n v="0"/>
    <n v="0"/>
    <n v="0"/>
    <n v="0"/>
    <n v="0"/>
    <n v="0"/>
    <n v="0"/>
    <n v="567.82000000000005"/>
    <n v="567.82000000000005"/>
    <n v="567.82000000000005"/>
    <n v="567.82000000000005"/>
    <n v="567.82000000000005"/>
    <n v="567.82000000000005"/>
  </r>
  <r>
    <x v="2"/>
    <s v="Living Area"/>
    <n v="0"/>
    <n v="0"/>
    <n v="0"/>
    <n v="106.91"/>
    <n v="106.91"/>
    <n v="106.91"/>
    <n v="106.91"/>
    <n v="106.91"/>
    <n v="106.91"/>
    <n v="106.91"/>
    <n v="106.91"/>
    <n v="106.91"/>
    <n v="106.91"/>
    <n v="106.91"/>
    <n v="106.91"/>
    <n v="106.91"/>
    <n v="106.91"/>
  </r>
  <r>
    <x v="2"/>
    <s v="Living Area"/>
    <n v="0"/>
    <n v="0"/>
    <n v="0"/>
    <n v="402.14"/>
    <n v="402.14"/>
    <n v="402.14"/>
    <n v="402.14"/>
    <n v="402.14"/>
    <n v="402.14"/>
    <n v="402.14"/>
    <n v="402.14"/>
    <n v="402.14"/>
    <n v="402.14"/>
    <n v="402.14"/>
    <n v="402.14"/>
    <n v="402.14"/>
    <n v="402.14"/>
  </r>
  <r>
    <x v="2"/>
    <s v="Living Area"/>
    <n v="0"/>
    <n v="0"/>
    <n v="0"/>
    <n v="297.96499999999997"/>
    <n v="297.96499999999997"/>
    <n v="297.96499999999997"/>
    <n v="297.96499999999997"/>
    <n v="595.92999999999995"/>
    <n v="595.92999999999995"/>
    <n v="595.92999999999995"/>
    <n v="595.92999999999995"/>
    <n v="1191.8599999999999"/>
    <n v="1191.8599999999999"/>
    <n v="1191.8599999999999"/>
    <n v="1191.8599999999999"/>
    <n v="1191.8599999999999"/>
    <n v="1191.8599999999999"/>
  </r>
  <r>
    <x v="2"/>
    <s v="Living Area"/>
    <n v="0"/>
    <n v="0"/>
    <n v="0"/>
    <n v="0"/>
    <n v="0"/>
    <n v="0"/>
    <n v="0"/>
    <n v="0"/>
    <n v="0"/>
    <n v="0"/>
    <n v="0"/>
    <n v="0"/>
    <n v="0"/>
    <n v="0"/>
    <n v="223.47"/>
    <n v="223.47"/>
    <n v="223.47"/>
  </r>
  <r>
    <x v="2"/>
    <s v="Living Area"/>
    <n v="0"/>
    <n v="0"/>
    <n v="0"/>
    <n v="244.76"/>
    <n v="244.76"/>
    <n v="244.76"/>
    <n v="244.76"/>
    <n v="244.76"/>
    <n v="244.76"/>
    <n v="244.76"/>
    <n v="244.76"/>
    <n v="244.76"/>
    <n v="244.76"/>
    <n v="244.76"/>
    <n v="244.76"/>
    <n v="244.76"/>
    <n v="244.76"/>
  </r>
  <r>
    <x v="2"/>
    <s v="Living Area"/>
    <n v="0"/>
    <n v="0"/>
    <n v="0"/>
    <n v="0"/>
    <n v="0"/>
    <n v="0"/>
    <n v="0"/>
    <n v="0"/>
    <n v="0"/>
    <n v="870.48"/>
    <n v="870.48"/>
    <n v="870.48"/>
    <n v="870.48"/>
    <n v="870.48"/>
    <n v="870.48"/>
    <n v="870.48"/>
    <n v="870.48"/>
  </r>
  <r>
    <x v="2"/>
    <s v="Living Area"/>
    <n v="0"/>
    <n v="0"/>
    <n v="0"/>
    <n v="359.24"/>
    <n v="359.24"/>
    <n v="359.24"/>
    <n v="359.24"/>
    <n v="359.24"/>
    <n v="359.24"/>
    <n v="359.24"/>
    <n v="359.24"/>
    <n v="359.24"/>
    <n v="359.24"/>
    <n v="359.24"/>
    <n v="359.24"/>
    <n v="359.24"/>
    <n v="359.24"/>
  </r>
  <r>
    <x v="2"/>
    <s v="Living Area"/>
    <n v="0"/>
    <n v="0"/>
    <n v="0"/>
    <n v="988.4"/>
    <n v="988.4"/>
    <n v="988.4"/>
    <n v="988.4"/>
    <n v="988.4"/>
    <n v="988.4"/>
    <n v="988.4"/>
    <n v="988.4"/>
    <n v="988.4"/>
    <n v="988.4"/>
    <n v="988.4"/>
    <n v="988.4"/>
    <n v="988.4"/>
    <n v="988.4"/>
  </r>
  <r>
    <x v="2"/>
    <s v="Living Area"/>
    <n v="0"/>
    <n v="0"/>
    <n v="0"/>
    <n v="117.71"/>
    <n v="117.71"/>
    <n v="117.71"/>
    <n v="117.71"/>
    <n v="117.71"/>
    <n v="117.71"/>
    <n v="117.71"/>
    <n v="117.71"/>
    <n v="117.71"/>
    <n v="117.71"/>
    <n v="117.71"/>
    <n v="117.71"/>
    <n v="117.71"/>
    <n v="117.71"/>
  </r>
  <r>
    <x v="2"/>
    <s v="Living Area"/>
    <n v="0"/>
    <n v="0"/>
    <n v="0"/>
    <n v="1065.19"/>
    <n v="1065.19"/>
    <n v="1065.19"/>
    <n v="1065.19"/>
    <n v="1065.19"/>
    <n v="1065.19"/>
    <n v="1065.19"/>
    <n v="1065.19"/>
    <n v="1065.19"/>
    <n v="1065.19"/>
    <n v="1065.19"/>
    <n v="1065.19"/>
    <n v="1065.19"/>
    <n v="1065.19"/>
  </r>
  <r>
    <x v="2"/>
    <s v="Bedroom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2"/>
    <s v="Bedroom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2"/>
    <s v="Bedroom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x v="2"/>
    <s v="Bedroom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x v="2"/>
    <s v="Bedroom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x v="2"/>
    <s v="Bedroom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2"/>
    <s v="Bed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Bed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Bedroom"/>
    <n v="0"/>
    <n v="0"/>
    <n v="0"/>
    <n v="0"/>
    <n v="0"/>
    <n v="0"/>
    <n v="0"/>
    <n v="0"/>
    <n v="0"/>
    <n v="0"/>
    <n v="0"/>
    <n v="49.45"/>
    <n v="49.45"/>
    <n v="49.45"/>
    <n v="49.45"/>
    <n v="49.45"/>
    <n v="49.45"/>
  </r>
  <r>
    <x v="2"/>
    <s v="Bedroom"/>
    <n v="0"/>
    <n v="0"/>
    <n v="0"/>
    <n v="367.04"/>
    <n v="367.04"/>
    <n v="367.04"/>
    <n v="367.04"/>
    <n v="367.04"/>
    <n v="367.04"/>
    <n v="367.04"/>
    <n v="367.04"/>
    <n v="367.04"/>
    <n v="367.04"/>
    <n v="367.04"/>
    <n v="367.04"/>
    <n v="367.04"/>
    <n v="367.04"/>
  </r>
  <r>
    <x v="2"/>
    <s v="Bedroom"/>
    <n v="0"/>
    <n v="0"/>
    <n v="0"/>
    <n v="0"/>
    <n v="0"/>
    <n v="0"/>
    <n v="0"/>
    <n v="0"/>
    <n v="0"/>
    <n v="0"/>
    <n v="0"/>
    <n v="0"/>
    <n v="0"/>
    <n v="0"/>
    <n v="107.05"/>
    <n v="107.05"/>
    <n v="107.05"/>
  </r>
  <r>
    <x v="2"/>
    <s v="Bedroom"/>
    <n v="0"/>
    <n v="0"/>
    <n v="0"/>
    <n v="0"/>
    <n v="208.16"/>
    <n v="208.16"/>
    <n v="208.16"/>
    <n v="208.16"/>
    <n v="208.16"/>
    <n v="208.16"/>
    <n v="208.16"/>
    <n v="208.16"/>
    <n v="208.16"/>
    <n v="208.16"/>
    <n v="208.16"/>
    <n v="208.16"/>
    <n v="208.16"/>
  </r>
  <r>
    <x v="2"/>
    <s v="Bedroom"/>
    <n v="0"/>
    <n v="0"/>
    <n v="0"/>
    <n v="39.93"/>
    <n v="39.93"/>
    <n v="39.93"/>
    <n v="39.93"/>
    <n v="39.93"/>
    <n v="79.86"/>
    <n v="79.86"/>
    <n v="79.86"/>
    <n v="159.72"/>
    <n v="159.72"/>
    <n v="159.72"/>
    <n v="159.72"/>
    <n v="159.72"/>
    <n v="159.72"/>
  </r>
  <r>
    <x v="2"/>
    <s v="Bedroom"/>
    <n v="0"/>
    <n v="0"/>
    <n v="0"/>
    <n v="356.83"/>
    <n v="356.83"/>
    <n v="356.83"/>
    <n v="356.83"/>
    <n v="713.66"/>
    <n v="713.66"/>
    <n v="713.66"/>
    <n v="713.66"/>
    <n v="1427.32"/>
    <n v="1427.32"/>
    <n v="1427.32"/>
    <n v="1427.32"/>
    <n v="1427.32"/>
    <n v="1427.32"/>
  </r>
  <r>
    <x v="2"/>
    <s v="Bedroom"/>
    <n v="0"/>
    <n v="0"/>
    <n v="0"/>
    <n v="0"/>
    <n v="0"/>
    <n v="0"/>
    <n v="0"/>
    <n v="0"/>
    <n v="0"/>
    <n v="0"/>
    <n v="0"/>
    <n v="49.08"/>
    <n v="49.08"/>
    <n v="49.08"/>
    <n v="49.08"/>
    <n v="49.08"/>
    <n v="49.08"/>
  </r>
  <r>
    <x v="2"/>
    <s v="Bedroom"/>
    <n v="0"/>
    <n v="0"/>
    <n v="0"/>
    <n v="0"/>
    <n v="0"/>
    <n v="0"/>
    <n v="0"/>
    <n v="0"/>
    <n v="0"/>
    <n v="0"/>
    <n v="0"/>
    <n v="378.51"/>
    <n v="378.51"/>
    <n v="378.51"/>
    <n v="378.51"/>
    <n v="378.51"/>
    <n v="378.51"/>
  </r>
  <r>
    <x v="2"/>
    <s v="Bedroom"/>
    <n v="0"/>
    <n v="0"/>
    <n v="0"/>
    <n v="71.27"/>
    <n v="71.27"/>
    <n v="71.27"/>
    <n v="71.27"/>
    <n v="71.27"/>
    <n v="71.27"/>
    <n v="71.27"/>
    <n v="71.27"/>
    <n v="71.27"/>
    <n v="71.27"/>
    <n v="71.27"/>
    <n v="71.27"/>
    <n v="71.27"/>
    <n v="71.27"/>
  </r>
  <r>
    <x v="2"/>
    <s v="Bedroom"/>
    <n v="0"/>
    <n v="0"/>
    <n v="0"/>
    <n v="268.07"/>
    <n v="268.07"/>
    <n v="268.07"/>
    <n v="268.07"/>
    <n v="268.07"/>
    <n v="268.07"/>
    <n v="268.07"/>
    <n v="268.07"/>
    <n v="268.07"/>
    <n v="268.07"/>
    <n v="268.07"/>
    <n v="268.07"/>
    <n v="268.07"/>
    <n v="268.07"/>
  </r>
  <r>
    <x v="2"/>
    <s v="Bedroom"/>
    <n v="0"/>
    <n v="0"/>
    <n v="0"/>
    <n v="137.82249999999999"/>
    <n v="137.82249999999999"/>
    <n v="137.82249999999999"/>
    <n v="137.82249999999999"/>
    <n v="275.64499999999998"/>
    <n v="275.64499999999998"/>
    <n v="275.64499999999998"/>
    <n v="275.64499999999998"/>
    <n v="551.29"/>
    <n v="551.29"/>
    <n v="551.29"/>
    <n v="551.29"/>
    <n v="551.29"/>
    <n v="551.29"/>
  </r>
  <r>
    <x v="2"/>
    <s v="Bedroom"/>
    <n v="0"/>
    <n v="0"/>
    <n v="0"/>
    <n v="0"/>
    <n v="0"/>
    <n v="0"/>
    <n v="0"/>
    <n v="0"/>
    <n v="0"/>
    <n v="0"/>
    <n v="0"/>
    <n v="0"/>
    <n v="0"/>
    <n v="0"/>
    <n v="103.36"/>
    <n v="103.36"/>
    <n v="103.36"/>
  </r>
  <r>
    <x v="2"/>
    <s v="Bedroom"/>
    <n v="0"/>
    <n v="0"/>
    <n v="0"/>
    <n v="113.2"/>
    <n v="113.2"/>
    <n v="113.2"/>
    <n v="113.2"/>
    <n v="113.2"/>
    <n v="113.2"/>
    <n v="113.2"/>
    <n v="113.2"/>
    <n v="113.2"/>
    <n v="113.2"/>
    <n v="113.2"/>
    <n v="113.2"/>
    <n v="113.2"/>
    <n v="113.2"/>
  </r>
  <r>
    <x v="2"/>
    <s v="Bedroom"/>
    <n v="0"/>
    <n v="0"/>
    <n v="0"/>
    <n v="0"/>
    <n v="0"/>
    <n v="0"/>
    <n v="0"/>
    <n v="0"/>
    <n v="0"/>
    <n v="402.67"/>
    <n v="402.67"/>
    <n v="402.67"/>
    <n v="402.67"/>
    <n v="402.67"/>
    <n v="402.67"/>
    <n v="402.67"/>
    <n v="402.67"/>
  </r>
  <r>
    <x v="2"/>
    <s v="Bedroom"/>
    <n v="0"/>
    <n v="0"/>
    <n v="0"/>
    <n v="166.17"/>
    <n v="166.17"/>
    <n v="166.17"/>
    <n v="166.17"/>
    <n v="166.17"/>
    <n v="166.17"/>
    <n v="166.17"/>
    <n v="166.17"/>
    <n v="166.17"/>
    <n v="166.17"/>
    <n v="166.17"/>
    <n v="166.17"/>
    <n v="166.17"/>
    <n v="166.17"/>
  </r>
  <r>
    <x v="2"/>
    <s v="Bedroom"/>
    <n v="0"/>
    <n v="0"/>
    <n v="0"/>
    <n v="457.2"/>
    <n v="457.2"/>
    <n v="457.2"/>
    <n v="457.2"/>
    <n v="457.2"/>
    <n v="457.2"/>
    <n v="457.2"/>
    <n v="457.2"/>
    <n v="457.2"/>
    <n v="457.2"/>
    <n v="457.2"/>
    <n v="457.2"/>
    <n v="457.2"/>
    <n v="457.2"/>
  </r>
  <r>
    <x v="2"/>
    <s v="Bedroom"/>
    <n v="0"/>
    <n v="0"/>
    <n v="0"/>
    <n v="54.45"/>
    <n v="54.45"/>
    <n v="54.45"/>
    <n v="54.45"/>
    <n v="54.45"/>
    <n v="54.45"/>
    <n v="54.45"/>
    <n v="54.45"/>
    <n v="54.45"/>
    <n v="54.45"/>
    <n v="54.45"/>
    <n v="54.45"/>
    <n v="54.45"/>
    <n v="54.45"/>
  </r>
  <r>
    <x v="2"/>
    <s v="Bedroom"/>
    <n v="0"/>
    <n v="0"/>
    <n v="0"/>
    <n v="492.67"/>
    <n v="492.67"/>
    <n v="492.67"/>
    <n v="492.67"/>
    <n v="492.67"/>
    <n v="492.67"/>
    <n v="492.67"/>
    <n v="492.67"/>
    <n v="492.67"/>
    <n v="492.67"/>
    <n v="492.67"/>
    <n v="492.67"/>
    <n v="492.67"/>
    <n v="492.67"/>
  </r>
  <r>
    <x v="2"/>
    <s v="Nook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Nook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Nook"/>
    <n v="0"/>
    <n v="0"/>
    <n v="0"/>
    <n v="0"/>
    <n v="0"/>
    <n v="0"/>
    <n v="0"/>
    <n v="0"/>
    <n v="0"/>
    <n v="0"/>
    <n v="0"/>
    <n v="49.45"/>
    <n v="49.45"/>
    <n v="49.45"/>
    <n v="49.45"/>
    <n v="49.45"/>
    <n v="49.45"/>
  </r>
  <r>
    <x v="2"/>
    <s v="Nook"/>
    <n v="0"/>
    <n v="0"/>
    <n v="0"/>
    <n v="367.04"/>
    <n v="367.04"/>
    <n v="367.04"/>
    <n v="367.04"/>
    <n v="367.04"/>
    <n v="367.04"/>
    <n v="367.04"/>
    <n v="367.04"/>
    <n v="367.04"/>
    <n v="367.04"/>
    <n v="367.04"/>
    <n v="367.04"/>
    <n v="367.04"/>
    <n v="367.04"/>
  </r>
  <r>
    <x v="2"/>
    <s v="Nook"/>
    <n v="0"/>
    <n v="0"/>
    <n v="0"/>
    <n v="0"/>
    <n v="0"/>
    <n v="0"/>
    <n v="0"/>
    <n v="0"/>
    <n v="0"/>
    <n v="0"/>
    <n v="0"/>
    <n v="0"/>
    <n v="0"/>
    <n v="0"/>
    <n v="107.05"/>
    <n v="107.05"/>
    <n v="107.05"/>
  </r>
  <r>
    <x v="2"/>
    <s v="Nook"/>
    <n v="0"/>
    <n v="0"/>
    <n v="0"/>
    <n v="0"/>
    <n v="208.16"/>
    <n v="208.16"/>
    <n v="208.16"/>
    <n v="208.16"/>
    <n v="208.16"/>
    <n v="208.16"/>
    <n v="208.16"/>
    <n v="208.16"/>
    <n v="208.16"/>
    <n v="208.16"/>
    <n v="208.16"/>
    <n v="208.16"/>
    <n v="208.16"/>
  </r>
  <r>
    <x v="2"/>
    <s v="Nook"/>
    <n v="0"/>
    <n v="0"/>
    <n v="0"/>
    <n v="39.93"/>
    <n v="39.93"/>
    <n v="39.93"/>
    <n v="39.93"/>
    <n v="39.93"/>
    <n v="79.86"/>
    <n v="79.86"/>
    <n v="79.86"/>
    <n v="159.72"/>
    <n v="159.72"/>
    <n v="159.72"/>
    <n v="159.72"/>
    <n v="159.72"/>
    <n v="159.72"/>
  </r>
  <r>
    <x v="2"/>
    <s v="Nook"/>
    <n v="0"/>
    <n v="0"/>
    <n v="0"/>
    <n v="356.83"/>
    <n v="356.83"/>
    <n v="356.83"/>
    <n v="356.83"/>
    <n v="713.66"/>
    <n v="713.66"/>
    <n v="713.66"/>
    <n v="713.66"/>
    <n v="1427.32"/>
    <n v="1427.32"/>
    <n v="1427.32"/>
    <n v="1427.32"/>
    <n v="1427.32"/>
    <n v="1427.32"/>
  </r>
  <r>
    <x v="2"/>
    <s v="Nook"/>
    <n v="0"/>
    <n v="0"/>
    <n v="0"/>
    <n v="0"/>
    <n v="0"/>
    <n v="0"/>
    <n v="0"/>
    <n v="0"/>
    <n v="0"/>
    <n v="0"/>
    <n v="0"/>
    <n v="49.08"/>
    <n v="49.08"/>
    <n v="49.08"/>
    <n v="49.08"/>
    <n v="49.08"/>
    <n v="49.08"/>
  </r>
  <r>
    <x v="2"/>
    <s v="Nook"/>
    <n v="0"/>
    <n v="0"/>
    <n v="0"/>
    <n v="0"/>
    <n v="0"/>
    <n v="0"/>
    <n v="0"/>
    <n v="0"/>
    <n v="0"/>
    <n v="0"/>
    <n v="0"/>
    <n v="378.51"/>
    <n v="378.51"/>
    <n v="378.51"/>
    <n v="378.51"/>
    <n v="378.51"/>
    <n v="378.51"/>
  </r>
  <r>
    <x v="2"/>
    <s v="Nook"/>
    <n v="0"/>
    <n v="0"/>
    <n v="0"/>
    <n v="71.27"/>
    <n v="71.27"/>
    <n v="71.27"/>
    <n v="71.27"/>
    <n v="71.27"/>
    <n v="71.27"/>
    <n v="71.27"/>
    <n v="71.27"/>
    <n v="71.27"/>
    <n v="71.27"/>
    <n v="71.27"/>
    <n v="71.27"/>
    <n v="71.27"/>
    <n v="71.27"/>
  </r>
  <r>
    <x v="2"/>
    <s v="Nook"/>
    <n v="0"/>
    <n v="0"/>
    <n v="0"/>
    <n v="268.07"/>
    <n v="268.07"/>
    <n v="268.07"/>
    <n v="268.07"/>
    <n v="268.07"/>
    <n v="268.07"/>
    <n v="268.07"/>
    <n v="268.07"/>
    <n v="268.07"/>
    <n v="268.07"/>
    <n v="268.07"/>
    <n v="268.07"/>
    <n v="268.07"/>
    <n v="268.07"/>
  </r>
  <r>
    <x v="2"/>
    <s v="Nook"/>
    <n v="0"/>
    <n v="0"/>
    <n v="0"/>
    <n v="137.82249999999999"/>
    <n v="137.82249999999999"/>
    <n v="137.82249999999999"/>
    <n v="137.82249999999999"/>
    <n v="275.64499999999998"/>
    <n v="275.64499999999998"/>
    <n v="275.64499999999998"/>
    <n v="275.64499999999998"/>
    <n v="551.29"/>
    <n v="551.29"/>
    <n v="551.29"/>
    <n v="551.29"/>
    <n v="551.29"/>
    <n v="551.29"/>
  </r>
  <r>
    <x v="2"/>
    <s v="Nook"/>
    <n v="0"/>
    <n v="0"/>
    <n v="0"/>
    <n v="0"/>
    <n v="0"/>
    <n v="0"/>
    <n v="0"/>
    <n v="0"/>
    <n v="0"/>
    <n v="0"/>
    <n v="0"/>
    <n v="0"/>
    <n v="0"/>
    <n v="0"/>
    <n v="103.36"/>
    <n v="103.36"/>
    <n v="103.36"/>
  </r>
  <r>
    <x v="2"/>
    <s v="Nook"/>
    <n v="0"/>
    <n v="0"/>
    <n v="0"/>
    <n v="113.2"/>
    <n v="113.2"/>
    <n v="113.2"/>
    <n v="113.2"/>
    <n v="113.2"/>
    <n v="113.2"/>
    <n v="113.2"/>
    <n v="113.2"/>
    <n v="113.2"/>
    <n v="113.2"/>
    <n v="113.2"/>
    <n v="113.2"/>
    <n v="113.2"/>
    <n v="113.2"/>
  </r>
  <r>
    <x v="2"/>
    <s v="Nook"/>
    <n v="0"/>
    <n v="0"/>
    <n v="0"/>
    <n v="0"/>
    <n v="0"/>
    <n v="0"/>
    <n v="0"/>
    <n v="0"/>
    <n v="0"/>
    <n v="402.67"/>
    <n v="402.67"/>
    <n v="402.67"/>
    <n v="402.67"/>
    <n v="402.67"/>
    <n v="402.67"/>
    <n v="402.67"/>
    <n v="402.67"/>
  </r>
  <r>
    <x v="2"/>
    <s v="Nook"/>
    <n v="0"/>
    <n v="0"/>
    <n v="0"/>
    <n v="166.17"/>
    <n v="166.17"/>
    <n v="166.17"/>
    <n v="166.17"/>
    <n v="166.17"/>
    <n v="166.17"/>
    <n v="166.17"/>
    <n v="166.17"/>
    <n v="166.17"/>
    <n v="166.17"/>
    <n v="166.17"/>
    <n v="166.17"/>
    <n v="166.17"/>
    <n v="166.17"/>
  </r>
  <r>
    <x v="2"/>
    <s v="Nook"/>
    <n v="0"/>
    <n v="0"/>
    <n v="0"/>
    <n v="457.2"/>
    <n v="457.2"/>
    <n v="457.2"/>
    <n v="457.2"/>
    <n v="457.2"/>
    <n v="457.2"/>
    <n v="457.2"/>
    <n v="457.2"/>
    <n v="457.2"/>
    <n v="457.2"/>
    <n v="457.2"/>
    <n v="457.2"/>
    <n v="457.2"/>
    <n v="457.2"/>
  </r>
  <r>
    <x v="2"/>
    <s v="Nook"/>
    <n v="0"/>
    <n v="0"/>
    <n v="0"/>
    <n v="54.45"/>
    <n v="54.45"/>
    <n v="54.45"/>
    <n v="54.45"/>
    <n v="54.45"/>
    <n v="54.45"/>
    <n v="54.45"/>
    <n v="54.45"/>
    <n v="54.45"/>
    <n v="54.45"/>
    <n v="54.45"/>
    <n v="54.45"/>
    <n v="54.45"/>
    <n v="54.45"/>
  </r>
  <r>
    <x v="2"/>
    <s v="Nook"/>
    <n v="0"/>
    <n v="0"/>
    <n v="0"/>
    <n v="492.67"/>
    <n v="492.67"/>
    <n v="492.67"/>
    <n v="492.67"/>
    <n v="492.67"/>
    <n v="492.67"/>
    <n v="492.67"/>
    <n v="492.67"/>
    <n v="492.67"/>
    <n v="492.67"/>
    <n v="492.67"/>
    <n v="492.67"/>
    <n v="492.67"/>
    <n v="492.67"/>
  </r>
  <r>
    <x v="2"/>
    <s v="Living Area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x v="2"/>
    <s v="Living Area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Living Area"/>
    <n v="0"/>
    <n v="0"/>
    <n v="0"/>
    <n v="0"/>
    <n v="0"/>
    <n v="0"/>
    <n v="0"/>
    <n v="0"/>
    <n v="0"/>
    <n v="0"/>
    <n v="0"/>
    <n v="84.03"/>
    <n v="84.03"/>
    <n v="84.03"/>
    <n v="84.03"/>
    <n v="84.03"/>
    <n v="84.03"/>
  </r>
  <r>
    <x v="2"/>
    <s v="Living Area"/>
    <n v="0"/>
    <n v="0"/>
    <n v="0"/>
    <n v="623.64"/>
    <n v="623.64"/>
    <n v="623.64"/>
    <n v="623.64"/>
    <n v="623.64"/>
    <n v="623.64"/>
    <n v="623.64"/>
    <n v="623.64"/>
    <n v="623.64"/>
    <n v="623.64"/>
    <n v="623.64"/>
    <n v="623.64"/>
    <n v="623.64"/>
    <n v="623.64"/>
  </r>
  <r>
    <x v="2"/>
    <s v="Living Area"/>
    <n v="0"/>
    <n v="0"/>
    <n v="0"/>
    <n v="0"/>
    <n v="0"/>
    <n v="0"/>
    <n v="0"/>
    <n v="0"/>
    <n v="0"/>
    <n v="0"/>
    <n v="0"/>
    <n v="0"/>
    <n v="0"/>
    <n v="0"/>
    <n v="181.9"/>
    <n v="181.9"/>
    <n v="181.9"/>
  </r>
  <r>
    <x v="2"/>
    <s v="Living Area"/>
    <n v="0"/>
    <n v="0"/>
    <n v="0"/>
    <n v="0"/>
    <n v="353.68"/>
    <n v="353.68"/>
    <n v="353.68"/>
    <n v="353.68"/>
    <n v="353.68"/>
    <n v="353.68"/>
    <n v="353.68"/>
    <n v="353.68"/>
    <n v="353.68"/>
    <n v="353.68"/>
    <n v="353.68"/>
    <n v="353.68"/>
    <n v="353.68"/>
  </r>
  <r>
    <x v="2"/>
    <s v="Living Area"/>
    <n v="0"/>
    <n v="0"/>
    <n v="0"/>
    <n v="67.849999999999994"/>
    <n v="67.849999999999994"/>
    <n v="67.849999999999994"/>
    <n v="67.849999999999994"/>
    <n v="67.849999999999994"/>
    <n v="135.69999999999999"/>
    <n v="135.69999999999999"/>
    <n v="135.69999999999999"/>
    <n v="271.39999999999998"/>
    <n v="271.39999999999998"/>
    <n v="271.39999999999998"/>
    <n v="271.39999999999998"/>
    <n v="271.39999999999998"/>
    <n v="271.39999999999998"/>
  </r>
  <r>
    <x v="2"/>
    <s v="Living Area"/>
    <n v="0"/>
    <n v="0"/>
    <n v="0"/>
    <n v="606.30999999999995"/>
    <n v="606.30999999999995"/>
    <n v="606.30999999999995"/>
    <n v="606.30999999999995"/>
    <n v="1212.6199999999999"/>
    <n v="1212.6199999999999"/>
    <n v="1212.6199999999999"/>
    <n v="1212.6199999999999"/>
    <n v="2425.2399999999998"/>
    <n v="2425.2399999999998"/>
    <n v="2425.2399999999998"/>
    <n v="2425.2399999999998"/>
    <n v="2425.2399999999998"/>
    <n v="2425.2399999999998"/>
  </r>
  <r>
    <x v="2"/>
    <s v="Living Area"/>
    <n v="0"/>
    <n v="0"/>
    <n v="0"/>
    <n v="0"/>
    <n v="0"/>
    <n v="0"/>
    <n v="0"/>
    <n v="0"/>
    <n v="0"/>
    <n v="0"/>
    <n v="0"/>
    <n v="193.08"/>
    <n v="193.08"/>
    <n v="193.08"/>
    <n v="193.08"/>
    <n v="193.08"/>
    <n v="193.08"/>
  </r>
  <r>
    <x v="2"/>
    <s v="Living Area"/>
    <n v="0"/>
    <n v="0"/>
    <n v="0"/>
    <n v="0"/>
    <n v="0"/>
    <n v="0"/>
    <n v="0"/>
    <n v="0"/>
    <n v="0"/>
    <n v="0"/>
    <n v="0"/>
    <n v="719.74"/>
    <n v="719.74"/>
    <n v="719.74"/>
    <n v="719.74"/>
    <n v="719.74"/>
    <n v="719.74"/>
  </r>
  <r>
    <x v="2"/>
    <s v="Living Area"/>
    <n v="0"/>
    <n v="0"/>
    <n v="0"/>
    <n v="0"/>
    <n v="0"/>
    <n v="0"/>
    <n v="0"/>
    <n v="0"/>
    <n v="0"/>
    <n v="0"/>
    <n v="0"/>
    <n v="83.4"/>
    <n v="83.4"/>
    <n v="83.4"/>
    <n v="83.4"/>
    <n v="83.4"/>
    <n v="83.4"/>
  </r>
  <r>
    <x v="2"/>
    <s v="Living Area"/>
    <n v="0"/>
    <n v="0"/>
    <n v="0"/>
    <n v="0"/>
    <n v="0"/>
    <n v="0"/>
    <n v="0"/>
    <n v="0"/>
    <n v="0"/>
    <n v="0"/>
    <n v="0"/>
    <n v="643.17999999999995"/>
    <n v="643.17999999999995"/>
    <n v="643.17999999999995"/>
    <n v="643.17999999999995"/>
    <n v="643.17999999999995"/>
    <n v="643.17999999999995"/>
  </r>
  <r>
    <x v="2"/>
    <s v="Living Area"/>
    <n v="0"/>
    <n v="0"/>
    <n v="0"/>
    <n v="121.09"/>
    <n v="121.09"/>
    <n v="121.09"/>
    <n v="121.09"/>
    <n v="121.09"/>
    <n v="121.09"/>
    <n v="121.09"/>
    <n v="121.09"/>
    <n v="121.09"/>
    <n v="121.09"/>
    <n v="121.09"/>
    <n v="121.09"/>
    <n v="121.09"/>
    <n v="121.09"/>
  </r>
  <r>
    <x v="2"/>
    <s v="Living Area"/>
    <n v="0"/>
    <n v="0"/>
    <n v="0"/>
    <n v="455.51"/>
    <n v="455.51"/>
    <n v="455.51"/>
    <n v="455.51"/>
    <n v="455.51"/>
    <n v="455.51"/>
    <n v="455.51"/>
    <n v="455.51"/>
    <n v="455.51"/>
    <n v="455.51"/>
    <n v="455.51"/>
    <n v="455.51"/>
    <n v="455.51"/>
    <n v="455.51"/>
  </r>
  <r>
    <x v="2"/>
    <s v="Living Area"/>
    <n v="0"/>
    <n v="0"/>
    <n v="0"/>
    <n v="385.43"/>
    <n v="385.43"/>
    <n v="385.43"/>
    <n v="385.43"/>
    <n v="770.86"/>
    <n v="770.86"/>
    <n v="770.86"/>
    <n v="770.86"/>
    <n v="1541.72"/>
    <n v="1541.72"/>
    <n v="1541.72"/>
    <n v="1541.72"/>
    <n v="1541.72"/>
    <n v="1541.72"/>
  </r>
  <r>
    <x v="2"/>
    <s v="Living Area"/>
    <n v="0"/>
    <n v="0"/>
    <n v="0"/>
    <n v="0"/>
    <n v="0"/>
    <n v="0"/>
    <n v="0"/>
    <n v="0"/>
    <n v="0"/>
    <n v="0"/>
    <n v="0"/>
    <n v="0"/>
    <n v="0"/>
    <n v="0"/>
    <n v="289.07"/>
    <n v="289.07"/>
    <n v="289.07"/>
  </r>
  <r>
    <x v="2"/>
    <s v="Living Area"/>
    <n v="0"/>
    <n v="0"/>
    <n v="0"/>
    <n v="316.60000000000002"/>
    <n v="316.60000000000002"/>
    <n v="316.60000000000002"/>
    <n v="316.60000000000002"/>
    <n v="316.60000000000002"/>
    <n v="316.60000000000002"/>
    <n v="316.60000000000002"/>
    <n v="316.60000000000002"/>
    <n v="316.60000000000002"/>
    <n v="316.60000000000002"/>
    <n v="316.60000000000002"/>
    <n v="316.60000000000002"/>
    <n v="316.60000000000002"/>
    <n v="316.60000000000002"/>
  </r>
  <r>
    <x v="2"/>
    <s v="Living Area"/>
    <n v="0"/>
    <n v="0"/>
    <n v="0"/>
    <n v="0"/>
    <n v="0"/>
    <n v="0"/>
    <n v="0"/>
    <n v="0"/>
    <n v="0"/>
    <n v="1125.95"/>
    <n v="1125.95"/>
    <n v="1125.95"/>
    <n v="1125.95"/>
    <n v="1125.95"/>
    <n v="1125.95"/>
    <n v="1125.95"/>
    <n v="1125.95"/>
  </r>
  <r>
    <x v="2"/>
    <s v="Living Area"/>
    <n v="0"/>
    <n v="0"/>
    <n v="0"/>
    <n v="464.71"/>
    <n v="464.71"/>
    <n v="464.71"/>
    <n v="464.71"/>
    <n v="464.71"/>
    <n v="464.71"/>
    <n v="464.71"/>
    <n v="464.71"/>
    <n v="464.71"/>
    <n v="464.71"/>
    <n v="464.71"/>
    <n v="464.71"/>
    <n v="464.71"/>
    <n v="464.71"/>
  </r>
  <r>
    <x v="2"/>
    <s v="Living Area"/>
    <n v="0"/>
    <n v="0"/>
    <n v="0"/>
    <n v="1278.57"/>
    <n v="1278.57"/>
    <n v="1278.57"/>
    <n v="1278.57"/>
    <n v="1278.57"/>
    <n v="1278.57"/>
    <n v="1278.57"/>
    <n v="1278.57"/>
    <n v="1278.57"/>
    <n v="1278.57"/>
    <n v="1278.57"/>
    <n v="1278.57"/>
    <n v="1278.57"/>
    <n v="1278.57"/>
  </r>
  <r>
    <x v="2"/>
    <s v="Living Area"/>
    <n v="0"/>
    <n v="0"/>
    <n v="0"/>
    <n v="152.26"/>
    <n v="152.26"/>
    <n v="152.26"/>
    <n v="152.26"/>
    <n v="152.26"/>
    <n v="152.26"/>
    <n v="152.26"/>
    <n v="152.26"/>
    <n v="152.26"/>
    <n v="152.26"/>
    <n v="152.26"/>
    <n v="152.26"/>
    <n v="152.26"/>
    <n v="152.26"/>
  </r>
  <r>
    <x v="2"/>
    <s v="Living Area"/>
    <n v="0"/>
    <n v="0"/>
    <n v="0"/>
    <n v="1377.74"/>
    <n v="1377.74"/>
    <n v="1377.74"/>
    <n v="1377.74"/>
    <n v="1377.74"/>
    <n v="1377.74"/>
    <n v="1377.74"/>
    <n v="1377.74"/>
    <n v="1377.74"/>
    <n v="1377.74"/>
    <n v="1377.74"/>
    <n v="1377.74"/>
    <n v="1377.74"/>
    <n v="1377.74"/>
  </r>
  <r>
    <x v="2"/>
    <s v="Hallway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2"/>
    <s v="Hallway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x v="2"/>
    <s v="Hallway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Hallway"/>
    <n v="0"/>
    <n v="0"/>
    <n v="0"/>
    <n v="0"/>
    <n v="0"/>
    <n v="0"/>
    <n v="0"/>
    <n v="0"/>
    <n v="0"/>
    <n v="0"/>
    <n v="0"/>
    <n v="46.94"/>
    <n v="46.94"/>
    <n v="46.94"/>
    <n v="46.94"/>
    <n v="46.94"/>
    <n v="46.94"/>
  </r>
  <r>
    <x v="2"/>
    <s v="Hallway"/>
    <n v="0"/>
    <n v="0"/>
    <n v="0"/>
    <n v="348.36"/>
    <n v="348.36"/>
    <n v="348.36"/>
    <n v="348.36"/>
    <n v="348.36"/>
    <n v="348.36"/>
    <n v="348.36"/>
    <n v="348.36"/>
    <n v="348.36"/>
    <n v="348.36"/>
    <n v="348.36"/>
    <n v="348.36"/>
    <n v="348.36"/>
    <n v="348.36"/>
  </r>
  <r>
    <x v="2"/>
    <s v="Hallway"/>
    <n v="0"/>
    <n v="0"/>
    <n v="0"/>
    <n v="0"/>
    <n v="0"/>
    <n v="0"/>
    <n v="0"/>
    <n v="0"/>
    <n v="0"/>
    <n v="0"/>
    <n v="0"/>
    <n v="0"/>
    <n v="0"/>
    <n v="0"/>
    <n v="101.61"/>
    <n v="101.61"/>
    <n v="101.61"/>
  </r>
  <r>
    <x v="2"/>
    <s v="Hallway"/>
    <n v="0"/>
    <n v="0"/>
    <n v="0"/>
    <n v="0"/>
    <n v="197.56"/>
    <n v="197.56"/>
    <n v="197.56"/>
    <n v="197.56"/>
    <n v="197.56"/>
    <n v="197.56"/>
    <n v="197.56"/>
    <n v="197.56"/>
    <n v="197.56"/>
    <n v="197.56"/>
    <n v="197.56"/>
    <n v="197.56"/>
    <n v="197.56"/>
  </r>
  <r>
    <x v="2"/>
    <s v="Hallway"/>
    <n v="0"/>
    <n v="0"/>
    <n v="0"/>
    <n v="37.9"/>
    <n v="37.9"/>
    <n v="37.9"/>
    <n v="37.9"/>
    <n v="37.9"/>
    <n v="75.8"/>
    <n v="75.8"/>
    <n v="75.8"/>
    <n v="151.6"/>
    <n v="151.6"/>
    <n v="151.6"/>
    <n v="151.6"/>
    <n v="151.6"/>
    <n v="151.6"/>
  </r>
  <r>
    <x v="2"/>
    <s v="Hallway"/>
    <n v="0"/>
    <n v="0"/>
    <n v="0"/>
    <n v="338.69"/>
    <n v="338.69"/>
    <n v="338.69"/>
    <n v="338.69"/>
    <n v="677.38"/>
    <n v="677.38"/>
    <n v="677.38"/>
    <n v="677.38"/>
    <n v="1354.76"/>
    <n v="1354.76"/>
    <n v="1354.76"/>
    <n v="1354.76"/>
    <n v="1354.76"/>
    <n v="1354.76"/>
  </r>
  <r>
    <x v="2"/>
    <s v="Hallway"/>
    <n v="0"/>
    <n v="0"/>
    <n v="0"/>
    <n v="0"/>
    <n v="0"/>
    <n v="0"/>
    <n v="0"/>
    <n v="0"/>
    <n v="0"/>
    <n v="0"/>
    <n v="0"/>
    <n v="46.58"/>
    <n v="46.58"/>
    <n v="46.58"/>
    <n v="46.58"/>
    <n v="46.58"/>
    <n v="46.58"/>
  </r>
  <r>
    <x v="2"/>
    <s v="Hallway"/>
    <n v="0"/>
    <n v="0"/>
    <n v="0"/>
    <n v="0"/>
    <n v="0"/>
    <n v="0"/>
    <n v="0"/>
    <n v="0"/>
    <n v="0"/>
    <n v="0"/>
    <n v="0"/>
    <n v="359.27"/>
    <n v="359.27"/>
    <n v="359.27"/>
    <n v="359.27"/>
    <n v="359.27"/>
    <n v="359.27"/>
  </r>
  <r>
    <x v="2"/>
    <s v="Hallway"/>
    <n v="0"/>
    <n v="0"/>
    <n v="0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</r>
  <r>
    <x v="2"/>
    <s v="Hallway"/>
    <n v="0"/>
    <n v="0"/>
    <n v="0"/>
    <n v="254.43"/>
    <n v="254.43"/>
    <n v="254.43"/>
    <n v="254.43"/>
    <n v="254.43"/>
    <n v="254.43"/>
    <n v="254.43"/>
    <n v="254.43"/>
    <n v="254.43"/>
    <n v="254.43"/>
    <n v="254.43"/>
    <n v="254.43"/>
    <n v="254.43"/>
    <n v="254.43"/>
  </r>
  <r>
    <x v="2"/>
    <s v="Hallway"/>
    <n v="0"/>
    <n v="0"/>
    <n v="0"/>
    <n v="58.232500000000002"/>
    <n v="58.232500000000002"/>
    <n v="58.232500000000002"/>
    <n v="58.232500000000002"/>
    <n v="116.465"/>
    <n v="116.465"/>
    <n v="116.465"/>
    <n v="116.465"/>
    <n v="232.93"/>
    <n v="232.93"/>
    <n v="232.93"/>
    <n v="232.93"/>
    <n v="232.93"/>
    <n v="232.93"/>
  </r>
  <r>
    <x v="2"/>
    <s v="Hallway"/>
    <n v="0"/>
    <n v="0"/>
    <n v="0"/>
    <n v="0"/>
    <n v="0"/>
    <n v="0"/>
    <n v="0"/>
    <n v="0"/>
    <n v="0"/>
    <n v="0"/>
    <n v="0"/>
    <n v="0"/>
    <n v="0"/>
    <n v="0"/>
    <n v="43.68"/>
    <n v="43.68"/>
    <n v="43.68"/>
  </r>
  <r>
    <x v="2"/>
    <s v="Hallway"/>
    <n v="0"/>
    <n v="0"/>
    <n v="0"/>
    <n v="47.84"/>
    <n v="47.84"/>
    <n v="47.84"/>
    <n v="47.84"/>
    <n v="47.84"/>
    <n v="47.84"/>
    <n v="47.84"/>
    <n v="47.84"/>
    <n v="47.84"/>
    <n v="47.84"/>
    <n v="47.84"/>
    <n v="47.84"/>
    <n v="47.84"/>
    <n v="47.84"/>
  </r>
  <r>
    <x v="2"/>
    <s v="Hallway"/>
    <n v="0"/>
    <n v="0"/>
    <n v="0"/>
    <n v="0"/>
    <n v="0"/>
    <n v="0"/>
    <n v="0"/>
    <n v="0"/>
    <n v="0"/>
    <n v="240.47"/>
    <n v="240.47"/>
    <n v="240.47"/>
    <n v="240.47"/>
    <n v="240.47"/>
    <n v="240.47"/>
    <n v="240.47"/>
    <n v="240.47"/>
  </r>
  <r>
    <x v="2"/>
    <s v="Hallway"/>
    <n v="0"/>
    <n v="0"/>
    <n v="0"/>
    <n v="99.27"/>
    <n v="99.27"/>
    <n v="99.27"/>
    <n v="99.27"/>
    <n v="99.27"/>
    <n v="99.27"/>
    <n v="99.27"/>
    <n v="99.27"/>
    <n v="99.27"/>
    <n v="99.27"/>
    <n v="99.27"/>
    <n v="99.27"/>
    <n v="99.27"/>
    <n v="99.27"/>
  </r>
  <r>
    <x v="2"/>
    <s v="Hallway"/>
    <n v="0"/>
    <n v="0"/>
    <n v="0"/>
    <n v="273.14999999999998"/>
    <n v="273.14999999999998"/>
    <n v="273.14999999999998"/>
    <n v="273.14999999999998"/>
    <n v="273.14999999999998"/>
    <n v="273.14999999999998"/>
    <n v="273.14999999999998"/>
    <n v="273.14999999999998"/>
    <n v="273.14999999999998"/>
    <n v="273.14999999999998"/>
    <n v="273.14999999999998"/>
    <n v="273.14999999999998"/>
    <n v="273.14999999999998"/>
    <n v="273.14999999999998"/>
  </r>
  <r>
    <x v="2"/>
    <s v="Hallway"/>
    <n v="0"/>
    <n v="0"/>
    <n v="0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</r>
  <r>
    <x v="2"/>
    <s v="Hallway"/>
    <n v="0"/>
    <n v="0"/>
    <n v="0"/>
    <n v="294.27999999999997"/>
    <n v="294.27999999999997"/>
    <n v="294.27999999999997"/>
    <n v="294.27999999999997"/>
    <n v="294.27999999999997"/>
    <n v="294.27999999999997"/>
    <n v="294.27999999999997"/>
    <n v="294.27999999999997"/>
    <n v="294.27999999999997"/>
    <n v="294.27999999999997"/>
    <n v="294.27999999999997"/>
    <n v="294.27999999999997"/>
    <n v="294.27999999999997"/>
    <n v="294.27999999999997"/>
  </r>
  <r>
    <x v="2"/>
    <s v="Dining 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Dining 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Dining Room"/>
    <n v="0"/>
    <n v="0"/>
    <n v="0"/>
    <n v="0"/>
    <n v="0"/>
    <n v="0"/>
    <n v="0"/>
    <n v="0"/>
    <n v="0"/>
    <n v="0"/>
    <n v="0"/>
    <n v="74.19"/>
    <n v="74.19"/>
    <n v="74.19"/>
    <n v="74.19"/>
    <n v="74.19"/>
    <n v="74.19"/>
  </r>
  <r>
    <x v="2"/>
    <s v="Dining Room"/>
    <n v="0"/>
    <n v="0"/>
    <n v="0"/>
    <n v="550.54"/>
    <n v="550.54"/>
    <n v="550.54"/>
    <n v="550.54"/>
    <n v="550.54"/>
    <n v="550.54"/>
    <n v="550.54"/>
    <n v="550.54"/>
    <n v="550.54"/>
    <n v="550.54"/>
    <n v="550.54"/>
    <n v="550.54"/>
    <n v="550.54"/>
    <n v="550.54"/>
  </r>
  <r>
    <x v="2"/>
    <s v="Dining Room"/>
    <n v="0"/>
    <n v="0"/>
    <n v="0"/>
    <n v="0"/>
    <n v="0"/>
    <n v="0"/>
    <n v="0"/>
    <n v="0"/>
    <n v="0"/>
    <n v="0"/>
    <n v="0"/>
    <n v="0"/>
    <n v="0"/>
    <n v="0"/>
    <n v="160.57"/>
    <n v="160.57"/>
    <n v="160.57"/>
  </r>
  <r>
    <x v="2"/>
    <s v="Dining Room"/>
    <n v="0"/>
    <n v="0"/>
    <n v="0"/>
    <n v="0"/>
    <n v="312.23"/>
    <n v="312.23"/>
    <n v="312.23"/>
    <n v="312.23"/>
    <n v="312.23"/>
    <n v="312.23"/>
    <n v="312.23"/>
    <n v="312.23"/>
    <n v="312.23"/>
    <n v="312.23"/>
    <n v="312.23"/>
    <n v="312.23"/>
    <n v="312.23"/>
  </r>
  <r>
    <x v="2"/>
    <s v="Dining Room"/>
    <n v="0"/>
    <n v="0"/>
    <n v="0"/>
    <n v="59.9"/>
    <n v="59.9"/>
    <n v="59.9"/>
    <n v="59.9"/>
    <n v="59.9"/>
    <n v="119.8"/>
    <n v="119.8"/>
    <n v="119.8"/>
    <n v="239.6"/>
    <n v="239.6"/>
    <n v="239.6"/>
    <n v="239.6"/>
    <n v="239.6"/>
    <n v="239.6"/>
  </r>
  <r>
    <x v="2"/>
    <s v="Dining Room"/>
    <n v="0"/>
    <n v="0"/>
    <n v="0"/>
    <n v="535.25"/>
    <n v="535.25"/>
    <n v="535.25"/>
    <n v="535.25"/>
    <n v="1070.5"/>
    <n v="1070.5"/>
    <n v="1070.5"/>
    <n v="1070.5"/>
    <n v="2141"/>
    <n v="2141"/>
    <n v="2141"/>
    <n v="2141"/>
    <n v="2141"/>
    <n v="2141"/>
  </r>
  <r>
    <x v="2"/>
    <s v="Dining Room"/>
    <n v="0"/>
    <n v="0"/>
    <n v="0"/>
    <n v="0"/>
    <n v="0"/>
    <n v="0"/>
    <n v="0"/>
    <n v="0"/>
    <n v="0"/>
    <n v="0"/>
    <n v="0"/>
    <n v="73.64"/>
    <n v="73.64"/>
    <n v="73.64"/>
    <n v="73.64"/>
    <n v="73.64"/>
    <n v="73.64"/>
  </r>
  <r>
    <x v="2"/>
    <s v="Dining Room"/>
    <n v="0"/>
    <n v="0"/>
    <n v="0"/>
    <n v="0"/>
    <n v="0"/>
    <n v="0"/>
    <n v="0"/>
    <n v="0"/>
    <n v="0"/>
    <n v="0"/>
    <n v="0"/>
    <n v="567.82000000000005"/>
    <n v="567.82000000000005"/>
    <n v="567.82000000000005"/>
    <n v="567.82000000000005"/>
    <n v="567.82000000000005"/>
    <n v="567.82000000000005"/>
  </r>
  <r>
    <x v="2"/>
    <s v="Dining Room"/>
    <n v="0"/>
    <n v="0"/>
    <n v="0"/>
    <n v="0"/>
    <n v="1068.82"/>
    <n v="1068.82"/>
    <n v="1068.82"/>
    <n v="1068.82"/>
    <n v="1068.82"/>
    <n v="1068.82"/>
    <n v="1068.82"/>
    <n v="1068.82"/>
    <n v="1068.82"/>
    <n v="1068.82"/>
    <n v="1068.82"/>
    <n v="1068.82"/>
    <n v="1068.82"/>
  </r>
  <r>
    <x v="2"/>
    <s v="Dining Room"/>
    <n v="0"/>
    <n v="0"/>
    <n v="0"/>
    <n v="0"/>
    <n v="0"/>
    <n v="0"/>
    <n v="0"/>
    <n v="0"/>
    <n v="0"/>
    <n v="0"/>
    <n v="0"/>
    <n v="0"/>
    <n v="0"/>
    <n v="0"/>
    <n v="572.16"/>
    <n v="572.16"/>
    <n v="572.16"/>
  </r>
  <r>
    <x v="2"/>
    <s v="Dining Room"/>
    <n v="0"/>
    <n v="0"/>
    <n v="0"/>
    <n v="106.91"/>
    <n v="106.91"/>
    <n v="106.91"/>
    <n v="106.91"/>
    <n v="106.91"/>
    <n v="106.91"/>
    <n v="106.91"/>
    <n v="106.91"/>
    <n v="106.91"/>
    <n v="106.91"/>
    <n v="106.91"/>
    <n v="106.91"/>
    <n v="106.91"/>
    <n v="106.91"/>
  </r>
  <r>
    <x v="2"/>
    <s v="Dining Room"/>
    <n v="0"/>
    <n v="0"/>
    <n v="0"/>
    <n v="402.14"/>
    <n v="402.14"/>
    <n v="402.14"/>
    <n v="402.14"/>
    <n v="402.14"/>
    <n v="402.14"/>
    <n v="402.14"/>
    <n v="402.14"/>
    <n v="402.14"/>
    <n v="402.14"/>
    <n v="402.14"/>
    <n v="402.14"/>
    <n v="402.14"/>
    <n v="402.14"/>
  </r>
  <r>
    <x v="2"/>
    <s v="Dining Room"/>
    <n v="0"/>
    <n v="0"/>
    <n v="0"/>
    <n v="297.96499999999997"/>
    <n v="297.96499999999997"/>
    <n v="297.96499999999997"/>
    <n v="297.96499999999997"/>
    <n v="595.92999999999995"/>
    <n v="595.92999999999995"/>
    <n v="595.92999999999995"/>
    <n v="595.92999999999995"/>
    <n v="1191.8599999999999"/>
    <n v="1191.8599999999999"/>
    <n v="1191.8599999999999"/>
    <n v="1191.8599999999999"/>
    <n v="1191.8599999999999"/>
    <n v="1191.8599999999999"/>
  </r>
  <r>
    <x v="2"/>
    <s v="Dining Room"/>
    <n v="0"/>
    <n v="0"/>
    <n v="0"/>
    <n v="0"/>
    <n v="0"/>
    <n v="0"/>
    <n v="0"/>
    <n v="0"/>
    <n v="0"/>
    <n v="0"/>
    <n v="0"/>
    <n v="0"/>
    <n v="0"/>
    <n v="0"/>
    <n v="223.47"/>
    <n v="223.47"/>
    <n v="223.47"/>
  </r>
  <r>
    <x v="2"/>
    <s v="Dining Room"/>
    <n v="0"/>
    <n v="0"/>
    <n v="0"/>
    <n v="244.76"/>
    <n v="244.76"/>
    <n v="244.76"/>
    <n v="244.76"/>
    <n v="244.76"/>
    <n v="244.76"/>
    <n v="244.76"/>
    <n v="244.76"/>
    <n v="244.76"/>
    <n v="244.76"/>
    <n v="244.76"/>
    <n v="244.76"/>
    <n v="244.76"/>
    <n v="244.76"/>
  </r>
  <r>
    <x v="2"/>
    <s v="Dining Room"/>
    <n v="0"/>
    <n v="0"/>
    <n v="0"/>
    <n v="0"/>
    <n v="0"/>
    <n v="0"/>
    <n v="0"/>
    <n v="0"/>
    <n v="0"/>
    <n v="870.48"/>
    <n v="870.48"/>
    <n v="870.48"/>
    <n v="870.48"/>
    <n v="870.48"/>
    <n v="870.48"/>
    <n v="870.48"/>
    <n v="870.48"/>
  </r>
  <r>
    <x v="2"/>
    <s v="Dining Room"/>
    <n v="0"/>
    <n v="0"/>
    <n v="0"/>
    <n v="359.24"/>
    <n v="359.24"/>
    <n v="359.24"/>
    <n v="359.24"/>
    <n v="359.24"/>
    <n v="359.24"/>
    <n v="359.24"/>
    <n v="359.24"/>
    <n v="359.24"/>
    <n v="359.24"/>
    <n v="359.24"/>
    <n v="359.24"/>
    <n v="359.24"/>
    <n v="359.24"/>
  </r>
  <r>
    <x v="2"/>
    <s v="Dining Room"/>
    <n v="0"/>
    <n v="0"/>
    <n v="0"/>
    <n v="988.4"/>
    <n v="988.4"/>
    <n v="988.4"/>
    <n v="988.4"/>
    <n v="988.4"/>
    <n v="988.4"/>
    <n v="988.4"/>
    <n v="988.4"/>
    <n v="988.4"/>
    <n v="988.4"/>
    <n v="988.4"/>
    <n v="988.4"/>
    <n v="988.4"/>
    <n v="988.4"/>
  </r>
  <r>
    <x v="2"/>
    <s v="Dining Room"/>
    <n v="0"/>
    <n v="0"/>
    <n v="0"/>
    <n v="117.71"/>
    <n v="117.71"/>
    <n v="117.71"/>
    <n v="117.71"/>
    <n v="117.71"/>
    <n v="117.71"/>
    <n v="117.71"/>
    <n v="117.71"/>
    <n v="117.71"/>
    <n v="117.71"/>
    <n v="117.71"/>
    <n v="117.71"/>
    <n v="117.71"/>
    <n v="117.71"/>
  </r>
  <r>
    <x v="2"/>
    <s v="Dining Room"/>
    <n v="0"/>
    <n v="0"/>
    <n v="0"/>
    <n v="1065.19"/>
    <n v="1065.19"/>
    <n v="1065.19"/>
    <n v="1065.19"/>
    <n v="1065.19"/>
    <n v="1065.19"/>
    <n v="1065.19"/>
    <n v="1065.19"/>
    <n v="1065.19"/>
    <n v="1065.19"/>
    <n v="1065.19"/>
    <n v="1065.19"/>
    <n v="1065.19"/>
    <n v="1065.19"/>
  </r>
  <r>
    <x v="2"/>
    <s v="general-main"/>
    <n v="0"/>
    <n v="0"/>
    <n v="0"/>
    <n v="0"/>
    <n v="0"/>
    <n v="0"/>
    <n v="0"/>
    <n v="0"/>
    <n v="0"/>
    <n v="0"/>
    <n v="0"/>
    <n v="0"/>
    <n v="0"/>
    <n v="0"/>
    <n v="100.03"/>
    <n v="100.03"/>
    <n v="100.03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Nook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3"/>
    <s v="Nook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Nook"/>
    <n v="0"/>
    <n v="0"/>
    <n v="0"/>
    <n v="0"/>
    <n v="0"/>
    <n v="0"/>
    <n v="0"/>
    <n v="0"/>
    <n v="0"/>
    <n v="0"/>
    <n v="0"/>
    <n v="49.45"/>
    <n v="49.45"/>
    <n v="49.45"/>
    <n v="49.45"/>
    <n v="49.45"/>
    <n v="49.45"/>
  </r>
  <r>
    <x v="3"/>
    <s v="Nook"/>
    <n v="0"/>
    <n v="0"/>
    <n v="0"/>
    <n v="367.04"/>
    <n v="367.04"/>
    <n v="367.04"/>
    <n v="367.04"/>
    <n v="367.04"/>
    <n v="367.04"/>
    <n v="367.04"/>
    <n v="367.04"/>
    <n v="367.04"/>
    <n v="367.04"/>
    <n v="367.04"/>
    <n v="367.04"/>
    <n v="367.04"/>
    <n v="367.04"/>
  </r>
  <r>
    <x v="3"/>
    <s v="Nook"/>
    <n v="0"/>
    <n v="0"/>
    <n v="0"/>
    <n v="0"/>
    <n v="0"/>
    <n v="0"/>
    <n v="0"/>
    <n v="0"/>
    <n v="0"/>
    <n v="0"/>
    <n v="0"/>
    <n v="0"/>
    <n v="0"/>
    <n v="0"/>
    <n v="107.05"/>
    <n v="107.05"/>
    <n v="107.05"/>
  </r>
  <r>
    <x v="3"/>
    <s v="Nook"/>
    <n v="0"/>
    <n v="0"/>
    <n v="0"/>
    <n v="0"/>
    <n v="208.16"/>
    <n v="208.16"/>
    <n v="208.16"/>
    <n v="208.16"/>
    <n v="208.16"/>
    <n v="208.16"/>
    <n v="208.16"/>
    <n v="208.16"/>
    <n v="208.16"/>
    <n v="208.16"/>
    <n v="208.16"/>
    <n v="208.16"/>
    <n v="208.16"/>
  </r>
  <r>
    <x v="3"/>
    <s v="Nook"/>
    <n v="0"/>
    <n v="0"/>
    <n v="0"/>
    <n v="39.93"/>
    <n v="39.93"/>
    <n v="39.93"/>
    <n v="39.93"/>
    <n v="39.93"/>
    <n v="79.86"/>
    <n v="79.86"/>
    <n v="79.86"/>
    <n v="159.72"/>
    <n v="159.72"/>
    <n v="159.72"/>
    <n v="159.72"/>
    <n v="159.72"/>
    <n v="159.72"/>
  </r>
  <r>
    <x v="3"/>
    <s v="Nook"/>
    <n v="0"/>
    <n v="0"/>
    <n v="0"/>
    <n v="356.83"/>
    <n v="356.83"/>
    <n v="356.83"/>
    <n v="356.83"/>
    <n v="713.66"/>
    <n v="713.66"/>
    <n v="713.66"/>
    <n v="713.66"/>
    <n v="1427.32"/>
    <n v="1427.32"/>
    <n v="1427.32"/>
    <n v="1427.32"/>
    <n v="1427.32"/>
    <n v="1427.32"/>
  </r>
  <r>
    <x v="3"/>
    <s v="Nook"/>
    <n v="0"/>
    <n v="0"/>
    <n v="0"/>
    <n v="0"/>
    <n v="0"/>
    <n v="0"/>
    <n v="0"/>
    <n v="0"/>
    <n v="0"/>
    <n v="0"/>
    <n v="0"/>
    <n v="49.08"/>
    <n v="49.08"/>
    <n v="49.08"/>
    <n v="49.08"/>
    <n v="49.08"/>
    <n v="49.08"/>
  </r>
  <r>
    <x v="3"/>
    <s v="Nook"/>
    <n v="0"/>
    <n v="0"/>
    <n v="0"/>
    <n v="0"/>
    <n v="0"/>
    <n v="0"/>
    <n v="0"/>
    <n v="0"/>
    <n v="0"/>
    <n v="0"/>
    <n v="0"/>
    <n v="378.51"/>
    <n v="378.51"/>
    <n v="378.51"/>
    <n v="378.51"/>
    <n v="378.51"/>
    <n v="378.51"/>
  </r>
  <r>
    <x v="3"/>
    <s v="Nook"/>
    <n v="0"/>
    <n v="0"/>
    <n v="0"/>
    <n v="71.27"/>
    <n v="71.27"/>
    <n v="71.27"/>
    <n v="71.27"/>
    <n v="71.27"/>
    <n v="71.27"/>
    <n v="71.27"/>
    <n v="71.27"/>
    <n v="71.27"/>
    <n v="71.27"/>
    <n v="71.27"/>
    <n v="71.27"/>
    <n v="71.27"/>
    <n v="71.27"/>
  </r>
  <r>
    <x v="3"/>
    <s v="Nook"/>
    <n v="0"/>
    <n v="0"/>
    <n v="0"/>
    <n v="268.07"/>
    <n v="268.07"/>
    <n v="268.07"/>
    <n v="268.07"/>
    <n v="268.07"/>
    <n v="268.07"/>
    <n v="268.07"/>
    <n v="268.07"/>
    <n v="268.07"/>
    <n v="268.07"/>
    <n v="268.07"/>
    <n v="268.07"/>
    <n v="268.07"/>
    <n v="268.07"/>
  </r>
  <r>
    <x v="3"/>
    <s v="Nook"/>
    <n v="0"/>
    <n v="0"/>
    <n v="0"/>
    <n v="97.465000000000003"/>
    <n v="97.465000000000003"/>
    <n v="97.465000000000003"/>
    <n v="97.465000000000003"/>
    <n v="194.93"/>
    <n v="194.93"/>
    <n v="194.93"/>
    <n v="194.93"/>
    <n v="389.86"/>
    <n v="389.86"/>
    <n v="389.86"/>
    <n v="389.86"/>
    <n v="389.86"/>
    <n v="389.86"/>
  </r>
  <r>
    <x v="3"/>
    <s v="Nook"/>
    <n v="0"/>
    <n v="0"/>
    <n v="0"/>
    <n v="0"/>
    <n v="0"/>
    <n v="0"/>
    <n v="0"/>
    <n v="0"/>
    <n v="0"/>
    <n v="0"/>
    <n v="0"/>
    <n v="0"/>
    <n v="0"/>
    <n v="0"/>
    <n v="73.09"/>
    <n v="73.09"/>
    <n v="73.09"/>
  </r>
  <r>
    <x v="3"/>
    <s v="Nook"/>
    <n v="0"/>
    <n v="0"/>
    <n v="0"/>
    <n v="80.06"/>
    <n v="80.06"/>
    <n v="80.06"/>
    <n v="80.06"/>
    <n v="80.06"/>
    <n v="80.06"/>
    <n v="80.06"/>
    <n v="80.06"/>
    <n v="80.06"/>
    <n v="80.06"/>
    <n v="80.06"/>
    <n v="80.06"/>
    <n v="80.06"/>
    <n v="80.06"/>
  </r>
  <r>
    <x v="3"/>
    <s v="Nook"/>
    <n v="0"/>
    <n v="0"/>
    <n v="0"/>
    <n v="0"/>
    <n v="0"/>
    <n v="0"/>
    <n v="0"/>
    <n v="0"/>
    <n v="0"/>
    <n v="402.67"/>
    <n v="402.67"/>
    <n v="402.67"/>
    <n v="402.67"/>
    <n v="402.67"/>
    <n v="402.67"/>
    <n v="402.67"/>
    <n v="402.67"/>
  </r>
  <r>
    <x v="3"/>
    <s v="Nook"/>
    <n v="0"/>
    <n v="0"/>
    <n v="0"/>
    <n v="166.17"/>
    <n v="166.17"/>
    <n v="166.17"/>
    <n v="166.17"/>
    <n v="166.17"/>
    <n v="166.17"/>
    <n v="166.17"/>
    <n v="166.17"/>
    <n v="166.17"/>
    <n v="166.17"/>
    <n v="166.17"/>
    <n v="166.17"/>
    <n v="166.17"/>
    <n v="166.17"/>
  </r>
  <r>
    <x v="3"/>
    <s v="Nook"/>
    <n v="0"/>
    <n v="0"/>
    <n v="0"/>
    <n v="457.2"/>
    <n v="457.2"/>
    <n v="457.2"/>
    <n v="457.2"/>
    <n v="457.2"/>
    <n v="457.2"/>
    <n v="457.2"/>
    <n v="457.2"/>
    <n v="457.2"/>
    <n v="457.2"/>
    <n v="457.2"/>
    <n v="457.2"/>
    <n v="457.2"/>
    <n v="457.2"/>
  </r>
  <r>
    <x v="3"/>
    <s v="Nook"/>
    <n v="0"/>
    <n v="0"/>
    <n v="0"/>
    <n v="54.45"/>
    <n v="54.45"/>
    <n v="54.45"/>
    <n v="54.45"/>
    <n v="54.45"/>
    <n v="54.45"/>
    <n v="54.45"/>
    <n v="54.45"/>
    <n v="54.45"/>
    <n v="54.45"/>
    <n v="54.45"/>
    <n v="54.45"/>
    <n v="54.45"/>
    <n v="54.45"/>
  </r>
  <r>
    <x v="3"/>
    <s v="Nook"/>
    <n v="0"/>
    <n v="0"/>
    <n v="0"/>
    <n v="492.67"/>
    <n v="492.67"/>
    <n v="492.67"/>
    <n v="492.67"/>
    <n v="492.67"/>
    <n v="492.67"/>
    <n v="492.67"/>
    <n v="492.67"/>
    <n v="492.67"/>
    <n v="492.67"/>
    <n v="492.67"/>
    <n v="492.67"/>
    <n v="492.67"/>
    <n v="492.67"/>
  </r>
  <r>
    <x v="2"/>
    <s v="Half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Half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Half Bath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x v="2"/>
    <s v="Half Bath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x v="2"/>
    <s v="Half Bath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x v="2"/>
    <s v="Half Bath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x v="2"/>
    <s v="Half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Half Bath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x v="2"/>
    <s v="Half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2"/>
    <s v="Half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2"/>
    <s v="Half Bath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x v="2"/>
    <s v="Half Bath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x v="2"/>
    <s v="Half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Half Bath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x v="2"/>
    <s v="Half Bath"/>
    <n v="0"/>
    <n v="0"/>
    <n v="0"/>
    <n v="0"/>
    <n v="0"/>
    <n v="0"/>
    <n v="0"/>
    <n v="0"/>
    <n v="0"/>
    <n v="0"/>
    <n v="0"/>
    <n v="0"/>
    <n v="0"/>
    <n v="0"/>
    <n v="163.99"/>
    <n v="163.99"/>
    <n v="163.99"/>
  </r>
  <r>
    <x v="2"/>
    <s v="Half Bath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Half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Half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Half Bath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Half Bath"/>
    <n v="0"/>
    <n v="0"/>
    <n v="0"/>
    <n v="0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</r>
  <r>
    <x v="2"/>
    <s v="Half Bath"/>
    <n v="0"/>
    <n v="0"/>
    <n v="0"/>
    <n v="0"/>
    <n v="0"/>
    <n v="0"/>
    <n v="0"/>
    <n v="0"/>
    <n v="0"/>
    <n v="0"/>
    <n v="698.32"/>
    <n v="698.32"/>
    <n v="698.32"/>
    <n v="698.32"/>
    <n v="698.32"/>
    <n v="698.32"/>
    <n v="698.32"/>
  </r>
  <r>
    <x v="2"/>
    <s v="Half Bath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x v="2"/>
    <s v="Half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2"/>
    <s v="Half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2"/>
    <s v="Half Bath"/>
    <n v="0"/>
    <n v="0"/>
    <n v="0"/>
    <n v="0"/>
    <n v="0"/>
    <n v="0"/>
    <n v="0"/>
    <n v="0"/>
    <n v="0"/>
    <n v="0"/>
    <n v="0"/>
    <n v="487.96"/>
    <n v="487.96"/>
    <n v="487.96"/>
    <n v="487.96"/>
    <n v="487.96"/>
    <n v="487.96"/>
  </r>
  <r>
    <x v="2"/>
    <s v="Half Bath"/>
    <n v="0"/>
    <n v="0"/>
    <n v="0"/>
    <n v="0"/>
    <n v="0"/>
    <n v="0"/>
    <n v="0"/>
    <n v="0"/>
    <n v="0"/>
    <n v="0"/>
    <n v="0"/>
    <n v="24.74"/>
    <n v="24.74"/>
    <n v="24.74"/>
    <n v="24.74"/>
    <n v="24.74"/>
    <n v="24.74"/>
  </r>
  <r>
    <x v="2"/>
    <s v="Half Bath"/>
    <n v="0"/>
    <n v="0"/>
    <n v="0"/>
    <n v="183.51"/>
    <n v="183.51"/>
    <n v="183.51"/>
    <n v="183.51"/>
    <n v="183.51"/>
    <n v="183.51"/>
    <n v="183.51"/>
    <n v="183.51"/>
    <n v="183.51"/>
    <n v="183.51"/>
    <n v="183.51"/>
    <n v="183.51"/>
    <n v="183.51"/>
    <n v="183.51"/>
  </r>
  <r>
    <x v="2"/>
    <s v="Half Bath"/>
    <n v="0"/>
    <n v="0"/>
    <n v="0"/>
    <n v="0"/>
    <n v="0"/>
    <n v="0"/>
    <n v="0"/>
    <n v="0"/>
    <n v="0"/>
    <n v="0"/>
    <n v="0"/>
    <n v="0"/>
    <n v="0"/>
    <n v="0"/>
    <n v="53.52"/>
    <n v="53.52"/>
    <n v="53.52"/>
  </r>
  <r>
    <x v="2"/>
    <s v="Half Bath"/>
    <n v="0"/>
    <n v="0"/>
    <n v="0"/>
    <n v="0"/>
    <n v="104.07"/>
    <n v="104.07"/>
    <n v="104.07"/>
    <n v="104.07"/>
    <n v="104.07"/>
    <n v="104.07"/>
    <n v="104.07"/>
    <n v="104.07"/>
    <n v="104.07"/>
    <n v="104.07"/>
    <n v="104.07"/>
    <n v="104.07"/>
    <n v="104.07"/>
  </r>
  <r>
    <x v="2"/>
    <s v="Half Bath"/>
    <n v="0"/>
    <n v="0"/>
    <n v="0"/>
    <n v="19.967500000000001"/>
    <n v="19.967500000000001"/>
    <n v="19.967500000000001"/>
    <n v="19.967500000000001"/>
    <n v="19.967500000000001"/>
    <n v="39.935000000000002"/>
    <n v="39.935000000000002"/>
    <n v="39.935000000000002"/>
    <n v="79.87"/>
    <n v="79.87"/>
    <n v="79.87"/>
    <n v="79.87"/>
    <n v="79.87"/>
    <n v="79.87"/>
  </r>
  <r>
    <x v="2"/>
    <s v="Half Bath"/>
    <n v="0"/>
    <n v="0"/>
    <n v="0"/>
    <n v="178.41499999999999"/>
    <n v="178.41499999999999"/>
    <n v="178.41499999999999"/>
    <n v="178.41499999999999"/>
    <n v="356.83"/>
    <n v="356.83"/>
    <n v="356.83"/>
    <n v="356.83"/>
    <n v="713.66"/>
    <n v="713.66"/>
    <n v="713.66"/>
    <n v="713.66"/>
    <n v="713.66"/>
    <n v="713.66"/>
  </r>
  <r>
    <x v="2"/>
    <s v="Half Bath"/>
    <n v="0"/>
    <n v="0"/>
    <n v="0"/>
    <n v="35.64"/>
    <n v="35.64"/>
    <n v="35.64"/>
    <n v="35.64"/>
    <n v="35.64"/>
    <n v="35.64"/>
    <n v="35.64"/>
    <n v="35.64"/>
    <n v="35.64"/>
    <n v="35.64"/>
    <n v="35.64"/>
    <n v="35.64"/>
    <n v="35.64"/>
    <n v="35.64"/>
  </r>
  <r>
    <x v="2"/>
    <s v="Half Bath"/>
    <n v="0"/>
    <n v="0"/>
    <n v="0"/>
    <n v="134.07"/>
    <n v="134.07"/>
    <n v="134.07"/>
    <n v="134.07"/>
    <n v="134.07"/>
    <n v="134.07"/>
    <n v="134.07"/>
    <n v="134.07"/>
    <n v="134.07"/>
    <n v="134.07"/>
    <n v="134.07"/>
    <n v="134.07"/>
    <n v="134.07"/>
    <n v="134.07"/>
  </r>
  <r>
    <x v="2"/>
    <s v="Half Bath"/>
    <n v="0"/>
    <n v="0"/>
    <n v="0"/>
    <n v="24.362500000000001"/>
    <n v="24.362500000000001"/>
    <n v="24.362500000000001"/>
    <n v="24.362500000000001"/>
    <n v="48.725000000000001"/>
    <n v="48.725000000000001"/>
    <n v="48.725000000000001"/>
    <n v="48.725000000000001"/>
    <n v="97.45"/>
    <n v="97.45"/>
    <n v="97.45"/>
    <n v="97.45"/>
    <n v="97.45"/>
    <n v="97.45"/>
  </r>
  <r>
    <x v="2"/>
    <s v="Half Bath"/>
    <n v="0"/>
    <n v="0"/>
    <n v="0"/>
    <n v="0"/>
    <n v="0"/>
    <n v="0"/>
    <n v="0"/>
    <n v="0"/>
    <n v="0"/>
    <n v="0"/>
    <n v="0"/>
    <n v="0"/>
    <n v="0"/>
    <n v="0"/>
    <n v="18.27"/>
    <n v="18.27"/>
    <n v="18.27"/>
  </r>
  <r>
    <x v="2"/>
    <s v="Half Bath"/>
    <n v="0"/>
    <n v="0"/>
    <n v="0"/>
    <n v="20.02"/>
    <n v="20.02"/>
    <n v="20.02"/>
    <n v="20.02"/>
    <n v="20.02"/>
    <n v="20.02"/>
    <n v="20.02"/>
    <n v="20.02"/>
    <n v="20.02"/>
    <n v="20.02"/>
    <n v="20.02"/>
    <n v="20.02"/>
    <n v="20.02"/>
    <n v="20.02"/>
  </r>
  <r>
    <x v="2"/>
    <s v="Half Bath"/>
    <n v="0"/>
    <n v="0"/>
    <n v="0"/>
    <n v="0"/>
    <n v="0"/>
    <n v="0"/>
    <n v="0"/>
    <n v="0"/>
    <n v="0"/>
    <n v="100.56"/>
    <n v="100.56"/>
    <n v="100.56"/>
    <n v="100.56"/>
    <n v="100.56"/>
    <n v="100.56"/>
    <n v="100.56"/>
    <n v="100.56"/>
  </r>
  <r>
    <x v="2"/>
    <s v="Half Bath"/>
    <n v="0"/>
    <n v="0"/>
    <n v="0"/>
    <n v="41.54"/>
    <n v="41.54"/>
    <n v="41.54"/>
    <n v="41.54"/>
    <n v="41.54"/>
    <n v="41.54"/>
    <n v="41.54"/>
    <n v="41.54"/>
    <n v="41.54"/>
    <n v="41.54"/>
    <n v="41.54"/>
    <n v="41.54"/>
    <n v="41.54"/>
    <n v="41.54"/>
  </r>
  <r>
    <x v="2"/>
    <s v="Half Bath"/>
    <n v="0"/>
    <n v="0"/>
    <n v="0"/>
    <n v="114.31"/>
    <n v="114.31"/>
    <n v="114.31"/>
    <n v="114.31"/>
    <n v="114.31"/>
    <n v="114.31"/>
    <n v="114.31"/>
    <n v="114.31"/>
    <n v="114.31"/>
    <n v="114.31"/>
    <n v="114.31"/>
    <n v="114.31"/>
    <n v="114.31"/>
    <n v="114.31"/>
  </r>
  <r>
    <x v="2"/>
    <s v="Half Bath"/>
    <n v="0"/>
    <n v="0"/>
    <n v="0"/>
    <n v="13.6"/>
    <n v="13.6"/>
    <n v="13.6"/>
    <n v="13.6"/>
    <n v="13.6"/>
    <n v="13.6"/>
    <n v="13.6"/>
    <n v="13.6"/>
    <n v="13.6"/>
    <n v="13.6"/>
    <n v="13.6"/>
    <n v="13.6"/>
    <n v="13.6"/>
    <n v="13.6"/>
  </r>
  <r>
    <x v="2"/>
    <s v="Half Bath"/>
    <n v="0"/>
    <n v="0"/>
    <n v="0"/>
    <n v="123.16"/>
    <n v="123.16"/>
    <n v="123.16"/>
    <n v="123.16"/>
    <n v="123.16"/>
    <n v="123.16"/>
    <n v="123.16"/>
    <n v="123.16"/>
    <n v="123.16"/>
    <n v="123.16"/>
    <n v="123.16"/>
    <n v="123.16"/>
    <n v="123.16"/>
    <n v="123.16"/>
  </r>
  <r>
    <x v="2"/>
    <s v="Laundry Room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x v="2"/>
    <s v="Laundry Room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Laundry Room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Laundry Room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Laundry Room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2"/>
    <s v="Laundry 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Laundry 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Laundr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Laundr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Laundry 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Laundry Room"/>
    <n v="0"/>
    <n v="0"/>
    <n v="0"/>
    <n v="0"/>
    <n v="0"/>
    <n v="0"/>
    <n v="0"/>
    <n v="0"/>
    <n v="0"/>
    <n v="0"/>
    <n v="0"/>
    <n v="0"/>
    <n v="1369.44"/>
    <n v="1369.44"/>
    <n v="1369.44"/>
    <n v="1369.44"/>
    <n v="1369.44"/>
  </r>
  <r>
    <x v="2"/>
    <s v="Laundry Room"/>
    <n v="0"/>
    <n v="0"/>
    <n v="0"/>
    <n v="0"/>
    <n v="0"/>
    <n v="0"/>
    <n v="0"/>
    <n v="0"/>
    <n v="0"/>
    <n v="0"/>
    <n v="0"/>
    <n v="44.42"/>
    <n v="44.42"/>
    <n v="44.42"/>
    <n v="44.42"/>
    <n v="44.42"/>
    <n v="44.42"/>
  </r>
  <r>
    <x v="2"/>
    <s v="Laundry Room"/>
    <n v="0"/>
    <n v="0"/>
    <n v="0"/>
    <n v="329.71"/>
    <n v="329.71"/>
    <n v="329.71"/>
    <n v="329.71"/>
    <n v="329.71"/>
    <n v="329.71"/>
    <n v="329.71"/>
    <n v="329.71"/>
    <n v="329.71"/>
    <n v="329.71"/>
    <n v="329.71"/>
    <n v="329.71"/>
    <n v="329.71"/>
    <n v="329.71"/>
  </r>
  <r>
    <x v="2"/>
    <s v="Laundry Room"/>
    <n v="0"/>
    <n v="0"/>
    <n v="0"/>
    <n v="0"/>
    <n v="0"/>
    <n v="0"/>
    <n v="0"/>
    <n v="0"/>
    <n v="0"/>
    <n v="0"/>
    <n v="0"/>
    <n v="0"/>
    <n v="0"/>
    <n v="0"/>
    <n v="96.16"/>
    <n v="96.16"/>
    <n v="96.16"/>
  </r>
  <r>
    <x v="2"/>
    <s v="Laundry Room"/>
    <n v="0"/>
    <n v="0"/>
    <n v="0"/>
    <n v="0"/>
    <n v="186.98"/>
    <n v="186.98"/>
    <n v="186.98"/>
    <n v="186.98"/>
    <n v="186.98"/>
    <n v="186.98"/>
    <n v="186.98"/>
    <n v="186.98"/>
    <n v="186.98"/>
    <n v="186.98"/>
    <n v="186.98"/>
    <n v="186.98"/>
    <n v="186.98"/>
  </r>
  <r>
    <x v="2"/>
    <s v="Laundry Room"/>
    <n v="0"/>
    <n v="0"/>
    <n v="0"/>
    <n v="35.872500000000002"/>
    <n v="35.872500000000002"/>
    <n v="35.872500000000002"/>
    <n v="35.872500000000002"/>
    <n v="35.872500000000002"/>
    <n v="71.745000000000005"/>
    <n v="71.745000000000005"/>
    <n v="71.745000000000005"/>
    <n v="143.49"/>
    <n v="143.49"/>
    <n v="143.49"/>
    <n v="143.49"/>
    <n v="143.49"/>
    <n v="143.49"/>
  </r>
  <r>
    <x v="2"/>
    <s v="Laundry Room"/>
    <n v="0"/>
    <n v="0"/>
    <n v="0"/>
    <n v="320.54500000000002"/>
    <n v="320.54500000000002"/>
    <n v="320.54500000000002"/>
    <n v="320.54500000000002"/>
    <n v="641.09"/>
    <n v="641.09"/>
    <n v="641.09"/>
    <n v="641.09"/>
    <n v="1282.18"/>
    <n v="1282.18"/>
    <n v="1282.18"/>
    <n v="1282.18"/>
    <n v="1282.18"/>
    <n v="1282.18"/>
  </r>
  <r>
    <x v="2"/>
    <s v="Laundry Room"/>
    <n v="0"/>
    <n v="0"/>
    <n v="0"/>
    <n v="64.03"/>
    <n v="64.03"/>
    <n v="64.03"/>
    <n v="64.03"/>
    <n v="64.03"/>
    <n v="64.03"/>
    <n v="64.03"/>
    <n v="64.03"/>
    <n v="64.03"/>
    <n v="64.03"/>
    <n v="64.03"/>
    <n v="64.03"/>
    <n v="64.03"/>
    <n v="64.03"/>
  </r>
  <r>
    <x v="2"/>
    <s v="Laundry Room"/>
    <n v="0"/>
    <n v="0"/>
    <n v="0"/>
    <n v="240.81"/>
    <n v="240.81"/>
    <n v="240.81"/>
    <n v="240.81"/>
    <n v="240.81"/>
    <n v="240.81"/>
    <n v="240.81"/>
    <n v="240.81"/>
    <n v="240.81"/>
    <n v="240.81"/>
    <n v="240.81"/>
    <n v="240.81"/>
    <n v="240.81"/>
    <n v="240.81"/>
  </r>
  <r>
    <x v="2"/>
    <s v="Laundry Room"/>
    <n v="0"/>
    <n v="0"/>
    <n v="0"/>
    <n v="77.644999999999996"/>
    <n v="77.644999999999996"/>
    <n v="77.644999999999996"/>
    <n v="77.644999999999996"/>
    <n v="155.29"/>
    <n v="155.29"/>
    <n v="155.29"/>
    <n v="155.29"/>
    <n v="310.58"/>
    <n v="310.58"/>
    <n v="310.58"/>
    <n v="310.58"/>
    <n v="310.58"/>
    <n v="310.58"/>
  </r>
  <r>
    <x v="2"/>
    <s v="Laundry Room"/>
    <n v="0"/>
    <n v="0"/>
    <n v="0"/>
    <n v="0"/>
    <n v="0"/>
    <n v="0"/>
    <n v="0"/>
    <n v="0"/>
    <n v="0"/>
    <n v="0"/>
    <n v="0"/>
    <n v="0"/>
    <n v="0"/>
    <n v="0"/>
    <n v="58.23"/>
    <n v="58.23"/>
    <n v="58.23"/>
  </r>
  <r>
    <x v="2"/>
    <s v="Laundry Room"/>
    <n v="0"/>
    <n v="0"/>
    <n v="0"/>
    <n v="63.79"/>
    <n v="63.79"/>
    <n v="63.79"/>
    <n v="63.79"/>
    <n v="63.79"/>
    <n v="63.79"/>
    <n v="63.79"/>
    <n v="63.79"/>
    <n v="63.79"/>
    <n v="63.79"/>
    <n v="63.79"/>
    <n v="63.79"/>
    <n v="63.79"/>
    <n v="63.79"/>
  </r>
  <r>
    <x v="2"/>
    <s v="Laundry Room"/>
    <n v="0"/>
    <n v="0"/>
    <n v="0"/>
    <n v="0"/>
    <n v="0"/>
    <n v="0"/>
    <n v="0"/>
    <n v="0"/>
    <n v="0"/>
    <n v="320.83999999999997"/>
    <n v="320.83999999999997"/>
    <n v="320.83999999999997"/>
    <n v="320.83999999999997"/>
    <n v="320.83999999999997"/>
    <n v="320.83999999999997"/>
    <n v="320.83999999999997"/>
    <n v="320.83999999999997"/>
  </r>
  <r>
    <x v="2"/>
    <s v="Laundry Room"/>
    <n v="0"/>
    <n v="0"/>
    <n v="0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</r>
  <r>
    <x v="2"/>
    <s v="Laundry Room"/>
    <n v="0"/>
    <n v="0"/>
    <n v="0"/>
    <n v="364.18"/>
    <n v="364.18"/>
    <n v="364.18"/>
    <n v="364.18"/>
    <n v="364.18"/>
    <n v="364.18"/>
    <n v="364.18"/>
    <n v="364.18"/>
    <n v="364.18"/>
    <n v="364.18"/>
    <n v="364.18"/>
    <n v="364.18"/>
    <n v="364.18"/>
    <n v="364.18"/>
  </r>
  <r>
    <x v="2"/>
    <s v="Laundry Room"/>
    <n v="0"/>
    <n v="0"/>
    <n v="0"/>
    <n v="43.36"/>
    <n v="43.36"/>
    <n v="43.36"/>
    <n v="43.36"/>
    <n v="43.36"/>
    <n v="43.36"/>
    <n v="43.36"/>
    <n v="43.36"/>
    <n v="43.36"/>
    <n v="43.36"/>
    <n v="43.36"/>
    <n v="43.36"/>
    <n v="43.36"/>
    <n v="43.36"/>
  </r>
  <r>
    <x v="2"/>
    <s v="Laundry Room"/>
    <n v="0"/>
    <n v="0"/>
    <n v="0"/>
    <n v="392.42"/>
    <n v="392.42"/>
    <n v="392.42"/>
    <n v="392.42"/>
    <n v="392.42"/>
    <n v="392.42"/>
    <n v="392.42"/>
    <n v="392.42"/>
    <n v="392.42"/>
    <n v="392.42"/>
    <n v="392.42"/>
    <n v="392.42"/>
    <n v="392.42"/>
    <n v="392.42"/>
  </r>
  <r>
    <x v="2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Utility Room"/>
    <n v="0"/>
    <n v="0"/>
    <n v="0"/>
    <n v="0"/>
    <n v="0"/>
    <n v="0"/>
    <n v="0"/>
    <n v="0"/>
    <n v="0"/>
    <n v="0"/>
    <n v="0"/>
    <n v="277.06"/>
    <n v="277.06"/>
    <n v="277.06"/>
    <n v="277.06"/>
    <n v="277.06"/>
    <n v="277.06"/>
  </r>
  <r>
    <x v="2"/>
    <s v="Utility Room"/>
    <n v="0"/>
    <n v="0"/>
    <n v="0"/>
    <n v="0"/>
    <n v="0"/>
    <n v="0"/>
    <n v="0"/>
    <n v="0"/>
    <n v="0"/>
    <n v="0"/>
    <n v="0"/>
    <n v="360.36"/>
    <n v="360.36"/>
    <n v="360.36"/>
    <n v="360.36"/>
    <n v="360.36"/>
    <n v="360.36"/>
  </r>
  <r>
    <x v="2"/>
    <s v="Utility Room"/>
    <n v="0"/>
    <n v="0"/>
    <n v="0"/>
    <n v="0"/>
    <n v="0"/>
    <n v="0"/>
    <n v="0"/>
    <n v="0"/>
    <n v="0"/>
    <n v="0"/>
    <n v="335.72"/>
    <n v="335.72"/>
    <n v="335.72"/>
    <n v="335.72"/>
    <n v="335.72"/>
    <n v="335.72"/>
    <n v="335.72"/>
  </r>
  <r>
    <x v="2"/>
    <s v="Utility 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Utility 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Utilit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Utility 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Utility Room"/>
    <n v="0"/>
    <n v="0"/>
    <n v="0"/>
    <n v="0"/>
    <n v="0"/>
    <n v="0"/>
    <n v="0"/>
    <n v="0"/>
    <n v="0"/>
    <n v="0"/>
    <n v="0"/>
    <n v="54.48"/>
    <n v="54.48"/>
    <n v="54.48"/>
    <n v="54.48"/>
    <n v="54.48"/>
    <n v="54.48"/>
  </r>
  <r>
    <x v="2"/>
    <s v="Utility Room"/>
    <n v="0"/>
    <n v="0"/>
    <n v="0"/>
    <n v="404.36"/>
    <n v="404.36"/>
    <n v="404.36"/>
    <n v="404.36"/>
    <n v="404.36"/>
    <n v="404.36"/>
    <n v="404.36"/>
    <n v="404.36"/>
    <n v="404.36"/>
    <n v="404.36"/>
    <n v="404.36"/>
    <n v="404.36"/>
    <n v="404.36"/>
    <n v="404.36"/>
  </r>
  <r>
    <x v="2"/>
    <s v="Utility Room"/>
    <n v="0"/>
    <n v="0"/>
    <n v="0"/>
    <n v="0"/>
    <n v="0"/>
    <n v="0"/>
    <n v="0"/>
    <n v="0"/>
    <n v="0"/>
    <n v="0"/>
    <n v="0"/>
    <n v="0"/>
    <n v="0"/>
    <n v="0"/>
    <n v="117.94"/>
    <n v="117.94"/>
    <n v="117.94"/>
  </r>
  <r>
    <x v="2"/>
    <s v="Utility Room"/>
    <n v="0"/>
    <n v="0"/>
    <n v="0"/>
    <n v="0"/>
    <n v="229.32"/>
    <n v="229.32"/>
    <n v="229.32"/>
    <n v="229.32"/>
    <n v="229.32"/>
    <n v="229.32"/>
    <n v="229.32"/>
    <n v="229.32"/>
    <n v="229.32"/>
    <n v="229.32"/>
    <n v="229.32"/>
    <n v="229.32"/>
    <n v="229.32"/>
  </r>
  <r>
    <x v="2"/>
    <s v="Utility Room"/>
    <n v="0"/>
    <n v="0"/>
    <n v="0"/>
    <n v="43.99"/>
    <n v="43.99"/>
    <n v="43.99"/>
    <n v="43.99"/>
    <n v="43.99"/>
    <n v="87.98"/>
    <n v="87.98"/>
    <n v="87.98"/>
    <n v="175.96"/>
    <n v="175.96"/>
    <n v="175.96"/>
    <n v="175.96"/>
    <n v="175.96"/>
    <n v="175.96"/>
  </r>
  <r>
    <x v="2"/>
    <s v="Utility Room"/>
    <n v="0"/>
    <n v="0"/>
    <n v="0"/>
    <n v="393.12"/>
    <n v="393.12"/>
    <n v="393.12"/>
    <n v="393.12"/>
    <n v="786.24"/>
    <n v="786.24"/>
    <n v="786.24"/>
    <n v="786.24"/>
    <n v="1572.48"/>
    <n v="1572.48"/>
    <n v="1572.48"/>
    <n v="1572.48"/>
    <n v="1572.48"/>
    <n v="1572.48"/>
  </r>
  <r>
    <x v="2"/>
    <s v="Utility Room"/>
    <n v="0"/>
    <n v="0"/>
    <n v="0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</r>
  <r>
    <x v="2"/>
    <s v="Utility Room"/>
    <n v="0"/>
    <n v="0"/>
    <n v="0"/>
    <n v="295.33"/>
    <n v="295.33"/>
    <n v="295.33"/>
    <n v="295.33"/>
    <n v="295.33"/>
    <n v="295.33"/>
    <n v="295.33"/>
    <n v="295.33"/>
    <n v="295.33"/>
    <n v="295.33"/>
    <n v="295.33"/>
    <n v="295.33"/>
    <n v="295.33"/>
    <n v="295.33"/>
  </r>
  <r>
    <x v="2"/>
    <s v="Utility Room"/>
    <n v="0"/>
    <n v="0"/>
    <n v="0"/>
    <n v="117.2925"/>
    <n v="117.2925"/>
    <n v="117.2925"/>
    <n v="117.2925"/>
    <n v="234.58500000000001"/>
    <n v="234.58500000000001"/>
    <n v="234.58500000000001"/>
    <n v="234.58500000000001"/>
    <n v="469.17"/>
    <n v="469.17"/>
    <n v="469.17"/>
    <n v="469.17"/>
    <n v="469.17"/>
    <n v="469.17"/>
  </r>
  <r>
    <x v="2"/>
    <s v="Utility Room"/>
    <n v="0"/>
    <n v="0"/>
    <n v="0"/>
    <n v="0"/>
    <n v="0"/>
    <n v="0"/>
    <n v="0"/>
    <n v="0"/>
    <n v="0"/>
    <n v="0"/>
    <n v="0"/>
    <n v="0"/>
    <n v="0"/>
    <n v="0"/>
    <n v="87.97"/>
    <n v="87.97"/>
    <n v="87.97"/>
  </r>
  <r>
    <x v="2"/>
    <s v="Utility Room"/>
    <n v="0"/>
    <n v="0"/>
    <n v="0"/>
    <n v="96.35"/>
    <n v="96.35"/>
    <n v="96.35"/>
    <n v="96.35"/>
    <n v="96.35"/>
    <n v="96.35"/>
    <n v="96.35"/>
    <n v="96.35"/>
    <n v="96.35"/>
    <n v="96.35"/>
    <n v="96.35"/>
    <n v="96.35"/>
    <n v="96.35"/>
    <n v="96.35"/>
  </r>
  <r>
    <x v="2"/>
    <s v="Utility Room"/>
    <n v="0"/>
    <n v="0"/>
    <n v="0"/>
    <n v="0"/>
    <n v="0"/>
    <n v="0"/>
    <n v="0"/>
    <n v="0"/>
    <n v="0"/>
    <n v="484.47"/>
    <n v="484.47"/>
    <n v="484.47"/>
    <n v="484.47"/>
    <n v="484.47"/>
    <n v="484.47"/>
    <n v="484.47"/>
    <n v="484.47"/>
  </r>
  <r>
    <x v="2"/>
    <s v="Utility Room"/>
    <n v="0"/>
    <n v="0"/>
    <n v="0"/>
    <n v="199.93"/>
    <n v="199.93"/>
    <n v="199.93"/>
    <n v="199.93"/>
    <n v="199.93"/>
    <n v="199.93"/>
    <n v="199.93"/>
    <n v="199.93"/>
    <n v="199.93"/>
    <n v="199.93"/>
    <n v="199.93"/>
    <n v="199.93"/>
    <n v="199.93"/>
    <n v="199.93"/>
  </r>
  <r>
    <x v="2"/>
    <s v="Utility Room"/>
    <n v="0"/>
    <n v="0"/>
    <n v="0"/>
    <n v="550.1"/>
    <n v="550.1"/>
    <n v="550.1"/>
    <n v="550.1"/>
    <n v="550.1"/>
    <n v="550.1"/>
    <n v="550.1"/>
    <n v="550.1"/>
    <n v="550.1"/>
    <n v="550.1"/>
    <n v="550.1"/>
    <n v="550.1"/>
    <n v="550.1"/>
    <n v="550.1"/>
  </r>
  <r>
    <x v="2"/>
    <s v="Utility Room"/>
    <n v="0"/>
    <n v="0"/>
    <n v="0"/>
    <n v="65.52"/>
    <n v="65.52"/>
    <n v="65.52"/>
    <n v="65.52"/>
    <n v="65.52"/>
    <n v="65.52"/>
    <n v="65.52"/>
    <n v="65.52"/>
    <n v="65.52"/>
    <n v="65.52"/>
    <n v="65.52"/>
    <n v="65.52"/>
    <n v="65.52"/>
    <n v="65.52"/>
  </r>
  <r>
    <x v="2"/>
    <s v="Utility Room"/>
    <n v="0"/>
    <n v="0"/>
    <n v="0"/>
    <n v="592.9"/>
    <n v="592.9"/>
    <n v="592.9"/>
    <n v="592.9"/>
    <n v="592.9"/>
    <n v="592.9"/>
    <n v="592.9"/>
    <n v="592.9"/>
    <n v="592.9"/>
    <n v="592.9"/>
    <n v="592.9"/>
    <n v="592.9"/>
    <n v="592.9"/>
    <n v="592.9"/>
  </r>
  <r>
    <x v="3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Utility Room"/>
    <n v="0"/>
    <n v="0"/>
    <n v="0"/>
    <n v="0"/>
    <n v="0"/>
    <n v="0"/>
    <n v="0"/>
    <n v="0"/>
    <n v="0"/>
    <n v="0"/>
    <n v="0"/>
    <n v="277.06"/>
    <n v="277.06"/>
    <n v="277.06"/>
    <n v="277.06"/>
    <n v="277.06"/>
    <n v="277.06"/>
  </r>
  <r>
    <x v="3"/>
    <s v="Utility Room"/>
    <n v="0"/>
    <n v="0"/>
    <n v="0"/>
    <n v="0"/>
    <n v="0"/>
    <n v="0"/>
    <n v="0"/>
    <n v="0"/>
    <n v="0"/>
    <n v="0"/>
    <n v="0"/>
    <n v="360.36"/>
    <n v="360.36"/>
    <n v="360.36"/>
    <n v="360.36"/>
    <n v="360.36"/>
    <n v="360.36"/>
  </r>
  <r>
    <x v="3"/>
    <s v="Utility Room"/>
    <n v="0"/>
    <n v="0"/>
    <n v="0"/>
    <n v="0"/>
    <n v="0"/>
    <n v="0"/>
    <n v="0"/>
    <n v="0"/>
    <n v="0"/>
    <n v="0"/>
    <n v="335.72"/>
    <n v="335.72"/>
    <n v="335.72"/>
    <n v="335.72"/>
    <n v="335.72"/>
    <n v="335.72"/>
    <n v="335.72"/>
  </r>
  <r>
    <x v="3"/>
    <s v="Utility 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Utility 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Utilit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Utility 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Utility Room"/>
    <n v="0"/>
    <n v="0"/>
    <n v="0"/>
    <n v="0"/>
    <n v="0"/>
    <n v="0"/>
    <n v="0"/>
    <n v="0"/>
    <n v="0"/>
    <n v="0"/>
    <n v="0"/>
    <n v="54.48"/>
    <n v="54.48"/>
    <n v="54.48"/>
    <n v="54.48"/>
    <n v="54.48"/>
    <n v="54.48"/>
  </r>
  <r>
    <x v="3"/>
    <s v="Utility Room"/>
    <n v="0"/>
    <n v="0"/>
    <n v="0"/>
    <n v="404.36"/>
    <n v="404.36"/>
    <n v="404.36"/>
    <n v="404.36"/>
    <n v="404.36"/>
    <n v="404.36"/>
    <n v="404.36"/>
    <n v="404.36"/>
    <n v="404.36"/>
    <n v="404.36"/>
    <n v="404.36"/>
    <n v="404.36"/>
    <n v="404.36"/>
    <n v="404.36"/>
  </r>
  <r>
    <x v="3"/>
    <s v="Utility Room"/>
    <n v="0"/>
    <n v="0"/>
    <n v="0"/>
    <n v="0"/>
    <n v="0"/>
    <n v="0"/>
    <n v="0"/>
    <n v="0"/>
    <n v="0"/>
    <n v="0"/>
    <n v="0"/>
    <n v="0"/>
    <n v="0"/>
    <n v="0"/>
    <n v="117.94"/>
    <n v="117.94"/>
    <n v="117.94"/>
  </r>
  <r>
    <x v="3"/>
    <s v="Utility Room"/>
    <n v="0"/>
    <n v="0"/>
    <n v="0"/>
    <n v="0"/>
    <n v="229.32"/>
    <n v="229.32"/>
    <n v="229.32"/>
    <n v="229.32"/>
    <n v="229.32"/>
    <n v="229.32"/>
    <n v="229.32"/>
    <n v="229.32"/>
    <n v="229.32"/>
    <n v="229.32"/>
    <n v="229.32"/>
    <n v="229.32"/>
    <n v="229.32"/>
  </r>
  <r>
    <x v="3"/>
    <s v="Utility Room"/>
    <n v="0"/>
    <n v="0"/>
    <n v="0"/>
    <n v="43.99"/>
    <n v="43.99"/>
    <n v="43.99"/>
    <n v="43.99"/>
    <n v="43.99"/>
    <n v="87.98"/>
    <n v="87.98"/>
    <n v="87.98"/>
    <n v="175.96"/>
    <n v="175.96"/>
    <n v="175.96"/>
    <n v="175.96"/>
    <n v="175.96"/>
    <n v="175.96"/>
  </r>
  <r>
    <x v="3"/>
    <s v="Utility Room"/>
    <n v="0"/>
    <n v="0"/>
    <n v="0"/>
    <n v="393.12"/>
    <n v="393.12"/>
    <n v="393.12"/>
    <n v="393.12"/>
    <n v="786.24"/>
    <n v="786.24"/>
    <n v="786.24"/>
    <n v="786.24"/>
    <n v="1572.48"/>
    <n v="1572.48"/>
    <n v="1572.48"/>
    <n v="1572.48"/>
    <n v="1572.48"/>
    <n v="1572.48"/>
  </r>
  <r>
    <x v="3"/>
    <s v="Utility Room"/>
    <n v="0"/>
    <n v="0"/>
    <n v="0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</r>
  <r>
    <x v="3"/>
    <s v="Utility Room"/>
    <n v="0"/>
    <n v="0"/>
    <n v="0"/>
    <n v="295.33"/>
    <n v="295.33"/>
    <n v="295.33"/>
    <n v="295.33"/>
    <n v="295.33"/>
    <n v="295.33"/>
    <n v="295.33"/>
    <n v="295.33"/>
    <n v="295.33"/>
    <n v="295.33"/>
    <n v="295.33"/>
    <n v="295.33"/>
    <n v="295.33"/>
    <n v="295.33"/>
  </r>
  <r>
    <x v="3"/>
    <s v="Utility Room"/>
    <n v="0"/>
    <n v="0"/>
    <n v="0"/>
    <n v="117.2925"/>
    <n v="117.2925"/>
    <n v="117.2925"/>
    <n v="117.2925"/>
    <n v="234.58500000000001"/>
    <n v="234.58500000000001"/>
    <n v="234.58500000000001"/>
    <n v="234.58500000000001"/>
    <n v="469.17"/>
    <n v="469.17"/>
    <n v="469.17"/>
    <n v="469.17"/>
    <n v="469.17"/>
    <n v="469.17"/>
  </r>
  <r>
    <x v="3"/>
    <s v="Utility Room"/>
    <n v="0"/>
    <n v="0"/>
    <n v="0"/>
    <n v="0"/>
    <n v="0"/>
    <n v="0"/>
    <n v="0"/>
    <n v="0"/>
    <n v="0"/>
    <n v="0"/>
    <n v="0"/>
    <n v="0"/>
    <n v="0"/>
    <n v="0"/>
    <n v="87.97"/>
    <n v="87.97"/>
    <n v="87.97"/>
  </r>
  <r>
    <x v="3"/>
    <s v="Utility Room"/>
    <n v="0"/>
    <n v="0"/>
    <n v="0"/>
    <n v="96.35"/>
    <n v="96.35"/>
    <n v="96.35"/>
    <n v="96.35"/>
    <n v="96.35"/>
    <n v="96.35"/>
    <n v="96.35"/>
    <n v="96.35"/>
    <n v="96.35"/>
    <n v="96.35"/>
    <n v="96.35"/>
    <n v="96.35"/>
    <n v="96.35"/>
    <n v="96.35"/>
  </r>
  <r>
    <x v="3"/>
    <s v="Utility Room"/>
    <n v="0"/>
    <n v="0"/>
    <n v="0"/>
    <n v="0"/>
    <n v="0"/>
    <n v="0"/>
    <n v="0"/>
    <n v="0"/>
    <n v="0"/>
    <n v="484.47"/>
    <n v="484.47"/>
    <n v="484.47"/>
    <n v="484.47"/>
    <n v="484.47"/>
    <n v="484.47"/>
    <n v="484.47"/>
    <n v="484.47"/>
  </r>
  <r>
    <x v="3"/>
    <s v="Utility Room"/>
    <n v="0"/>
    <n v="0"/>
    <n v="0"/>
    <n v="199.93"/>
    <n v="199.93"/>
    <n v="199.93"/>
    <n v="199.93"/>
    <n v="199.93"/>
    <n v="199.93"/>
    <n v="199.93"/>
    <n v="199.93"/>
    <n v="199.93"/>
    <n v="199.93"/>
    <n v="199.93"/>
    <n v="199.93"/>
    <n v="199.93"/>
    <n v="199.93"/>
  </r>
  <r>
    <x v="3"/>
    <s v="Utility Room"/>
    <n v="0"/>
    <n v="0"/>
    <n v="0"/>
    <n v="550.1"/>
    <n v="550.1"/>
    <n v="550.1"/>
    <n v="550.1"/>
    <n v="550.1"/>
    <n v="550.1"/>
    <n v="550.1"/>
    <n v="550.1"/>
    <n v="550.1"/>
    <n v="550.1"/>
    <n v="550.1"/>
    <n v="550.1"/>
    <n v="550.1"/>
    <n v="550.1"/>
  </r>
  <r>
    <x v="3"/>
    <s v="Utility Room"/>
    <n v="0"/>
    <n v="0"/>
    <n v="0"/>
    <n v="65.52"/>
    <n v="65.52"/>
    <n v="65.52"/>
    <n v="65.52"/>
    <n v="65.52"/>
    <n v="65.52"/>
    <n v="65.52"/>
    <n v="65.52"/>
    <n v="65.52"/>
    <n v="65.52"/>
    <n v="65.52"/>
    <n v="65.52"/>
    <n v="65.52"/>
    <n v="65.52"/>
  </r>
  <r>
    <x v="3"/>
    <s v="Utility Room"/>
    <n v="0"/>
    <n v="0"/>
    <n v="0"/>
    <n v="592.9"/>
    <n v="592.9"/>
    <n v="592.9"/>
    <n v="592.9"/>
    <n v="592.9"/>
    <n v="592.9"/>
    <n v="592.9"/>
    <n v="592.9"/>
    <n v="592.9"/>
    <n v="592.9"/>
    <n v="592.9"/>
    <n v="592.9"/>
    <n v="592.9"/>
    <n v="592.9"/>
  </r>
  <r>
    <x v="3"/>
    <s v="Laundry Room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x v="3"/>
    <s v="Laundry Room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3"/>
    <s v="Laundry Room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Laundry Room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3"/>
    <s v="Laundry Room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3"/>
    <s v="Laundry 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Laundry 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Laundr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Laundr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Laundry 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Laundry Room"/>
    <n v="0"/>
    <n v="0"/>
    <n v="0"/>
    <n v="0"/>
    <n v="0"/>
    <n v="0"/>
    <n v="0"/>
    <n v="0"/>
    <n v="0"/>
    <n v="0"/>
    <n v="0"/>
    <n v="0"/>
    <n v="1369.44"/>
    <n v="1369.44"/>
    <n v="1369.44"/>
    <n v="1369.44"/>
    <n v="1369.44"/>
  </r>
  <r>
    <x v="3"/>
    <s v="Laundry Room"/>
    <n v="0"/>
    <n v="0"/>
    <n v="0"/>
    <n v="0"/>
    <n v="0"/>
    <n v="0"/>
    <n v="0"/>
    <n v="0"/>
    <n v="0"/>
    <n v="0"/>
    <n v="0"/>
    <n v="44.42"/>
    <n v="44.42"/>
    <n v="44.42"/>
    <n v="44.42"/>
    <n v="44.42"/>
    <n v="44.42"/>
  </r>
  <r>
    <x v="3"/>
    <s v="Laundry Room"/>
    <n v="0"/>
    <n v="0"/>
    <n v="0"/>
    <n v="329.71"/>
    <n v="329.71"/>
    <n v="329.71"/>
    <n v="329.71"/>
    <n v="329.71"/>
    <n v="329.71"/>
    <n v="329.71"/>
    <n v="329.71"/>
    <n v="329.71"/>
    <n v="329.71"/>
    <n v="329.71"/>
    <n v="329.71"/>
    <n v="329.71"/>
    <n v="329.71"/>
  </r>
  <r>
    <x v="3"/>
    <s v="Laundry Room"/>
    <n v="0"/>
    <n v="0"/>
    <n v="0"/>
    <n v="0"/>
    <n v="0"/>
    <n v="0"/>
    <n v="0"/>
    <n v="0"/>
    <n v="0"/>
    <n v="0"/>
    <n v="0"/>
    <n v="0"/>
    <n v="0"/>
    <n v="0"/>
    <n v="96.16"/>
    <n v="96.16"/>
    <n v="96.16"/>
  </r>
  <r>
    <x v="3"/>
    <s v="Laundry Room"/>
    <n v="0"/>
    <n v="0"/>
    <n v="0"/>
    <n v="0"/>
    <n v="186.98"/>
    <n v="186.98"/>
    <n v="186.98"/>
    <n v="186.98"/>
    <n v="186.98"/>
    <n v="186.98"/>
    <n v="186.98"/>
    <n v="186.98"/>
    <n v="186.98"/>
    <n v="186.98"/>
    <n v="186.98"/>
    <n v="186.98"/>
    <n v="186.98"/>
  </r>
  <r>
    <x v="3"/>
    <s v="Laundry Room"/>
    <n v="0"/>
    <n v="0"/>
    <n v="0"/>
    <n v="35.872500000000002"/>
    <n v="35.872500000000002"/>
    <n v="35.872500000000002"/>
    <n v="35.872500000000002"/>
    <n v="35.872500000000002"/>
    <n v="71.745000000000005"/>
    <n v="71.745000000000005"/>
    <n v="71.745000000000005"/>
    <n v="143.49"/>
    <n v="143.49"/>
    <n v="143.49"/>
    <n v="143.49"/>
    <n v="143.49"/>
    <n v="143.49"/>
  </r>
  <r>
    <x v="3"/>
    <s v="Laundry Room"/>
    <n v="0"/>
    <n v="0"/>
    <n v="0"/>
    <n v="320.54500000000002"/>
    <n v="320.54500000000002"/>
    <n v="320.54500000000002"/>
    <n v="320.54500000000002"/>
    <n v="641.09"/>
    <n v="641.09"/>
    <n v="641.09"/>
    <n v="641.09"/>
    <n v="1282.18"/>
    <n v="1282.18"/>
    <n v="1282.18"/>
    <n v="1282.18"/>
    <n v="1282.18"/>
    <n v="1282.18"/>
  </r>
  <r>
    <x v="3"/>
    <s v="Laundry Room"/>
    <n v="0"/>
    <n v="0"/>
    <n v="0"/>
    <n v="64.03"/>
    <n v="64.03"/>
    <n v="64.03"/>
    <n v="64.03"/>
    <n v="64.03"/>
    <n v="64.03"/>
    <n v="64.03"/>
    <n v="64.03"/>
    <n v="64.03"/>
    <n v="64.03"/>
    <n v="64.03"/>
    <n v="64.03"/>
    <n v="64.03"/>
    <n v="64.03"/>
  </r>
  <r>
    <x v="3"/>
    <s v="Laundry Room"/>
    <n v="0"/>
    <n v="0"/>
    <n v="0"/>
    <n v="240.81"/>
    <n v="240.81"/>
    <n v="240.81"/>
    <n v="240.81"/>
    <n v="240.81"/>
    <n v="240.81"/>
    <n v="240.81"/>
    <n v="240.81"/>
    <n v="240.81"/>
    <n v="240.81"/>
    <n v="240.81"/>
    <n v="240.81"/>
    <n v="240.81"/>
    <n v="240.81"/>
  </r>
  <r>
    <x v="3"/>
    <s v="Laundry Room"/>
    <n v="0"/>
    <n v="0"/>
    <n v="0"/>
    <n v="77.644999999999996"/>
    <n v="77.644999999999996"/>
    <n v="77.644999999999996"/>
    <n v="77.644999999999996"/>
    <n v="155.29"/>
    <n v="155.29"/>
    <n v="155.29"/>
    <n v="155.29"/>
    <n v="310.58"/>
    <n v="310.58"/>
    <n v="310.58"/>
    <n v="310.58"/>
    <n v="310.58"/>
    <n v="310.58"/>
  </r>
  <r>
    <x v="3"/>
    <s v="Laundry Room"/>
    <n v="0"/>
    <n v="0"/>
    <n v="0"/>
    <n v="0"/>
    <n v="0"/>
    <n v="0"/>
    <n v="0"/>
    <n v="0"/>
    <n v="0"/>
    <n v="0"/>
    <n v="0"/>
    <n v="0"/>
    <n v="0"/>
    <n v="0"/>
    <n v="58.23"/>
    <n v="58.23"/>
    <n v="58.23"/>
  </r>
  <r>
    <x v="3"/>
    <s v="Laundry Room"/>
    <n v="0"/>
    <n v="0"/>
    <n v="0"/>
    <n v="63.79"/>
    <n v="63.79"/>
    <n v="63.79"/>
    <n v="63.79"/>
    <n v="63.79"/>
    <n v="63.79"/>
    <n v="63.79"/>
    <n v="63.79"/>
    <n v="63.79"/>
    <n v="63.79"/>
    <n v="63.79"/>
    <n v="63.79"/>
    <n v="63.79"/>
    <n v="63.79"/>
  </r>
  <r>
    <x v="3"/>
    <s v="Laundry Room"/>
    <n v="0"/>
    <n v="0"/>
    <n v="0"/>
    <n v="0"/>
    <n v="0"/>
    <n v="0"/>
    <n v="0"/>
    <n v="0"/>
    <n v="0"/>
    <n v="320.83999999999997"/>
    <n v="320.83999999999997"/>
    <n v="320.83999999999997"/>
    <n v="320.83999999999997"/>
    <n v="320.83999999999997"/>
    <n v="320.83999999999997"/>
    <n v="320.83999999999997"/>
    <n v="320.83999999999997"/>
  </r>
  <r>
    <x v="3"/>
    <s v="Laundry Room"/>
    <n v="0"/>
    <n v="0"/>
    <n v="0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  <n v="132.36000000000001"/>
  </r>
  <r>
    <x v="3"/>
    <s v="Laundry Room"/>
    <n v="0"/>
    <n v="0"/>
    <n v="0"/>
    <n v="364.18"/>
    <n v="364.18"/>
    <n v="364.18"/>
    <n v="364.18"/>
    <n v="364.18"/>
    <n v="364.18"/>
    <n v="364.18"/>
    <n v="364.18"/>
    <n v="364.18"/>
    <n v="364.18"/>
    <n v="364.18"/>
    <n v="364.18"/>
    <n v="364.18"/>
    <n v="364.18"/>
  </r>
  <r>
    <x v="3"/>
    <s v="Laundry Room"/>
    <n v="0"/>
    <n v="0"/>
    <n v="0"/>
    <n v="43.36"/>
    <n v="43.36"/>
    <n v="43.36"/>
    <n v="43.36"/>
    <n v="43.36"/>
    <n v="43.36"/>
    <n v="43.36"/>
    <n v="43.36"/>
    <n v="43.36"/>
    <n v="43.36"/>
    <n v="43.36"/>
    <n v="43.36"/>
    <n v="43.36"/>
    <n v="43.36"/>
  </r>
  <r>
    <x v="3"/>
    <s v="Laundry Room"/>
    <n v="0"/>
    <n v="0"/>
    <n v="0"/>
    <n v="392.42"/>
    <n v="392.42"/>
    <n v="392.42"/>
    <n v="392.42"/>
    <n v="392.42"/>
    <n v="392.42"/>
    <n v="392.42"/>
    <n v="392.42"/>
    <n v="392.42"/>
    <n v="392.42"/>
    <n v="392.42"/>
    <n v="392.42"/>
    <n v="392.42"/>
    <n v="392.42"/>
  </r>
  <r>
    <x v="2"/>
    <s v="Walk-In Closet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Walk-In Closet"/>
    <n v="0"/>
    <n v="0"/>
    <n v="0"/>
    <n v="0"/>
    <n v="0"/>
    <n v="0"/>
    <n v="0"/>
    <n v="0"/>
    <n v="0"/>
    <n v="0"/>
    <n v="0"/>
    <n v="277.06"/>
    <n v="277.06"/>
    <n v="277.06"/>
    <n v="277.06"/>
    <n v="277.06"/>
    <n v="277.06"/>
  </r>
  <r>
    <x v="2"/>
    <s v="Walk-In Closet"/>
    <n v="0"/>
    <n v="0"/>
    <n v="0"/>
    <n v="0"/>
    <n v="0"/>
    <n v="0"/>
    <n v="0"/>
    <n v="0"/>
    <n v="0"/>
    <n v="0"/>
    <n v="0"/>
    <n v="360.36"/>
    <n v="360.36"/>
    <n v="360.36"/>
    <n v="360.36"/>
    <n v="360.36"/>
    <n v="360.36"/>
  </r>
  <r>
    <x v="2"/>
    <s v="Walk-In Closet"/>
    <n v="0"/>
    <n v="0"/>
    <n v="0"/>
    <n v="0"/>
    <n v="0"/>
    <n v="0"/>
    <n v="0"/>
    <n v="0"/>
    <n v="0"/>
    <n v="0"/>
    <n v="335.72"/>
    <n v="335.72"/>
    <n v="335.72"/>
    <n v="335.72"/>
    <n v="335.72"/>
    <n v="335.72"/>
    <n v="335.72"/>
  </r>
  <r>
    <x v="2"/>
    <s v="Walk-In Closet"/>
    <n v="0"/>
    <n v="0"/>
    <n v="0"/>
    <n v="0"/>
    <n v="0"/>
    <n v="0"/>
    <n v="0"/>
    <n v="0"/>
    <n v="0"/>
    <n v="0"/>
    <n v="0"/>
    <n v="0"/>
    <n v="0"/>
    <n v="148.19999999999999"/>
    <n v="148.19999999999999"/>
    <n v="148.19999999999999"/>
    <n v="148.19999999999999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Walk-In Closet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Walk-In Close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Walk-In Close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Walk-In Closet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Walk-In Closet"/>
    <n v="0"/>
    <n v="0"/>
    <n v="0"/>
    <n v="0"/>
    <n v="0"/>
    <n v="0"/>
    <n v="0"/>
    <n v="0"/>
    <n v="0"/>
    <n v="0"/>
    <n v="0"/>
    <n v="54.48"/>
    <n v="54.48"/>
    <n v="54.48"/>
    <n v="54.48"/>
    <n v="54.48"/>
    <n v="54.48"/>
  </r>
  <r>
    <x v="2"/>
    <s v="Walk-In Closet"/>
    <n v="0"/>
    <n v="0"/>
    <n v="0"/>
    <n v="404.36"/>
    <n v="404.36"/>
    <n v="404.36"/>
    <n v="404.36"/>
    <n v="404.36"/>
    <n v="404.36"/>
    <n v="404.36"/>
    <n v="404.36"/>
    <n v="404.36"/>
    <n v="404.36"/>
    <n v="404.36"/>
    <n v="404.36"/>
    <n v="404.36"/>
    <n v="404.36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117.94"/>
    <n v="117.94"/>
    <n v="117.94"/>
  </r>
  <r>
    <x v="2"/>
    <s v="Walk-In Closet"/>
    <n v="0"/>
    <n v="0"/>
    <n v="0"/>
    <n v="0"/>
    <n v="229.32"/>
    <n v="229.32"/>
    <n v="229.32"/>
    <n v="229.32"/>
    <n v="229.32"/>
    <n v="229.32"/>
    <n v="229.32"/>
    <n v="229.32"/>
    <n v="229.32"/>
    <n v="229.32"/>
    <n v="229.32"/>
    <n v="229.32"/>
    <n v="229.32"/>
  </r>
  <r>
    <x v="2"/>
    <s v="Walk-In Closet"/>
    <n v="0"/>
    <n v="0"/>
    <n v="0"/>
    <n v="43.99"/>
    <n v="43.99"/>
    <n v="43.99"/>
    <n v="43.99"/>
    <n v="43.99"/>
    <n v="87.98"/>
    <n v="87.98"/>
    <n v="87.98"/>
    <n v="175.96"/>
    <n v="175.96"/>
    <n v="175.96"/>
    <n v="175.96"/>
    <n v="175.96"/>
    <n v="175.96"/>
  </r>
  <r>
    <x v="2"/>
    <s v="Walk-In Closet"/>
    <n v="0"/>
    <n v="0"/>
    <n v="0"/>
    <n v="393.12"/>
    <n v="393.12"/>
    <n v="393.12"/>
    <n v="393.12"/>
    <n v="786.24"/>
    <n v="786.24"/>
    <n v="786.24"/>
    <n v="786.24"/>
    <n v="1572.48"/>
    <n v="1572.48"/>
    <n v="1572.48"/>
    <n v="1572.48"/>
    <n v="1572.48"/>
    <n v="1572.48"/>
  </r>
  <r>
    <x v="2"/>
    <s v="Walk-In Closet"/>
    <n v="0"/>
    <n v="0"/>
    <n v="0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  <n v="78.510000000000005"/>
  </r>
  <r>
    <x v="2"/>
    <s v="Walk-In Closet"/>
    <n v="0"/>
    <n v="0"/>
    <n v="0"/>
    <n v="295.33"/>
    <n v="295.33"/>
    <n v="295.33"/>
    <n v="295.33"/>
    <n v="295.33"/>
    <n v="295.33"/>
    <n v="295.33"/>
    <n v="295.33"/>
    <n v="295.33"/>
    <n v="295.33"/>
    <n v="295.33"/>
    <n v="295.33"/>
    <n v="295.33"/>
    <n v="295.33"/>
  </r>
  <r>
    <x v="2"/>
    <s v="Walk-In Closet"/>
    <n v="0"/>
    <n v="0"/>
    <n v="0"/>
    <n v="117.2925"/>
    <n v="117.2925"/>
    <n v="117.2925"/>
    <n v="117.2925"/>
    <n v="234.58500000000001"/>
    <n v="234.58500000000001"/>
    <n v="234.58500000000001"/>
    <n v="234.58500000000001"/>
    <n v="469.17"/>
    <n v="469.17"/>
    <n v="469.17"/>
    <n v="469.17"/>
    <n v="469.17"/>
    <n v="469.17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87.97"/>
    <n v="87.97"/>
    <n v="87.97"/>
  </r>
  <r>
    <x v="2"/>
    <s v="Walk-In Closet"/>
    <n v="0"/>
    <n v="0"/>
    <n v="0"/>
    <n v="96.35"/>
    <n v="96.35"/>
    <n v="96.35"/>
    <n v="96.35"/>
    <n v="96.35"/>
    <n v="96.35"/>
    <n v="96.35"/>
    <n v="96.35"/>
    <n v="96.35"/>
    <n v="96.35"/>
    <n v="96.35"/>
    <n v="96.35"/>
    <n v="96.35"/>
    <n v="96.35"/>
  </r>
  <r>
    <x v="2"/>
    <s v="Walk-In Closet"/>
    <n v="0"/>
    <n v="0"/>
    <n v="0"/>
    <n v="0"/>
    <n v="0"/>
    <n v="0"/>
    <n v="0"/>
    <n v="0"/>
    <n v="0"/>
    <n v="484.47"/>
    <n v="484.47"/>
    <n v="484.47"/>
    <n v="484.47"/>
    <n v="484.47"/>
    <n v="484.47"/>
    <n v="484.47"/>
    <n v="484.47"/>
  </r>
  <r>
    <x v="2"/>
    <s v="Walk-In Closet"/>
    <n v="0"/>
    <n v="0"/>
    <n v="0"/>
    <n v="199.93"/>
    <n v="199.93"/>
    <n v="199.93"/>
    <n v="199.93"/>
    <n v="199.93"/>
    <n v="199.93"/>
    <n v="199.93"/>
    <n v="199.93"/>
    <n v="199.93"/>
    <n v="199.93"/>
    <n v="199.93"/>
    <n v="199.93"/>
    <n v="199.93"/>
    <n v="199.93"/>
  </r>
  <r>
    <x v="2"/>
    <s v="Walk-In Closet"/>
    <n v="0"/>
    <n v="0"/>
    <n v="0"/>
    <n v="550.1"/>
    <n v="550.1"/>
    <n v="550.1"/>
    <n v="550.1"/>
    <n v="550.1"/>
    <n v="550.1"/>
    <n v="550.1"/>
    <n v="550.1"/>
    <n v="550.1"/>
    <n v="550.1"/>
    <n v="550.1"/>
    <n v="550.1"/>
    <n v="550.1"/>
    <n v="550.1"/>
  </r>
  <r>
    <x v="2"/>
    <s v="Walk-In Closet"/>
    <n v="0"/>
    <n v="0"/>
    <n v="0"/>
    <n v="65.52"/>
    <n v="65.52"/>
    <n v="65.52"/>
    <n v="65.52"/>
    <n v="65.52"/>
    <n v="65.52"/>
    <n v="65.52"/>
    <n v="65.52"/>
    <n v="65.52"/>
    <n v="65.52"/>
    <n v="65.52"/>
    <n v="65.52"/>
    <n v="65.52"/>
    <n v="65.52"/>
  </r>
  <r>
    <x v="2"/>
    <s v="Walk-In Closet"/>
    <n v="0"/>
    <n v="0"/>
    <n v="0"/>
    <n v="592.9"/>
    <n v="592.9"/>
    <n v="592.9"/>
    <n v="592.9"/>
    <n v="592.9"/>
    <n v="592.9"/>
    <n v="592.9"/>
    <n v="592.9"/>
    <n v="592.9"/>
    <n v="592.9"/>
    <n v="592.9"/>
    <n v="592.9"/>
    <n v="592.9"/>
    <n v="592.9"/>
  </r>
  <r>
    <x v="2"/>
    <s v="Bedroom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2"/>
    <s v="Bedroom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2"/>
    <s v="Bedroom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x v="2"/>
    <s v="Bedroom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x v="2"/>
    <s v="Bedroom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x v="2"/>
    <s v="Bedroom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2"/>
    <s v="Bed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Bed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Bedroom"/>
    <n v="0"/>
    <n v="0"/>
    <n v="0"/>
    <n v="0"/>
    <n v="0"/>
    <n v="0"/>
    <n v="0"/>
    <n v="0"/>
    <n v="0"/>
    <n v="0"/>
    <n v="0"/>
    <n v="64.349999999999994"/>
    <n v="64.349999999999994"/>
    <n v="64.349999999999994"/>
    <n v="64.349999999999994"/>
    <n v="64.349999999999994"/>
    <n v="64.349999999999994"/>
  </r>
  <r>
    <x v="2"/>
    <s v="Bedroom"/>
    <n v="0"/>
    <n v="0"/>
    <n v="0"/>
    <n v="477.45"/>
    <n v="477.45"/>
    <n v="477.45"/>
    <n v="477.45"/>
    <n v="477.45"/>
    <n v="477.45"/>
    <n v="477.45"/>
    <n v="477.45"/>
    <n v="477.45"/>
    <n v="477.45"/>
    <n v="477.45"/>
    <n v="477.45"/>
    <n v="477.45"/>
    <n v="477.45"/>
  </r>
  <r>
    <x v="2"/>
    <s v="Bedroom"/>
    <n v="0"/>
    <n v="0"/>
    <n v="0"/>
    <n v="0"/>
    <n v="0"/>
    <n v="0"/>
    <n v="0"/>
    <n v="0"/>
    <n v="0"/>
    <n v="0"/>
    <n v="0"/>
    <n v="0"/>
    <n v="0"/>
    <n v="0"/>
    <n v="139.27000000000001"/>
    <n v="139.27000000000001"/>
    <n v="139.27000000000001"/>
  </r>
  <r>
    <x v="2"/>
    <s v="Bedroom"/>
    <n v="0"/>
    <n v="0"/>
    <n v="0"/>
    <n v="0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</r>
  <r>
    <x v="2"/>
    <s v="Bedroom"/>
    <n v="0"/>
    <n v="0"/>
    <n v="0"/>
    <n v="51.947499999999998"/>
    <n v="51.947499999999998"/>
    <n v="51.947499999999998"/>
    <n v="51.947499999999998"/>
    <n v="51.947499999999998"/>
    <n v="103.895"/>
    <n v="103.895"/>
    <n v="103.895"/>
    <n v="207.79"/>
    <n v="207.79"/>
    <n v="207.79"/>
    <n v="207.79"/>
    <n v="207.79"/>
    <n v="207.79"/>
  </r>
  <r>
    <x v="2"/>
    <s v="Bedroom"/>
    <n v="0"/>
    <n v="0"/>
    <n v="0"/>
    <n v="464.185"/>
    <n v="464.185"/>
    <n v="464.185"/>
    <n v="464.185"/>
    <n v="928.37"/>
    <n v="928.37"/>
    <n v="928.37"/>
    <n v="928.37"/>
    <n v="1856.74"/>
    <n v="1856.74"/>
    <n v="1856.74"/>
    <n v="1856.74"/>
    <n v="1856.74"/>
    <n v="1856.74"/>
  </r>
  <r>
    <x v="2"/>
    <s v="Bedroom"/>
    <n v="0"/>
    <n v="0"/>
    <n v="0"/>
    <n v="0"/>
    <n v="0"/>
    <n v="0"/>
    <n v="0"/>
    <n v="0"/>
    <n v="0"/>
    <n v="0"/>
    <n v="0"/>
    <n v="63.86"/>
    <n v="63.86"/>
    <n v="63.86"/>
    <n v="63.86"/>
    <n v="63.86"/>
    <n v="63.86"/>
  </r>
  <r>
    <x v="2"/>
    <s v="Bedroom"/>
    <n v="0"/>
    <n v="0"/>
    <n v="0"/>
    <n v="0"/>
    <n v="0"/>
    <n v="0"/>
    <n v="0"/>
    <n v="0"/>
    <n v="0"/>
    <n v="0"/>
    <n v="0"/>
    <n v="492.46"/>
    <n v="492.46"/>
    <n v="492.46"/>
    <n v="492.46"/>
    <n v="492.46"/>
    <n v="492.46"/>
  </r>
  <r>
    <x v="2"/>
    <s v="Bedroom"/>
    <n v="0"/>
    <n v="0"/>
    <n v="0"/>
    <n v="92.73"/>
    <n v="92.73"/>
    <n v="92.73"/>
    <n v="92.73"/>
    <n v="92.73"/>
    <n v="92.73"/>
    <n v="92.73"/>
    <n v="92.73"/>
    <n v="92.73"/>
    <n v="92.73"/>
    <n v="92.73"/>
    <n v="92.73"/>
    <n v="92.73"/>
    <n v="92.73"/>
  </r>
  <r>
    <x v="2"/>
    <s v="Bedroom"/>
    <n v="0"/>
    <n v="0"/>
    <n v="0"/>
    <n v="348.79"/>
    <n v="348.79"/>
    <n v="348.79"/>
    <n v="348.79"/>
    <n v="348.79"/>
    <n v="348.79"/>
    <n v="348.79"/>
    <n v="348.79"/>
    <n v="348.79"/>
    <n v="348.79"/>
    <n v="348.79"/>
    <n v="348.79"/>
    <n v="348.79"/>
    <n v="348.79"/>
  </r>
  <r>
    <x v="2"/>
    <s v="Bedroom"/>
    <n v="0"/>
    <n v="0"/>
    <n v="0"/>
    <n v="231.91"/>
    <n v="231.91"/>
    <n v="231.91"/>
    <n v="231.91"/>
    <n v="463.82"/>
    <n v="463.82"/>
    <n v="463.82"/>
    <n v="463.82"/>
    <n v="927.64"/>
    <n v="927.64"/>
    <n v="927.64"/>
    <n v="927.64"/>
    <n v="927.64"/>
    <n v="927.64"/>
  </r>
  <r>
    <x v="2"/>
    <s v="Bedroom"/>
    <n v="0"/>
    <n v="0"/>
    <n v="0"/>
    <n v="0"/>
    <n v="0"/>
    <n v="0"/>
    <n v="0"/>
    <n v="0"/>
    <n v="0"/>
    <n v="0"/>
    <n v="0"/>
    <n v="0"/>
    <n v="0"/>
    <n v="0"/>
    <n v="173.92"/>
    <n v="173.92"/>
    <n v="173.92"/>
  </r>
  <r>
    <x v="2"/>
    <s v="Bedroom"/>
    <n v="0"/>
    <n v="0"/>
    <n v="0"/>
    <n v="190.51"/>
    <n v="190.51"/>
    <n v="190.51"/>
    <n v="190.51"/>
    <n v="190.51"/>
    <n v="190.51"/>
    <n v="190.51"/>
    <n v="190.51"/>
    <n v="190.51"/>
    <n v="190.51"/>
    <n v="190.51"/>
    <n v="190.51"/>
    <n v="190.51"/>
    <n v="190.51"/>
  </r>
  <r>
    <x v="2"/>
    <s v="Bedroom"/>
    <n v="0"/>
    <n v="0"/>
    <n v="0"/>
    <n v="0"/>
    <n v="0"/>
    <n v="0"/>
    <n v="0"/>
    <n v="0"/>
    <n v="0"/>
    <n v="677.49"/>
    <n v="677.49"/>
    <n v="677.49"/>
    <n v="677.49"/>
    <n v="677.49"/>
    <n v="677.49"/>
    <n v="677.49"/>
    <n v="677.49"/>
  </r>
  <r>
    <x v="2"/>
    <s v="Bedroom"/>
    <n v="0"/>
    <n v="0"/>
    <n v="0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</r>
  <r>
    <x v="2"/>
    <s v="Bedroom"/>
    <n v="0"/>
    <n v="0"/>
    <n v="0"/>
    <n v="769.24"/>
    <n v="769.24"/>
    <n v="769.24"/>
    <n v="769.24"/>
    <n v="769.24"/>
    <n v="769.24"/>
    <n v="769.24"/>
    <n v="769.24"/>
    <n v="769.24"/>
    <n v="769.24"/>
    <n v="769.24"/>
    <n v="769.24"/>
    <n v="769.24"/>
    <n v="769.24"/>
  </r>
  <r>
    <x v="2"/>
    <s v="Bedroom"/>
    <n v="0"/>
    <n v="0"/>
    <n v="0"/>
    <n v="91.63"/>
    <n v="91.63"/>
    <n v="91.63"/>
    <n v="91.63"/>
    <n v="91.63"/>
    <n v="91.63"/>
    <n v="91.63"/>
    <n v="91.63"/>
    <n v="91.63"/>
    <n v="91.63"/>
    <n v="91.63"/>
    <n v="91.63"/>
    <n v="91.63"/>
    <n v="91.63"/>
  </r>
  <r>
    <x v="2"/>
    <s v="Bedroom"/>
    <n v="0"/>
    <n v="0"/>
    <n v="0"/>
    <n v="829.05"/>
    <n v="829.05"/>
    <n v="829.05"/>
    <n v="829.05"/>
    <n v="829.05"/>
    <n v="829.05"/>
    <n v="829.05"/>
    <n v="829.05"/>
    <n v="829.05"/>
    <n v="829.05"/>
    <n v="829.05"/>
    <n v="829.05"/>
    <n v="829.05"/>
    <n v="829.05"/>
  </r>
  <r>
    <x v="2"/>
    <s v="Kitchen"/>
    <n v="0"/>
    <n v="0"/>
    <n v="0"/>
    <n v="0"/>
    <n v="0"/>
    <n v="0"/>
    <n v="0"/>
    <n v="0"/>
    <n v="0"/>
    <n v="0"/>
    <n v="0"/>
    <n v="0"/>
    <n v="1011.84"/>
    <n v="1011.84"/>
    <n v="1011.84"/>
    <n v="1011.84"/>
    <n v="1011.84"/>
  </r>
  <r>
    <x v="2"/>
    <s v="Kitchen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Kitchen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Kitchen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Kitchen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Kitchen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2"/>
    <s v="Kitchen"/>
    <n v="0"/>
    <n v="0"/>
    <n v="0"/>
    <n v="0"/>
    <n v="0"/>
    <n v="0"/>
    <n v="0"/>
    <n v="0"/>
    <n v="0"/>
    <n v="0"/>
    <n v="0"/>
    <n v="692.32"/>
    <n v="692.32"/>
    <n v="692.32"/>
    <n v="692.32"/>
    <n v="692.32"/>
    <n v="692.32"/>
  </r>
  <r>
    <x v="2"/>
    <s v="Kitchen"/>
    <n v="0"/>
    <n v="0"/>
    <n v="0"/>
    <n v="0"/>
    <n v="0"/>
    <n v="0"/>
    <n v="0"/>
    <n v="0"/>
    <n v="0"/>
    <n v="0"/>
    <n v="0"/>
    <n v="951.24"/>
    <n v="951.24"/>
    <n v="951.24"/>
    <n v="951.24"/>
    <n v="951.24"/>
    <n v="951.24"/>
  </r>
  <r>
    <x v="2"/>
    <s v="Kitchen"/>
    <n v="0"/>
    <n v="0"/>
    <n v="0"/>
    <n v="0"/>
    <n v="0"/>
    <n v="0"/>
    <n v="0"/>
    <n v="0"/>
    <n v="0"/>
    <n v="0"/>
    <n v="0"/>
    <n v="0"/>
    <n v="0"/>
    <n v="0"/>
    <n v="169.46"/>
    <n v="169.46"/>
    <n v="169.46"/>
  </r>
  <r>
    <x v="2"/>
    <s v="Kitchen"/>
    <n v="0"/>
    <n v="0"/>
    <n v="0"/>
    <n v="0"/>
    <n v="3893.26"/>
    <n v="3893.26"/>
    <n v="3893.26"/>
    <n v="3893.26"/>
    <n v="3893.26"/>
    <n v="3893.26"/>
    <n v="3893.26"/>
    <n v="3893.26"/>
    <n v="3893.26"/>
    <n v="3893.26"/>
    <n v="3893.26"/>
    <n v="3893.26"/>
    <n v="3893.26"/>
  </r>
  <r>
    <x v="2"/>
    <s v="Kitchen"/>
    <n v="0"/>
    <n v="0"/>
    <n v="0"/>
    <n v="0"/>
    <n v="3891.46"/>
    <n v="3891.46"/>
    <n v="3891.46"/>
    <n v="3891.46"/>
    <n v="3891.46"/>
    <n v="3891.46"/>
    <n v="3891.46"/>
    <n v="3891.46"/>
    <n v="3891.46"/>
    <n v="3891.46"/>
    <n v="3891.46"/>
    <n v="3891.46"/>
    <n v="3891.46"/>
  </r>
  <r>
    <x v="2"/>
    <s v="Kitchen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2"/>
    <s v="Kitchen"/>
    <n v="0"/>
    <n v="0"/>
    <n v="0"/>
    <n v="0"/>
    <n v="0"/>
    <n v="0"/>
    <n v="0"/>
    <n v="0"/>
    <n v="0"/>
    <n v="0"/>
    <n v="0"/>
    <n v="692.32"/>
    <n v="692.32"/>
    <n v="692.32"/>
    <n v="692.32"/>
    <n v="692.32"/>
    <n v="692.32"/>
  </r>
  <r>
    <x v="2"/>
    <s v="Kitchen"/>
    <n v="0"/>
    <n v="0"/>
    <n v="0"/>
    <n v="0"/>
    <n v="0"/>
    <n v="0"/>
    <n v="0"/>
    <n v="0"/>
    <n v="0"/>
    <n v="0"/>
    <n v="0"/>
    <n v="951.24"/>
    <n v="951.24"/>
    <n v="951.24"/>
    <n v="951.24"/>
    <n v="951.24"/>
    <n v="951.24"/>
  </r>
  <r>
    <x v="2"/>
    <s v="Kitchen"/>
    <n v="0"/>
    <n v="0"/>
    <n v="0"/>
    <n v="0"/>
    <n v="0"/>
    <n v="0"/>
    <n v="0"/>
    <n v="0"/>
    <n v="0"/>
    <n v="167.68"/>
    <n v="167.68"/>
    <n v="167.68"/>
    <n v="167.68"/>
    <n v="167.68"/>
    <n v="167.68"/>
    <n v="167.68"/>
    <n v="167.68"/>
  </r>
  <r>
    <x v="2"/>
    <s v="Kitchen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x v="2"/>
    <s v="Kitchen"/>
    <n v="0"/>
    <n v="0"/>
    <n v="0"/>
    <n v="0"/>
    <n v="0"/>
    <n v="0"/>
    <n v="0"/>
    <n v="0"/>
    <n v="0"/>
    <n v="0"/>
    <n v="390.46"/>
    <n v="390.46"/>
    <n v="390.46"/>
    <n v="390.46"/>
    <n v="390.46"/>
    <n v="390.46"/>
    <n v="390.46"/>
  </r>
  <r>
    <x v="2"/>
    <s v="Kitchen"/>
    <n v="0"/>
    <n v="0"/>
    <n v="0"/>
    <n v="0"/>
    <n v="0"/>
    <n v="0"/>
    <n v="0"/>
    <n v="0"/>
    <n v="0"/>
    <n v="0"/>
    <n v="0"/>
    <n v="0"/>
    <n v="5469.5"/>
    <n v="5469.5"/>
    <n v="5469.5"/>
    <n v="5469.5"/>
    <n v="5469.5"/>
  </r>
  <r>
    <x v="2"/>
    <s v="Kitchen"/>
    <n v="0"/>
    <n v="0"/>
    <n v="0"/>
    <n v="0"/>
    <n v="7352.88"/>
    <n v="7352.88"/>
    <n v="7352.88"/>
    <n v="7352.88"/>
    <n v="7352.88"/>
    <n v="7352.88"/>
    <n v="7352.88"/>
    <n v="7352.88"/>
    <n v="7352.88"/>
    <n v="7352.88"/>
    <n v="7352.88"/>
    <n v="7352.88"/>
    <n v="7352.88"/>
  </r>
  <r>
    <x v="2"/>
    <s v="Kitchen"/>
    <n v="0"/>
    <n v="0"/>
    <n v="0"/>
    <n v="0"/>
    <n v="0"/>
    <n v="0"/>
    <n v="0"/>
    <n v="0"/>
    <n v="0"/>
    <n v="0"/>
    <n v="0"/>
    <n v="0"/>
    <n v="0"/>
    <n v="1099.21"/>
    <n v="1099.21"/>
    <n v="1099.21"/>
    <n v="1099.21"/>
  </r>
  <r>
    <x v="2"/>
    <s v="Kitchen"/>
    <n v="0"/>
    <n v="0"/>
    <n v="0"/>
    <n v="0"/>
    <n v="0"/>
    <n v="0"/>
    <n v="0"/>
    <n v="0"/>
    <n v="0"/>
    <n v="0"/>
    <n v="4655.5200000000004"/>
    <n v="4655.5200000000004"/>
    <n v="4655.5200000000004"/>
    <n v="4655.5200000000004"/>
    <n v="4655.5200000000004"/>
    <n v="4655.5200000000004"/>
    <n v="4655.5200000000004"/>
  </r>
  <r>
    <x v="2"/>
    <s v="Kitchen"/>
    <n v="0"/>
    <n v="0"/>
    <n v="0"/>
    <n v="0"/>
    <n v="0"/>
    <n v="0"/>
    <n v="0"/>
    <n v="0"/>
    <n v="0"/>
    <n v="0"/>
    <n v="1862.2"/>
    <n v="1862.2"/>
    <n v="1862.2"/>
    <n v="1862.2"/>
    <n v="1862.2"/>
    <n v="1862.2"/>
    <n v="1862.2"/>
  </r>
  <r>
    <x v="2"/>
    <s v="Kitchen"/>
    <n v="0"/>
    <n v="0"/>
    <n v="0"/>
    <n v="0"/>
    <n v="1220.52"/>
    <n v="1220.52"/>
    <n v="1220.52"/>
    <n v="1220.52"/>
    <n v="1220.52"/>
    <n v="1220.52"/>
    <n v="1220.52"/>
    <n v="1220.52"/>
    <n v="1220.52"/>
    <n v="1220.52"/>
    <n v="1220.52"/>
    <n v="1220.52"/>
    <n v="1220.52"/>
  </r>
  <r>
    <x v="2"/>
    <s v="Kitchen"/>
    <n v="0"/>
    <n v="0"/>
    <n v="0"/>
    <n v="0"/>
    <n v="0"/>
    <n v="0"/>
    <n v="7064.41"/>
    <n v="7064.41"/>
    <n v="7064.41"/>
    <n v="7064.41"/>
    <n v="7064.41"/>
    <n v="7064.41"/>
    <n v="7064.41"/>
    <n v="7064.41"/>
    <n v="7064.41"/>
    <n v="7064.41"/>
    <n v="7064.41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10943"/>
    <n v="10943"/>
    <n v="10943"/>
    <n v="10943"/>
    <n v="10943"/>
    <n v="10943"/>
    <n v="10943"/>
    <n v="10943"/>
    <n v="10943"/>
    <n v="10943"/>
    <n v="10943"/>
  </r>
  <r>
    <x v="2"/>
    <s v="Kitchen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x v="2"/>
    <s v="Kitchen"/>
    <n v="0"/>
    <n v="0"/>
    <n v="0"/>
    <n v="0"/>
    <n v="0"/>
    <n v="0"/>
    <n v="0"/>
    <n v="0"/>
    <n v="0"/>
    <n v="5050.33"/>
    <n v="5050.33"/>
    <n v="5050.33"/>
    <n v="5050.33"/>
    <n v="5050.33"/>
    <n v="5050.33"/>
    <n v="5050.33"/>
    <n v="5050.33"/>
  </r>
  <r>
    <x v="2"/>
    <s v="Kitchen"/>
    <n v="0"/>
    <n v="0"/>
    <n v="0"/>
    <n v="0"/>
    <n v="0"/>
    <n v="0"/>
    <n v="0"/>
    <n v="0"/>
    <n v="0"/>
    <n v="469.16"/>
    <n v="469.16"/>
    <n v="469.16"/>
    <n v="469.16"/>
    <n v="469.16"/>
    <n v="469.16"/>
    <n v="469.16"/>
    <n v="469.16"/>
  </r>
  <r>
    <x v="2"/>
    <s v="Kitchen"/>
    <n v="0"/>
    <n v="0"/>
    <n v="0"/>
    <n v="0"/>
    <n v="0"/>
    <n v="0"/>
    <n v="0"/>
    <n v="0"/>
    <n v="0"/>
    <n v="0"/>
    <n v="0"/>
    <n v="0"/>
    <n v="0"/>
    <n v="2645.15"/>
    <n v="2645.15"/>
    <n v="2645.15"/>
    <n v="2645.15"/>
  </r>
  <r>
    <x v="2"/>
    <s v="Kitchen"/>
    <n v="0"/>
    <n v="0"/>
    <n v="0"/>
    <n v="0"/>
    <n v="0"/>
    <n v="0"/>
    <n v="0"/>
    <n v="0"/>
    <n v="0"/>
    <n v="0"/>
    <n v="1212.1300000000001"/>
    <n v="1212.1300000000001"/>
    <n v="1212.1300000000001"/>
    <n v="1212.1300000000001"/>
    <n v="1212.1300000000001"/>
    <n v="1212.1300000000001"/>
    <n v="1212.1300000000001"/>
  </r>
  <r>
    <x v="2"/>
    <s v="Kitchen"/>
    <n v="0"/>
    <n v="0"/>
    <n v="0"/>
    <n v="0"/>
    <n v="0"/>
    <n v="0"/>
    <n v="0"/>
    <n v="0"/>
    <n v="0"/>
    <n v="167.48"/>
    <n v="167.48"/>
    <n v="167.48"/>
    <n v="167.48"/>
    <n v="167.48"/>
    <n v="167.48"/>
    <n v="167.48"/>
    <n v="167.48"/>
  </r>
  <r>
    <x v="2"/>
    <s v="Kitchen"/>
    <n v="0"/>
    <n v="0"/>
    <n v="0"/>
    <n v="0"/>
    <n v="0"/>
    <n v="0"/>
    <n v="1830.08"/>
    <n v="1830.08"/>
    <n v="1830.08"/>
    <n v="1830.08"/>
    <n v="1830.08"/>
    <n v="1830.08"/>
    <n v="1830.08"/>
    <n v="1830.08"/>
    <n v="1830.08"/>
    <n v="1830.08"/>
    <n v="1830.08"/>
  </r>
  <r>
    <x v="2"/>
    <s v="Kitchen"/>
    <n v="0"/>
    <n v="0"/>
    <n v="0"/>
    <n v="0"/>
    <n v="0"/>
    <n v="0"/>
    <n v="0"/>
    <n v="0"/>
    <n v="0"/>
    <n v="0"/>
    <n v="0"/>
    <n v="64.349999999999994"/>
    <n v="64.349999999999994"/>
    <n v="64.349999999999994"/>
    <n v="64.349999999999994"/>
    <n v="64.349999999999994"/>
    <n v="64.349999999999994"/>
  </r>
  <r>
    <x v="2"/>
    <s v="Kitchen"/>
    <n v="0"/>
    <n v="0"/>
    <n v="0"/>
    <n v="477.45"/>
    <n v="477.45"/>
    <n v="477.45"/>
    <n v="477.45"/>
    <n v="477.45"/>
    <n v="477.45"/>
    <n v="477.45"/>
    <n v="477.45"/>
    <n v="477.45"/>
    <n v="477.45"/>
    <n v="477.45"/>
    <n v="477.45"/>
    <n v="477.45"/>
    <n v="477.45"/>
  </r>
  <r>
    <x v="2"/>
    <s v="Kitchen"/>
    <n v="0"/>
    <n v="0"/>
    <n v="0"/>
    <n v="0"/>
    <n v="0"/>
    <n v="0"/>
    <n v="0"/>
    <n v="0"/>
    <n v="0"/>
    <n v="0"/>
    <n v="0"/>
    <n v="0"/>
    <n v="0"/>
    <n v="0"/>
    <n v="139.27000000000001"/>
    <n v="139.27000000000001"/>
    <n v="139.27000000000001"/>
  </r>
  <r>
    <x v="2"/>
    <s v="Kitchen"/>
    <n v="0"/>
    <n v="0"/>
    <n v="0"/>
    <n v="0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</r>
  <r>
    <x v="2"/>
    <s v="Kitchen"/>
    <n v="0"/>
    <n v="0"/>
    <n v="0"/>
    <n v="51.947499999999998"/>
    <n v="51.947499999999998"/>
    <n v="51.947499999999998"/>
    <n v="51.947499999999998"/>
    <n v="51.947499999999998"/>
    <n v="103.895"/>
    <n v="103.895"/>
    <n v="103.895"/>
    <n v="207.79"/>
    <n v="207.79"/>
    <n v="207.79"/>
    <n v="207.79"/>
    <n v="207.79"/>
    <n v="207.79"/>
  </r>
  <r>
    <x v="2"/>
    <s v="Kitchen"/>
    <n v="0"/>
    <n v="0"/>
    <n v="0"/>
    <n v="464.185"/>
    <n v="464.185"/>
    <n v="464.185"/>
    <n v="464.185"/>
    <n v="928.37"/>
    <n v="928.37"/>
    <n v="928.37"/>
    <n v="928.37"/>
    <n v="1856.74"/>
    <n v="1856.74"/>
    <n v="1856.74"/>
    <n v="1856.74"/>
    <n v="1856.74"/>
    <n v="1856.74"/>
  </r>
  <r>
    <x v="2"/>
    <s v="Kitchen"/>
    <n v="0"/>
    <n v="0"/>
    <n v="0"/>
    <n v="0"/>
    <n v="0"/>
    <n v="0"/>
    <n v="0"/>
    <n v="0"/>
    <n v="0"/>
    <n v="0"/>
    <n v="92.73"/>
    <n v="92.73"/>
    <n v="92.73"/>
    <n v="92.73"/>
    <n v="92.73"/>
    <n v="92.73"/>
    <n v="92.73"/>
  </r>
  <r>
    <x v="2"/>
    <s v="Kitchen"/>
    <n v="0"/>
    <n v="0"/>
    <n v="0"/>
    <n v="0"/>
    <n v="0"/>
    <n v="0"/>
    <n v="0"/>
    <n v="0"/>
    <n v="0"/>
    <n v="0"/>
    <n v="458.68"/>
    <n v="458.68"/>
    <n v="458.68"/>
    <n v="458.68"/>
    <n v="458.68"/>
    <n v="458.68"/>
    <n v="458.68"/>
  </r>
  <r>
    <x v="2"/>
    <s v="Kitchen"/>
    <n v="0"/>
    <n v="0"/>
    <n v="0"/>
    <n v="0"/>
    <n v="1068.82"/>
    <n v="1068.82"/>
    <n v="1068.82"/>
    <n v="1068.82"/>
    <n v="1068.82"/>
    <n v="1068.82"/>
    <n v="1068.82"/>
    <n v="1068.82"/>
    <n v="1068.82"/>
    <n v="1068.82"/>
    <n v="1068.82"/>
    <n v="1068.82"/>
    <n v="1068.82"/>
  </r>
  <r>
    <x v="2"/>
    <s v="Kitchen"/>
    <n v="0"/>
    <n v="0"/>
    <n v="0"/>
    <n v="0"/>
    <n v="0"/>
    <n v="0"/>
    <n v="0"/>
    <n v="0"/>
    <n v="0"/>
    <n v="0"/>
    <n v="0"/>
    <n v="0"/>
    <n v="0"/>
    <n v="0"/>
    <n v="572.16"/>
    <n v="572.16"/>
    <n v="572.16"/>
  </r>
  <r>
    <x v="2"/>
    <s v="Kitchen"/>
    <n v="0"/>
    <n v="0"/>
    <n v="0"/>
    <n v="92.73"/>
    <n v="92.73"/>
    <n v="92.73"/>
    <n v="92.73"/>
    <n v="92.73"/>
    <n v="92.73"/>
    <n v="92.73"/>
    <n v="92.73"/>
    <n v="92.73"/>
    <n v="92.73"/>
    <n v="92.73"/>
    <n v="92.73"/>
    <n v="92.73"/>
    <n v="92.73"/>
  </r>
  <r>
    <x v="2"/>
    <s v="Kitchen"/>
    <n v="0"/>
    <n v="0"/>
    <n v="0"/>
    <n v="348.79"/>
    <n v="348.79"/>
    <n v="348.79"/>
    <n v="348.79"/>
    <n v="348.79"/>
    <n v="348.79"/>
    <n v="348.79"/>
    <n v="348.79"/>
    <n v="348.79"/>
    <n v="348.79"/>
    <n v="348.79"/>
    <n v="348.79"/>
    <n v="348.79"/>
    <n v="348.79"/>
  </r>
  <r>
    <x v="2"/>
    <s v="Kitchen"/>
    <n v="0"/>
    <n v="0"/>
    <n v="0"/>
    <n v="161.0675"/>
    <n v="161.0675"/>
    <n v="161.0675"/>
    <n v="161.0675"/>
    <n v="322.13499999999999"/>
    <n v="322.13499999999999"/>
    <n v="322.13499999999999"/>
    <n v="322.13499999999999"/>
    <n v="644.27"/>
    <n v="644.27"/>
    <n v="644.27"/>
    <n v="644.27"/>
    <n v="644.27"/>
    <n v="644.27"/>
  </r>
  <r>
    <x v="2"/>
    <s v="Kitchen"/>
    <n v="0"/>
    <n v="0"/>
    <n v="0"/>
    <n v="0"/>
    <n v="0"/>
    <n v="0"/>
    <n v="0"/>
    <n v="0"/>
    <n v="0"/>
    <n v="0"/>
    <n v="0"/>
    <n v="0"/>
    <n v="0"/>
    <n v="0"/>
    <n v="120.81"/>
    <n v="120.81"/>
    <n v="120.81"/>
  </r>
  <r>
    <x v="2"/>
    <s v="Kitchen"/>
    <n v="0"/>
    <n v="0"/>
    <n v="0"/>
    <n v="132.32"/>
    <n v="132.32"/>
    <n v="132.32"/>
    <n v="132.32"/>
    <n v="132.32"/>
    <n v="132.32"/>
    <n v="132.32"/>
    <n v="132.32"/>
    <n v="132.32"/>
    <n v="132.32"/>
    <n v="132.32"/>
    <n v="132.32"/>
    <n v="132.32"/>
    <n v="132.32"/>
  </r>
  <r>
    <x v="2"/>
    <s v="Kitchen"/>
    <n v="0"/>
    <n v="0"/>
    <n v="0"/>
    <n v="0"/>
    <n v="0"/>
    <n v="0"/>
    <n v="0"/>
    <n v="0"/>
    <n v="0"/>
    <n v="665.41"/>
    <n v="665.41"/>
    <n v="665.41"/>
    <n v="665.41"/>
    <n v="665.41"/>
    <n v="665.41"/>
    <n v="665.41"/>
    <n v="665.41"/>
  </r>
  <r>
    <x v="2"/>
    <s v="Kitchen"/>
    <n v="0"/>
    <n v="0"/>
    <n v="0"/>
    <n v="274.58999999999997"/>
    <n v="274.58999999999997"/>
    <n v="274.58999999999997"/>
    <n v="274.58999999999997"/>
    <n v="274.58999999999997"/>
    <n v="274.58999999999997"/>
    <n v="274.58999999999997"/>
    <n v="274.58999999999997"/>
    <n v="274.58999999999997"/>
    <n v="274.58999999999997"/>
    <n v="274.58999999999997"/>
    <n v="274.58999999999997"/>
    <n v="274.58999999999997"/>
    <n v="274.58999999999997"/>
  </r>
  <r>
    <x v="2"/>
    <s v="Kitchen"/>
    <n v="0"/>
    <n v="0"/>
    <n v="0"/>
    <n v="755.53"/>
    <n v="755.53"/>
    <n v="755.53"/>
    <n v="755.53"/>
    <n v="755.53"/>
    <n v="755.53"/>
    <n v="755.53"/>
    <n v="755.53"/>
    <n v="755.53"/>
    <n v="755.53"/>
    <n v="755.53"/>
    <n v="755.53"/>
    <n v="755.53"/>
    <n v="755.53"/>
  </r>
  <r>
    <x v="2"/>
    <s v="Kitchen"/>
    <n v="0"/>
    <n v="0"/>
    <n v="0"/>
    <n v="89.97"/>
    <n v="89.97"/>
    <n v="89.97"/>
    <n v="89.97"/>
    <n v="89.97"/>
    <n v="89.97"/>
    <n v="89.97"/>
    <n v="89.97"/>
    <n v="89.97"/>
    <n v="89.97"/>
    <n v="89.97"/>
    <n v="89.97"/>
    <n v="89.97"/>
    <n v="89.97"/>
  </r>
  <r>
    <x v="2"/>
    <s v="Kitchen"/>
    <n v="0"/>
    <n v="0"/>
    <n v="0"/>
    <n v="814.09"/>
    <n v="814.09"/>
    <n v="814.09"/>
    <n v="814.09"/>
    <n v="814.09"/>
    <n v="814.09"/>
    <n v="814.09"/>
    <n v="814.09"/>
    <n v="814.09"/>
    <n v="814.09"/>
    <n v="814.09"/>
    <n v="814.09"/>
    <n v="814.09"/>
    <n v="814.09"/>
  </r>
  <r>
    <x v="2"/>
    <s v="Bedroom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2"/>
    <s v="Bedroom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2"/>
    <s v="Bedroom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x v="2"/>
    <s v="Bedroom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x v="2"/>
    <s v="Bedroom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x v="2"/>
    <s v="Bedroom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2"/>
    <s v="Bed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Bed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Bedroom"/>
    <n v="0"/>
    <n v="0"/>
    <n v="0"/>
    <n v="0"/>
    <n v="0"/>
    <n v="0"/>
    <n v="0"/>
    <n v="0"/>
    <n v="0"/>
    <n v="0"/>
    <n v="0"/>
    <n v="64.349999999999994"/>
    <n v="64.349999999999994"/>
    <n v="64.349999999999994"/>
    <n v="64.349999999999994"/>
    <n v="64.349999999999994"/>
    <n v="64.349999999999994"/>
  </r>
  <r>
    <x v="2"/>
    <s v="Bedroom"/>
    <n v="0"/>
    <n v="0"/>
    <n v="0"/>
    <n v="477.45"/>
    <n v="477.45"/>
    <n v="477.45"/>
    <n v="477.45"/>
    <n v="477.45"/>
    <n v="477.45"/>
    <n v="477.45"/>
    <n v="477.45"/>
    <n v="477.45"/>
    <n v="477.45"/>
    <n v="477.45"/>
    <n v="477.45"/>
    <n v="477.45"/>
    <n v="477.45"/>
  </r>
  <r>
    <x v="2"/>
    <s v="Bedroom"/>
    <n v="0"/>
    <n v="0"/>
    <n v="0"/>
    <n v="0"/>
    <n v="0"/>
    <n v="0"/>
    <n v="0"/>
    <n v="0"/>
    <n v="0"/>
    <n v="0"/>
    <n v="0"/>
    <n v="0"/>
    <n v="0"/>
    <n v="0"/>
    <n v="139.27000000000001"/>
    <n v="139.27000000000001"/>
    <n v="139.27000000000001"/>
  </r>
  <r>
    <x v="2"/>
    <s v="Bedroom"/>
    <n v="0"/>
    <n v="0"/>
    <n v="0"/>
    <n v="0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</r>
  <r>
    <x v="2"/>
    <s v="Bedroom"/>
    <n v="0"/>
    <n v="0"/>
    <n v="0"/>
    <n v="51.947499999999998"/>
    <n v="51.947499999999998"/>
    <n v="51.947499999999998"/>
    <n v="51.947499999999998"/>
    <n v="51.947499999999998"/>
    <n v="103.895"/>
    <n v="103.895"/>
    <n v="103.895"/>
    <n v="207.79"/>
    <n v="207.79"/>
    <n v="207.79"/>
    <n v="207.79"/>
    <n v="207.79"/>
    <n v="207.79"/>
  </r>
  <r>
    <x v="2"/>
    <s v="Bedroom"/>
    <n v="0"/>
    <n v="0"/>
    <n v="0"/>
    <n v="464.185"/>
    <n v="464.185"/>
    <n v="464.185"/>
    <n v="464.185"/>
    <n v="928.37"/>
    <n v="928.37"/>
    <n v="928.37"/>
    <n v="928.37"/>
    <n v="1856.74"/>
    <n v="1856.74"/>
    <n v="1856.74"/>
    <n v="1856.74"/>
    <n v="1856.74"/>
    <n v="1856.74"/>
  </r>
  <r>
    <x v="2"/>
    <s v="Bedroom"/>
    <n v="0"/>
    <n v="0"/>
    <n v="0"/>
    <n v="0"/>
    <n v="0"/>
    <n v="0"/>
    <n v="0"/>
    <n v="0"/>
    <n v="0"/>
    <n v="0"/>
    <n v="0"/>
    <n v="63.86"/>
    <n v="63.86"/>
    <n v="63.86"/>
    <n v="63.86"/>
    <n v="63.86"/>
    <n v="63.86"/>
  </r>
  <r>
    <x v="2"/>
    <s v="Bedroom"/>
    <n v="0"/>
    <n v="0"/>
    <n v="0"/>
    <n v="0"/>
    <n v="0"/>
    <n v="0"/>
    <n v="0"/>
    <n v="0"/>
    <n v="0"/>
    <n v="0"/>
    <n v="0"/>
    <n v="492.46"/>
    <n v="492.46"/>
    <n v="492.46"/>
    <n v="492.46"/>
    <n v="492.46"/>
    <n v="492.46"/>
  </r>
  <r>
    <x v="2"/>
    <s v="Bedroom"/>
    <n v="0"/>
    <n v="0"/>
    <n v="0"/>
    <n v="92.73"/>
    <n v="92.73"/>
    <n v="92.73"/>
    <n v="92.73"/>
    <n v="92.73"/>
    <n v="92.73"/>
    <n v="92.73"/>
    <n v="92.73"/>
    <n v="92.73"/>
    <n v="92.73"/>
    <n v="92.73"/>
    <n v="92.73"/>
    <n v="92.73"/>
    <n v="92.73"/>
  </r>
  <r>
    <x v="2"/>
    <s v="Bedroom"/>
    <n v="0"/>
    <n v="0"/>
    <n v="0"/>
    <n v="348.79"/>
    <n v="348.79"/>
    <n v="348.79"/>
    <n v="348.79"/>
    <n v="348.79"/>
    <n v="348.79"/>
    <n v="348.79"/>
    <n v="348.79"/>
    <n v="348.79"/>
    <n v="348.79"/>
    <n v="348.79"/>
    <n v="348.79"/>
    <n v="348.79"/>
    <n v="348.79"/>
  </r>
  <r>
    <x v="2"/>
    <s v="Bedroom"/>
    <n v="0"/>
    <n v="0"/>
    <n v="0"/>
    <n v="231.91"/>
    <n v="231.91"/>
    <n v="231.91"/>
    <n v="231.91"/>
    <n v="463.82"/>
    <n v="463.82"/>
    <n v="463.82"/>
    <n v="463.82"/>
    <n v="927.64"/>
    <n v="927.64"/>
    <n v="927.64"/>
    <n v="927.64"/>
    <n v="927.64"/>
    <n v="927.64"/>
  </r>
  <r>
    <x v="2"/>
    <s v="Bedroom"/>
    <n v="0"/>
    <n v="0"/>
    <n v="0"/>
    <n v="0"/>
    <n v="0"/>
    <n v="0"/>
    <n v="0"/>
    <n v="0"/>
    <n v="0"/>
    <n v="0"/>
    <n v="0"/>
    <n v="0"/>
    <n v="0"/>
    <n v="0"/>
    <n v="173.92"/>
    <n v="173.92"/>
    <n v="173.92"/>
  </r>
  <r>
    <x v="2"/>
    <s v="Bedroom"/>
    <n v="0"/>
    <n v="0"/>
    <n v="0"/>
    <n v="190.51"/>
    <n v="190.51"/>
    <n v="190.51"/>
    <n v="190.51"/>
    <n v="190.51"/>
    <n v="190.51"/>
    <n v="190.51"/>
    <n v="190.51"/>
    <n v="190.51"/>
    <n v="190.51"/>
    <n v="190.51"/>
    <n v="190.51"/>
    <n v="190.51"/>
    <n v="190.51"/>
  </r>
  <r>
    <x v="2"/>
    <s v="Bedroom"/>
    <n v="0"/>
    <n v="0"/>
    <n v="0"/>
    <n v="0"/>
    <n v="0"/>
    <n v="0"/>
    <n v="0"/>
    <n v="0"/>
    <n v="0"/>
    <n v="677.49"/>
    <n v="677.49"/>
    <n v="677.49"/>
    <n v="677.49"/>
    <n v="677.49"/>
    <n v="677.49"/>
    <n v="677.49"/>
    <n v="677.49"/>
  </r>
  <r>
    <x v="2"/>
    <s v="Bedroom"/>
    <n v="0"/>
    <n v="0"/>
    <n v="0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</r>
  <r>
    <x v="2"/>
    <s v="Bedroom"/>
    <n v="0"/>
    <n v="0"/>
    <n v="0"/>
    <n v="769.24"/>
    <n v="769.24"/>
    <n v="769.24"/>
    <n v="769.24"/>
    <n v="769.24"/>
    <n v="769.24"/>
    <n v="769.24"/>
    <n v="769.24"/>
    <n v="769.24"/>
    <n v="769.24"/>
    <n v="769.24"/>
    <n v="769.24"/>
    <n v="769.24"/>
    <n v="769.24"/>
  </r>
  <r>
    <x v="2"/>
    <s v="Bedroom"/>
    <n v="0"/>
    <n v="0"/>
    <n v="0"/>
    <n v="91.63"/>
    <n v="91.63"/>
    <n v="91.63"/>
    <n v="91.63"/>
    <n v="91.63"/>
    <n v="91.63"/>
    <n v="91.63"/>
    <n v="91.63"/>
    <n v="91.63"/>
    <n v="91.63"/>
    <n v="91.63"/>
    <n v="91.63"/>
    <n v="91.63"/>
    <n v="91.63"/>
  </r>
  <r>
    <x v="2"/>
    <s v="Bedroom"/>
    <n v="0"/>
    <n v="0"/>
    <n v="0"/>
    <n v="829.05"/>
    <n v="829.05"/>
    <n v="829.05"/>
    <n v="829.05"/>
    <n v="829.05"/>
    <n v="829.05"/>
    <n v="829.05"/>
    <n v="829.05"/>
    <n v="829.05"/>
    <n v="829.05"/>
    <n v="829.05"/>
    <n v="829.05"/>
    <n v="829.05"/>
    <n v="829.05"/>
  </r>
  <r>
    <x v="3"/>
    <s v="Bedroom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3"/>
    <s v="Bedroom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3"/>
    <s v="Bedroom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x v="3"/>
    <s v="Bedroom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x v="3"/>
    <s v="Bedroom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x v="3"/>
    <s v="Bedroom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3"/>
    <s v="Bed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Bed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Bedroom"/>
    <n v="0"/>
    <n v="0"/>
    <n v="0"/>
    <n v="0"/>
    <n v="0"/>
    <n v="0"/>
    <n v="0"/>
    <n v="0"/>
    <n v="0"/>
    <n v="0"/>
    <n v="0"/>
    <n v="74.19"/>
    <n v="74.19"/>
    <n v="74.19"/>
    <n v="74.19"/>
    <n v="74.19"/>
    <n v="74.19"/>
  </r>
  <r>
    <x v="3"/>
    <s v="Bedroom"/>
    <n v="0"/>
    <n v="0"/>
    <n v="0"/>
    <n v="550.54"/>
    <n v="550.54"/>
    <n v="550.54"/>
    <n v="550.54"/>
    <n v="550.54"/>
    <n v="550.54"/>
    <n v="550.54"/>
    <n v="550.54"/>
    <n v="550.54"/>
    <n v="550.54"/>
    <n v="550.54"/>
    <n v="550.54"/>
    <n v="550.54"/>
    <n v="550.54"/>
  </r>
  <r>
    <x v="3"/>
    <s v="Bedroom"/>
    <n v="0"/>
    <n v="0"/>
    <n v="0"/>
    <n v="0"/>
    <n v="0"/>
    <n v="0"/>
    <n v="0"/>
    <n v="0"/>
    <n v="0"/>
    <n v="0"/>
    <n v="0"/>
    <n v="0"/>
    <n v="0"/>
    <n v="0"/>
    <n v="160.57"/>
    <n v="160.57"/>
    <n v="160.57"/>
  </r>
  <r>
    <x v="3"/>
    <s v="Bedroom"/>
    <n v="0"/>
    <n v="0"/>
    <n v="0"/>
    <n v="0"/>
    <n v="312.23"/>
    <n v="312.23"/>
    <n v="312.23"/>
    <n v="312.23"/>
    <n v="312.23"/>
    <n v="312.23"/>
    <n v="312.23"/>
    <n v="312.23"/>
    <n v="312.23"/>
    <n v="312.23"/>
    <n v="312.23"/>
    <n v="312.23"/>
    <n v="312.23"/>
  </r>
  <r>
    <x v="3"/>
    <s v="Bedroom"/>
    <n v="0"/>
    <n v="0"/>
    <n v="0"/>
    <n v="59.9"/>
    <n v="59.9"/>
    <n v="59.9"/>
    <n v="59.9"/>
    <n v="59.9"/>
    <n v="119.8"/>
    <n v="119.8"/>
    <n v="119.8"/>
    <n v="239.6"/>
    <n v="239.6"/>
    <n v="239.6"/>
    <n v="239.6"/>
    <n v="239.6"/>
    <n v="239.6"/>
  </r>
  <r>
    <x v="3"/>
    <s v="Bedroom"/>
    <n v="0"/>
    <n v="0"/>
    <n v="0"/>
    <n v="535.25"/>
    <n v="535.25"/>
    <n v="535.25"/>
    <n v="535.25"/>
    <n v="1070.5"/>
    <n v="1070.5"/>
    <n v="1070.5"/>
    <n v="1070.5"/>
    <n v="2141"/>
    <n v="2141"/>
    <n v="2141"/>
    <n v="2141"/>
    <n v="2141"/>
    <n v="2141"/>
  </r>
  <r>
    <x v="3"/>
    <s v="Bedroom"/>
    <n v="0"/>
    <n v="0"/>
    <n v="0"/>
    <n v="0"/>
    <n v="0"/>
    <n v="0"/>
    <n v="0"/>
    <n v="0"/>
    <n v="0"/>
    <n v="0"/>
    <n v="0"/>
    <n v="73.64"/>
    <n v="73.64"/>
    <n v="73.64"/>
    <n v="73.64"/>
    <n v="73.64"/>
    <n v="73.64"/>
  </r>
  <r>
    <x v="3"/>
    <s v="Bedroom"/>
    <n v="0"/>
    <n v="0"/>
    <n v="0"/>
    <n v="0"/>
    <n v="0"/>
    <n v="0"/>
    <n v="0"/>
    <n v="0"/>
    <n v="0"/>
    <n v="0"/>
    <n v="0"/>
    <n v="567.82000000000005"/>
    <n v="567.82000000000005"/>
    <n v="567.82000000000005"/>
    <n v="567.82000000000005"/>
    <n v="567.82000000000005"/>
    <n v="567.82000000000005"/>
  </r>
  <r>
    <x v="3"/>
    <s v="Bedroom"/>
    <n v="0"/>
    <n v="0"/>
    <n v="0"/>
    <n v="106.91"/>
    <n v="106.91"/>
    <n v="106.91"/>
    <n v="106.91"/>
    <n v="106.91"/>
    <n v="106.91"/>
    <n v="106.91"/>
    <n v="106.91"/>
    <n v="106.91"/>
    <n v="106.91"/>
    <n v="106.91"/>
    <n v="106.91"/>
    <n v="106.91"/>
    <n v="106.91"/>
  </r>
  <r>
    <x v="3"/>
    <s v="Bedroom"/>
    <n v="0"/>
    <n v="0"/>
    <n v="0"/>
    <n v="402.14"/>
    <n v="402.14"/>
    <n v="402.14"/>
    <n v="402.14"/>
    <n v="402.14"/>
    <n v="402.14"/>
    <n v="402.14"/>
    <n v="402.14"/>
    <n v="402.14"/>
    <n v="402.14"/>
    <n v="402.14"/>
    <n v="402.14"/>
    <n v="402.14"/>
    <n v="402.14"/>
  </r>
  <r>
    <x v="3"/>
    <s v="Bedroom"/>
    <n v="0"/>
    <n v="0"/>
    <n v="0"/>
    <n v="218.29"/>
    <n v="218.29"/>
    <n v="218.29"/>
    <n v="218.29"/>
    <n v="436.58"/>
    <n v="436.58"/>
    <n v="436.58"/>
    <n v="436.58"/>
    <n v="873.16"/>
    <n v="873.16"/>
    <n v="873.16"/>
    <n v="873.16"/>
    <n v="873.16"/>
    <n v="873.16"/>
  </r>
  <r>
    <x v="3"/>
    <s v="Bedroom"/>
    <n v="0"/>
    <n v="0"/>
    <n v="0"/>
    <n v="0"/>
    <n v="0"/>
    <n v="0"/>
    <n v="0"/>
    <n v="0"/>
    <n v="0"/>
    <n v="0"/>
    <n v="0"/>
    <n v="0"/>
    <n v="0"/>
    <n v="0"/>
    <n v="163.71"/>
    <n v="163.71"/>
    <n v="163.71"/>
  </r>
  <r>
    <x v="3"/>
    <s v="Bedroom"/>
    <n v="0"/>
    <n v="0"/>
    <n v="0"/>
    <n v="179.31"/>
    <n v="179.31"/>
    <n v="179.31"/>
    <n v="179.31"/>
    <n v="179.31"/>
    <n v="179.31"/>
    <n v="179.31"/>
    <n v="179.31"/>
    <n v="179.31"/>
    <n v="179.31"/>
    <n v="179.31"/>
    <n v="179.31"/>
    <n v="179.31"/>
    <n v="179.31"/>
  </r>
  <r>
    <x v="3"/>
    <s v="Bedroom"/>
    <n v="0"/>
    <n v="0"/>
    <n v="0"/>
    <n v="0"/>
    <n v="0"/>
    <n v="0"/>
    <n v="0"/>
    <n v="0"/>
    <n v="0"/>
    <n v="901.71"/>
    <n v="901.71"/>
    <n v="901.71"/>
    <n v="901.71"/>
    <n v="901.71"/>
    <n v="901.71"/>
    <n v="901.71"/>
    <n v="901.71"/>
  </r>
  <r>
    <x v="3"/>
    <s v="Bedroom"/>
    <n v="0"/>
    <n v="0"/>
    <n v="0"/>
    <n v="372.16"/>
    <n v="372.16"/>
    <n v="372.16"/>
    <n v="372.16"/>
    <n v="372.16"/>
    <n v="372.16"/>
    <n v="372.16"/>
    <n v="372.16"/>
    <n v="372.16"/>
    <n v="372.16"/>
    <n v="372.16"/>
    <n v="372.16"/>
    <n v="372.16"/>
    <n v="372.16"/>
  </r>
  <r>
    <x v="3"/>
    <s v="Bedroom"/>
    <n v="0"/>
    <n v="0"/>
    <n v="0"/>
    <n v="1023.97"/>
    <n v="1023.97"/>
    <n v="1023.97"/>
    <n v="1023.97"/>
    <n v="1023.97"/>
    <n v="1023.97"/>
    <n v="1023.97"/>
    <n v="1023.97"/>
    <n v="1023.97"/>
    <n v="1023.97"/>
    <n v="1023.97"/>
    <n v="1023.97"/>
    <n v="1023.97"/>
    <n v="1023.97"/>
  </r>
  <r>
    <x v="3"/>
    <s v="Bedroom"/>
    <n v="0"/>
    <n v="0"/>
    <n v="0"/>
    <n v="121.93"/>
    <n v="121.93"/>
    <n v="121.93"/>
    <n v="121.93"/>
    <n v="121.93"/>
    <n v="121.93"/>
    <n v="121.93"/>
    <n v="121.93"/>
    <n v="121.93"/>
    <n v="121.93"/>
    <n v="121.93"/>
    <n v="121.93"/>
    <n v="121.93"/>
    <n v="121.93"/>
  </r>
  <r>
    <x v="3"/>
    <s v="Bedroom"/>
    <n v="0"/>
    <n v="0"/>
    <n v="0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</r>
  <r>
    <x v="3"/>
    <s v="Hallway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3"/>
    <s v="Hallway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x v="3"/>
    <s v="Hallway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Hallway"/>
    <n v="0"/>
    <n v="0"/>
    <n v="0"/>
    <n v="0"/>
    <n v="0"/>
    <n v="0"/>
    <n v="0"/>
    <n v="0"/>
    <n v="0"/>
    <n v="0"/>
    <n v="0"/>
    <n v="46.94"/>
    <n v="46.94"/>
    <n v="46.94"/>
    <n v="46.94"/>
    <n v="46.94"/>
    <n v="46.94"/>
  </r>
  <r>
    <x v="3"/>
    <s v="Hallway"/>
    <n v="0"/>
    <n v="0"/>
    <n v="0"/>
    <n v="348.36"/>
    <n v="348.36"/>
    <n v="348.36"/>
    <n v="348.36"/>
    <n v="348.36"/>
    <n v="348.36"/>
    <n v="348.36"/>
    <n v="348.36"/>
    <n v="348.36"/>
    <n v="348.36"/>
    <n v="348.36"/>
    <n v="348.36"/>
    <n v="348.36"/>
    <n v="348.36"/>
  </r>
  <r>
    <x v="3"/>
    <s v="Hallway"/>
    <n v="0"/>
    <n v="0"/>
    <n v="0"/>
    <n v="0"/>
    <n v="0"/>
    <n v="0"/>
    <n v="0"/>
    <n v="0"/>
    <n v="0"/>
    <n v="0"/>
    <n v="0"/>
    <n v="0"/>
    <n v="0"/>
    <n v="0"/>
    <n v="101.61"/>
    <n v="101.61"/>
    <n v="101.61"/>
  </r>
  <r>
    <x v="3"/>
    <s v="Hallway"/>
    <n v="0"/>
    <n v="0"/>
    <n v="0"/>
    <n v="0"/>
    <n v="197.56"/>
    <n v="197.56"/>
    <n v="197.56"/>
    <n v="197.56"/>
    <n v="197.56"/>
    <n v="197.56"/>
    <n v="197.56"/>
    <n v="197.56"/>
    <n v="197.56"/>
    <n v="197.56"/>
    <n v="197.56"/>
    <n v="197.56"/>
    <n v="197.56"/>
  </r>
  <r>
    <x v="3"/>
    <s v="Hallway"/>
    <n v="0"/>
    <n v="0"/>
    <n v="0"/>
    <n v="37.9"/>
    <n v="37.9"/>
    <n v="37.9"/>
    <n v="37.9"/>
    <n v="37.9"/>
    <n v="75.8"/>
    <n v="75.8"/>
    <n v="75.8"/>
    <n v="151.6"/>
    <n v="151.6"/>
    <n v="151.6"/>
    <n v="151.6"/>
    <n v="151.6"/>
    <n v="151.6"/>
  </r>
  <r>
    <x v="3"/>
    <s v="Hallway"/>
    <n v="0"/>
    <n v="0"/>
    <n v="0"/>
    <n v="338.69"/>
    <n v="338.69"/>
    <n v="338.69"/>
    <n v="338.69"/>
    <n v="677.38"/>
    <n v="677.38"/>
    <n v="677.38"/>
    <n v="677.38"/>
    <n v="1354.76"/>
    <n v="1354.76"/>
    <n v="1354.76"/>
    <n v="1354.76"/>
    <n v="1354.76"/>
    <n v="1354.76"/>
  </r>
  <r>
    <x v="3"/>
    <s v="Hallway"/>
    <n v="0"/>
    <n v="0"/>
    <n v="0"/>
    <n v="0"/>
    <n v="0"/>
    <n v="0"/>
    <n v="0"/>
    <n v="0"/>
    <n v="0"/>
    <n v="0"/>
    <n v="0"/>
    <n v="46.58"/>
    <n v="46.58"/>
    <n v="46.58"/>
    <n v="46.58"/>
    <n v="46.58"/>
    <n v="46.58"/>
  </r>
  <r>
    <x v="3"/>
    <s v="Hallway"/>
    <n v="0"/>
    <n v="0"/>
    <n v="0"/>
    <n v="0"/>
    <n v="0"/>
    <n v="0"/>
    <n v="0"/>
    <n v="0"/>
    <n v="0"/>
    <n v="0"/>
    <n v="0"/>
    <n v="359.27"/>
    <n v="359.27"/>
    <n v="359.27"/>
    <n v="359.27"/>
    <n v="359.27"/>
    <n v="359.27"/>
  </r>
  <r>
    <x v="3"/>
    <s v="Hallway"/>
    <n v="0"/>
    <n v="0"/>
    <n v="0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</r>
  <r>
    <x v="3"/>
    <s v="Hallway"/>
    <n v="0"/>
    <n v="0"/>
    <n v="0"/>
    <n v="254.43"/>
    <n v="254.43"/>
    <n v="254.43"/>
    <n v="254.43"/>
    <n v="254.43"/>
    <n v="254.43"/>
    <n v="254.43"/>
    <n v="254.43"/>
    <n v="254.43"/>
    <n v="254.43"/>
    <n v="254.43"/>
    <n v="254.43"/>
    <n v="254.43"/>
    <n v="254.43"/>
  </r>
  <r>
    <x v="3"/>
    <s v="Hallway"/>
    <n v="0"/>
    <n v="0"/>
    <n v="0"/>
    <n v="58.232500000000002"/>
    <n v="58.232500000000002"/>
    <n v="58.232500000000002"/>
    <n v="58.232500000000002"/>
    <n v="116.465"/>
    <n v="116.465"/>
    <n v="116.465"/>
    <n v="116.465"/>
    <n v="232.93"/>
    <n v="232.93"/>
    <n v="232.93"/>
    <n v="232.93"/>
    <n v="232.93"/>
    <n v="232.93"/>
  </r>
  <r>
    <x v="3"/>
    <s v="Hallway"/>
    <n v="0"/>
    <n v="0"/>
    <n v="0"/>
    <n v="0"/>
    <n v="0"/>
    <n v="0"/>
    <n v="0"/>
    <n v="0"/>
    <n v="0"/>
    <n v="0"/>
    <n v="0"/>
    <n v="0"/>
    <n v="0"/>
    <n v="0"/>
    <n v="43.68"/>
    <n v="43.68"/>
    <n v="43.68"/>
  </r>
  <r>
    <x v="3"/>
    <s v="Hallway"/>
    <n v="0"/>
    <n v="0"/>
    <n v="0"/>
    <n v="47.84"/>
    <n v="47.84"/>
    <n v="47.84"/>
    <n v="47.84"/>
    <n v="47.84"/>
    <n v="47.84"/>
    <n v="47.84"/>
    <n v="47.84"/>
    <n v="47.84"/>
    <n v="47.84"/>
    <n v="47.84"/>
    <n v="47.84"/>
    <n v="47.84"/>
    <n v="47.84"/>
  </r>
  <r>
    <x v="3"/>
    <s v="Hallway"/>
    <n v="0"/>
    <n v="0"/>
    <n v="0"/>
    <n v="0"/>
    <n v="0"/>
    <n v="0"/>
    <n v="0"/>
    <n v="0"/>
    <n v="0"/>
    <n v="240.47"/>
    <n v="240.47"/>
    <n v="240.47"/>
    <n v="240.47"/>
    <n v="240.47"/>
    <n v="240.47"/>
    <n v="240.47"/>
    <n v="240.47"/>
  </r>
  <r>
    <x v="3"/>
    <s v="Hallway"/>
    <n v="0"/>
    <n v="0"/>
    <n v="0"/>
    <n v="99.27"/>
    <n v="99.27"/>
    <n v="99.27"/>
    <n v="99.27"/>
    <n v="99.27"/>
    <n v="99.27"/>
    <n v="99.27"/>
    <n v="99.27"/>
    <n v="99.27"/>
    <n v="99.27"/>
    <n v="99.27"/>
    <n v="99.27"/>
    <n v="99.27"/>
    <n v="99.27"/>
  </r>
  <r>
    <x v="3"/>
    <s v="Hallway"/>
    <n v="0"/>
    <n v="0"/>
    <n v="0"/>
    <n v="273.14999999999998"/>
    <n v="273.14999999999998"/>
    <n v="273.14999999999998"/>
    <n v="273.14999999999998"/>
    <n v="273.14999999999998"/>
    <n v="273.14999999999998"/>
    <n v="273.14999999999998"/>
    <n v="273.14999999999998"/>
    <n v="273.14999999999998"/>
    <n v="273.14999999999998"/>
    <n v="273.14999999999998"/>
    <n v="273.14999999999998"/>
    <n v="273.14999999999998"/>
    <n v="273.14999999999998"/>
  </r>
  <r>
    <x v="3"/>
    <s v="Hallway"/>
    <n v="0"/>
    <n v="0"/>
    <n v="0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</r>
  <r>
    <x v="3"/>
    <s v="Hallway"/>
    <n v="0"/>
    <n v="0"/>
    <n v="0"/>
    <n v="294.27999999999997"/>
    <n v="294.27999999999997"/>
    <n v="294.27999999999997"/>
    <n v="294.27999999999997"/>
    <n v="294.27999999999997"/>
    <n v="294.27999999999997"/>
    <n v="294.27999999999997"/>
    <n v="294.27999999999997"/>
    <n v="294.27999999999997"/>
    <n v="294.27999999999997"/>
    <n v="294.27999999999997"/>
    <n v="294.27999999999997"/>
    <n v="294.27999999999997"/>
    <n v="294.27999999999997"/>
  </r>
  <r>
    <x v="2"/>
    <s v="Hallway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2"/>
    <s v="Hallway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x v="2"/>
    <s v="Hallway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Hallway"/>
    <n v="0"/>
    <n v="0"/>
    <n v="0"/>
    <n v="0"/>
    <n v="0"/>
    <n v="0"/>
    <n v="0"/>
    <n v="0"/>
    <n v="0"/>
    <n v="0"/>
    <n v="0"/>
    <n v="51.97"/>
    <n v="51.97"/>
    <n v="51.97"/>
    <n v="51.97"/>
    <n v="51.97"/>
    <n v="51.97"/>
  </r>
  <r>
    <x v="2"/>
    <s v="Hallway"/>
    <n v="0"/>
    <n v="0"/>
    <n v="0"/>
    <n v="385.69"/>
    <n v="385.69"/>
    <n v="385.69"/>
    <n v="385.69"/>
    <n v="385.69"/>
    <n v="385.69"/>
    <n v="385.69"/>
    <n v="385.69"/>
    <n v="385.69"/>
    <n v="385.69"/>
    <n v="385.69"/>
    <n v="385.69"/>
    <n v="385.69"/>
    <n v="385.69"/>
  </r>
  <r>
    <x v="2"/>
    <s v="Hallway"/>
    <n v="0"/>
    <n v="0"/>
    <n v="0"/>
    <n v="0"/>
    <n v="0"/>
    <n v="0"/>
    <n v="0"/>
    <n v="0"/>
    <n v="0"/>
    <n v="0"/>
    <n v="0"/>
    <n v="0"/>
    <n v="0"/>
    <n v="0"/>
    <n v="112.48"/>
    <n v="112.48"/>
    <n v="112.48"/>
  </r>
  <r>
    <x v="2"/>
    <s v="Hallway"/>
    <n v="0"/>
    <n v="0"/>
    <n v="0"/>
    <n v="0"/>
    <n v="218.74"/>
    <n v="218.74"/>
    <n v="218.74"/>
    <n v="218.74"/>
    <n v="218.74"/>
    <n v="218.74"/>
    <n v="218.74"/>
    <n v="218.74"/>
    <n v="218.74"/>
    <n v="218.74"/>
    <n v="218.74"/>
    <n v="218.74"/>
    <n v="218.74"/>
  </r>
  <r>
    <x v="2"/>
    <s v="Hallway"/>
    <n v="0"/>
    <n v="0"/>
    <n v="0"/>
    <n v="41.962499999999999"/>
    <n v="41.962499999999999"/>
    <n v="41.962499999999999"/>
    <n v="41.962499999999999"/>
    <n v="41.962499999999999"/>
    <n v="83.924999999999997"/>
    <n v="83.924999999999997"/>
    <n v="83.924999999999997"/>
    <n v="167.85"/>
    <n v="167.85"/>
    <n v="167.85"/>
    <n v="167.85"/>
    <n v="167.85"/>
    <n v="167.85"/>
  </r>
  <r>
    <x v="2"/>
    <s v="Hallway"/>
    <n v="0"/>
    <n v="0"/>
    <n v="0"/>
    <n v="374.97500000000002"/>
    <n v="374.97500000000002"/>
    <n v="374.97500000000002"/>
    <n v="374.97500000000002"/>
    <n v="749.95"/>
    <n v="749.95"/>
    <n v="749.95"/>
    <n v="749.95"/>
    <n v="1499.9"/>
    <n v="1499.9"/>
    <n v="1499.9"/>
    <n v="1499.9"/>
    <n v="1499.9"/>
    <n v="1499.9"/>
  </r>
  <r>
    <x v="2"/>
    <s v="Hallway"/>
    <n v="0"/>
    <n v="0"/>
    <n v="0"/>
    <n v="0"/>
    <n v="0"/>
    <n v="0"/>
    <n v="0"/>
    <n v="0"/>
    <n v="0"/>
    <n v="0"/>
    <n v="0"/>
    <n v="51.58"/>
    <n v="51.58"/>
    <n v="51.58"/>
    <n v="51.58"/>
    <n v="51.58"/>
    <n v="51.58"/>
  </r>
  <r>
    <x v="2"/>
    <s v="Hallway"/>
    <n v="0"/>
    <n v="0"/>
    <n v="0"/>
    <n v="0"/>
    <n v="0"/>
    <n v="0"/>
    <n v="0"/>
    <n v="0"/>
    <n v="0"/>
    <n v="0"/>
    <n v="0"/>
    <n v="397.77"/>
    <n v="397.77"/>
    <n v="397.77"/>
    <n v="397.77"/>
    <n v="397.77"/>
    <n v="397.77"/>
  </r>
  <r>
    <x v="2"/>
    <s v="Hallway"/>
    <n v="0"/>
    <n v="0"/>
    <n v="0"/>
    <n v="74.89"/>
    <n v="74.89"/>
    <n v="74.89"/>
    <n v="74.89"/>
    <n v="74.89"/>
    <n v="74.89"/>
    <n v="74.89"/>
    <n v="74.89"/>
    <n v="74.89"/>
    <n v="74.89"/>
    <n v="74.89"/>
    <n v="74.89"/>
    <n v="74.89"/>
    <n v="74.89"/>
  </r>
  <r>
    <x v="2"/>
    <s v="Hallway"/>
    <n v="0"/>
    <n v="0"/>
    <n v="0"/>
    <n v="281.70999999999998"/>
    <n v="281.70999999999998"/>
    <n v="281.70999999999998"/>
    <n v="281.70999999999998"/>
    <n v="281.70999999999998"/>
    <n v="281.70999999999998"/>
    <n v="281.70999999999998"/>
    <n v="281.70999999999998"/>
    <n v="281.70999999999998"/>
    <n v="281.70999999999998"/>
    <n v="281.70999999999998"/>
    <n v="281.70999999999998"/>
    <n v="281.70999999999998"/>
    <n v="281.70999999999998"/>
  </r>
  <r>
    <x v="2"/>
    <s v="Hallway"/>
    <n v="0"/>
    <n v="0"/>
    <n v="0"/>
    <n v="87.967500000000001"/>
    <n v="87.967500000000001"/>
    <n v="87.967500000000001"/>
    <n v="87.967500000000001"/>
    <n v="175.935"/>
    <n v="175.935"/>
    <n v="175.935"/>
    <n v="175.935"/>
    <n v="351.87"/>
    <n v="351.87"/>
    <n v="351.87"/>
    <n v="351.87"/>
    <n v="351.87"/>
    <n v="351.87"/>
  </r>
  <r>
    <x v="2"/>
    <s v="Hallway"/>
    <n v="0"/>
    <n v="0"/>
    <n v="0"/>
    <n v="0"/>
    <n v="0"/>
    <n v="0"/>
    <n v="0"/>
    <n v="0"/>
    <n v="0"/>
    <n v="0"/>
    <n v="0"/>
    <n v="0"/>
    <n v="0"/>
    <n v="0"/>
    <n v="65.98"/>
    <n v="65.98"/>
    <n v="65.98"/>
  </r>
  <r>
    <x v="2"/>
    <s v="Hallway"/>
    <n v="0"/>
    <n v="0"/>
    <n v="0"/>
    <n v="72.260000000000005"/>
    <n v="72.260000000000005"/>
    <n v="72.260000000000005"/>
    <n v="72.260000000000005"/>
    <n v="72.260000000000005"/>
    <n v="72.260000000000005"/>
    <n v="72.260000000000005"/>
    <n v="72.260000000000005"/>
    <n v="72.260000000000005"/>
    <n v="72.260000000000005"/>
    <n v="72.260000000000005"/>
    <n v="72.260000000000005"/>
    <n v="72.260000000000005"/>
    <n v="72.260000000000005"/>
  </r>
  <r>
    <x v="2"/>
    <s v="Hallway"/>
    <n v="0"/>
    <n v="0"/>
    <n v="0"/>
    <n v="0"/>
    <n v="0"/>
    <n v="0"/>
    <n v="0"/>
    <n v="0"/>
    <n v="0"/>
    <n v="363.32"/>
    <n v="363.32"/>
    <n v="363.32"/>
    <n v="363.32"/>
    <n v="363.32"/>
    <n v="363.32"/>
    <n v="363.32"/>
    <n v="363.32"/>
  </r>
  <r>
    <x v="2"/>
    <s v="Hallway"/>
    <n v="0"/>
    <n v="0"/>
    <n v="0"/>
    <n v="149.97999999999999"/>
    <n v="149.97999999999999"/>
    <n v="149.97999999999999"/>
    <n v="149.97999999999999"/>
    <n v="149.97999999999999"/>
    <n v="149.97999999999999"/>
    <n v="149.97999999999999"/>
    <n v="149.97999999999999"/>
    <n v="149.97999999999999"/>
    <n v="149.97999999999999"/>
    <n v="149.97999999999999"/>
    <n v="149.97999999999999"/>
    <n v="149.97999999999999"/>
    <n v="149.97999999999999"/>
  </r>
  <r>
    <x v="2"/>
    <s v="Hallway"/>
    <n v="0"/>
    <n v="0"/>
    <n v="0"/>
    <n v="412.64"/>
    <n v="412.64"/>
    <n v="412.64"/>
    <n v="412.64"/>
    <n v="412.64"/>
    <n v="412.64"/>
    <n v="412.64"/>
    <n v="412.64"/>
    <n v="412.64"/>
    <n v="412.64"/>
    <n v="412.64"/>
    <n v="412.64"/>
    <n v="412.64"/>
    <n v="412.64"/>
  </r>
  <r>
    <x v="2"/>
    <s v="Hallway"/>
    <n v="0"/>
    <n v="0"/>
    <n v="0"/>
    <n v="49.12"/>
    <n v="49.12"/>
    <n v="49.12"/>
    <n v="49.12"/>
    <n v="49.12"/>
    <n v="49.12"/>
    <n v="49.12"/>
    <n v="49.12"/>
    <n v="49.12"/>
    <n v="49.12"/>
    <n v="49.12"/>
    <n v="49.12"/>
    <n v="49.12"/>
    <n v="49.12"/>
  </r>
  <r>
    <x v="2"/>
    <s v="Hallway"/>
    <n v="0"/>
    <n v="0"/>
    <n v="0"/>
    <n v="444.59"/>
    <n v="444.59"/>
    <n v="444.59"/>
    <n v="444.59"/>
    <n v="444.59"/>
    <n v="444.59"/>
    <n v="444.59"/>
    <n v="444.59"/>
    <n v="444.59"/>
    <n v="444.59"/>
    <n v="444.59"/>
    <n v="444.59"/>
    <n v="444.59"/>
    <n v="444.59"/>
  </r>
  <r>
    <x v="3"/>
    <s v="Bedroom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3"/>
    <s v="Bedroom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3"/>
    <s v="Bedroom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x v="3"/>
    <s v="Bedroom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x v="3"/>
    <s v="Bedroom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x v="3"/>
    <s v="Bedroom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3"/>
    <s v="Bed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Bed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Bedroom"/>
    <n v="0"/>
    <n v="0"/>
    <n v="0"/>
    <n v="0"/>
    <n v="0"/>
    <n v="0"/>
    <n v="0"/>
    <n v="0"/>
    <n v="0"/>
    <n v="0"/>
    <n v="0"/>
    <n v="74.19"/>
    <n v="74.19"/>
    <n v="74.19"/>
    <n v="74.19"/>
    <n v="74.19"/>
    <n v="74.19"/>
  </r>
  <r>
    <x v="3"/>
    <s v="Bedroom"/>
    <n v="0"/>
    <n v="0"/>
    <n v="0"/>
    <n v="550.54"/>
    <n v="550.54"/>
    <n v="550.54"/>
    <n v="550.54"/>
    <n v="550.54"/>
    <n v="550.54"/>
    <n v="550.54"/>
    <n v="550.54"/>
    <n v="550.54"/>
    <n v="550.54"/>
    <n v="550.54"/>
    <n v="550.54"/>
    <n v="550.54"/>
    <n v="550.54"/>
  </r>
  <r>
    <x v="3"/>
    <s v="Bedroom"/>
    <n v="0"/>
    <n v="0"/>
    <n v="0"/>
    <n v="0"/>
    <n v="0"/>
    <n v="0"/>
    <n v="0"/>
    <n v="0"/>
    <n v="0"/>
    <n v="0"/>
    <n v="0"/>
    <n v="0"/>
    <n v="0"/>
    <n v="0"/>
    <n v="160.57"/>
    <n v="160.57"/>
    <n v="160.57"/>
  </r>
  <r>
    <x v="3"/>
    <s v="Bedroom"/>
    <n v="0"/>
    <n v="0"/>
    <n v="0"/>
    <n v="0"/>
    <n v="312.23"/>
    <n v="312.23"/>
    <n v="312.23"/>
    <n v="312.23"/>
    <n v="312.23"/>
    <n v="312.23"/>
    <n v="312.23"/>
    <n v="312.23"/>
    <n v="312.23"/>
    <n v="312.23"/>
    <n v="312.23"/>
    <n v="312.23"/>
    <n v="312.23"/>
  </r>
  <r>
    <x v="3"/>
    <s v="Bedroom"/>
    <n v="0"/>
    <n v="0"/>
    <n v="0"/>
    <n v="59.9"/>
    <n v="59.9"/>
    <n v="59.9"/>
    <n v="59.9"/>
    <n v="59.9"/>
    <n v="119.8"/>
    <n v="119.8"/>
    <n v="119.8"/>
    <n v="239.6"/>
    <n v="239.6"/>
    <n v="239.6"/>
    <n v="239.6"/>
    <n v="239.6"/>
    <n v="239.6"/>
  </r>
  <r>
    <x v="3"/>
    <s v="Bedroom"/>
    <n v="0"/>
    <n v="0"/>
    <n v="0"/>
    <n v="535.25"/>
    <n v="535.25"/>
    <n v="535.25"/>
    <n v="535.25"/>
    <n v="1070.5"/>
    <n v="1070.5"/>
    <n v="1070.5"/>
    <n v="1070.5"/>
    <n v="2141"/>
    <n v="2141"/>
    <n v="2141"/>
    <n v="2141"/>
    <n v="2141"/>
    <n v="2141"/>
  </r>
  <r>
    <x v="3"/>
    <s v="Bedroom"/>
    <n v="0"/>
    <n v="0"/>
    <n v="0"/>
    <n v="0"/>
    <n v="0"/>
    <n v="0"/>
    <n v="0"/>
    <n v="0"/>
    <n v="0"/>
    <n v="0"/>
    <n v="0"/>
    <n v="73.64"/>
    <n v="73.64"/>
    <n v="73.64"/>
    <n v="73.64"/>
    <n v="73.64"/>
    <n v="73.64"/>
  </r>
  <r>
    <x v="3"/>
    <s v="Bedroom"/>
    <n v="0"/>
    <n v="0"/>
    <n v="0"/>
    <n v="0"/>
    <n v="0"/>
    <n v="0"/>
    <n v="0"/>
    <n v="0"/>
    <n v="0"/>
    <n v="0"/>
    <n v="0"/>
    <n v="567.82000000000005"/>
    <n v="567.82000000000005"/>
    <n v="567.82000000000005"/>
    <n v="567.82000000000005"/>
    <n v="567.82000000000005"/>
    <n v="567.82000000000005"/>
  </r>
  <r>
    <x v="3"/>
    <s v="Bedroom"/>
    <n v="0"/>
    <n v="0"/>
    <n v="0"/>
    <n v="106.91"/>
    <n v="106.91"/>
    <n v="106.91"/>
    <n v="106.91"/>
    <n v="106.91"/>
    <n v="106.91"/>
    <n v="106.91"/>
    <n v="106.91"/>
    <n v="106.91"/>
    <n v="106.91"/>
    <n v="106.91"/>
    <n v="106.91"/>
    <n v="106.91"/>
    <n v="106.91"/>
  </r>
  <r>
    <x v="3"/>
    <s v="Bedroom"/>
    <n v="0"/>
    <n v="0"/>
    <n v="0"/>
    <n v="402.14"/>
    <n v="402.14"/>
    <n v="402.14"/>
    <n v="402.14"/>
    <n v="402.14"/>
    <n v="402.14"/>
    <n v="402.14"/>
    <n v="402.14"/>
    <n v="402.14"/>
    <n v="402.14"/>
    <n v="402.14"/>
    <n v="402.14"/>
    <n v="402.14"/>
    <n v="402.14"/>
  </r>
  <r>
    <x v="3"/>
    <s v="Bedroom"/>
    <n v="0"/>
    <n v="0"/>
    <n v="0"/>
    <n v="218.29"/>
    <n v="218.29"/>
    <n v="218.29"/>
    <n v="218.29"/>
    <n v="436.58"/>
    <n v="436.58"/>
    <n v="436.58"/>
    <n v="436.58"/>
    <n v="873.16"/>
    <n v="873.16"/>
    <n v="873.16"/>
    <n v="873.16"/>
    <n v="873.16"/>
    <n v="873.16"/>
  </r>
  <r>
    <x v="3"/>
    <s v="Bedroom"/>
    <n v="0"/>
    <n v="0"/>
    <n v="0"/>
    <n v="0"/>
    <n v="0"/>
    <n v="0"/>
    <n v="0"/>
    <n v="0"/>
    <n v="0"/>
    <n v="0"/>
    <n v="0"/>
    <n v="0"/>
    <n v="0"/>
    <n v="0"/>
    <n v="163.71"/>
    <n v="163.71"/>
    <n v="163.71"/>
  </r>
  <r>
    <x v="3"/>
    <s v="Bedroom"/>
    <n v="0"/>
    <n v="0"/>
    <n v="0"/>
    <n v="179.31"/>
    <n v="179.31"/>
    <n v="179.31"/>
    <n v="179.31"/>
    <n v="179.31"/>
    <n v="179.31"/>
    <n v="179.31"/>
    <n v="179.31"/>
    <n v="179.31"/>
    <n v="179.31"/>
    <n v="179.31"/>
    <n v="179.31"/>
    <n v="179.31"/>
    <n v="179.31"/>
  </r>
  <r>
    <x v="3"/>
    <s v="Bedroom"/>
    <n v="0"/>
    <n v="0"/>
    <n v="0"/>
    <n v="0"/>
    <n v="0"/>
    <n v="0"/>
    <n v="0"/>
    <n v="0"/>
    <n v="0"/>
    <n v="901.71"/>
    <n v="901.71"/>
    <n v="901.71"/>
    <n v="901.71"/>
    <n v="901.71"/>
    <n v="901.71"/>
    <n v="901.71"/>
    <n v="901.71"/>
  </r>
  <r>
    <x v="3"/>
    <s v="Bedroom"/>
    <n v="0"/>
    <n v="0"/>
    <n v="0"/>
    <n v="372.16"/>
    <n v="372.16"/>
    <n v="372.16"/>
    <n v="372.16"/>
    <n v="372.16"/>
    <n v="372.16"/>
    <n v="372.16"/>
    <n v="372.16"/>
    <n v="372.16"/>
    <n v="372.16"/>
    <n v="372.16"/>
    <n v="372.16"/>
    <n v="372.16"/>
    <n v="372.16"/>
  </r>
  <r>
    <x v="3"/>
    <s v="Bedroom"/>
    <n v="0"/>
    <n v="0"/>
    <n v="0"/>
    <n v="1023.97"/>
    <n v="1023.97"/>
    <n v="1023.97"/>
    <n v="1023.97"/>
    <n v="1023.97"/>
    <n v="1023.97"/>
    <n v="1023.97"/>
    <n v="1023.97"/>
    <n v="1023.97"/>
    <n v="1023.97"/>
    <n v="1023.97"/>
    <n v="1023.97"/>
    <n v="1023.97"/>
    <n v="1023.97"/>
  </r>
  <r>
    <x v="3"/>
    <s v="Bedroom"/>
    <n v="0"/>
    <n v="0"/>
    <n v="0"/>
    <n v="121.93"/>
    <n v="121.93"/>
    <n v="121.93"/>
    <n v="121.93"/>
    <n v="121.93"/>
    <n v="121.93"/>
    <n v="121.93"/>
    <n v="121.93"/>
    <n v="121.93"/>
    <n v="121.93"/>
    <n v="121.93"/>
    <n v="121.93"/>
    <n v="121.93"/>
    <n v="121.93"/>
  </r>
  <r>
    <x v="3"/>
    <s v="Bedroom"/>
    <n v="0"/>
    <n v="0"/>
    <n v="0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</r>
  <r>
    <x v="2"/>
    <s v="Bedroom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2"/>
    <s v="Bedroom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2"/>
    <s v="Bedroom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x v="2"/>
    <s v="Bedroom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x v="2"/>
    <s v="Bedroom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x v="2"/>
    <s v="Bedroom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2"/>
    <s v="Bed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Bed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Bedroom"/>
    <n v="0"/>
    <n v="0"/>
    <n v="0"/>
    <n v="0"/>
    <n v="0"/>
    <n v="0"/>
    <n v="0"/>
    <n v="0"/>
    <n v="0"/>
    <n v="0"/>
    <n v="0"/>
    <n v="74.19"/>
    <n v="74.19"/>
    <n v="74.19"/>
    <n v="74.19"/>
    <n v="74.19"/>
    <n v="74.19"/>
  </r>
  <r>
    <x v="2"/>
    <s v="Bedroom"/>
    <n v="0"/>
    <n v="0"/>
    <n v="0"/>
    <n v="550.54"/>
    <n v="550.54"/>
    <n v="550.54"/>
    <n v="550.54"/>
    <n v="550.54"/>
    <n v="550.54"/>
    <n v="550.54"/>
    <n v="550.54"/>
    <n v="550.54"/>
    <n v="550.54"/>
    <n v="550.54"/>
    <n v="550.54"/>
    <n v="550.54"/>
    <n v="550.54"/>
  </r>
  <r>
    <x v="2"/>
    <s v="Bedroom"/>
    <n v="0"/>
    <n v="0"/>
    <n v="0"/>
    <n v="0"/>
    <n v="0"/>
    <n v="0"/>
    <n v="0"/>
    <n v="0"/>
    <n v="0"/>
    <n v="0"/>
    <n v="0"/>
    <n v="0"/>
    <n v="0"/>
    <n v="0"/>
    <n v="160.57"/>
    <n v="160.57"/>
    <n v="160.57"/>
  </r>
  <r>
    <x v="2"/>
    <s v="Bedroom"/>
    <n v="0"/>
    <n v="0"/>
    <n v="0"/>
    <n v="0"/>
    <n v="312.23"/>
    <n v="312.23"/>
    <n v="312.23"/>
    <n v="312.23"/>
    <n v="312.23"/>
    <n v="312.23"/>
    <n v="312.23"/>
    <n v="312.23"/>
    <n v="312.23"/>
    <n v="312.23"/>
    <n v="312.23"/>
    <n v="312.23"/>
    <n v="312.23"/>
  </r>
  <r>
    <x v="2"/>
    <s v="Bedroom"/>
    <n v="0"/>
    <n v="0"/>
    <n v="0"/>
    <n v="59.9"/>
    <n v="59.9"/>
    <n v="59.9"/>
    <n v="59.9"/>
    <n v="59.9"/>
    <n v="119.8"/>
    <n v="119.8"/>
    <n v="119.8"/>
    <n v="239.6"/>
    <n v="239.6"/>
    <n v="239.6"/>
    <n v="239.6"/>
    <n v="239.6"/>
    <n v="239.6"/>
  </r>
  <r>
    <x v="2"/>
    <s v="Bedroom"/>
    <n v="0"/>
    <n v="0"/>
    <n v="0"/>
    <n v="535.25"/>
    <n v="535.25"/>
    <n v="535.25"/>
    <n v="535.25"/>
    <n v="1070.5"/>
    <n v="1070.5"/>
    <n v="1070.5"/>
    <n v="1070.5"/>
    <n v="2141"/>
    <n v="2141"/>
    <n v="2141"/>
    <n v="2141"/>
    <n v="2141"/>
    <n v="2141"/>
  </r>
  <r>
    <x v="2"/>
    <s v="Bedroom"/>
    <n v="0"/>
    <n v="0"/>
    <n v="0"/>
    <n v="0"/>
    <n v="0"/>
    <n v="0"/>
    <n v="0"/>
    <n v="0"/>
    <n v="0"/>
    <n v="0"/>
    <n v="0"/>
    <n v="73.64"/>
    <n v="73.64"/>
    <n v="73.64"/>
    <n v="73.64"/>
    <n v="73.64"/>
    <n v="73.64"/>
  </r>
  <r>
    <x v="2"/>
    <s v="Bedroom"/>
    <n v="0"/>
    <n v="0"/>
    <n v="0"/>
    <n v="0"/>
    <n v="0"/>
    <n v="0"/>
    <n v="0"/>
    <n v="0"/>
    <n v="0"/>
    <n v="0"/>
    <n v="0"/>
    <n v="567.82000000000005"/>
    <n v="567.82000000000005"/>
    <n v="567.82000000000005"/>
    <n v="567.82000000000005"/>
    <n v="567.82000000000005"/>
    <n v="567.82000000000005"/>
  </r>
  <r>
    <x v="2"/>
    <s v="Bedroom"/>
    <n v="0"/>
    <n v="0"/>
    <n v="0"/>
    <n v="106.91"/>
    <n v="106.91"/>
    <n v="106.91"/>
    <n v="106.91"/>
    <n v="106.91"/>
    <n v="106.91"/>
    <n v="106.91"/>
    <n v="106.91"/>
    <n v="106.91"/>
    <n v="106.91"/>
    <n v="106.91"/>
    <n v="106.91"/>
    <n v="106.91"/>
    <n v="106.91"/>
  </r>
  <r>
    <x v="2"/>
    <s v="Bedroom"/>
    <n v="0"/>
    <n v="0"/>
    <n v="0"/>
    <n v="402.14"/>
    <n v="402.14"/>
    <n v="402.14"/>
    <n v="402.14"/>
    <n v="402.14"/>
    <n v="402.14"/>
    <n v="402.14"/>
    <n v="402.14"/>
    <n v="402.14"/>
    <n v="402.14"/>
    <n v="402.14"/>
    <n v="402.14"/>
    <n v="402.14"/>
    <n v="402.14"/>
  </r>
  <r>
    <x v="2"/>
    <s v="Bedroom"/>
    <n v="0"/>
    <n v="0"/>
    <n v="0"/>
    <n v="308.67"/>
    <n v="308.67"/>
    <n v="308.67"/>
    <n v="308.67"/>
    <n v="617.34"/>
    <n v="617.34"/>
    <n v="617.34"/>
    <n v="617.34"/>
    <n v="1234.68"/>
    <n v="1234.68"/>
    <n v="1234.68"/>
    <n v="1234.68"/>
    <n v="1234.68"/>
    <n v="1234.68"/>
  </r>
  <r>
    <x v="2"/>
    <s v="Bedroom"/>
    <n v="0"/>
    <n v="0"/>
    <n v="0"/>
    <n v="0"/>
    <n v="0"/>
    <n v="0"/>
    <n v="0"/>
    <n v="0"/>
    <n v="0"/>
    <n v="0"/>
    <n v="0"/>
    <n v="0"/>
    <n v="0"/>
    <n v="0"/>
    <n v="231.5"/>
    <n v="231.5"/>
    <n v="231.5"/>
  </r>
  <r>
    <x v="2"/>
    <s v="Bedroom"/>
    <n v="0"/>
    <n v="0"/>
    <n v="0"/>
    <n v="253.55"/>
    <n v="253.55"/>
    <n v="253.55"/>
    <n v="253.55"/>
    <n v="253.55"/>
    <n v="253.55"/>
    <n v="253.55"/>
    <n v="253.55"/>
    <n v="253.55"/>
    <n v="253.55"/>
    <n v="253.55"/>
    <n v="253.55"/>
    <n v="253.55"/>
    <n v="253.55"/>
  </r>
  <r>
    <x v="2"/>
    <s v="Bedroom"/>
    <n v="0"/>
    <n v="0"/>
    <n v="0"/>
    <n v="0"/>
    <n v="0"/>
    <n v="0"/>
    <n v="0"/>
    <n v="0"/>
    <n v="0"/>
    <n v="901.71"/>
    <n v="901.71"/>
    <n v="901.71"/>
    <n v="901.71"/>
    <n v="901.71"/>
    <n v="901.71"/>
    <n v="901.71"/>
    <n v="901.71"/>
  </r>
  <r>
    <x v="2"/>
    <s v="Bedroom"/>
    <n v="0"/>
    <n v="0"/>
    <n v="0"/>
    <n v="372.16"/>
    <n v="372.16"/>
    <n v="372.16"/>
    <n v="372.16"/>
    <n v="372.16"/>
    <n v="372.16"/>
    <n v="372.16"/>
    <n v="372.16"/>
    <n v="372.16"/>
    <n v="372.16"/>
    <n v="372.16"/>
    <n v="372.16"/>
    <n v="372.16"/>
    <n v="372.16"/>
  </r>
  <r>
    <x v="2"/>
    <s v="Bedroom"/>
    <n v="0"/>
    <n v="0"/>
    <n v="0"/>
    <n v="1023.97"/>
    <n v="1023.97"/>
    <n v="1023.97"/>
    <n v="1023.97"/>
    <n v="1023.97"/>
    <n v="1023.97"/>
    <n v="1023.97"/>
    <n v="1023.97"/>
    <n v="1023.97"/>
    <n v="1023.97"/>
    <n v="1023.97"/>
    <n v="1023.97"/>
    <n v="1023.97"/>
    <n v="1023.97"/>
  </r>
  <r>
    <x v="2"/>
    <s v="Bedroom"/>
    <n v="0"/>
    <n v="0"/>
    <n v="0"/>
    <n v="121.93"/>
    <n v="121.93"/>
    <n v="121.93"/>
    <n v="121.93"/>
    <n v="121.93"/>
    <n v="121.93"/>
    <n v="121.93"/>
    <n v="121.93"/>
    <n v="121.93"/>
    <n v="121.93"/>
    <n v="121.93"/>
    <n v="121.93"/>
    <n v="121.93"/>
    <n v="121.93"/>
  </r>
  <r>
    <x v="2"/>
    <s v="Bedroom"/>
    <n v="0"/>
    <n v="0"/>
    <n v="0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</r>
  <r>
    <x v="3"/>
    <s v="Bedroom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3"/>
    <s v="Bedroom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3"/>
    <s v="Bedroom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x v="3"/>
    <s v="Bedroom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x v="3"/>
    <s v="Bedroom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x v="3"/>
    <s v="Bedroom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3"/>
    <s v="Bed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Bed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Bedroom"/>
    <n v="0"/>
    <n v="0"/>
    <n v="0"/>
    <n v="0"/>
    <n v="0"/>
    <n v="0"/>
    <n v="0"/>
    <n v="0"/>
    <n v="0"/>
    <n v="0"/>
    <n v="0"/>
    <n v="64.349999999999994"/>
    <n v="64.349999999999994"/>
    <n v="64.349999999999994"/>
    <n v="64.349999999999994"/>
    <n v="64.349999999999994"/>
    <n v="64.349999999999994"/>
  </r>
  <r>
    <x v="3"/>
    <s v="Bedroom"/>
    <n v="0"/>
    <n v="0"/>
    <n v="0"/>
    <n v="477.45"/>
    <n v="477.45"/>
    <n v="477.45"/>
    <n v="477.45"/>
    <n v="477.45"/>
    <n v="477.45"/>
    <n v="477.45"/>
    <n v="477.45"/>
    <n v="477.45"/>
    <n v="477.45"/>
    <n v="477.45"/>
    <n v="477.45"/>
    <n v="477.45"/>
    <n v="477.45"/>
  </r>
  <r>
    <x v="3"/>
    <s v="Bedroom"/>
    <n v="0"/>
    <n v="0"/>
    <n v="0"/>
    <n v="0"/>
    <n v="0"/>
    <n v="0"/>
    <n v="0"/>
    <n v="0"/>
    <n v="0"/>
    <n v="0"/>
    <n v="0"/>
    <n v="0"/>
    <n v="0"/>
    <n v="0"/>
    <n v="139.27000000000001"/>
    <n v="139.27000000000001"/>
    <n v="139.27000000000001"/>
  </r>
  <r>
    <x v="3"/>
    <s v="Bedroom"/>
    <n v="0"/>
    <n v="0"/>
    <n v="0"/>
    <n v="0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  <n v="270.79000000000002"/>
  </r>
  <r>
    <x v="3"/>
    <s v="Bedroom"/>
    <n v="0"/>
    <n v="0"/>
    <n v="0"/>
    <n v="51.947499999999998"/>
    <n v="51.947499999999998"/>
    <n v="51.947499999999998"/>
    <n v="51.947499999999998"/>
    <n v="51.947499999999998"/>
    <n v="103.895"/>
    <n v="103.895"/>
    <n v="103.895"/>
    <n v="207.79"/>
    <n v="207.79"/>
    <n v="207.79"/>
    <n v="207.79"/>
    <n v="207.79"/>
    <n v="207.79"/>
  </r>
  <r>
    <x v="3"/>
    <s v="Bedroom"/>
    <n v="0"/>
    <n v="0"/>
    <n v="0"/>
    <n v="464.185"/>
    <n v="464.185"/>
    <n v="464.185"/>
    <n v="464.185"/>
    <n v="928.37"/>
    <n v="928.37"/>
    <n v="928.37"/>
    <n v="928.37"/>
    <n v="1856.74"/>
    <n v="1856.74"/>
    <n v="1856.74"/>
    <n v="1856.74"/>
    <n v="1856.74"/>
    <n v="1856.74"/>
  </r>
  <r>
    <x v="3"/>
    <s v="Bedroom"/>
    <n v="0"/>
    <n v="0"/>
    <n v="0"/>
    <n v="0"/>
    <n v="0"/>
    <n v="0"/>
    <n v="0"/>
    <n v="0"/>
    <n v="0"/>
    <n v="0"/>
    <n v="0"/>
    <n v="63.86"/>
    <n v="63.86"/>
    <n v="63.86"/>
    <n v="63.86"/>
    <n v="63.86"/>
    <n v="63.86"/>
  </r>
  <r>
    <x v="3"/>
    <s v="Bedroom"/>
    <n v="0"/>
    <n v="0"/>
    <n v="0"/>
    <n v="0"/>
    <n v="0"/>
    <n v="0"/>
    <n v="0"/>
    <n v="0"/>
    <n v="0"/>
    <n v="0"/>
    <n v="0"/>
    <n v="492.46"/>
    <n v="492.46"/>
    <n v="492.46"/>
    <n v="492.46"/>
    <n v="492.46"/>
    <n v="492.46"/>
  </r>
  <r>
    <x v="3"/>
    <s v="Bedroom"/>
    <n v="0"/>
    <n v="0"/>
    <n v="0"/>
    <n v="92.73"/>
    <n v="92.73"/>
    <n v="92.73"/>
    <n v="92.73"/>
    <n v="92.73"/>
    <n v="92.73"/>
    <n v="92.73"/>
    <n v="92.73"/>
    <n v="92.73"/>
    <n v="92.73"/>
    <n v="92.73"/>
    <n v="92.73"/>
    <n v="92.73"/>
    <n v="92.73"/>
  </r>
  <r>
    <x v="3"/>
    <s v="Bedroom"/>
    <n v="0"/>
    <n v="0"/>
    <n v="0"/>
    <n v="348.79"/>
    <n v="348.79"/>
    <n v="348.79"/>
    <n v="348.79"/>
    <n v="348.79"/>
    <n v="348.79"/>
    <n v="348.79"/>
    <n v="348.79"/>
    <n v="348.79"/>
    <n v="348.79"/>
    <n v="348.79"/>
    <n v="348.79"/>
    <n v="348.79"/>
    <n v="348.79"/>
  </r>
  <r>
    <x v="3"/>
    <s v="Bedroom"/>
    <n v="0"/>
    <n v="0"/>
    <n v="0"/>
    <n v="164.01249999999999"/>
    <n v="164.01249999999999"/>
    <n v="164.01249999999999"/>
    <n v="164.01249999999999"/>
    <n v="328.02499999999998"/>
    <n v="328.02499999999998"/>
    <n v="328.02499999999998"/>
    <n v="328.02499999999998"/>
    <n v="656.05"/>
    <n v="656.05"/>
    <n v="656.05"/>
    <n v="656.05"/>
    <n v="656.05"/>
    <n v="656.05"/>
  </r>
  <r>
    <x v="3"/>
    <s v="Bedroom"/>
    <n v="0"/>
    <n v="0"/>
    <n v="0"/>
    <n v="0"/>
    <n v="0"/>
    <n v="0"/>
    <n v="0"/>
    <n v="0"/>
    <n v="0"/>
    <n v="0"/>
    <n v="0"/>
    <n v="0"/>
    <n v="0"/>
    <n v="0"/>
    <n v="123.01"/>
    <n v="123.01"/>
    <n v="123.01"/>
  </r>
  <r>
    <x v="3"/>
    <s v="Bedroom"/>
    <n v="0"/>
    <n v="0"/>
    <n v="0"/>
    <n v="134.72999999999999"/>
    <n v="134.72999999999999"/>
    <n v="134.72999999999999"/>
    <n v="134.72999999999999"/>
    <n v="134.72999999999999"/>
    <n v="134.72999999999999"/>
    <n v="134.72999999999999"/>
    <n v="134.72999999999999"/>
    <n v="134.72999999999999"/>
    <n v="134.72999999999999"/>
    <n v="134.72999999999999"/>
    <n v="134.72999999999999"/>
    <n v="134.72999999999999"/>
    <n v="134.72999999999999"/>
  </r>
  <r>
    <x v="3"/>
    <s v="Bedroom"/>
    <n v="0"/>
    <n v="0"/>
    <n v="0"/>
    <n v="0"/>
    <n v="0"/>
    <n v="0"/>
    <n v="0"/>
    <n v="0"/>
    <n v="0"/>
    <n v="677.49"/>
    <n v="677.49"/>
    <n v="677.49"/>
    <n v="677.49"/>
    <n v="677.49"/>
    <n v="677.49"/>
    <n v="677.49"/>
    <n v="677.49"/>
  </r>
  <r>
    <x v="3"/>
    <s v="Bedroom"/>
    <n v="0"/>
    <n v="0"/>
    <n v="0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  <n v="279.58999999999997"/>
  </r>
  <r>
    <x v="3"/>
    <s v="Bedroom"/>
    <n v="0"/>
    <n v="0"/>
    <n v="0"/>
    <n v="769.24"/>
    <n v="769.24"/>
    <n v="769.24"/>
    <n v="769.24"/>
    <n v="769.24"/>
    <n v="769.24"/>
    <n v="769.24"/>
    <n v="769.24"/>
    <n v="769.24"/>
    <n v="769.24"/>
    <n v="769.24"/>
    <n v="769.24"/>
    <n v="769.24"/>
    <n v="769.24"/>
  </r>
  <r>
    <x v="3"/>
    <s v="Bedroom"/>
    <n v="0"/>
    <n v="0"/>
    <n v="0"/>
    <n v="91.63"/>
    <n v="91.63"/>
    <n v="91.63"/>
    <n v="91.63"/>
    <n v="91.63"/>
    <n v="91.63"/>
    <n v="91.63"/>
    <n v="91.63"/>
    <n v="91.63"/>
    <n v="91.63"/>
    <n v="91.63"/>
    <n v="91.63"/>
    <n v="91.63"/>
    <n v="91.63"/>
  </r>
  <r>
    <x v="3"/>
    <s v="Bedroom"/>
    <n v="0"/>
    <n v="0"/>
    <n v="0"/>
    <n v="829.05"/>
    <n v="829.05"/>
    <n v="829.05"/>
    <n v="829.05"/>
    <n v="829.05"/>
    <n v="829.05"/>
    <n v="829.05"/>
    <n v="829.05"/>
    <n v="829.05"/>
    <n v="829.05"/>
    <n v="829.05"/>
    <n v="829.05"/>
    <n v="829.05"/>
    <n v="829.05"/>
  </r>
  <r>
    <x v="3"/>
    <s v="Hallway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3"/>
    <s v="Hallway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x v="3"/>
    <s v="Hallway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Hallway"/>
    <n v="0"/>
    <n v="0"/>
    <n v="0"/>
    <n v="0"/>
    <n v="0"/>
    <n v="0"/>
    <n v="0"/>
    <n v="0"/>
    <n v="0"/>
    <n v="0"/>
    <n v="0"/>
    <n v="51.97"/>
    <n v="51.97"/>
    <n v="51.97"/>
    <n v="51.97"/>
    <n v="51.97"/>
    <n v="51.97"/>
  </r>
  <r>
    <x v="3"/>
    <s v="Hallway"/>
    <n v="0"/>
    <n v="0"/>
    <n v="0"/>
    <n v="385.69"/>
    <n v="385.69"/>
    <n v="385.69"/>
    <n v="385.69"/>
    <n v="385.69"/>
    <n v="385.69"/>
    <n v="385.69"/>
    <n v="385.69"/>
    <n v="385.69"/>
    <n v="385.69"/>
    <n v="385.69"/>
    <n v="385.69"/>
    <n v="385.69"/>
    <n v="385.69"/>
  </r>
  <r>
    <x v="3"/>
    <s v="Hallway"/>
    <n v="0"/>
    <n v="0"/>
    <n v="0"/>
    <n v="0"/>
    <n v="0"/>
    <n v="0"/>
    <n v="0"/>
    <n v="0"/>
    <n v="0"/>
    <n v="0"/>
    <n v="0"/>
    <n v="0"/>
    <n v="0"/>
    <n v="0"/>
    <n v="112.48"/>
    <n v="112.48"/>
    <n v="112.48"/>
  </r>
  <r>
    <x v="3"/>
    <s v="Hallway"/>
    <n v="0"/>
    <n v="0"/>
    <n v="0"/>
    <n v="0"/>
    <n v="218.74"/>
    <n v="218.74"/>
    <n v="218.74"/>
    <n v="218.74"/>
    <n v="218.74"/>
    <n v="218.74"/>
    <n v="218.74"/>
    <n v="218.74"/>
    <n v="218.74"/>
    <n v="218.74"/>
    <n v="218.74"/>
    <n v="218.74"/>
    <n v="218.74"/>
  </r>
  <r>
    <x v="3"/>
    <s v="Hallway"/>
    <n v="0"/>
    <n v="0"/>
    <n v="0"/>
    <n v="41.962499999999999"/>
    <n v="41.962499999999999"/>
    <n v="41.962499999999999"/>
    <n v="41.962499999999999"/>
    <n v="41.962499999999999"/>
    <n v="83.924999999999997"/>
    <n v="83.924999999999997"/>
    <n v="83.924999999999997"/>
    <n v="167.85"/>
    <n v="167.85"/>
    <n v="167.85"/>
    <n v="167.85"/>
    <n v="167.85"/>
    <n v="167.85"/>
  </r>
  <r>
    <x v="3"/>
    <s v="Hallway"/>
    <n v="0"/>
    <n v="0"/>
    <n v="0"/>
    <n v="374.97500000000002"/>
    <n v="374.97500000000002"/>
    <n v="374.97500000000002"/>
    <n v="374.97500000000002"/>
    <n v="749.95"/>
    <n v="749.95"/>
    <n v="749.95"/>
    <n v="749.95"/>
    <n v="1499.9"/>
    <n v="1499.9"/>
    <n v="1499.9"/>
    <n v="1499.9"/>
    <n v="1499.9"/>
    <n v="1499.9"/>
  </r>
  <r>
    <x v="3"/>
    <s v="Hallway"/>
    <n v="0"/>
    <n v="0"/>
    <n v="0"/>
    <n v="0"/>
    <n v="0"/>
    <n v="0"/>
    <n v="0"/>
    <n v="0"/>
    <n v="0"/>
    <n v="0"/>
    <n v="0"/>
    <n v="51.58"/>
    <n v="51.58"/>
    <n v="51.58"/>
    <n v="51.58"/>
    <n v="51.58"/>
    <n v="51.58"/>
  </r>
  <r>
    <x v="3"/>
    <s v="Hallway"/>
    <n v="0"/>
    <n v="0"/>
    <n v="0"/>
    <n v="0"/>
    <n v="0"/>
    <n v="0"/>
    <n v="0"/>
    <n v="0"/>
    <n v="0"/>
    <n v="0"/>
    <n v="0"/>
    <n v="397.77"/>
    <n v="397.77"/>
    <n v="397.77"/>
    <n v="397.77"/>
    <n v="397.77"/>
    <n v="397.77"/>
  </r>
  <r>
    <x v="3"/>
    <s v="Hallway"/>
    <n v="0"/>
    <n v="0"/>
    <n v="0"/>
    <n v="74.89"/>
    <n v="74.89"/>
    <n v="74.89"/>
    <n v="74.89"/>
    <n v="74.89"/>
    <n v="74.89"/>
    <n v="74.89"/>
    <n v="74.89"/>
    <n v="74.89"/>
    <n v="74.89"/>
    <n v="74.89"/>
    <n v="74.89"/>
    <n v="74.89"/>
    <n v="74.89"/>
  </r>
  <r>
    <x v="3"/>
    <s v="Hallway"/>
    <n v="0"/>
    <n v="0"/>
    <n v="0"/>
    <n v="281.70999999999998"/>
    <n v="281.70999999999998"/>
    <n v="281.70999999999998"/>
    <n v="281.70999999999998"/>
    <n v="281.70999999999998"/>
    <n v="281.70999999999998"/>
    <n v="281.70999999999998"/>
    <n v="281.70999999999998"/>
    <n v="281.70999999999998"/>
    <n v="281.70999999999998"/>
    <n v="281.70999999999998"/>
    <n v="281.70999999999998"/>
    <n v="281.70999999999998"/>
    <n v="281.70999999999998"/>
  </r>
  <r>
    <x v="3"/>
    <s v="Hallway"/>
    <n v="0"/>
    <n v="0"/>
    <n v="0"/>
    <n v="87.967500000000001"/>
    <n v="87.967500000000001"/>
    <n v="87.967500000000001"/>
    <n v="87.967500000000001"/>
    <n v="175.935"/>
    <n v="175.935"/>
    <n v="175.935"/>
    <n v="175.935"/>
    <n v="351.87"/>
    <n v="351.87"/>
    <n v="351.87"/>
    <n v="351.87"/>
    <n v="351.87"/>
    <n v="351.87"/>
  </r>
  <r>
    <x v="3"/>
    <s v="Hallway"/>
    <n v="0"/>
    <n v="0"/>
    <n v="0"/>
    <n v="0"/>
    <n v="0"/>
    <n v="0"/>
    <n v="0"/>
    <n v="0"/>
    <n v="0"/>
    <n v="0"/>
    <n v="0"/>
    <n v="0"/>
    <n v="0"/>
    <n v="0"/>
    <n v="65.98"/>
    <n v="65.98"/>
    <n v="65.98"/>
  </r>
  <r>
    <x v="3"/>
    <s v="Hallway"/>
    <n v="0"/>
    <n v="0"/>
    <n v="0"/>
    <n v="72.260000000000005"/>
    <n v="72.260000000000005"/>
    <n v="72.260000000000005"/>
    <n v="72.260000000000005"/>
    <n v="72.260000000000005"/>
    <n v="72.260000000000005"/>
    <n v="72.260000000000005"/>
    <n v="72.260000000000005"/>
    <n v="72.260000000000005"/>
    <n v="72.260000000000005"/>
    <n v="72.260000000000005"/>
    <n v="72.260000000000005"/>
    <n v="72.260000000000005"/>
    <n v="72.260000000000005"/>
  </r>
  <r>
    <x v="3"/>
    <s v="Hallway"/>
    <n v="0"/>
    <n v="0"/>
    <n v="0"/>
    <n v="0"/>
    <n v="0"/>
    <n v="0"/>
    <n v="0"/>
    <n v="0"/>
    <n v="0"/>
    <n v="363.32"/>
    <n v="363.32"/>
    <n v="363.32"/>
    <n v="363.32"/>
    <n v="363.32"/>
    <n v="363.32"/>
    <n v="363.32"/>
    <n v="363.32"/>
  </r>
  <r>
    <x v="3"/>
    <s v="Hallway"/>
    <n v="0"/>
    <n v="0"/>
    <n v="0"/>
    <n v="149.97999999999999"/>
    <n v="149.97999999999999"/>
    <n v="149.97999999999999"/>
    <n v="149.97999999999999"/>
    <n v="149.97999999999999"/>
    <n v="149.97999999999999"/>
    <n v="149.97999999999999"/>
    <n v="149.97999999999999"/>
    <n v="149.97999999999999"/>
    <n v="149.97999999999999"/>
    <n v="149.97999999999999"/>
    <n v="149.97999999999999"/>
    <n v="149.97999999999999"/>
    <n v="149.97999999999999"/>
  </r>
  <r>
    <x v="3"/>
    <s v="Hallway"/>
    <n v="0"/>
    <n v="0"/>
    <n v="0"/>
    <n v="412.64"/>
    <n v="412.64"/>
    <n v="412.64"/>
    <n v="412.64"/>
    <n v="412.64"/>
    <n v="412.64"/>
    <n v="412.64"/>
    <n v="412.64"/>
    <n v="412.64"/>
    <n v="412.64"/>
    <n v="412.64"/>
    <n v="412.64"/>
    <n v="412.64"/>
    <n v="412.64"/>
  </r>
  <r>
    <x v="3"/>
    <s v="Hallway"/>
    <n v="0"/>
    <n v="0"/>
    <n v="0"/>
    <n v="49.12"/>
    <n v="49.12"/>
    <n v="49.12"/>
    <n v="49.12"/>
    <n v="49.12"/>
    <n v="49.12"/>
    <n v="49.12"/>
    <n v="49.12"/>
    <n v="49.12"/>
    <n v="49.12"/>
    <n v="49.12"/>
    <n v="49.12"/>
    <n v="49.12"/>
    <n v="49.12"/>
  </r>
  <r>
    <x v="3"/>
    <s v="Hallway"/>
    <n v="0"/>
    <n v="0"/>
    <n v="0"/>
    <n v="444.59"/>
    <n v="444.59"/>
    <n v="444.59"/>
    <n v="444.59"/>
    <n v="444.59"/>
    <n v="444.59"/>
    <n v="444.59"/>
    <n v="444.59"/>
    <n v="444.59"/>
    <n v="444.59"/>
    <n v="444.59"/>
    <n v="444.59"/>
    <n v="444.59"/>
    <n v="444.59"/>
  </r>
  <r>
    <x v="3"/>
    <s v="Living Area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x v="3"/>
    <s v="Living Area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Living Area"/>
    <n v="0"/>
    <n v="0"/>
    <n v="0"/>
    <n v="0"/>
    <n v="0"/>
    <n v="0"/>
    <n v="0"/>
    <n v="0"/>
    <n v="0"/>
    <n v="0"/>
    <n v="0"/>
    <n v="84.03"/>
    <n v="84.03"/>
    <n v="84.03"/>
    <n v="84.03"/>
    <n v="84.03"/>
    <n v="84.03"/>
  </r>
  <r>
    <x v="3"/>
    <s v="Living Area"/>
    <n v="0"/>
    <n v="0"/>
    <n v="0"/>
    <n v="623.64"/>
    <n v="623.64"/>
    <n v="623.64"/>
    <n v="623.64"/>
    <n v="623.64"/>
    <n v="623.64"/>
    <n v="623.64"/>
    <n v="623.64"/>
    <n v="623.64"/>
    <n v="623.64"/>
    <n v="623.64"/>
    <n v="623.64"/>
    <n v="623.64"/>
    <n v="623.64"/>
  </r>
  <r>
    <x v="3"/>
    <s v="Living Area"/>
    <n v="0"/>
    <n v="0"/>
    <n v="0"/>
    <n v="0"/>
    <n v="0"/>
    <n v="0"/>
    <n v="0"/>
    <n v="0"/>
    <n v="0"/>
    <n v="0"/>
    <n v="0"/>
    <n v="0"/>
    <n v="0"/>
    <n v="0"/>
    <n v="181.9"/>
    <n v="181.9"/>
    <n v="181.9"/>
  </r>
  <r>
    <x v="3"/>
    <s v="Living Area"/>
    <n v="0"/>
    <n v="0"/>
    <n v="0"/>
    <n v="0"/>
    <n v="353.68"/>
    <n v="353.68"/>
    <n v="353.68"/>
    <n v="353.68"/>
    <n v="353.68"/>
    <n v="353.68"/>
    <n v="353.68"/>
    <n v="353.68"/>
    <n v="353.68"/>
    <n v="353.68"/>
    <n v="353.68"/>
    <n v="353.68"/>
    <n v="353.68"/>
  </r>
  <r>
    <x v="3"/>
    <s v="Living Area"/>
    <n v="0"/>
    <n v="0"/>
    <n v="0"/>
    <n v="67.849999999999994"/>
    <n v="67.849999999999994"/>
    <n v="67.849999999999994"/>
    <n v="67.849999999999994"/>
    <n v="67.849999999999994"/>
    <n v="135.69999999999999"/>
    <n v="135.69999999999999"/>
    <n v="135.69999999999999"/>
    <n v="271.39999999999998"/>
    <n v="271.39999999999998"/>
    <n v="271.39999999999998"/>
    <n v="271.39999999999998"/>
    <n v="271.39999999999998"/>
    <n v="271.39999999999998"/>
  </r>
  <r>
    <x v="3"/>
    <s v="Living Area"/>
    <n v="0"/>
    <n v="0"/>
    <n v="0"/>
    <n v="606.30999999999995"/>
    <n v="606.30999999999995"/>
    <n v="606.30999999999995"/>
    <n v="606.30999999999995"/>
    <n v="1212.6199999999999"/>
    <n v="1212.6199999999999"/>
    <n v="1212.6199999999999"/>
    <n v="1212.6199999999999"/>
    <n v="2425.2399999999998"/>
    <n v="2425.2399999999998"/>
    <n v="2425.2399999999998"/>
    <n v="2425.2399999999998"/>
    <n v="2425.2399999999998"/>
    <n v="2425.2399999999998"/>
  </r>
  <r>
    <x v="3"/>
    <s v="Living Area"/>
    <n v="0"/>
    <n v="0"/>
    <n v="0"/>
    <n v="0"/>
    <n v="0"/>
    <n v="0"/>
    <n v="0"/>
    <n v="0"/>
    <n v="0"/>
    <n v="0"/>
    <n v="0"/>
    <n v="193.08"/>
    <n v="193.08"/>
    <n v="193.08"/>
    <n v="193.08"/>
    <n v="193.08"/>
    <n v="193.08"/>
  </r>
  <r>
    <x v="3"/>
    <s v="Living Area"/>
    <n v="0"/>
    <n v="0"/>
    <n v="0"/>
    <n v="0"/>
    <n v="0"/>
    <n v="0"/>
    <n v="0"/>
    <n v="0"/>
    <n v="0"/>
    <n v="0"/>
    <n v="0"/>
    <n v="719.74"/>
    <n v="719.74"/>
    <n v="719.74"/>
    <n v="719.74"/>
    <n v="719.74"/>
    <n v="719.74"/>
  </r>
  <r>
    <x v="3"/>
    <s v="Living Area"/>
    <n v="0"/>
    <n v="0"/>
    <n v="0"/>
    <n v="0"/>
    <n v="0"/>
    <n v="0"/>
    <n v="0"/>
    <n v="0"/>
    <n v="0"/>
    <n v="0"/>
    <n v="0"/>
    <n v="83.4"/>
    <n v="83.4"/>
    <n v="83.4"/>
    <n v="83.4"/>
    <n v="83.4"/>
    <n v="83.4"/>
  </r>
  <r>
    <x v="3"/>
    <s v="Living Area"/>
    <n v="0"/>
    <n v="0"/>
    <n v="0"/>
    <n v="0"/>
    <n v="0"/>
    <n v="0"/>
    <n v="0"/>
    <n v="0"/>
    <n v="0"/>
    <n v="0"/>
    <n v="0"/>
    <n v="643.17999999999995"/>
    <n v="643.17999999999995"/>
    <n v="643.17999999999995"/>
    <n v="643.17999999999995"/>
    <n v="643.17999999999995"/>
    <n v="643.17999999999995"/>
  </r>
  <r>
    <x v="3"/>
    <s v="Living Area"/>
    <n v="0"/>
    <n v="0"/>
    <n v="0"/>
    <n v="121.09"/>
    <n v="121.09"/>
    <n v="121.09"/>
    <n v="121.09"/>
    <n v="121.09"/>
    <n v="121.09"/>
    <n v="121.09"/>
    <n v="121.09"/>
    <n v="121.09"/>
    <n v="121.09"/>
    <n v="121.09"/>
    <n v="121.09"/>
    <n v="121.09"/>
    <n v="121.09"/>
  </r>
  <r>
    <x v="3"/>
    <s v="Living Area"/>
    <n v="0"/>
    <n v="0"/>
    <n v="0"/>
    <n v="455.51"/>
    <n v="455.51"/>
    <n v="455.51"/>
    <n v="455.51"/>
    <n v="455.51"/>
    <n v="455.51"/>
    <n v="455.51"/>
    <n v="455.51"/>
    <n v="455.51"/>
    <n v="455.51"/>
    <n v="455.51"/>
    <n v="455.51"/>
    <n v="455.51"/>
    <n v="455.51"/>
  </r>
  <r>
    <x v="3"/>
    <s v="Living Area"/>
    <n v="0"/>
    <n v="0"/>
    <n v="0"/>
    <n v="272.58249999999998"/>
    <n v="272.58249999999998"/>
    <n v="272.58249999999998"/>
    <n v="272.58249999999998"/>
    <n v="545.16499999999996"/>
    <n v="545.16499999999996"/>
    <n v="545.16499999999996"/>
    <n v="545.16499999999996"/>
    <n v="1090.33"/>
    <n v="1090.33"/>
    <n v="1090.33"/>
    <n v="1090.33"/>
    <n v="1090.33"/>
    <n v="1090.33"/>
  </r>
  <r>
    <x v="3"/>
    <s v="Living Area"/>
    <n v="0"/>
    <n v="0"/>
    <n v="0"/>
    <n v="0"/>
    <n v="0"/>
    <n v="0"/>
    <n v="0"/>
    <n v="0"/>
    <n v="0"/>
    <n v="0"/>
    <n v="0"/>
    <n v="0"/>
    <n v="0"/>
    <n v="0"/>
    <n v="204.44"/>
    <n v="204.44"/>
    <n v="204.44"/>
  </r>
  <r>
    <x v="3"/>
    <s v="Living Area"/>
    <n v="0"/>
    <n v="0"/>
    <n v="0"/>
    <n v="223.91"/>
    <n v="223.91"/>
    <n v="223.91"/>
    <n v="223.91"/>
    <n v="223.91"/>
    <n v="223.91"/>
    <n v="223.91"/>
    <n v="223.91"/>
    <n v="223.91"/>
    <n v="223.91"/>
    <n v="223.91"/>
    <n v="223.91"/>
    <n v="223.91"/>
    <n v="223.91"/>
  </r>
  <r>
    <x v="3"/>
    <s v="Living Area"/>
    <n v="0"/>
    <n v="0"/>
    <n v="0"/>
    <n v="0"/>
    <n v="0"/>
    <n v="0"/>
    <n v="0"/>
    <n v="0"/>
    <n v="0"/>
    <n v="1125.95"/>
    <n v="1125.95"/>
    <n v="1125.95"/>
    <n v="1125.95"/>
    <n v="1125.95"/>
    <n v="1125.95"/>
    <n v="1125.95"/>
    <n v="1125.95"/>
  </r>
  <r>
    <x v="3"/>
    <s v="Living Area"/>
    <n v="0"/>
    <n v="0"/>
    <n v="0"/>
    <n v="464.71"/>
    <n v="464.71"/>
    <n v="464.71"/>
    <n v="464.71"/>
    <n v="464.71"/>
    <n v="464.71"/>
    <n v="464.71"/>
    <n v="464.71"/>
    <n v="464.71"/>
    <n v="464.71"/>
    <n v="464.71"/>
    <n v="464.71"/>
    <n v="464.71"/>
    <n v="464.71"/>
  </r>
  <r>
    <x v="3"/>
    <s v="Living Area"/>
    <n v="0"/>
    <n v="0"/>
    <n v="0"/>
    <n v="1278.57"/>
    <n v="1278.57"/>
    <n v="1278.57"/>
    <n v="1278.57"/>
    <n v="1278.57"/>
    <n v="1278.57"/>
    <n v="1278.57"/>
    <n v="1278.57"/>
    <n v="1278.57"/>
    <n v="1278.57"/>
    <n v="1278.57"/>
    <n v="1278.57"/>
    <n v="1278.57"/>
    <n v="1278.57"/>
  </r>
  <r>
    <x v="3"/>
    <s v="Living Area"/>
    <n v="0"/>
    <n v="0"/>
    <n v="0"/>
    <n v="152.26"/>
    <n v="152.26"/>
    <n v="152.26"/>
    <n v="152.26"/>
    <n v="152.26"/>
    <n v="152.26"/>
    <n v="152.26"/>
    <n v="152.26"/>
    <n v="152.26"/>
    <n v="152.26"/>
    <n v="152.26"/>
    <n v="152.26"/>
    <n v="152.26"/>
    <n v="152.26"/>
  </r>
  <r>
    <x v="3"/>
    <s v="Living Area"/>
    <n v="0"/>
    <n v="0"/>
    <n v="0"/>
    <n v="1377.74"/>
    <n v="1377.74"/>
    <n v="1377.74"/>
    <n v="1377.74"/>
    <n v="1377.74"/>
    <n v="1377.74"/>
    <n v="1377.74"/>
    <n v="1377.74"/>
    <n v="1377.74"/>
    <n v="1377.74"/>
    <n v="1377.74"/>
    <n v="1377.74"/>
    <n v="1377.74"/>
    <n v="1377.74"/>
  </r>
  <r>
    <x v="2"/>
    <s v="general-main"/>
    <n v="0"/>
    <n v="0"/>
    <n v="0"/>
    <n v="0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100.03"/>
    <n v="100.03"/>
    <n v="100.03"/>
  </r>
  <r>
    <x v="3"/>
    <s v="Living Area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x v="3"/>
    <s v="Living Area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Living Area"/>
    <n v="0"/>
    <n v="0"/>
    <n v="0"/>
    <n v="0"/>
    <n v="0"/>
    <n v="0"/>
    <n v="0"/>
    <n v="0"/>
    <n v="0"/>
    <n v="0"/>
    <n v="0"/>
    <n v="74.19"/>
    <n v="74.19"/>
    <n v="74.19"/>
    <n v="74.19"/>
    <n v="74.19"/>
    <n v="74.19"/>
  </r>
  <r>
    <x v="3"/>
    <s v="Living Area"/>
    <n v="0"/>
    <n v="0"/>
    <n v="0"/>
    <n v="550.54"/>
    <n v="550.54"/>
    <n v="550.54"/>
    <n v="550.54"/>
    <n v="550.54"/>
    <n v="550.54"/>
    <n v="550.54"/>
    <n v="550.54"/>
    <n v="550.54"/>
    <n v="550.54"/>
    <n v="550.54"/>
    <n v="550.54"/>
    <n v="550.54"/>
    <n v="550.54"/>
  </r>
  <r>
    <x v="3"/>
    <s v="Living Area"/>
    <n v="0"/>
    <n v="0"/>
    <n v="0"/>
    <n v="0"/>
    <n v="0"/>
    <n v="0"/>
    <n v="0"/>
    <n v="0"/>
    <n v="0"/>
    <n v="0"/>
    <n v="0"/>
    <n v="0"/>
    <n v="0"/>
    <n v="0"/>
    <n v="160.57"/>
    <n v="160.57"/>
    <n v="160.57"/>
  </r>
  <r>
    <x v="3"/>
    <s v="Living Area"/>
    <n v="0"/>
    <n v="0"/>
    <n v="0"/>
    <n v="0"/>
    <n v="312.23"/>
    <n v="312.23"/>
    <n v="312.23"/>
    <n v="312.23"/>
    <n v="312.23"/>
    <n v="312.23"/>
    <n v="312.23"/>
    <n v="312.23"/>
    <n v="312.23"/>
    <n v="312.23"/>
    <n v="312.23"/>
    <n v="312.23"/>
    <n v="312.23"/>
  </r>
  <r>
    <x v="3"/>
    <s v="Living Area"/>
    <n v="0"/>
    <n v="0"/>
    <n v="0"/>
    <n v="59.9"/>
    <n v="59.9"/>
    <n v="59.9"/>
    <n v="59.9"/>
    <n v="59.9"/>
    <n v="119.8"/>
    <n v="119.8"/>
    <n v="119.8"/>
    <n v="239.6"/>
    <n v="239.6"/>
    <n v="239.6"/>
    <n v="239.6"/>
    <n v="239.6"/>
    <n v="239.6"/>
  </r>
  <r>
    <x v="3"/>
    <s v="Living Area"/>
    <n v="0"/>
    <n v="0"/>
    <n v="0"/>
    <n v="535.25"/>
    <n v="535.25"/>
    <n v="535.25"/>
    <n v="535.25"/>
    <n v="1070.5"/>
    <n v="1070.5"/>
    <n v="1070.5"/>
    <n v="1070.5"/>
    <n v="2141"/>
    <n v="2141"/>
    <n v="2141"/>
    <n v="2141"/>
    <n v="2141"/>
    <n v="2141"/>
  </r>
  <r>
    <x v="3"/>
    <s v="Living Area"/>
    <n v="0"/>
    <n v="0"/>
    <n v="0"/>
    <n v="0"/>
    <n v="0"/>
    <n v="0"/>
    <n v="0"/>
    <n v="0"/>
    <n v="0"/>
    <n v="0"/>
    <n v="0"/>
    <n v="173.44"/>
    <n v="173.44"/>
    <n v="173.44"/>
    <n v="173.44"/>
    <n v="173.44"/>
    <n v="173.44"/>
  </r>
  <r>
    <x v="3"/>
    <s v="Living Area"/>
    <n v="0"/>
    <n v="0"/>
    <n v="0"/>
    <n v="0"/>
    <n v="0"/>
    <n v="0"/>
    <n v="0"/>
    <n v="0"/>
    <n v="0"/>
    <n v="0"/>
    <n v="0"/>
    <n v="646.54"/>
    <n v="646.54"/>
    <n v="646.54"/>
    <n v="646.54"/>
    <n v="646.54"/>
    <n v="646.54"/>
  </r>
  <r>
    <x v="3"/>
    <s v="Living Area"/>
    <n v="0"/>
    <n v="0"/>
    <n v="0"/>
    <n v="0"/>
    <n v="0"/>
    <n v="0"/>
    <n v="0"/>
    <n v="0"/>
    <n v="0"/>
    <n v="0"/>
    <n v="0"/>
    <n v="73.64"/>
    <n v="73.64"/>
    <n v="73.64"/>
    <n v="73.64"/>
    <n v="73.64"/>
    <n v="73.64"/>
  </r>
  <r>
    <x v="3"/>
    <s v="Living Area"/>
    <n v="0"/>
    <n v="0"/>
    <n v="0"/>
    <n v="0"/>
    <n v="0"/>
    <n v="0"/>
    <n v="0"/>
    <n v="0"/>
    <n v="0"/>
    <n v="0"/>
    <n v="0"/>
    <n v="567.82000000000005"/>
    <n v="567.82000000000005"/>
    <n v="567.82000000000005"/>
    <n v="567.82000000000005"/>
    <n v="567.82000000000005"/>
    <n v="567.82000000000005"/>
  </r>
  <r>
    <x v="3"/>
    <s v="Living Area"/>
    <n v="0"/>
    <n v="0"/>
    <n v="0"/>
    <n v="106.91"/>
    <n v="106.91"/>
    <n v="106.91"/>
    <n v="106.91"/>
    <n v="106.91"/>
    <n v="106.91"/>
    <n v="106.91"/>
    <n v="106.91"/>
    <n v="106.91"/>
    <n v="106.91"/>
    <n v="106.91"/>
    <n v="106.91"/>
    <n v="106.91"/>
    <n v="106.91"/>
  </r>
  <r>
    <x v="3"/>
    <s v="Living Area"/>
    <n v="0"/>
    <n v="0"/>
    <n v="0"/>
    <n v="402.14"/>
    <n v="402.14"/>
    <n v="402.14"/>
    <n v="402.14"/>
    <n v="402.14"/>
    <n v="402.14"/>
    <n v="402.14"/>
    <n v="402.14"/>
    <n v="402.14"/>
    <n v="402.14"/>
    <n v="402.14"/>
    <n v="402.14"/>
    <n v="402.14"/>
    <n v="402.14"/>
  </r>
  <r>
    <x v="3"/>
    <s v="Living Area"/>
    <n v="0"/>
    <n v="0"/>
    <n v="0"/>
    <n v="210.73"/>
    <n v="210.73"/>
    <n v="210.73"/>
    <n v="210.73"/>
    <n v="421.46"/>
    <n v="421.46"/>
    <n v="421.46"/>
    <n v="421.46"/>
    <n v="842.92"/>
    <n v="842.92"/>
    <n v="842.92"/>
    <n v="842.92"/>
    <n v="842.92"/>
    <n v="842.92"/>
  </r>
  <r>
    <x v="3"/>
    <s v="Living Area"/>
    <n v="0"/>
    <n v="0"/>
    <n v="0"/>
    <n v="0"/>
    <n v="0"/>
    <n v="0"/>
    <n v="0"/>
    <n v="0"/>
    <n v="0"/>
    <n v="0"/>
    <n v="0"/>
    <n v="0"/>
    <n v="0"/>
    <n v="0"/>
    <n v="158.05000000000001"/>
    <n v="158.05000000000001"/>
    <n v="158.05000000000001"/>
  </r>
  <r>
    <x v="3"/>
    <s v="Living Area"/>
    <n v="0"/>
    <n v="0"/>
    <n v="0"/>
    <n v="173.11"/>
    <n v="173.11"/>
    <n v="173.11"/>
    <n v="173.11"/>
    <n v="173.11"/>
    <n v="173.11"/>
    <n v="173.11"/>
    <n v="173.11"/>
    <n v="173.11"/>
    <n v="173.11"/>
    <n v="173.11"/>
    <n v="173.11"/>
    <n v="173.11"/>
    <n v="173.11"/>
  </r>
  <r>
    <x v="3"/>
    <s v="Living Area"/>
    <n v="0"/>
    <n v="0"/>
    <n v="0"/>
    <n v="0"/>
    <n v="0"/>
    <n v="0"/>
    <n v="0"/>
    <n v="0"/>
    <n v="0"/>
    <n v="870.48"/>
    <n v="870.48"/>
    <n v="870.48"/>
    <n v="870.48"/>
    <n v="870.48"/>
    <n v="870.48"/>
    <n v="870.48"/>
    <n v="870.48"/>
  </r>
  <r>
    <x v="3"/>
    <s v="Living Area"/>
    <n v="0"/>
    <n v="0"/>
    <n v="0"/>
    <n v="359.24"/>
    <n v="359.24"/>
    <n v="359.24"/>
    <n v="359.24"/>
    <n v="359.24"/>
    <n v="359.24"/>
    <n v="359.24"/>
    <n v="359.24"/>
    <n v="359.24"/>
    <n v="359.24"/>
    <n v="359.24"/>
    <n v="359.24"/>
    <n v="359.24"/>
    <n v="359.24"/>
  </r>
  <r>
    <x v="3"/>
    <s v="Living Area"/>
    <n v="0"/>
    <n v="0"/>
    <n v="0"/>
    <n v="988.4"/>
    <n v="988.4"/>
    <n v="988.4"/>
    <n v="988.4"/>
    <n v="988.4"/>
    <n v="988.4"/>
    <n v="988.4"/>
    <n v="988.4"/>
    <n v="988.4"/>
    <n v="988.4"/>
    <n v="988.4"/>
    <n v="988.4"/>
    <n v="988.4"/>
    <n v="988.4"/>
  </r>
  <r>
    <x v="3"/>
    <s v="Living Area"/>
    <n v="0"/>
    <n v="0"/>
    <n v="0"/>
    <n v="117.71"/>
    <n v="117.71"/>
    <n v="117.71"/>
    <n v="117.71"/>
    <n v="117.71"/>
    <n v="117.71"/>
    <n v="117.71"/>
    <n v="117.71"/>
    <n v="117.71"/>
    <n v="117.71"/>
    <n v="117.71"/>
    <n v="117.71"/>
    <n v="117.71"/>
    <n v="117.71"/>
  </r>
  <r>
    <x v="3"/>
    <s v="Living Area"/>
    <n v="0"/>
    <n v="0"/>
    <n v="0"/>
    <n v="1065.19"/>
    <n v="1065.19"/>
    <n v="1065.19"/>
    <n v="1065.19"/>
    <n v="1065.19"/>
    <n v="1065.19"/>
    <n v="1065.19"/>
    <n v="1065.19"/>
    <n v="1065.19"/>
    <n v="1065.19"/>
    <n v="1065.19"/>
    <n v="1065.19"/>
    <n v="1065.19"/>
    <n v="1065.19"/>
  </r>
  <r>
    <x v="3"/>
    <s v="Bedroom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3"/>
    <s v="Bedroom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3"/>
    <s v="Bedroom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x v="3"/>
    <s v="Bedroom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x v="3"/>
    <s v="Bedroom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x v="3"/>
    <s v="Bedroom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3"/>
    <s v="Bed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Bed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Bedroom"/>
    <n v="0"/>
    <n v="0"/>
    <n v="0"/>
    <n v="0"/>
    <n v="0"/>
    <n v="0"/>
    <n v="0"/>
    <n v="0"/>
    <n v="0"/>
    <n v="0"/>
    <n v="0"/>
    <n v="74.19"/>
    <n v="74.19"/>
    <n v="74.19"/>
    <n v="74.19"/>
    <n v="74.19"/>
    <n v="74.19"/>
  </r>
  <r>
    <x v="3"/>
    <s v="Bedroom"/>
    <n v="0"/>
    <n v="0"/>
    <n v="0"/>
    <n v="550.54"/>
    <n v="550.54"/>
    <n v="550.54"/>
    <n v="550.54"/>
    <n v="550.54"/>
    <n v="550.54"/>
    <n v="550.54"/>
    <n v="550.54"/>
    <n v="550.54"/>
    <n v="550.54"/>
    <n v="550.54"/>
    <n v="550.54"/>
    <n v="550.54"/>
    <n v="550.54"/>
  </r>
  <r>
    <x v="3"/>
    <s v="Bedroom"/>
    <n v="0"/>
    <n v="0"/>
    <n v="0"/>
    <n v="0"/>
    <n v="0"/>
    <n v="0"/>
    <n v="0"/>
    <n v="0"/>
    <n v="0"/>
    <n v="0"/>
    <n v="0"/>
    <n v="0"/>
    <n v="0"/>
    <n v="0"/>
    <n v="160.57"/>
    <n v="160.57"/>
    <n v="160.57"/>
  </r>
  <r>
    <x v="3"/>
    <s v="Bedroom"/>
    <n v="0"/>
    <n v="0"/>
    <n v="0"/>
    <n v="0"/>
    <n v="312.23"/>
    <n v="312.23"/>
    <n v="312.23"/>
    <n v="312.23"/>
    <n v="312.23"/>
    <n v="312.23"/>
    <n v="312.23"/>
    <n v="312.23"/>
    <n v="312.23"/>
    <n v="312.23"/>
    <n v="312.23"/>
    <n v="312.23"/>
    <n v="312.23"/>
  </r>
  <r>
    <x v="3"/>
    <s v="Bedroom"/>
    <n v="0"/>
    <n v="0"/>
    <n v="0"/>
    <n v="59.9"/>
    <n v="59.9"/>
    <n v="59.9"/>
    <n v="59.9"/>
    <n v="59.9"/>
    <n v="119.8"/>
    <n v="119.8"/>
    <n v="119.8"/>
    <n v="239.6"/>
    <n v="239.6"/>
    <n v="239.6"/>
    <n v="239.6"/>
    <n v="239.6"/>
    <n v="239.6"/>
  </r>
  <r>
    <x v="3"/>
    <s v="Bedroom"/>
    <n v="0"/>
    <n v="0"/>
    <n v="0"/>
    <n v="535.25"/>
    <n v="535.25"/>
    <n v="535.25"/>
    <n v="535.25"/>
    <n v="1070.5"/>
    <n v="1070.5"/>
    <n v="1070.5"/>
    <n v="1070.5"/>
    <n v="2141"/>
    <n v="2141"/>
    <n v="2141"/>
    <n v="2141"/>
    <n v="2141"/>
    <n v="2141"/>
  </r>
  <r>
    <x v="3"/>
    <s v="Bedroom"/>
    <n v="0"/>
    <n v="0"/>
    <n v="0"/>
    <n v="0"/>
    <n v="0"/>
    <n v="0"/>
    <n v="0"/>
    <n v="0"/>
    <n v="0"/>
    <n v="0"/>
    <n v="0"/>
    <n v="73.64"/>
    <n v="73.64"/>
    <n v="73.64"/>
    <n v="73.64"/>
    <n v="73.64"/>
    <n v="73.64"/>
  </r>
  <r>
    <x v="3"/>
    <s v="Bedroom"/>
    <n v="0"/>
    <n v="0"/>
    <n v="0"/>
    <n v="0"/>
    <n v="0"/>
    <n v="0"/>
    <n v="0"/>
    <n v="0"/>
    <n v="0"/>
    <n v="0"/>
    <n v="0"/>
    <n v="567.82000000000005"/>
    <n v="567.82000000000005"/>
    <n v="567.82000000000005"/>
    <n v="567.82000000000005"/>
    <n v="567.82000000000005"/>
    <n v="567.82000000000005"/>
  </r>
  <r>
    <x v="3"/>
    <s v="Bedroom"/>
    <n v="0"/>
    <n v="0"/>
    <n v="0"/>
    <n v="106.91"/>
    <n v="106.91"/>
    <n v="106.91"/>
    <n v="106.91"/>
    <n v="106.91"/>
    <n v="106.91"/>
    <n v="106.91"/>
    <n v="106.91"/>
    <n v="106.91"/>
    <n v="106.91"/>
    <n v="106.91"/>
    <n v="106.91"/>
    <n v="106.91"/>
    <n v="106.91"/>
  </r>
  <r>
    <x v="3"/>
    <s v="Bedroom"/>
    <n v="0"/>
    <n v="0"/>
    <n v="0"/>
    <n v="402.14"/>
    <n v="402.14"/>
    <n v="402.14"/>
    <n v="402.14"/>
    <n v="402.14"/>
    <n v="402.14"/>
    <n v="402.14"/>
    <n v="402.14"/>
    <n v="402.14"/>
    <n v="402.14"/>
    <n v="402.14"/>
    <n v="402.14"/>
    <n v="402.14"/>
    <n v="402.14"/>
  </r>
  <r>
    <x v="3"/>
    <s v="Bedroom"/>
    <n v="0"/>
    <n v="0"/>
    <n v="0"/>
    <n v="218.29"/>
    <n v="218.29"/>
    <n v="218.29"/>
    <n v="218.29"/>
    <n v="436.58"/>
    <n v="436.58"/>
    <n v="436.58"/>
    <n v="436.58"/>
    <n v="873.16"/>
    <n v="873.16"/>
    <n v="873.16"/>
    <n v="873.16"/>
    <n v="873.16"/>
    <n v="873.16"/>
  </r>
  <r>
    <x v="3"/>
    <s v="Bedroom"/>
    <n v="0"/>
    <n v="0"/>
    <n v="0"/>
    <n v="0"/>
    <n v="0"/>
    <n v="0"/>
    <n v="0"/>
    <n v="0"/>
    <n v="0"/>
    <n v="0"/>
    <n v="0"/>
    <n v="0"/>
    <n v="0"/>
    <n v="0"/>
    <n v="163.71"/>
    <n v="163.71"/>
    <n v="163.71"/>
  </r>
  <r>
    <x v="3"/>
    <s v="Bedroom"/>
    <n v="0"/>
    <n v="0"/>
    <n v="0"/>
    <n v="179.31"/>
    <n v="179.31"/>
    <n v="179.31"/>
    <n v="179.31"/>
    <n v="179.31"/>
    <n v="179.31"/>
    <n v="179.31"/>
    <n v="179.31"/>
    <n v="179.31"/>
    <n v="179.31"/>
    <n v="179.31"/>
    <n v="179.31"/>
    <n v="179.31"/>
    <n v="179.31"/>
  </r>
  <r>
    <x v="3"/>
    <s v="Bedroom"/>
    <n v="0"/>
    <n v="0"/>
    <n v="0"/>
    <n v="0"/>
    <n v="0"/>
    <n v="0"/>
    <n v="0"/>
    <n v="0"/>
    <n v="0"/>
    <n v="901.71"/>
    <n v="901.71"/>
    <n v="901.71"/>
    <n v="901.71"/>
    <n v="901.71"/>
    <n v="901.71"/>
    <n v="901.71"/>
    <n v="901.71"/>
  </r>
  <r>
    <x v="3"/>
    <s v="Bedroom"/>
    <n v="0"/>
    <n v="0"/>
    <n v="0"/>
    <n v="372.16"/>
    <n v="372.16"/>
    <n v="372.16"/>
    <n v="372.16"/>
    <n v="372.16"/>
    <n v="372.16"/>
    <n v="372.16"/>
    <n v="372.16"/>
    <n v="372.16"/>
    <n v="372.16"/>
    <n v="372.16"/>
    <n v="372.16"/>
    <n v="372.16"/>
    <n v="372.16"/>
  </r>
  <r>
    <x v="3"/>
    <s v="Bedroom"/>
    <n v="0"/>
    <n v="0"/>
    <n v="0"/>
    <n v="1023.97"/>
    <n v="1023.97"/>
    <n v="1023.97"/>
    <n v="1023.97"/>
    <n v="1023.97"/>
    <n v="1023.97"/>
    <n v="1023.97"/>
    <n v="1023.97"/>
    <n v="1023.97"/>
    <n v="1023.97"/>
    <n v="1023.97"/>
    <n v="1023.97"/>
    <n v="1023.97"/>
    <n v="1023.97"/>
  </r>
  <r>
    <x v="3"/>
    <s v="Bedroom"/>
    <n v="0"/>
    <n v="0"/>
    <n v="0"/>
    <n v="121.93"/>
    <n v="121.93"/>
    <n v="121.93"/>
    <n v="121.93"/>
    <n v="121.93"/>
    <n v="121.93"/>
    <n v="121.93"/>
    <n v="121.93"/>
    <n v="121.93"/>
    <n v="121.93"/>
    <n v="121.93"/>
    <n v="121.93"/>
    <n v="121.93"/>
    <n v="121.93"/>
  </r>
  <r>
    <x v="3"/>
    <s v="Bedroom"/>
    <n v="0"/>
    <n v="0"/>
    <n v="0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  <n v="1103.39000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AF08CA-01CE-417E-A33D-75FDE3B74EC2}" name="grp3pivot" cacheId="357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R48" firstHeaderRow="1" firstDataRow="2" firstDataCol="1"/>
  <pivotFields count="19">
    <pivotField showAll="0"/>
    <pivotField axis="axisCol" showAll="0">
      <items count="17">
        <item x="0"/>
        <item x="1"/>
        <item x="2"/>
        <item x="7"/>
        <item x="15"/>
        <item x="10"/>
        <item x="3"/>
        <item x="11"/>
        <item x="9"/>
        <item x="12"/>
        <item x="4"/>
        <item x="5"/>
        <item x="6"/>
        <item x="8"/>
        <item x="13"/>
        <item x="14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F69873-5436-4A51-A046-B75AD5B79B9D}" name="grp2pivot" cacheId="363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F23" firstHeaderRow="1" firstDataRow="2" firstDataCol="1"/>
  <pivotFields count="19">
    <pivotField axis="axisCol" showAll="0">
      <items count="5">
        <item x="2"/>
        <item x="1"/>
        <item x="0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383E5-86E6-4F40-85B8-B8B21901537D}">
  <dimension ref="A1:J96"/>
  <sheetViews>
    <sheetView topLeftCell="A80" workbookViewId="0">
      <selection activeCell="C91" sqref="C91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5" customWidth="1"/>
    <col min="5" max="5" width="20.42578125" customWidth="1"/>
    <col min="7" max="7" width="26.42578125" style="136" customWidth="1"/>
    <col min="8" max="8" width="30.5703125" style="136" customWidth="1"/>
    <col min="9" max="9" width="17.42578125" customWidth="1"/>
    <col min="10" max="10" width="15.5703125" style="136" customWidth="1"/>
  </cols>
  <sheetData>
    <row r="1" spans="1:9" x14ac:dyDescent="0.25">
      <c r="C1" t="s">
        <v>168</v>
      </c>
      <c r="D1" s="135" t="s">
        <v>169</v>
      </c>
      <c r="E1" t="s">
        <v>170</v>
      </c>
      <c r="F1" t="s">
        <v>171</v>
      </c>
      <c r="G1" s="136" t="s">
        <v>172</v>
      </c>
      <c r="H1" s="136" t="s">
        <v>173</v>
      </c>
      <c r="I1" t="s">
        <v>174</v>
      </c>
    </row>
    <row r="2" spans="1:9" x14ac:dyDescent="0.25">
      <c r="A2" t="s">
        <v>175</v>
      </c>
      <c r="C2" t="s">
        <v>176</v>
      </c>
      <c r="D2" s="137" t="s">
        <v>177</v>
      </c>
      <c r="E2">
        <v>1</v>
      </c>
      <c r="F2" t="s">
        <v>178</v>
      </c>
      <c r="G2" s="136" t="s">
        <v>11</v>
      </c>
      <c r="H2" s="136" t="s">
        <v>179</v>
      </c>
      <c r="I2" t="s">
        <v>180</v>
      </c>
    </row>
    <row r="4" spans="1:9" x14ac:dyDescent="0.25">
      <c r="A4" t="s">
        <v>181</v>
      </c>
      <c r="C4" s="3"/>
    </row>
    <row r="5" spans="1:9" x14ac:dyDescent="0.25">
      <c r="C5" s="3"/>
    </row>
    <row r="6" spans="1:9" x14ac:dyDescent="0.25">
      <c r="C6" s="138"/>
      <c r="D6" s="137"/>
    </row>
    <row r="7" spans="1:9" x14ac:dyDescent="0.25">
      <c r="B7" t="s">
        <v>182</v>
      </c>
      <c r="C7" s="138" t="s">
        <v>183</v>
      </c>
    </row>
    <row r="8" spans="1:9" x14ac:dyDescent="0.25">
      <c r="B8" t="s">
        <v>184</v>
      </c>
      <c r="C8" s="3" t="s">
        <v>155</v>
      </c>
    </row>
    <row r="9" spans="1:9" x14ac:dyDescent="0.25">
      <c r="B9" t="s">
        <v>185</v>
      </c>
      <c r="C9" s="139">
        <v>0.1</v>
      </c>
    </row>
    <row r="10" spans="1:9" x14ac:dyDescent="0.25">
      <c r="B10" t="s">
        <v>186</v>
      </c>
      <c r="C10" s="139">
        <v>0.1</v>
      </c>
    </row>
    <row r="12" spans="1:9" x14ac:dyDescent="0.25">
      <c r="B12" s="1"/>
      <c r="C12" s="1"/>
    </row>
    <row r="15" spans="1:9" x14ac:dyDescent="0.25">
      <c r="A15" t="s">
        <v>187</v>
      </c>
    </row>
    <row r="16" spans="1:9" x14ac:dyDescent="0.25">
      <c r="C16" s="3" t="s">
        <v>188</v>
      </c>
      <c r="D16" s="135">
        <v>2000</v>
      </c>
    </row>
    <row r="17" spans="3:5" x14ac:dyDescent="0.25">
      <c r="C17" s="3" t="s">
        <v>189</v>
      </c>
      <c r="D17" s="135" t="s">
        <v>190</v>
      </c>
    </row>
    <row r="18" spans="3:5" x14ac:dyDescent="0.25">
      <c r="C18" s="3" t="s">
        <v>191</v>
      </c>
      <c r="D18" s="140">
        <v>2500</v>
      </c>
    </row>
    <row r="19" spans="3:5" x14ac:dyDescent="0.25">
      <c r="C19" s="3" t="s">
        <v>192</v>
      </c>
      <c r="D19" s="135" t="s">
        <v>193</v>
      </c>
    </row>
    <row r="20" spans="3:5" x14ac:dyDescent="0.25">
      <c r="C20" s="3" t="s">
        <v>194</v>
      </c>
      <c r="D20" s="135" t="s">
        <v>193</v>
      </c>
    </row>
    <row r="21" spans="3:5" x14ac:dyDescent="0.25">
      <c r="C21" s="3" t="s">
        <v>195</v>
      </c>
      <c r="D21" s="135" t="s">
        <v>193</v>
      </c>
    </row>
    <row r="22" spans="3:5" x14ac:dyDescent="0.25">
      <c r="C22" s="3" t="s">
        <v>196</v>
      </c>
      <c r="D22" s="135" t="s">
        <v>193</v>
      </c>
    </row>
    <row r="24" spans="3:5" x14ac:dyDescent="0.25">
      <c r="C24" s="3" t="s">
        <v>197</v>
      </c>
      <c r="D24" s="135" t="s">
        <v>198</v>
      </c>
    </row>
    <row r="25" spans="3:5" x14ac:dyDescent="0.25">
      <c r="C25" s="3" t="s">
        <v>10</v>
      </c>
      <c r="D25" s="135">
        <v>1</v>
      </c>
    </row>
    <row r="26" spans="3:5" x14ac:dyDescent="0.25">
      <c r="C26" s="3" t="s">
        <v>199</v>
      </c>
      <c r="D26" s="135" t="s">
        <v>11</v>
      </c>
      <c r="E26" s="141">
        <v>1</v>
      </c>
    </row>
    <row r="27" spans="3:5" x14ac:dyDescent="0.25">
      <c r="C27" s="3" t="s">
        <v>200</v>
      </c>
      <c r="D27" s="142">
        <v>1</v>
      </c>
    </row>
    <row r="28" spans="3:5" x14ac:dyDescent="0.25">
      <c r="C28" s="3" t="s">
        <v>201</v>
      </c>
      <c r="D28" s="135" t="s">
        <v>155</v>
      </c>
    </row>
    <row r="29" spans="3:5" x14ac:dyDescent="0.25">
      <c r="C29" s="3" t="s">
        <v>202</v>
      </c>
      <c r="D29" s="135" t="s">
        <v>203</v>
      </c>
    </row>
    <row r="30" spans="3:5" x14ac:dyDescent="0.25">
      <c r="C30" s="3" t="s">
        <v>204</v>
      </c>
      <c r="D30" s="135" t="s">
        <v>179</v>
      </c>
    </row>
    <row r="31" spans="3:5" x14ac:dyDescent="0.25">
      <c r="C31" s="3" t="s">
        <v>205</v>
      </c>
      <c r="D31" s="135" t="s">
        <v>206</v>
      </c>
    </row>
    <row r="32" spans="3:5" ht="30" x14ac:dyDescent="0.25">
      <c r="C32" s="3" t="s">
        <v>207</v>
      </c>
      <c r="D32" s="135" t="s">
        <v>208</v>
      </c>
    </row>
    <row r="33" spans="1:4" x14ac:dyDescent="0.25">
      <c r="C33" s="3" t="s">
        <v>209</v>
      </c>
      <c r="D33" s="135" t="s">
        <v>210</v>
      </c>
    </row>
    <row r="34" spans="1:4" x14ac:dyDescent="0.25">
      <c r="C34" s="3" t="s">
        <v>211</v>
      </c>
      <c r="D34" s="135" t="s">
        <v>212</v>
      </c>
    </row>
    <row r="35" spans="1:4" x14ac:dyDescent="0.25">
      <c r="C35" s="3" t="s">
        <v>213</v>
      </c>
      <c r="D35" s="135" t="s">
        <v>214</v>
      </c>
    </row>
    <row r="36" spans="1:4" x14ac:dyDescent="0.25">
      <c r="C36" s="3" t="s">
        <v>215</v>
      </c>
      <c r="D36" s="135" t="s">
        <v>155</v>
      </c>
    </row>
    <row r="37" spans="1:4" ht="30" x14ac:dyDescent="0.25">
      <c r="C37" s="3" t="s">
        <v>216</v>
      </c>
      <c r="D37" s="135" t="s">
        <v>217</v>
      </c>
    </row>
    <row r="38" spans="1:4" x14ac:dyDescent="0.25">
      <c r="C38" s="3" t="s">
        <v>218</v>
      </c>
      <c r="D38" s="135" t="s">
        <v>219</v>
      </c>
    </row>
    <row r="39" spans="1:4" x14ac:dyDescent="0.25">
      <c r="C39" s="3"/>
    </row>
    <row r="40" spans="1:4" x14ac:dyDescent="0.25">
      <c r="A40" t="s">
        <v>220</v>
      </c>
    </row>
    <row r="41" spans="1:4" x14ac:dyDescent="0.25">
      <c r="C41" s="3" t="s">
        <v>221</v>
      </c>
      <c r="D41" s="135" t="s">
        <v>222</v>
      </c>
    </row>
    <row r="42" spans="1:4" x14ac:dyDescent="0.25">
      <c r="C42" s="3" t="s">
        <v>223</v>
      </c>
      <c r="D42" s="135" t="s">
        <v>224</v>
      </c>
    </row>
    <row r="43" spans="1:4" x14ac:dyDescent="0.25">
      <c r="C43" s="3" t="s">
        <v>225</v>
      </c>
      <c r="D43" s="135" t="s">
        <v>155</v>
      </c>
    </row>
    <row r="44" spans="1:4" x14ac:dyDescent="0.25">
      <c r="C44" s="3" t="s">
        <v>226</v>
      </c>
      <c r="D44" s="135" t="s">
        <v>155</v>
      </c>
    </row>
    <row r="45" spans="1:4" ht="30" x14ac:dyDescent="0.25">
      <c r="C45" s="3" t="s">
        <v>227</v>
      </c>
      <c r="D45" s="135" t="s">
        <v>228</v>
      </c>
    </row>
    <row r="46" spans="1:4" x14ac:dyDescent="0.25">
      <c r="C46" s="3" t="s">
        <v>229</v>
      </c>
      <c r="D46" s="135" t="s">
        <v>230</v>
      </c>
    </row>
    <row r="47" spans="1:4" x14ac:dyDescent="0.25">
      <c r="C47" s="3" t="s">
        <v>231</v>
      </c>
      <c r="D47" s="135" t="s">
        <v>155</v>
      </c>
    </row>
    <row r="48" spans="1:4" x14ac:dyDescent="0.25">
      <c r="A48" t="s">
        <v>220</v>
      </c>
    </row>
    <row r="49" spans="1:10" x14ac:dyDescent="0.25">
      <c r="C49" s="3" t="s">
        <v>232</v>
      </c>
      <c r="D49" s="135">
        <v>9</v>
      </c>
    </row>
    <row r="50" spans="1:10" x14ac:dyDescent="0.25">
      <c r="C50" s="3" t="s">
        <v>233</v>
      </c>
      <c r="D50" s="135" t="s">
        <v>234</v>
      </c>
    </row>
    <row r="51" spans="1:10" ht="30" x14ac:dyDescent="0.25">
      <c r="C51" s="3" t="s">
        <v>235</v>
      </c>
      <c r="D51" s="135" t="s">
        <v>236</v>
      </c>
    </row>
    <row r="52" spans="1:10" x14ac:dyDescent="0.25">
      <c r="C52" s="3" t="s">
        <v>237</v>
      </c>
      <c r="D52" s="135" t="s">
        <v>238</v>
      </c>
    </row>
    <row r="53" spans="1:10" x14ac:dyDescent="0.25">
      <c r="C53" s="3" t="s">
        <v>239</v>
      </c>
      <c r="D53" s="135" t="s">
        <v>240</v>
      </c>
      <c r="E53" s="3" t="s">
        <v>11</v>
      </c>
    </row>
    <row r="54" spans="1:10" x14ac:dyDescent="0.25">
      <c r="C54" s="3" t="s">
        <v>241</v>
      </c>
      <c r="D54" s="135" t="s">
        <v>242</v>
      </c>
    </row>
    <row r="55" spans="1:10" x14ac:dyDescent="0.25">
      <c r="C55" s="3" t="s">
        <v>243</v>
      </c>
      <c r="D55" s="135" t="s">
        <v>244</v>
      </c>
    </row>
    <row r="56" spans="1:10" x14ac:dyDescent="0.25">
      <c r="C56" s="3" t="s">
        <v>245</v>
      </c>
      <c r="D56" s="135" t="s">
        <v>246</v>
      </c>
    </row>
    <row r="57" spans="1:10" x14ac:dyDescent="0.25">
      <c r="C57" s="3" t="s">
        <v>247</v>
      </c>
      <c r="D57" s="135" t="s">
        <v>248</v>
      </c>
    </row>
    <row r="58" spans="1:10" ht="30" x14ac:dyDescent="0.25">
      <c r="C58" s="3" t="s">
        <v>249</v>
      </c>
      <c r="D58" s="135" t="s">
        <v>250</v>
      </c>
    </row>
    <row r="59" spans="1:10" x14ac:dyDescent="0.25">
      <c r="C59" s="3" t="s">
        <v>251</v>
      </c>
      <c r="D59" s="135" t="s">
        <v>155</v>
      </c>
    </row>
    <row r="60" spans="1:10" x14ac:dyDescent="0.25">
      <c r="C60" s="3" t="s">
        <v>252</v>
      </c>
      <c r="D60" s="135" t="s">
        <v>253</v>
      </c>
    </row>
    <row r="61" spans="1:10" x14ac:dyDescent="0.25">
      <c r="C61" s="3" t="s">
        <v>254</v>
      </c>
      <c r="D61" s="135" t="s">
        <v>255</v>
      </c>
    </row>
    <row r="63" spans="1:10" x14ac:dyDescent="0.25">
      <c r="A63" t="s">
        <v>124</v>
      </c>
      <c r="C63" s="3"/>
    </row>
    <row r="64" spans="1:10" ht="30" x14ac:dyDescent="0.25">
      <c r="B64" s="143" t="s">
        <v>256</v>
      </c>
      <c r="C64" s="143" t="s">
        <v>257</v>
      </c>
      <c r="D64" s="144" t="s">
        <v>169</v>
      </c>
      <c r="E64" s="144" t="s">
        <v>171</v>
      </c>
      <c r="F64" s="143" t="s">
        <v>258</v>
      </c>
      <c r="G64" s="144" t="s">
        <v>259</v>
      </c>
      <c r="H64" s="144" t="s">
        <v>260</v>
      </c>
      <c r="I64" s="143" t="s">
        <v>261</v>
      </c>
      <c r="J64" s="144" t="s">
        <v>262</v>
      </c>
    </row>
    <row r="65" spans="2:10" ht="90" x14ac:dyDescent="0.25">
      <c r="B65" t="s">
        <v>7</v>
      </c>
      <c r="C65" s="3" t="s">
        <v>12</v>
      </c>
      <c r="D65" s="135" t="s">
        <v>7</v>
      </c>
      <c r="E65" t="s">
        <v>263</v>
      </c>
      <c r="F65" t="s">
        <v>155</v>
      </c>
      <c r="G65" s="136" t="s">
        <v>264</v>
      </c>
      <c r="H65" s="136" t="s">
        <v>265</v>
      </c>
      <c r="I65" t="s">
        <v>266</v>
      </c>
      <c r="J65" s="136" t="s">
        <v>267</v>
      </c>
    </row>
    <row r="66" spans="2:10" ht="45" x14ac:dyDescent="0.25">
      <c r="B66" t="s">
        <v>268</v>
      </c>
      <c r="C66" s="3" t="s">
        <v>12</v>
      </c>
      <c r="D66" s="135" t="s">
        <v>13</v>
      </c>
      <c r="E66" t="s">
        <v>269</v>
      </c>
      <c r="F66" t="s">
        <v>155</v>
      </c>
      <c r="G66" s="136" t="s">
        <v>155</v>
      </c>
      <c r="H66" s="136" t="s">
        <v>270</v>
      </c>
      <c r="I66" t="s">
        <v>266</v>
      </c>
      <c r="J66" s="136" t="s">
        <v>155</v>
      </c>
    </row>
    <row r="67" spans="2:10" x14ac:dyDescent="0.25">
      <c r="B67" t="s">
        <v>271</v>
      </c>
      <c r="C67" s="3" t="s">
        <v>12</v>
      </c>
      <c r="D67" s="135" t="s">
        <v>272</v>
      </c>
      <c r="E67" t="s">
        <v>273</v>
      </c>
      <c r="F67" t="s">
        <v>155</v>
      </c>
      <c r="G67" s="136" t="s">
        <v>155</v>
      </c>
      <c r="I67" t="s">
        <v>266</v>
      </c>
      <c r="J67" s="136" t="s">
        <v>155</v>
      </c>
    </row>
    <row r="68" spans="2:10" ht="45" x14ac:dyDescent="0.25">
      <c r="B68" t="s">
        <v>274</v>
      </c>
      <c r="C68" s="3" t="s">
        <v>12</v>
      </c>
      <c r="D68" s="135" t="s">
        <v>275</v>
      </c>
      <c r="E68" t="s">
        <v>178</v>
      </c>
      <c r="F68" t="s">
        <v>155</v>
      </c>
      <c r="G68" s="136" t="s">
        <v>155</v>
      </c>
      <c r="H68" s="136" t="s">
        <v>276</v>
      </c>
      <c r="I68" t="s">
        <v>266</v>
      </c>
      <c r="J68" s="136" t="s">
        <v>155</v>
      </c>
    </row>
    <row r="69" spans="2:10" ht="45" x14ac:dyDescent="0.25">
      <c r="B69" t="s">
        <v>277</v>
      </c>
      <c r="C69" s="3" t="s">
        <v>11</v>
      </c>
      <c r="D69" s="135" t="s">
        <v>13</v>
      </c>
      <c r="E69" t="s">
        <v>269</v>
      </c>
      <c r="F69" t="s">
        <v>155</v>
      </c>
      <c r="G69" s="136" t="s">
        <v>155</v>
      </c>
      <c r="H69" s="136" t="s">
        <v>278</v>
      </c>
      <c r="I69" t="s">
        <v>266</v>
      </c>
      <c r="J69" s="136" t="s">
        <v>155</v>
      </c>
    </row>
    <row r="70" spans="2:10" ht="45" x14ac:dyDescent="0.25">
      <c r="B70" t="s">
        <v>279</v>
      </c>
      <c r="C70" s="3" t="s">
        <v>11</v>
      </c>
      <c r="D70" s="135" t="s">
        <v>13</v>
      </c>
      <c r="E70" t="s">
        <v>269</v>
      </c>
      <c r="F70" t="s">
        <v>155</v>
      </c>
      <c r="G70" s="136" t="s">
        <v>155</v>
      </c>
      <c r="H70" s="136" t="s">
        <v>278</v>
      </c>
      <c r="I70" t="s">
        <v>266</v>
      </c>
      <c r="J70" s="136" t="s">
        <v>155</v>
      </c>
    </row>
    <row r="71" spans="2:10" ht="30" x14ac:dyDescent="0.25">
      <c r="B71" t="s">
        <v>4</v>
      </c>
      <c r="C71" s="3" t="s">
        <v>12</v>
      </c>
      <c r="D71" s="135" t="s">
        <v>4</v>
      </c>
      <c r="E71" t="s">
        <v>269</v>
      </c>
      <c r="F71" t="s">
        <v>155</v>
      </c>
      <c r="G71" s="136" t="s">
        <v>280</v>
      </c>
    </row>
    <row r="72" spans="2:10" ht="30" x14ac:dyDescent="0.25">
      <c r="B72" t="s">
        <v>281</v>
      </c>
      <c r="C72" s="3" t="s">
        <v>12</v>
      </c>
      <c r="D72" s="135" t="s">
        <v>4</v>
      </c>
      <c r="E72" t="s">
        <v>178</v>
      </c>
      <c r="F72" t="s">
        <v>155</v>
      </c>
      <c r="G72" s="136" t="s">
        <v>280</v>
      </c>
    </row>
    <row r="73" spans="2:10" ht="30" x14ac:dyDescent="0.25">
      <c r="B73" t="s">
        <v>282</v>
      </c>
      <c r="C73" s="3" t="s">
        <v>12</v>
      </c>
      <c r="D73" s="135" t="s">
        <v>4</v>
      </c>
      <c r="E73" t="s">
        <v>178</v>
      </c>
      <c r="F73" t="s">
        <v>155</v>
      </c>
      <c r="G73" s="136" t="s">
        <v>280</v>
      </c>
    </row>
    <row r="74" spans="2:10" ht="30" x14ac:dyDescent="0.25">
      <c r="B74" t="s">
        <v>283</v>
      </c>
      <c r="C74" s="3" t="s">
        <v>12</v>
      </c>
      <c r="D74" s="135" t="s">
        <v>4</v>
      </c>
      <c r="E74" t="s">
        <v>284</v>
      </c>
      <c r="F74" t="s">
        <v>155</v>
      </c>
      <c r="G74" s="136" t="s">
        <v>280</v>
      </c>
    </row>
    <row r="75" spans="2:10" x14ac:dyDescent="0.25">
      <c r="B75" t="s">
        <v>285</v>
      </c>
      <c r="C75" s="3" t="s">
        <v>11</v>
      </c>
      <c r="D75" s="135" t="s">
        <v>4</v>
      </c>
      <c r="E75" t="s">
        <v>263</v>
      </c>
      <c r="F75" t="s">
        <v>155</v>
      </c>
      <c r="G75" s="136" t="s">
        <v>286</v>
      </c>
    </row>
    <row r="76" spans="2:10" x14ac:dyDescent="0.25">
      <c r="B76" t="s">
        <v>287</v>
      </c>
      <c r="C76" s="3" t="s">
        <v>11</v>
      </c>
      <c r="D76" s="135" t="s">
        <v>4</v>
      </c>
      <c r="E76" t="s">
        <v>284</v>
      </c>
      <c r="F76" t="s">
        <v>155</v>
      </c>
      <c r="G76" s="136" t="s">
        <v>286</v>
      </c>
    </row>
    <row r="77" spans="2:10" x14ac:dyDescent="0.25">
      <c r="B77" t="s">
        <v>288</v>
      </c>
      <c r="C77" s="3" t="s">
        <v>11</v>
      </c>
      <c r="D77" s="135" t="s">
        <v>4</v>
      </c>
      <c r="E77" t="s">
        <v>284</v>
      </c>
      <c r="F77" t="s">
        <v>155</v>
      </c>
      <c r="G77" s="136" t="s">
        <v>286</v>
      </c>
    </row>
    <row r="78" spans="2:10" x14ac:dyDescent="0.25">
      <c r="B78" t="s">
        <v>289</v>
      </c>
      <c r="C78" s="3" t="s">
        <v>11</v>
      </c>
      <c r="D78" s="135" t="s">
        <v>4</v>
      </c>
      <c r="E78" t="s">
        <v>284</v>
      </c>
      <c r="F78" t="s">
        <v>155</v>
      </c>
      <c r="G78" s="136" t="s">
        <v>286</v>
      </c>
    </row>
    <row r="79" spans="2:10" ht="45" x14ac:dyDescent="0.25">
      <c r="B79" t="s">
        <v>290</v>
      </c>
      <c r="C79" s="3" t="s">
        <v>12</v>
      </c>
      <c r="D79" s="135" t="s">
        <v>14</v>
      </c>
      <c r="E79" t="s">
        <v>269</v>
      </c>
      <c r="F79" t="s">
        <v>155</v>
      </c>
      <c r="G79" s="136" t="s">
        <v>291</v>
      </c>
    </row>
    <row r="80" spans="2:10" ht="45" x14ac:dyDescent="0.25">
      <c r="B80" t="s">
        <v>292</v>
      </c>
      <c r="C80" s="3" t="s">
        <v>12</v>
      </c>
      <c r="D80" s="135" t="s">
        <v>14</v>
      </c>
      <c r="E80" t="s">
        <v>178</v>
      </c>
      <c r="F80" t="s">
        <v>155</v>
      </c>
      <c r="G80" s="136" t="s">
        <v>291</v>
      </c>
    </row>
    <row r="81" spans="1:9" ht="30" x14ac:dyDescent="0.25">
      <c r="B81" t="s">
        <v>293</v>
      </c>
      <c r="C81" s="3" t="s">
        <v>11</v>
      </c>
      <c r="D81" s="135" t="s">
        <v>14</v>
      </c>
      <c r="E81" t="s">
        <v>269</v>
      </c>
      <c r="F81" t="s">
        <v>155</v>
      </c>
      <c r="G81" s="136" t="s">
        <v>294</v>
      </c>
    </row>
    <row r="82" spans="1:9" ht="30" x14ac:dyDescent="0.25">
      <c r="B82" t="s">
        <v>295</v>
      </c>
      <c r="C82" s="3" t="s">
        <v>11</v>
      </c>
      <c r="D82" s="135" t="s">
        <v>14</v>
      </c>
      <c r="E82" t="s">
        <v>178</v>
      </c>
      <c r="F82" t="s">
        <v>155</v>
      </c>
      <c r="G82" s="136" t="s">
        <v>294</v>
      </c>
    </row>
    <row r="83" spans="1:9" ht="30" x14ac:dyDescent="0.25">
      <c r="B83" t="s">
        <v>296</v>
      </c>
      <c r="C83" s="3" t="s">
        <v>12</v>
      </c>
      <c r="D83" s="135" t="s">
        <v>297</v>
      </c>
      <c r="E83" t="s">
        <v>269</v>
      </c>
      <c r="F83" t="s">
        <v>155</v>
      </c>
      <c r="G83" s="136" t="s">
        <v>280</v>
      </c>
    </row>
    <row r="84" spans="1:9" ht="30" x14ac:dyDescent="0.25">
      <c r="B84" t="s">
        <v>298</v>
      </c>
      <c r="C84" s="3" t="s">
        <v>12</v>
      </c>
      <c r="D84" t="s">
        <v>299</v>
      </c>
      <c r="E84" t="s">
        <v>269</v>
      </c>
      <c r="F84" t="s">
        <v>155</v>
      </c>
      <c r="G84" s="136" t="s">
        <v>280</v>
      </c>
    </row>
    <row r="85" spans="1:9" x14ac:dyDescent="0.25">
      <c r="B85" t="s">
        <v>167</v>
      </c>
      <c r="C85" s="3" t="s">
        <v>12</v>
      </c>
      <c r="D85" t="s">
        <v>300</v>
      </c>
      <c r="E85" t="s">
        <v>269</v>
      </c>
      <c r="F85" t="s">
        <v>155</v>
      </c>
      <c r="G85" s="136" t="s">
        <v>155</v>
      </c>
    </row>
    <row r="86" spans="1:9" x14ac:dyDescent="0.25">
      <c r="B86" t="s">
        <v>301</v>
      </c>
      <c r="C86" s="3" t="s">
        <v>11</v>
      </c>
      <c r="D86" t="s">
        <v>300</v>
      </c>
      <c r="E86" t="s">
        <v>269</v>
      </c>
      <c r="F86" t="s">
        <v>155</v>
      </c>
      <c r="G86" s="136" t="s">
        <v>155</v>
      </c>
    </row>
    <row r="87" spans="1:9" ht="15.75" customHeight="1" x14ac:dyDescent="0.25">
      <c r="B87" t="s">
        <v>6</v>
      </c>
      <c r="C87" s="3" t="s">
        <v>12</v>
      </c>
      <c r="D87" s="135" t="s">
        <v>6</v>
      </c>
      <c r="E87" t="s">
        <v>269</v>
      </c>
      <c r="F87" t="s">
        <v>155</v>
      </c>
      <c r="G87" s="136" t="s">
        <v>286</v>
      </c>
    </row>
    <row r="88" spans="1:9" x14ac:dyDescent="0.25">
      <c r="B88" t="s">
        <v>302</v>
      </c>
      <c r="C88" s="3" t="s">
        <v>12</v>
      </c>
      <c r="D88" s="135" t="s">
        <v>6</v>
      </c>
      <c r="E88" t="s">
        <v>178</v>
      </c>
      <c r="F88" t="s">
        <v>155</v>
      </c>
      <c r="G88" s="136" t="s">
        <v>286</v>
      </c>
    </row>
    <row r="89" spans="1:9" ht="15.75" customHeight="1" x14ac:dyDescent="0.25">
      <c r="B89" t="s">
        <v>303</v>
      </c>
      <c r="C89" s="3" t="s">
        <v>11</v>
      </c>
      <c r="D89" s="135" t="s">
        <v>6</v>
      </c>
      <c r="E89" t="s">
        <v>269</v>
      </c>
      <c r="F89" t="s">
        <v>155</v>
      </c>
      <c r="G89" s="136" t="s">
        <v>286</v>
      </c>
    </row>
    <row r="90" spans="1:9" x14ac:dyDescent="0.25">
      <c r="B90" t="s">
        <v>304</v>
      </c>
      <c r="C90" s="3" t="s">
        <v>11</v>
      </c>
      <c r="D90" s="135" t="s">
        <v>6</v>
      </c>
      <c r="E90" t="s">
        <v>178</v>
      </c>
      <c r="F90" t="s">
        <v>155</v>
      </c>
      <c r="G90" s="136" t="s">
        <v>286</v>
      </c>
    </row>
    <row r="91" spans="1:9" ht="30" x14ac:dyDescent="0.25">
      <c r="B91" t="s">
        <v>5</v>
      </c>
      <c r="C91" s="3" t="s">
        <v>12</v>
      </c>
      <c r="D91" s="135" t="s">
        <v>5</v>
      </c>
      <c r="E91" t="s">
        <v>269</v>
      </c>
      <c r="F91" t="s">
        <v>155</v>
      </c>
      <c r="G91" s="136" t="s">
        <v>280</v>
      </c>
    </row>
    <row r="92" spans="1:9" x14ac:dyDescent="0.25">
      <c r="B92" t="s">
        <v>305</v>
      </c>
      <c r="C92" s="3" t="s">
        <v>11</v>
      </c>
      <c r="D92" s="135" t="s">
        <v>5</v>
      </c>
      <c r="E92" t="s">
        <v>269</v>
      </c>
      <c r="F92" t="s">
        <v>155</v>
      </c>
      <c r="G92" s="136" t="s">
        <v>306</v>
      </c>
    </row>
    <row r="93" spans="1:9" s="136" customFormat="1" x14ac:dyDescent="0.25">
      <c r="A93"/>
      <c r="B93" t="s">
        <v>307</v>
      </c>
      <c r="C93" s="3" t="s">
        <v>12</v>
      </c>
      <c r="D93" s="135" t="s">
        <v>15</v>
      </c>
      <c r="E93" t="s">
        <v>178</v>
      </c>
      <c r="F93" t="s">
        <v>155</v>
      </c>
      <c r="G93" s="136" t="s">
        <v>155</v>
      </c>
      <c r="I93"/>
    </row>
    <row r="94" spans="1:9" s="136" customFormat="1" x14ac:dyDescent="0.25">
      <c r="A94"/>
      <c r="B94" t="s">
        <v>308</v>
      </c>
      <c r="C94" s="3" t="s">
        <v>11</v>
      </c>
      <c r="D94" s="135" t="s">
        <v>15</v>
      </c>
      <c r="E94" t="s">
        <v>178</v>
      </c>
      <c r="F94" t="s">
        <v>155</v>
      </c>
      <c r="G94" s="136" t="s">
        <v>155</v>
      </c>
      <c r="I94"/>
    </row>
    <row r="95" spans="1:9" s="136" customFormat="1" x14ac:dyDescent="0.25">
      <c r="A95"/>
      <c r="B95" s="145" t="s">
        <v>309</v>
      </c>
      <c r="C95" s="136" t="s">
        <v>12</v>
      </c>
      <c r="D95" s="136" t="s">
        <v>310</v>
      </c>
      <c r="E95" s="136" t="s">
        <v>178</v>
      </c>
      <c r="F95" s="136" t="s">
        <v>155</v>
      </c>
      <c r="G95" s="136" t="s">
        <v>155</v>
      </c>
      <c r="I95"/>
    </row>
    <row r="96" spans="1:9" s="136" customFormat="1" x14ac:dyDescent="0.25">
      <c r="A96"/>
      <c r="B96" s="145" t="s">
        <v>311</v>
      </c>
      <c r="C96" s="136" t="s">
        <v>11</v>
      </c>
      <c r="D96" s="136" t="s">
        <v>310</v>
      </c>
      <c r="E96" s="136" t="s">
        <v>263</v>
      </c>
      <c r="F96" s="136" t="s">
        <v>155</v>
      </c>
      <c r="G96" s="136" t="s">
        <v>155</v>
      </c>
      <c r="I96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268FA-F0E9-4330-B397-0E02118B6CBD}">
  <dimension ref="A1:B55"/>
  <sheetViews>
    <sheetView topLeftCell="A10" workbookViewId="0"/>
  </sheetViews>
  <sheetFormatPr defaultRowHeight="15" x14ac:dyDescent="0.25"/>
  <cols>
    <col min="1" max="1" width="20.140625" bestFit="1" customWidth="1"/>
    <col min="2" max="2" width="32.140625" bestFit="1" customWidth="1"/>
  </cols>
  <sheetData>
    <row r="1" spans="1:2" x14ac:dyDescent="0.25">
      <c r="A1" s="63" t="s">
        <v>19</v>
      </c>
      <c r="B1" s="64" t="s">
        <v>779</v>
      </c>
    </row>
    <row r="2" spans="1:2" x14ac:dyDescent="0.25">
      <c r="A2" s="33" t="s">
        <v>103</v>
      </c>
      <c r="B2" s="55" t="s">
        <v>176</v>
      </c>
    </row>
    <row r="3" spans="1:2" x14ac:dyDescent="0.25">
      <c r="A3" s="33" t="s">
        <v>101</v>
      </c>
      <c r="B3" s="55" t="s">
        <v>177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178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179</v>
      </c>
    </row>
    <row r="8" spans="1:2" x14ac:dyDescent="0.25">
      <c r="A8" s="33" t="s">
        <v>21</v>
      </c>
      <c r="B8" s="55" t="s">
        <v>180</v>
      </c>
    </row>
    <row r="9" spans="1:2" x14ac:dyDescent="0.25">
      <c r="A9" s="33" t="s">
        <v>20</v>
      </c>
      <c r="B9" s="55" t="s">
        <v>312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733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240</v>
      </c>
    </row>
    <row r="15" spans="1:2" x14ac:dyDescent="0.25">
      <c r="A15" s="33" t="s">
        <v>112</v>
      </c>
      <c r="B15" s="55" t="s">
        <v>242</v>
      </c>
    </row>
    <row r="16" spans="1:2" x14ac:dyDescent="0.25">
      <c r="A16" s="33" t="s">
        <v>113</v>
      </c>
      <c r="B16" s="55">
        <v>2500</v>
      </c>
    </row>
    <row r="17" spans="1:2" x14ac:dyDescent="0.25">
      <c r="A17" s="33" t="s">
        <v>114</v>
      </c>
      <c r="B17" s="55">
        <v>232.26</v>
      </c>
    </row>
    <row r="18" spans="1:2" x14ac:dyDescent="0.25">
      <c r="A18" s="33" t="s">
        <v>115</v>
      </c>
      <c r="B18" s="55" t="s">
        <v>780</v>
      </c>
    </row>
    <row r="19" spans="1:2" x14ac:dyDescent="0.25">
      <c r="A19" s="33" t="s">
        <v>116</v>
      </c>
      <c r="B19" s="55" t="s">
        <v>781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782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355.2387274899628</v>
      </c>
    </row>
    <row r="28" spans="1:2" x14ac:dyDescent="0.25">
      <c r="A28" s="54">
        <v>-2.6500000000000004</v>
      </c>
      <c r="B28" s="53">
        <v>420.72909701516647</v>
      </c>
    </row>
    <row r="29" spans="1:2" x14ac:dyDescent="0.25">
      <c r="A29" s="54">
        <v>-2.6</v>
      </c>
      <c r="B29" s="53">
        <v>435.83689762440406</v>
      </c>
    </row>
    <row r="30" spans="1:2" x14ac:dyDescent="0.25">
      <c r="A30" s="54">
        <v>-2.5500000000000003</v>
      </c>
      <c r="B30" s="53">
        <v>459.3553394400613</v>
      </c>
    </row>
    <row r="31" spans="1:2" x14ac:dyDescent="0.25">
      <c r="A31" s="54">
        <v>-2.4000000000000004</v>
      </c>
      <c r="B31" s="53">
        <v>493.67772945975901</v>
      </c>
    </row>
    <row r="32" spans="1:2" x14ac:dyDescent="0.25">
      <c r="A32" s="54">
        <v>-2.2400000000000002</v>
      </c>
      <c r="B32" s="53">
        <v>560.43017340667143</v>
      </c>
    </row>
    <row r="33" spans="1:2" x14ac:dyDescent="0.25">
      <c r="A33" s="54">
        <v>-2.0900000000000003</v>
      </c>
      <c r="B33" s="53">
        <v>659.63624640754313</v>
      </c>
    </row>
    <row r="34" spans="1:2" x14ac:dyDescent="0.25">
      <c r="A34" s="54">
        <v>-1.9400000000000002</v>
      </c>
      <c r="B34" s="53">
        <v>675.66832287439559</v>
      </c>
    </row>
    <row r="35" spans="1:2" x14ac:dyDescent="0.25">
      <c r="A35" s="54">
        <v>-1.79</v>
      </c>
      <c r="B35" s="53">
        <v>861.23442515311683</v>
      </c>
    </row>
    <row r="36" spans="1:2" x14ac:dyDescent="0.25">
      <c r="A36" s="54">
        <v>-1.6800000000000002</v>
      </c>
      <c r="B36" s="53">
        <v>891.37924286621569</v>
      </c>
    </row>
    <row r="37" spans="1:2" x14ac:dyDescent="0.25">
      <c r="A37" s="54">
        <v>-1.4800000000000002</v>
      </c>
      <c r="B37" s="53">
        <v>894.56168046241805</v>
      </c>
    </row>
    <row r="38" spans="1:2" x14ac:dyDescent="0.25">
      <c r="A38" s="54">
        <v>-1.1800000000000002</v>
      </c>
      <c r="B38" s="53">
        <v>931.10848734701824</v>
      </c>
    </row>
    <row r="39" spans="1:2" x14ac:dyDescent="0.25">
      <c r="A39" s="54">
        <v>-0.87000000000000011</v>
      </c>
      <c r="B39" s="53">
        <v>985.69393668665214</v>
      </c>
    </row>
    <row r="40" spans="1:2" x14ac:dyDescent="0.25">
      <c r="A40" s="54">
        <v>0</v>
      </c>
      <c r="B40" s="53">
        <v>985.69393668665214</v>
      </c>
    </row>
    <row r="41" spans="1:2" x14ac:dyDescent="0.25">
      <c r="A41" s="54">
        <v>0.03</v>
      </c>
      <c r="B41" s="53">
        <v>1419.1968214158858</v>
      </c>
    </row>
    <row r="42" spans="1:2" x14ac:dyDescent="0.25">
      <c r="A42" s="54">
        <v>0.05</v>
      </c>
      <c r="B42" s="53">
        <v>1600.2666232522095</v>
      </c>
    </row>
    <row r="43" spans="1:2" x14ac:dyDescent="0.25">
      <c r="A43" s="54">
        <v>0.1</v>
      </c>
      <c r="B43" s="53">
        <v>1600.2666232522095</v>
      </c>
    </row>
    <row r="44" spans="1:2" x14ac:dyDescent="0.25">
      <c r="A44" s="54">
        <v>0.15</v>
      </c>
      <c r="B44" s="53">
        <v>1690.1491652583879</v>
      </c>
    </row>
    <row r="45" spans="1:2" x14ac:dyDescent="0.25">
      <c r="A45" s="54">
        <v>0.3</v>
      </c>
      <c r="B45" s="53">
        <v>1735.8852232974177</v>
      </c>
    </row>
    <row r="46" spans="1:2" x14ac:dyDescent="0.25">
      <c r="A46" s="54">
        <v>0.46</v>
      </c>
      <c r="B46" s="53">
        <v>1802.7915718545157</v>
      </c>
    </row>
    <row r="47" spans="1:2" x14ac:dyDescent="0.25">
      <c r="A47" s="54">
        <v>0.61</v>
      </c>
      <c r="B47" s="53">
        <v>1971.1210531414495</v>
      </c>
    </row>
    <row r="48" spans="1:2" x14ac:dyDescent="0.25">
      <c r="A48" s="54">
        <v>0.76</v>
      </c>
      <c r="B48" s="53">
        <v>2028.4987051010201</v>
      </c>
    </row>
    <row r="49" spans="1:2" x14ac:dyDescent="0.25">
      <c r="A49" s="54">
        <v>0.91</v>
      </c>
      <c r="B49" s="53">
        <v>2264.3999526387752</v>
      </c>
    </row>
    <row r="50" spans="1:2" x14ac:dyDescent="0.25">
      <c r="A50" s="54">
        <v>1.02</v>
      </c>
      <c r="B50" s="53">
        <v>2323.9498057113351</v>
      </c>
    </row>
    <row r="51" spans="1:2" x14ac:dyDescent="0.25">
      <c r="A51" s="54">
        <v>1.22</v>
      </c>
      <c r="B51" s="53">
        <v>2343.2538324919556</v>
      </c>
    </row>
    <row r="52" spans="1:2" x14ac:dyDescent="0.25">
      <c r="A52" s="54">
        <v>1.52</v>
      </c>
      <c r="B52" s="53">
        <v>2403.7575062161627</v>
      </c>
    </row>
    <row r="53" spans="1:2" x14ac:dyDescent="0.25">
      <c r="A53" s="54">
        <v>1.83</v>
      </c>
      <c r="B53" s="53">
        <v>2403.7575062161627</v>
      </c>
    </row>
    <row r="54" spans="1:2" x14ac:dyDescent="0.25">
      <c r="A54" s="77">
        <v>2.7</v>
      </c>
      <c r="B54" s="72">
        <v>2403.7575062161627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4EFE0-FED0-49C0-99B9-A8270F33C5A6}">
  <dimension ref="A1:B55"/>
  <sheetViews>
    <sheetView workbookViewId="0"/>
  </sheetViews>
  <sheetFormatPr defaultRowHeight="15" x14ac:dyDescent="0.25"/>
  <cols>
    <col min="1" max="1" width="20.140625" bestFit="1" customWidth="1"/>
    <col min="2" max="2" width="32.140625" bestFit="1" customWidth="1"/>
  </cols>
  <sheetData>
    <row r="1" spans="1:2" x14ac:dyDescent="0.25">
      <c r="A1" s="63" t="s">
        <v>19</v>
      </c>
      <c r="B1" s="64" t="s">
        <v>783</v>
      </c>
    </row>
    <row r="2" spans="1:2" x14ac:dyDescent="0.25">
      <c r="A2" s="33" t="s">
        <v>103</v>
      </c>
      <c r="B2" s="55" t="s">
        <v>176</v>
      </c>
    </row>
    <row r="3" spans="1:2" x14ac:dyDescent="0.25">
      <c r="A3" s="33" t="s">
        <v>101</v>
      </c>
      <c r="B3" s="55" t="s">
        <v>177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178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179</v>
      </c>
    </row>
    <row r="8" spans="1:2" x14ac:dyDescent="0.25">
      <c r="A8" s="33" t="s">
        <v>21</v>
      </c>
      <c r="B8" s="55" t="s">
        <v>180</v>
      </c>
    </row>
    <row r="9" spans="1:2" x14ac:dyDescent="0.25">
      <c r="A9" s="33" t="s">
        <v>20</v>
      </c>
      <c r="B9" s="55" t="s">
        <v>312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733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240</v>
      </c>
    </row>
    <row r="15" spans="1:2" x14ac:dyDescent="0.25">
      <c r="A15" s="33" t="s">
        <v>112</v>
      </c>
      <c r="B15" s="55" t="s">
        <v>242</v>
      </c>
    </row>
    <row r="16" spans="1:2" x14ac:dyDescent="0.25">
      <c r="A16" s="33" t="s">
        <v>113</v>
      </c>
      <c r="B16" s="55">
        <v>2500</v>
      </c>
    </row>
    <row r="17" spans="1:2" x14ac:dyDescent="0.25">
      <c r="A17" s="33" t="s">
        <v>114</v>
      </c>
      <c r="B17" s="55">
        <v>232.26</v>
      </c>
    </row>
    <row r="18" spans="1:2" x14ac:dyDescent="0.25">
      <c r="A18" s="33" t="s">
        <v>115</v>
      </c>
      <c r="B18" s="55" t="s">
        <v>780</v>
      </c>
    </row>
    <row r="19" spans="1:2" x14ac:dyDescent="0.25">
      <c r="A19" s="33" t="s">
        <v>116</v>
      </c>
      <c r="B19" s="55" t="s">
        <v>781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782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82506.858750000029</v>
      </c>
    </row>
    <row r="28" spans="1:2" x14ac:dyDescent="0.25">
      <c r="A28" s="54">
        <v>-2.6500000000000004</v>
      </c>
      <c r="B28" s="53">
        <v>97717.488250000024</v>
      </c>
    </row>
    <row r="29" spans="1:2" x14ac:dyDescent="0.25">
      <c r="A29" s="54">
        <v>-2.6</v>
      </c>
      <c r="B29" s="53">
        <v>101226.38825000002</v>
      </c>
    </row>
    <row r="30" spans="1:2" x14ac:dyDescent="0.25">
      <c r="A30" s="54">
        <v>-2.5500000000000003</v>
      </c>
      <c r="B30" s="53">
        <v>106688.72275000003</v>
      </c>
    </row>
    <row r="31" spans="1:2" x14ac:dyDescent="0.25">
      <c r="A31" s="54">
        <v>-2.4000000000000004</v>
      </c>
      <c r="B31" s="53">
        <v>114660.35524999998</v>
      </c>
    </row>
    <row r="32" spans="1:2" x14ac:dyDescent="0.25">
      <c r="A32" s="54">
        <v>-2.2400000000000002</v>
      </c>
      <c r="B32" s="53">
        <v>130164.11099999999</v>
      </c>
    </row>
    <row r="33" spans="1:2" x14ac:dyDescent="0.25">
      <c r="A33" s="54">
        <v>-2.0900000000000003</v>
      </c>
      <c r="B33" s="53">
        <v>153205.46549999993</v>
      </c>
    </row>
    <row r="34" spans="1:2" x14ac:dyDescent="0.25">
      <c r="A34" s="54">
        <v>-1.9400000000000002</v>
      </c>
      <c r="B34" s="53">
        <v>156929.03549999994</v>
      </c>
    </row>
    <row r="35" spans="1:2" x14ac:dyDescent="0.25">
      <c r="A35" s="54">
        <v>-1.79</v>
      </c>
      <c r="B35" s="53">
        <v>200028.15450000003</v>
      </c>
    </row>
    <row r="36" spans="1:2" x14ac:dyDescent="0.25">
      <c r="A36" s="54">
        <v>-1.6800000000000002</v>
      </c>
      <c r="B36" s="53">
        <v>207029.51450000008</v>
      </c>
    </row>
    <row r="37" spans="1:2" x14ac:dyDescent="0.25">
      <c r="A37" s="54">
        <v>-1.4800000000000002</v>
      </c>
      <c r="B37" s="53">
        <v>207768.65950000007</v>
      </c>
    </row>
    <row r="38" spans="1:2" x14ac:dyDescent="0.25">
      <c r="A38" s="54">
        <v>-1.1800000000000002</v>
      </c>
      <c r="B38" s="53">
        <v>216256.92950000009</v>
      </c>
    </row>
    <row r="39" spans="1:2" x14ac:dyDescent="0.25">
      <c r="A39" s="54">
        <v>-0.87000000000000011</v>
      </c>
      <c r="B39" s="53">
        <v>228934.80950000009</v>
      </c>
    </row>
    <row r="40" spans="1:2" x14ac:dyDescent="0.25">
      <c r="A40" s="54">
        <v>0</v>
      </c>
      <c r="B40" s="53">
        <v>228934.80950000009</v>
      </c>
    </row>
    <row r="41" spans="1:2" x14ac:dyDescent="0.25">
      <c r="A41" s="54">
        <v>0.03</v>
      </c>
      <c r="B41" s="53">
        <v>329619.1057500001</v>
      </c>
    </row>
    <row r="42" spans="1:2" x14ac:dyDescent="0.25">
      <c r="A42" s="54">
        <v>0.05</v>
      </c>
      <c r="B42" s="53">
        <v>371673.92525000003</v>
      </c>
    </row>
    <row r="43" spans="1:2" x14ac:dyDescent="0.25">
      <c r="A43" s="54">
        <v>0.1</v>
      </c>
      <c r="B43" s="53">
        <v>371673.92525000003</v>
      </c>
    </row>
    <row r="44" spans="1:2" x14ac:dyDescent="0.25">
      <c r="A44" s="54">
        <v>0.15</v>
      </c>
      <c r="B44" s="53">
        <v>392549.81975000002</v>
      </c>
    </row>
    <row r="45" spans="1:2" x14ac:dyDescent="0.25">
      <c r="A45" s="54">
        <v>0.3</v>
      </c>
      <c r="B45" s="53">
        <v>403172.36225000001</v>
      </c>
    </row>
    <row r="46" spans="1:2" x14ac:dyDescent="0.25">
      <c r="A46" s="54">
        <v>0.46</v>
      </c>
      <c r="B46" s="53">
        <v>418711.86350000015</v>
      </c>
    </row>
    <row r="47" spans="1:2" x14ac:dyDescent="0.25">
      <c r="A47" s="54">
        <v>0.61</v>
      </c>
      <c r="B47" s="53">
        <v>457807.64800000016</v>
      </c>
    </row>
    <row r="48" spans="1:2" x14ac:dyDescent="0.25">
      <c r="A48" s="54">
        <v>0.76</v>
      </c>
      <c r="B48" s="53">
        <v>471134.03800000018</v>
      </c>
    </row>
    <row r="49" spans="1:2" x14ac:dyDescent="0.25">
      <c r="A49" s="54">
        <v>0.91</v>
      </c>
      <c r="B49" s="53">
        <v>525923.87200000032</v>
      </c>
    </row>
    <row r="50" spans="1:2" x14ac:dyDescent="0.25">
      <c r="A50" s="54">
        <v>1.02</v>
      </c>
      <c r="B50" s="53">
        <v>539754.77200000035</v>
      </c>
    </row>
    <row r="51" spans="1:2" x14ac:dyDescent="0.25">
      <c r="A51" s="54">
        <v>1.22</v>
      </c>
      <c r="B51" s="53">
        <v>544238.27700000035</v>
      </c>
    </row>
    <row r="52" spans="1:2" x14ac:dyDescent="0.25">
      <c r="A52" s="54">
        <v>1.52</v>
      </c>
      <c r="B52" s="53">
        <v>558290.70900000038</v>
      </c>
    </row>
    <row r="53" spans="1:2" x14ac:dyDescent="0.25">
      <c r="A53" s="54">
        <v>1.83</v>
      </c>
      <c r="B53" s="53">
        <v>558290.70900000038</v>
      </c>
    </row>
    <row r="54" spans="1:2" x14ac:dyDescent="0.25">
      <c r="A54" s="77">
        <v>2.7</v>
      </c>
      <c r="B54" s="72">
        <v>558290.70900000038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workbookViewId="0">
      <selection activeCell="D4" sqref="D4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138</v>
      </c>
      <c r="E6" s="21" t="b">
        <f>COUNTIF(E8:E14,TRUE)&gt;0</f>
        <v>1</v>
      </c>
      <c r="F6" s="51" t="s">
        <v>316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6" t="s">
        <v>313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6" t="s">
        <v>312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7">
        <v>1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7" t="s">
        <v>11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7" t="s">
        <v>11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7" t="s">
        <v>314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7" t="s">
        <v>315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6" t="s">
        <v>733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316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732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768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768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775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776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776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784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8F103-D0B1-4AE9-BDB8-BA3BD076ABA0}">
  <dimension ref="A1:AZ1022"/>
  <sheetViews>
    <sheetView workbookViewId="0"/>
  </sheetViews>
  <sheetFormatPr defaultRowHeight="15" x14ac:dyDescent="0.25"/>
  <cols>
    <col min="1" max="1" width="5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.85546875" bestFit="1" customWidth="1"/>
  </cols>
  <sheetData>
    <row r="1" spans="1:52" x14ac:dyDescent="0.25">
      <c r="P1" s="151" t="s">
        <v>773</v>
      </c>
      <c r="Q1" s="152"/>
      <c r="R1" s="152"/>
      <c r="S1" s="152"/>
      <c r="T1" s="152"/>
      <c r="U1" s="152"/>
      <c r="V1" s="152"/>
      <c r="W1" s="152"/>
      <c r="X1" s="152"/>
      <c r="Y1" s="152"/>
      <c r="Z1" s="152"/>
      <c r="AA1" s="152"/>
      <c r="AB1" s="152"/>
      <c r="AC1" s="152"/>
      <c r="AD1" s="152"/>
      <c r="AE1" s="152"/>
      <c r="AF1" s="153"/>
      <c r="AJ1" s="151" t="s">
        <v>774</v>
      </c>
      <c r="AK1" s="152"/>
      <c r="AL1" s="152"/>
      <c r="AM1" s="152"/>
      <c r="AN1" s="152"/>
      <c r="AO1" s="152"/>
      <c r="AP1" s="152"/>
      <c r="AQ1" s="152"/>
      <c r="AR1" s="152"/>
      <c r="AS1" s="152"/>
      <c r="AT1" s="152"/>
      <c r="AU1" s="152"/>
      <c r="AV1" s="152"/>
      <c r="AW1" s="152"/>
      <c r="AX1" s="152"/>
      <c r="AY1" s="152"/>
      <c r="AZ1" s="153"/>
    </row>
    <row r="2" spans="1:52" x14ac:dyDescent="0.25">
      <c r="A2" s="148" t="s">
        <v>317</v>
      </c>
      <c r="B2" s="149" t="s">
        <v>318</v>
      </c>
      <c r="C2" s="149" t="s">
        <v>319</v>
      </c>
      <c r="D2" s="149" t="s">
        <v>320</v>
      </c>
      <c r="E2" s="149" t="s">
        <v>321</v>
      </c>
      <c r="F2" s="149" t="s">
        <v>322</v>
      </c>
      <c r="G2" s="149" t="s">
        <v>323</v>
      </c>
      <c r="H2" s="149" t="s">
        <v>324</v>
      </c>
      <c r="I2" s="149" t="s">
        <v>325</v>
      </c>
      <c r="J2" s="149" t="s">
        <v>326</v>
      </c>
      <c r="K2" s="149" t="s">
        <v>601</v>
      </c>
      <c r="L2" s="149" t="s">
        <v>157</v>
      </c>
      <c r="M2" s="149" t="s">
        <v>602</v>
      </c>
      <c r="N2" s="149" t="s">
        <v>769</v>
      </c>
      <c r="O2" s="150" t="s">
        <v>770</v>
      </c>
      <c r="P2" s="148">
        <v>-0.9</v>
      </c>
      <c r="Q2" s="149">
        <v>-0.46</v>
      </c>
      <c r="R2" s="149">
        <v>0</v>
      </c>
      <c r="S2" s="149">
        <v>0.03</v>
      </c>
      <c r="T2" s="149">
        <v>0.05</v>
      </c>
      <c r="U2" s="149">
        <v>0.1</v>
      </c>
      <c r="V2" s="149">
        <v>0.15</v>
      </c>
      <c r="W2" s="149">
        <v>0.3</v>
      </c>
      <c r="X2" s="149">
        <v>0.46</v>
      </c>
      <c r="Y2" s="149">
        <v>0.61</v>
      </c>
      <c r="Z2" s="149">
        <v>0.76</v>
      </c>
      <c r="AA2" s="149">
        <v>0.91</v>
      </c>
      <c r="AB2" s="149">
        <v>1.02</v>
      </c>
      <c r="AC2" s="149">
        <v>1.22</v>
      </c>
      <c r="AD2" s="149">
        <v>1.52</v>
      </c>
      <c r="AE2" s="149">
        <v>1.83</v>
      </c>
      <c r="AF2" s="149">
        <v>2.7</v>
      </c>
      <c r="AG2" s="149" t="s">
        <v>771</v>
      </c>
      <c r="AH2" s="149" t="s">
        <v>772</v>
      </c>
      <c r="AI2" s="149" t="s">
        <v>101</v>
      </c>
      <c r="AJ2" s="149">
        <v>-0.9</v>
      </c>
      <c r="AK2" s="149">
        <v>-0.46</v>
      </c>
      <c r="AL2" s="149">
        <v>0</v>
      </c>
      <c r="AM2" s="149">
        <v>0.03</v>
      </c>
      <c r="AN2" s="149">
        <v>0.05</v>
      </c>
      <c r="AO2" s="149">
        <v>0.1</v>
      </c>
      <c r="AP2" s="149">
        <v>0.15</v>
      </c>
      <c r="AQ2" s="149">
        <v>0.3</v>
      </c>
      <c r="AR2" s="149">
        <v>0.46</v>
      </c>
      <c r="AS2" s="149">
        <v>0.61</v>
      </c>
      <c r="AT2" s="149">
        <v>0.76</v>
      </c>
      <c r="AU2" s="149">
        <v>0.91</v>
      </c>
      <c r="AV2" s="149">
        <v>1.02</v>
      </c>
      <c r="AW2" s="149">
        <v>1.22</v>
      </c>
      <c r="AX2" s="149">
        <v>1.52</v>
      </c>
      <c r="AY2" s="149">
        <v>1.83</v>
      </c>
      <c r="AZ2" s="150">
        <v>2.7</v>
      </c>
    </row>
    <row r="3" spans="1:52" x14ac:dyDescent="0.25">
      <c r="A3">
        <v>1</v>
      </c>
      <c r="B3" t="s">
        <v>327</v>
      </c>
      <c r="C3" t="s">
        <v>328</v>
      </c>
      <c r="D3">
        <v>170</v>
      </c>
      <c r="E3">
        <v>477.7</v>
      </c>
      <c r="F3" t="s">
        <v>329</v>
      </c>
      <c r="G3">
        <v>2.81</v>
      </c>
      <c r="H3">
        <v>573.24</v>
      </c>
      <c r="I3" t="s">
        <v>330</v>
      </c>
      <c r="J3" t="s">
        <v>331</v>
      </c>
      <c r="K3" t="s">
        <v>603</v>
      </c>
      <c r="L3" t="s">
        <v>179</v>
      </c>
      <c r="M3" t="s">
        <v>604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604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573.24</v>
      </c>
      <c r="AV3">
        <f>$H$3*$AB$3</f>
        <v>573.24</v>
      </c>
      <c r="AW3">
        <f>$H$3*$AC$3</f>
        <v>573.24</v>
      </c>
      <c r="AX3">
        <f>$H$3*$AD$3</f>
        <v>573.24</v>
      </c>
      <c r="AY3">
        <f>$H$3*$AE$3</f>
        <v>573.24</v>
      </c>
      <c r="AZ3">
        <f>$H$3*$AF$3</f>
        <v>573.24</v>
      </c>
    </row>
    <row r="4" spans="1:52" x14ac:dyDescent="0.25">
      <c r="A4">
        <v>2</v>
      </c>
      <c r="B4" t="s">
        <v>327</v>
      </c>
      <c r="C4" t="s">
        <v>332</v>
      </c>
      <c r="D4">
        <v>170</v>
      </c>
      <c r="E4">
        <v>935</v>
      </c>
      <c r="F4" t="s">
        <v>329</v>
      </c>
      <c r="G4">
        <v>5.5</v>
      </c>
      <c r="H4">
        <v>1122</v>
      </c>
      <c r="I4" t="s">
        <v>333</v>
      </c>
      <c r="J4" t="s">
        <v>334</v>
      </c>
      <c r="K4" t="s">
        <v>605</v>
      </c>
      <c r="L4" t="s">
        <v>179</v>
      </c>
      <c r="M4" t="s">
        <v>604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604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1122</v>
      </c>
      <c r="AV4">
        <f>$H$4*$AB$4</f>
        <v>1122</v>
      </c>
      <c r="AW4">
        <f>$H$4*$AC$4</f>
        <v>1122</v>
      </c>
      <c r="AX4">
        <f>$H$4*$AD$4</f>
        <v>1122</v>
      </c>
      <c r="AY4">
        <f>$H$4*$AE$4</f>
        <v>1122</v>
      </c>
      <c r="AZ4">
        <f>$H$4*$AF$4</f>
        <v>1122</v>
      </c>
    </row>
    <row r="5" spans="1:52" x14ac:dyDescent="0.25">
      <c r="A5">
        <v>5</v>
      </c>
      <c r="B5" t="s">
        <v>327</v>
      </c>
      <c r="C5" t="s">
        <v>336</v>
      </c>
      <c r="D5">
        <v>1</v>
      </c>
      <c r="E5">
        <v>87.09</v>
      </c>
      <c r="F5" t="s">
        <v>335</v>
      </c>
      <c r="G5">
        <v>87.09</v>
      </c>
      <c r="H5">
        <v>104.51</v>
      </c>
      <c r="I5" t="s">
        <v>337</v>
      </c>
      <c r="J5" t="s">
        <v>338</v>
      </c>
      <c r="K5" t="s">
        <v>606</v>
      </c>
      <c r="L5" t="s">
        <v>179</v>
      </c>
      <c r="M5" t="s">
        <v>604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604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104.51</v>
      </c>
      <c r="AY5">
        <f>$H$5*$AE$5</f>
        <v>104.51</v>
      </c>
      <c r="AZ5">
        <f>$H$5*$AF$5</f>
        <v>104.51</v>
      </c>
    </row>
    <row r="6" spans="1:52" x14ac:dyDescent="0.25">
      <c r="A6">
        <v>6</v>
      </c>
      <c r="B6" t="s">
        <v>327</v>
      </c>
      <c r="C6" t="s">
        <v>339</v>
      </c>
      <c r="D6">
        <v>1</v>
      </c>
      <c r="E6">
        <v>143.47999999999999</v>
      </c>
      <c r="F6" t="s">
        <v>335</v>
      </c>
      <c r="G6">
        <v>143.47999999999999</v>
      </c>
      <c r="H6">
        <v>172.18</v>
      </c>
      <c r="I6" t="s">
        <v>340</v>
      </c>
      <c r="J6" t="s">
        <v>341</v>
      </c>
      <c r="K6" t="s">
        <v>607</v>
      </c>
      <c r="L6" t="s">
        <v>179</v>
      </c>
      <c r="M6" t="s">
        <v>604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604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172.18</v>
      </c>
      <c r="AY6">
        <f>$H$6*$AE$6</f>
        <v>172.18</v>
      </c>
      <c r="AZ6">
        <f>$H$6*$AF$6</f>
        <v>172.18</v>
      </c>
    </row>
    <row r="7" spans="1:52" x14ac:dyDescent="0.25">
      <c r="A7">
        <v>7</v>
      </c>
      <c r="B7" t="s">
        <v>327</v>
      </c>
      <c r="C7" t="s">
        <v>342</v>
      </c>
      <c r="D7">
        <v>1</v>
      </c>
      <c r="E7">
        <v>75.02</v>
      </c>
      <c r="F7" t="s">
        <v>335</v>
      </c>
      <c r="G7">
        <v>75.02</v>
      </c>
      <c r="H7">
        <v>90.02</v>
      </c>
      <c r="I7" t="s">
        <v>343</v>
      </c>
      <c r="J7" t="s">
        <v>344</v>
      </c>
      <c r="K7" t="s">
        <v>608</v>
      </c>
      <c r="L7" t="s">
        <v>179</v>
      </c>
      <c r="M7" t="s">
        <v>604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604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90.02</v>
      </c>
      <c r="AS7">
        <f>$H$7*$Y$7</f>
        <v>90.02</v>
      </c>
      <c r="AT7">
        <f>$H$7*$Z$7</f>
        <v>90.02</v>
      </c>
      <c r="AU7">
        <f>$H$7*$AA$7</f>
        <v>90.02</v>
      </c>
      <c r="AV7">
        <f>$H$7*$AB$7</f>
        <v>90.02</v>
      </c>
      <c r="AW7">
        <f>$H$7*$AC$7</f>
        <v>90.02</v>
      </c>
      <c r="AX7">
        <f>$H$7*$AD$7</f>
        <v>90.02</v>
      </c>
      <c r="AY7">
        <f>$H$7*$AE$7</f>
        <v>90.02</v>
      </c>
      <c r="AZ7">
        <f>$H$7*$AF$7</f>
        <v>90.02</v>
      </c>
    </row>
    <row r="8" spans="1:52" x14ac:dyDescent="0.25">
      <c r="A8">
        <v>8</v>
      </c>
      <c r="B8" t="s">
        <v>327</v>
      </c>
      <c r="C8" t="s">
        <v>345</v>
      </c>
      <c r="D8">
        <v>30</v>
      </c>
      <c r="E8">
        <v>63.6</v>
      </c>
      <c r="F8" t="s">
        <v>329</v>
      </c>
      <c r="G8">
        <v>2.12</v>
      </c>
      <c r="H8">
        <v>76.319999999999993</v>
      </c>
      <c r="I8" t="s">
        <v>330</v>
      </c>
      <c r="J8" t="s">
        <v>346</v>
      </c>
      <c r="K8" t="s">
        <v>609</v>
      </c>
      <c r="L8" t="s">
        <v>179</v>
      </c>
      <c r="M8" t="s">
        <v>604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604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0</v>
      </c>
      <c r="AS8">
        <f>$H$8*$Y$8</f>
        <v>0</v>
      </c>
      <c r="AT8">
        <f>$H$8*$Z$8</f>
        <v>0</v>
      </c>
      <c r="AU8">
        <f>$H$8*$AA$8</f>
        <v>76.319999999999993</v>
      </c>
      <c r="AV8">
        <f>$H$8*$AB$8</f>
        <v>76.319999999999993</v>
      </c>
      <c r="AW8">
        <f>$H$8*$AC$8</f>
        <v>76.319999999999993</v>
      </c>
      <c r="AX8">
        <f>$H$8*$AD$8</f>
        <v>76.319999999999993</v>
      </c>
      <c r="AY8">
        <f>$H$8*$AE$8</f>
        <v>76.319999999999993</v>
      </c>
      <c r="AZ8">
        <f>$H$8*$AF$8</f>
        <v>76.319999999999993</v>
      </c>
    </row>
    <row r="9" spans="1:52" x14ac:dyDescent="0.25">
      <c r="A9">
        <v>9</v>
      </c>
      <c r="B9" t="s">
        <v>327</v>
      </c>
      <c r="C9" t="s">
        <v>347</v>
      </c>
      <c r="D9">
        <v>30</v>
      </c>
      <c r="E9">
        <v>552.6</v>
      </c>
      <c r="F9" t="s">
        <v>329</v>
      </c>
      <c r="G9">
        <v>18.420000000000002</v>
      </c>
      <c r="H9">
        <v>663.12</v>
      </c>
      <c r="I9" t="s">
        <v>333</v>
      </c>
      <c r="J9" t="s">
        <v>348</v>
      </c>
      <c r="K9" t="s">
        <v>610</v>
      </c>
      <c r="L9" t="s">
        <v>179</v>
      </c>
      <c r="M9" t="s">
        <v>604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1</v>
      </c>
      <c r="AF9">
        <v>1</v>
      </c>
      <c r="AG9" t="s">
        <v>604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0</v>
      </c>
      <c r="AS9">
        <f>$H$9*$Y$9</f>
        <v>0</v>
      </c>
      <c r="AT9">
        <f>$H$9*$Z$9</f>
        <v>0</v>
      </c>
      <c r="AU9">
        <f>$H$9*$AA$9</f>
        <v>0</v>
      </c>
      <c r="AV9">
        <f>$H$9*$AB$9</f>
        <v>0</v>
      </c>
      <c r="AW9">
        <f>$H$9*$AC$9</f>
        <v>663.12</v>
      </c>
      <c r="AX9">
        <f>$H$9*$AD$9</f>
        <v>663.12</v>
      </c>
      <c r="AY9">
        <f>$H$9*$AE$9</f>
        <v>663.12</v>
      </c>
      <c r="AZ9">
        <f>$H$9*$AF$9</f>
        <v>663.12</v>
      </c>
    </row>
    <row r="10" spans="1:52" x14ac:dyDescent="0.25">
      <c r="A10">
        <v>21</v>
      </c>
      <c r="B10" t="s">
        <v>327</v>
      </c>
      <c r="C10" t="s">
        <v>352</v>
      </c>
      <c r="D10">
        <v>35</v>
      </c>
      <c r="E10">
        <v>2694.65</v>
      </c>
      <c r="F10" t="s">
        <v>350</v>
      </c>
      <c r="G10">
        <v>76.989999999999995</v>
      </c>
      <c r="H10">
        <v>3233.59</v>
      </c>
      <c r="I10" t="s">
        <v>333</v>
      </c>
      <c r="J10" t="s">
        <v>351</v>
      </c>
      <c r="K10" t="s">
        <v>611</v>
      </c>
      <c r="L10" t="s">
        <v>179</v>
      </c>
      <c r="M10" t="s">
        <v>604</v>
      </c>
      <c r="N10" t="s">
        <v>27</v>
      </c>
      <c r="O10" t="s">
        <v>66</v>
      </c>
      <c r="P10">
        <v>0</v>
      </c>
      <c r="Q10">
        <v>0</v>
      </c>
      <c r="R10">
        <v>0</v>
      </c>
      <c r="S10">
        <v>0</v>
      </c>
      <c r="T10">
        <v>0.1</v>
      </c>
      <c r="U10">
        <v>0.1</v>
      </c>
      <c r="V10">
        <v>0.2</v>
      </c>
      <c r="W10">
        <v>0.2</v>
      </c>
      <c r="X10">
        <v>0.2</v>
      </c>
      <c r="Y10">
        <v>0.3</v>
      </c>
      <c r="Z10">
        <v>0.3</v>
      </c>
      <c r="AA10">
        <v>0.5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604</v>
      </c>
      <c r="AH10" t="s">
        <v>27</v>
      </c>
      <c r="AI10" t="s">
        <v>66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323.35900000000004</v>
      </c>
      <c r="AO10">
        <f>$H$10*$U$10</f>
        <v>323.35900000000004</v>
      </c>
      <c r="AP10">
        <f>$H$10*$V$10</f>
        <v>646.71800000000007</v>
      </c>
      <c r="AQ10">
        <f>$H$10*$W$10</f>
        <v>646.71800000000007</v>
      </c>
      <c r="AR10">
        <f>$H$10*$X$10</f>
        <v>646.71800000000007</v>
      </c>
      <c r="AS10">
        <f>$H$10*$Y$10</f>
        <v>970.077</v>
      </c>
      <c r="AT10">
        <f>$H$10*$Z$10</f>
        <v>970.077</v>
      </c>
      <c r="AU10">
        <f>$H$10*$AA$10</f>
        <v>1616.7950000000001</v>
      </c>
      <c r="AV10">
        <f>$H$10*$AB$10</f>
        <v>3233.59</v>
      </c>
      <c r="AW10">
        <f>$H$10*$AC$10</f>
        <v>3233.59</v>
      </c>
      <c r="AX10">
        <f>$H$10*$AD$10</f>
        <v>3233.59</v>
      </c>
      <c r="AY10">
        <f>$H$10*$AE$10</f>
        <v>3233.59</v>
      </c>
      <c r="AZ10">
        <f>$H$10*$AF$10</f>
        <v>3233.59</v>
      </c>
    </row>
    <row r="11" spans="1:52" x14ac:dyDescent="0.25">
      <c r="A11">
        <v>24</v>
      </c>
      <c r="B11" t="s">
        <v>327</v>
      </c>
      <c r="C11" t="s">
        <v>354</v>
      </c>
      <c r="D11">
        <v>2</v>
      </c>
      <c r="E11">
        <v>1311.46</v>
      </c>
      <c r="F11" t="s">
        <v>335</v>
      </c>
      <c r="G11">
        <v>655.73</v>
      </c>
      <c r="H11">
        <v>1573.76</v>
      </c>
      <c r="I11" t="s">
        <v>353</v>
      </c>
      <c r="J11" t="s">
        <v>355</v>
      </c>
      <c r="K11" t="s">
        <v>612</v>
      </c>
      <c r="L11" t="s">
        <v>179</v>
      </c>
      <c r="M11" t="s">
        <v>604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604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1573.76</v>
      </c>
      <c r="AT11">
        <f>$H$11*$Z$11</f>
        <v>1573.76</v>
      </c>
      <c r="AU11">
        <f>$H$11*$AA$11</f>
        <v>1573.76</v>
      </c>
      <c r="AV11">
        <f>$H$11*$AB$11</f>
        <v>1573.76</v>
      </c>
      <c r="AW11">
        <f>$H$11*$AC$11</f>
        <v>1573.76</v>
      </c>
      <c r="AX11">
        <f>$H$11*$AD$11</f>
        <v>1573.76</v>
      </c>
      <c r="AY11">
        <f>$H$11*$AE$11</f>
        <v>1573.76</v>
      </c>
      <c r="AZ11">
        <f>$H$11*$AF$11</f>
        <v>1573.76</v>
      </c>
    </row>
    <row r="12" spans="1:52" x14ac:dyDescent="0.25">
      <c r="A12">
        <v>25</v>
      </c>
      <c r="B12" t="s">
        <v>327</v>
      </c>
      <c r="C12" t="s">
        <v>356</v>
      </c>
      <c r="D12">
        <v>2</v>
      </c>
      <c r="E12">
        <v>2924.08</v>
      </c>
      <c r="F12" t="s">
        <v>335</v>
      </c>
      <c r="G12">
        <v>1462.04</v>
      </c>
      <c r="H12">
        <v>3508.9</v>
      </c>
      <c r="I12" t="s">
        <v>353</v>
      </c>
      <c r="J12" t="s">
        <v>357</v>
      </c>
      <c r="K12" t="s">
        <v>613</v>
      </c>
      <c r="L12" t="s">
        <v>179</v>
      </c>
      <c r="M12" t="s">
        <v>614</v>
      </c>
      <c r="N12" t="s">
        <v>26</v>
      </c>
      <c r="O12" t="s">
        <v>67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614</v>
      </c>
      <c r="AH12" t="s">
        <v>26</v>
      </c>
      <c r="AI12" t="s">
        <v>67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3508.9</v>
      </c>
      <c r="AP12">
        <f>$H$12*$V$12</f>
        <v>3508.9</v>
      </c>
      <c r="AQ12">
        <f>$H$12*$W$12</f>
        <v>3508.9</v>
      </c>
      <c r="AR12">
        <f>$H$12*$X$12</f>
        <v>3508.9</v>
      </c>
      <c r="AS12">
        <f>$H$12*$Y$12</f>
        <v>3508.9</v>
      </c>
      <c r="AT12">
        <f>$H$12*$Z$12</f>
        <v>3508.9</v>
      </c>
      <c r="AU12">
        <f>$H$12*$AA$12</f>
        <v>3508.9</v>
      </c>
      <c r="AV12">
        <f>$H$12*$AB$12</f>
        <v>3508.9</v>
      </c>
      <c r="AW12">
        <f>$H$12*$AC$12</f>
        <v>3508.9</v>
      </c>
      <c r="AX12">
        <f>$H$12*$AD$12</f>
        <v>3508.9</v>
      </c>
      <c r="AY12">
        <f>$H$12*$AE$12</f>
        <v>3508.9</v>
      </c>
      <c r="AZ12">
        <f>$H$12*$AF$12</f>
        <v>3508.9</v>
      </c>
    </row>
    <row r="13" spans="1:52" x14ac:dyDescent="0.25">
      <c r="A13">
        <v>34</v>
      </c>
      <c r="B13" t="s">
        <v>327</v>
      </c>
      <c r="C13" t="s">
        <v>358</v>
      </c>
      <c r="D13">
        <v>25</v>
      </c>
      <c r="E13">
        <v>111</v>
      </c>
      <c r="F13" t="s">
        <v>329</v>
      </c>
      <c r="G13">
        <v>4.4400000000000004</v>
      </c>
      <c r="H13">
        <v>133.19999999999999</v>
      </c>
      <c r="I13" t="s">
        <v>330</v>
      </c>
      <c r="J13" t="s">
        <v>359</v>
      </c>
      <c r="K13" t="s">
        <v>615</v>
      </c>
      <c r="L13" t="s">
        <v>179</v>
      </c>
      <c r="M13" t="s">
        <v>604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604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0</v>
      </c>
      <c r="AO13">
        <f>$H$13*$U$13</f>
        <v>0</v>
      </c>
      <c r="AP13">
        <f>$H$13*$V$13</f>
        <v>0</v>
      </c>
      <c r="AQ13">
        <f>$H$13*$W$13</f>
        <v>0</v>
      </c>
      <c r="AR13">
        <f>$H$13*$X$13</f>
        <v>0</v>
      </c>
      <c r="AS13">
        <f>$H$13*$Y$13</f>
        <v>0</v>
      </c>
      <c r="AT13">
        <f>$H$13*$Z$13</f>
        <v>0</v>
      </c>
      <c r="AU13">
        <f>$H$13*$AA$13</f>
        <v>133.19999999999999</v>
      </c>
      <c r="AV13">
        <f>$H$13*$AB$13</f>
        <v>133.19999999999999</v>
      </c>
      <c r="AW13">
        <f>$H$13*$AC$13</f>
        <v>133.19999999999999</v>
      </c>
      <c r="AX13">
        <f>$H$13*$AD$13</f>
        <v>133.19999999999999</v>
      </c>
      <c r="AY13">
        <f>$H$13*$AE$13</f>
        <v>133.19999999999999</v>
      </c>
      <c r="AZ13">
        <f>$H$13*$AF$13</f>
        <v>133.19999999999999</v>
      </c>
    </row>
    <row r="14" spans="1:52" x14ac:dyDescent="0.25">
      <c r="A14">
        <v>35</v>
      </c>
      <c r="B14" t="s">
        <v>327</v>
      </c>
      <c r="C14" t="s">
        <v>360</v>
      </c>
      <c r="D14">
        <v>25</v>
      </c>
      <c r="E14">
        <v>288.75</v>
      </c>
      <c r="F14" t="s">
        <v>329</v>
      </c>
      <c r="G14">
        <v>11.55</v>
      </c>
      <c r="H14">
        <v>346.51</v>
      </c>
      <c r="I14" t="s">
        <v>333</v>
      </c>
      <c r="J14" t="s">
        <v>361</v>
      </c>
      <c r="K14" t="s">
        <v>616</v>
      </c>
      <c r="L14" t="s">
        <v>179</v>
      </c>
      <c r="M14" t="s">
        <v>604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604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0</v>
      </c>
      <c r="AN14">
        <f>$H$14*$T$14</f>
        <v>0</v>
      </c>
      <c r="AO14">
        <f>$H$14*$U$14</f>
        <v>0</v>
      </c>
      <c r="AP14">
        <f>$H$14*$V$14</f>
        <v>0</v>
      </c>
      <c r="AQ14">
        <f>$H$14*$W$14</f>
        <v>0</v>
      </c>
      <c r="AR14">
        <f>$H$14*$X$14</f>
        <v>0</v>
      </c>
      <c r="AS14">
        <f>$H$14*$Y$14</f>
        <v>0</v>
      </c>
      <c r="AT14">
        <f>$H$14*$Z$14</f>
        <v>0</v>
      </c>
      <c r="AU14">
        <f>$H$14*$AA$14</f>
        <v>346.51</v>
      </c>
      <c r="AV14">
        <f>$H$14*$AB$14</f>
        <v>346.51</v>
      </c>
      <c r="AW14">
        <f>$H$14*$AC$14</f>
        <v>346.51</v>
      </c>
      <c r="AX14">
        <f>$H$14*$AD$14</f>
        <v>346.51</v>
      </c>
      <c r="AY14">
        <f>$H$14*$AE$14</f>
        <v>346.51</v>
      </c>
      <c r="AZ14">
        <f>$H$14*$AF$14</f>
        <v>346.51</v>
      </c>
    </row>
    <row r="15" spans="1:52" x14ac:dyDescent="0.25">
      <c r="A15">
        <v>36</v>
      </c>
      <c r="B15" t="s">
        <v>327</v>
      </c>
      <c r="C15" t="s">
        <v>362</v>
      </c>
      <c r="D15">
        <v>122</v>
      </c>
      <c r="E15">
        <v>119.56</v>
      </c>
      <c r="F15" t="s">
        <v>349</v>
      </c>
      <c r="G15">
        <v>0.98</v>
      </c>
      <c r="H15">
        <v>143.47999999999999</v>
      </c>
      <c r="I15" t="s">
        <v>330</v>
      </c>
      <c r="J15" t="s">
        <v>363</v>
      </c>
      <c r="K15" t="s">
        <v>617</v>
      </c>
      <c r="L15" t="s">
        <v>179</v>
      </c>
      <c r="M15" t="s">
        <v>604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604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143.47999999999999</v>
      </c>
      <c r="AO15">
        <f>$H$15*$U$15</f>
        <v>143.47999999999999</v>
      </c>
      <c r="AP15">
        <f>$H$15*$V$15</f>
        <v>143.47999999999999</v>
      </c>
      <c r="AQ15">
        <f>$H$15*$W$15</f>
        <v>143.47999999999999</v>
      </c>
      <c r="AR15">
        <f>$H$15*$X$15</f>
        <v>143.47999999999999</v>
      </c>
      <c r="AS15">
        <f>$H$15*$Y$15</f>
        <v>143.47999999999999</v>
      </c>
      <c r="AT15">
        <f>$H$15*$Z$15</f>
        <v>143.47999999999999</v>
      </c>
      <c r="AU15">
        <f>$H$15*$AA$15</f>
        <v>143.47999999999999</v>
      </c>
      <c r="AV15">
        <f>$H$15*$AB$15</f>
        <v>143.47999999999999</v>
      </c>
      <c r="AW15">
        <f>$H$15*$AC$15</f>
        <v>143.47999999999999</v>
      </c>
      <c r="AX15">
        <f>$H$15*$AD$15</f>
        <v>143.47999999999999</v>
      </c>
      <c r="AY15">
        <f>$H$15*$AE$15</f>
        <v>143.47999999999999</v>
      </c>
      <c r="AZ15">
        <f>$H$15*$AF$15</f>
        <v>143.47999999999999</v>
      </c>
    </row>
    <row r="16" spans="1:52" x14ac:dyDescent="0.25">
      <c r="A16">
        <v>37</v>
      </c>
      <c r="B16" t="s">
        <v>327</v>
      </c>
      <c r="C16" t="s">
        <v>364</v>
      </c>
      <c r="D16">
        <v>122</v>
      </c>
      <c r="E16">
        <v>409.92</v>
      </c>
      <c r="F16" t="s">
        <v>349</v>
      </c>
      <c r="G16">
        <v>3.36</v>
      </c>
      <c r="H16">
        <v>491.9</v>
      </c>
      <c r="I16" t="s">
        <v>365</v>
      </c>
      <c r="J16" t="s">
        <v>366</v>
      </c>
      <c r="K16" t="s">
        <v>618</v>
      </c>
      <c r="L16" t="s">
        <v>179</v>
      </c>
      <c r="M16" t="s">
        <v>604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0.25</v>
      </c>
      <c r="T16">
        <v>0.25</v>
      </c>
      <c r="U16">
        <v>0.25</v>
      </c>
      <c r="V16">
        <v>0.25</v>
      </c>
      <c r="W16">
        <v>0.5</v>
      </c>
      <c r="X16">
        <v>0.5</v>
      </c>
      <c r="Y16">
        <v>0.5</v>
      </c>
      <c r="Z16">
        <v>0.5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604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122.97499999999999</v>
      </c>
      <c r="AN16">
        <f>$H$16*$T$16</f>
        <v>122.97499999999999</v>
      </c>
      <c r="AO16">
        <f>$H$16*$U$16</f>
        <v>122.97499999999999</v>
      </c>
      <c r="AP16">
        <f>$H$16*$V$16</f>
        <v>122.97499999999999</v>
      </c>
      <c r="AQ16">
        <f>$H$16*$W$16</f>
        <v>245.95</v>
      </c>
      <c r="AR16">
        <f>$H$16*$X$16</f>
        <v>245.95</v>
      </c>
      <c r="AS16">
        <f>$H$16*$Y$16</f>
        <v>245.95</v>
      </c>
      <c r="AT16">
        <f>$H$16*$Z$16</f>
        <v>245.95</v>
      </c>
      <c r="AU16">
        <f>$H$16*$AA$16</f>
        <v>491.9</v>
      </c>
      <c r="AV16">
        <f>$H$16*$AB$16</f>
        <v>491.9</v>
      </c>
      <c r="AW16">
        <f>$H$16*$AC$16</f>
        <v>491.9</v>
      </c>
      <c r="AX16">
        <f>$H$16*$AD$16</f>
        <v>491.9</v>
      </c>
      <c r="AY16">
        <f>$H$16*$AE$16</f>
        <v>491.9</v>
      </c>
      <c r="AZ16">
        <f>$H$16*$AF$16</f>
        <v>491.9</v>
      </c>
    </row>
    <row r="17" spans="1:52" x14ac:dyDescent="0.25">
      <c r="A17">
        <v>38</v>
      </c>
      <c r="B17" t="s">
        <v>327</v>
      </c>
      <c r="C17" t="s">
        <v>367</v>
      </c>
      <c r="D17">
        <v>1</v>
      </c>
      <c r="E17">
        <v>62.41</v>
      </c>
      <c r="F17" t="s">
        <v>335</v>
      </c>
      <c r="G17">
        <v>62.41</v>
      </c>
      <c r="H17">
        <v>74.89</v>
      </c>
      <c r="I17" t="s">
        <v>368</v>
      </c>
      <c r="J17" t="s">
        <v>369</v>
      </c>
      <c r="K17" t="s">
        <v>619</v>
      </c>
      <c r="L17" t="s">
        <v>179</v>
      </c>
      <c r="M17" t="s">
        <v>604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604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0</v>
      </c>
      <c r="AN17">
        <f>$H$17*$T$17</f>
        <v>0</v>
      </c>
      <c r="AO17">
        <f>$H$17*$U$17</f>
        <v>0</v>
      </c>
      <c r="AP17">
        <f>$H$17*$V$17</f>
        <v>0</v>
      </c>
      <c r="AQ17">
        <f>$H$17*$W$17</f>
        <v>0</v>
      </c>
      <c r="AR17">
        <f>$H$17*$X$17</f>
        <v>0</v>
      </c>
      <c r="AS17">
        <f>$H$17*$Y$17</f>
        <v>0</v>
      </c>
      <c r="AT17">
        <f>$H$17*$Z$17</f>
        <v>0</v>
      </c>
      <c r="AU17">
        <f>$H$17*$AA$17</f>
        <v>74.89</v>
      </c>
      <c r="AV17">
        <f>$H$17*$AB$17</f>
        <v>74.89</v>
      </c>
      <c r="AW17">
        <f>$H$17*$AC$17</f>
        <v>74.89</v>
      </c>
      <c r="AX17">
        <f>$H$17*$AD$17</f>
        <v>74.89</v>
      </c>
      <c r="AY17">
        <f>$H$17*$AE$17</f>
        <v>74.89</v>
      </c>
      <c r="AZ17">
        <f>$H$17*$AF$17</f>
        <v>74.89</v>
      </c>
    </row>
    <row r="18" spans="1:52" x14ac:dyDescent="0.25">
      <c r="A18">
        <v>39</v>
      </c>
      <c r="B18" t="s">
        <v>327</v>
      </c>
      <c r="C18" t="s">
        <v>370</v>
      </c>
      <c r="D18">
        <v>1</v>
      </c>
      <c r="E18">
        <v>366.18</v>
      </c>
      <c r="F18" t="s">
        <v>335</v>
      </c>
      <c r="G18">
        <v>366.18</v>
      </c>
      <c r="H18">
        <v>439.42</v>
      </c>
      <c r="I18" t="s">
        <v>371</v>
      </c>
      <c r="J18" t="s">
        <v>372</v>
      </c>
      <c r="K18" t="s">
        <v>620</v>
      </c>
      <c r="L18" t="s">
        <v>179</v>
      </c>
      <c r="M18" t="s">
        <v>604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0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604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0</v>
      </c>
      <c r="AN18">
        <f>$H$18*$T$18</f>
        <v>439.42</v>
      </c>
      <c r="AO18">
        <f>$H$18*$U$18</f>
        <v>439.42</v>
      </c>
      <c r="AP18">
        <f>$H$18*$V$18</f>
        <v>439.42</v>
      </c>
      <c r="AQ18">
        <f>$H$18*$W$18</f>
        <v>439.42</v>
      </c>
      <c r="AR18">
        <f>$H$18*$X$18</f>
        <v>439.42</v>
      </c>
      <c r="AS18">
        <f>$H$18*$Y$18</f>
        <v>439.42</v>
      </c>
      <c r="AT18">
        <f>$H$18*$Z$18</f>
        <v>439.42</v>
      </c>
      <c r="AU18">
        <f>$H$18*$AA$18</f>
        <v>439.42</v>
      </c>
      <c r="AV18">
        <f>$H$18*$AB$18</f>
        <v>439.42</v>
      </c>
      <c r="AW18">
        <f>$H$18*$AC$18</f>
        <v>439.42</v>
      </c>
      <c r="AX18">
        <f>$H$18*$AD$18</f>
        <v>439.42</v>
      </c>
      <c r="AY18">
        <f>$H$18*$AE$18</f>
        <v>439.42</v>
      </c>
      <c r="AZ18">
        <f>$H$18*$AF$18</f>
        <v>439.42</v>
      </c>
    </row>
    <row r="19" spans="1:52" x14ac:dyDescent="0.25">
      <c r="A19">
        <v>40</v>
      </c>
      <c r="B19" t="s">
        <v>327</v>
      </c>
      <c r="C19" t="s">
        <v>373</v>
      </c>
      <c r="D19">
        <v>2</v>
      </c>
      <c r="E19">
        <v>62.72</v>
      </c>
      <c r="F19" t="s">
        <v>335</v>
      </c>
      <c r="G19">
        <v>31.36</v>
      </c>
      <c r="H19">
        <v>75.260000000000005</v>
      </c>
      <c r="I19" t="s">
        <v>330</v>
      </c>
      <c r="J19" t="s">
        <v>374</v>
      </c>
      <c r="K19" t="s">
        <v>621</v>
      </c>
      <c r="L19" t="s">
        <v>179</v>
      </c>
      <c r="M19" t="s">
        <v>604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604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75.260000000000005</v>
      </c>
      <c r="AN19">
        <f>$H$19*$T$19</f>
        <v>75.260000000000005</v>
      </c>
      <c r="AO19">
        <f>$H$19*$U$19</f>
        <v>75.260000000000005</v>
      </c>
      <c r="AP19">
        <f>$H$19*$V$19</f>
        <v>75.260000000000005</v>
      </c>
      <c r="AQ19">
        <f>$H$19*$W$19</f>
        <v>75.260000000000005</v>
      </c>
      <c r="AR19">
        <f>$H$19*$X$19</f>
        <v>75.260000000000005</v>
      </c>
      <c r="AS19">
        <f>$H$19*$Y$19</f>
        <v>75.260000000000005</v>
      </c>
      <c r="AT19">
        <f>$H$19*$Z$19</f>
        <v>75.260000000000005</v>
      </c>
      <c r="AU19">
        <f>$H$19*$AA$19</f>
        <v>75.260000000000005</v>
      </c>
      <c r="AV19">
        <f>$H$19*$AB$19</f>
        <v>75.260000000000005</v>
      </c>
      <c r="AW19">
        <f>$H$19*$AC$19</f>
        <v>75.260000000000005</v>
      </c>
      <c r="AX19">
        <f>$H$19*$AD$19</f>
        <v>75.260000000000005</v>
      </c>
      <c r="AY19">
        <f>$H$19*$AE$19</f>
        <v>75.260000000000005</v>
      </c>
      <c r="AZ19">
        <f>$H$19*$AF$19</f>
        <v>75.260000000000005</v>
      </c>
    </row>
    <row r="20" spans="1:52" x14ac:dyDescent="0.25">
      <c r="A20">
        <v>41</v>
      </c>
      <c r="B20" t="s">
        <v>327</v>
      </c>
      <c r="C20" t="s">
        <v>375</v>
      </c>
      <c r="D20">
        <v>2</v>
      </c>
      <c r="E20">
        <v>77.86</v>
      </c>
      <c r="F20" t="s">
        <v>335</v>
      </c>
      <c r="G20">
        <v>38.93</v>
      </c>
      <c r="H20">
        <v>93.44</v>
      </c>
      <c r="I20" t="s">
        <v>330</v>
      </c>
      <c r="J20" t="s">
        <v>371</v>
      </c>
      <c r="K20" t="s">
        <v>622</v>
      </c>
      <c r="L20" t="s">
        <v>179</v>
      </c>
      <c r="M20" t="s">
        <v>604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604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93.44</v>
      </c>
      <c r="AN20">
        <f>$H$20*$T$20</f>
        <v>93.44</v>
      </c>
      <c r="AO20">
        <f>$H$20*$U$20</f>
        <v>93.44</v>
      </c>
      <c r="AP20">
        <f>$H$20*$V$20</f>
        <v>93.44</v>
      </c>
      <c r="AQ20">
        <f>$H$20*$W$20</f>
        <v>93.44</v>
      </c>
      <c r="AR20">
        <f>$H$20*$X$20</f>
        <v>93.44</v>
      </c>
      <c r="AS20">
        <f>$H$20*$Y$20</f>
        <v>93.44</v>
      </c>
      <c r="AT20">
        <f>$H$20*$Z$20</f>
        <v>93.44</v>
      </c>
      <c r="AU20">
        <f>$H$20*$AA$20</f>
        <v>93.44</v>
      </c>
      <c r="AV20">
        <f>$H$20*$AB$20</f>
        <v>93.44</v>
      </c>
      <c r="AW20">
        <f>$H$20*$AC$20</f>
        <v>93.44</v>
      </c>
      <c r="AX20">
        <f>$H$20*$AD$20</f>
        <v>93.44</v>
      </c>
      <c r="AY20">
        <f>$H$20*$AE$20</f>
        <v>93.44</v>
      </c>
      <c r="AZ20">
        <f>$H$20*$AF$20</f>
        <v>93.44</v>
      </c>
    </row>
    <row r="21" spans="1:52" x14ac:dyDescent="0.25">
      <c r="A21">
        <v>44</v>
      </c>
      <c r="B21" t="s">
        <v>327</v>
      </c>
      <c r="C21" t="s">
        <v>376</v>
      </c>
      <c r="D21">
        <v>2791.18</v>
      </c>
      <c r="E21">
        <v>7257.07</v>
      </c>
      <c r="F21" t="s">
        <v>349</v>
      </c>
      <c r="G21">
        <v>2.6</v>
      </c>
      <c r="H21">
        <v>8708.49</v>
      </c>
      <c r="I21" t="s">
        <v>377</v>
      </c>
      <c r="J21" t="s">
        <v>378</v>
      </c>
      <c r="K21" t="s">
        <v>623</v>
      </c>
      <c r="L21" t="s">
        <v>179</v>
      </c>
      <c r="M21" t="s">
        <v>604</v>
      </c>
      <c r="N21" t="s">
        <v>27</v>
      </c>
      <c r="O21" t="s">
        <v>66</v>
      </c>
      <c r="P21">
        <v>0</v>
      </c>
      <c r="Q21">
        <v>0</v>
      </c>
      <c r="R21">
        <v>0</v>
      </c>
      <c r="S21">
        <v>0.25</v>
      </c>
      <c r="T21">
        <v>0.25</v>
      </c>
      <c r="U21">
        <v>0.25</v>
      </c>
      <c r="V21">
        <v>0.25</v>
      </c>
      <c r="W21">
        <v>0.25</v>
      </c>
      <c r="X21">
        <v>0.5</v>
      </c>
      <c r="Y21">
        <v>0.5</v>
      </c>
      <c r="Z21">
        <v>0.5</v>
      </c>
      <c r="AA21">
        <v>0.5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604</v>
      </c>
      <c r="AH21" t="s">
        <v>27</v>
      </c>
      <c r="AI21" t="s">
        <v>66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2177.1224999999999</v>
      </c>
      <c r="AN21">
        <f>$H$21*$T$21</f>
        <v>2177.1224999999999</v>
      </c>
      <c r="AO21">
        <f>$H$21*$U$21</f>
        <v>2177.1224999999999</v>
      </c>
      <c r="AP21">
        <f>$H$21*$V$21</f>
        <v>2177.1224999999999</v>
      </c>
      <c r="AQ21">
        <f>$H$21*$W$21</f>
        <v>2177.1224999999999</v>
      </c>
      <c r="AR21">
        <f>$H$21*$X$21</f>
        <v>4354.2449999999999</v>
      </c>
      <c r="AS21">
        <f>$H$21*$Y$21</f>
        <v>4354.2449999999999</v>
      </c>
      <c r="AT21">
        <f>$H$21*$Z$21</f>
        <v>4354.2449999999999</v>
      </c>
      <c r="AU21">
        <f>$H$21*$AA$21</f>
        <v>4354.2449999999999</v>
      </c>
      <c r="AV21">
        <f>$H$21*$AB$21</f>
        <v>8708.49</v>
      </c>
      <c r="AW21">
        <f>$H$21*$AC$21</f>
        <v>8708.49</v>
      </c>
      <c r="AX21">
        <f>$H$21*$AD$21</f>
        <v>8708.49</v>
      </c>
      <c r="AY21">
        <f>$H$21*$AE$21</f>
        <v>8708.49</v>
      </c>
      <c r="AZ21">
        <f>$H$21*$AF$21</f>
        <v>8708.49</v>
      </c>
    </row>
    <row r="22" spans="1:52" x14ac:dyDescent="0.25">
      <c r="A22">
        <v>45</v>
      </c>
      <c r="B22" t="s">
        <v>327</v>
      </c>
      <c r="C22" t="s">
        <v>376</v>
      </c>
      <c r="D22">
        <v>2500</v>
      </c>
      <c r="E22">
        <v>6500</v>
      </c>
      <c r="F22" t="s">
        <v>349</v>
      </c>
      <c r="G22">
        <v>2.6</v>
      </c>
      <c r="H22">
        <v>7800</v>
      </c>
      <c r="I22" t="s">
        <v>377</v>
      </c>
      <c r="J22" t="s">
        <v>378</v>
      </c>
      <c r="K22" t="s">
        <v>623</v>
      </c>
      <c r="L22" t="s">
        <v>179</v>
      </c>
      <c r="M22" t="s">
        <v>604</v>
      </c>
      <c r="N22" t="s">
        <v>27</v>
      </c>
      <c r="O22" t="s">
        <v>66</v>
      </c>
      <c r="P22">
        <v>0</v>
      </c>
      <c r="Q22">
        <v>0</v>
      </c>
      <c r="R22">
        <v>0</v>
      </c>
      <c r="S22">
        <v>0.25</v>
      </c>
      <c r="T22">
        <v>0.25</v>
      </c>
      <c r="U22">
        <v>0.25</v>
      </c>
      <c r="V22">
        <v>0.25</v>
      </c>
      <c r="W22">
        <v>0.25</v>
      </c>
      <c r="X22">
        <v>0.5</v>
      </c>
      <c r="Y22">
        <v>0.5</v>
      </c>
      <c r="Z22">
        <v>0.5</v>
      </c>
      <c r="AA22">
        <v>0.5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604</v>
      </c>
      <c r="AH22" t="s">
        <v>27</v>
      </c>
      <c r="AI22" t="s">
        <v>66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1950</v>
      </c>
      <c r="AN22">
        <f>$H$22*$T$22</f>
        <v>1950</v>
      </c>
      <c r="AO22">
        <f>$H$22*$U$22</f>
        <v>1950</v>
      </c>
      <c r="AP22">
        <f>$H$22*$V$22</f>
        <v>1950</v>
      </c>
      <c r="AQ22">
        <f>$H$22*$W$22</f>
        <v>1950</v>
      </c>
      <c r="AR22">
        <f>$H$22*$X$22</f>
        <v>3900</v>
      </c>
      <c r="AS22">
        <f>$H$22*$Y$22</f>
        <v>3900</v>
      </c>
      <c r="AT22">
        <f>$H$22*$Z$22</f>
        <v>3900</v>
      </c>
      <c r="AU22">
        <f>$H$22*$AA$22</f>
        <v>3900</v>
      </c>
      <c r="AV22">
        <f>$H$22*$AB$22</f>
        <v>7800</v>
      </c>
      <c r="AW22">
        <f>$H$22*$AC$22</f>
        <v>7800</v>
      </c>
      <c r="AX22">
        <f>$H$22*$AD$22</f>
        <v>7800</v>
      </c>
      <c r="AY22">
        <f>$H$22*$AE$22</f>
        <v>7800</v>
      </c>
      <c r="AZ22">
        <f>$H$22*$AF$22</f>
        <v>7800</v>
      </c>
    </row>
    <row r="23" spans="1:52" x14ac:dyDescent="0.25">
      <c r="A23">
        <v>47</v>
      </c>
      <c r="B23" t="s">
        <v>327</v>
      </c>
      <c r="C23" t="s">
        <v>379</v>
      </c>
      <c r="D23">
        <v>1</v>
      </c>
      <c r="E23">
        <v>4143.66</v>
      </c>
      <c r="F23" t="s">
        <v>335</v>
      </c>
      <c r="G23">
        <v>4143.66</v>
      </c>
      <c r="H23">
        <v>4972.3999999999996</v>
      </c>
      <c r="I23" t="s">
        <v>343</v>
      </c>
      <c r="J23" t="s">
        <v>380</v>
      </c>
      <c r="K23" t="s">
        <v>624</v>
      </c>
      <c r="L23" t="s">
        <v>179</v>
      </c>
      <c r="M23" t="s">
        <v>614</v>
      </c>
      <c r="N23" t="s">
        <v>26</v>
      </c>
      <c r="O23" t="s">
        <v>67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614</v>
      </c>
      <c r="AH23" t="s">
        <v>26</v>
      </c>
      <c r="AI23" t="s">
        <v>67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4972.3999999999996</v>
      </c>
      <c r="AQ23">
        <f>$H$23*$W$23</f>
        <v>4972.3999999999996</v>
      </c>
      <c r="AR23">
        <f>$H$23*$X$23</f>
        <v>4972.3999999999996</v>
      </c>
      <c r="AS23">
        <f>$H$23*$Y$23</f>
        <v>4972.3999999999996</v>
      </c>
      <c r="AT23">
        <f>$H$23*$Z$23</f>
        <v>4972.3999999999996</v>
      </c>
      <c r="AU23">
        <f>$H$23*$AA$23</f>
        <v>4972.3999999999996</v>
      </c>
      <c r="AV23">
        <f>$H$23*$AB$23</f>
        <v>4972.3999999999996</v>
      </c>
      <c r="AW23">
        <f>$H$23*$AC$23</f>
        <v>4972.3999999999996</v>
      </c>
      <c r="AX23">
        <f>$H$23*$AD$23</f>
        <v>4972.3999999999996</v>
      </c>
      <c r="AY23">
        <f>$H$23*$AE$23</f>
        <v>4972.3999999999996</v>
      </c>
      <c r="AZ23">
        <f>$H$23*$AF$23</f>
        <v>4972.3999999999996</v>
      </c>
    </row>
    <row r="24" spans="1:52" x14ac:dyDescent="0.25">
      <c r="A24">
        <v>48</v>
      </c>
      <c r="B24" t="s">
        <v>327</v>
      </c>
      <c r="C24" t="s">
        <v>381</v>
      </c>
      <c r="D24">
        <v>1</v>
      </c>
      <c r="E24">
        <v>6240.76</v>
      </c>
      <c r="F24" t="s">
        <v>335</v>
      </c>
      <c r="G24">
        <v>6240.76</v>
      </c>
      <c r="H24">
        <v>7488.92</v>
      </c>
      <c r="I24" t="s">
        <v>343</v>
      </c>
      <c r="J24" t="s">
        <v>382</v>
      </c>
      <c r="K24" t="s">
        <v>625</v>
      </c>
      <c r="L24" t="s">
        <v>179</v>
      </c>
      <c r="M24" t="s">
        <v>614</v>
      </c>
      <c r="N24" t="s">
        <v>26</v>
      </c>
      <c r="O24" t="s">
        <v>67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1</v>
      </c>
      <c r="AF24">
        <v>1</v>
      </c>
      <c r="AG24" t="s">
        <v>614</v>
      </c>
      <c r="AH24" t="s">
        <v>26</v>
      </c>
      <c r="AI24" t="s">
        <v>67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0</v>
      </c>
      <c r="AQ24">
        <f>$H$24*$W$24</f>
        <v>0</v>
      </c>
      <c r="AR24">
        <f>$H$24*$X$24</f>
        <v>0</v>
      </c>
      <c r="AS24">
        <f>$H$24*$Y$24</f>
        <v>0</v>
      </c>
      <c r="AT24">
        <f>$H$24*$Z$24</f>
        <v>0</v>
      </c>
      <c r="AU24">
        <f>$H$24*$AA$24</f>
        <v>0</v>
      </c>
      <c r="AV24">
        <f>$H$24*$AB$24</f>
        <v>0</v>
      </c>
      <c r="AW24">
        <f>$H$24*$AC$24</f>
        <v>0</v>
      </c>
      <c r="AX24">
        <f>$H$24*$AD$24</f>
        <v>0</v>
      </c>
      <c r="AY24">
        <f>$H$24*$AE$24</f>
        <v>7488.92</v>
      </c>
      <c r="AZ24">
        <f>$H$24*$AF$24</f>
        <v>7488.92</v>
      </c>
    </row>
    <row r="25" spans="1:52" x14ac:dyDescent="0.25">
      <c r="A25">
        <v>49</v>
      </c>
      <c r="B25" t="s">
        <v>327</v>
      </c>
      <c r="C25" t="s">
        <v>383</v>
      </c>
      <c r="D25">
        <v>1</v>
      </c>
      <c r="E25">
        <v>156.81</v>
      </c>
      <c r="F25" t="s">
        <v>335</v>
      </c>
      <c r="G25">
        <v>156.81</v>
      </c>
      <c r="H25">
        <v>188.17</v>
      </c>
      <c r="I25" t="s">
        <v>343</v>
      </c>
      <c r="J25" t="s">
        <v>384</v>
      </c>
      <c r="K25" t="s">
        <v>626</v>
      </c>
      <c r="L25" t="s">
        <v>179</v>
      </c>
      <c r="M25" t="s">
        <v>604</v>
      </c>
      <c r="N25" t="s">
        <v>27</v>
      </c>
      <c r="O25" t="s">
        <v>66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1</v>
      </c>
      <c r="AE25">
        <v>1</v>
      </c>
      <c r="AF25">
        <v>1</v>
      </c>
      <c r="AG25" t="s">
        <v>604</v>
      </c>
      <c r="AH25" t="s">
        <v>27</v>
      </c>
      <c r="AI25" t="s">
        <v>66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188.17</v>
      </c>
      <c r="AX25">
        <f>$H$25*$AD$25</f>
        <v>188.17</v>
      </c>
      <c r="AY25">
        <f>$H$25*$AE$25</f>
        <v>188.17</v>
      </c>
      <c r="AZ25">
        <f>$H$25*$AF$25</f>
        <v>188.17</v>
      </c>
    </row>
    <row r="26" spans="1:52" x14ac:dyDescent="0.25">
      <c r="A26">
        <v>50</v>
      </c>
      <c r="B26" t="s">
        <v>327</v>
      </c>
      <c r="C26" t="s">
        <v>385</v>
      </c>
      <c r="D26">
        <v>1</v>
      </c>
      <c r="E26">
        <v>67.75</v>
      </c>
      <c r="F26" t="s">
        <v>335</v>
      </c>
      <c r="G26">
        <v>67.75</v>
      </c>
      <c r="H26">
        <v>81.31</v>
      </c>
      <c r="I26" t="s">
        <v>343</v>
      </c>
      <c r="J26" t="s">
        <v>386</v>
      </c>
      <c r="K26" t="s">
        <v>627</v>
      </c>
      <c r="L26" t="s">
        <v>179</v>
      </c>
      <c r="M26" t="s">
        <v>614</v>
      </c>
      <c r="N26" t="s">
        <v>26</v>
      </c>
      <c r="O26" t="s">
        <v>67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614</v>
      </c>
      <c r="AH26" t="s">
        <v>26</v>
      </c>
      <c r="AI26" t="s">
        <v>67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81.31</v>
      </c>
      <c r="AQ26">
        <f>$H$26*$W$26</f>
        <v>81.31</v>
      </c>
      <c r="AR26">
        <f>$H$26*$X$26</f>
        <v>81.31</v>
      </c>
      <c r="AS26">
        <f>$H$26*$Y$26</f>
        <v>81.31</v>
      </c>
      <c r="AT26">
        <f>$H$26*$Z$26</f>
        <v>81.31</v>
      </c>
      <c r="AU26">
        <f>$H$26*$AA$26</f>
        <v>81.31</v>
      </c>
      <c r="AV26">
        <f>$H$26*$AB$26</f>
        <v>81.31</v>
      </c>
      <c r="AW26">
        <f>$H$26*$AC$26</f>
        <v>81.31</v>
      </c>
      <c r="AX26">
        <f>$H$26*$AD$26</f>
        <v>81.31</v>
      </c>
      <c r="AY26">
        <f>$H$26*$AE$26</f>
        <v>81.31</v>
      </c>
      <c r="AZ26">
        <f>$H$26*$AF$26</f>
        <v>81.31</v>
      </c>
    </row>
    <row r="27" spans="1:52" x14ac:dyDescent="0.25">
      <c r="A27">
        <v>51</v>
      </c>
      <c r="B27" t="s">
        <v>327</v>
      </c>
      <c r="C27" t="s">
        <v>387</v>
      </c>
      <c r="D27">
        <v>1</v>
      </c>
      <c r="E27">
        <v>4324.1400000000003</v>
      </c>
      <c r="F27" t="s">
        <v>335</v>
      </c>
      <c r="G27">
        <v>4324.1400000000003</v>
      </c>
      <c r="H27">
        <v>5188.96</v>
      </c>
      <c r="I27" t="s">
        <v>343</v>
      </c>
      <c r="J27" t="s">
        <v>388</v>
      </c>
      <c r="K27" t="s">
        <v>628</v>
      </c>
      <c r="L27" t="s">
        <v>179</v>
      </c>
      <c r="M27" t="s">
        <v>614</v>
      </c>
      <c r="N27" t="s">
        <v>26</v>
      </c>
      <c r="O27" t="s">
        <v>67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1</v>
      </c>
      <c r="AF27">
        <v>1</v>
      </c>
      <c r="AG27" t="s">
        <v>614</v>
      </c>
      <c r="AH27" t="s">
        <v>26</v>
      </c>
      <c r="AI27" t="s">
        <v>67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0</v>
      </c>
      <c r="AQ27">
        <f>$H$27*$W$27</f>
        <v>0</v>
      </c>
      <c r="AR27">
        <f>$H$27*$X$27</f>
        <v>0</v>
      </c>
      <c r="AS27">
        <f>$H$27*$Y$27</f>
        <v>0</v>
      </c>
      <c r="AT27">
        <f>$H$27*$Z$27</f>
        <v>0</v>
      </c>
      <c r="AU27">
        <f>$H$27*$AA$27</f>
        <v>0</v>
      </c>
      <c r="AV27">
        <f>$H$27*$AB$27</f>
        <v>0</v>
      </c>
      <c r="AW27">
        <f>$H$27*$AC$27</f>
        <v>0</v>
      </c>
      <c r="AX27">
        <f>$H$27*$AD$27</f>
        <v>0</v>
      </c>
      <c r="AY27">
        <f>$H$27*$AE$27</f>
        <v>5188.96</v>
      </c>
      <c r="AZ27">
        <f>$H$27*$AF$27</f>
        <v>5188.96</v>
      </c>
    </row>
    <row r="28" spans="1:52" x14ac:dyDescent="0.25">
      <c r="A28">
        <v>58</v>
      </c>
      <c r="B28" t="s">
        <v>327</v>
      </c>
      <c r="C28" t="s">
        <v>390</v>
      </c>
      <c r="D28">
        <v>6</v>
      </c>
      <c r="E28">
        <v>44.34</v>
      </c>
      <c r="F28" t="s">
        <v>329</v>
      </c>
      <c r="G28">
        <v>7.39</v>
      </c>
      <c r="H28">
        <v>53.2</v>
      </c>
      <c r="I28" t="s">
        <v>330</v>
      </c>
      <c r="J28" t="s">
        <v>391</v>
      </c>
      <c r="K28" t="s">
        <v>629</v>
      </c>
      <c r="L28" t="s">
        <v>179</v>
      </c>
      <c r="M28" t="s">
        <v>630</v>
      </c>
      <c r="N28" t="s">
        <v>12</v>
      </c>
      <c r="O28" t="s">
        <v>68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1</v>
      </c>
      <c r="AF28">
        <v>1</v>
      </c>
      <c r="AG28" t="s">
        <v>630</v>
      </c>
      <c r="AH28" t="s">
        <v>12</v>
      </c>
      <c r="AI28" t="s">
        <v>68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0</v>
      </c>
      <c r="AQ28">
        <f>$H$28*$W$28</f>
        <v>0</v>
      </c>
      <c r="AR28">
        <f>$H$28*$X$28</f>
        <v>0</v>
      </c>
      <c r="AS28">
        <f>$H$28*$Y$28</f>
        <v>0</v>
      </c>
      <c r="AT28">
        <f>$H$28*$Z$28</f>
        <v>0</v>
      </c>
      <c r="AU28">
        <f>$H$28*$AA$28</f>
        <v>0</v>
      </c>
      <c r="AV28">
        <f>$H$28*$AB$28</f>
        <v>0</v>
      </c>
      <c r="AW28">
        <f>$H$28*$AC$28</f>
        <v>0</v>
      </c>
      <c r="AX28">
        <f>$H$28*$AD$28</f>
        <v>53.2</v>
      </c>
      <c r="AY28">
        <f>$H$28*$AE$28</f>
        <v>53.2</v>
      </c>
      <c r="AZ28">
        <f>$H$28*$AF$28</f>
        <v>53.2</v>
      </c>
    </row>
    <row r="29" spans="1:52" x14ac:dyDescent="0.25">
      <c r="A29">
        <v>59</v>
      </c>
      <c r="B29" t="s">
        <v>327</v>
      </c>
      <c r="C29" t="s">
        <v>392</v>
      </c>
      <c r="D29">
        <v>1</v>
      </c>
      <c r="E29">
        <v>725.53</v>
      </c>
      <c r="F29" t="s">
        <v>335</v>
      </c>
      <c r="G29">
        <v>725.53</v>
      </c>
      <c r="H29">
        <v>870.63</v>
      </c>
      <c r="I29" t="s">
        <v>389</v>
      </c>
      <c r="J29" t="s">
        <v>393</v>
      </c>
      <c r="K29" t="s">
        <v>631</v>
      </c>
      <c r="L29" t="s">
        <v>179</v>
      </c>
      <c r="M29" t="s">
        <v>630</v>
      </c>
      <c r="N29" t="s">
        <v>12</v>
      </c>
      <c r="O29" t="s">
        <v>68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1</v>
      </c>
      <c r="AF29">
        <v>1</v>
      </c>
      <c r="AG29" t="s">
        <v>630</v>
      </c>
      <c r="AH29" t="s">
        <v>12</v>
      </c>
      <c r="AI29" t="s">
        <v>68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0</v>
      </c>
      <c r="AS29">
        <f>$H$29*$Y$29</f>
        <v>0</v>
      </c>
      <c r="AT29">
        <f>$H$29*$Z$29</f>
        <v>0</v>
      </c>
      <c r="AU29">
        <f>$H$29*$AA$29</f>
        <v>0</v>
      </c>
      <c r="AV29">
        <f>$H$29*$AB$29</f>
        <v>0</v>
      </c>
      <c r="AW29">
        <f>$H$29*$AC$29</f>
        <v>0</v>
      </c>
      <c r="AX29">
        <f>$H$29*$AD$29</f>
        <v>870.63</v>
      </c>
      <c r="AY29">
        <f>$H$29*$AE$29</f>
        <v>870.63</v>
      </c>
      <c r="AZ29">
        <f>$H$29*$AF$29</f>
        <v>870.63</v>
      </c>
    </row>
    <row r="30" spans="1:52" x14ac:dyDescent="0.25">
      <c r="A30">
        <v>61</v>
      </c>
      <c r="B30" t="s">
        <v>327</v>
      </c>
      <c r="C30" t="s">
        <v>394</v>
      </c>
      <c r="D30">
        <v>1</v>
      </c>
      <c r="E30">
        <v>1387.24</v>
      </c>
      <c r="F30" t="s">
        <v>335</v>
      </c>
      <c r="G30">
        <v>1387.24</v>
      </c>
      <c r="H30">
        <v>1664.68</v>
      </c>
      <c r="I30" t="s">
        <v>353</v>
      </c>
      <c r="J30" t="s">
        <v>395</v>
      </c>
      <c r="K30" t="s">
        <v>632</v>
      </c>
      <c r="L30" t="s">
        <v>179</v>
      </c>
      <c r="M30" t="s">
        <v>614</v>
      </c>
      <c r="N30" t="s">
        <v>26</v>
      </c>
      <c r="O30" t="s">
        <v>67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614</v>
      </c>
      <c r="AH30" t="s">
        <v>26</v>
      </c>
      <c r="AI30" t="s">
        <v>67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1664.68</v>
      </c>
      <c r="AS30">
        <f>$H$30*$Y$30</f>
        <v>1664.68</v>
      </c>
      <c r="AT30">
        <f>$H$30*$Z$30</f>
        <v>1664.68</v>
      </c>
      <c r="AU30">
        <f>$H$30*$AA$30</f>
        <v>1664.68</v>
      </c>
      <c r="AV30">
        <f>$H$30*$AB$30</f>
        <v>1664.68</v>
      </c>
      <c r="AW30">
        <f>$H$30*$AC$30</f>
        <v>1664.68</v>
      </c>
      <c r="AX30">
        <f>$H$30*$AD$30</f>
        <v>1664.68</v>
      </c>
      <c r="AY30">
        <f>$H$30*$AE$30</f>
        <v>1664.68</v>
      </c>
      <c r="AZ30">
        <f>$H$30*$AF$30</f>
        <v>1664.68</v>
      </c>
    </row>
    <row r="31" spans="1:52" x14ac:dyDescent="0.25">
      <c r="A31">
        <v>62</v>
      </c>
      <c r="B31" t="s">
        <v>327</v>
      </c>
      <c r="C31" t="s">
        <v>396</v>
      </c>
      <c r="D31">
        <v>75</v>
      </c>
      <c r="E31">
        <v>207</v>
      </c>
      <c r="F31" t="s">
        <v>349</v>
      </c>
      <c r="G31">
        <v>2.76</v>
      </c>
      <c r="H31">
        <v>248.4</v>
      </c>
      <c r="I31" t="s">
        <v>330</v>
      </c>
      <c r="J31" t="s">
        <v>397</v>
      </c>
      <c r="K31" t="s">
        <v>633</v>
      </c>
      <c r="L31" t="s">
        <v>179</v>
      </c>
      <c r="M31" t="s">
        <v>604</v>
      </c>
      <c r="N31" t="s">
        <v>27</v>
      </c>
      <c r="O31" t="s">
        <v>66</v>
      </c>
      <c r="P31">
        <v>0</v>
      </c>
      <c r="Q31">
        <v>0</v>
      </c>
      <c r="R31">
        <v>0</v>
      </c>
      <c r="S31">
        <v>0</v>
      </c>
      <c r="T31">
        <v>1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604</v>
      </c>
      <c r="AH31" t="s">
        <v>27</v>
      </c>
      <c r="AI31" t="s">
        <v>66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248.4</v>
      </c>
      <c r="AO31">
        <f>$H$31*$U$31</f>
        <v>248.4</v>
      </c>
      <c r="AP31">
        <f>$H$31*$V$31</f>
        <v>248.4</v>
      </c>
      <c r="AQ31">
        <f>$H$31*$W$31</f>
        <v>248.4</v>
      </c>
      <c r="AR31">
        <f>$H$31*$X$31</f>
        <v>248.4</v>
      </c>
      <c r="AS31">
        <f>$H$31*$Y$31</f>
        <v>248.4</v>
      </c>
      <c r="AT31">
        <f>$H$31*$Z$31</f>
        <v>248.4</v>
      </c>
      <c r="AU31">
        <f>$H$31*$AA$31</f>
        <v>248.4</v>
      </c>
      <c r="AV31">
        <f>$H$31*$AB$31</f>
        <v>248.4</v>
      </c>
      <c r="AW31">
        <f>$H$31*$AC$31</f>
        <v>248.4</v>
      </c>
      <c r="AX31">
        <f>$H$31*$AD$31</f>
        <v>248.4</v>
      </c>
      <c r="AY31">
        <f>$H$31*$AE$31</f>
        <v>248.4</v>
      </c>
      <c r="AZ31">
        <f>$H$31*$AF$31</f>
        <v>248.4</v>
      </c>
    </row>
    <row r="32" spans="1:52" x14ac:dyDescent="0.25">
      <c r="A32">
        <v>63</v>
      </c>
      <c r="B32" t="s">
        <v>327</v>
      </c>
      <c r="C32" t="s">
        <v>398</v>
      </c>
      <c r="D32">
        <v>75</v>
      </c>
      <c r="E32">
        <v>1381.5</v>
      </c>
      <c r="F32" t="s">
        <v>349</v>
      </c>
      <c r="G32">
        <v>18.420000000000002</v>
      </c>
      <c r="H32">
        <v>1657.8</v>
      </c>
      <c r="I32" t="s">
        <v>333</v>
      </c>
      <c r="J32" t="s">
        <v>399</v>
      </c>
      <c r="K32" t="s">
        <v>634</v>
      </c>
      <c r="L32" t="s">
        <v>179</v>
      </c>
      <c r="M32" t="s">
        <v>604</v>
      </c>
      <c r="N32" t="s">
        <v>27</v>
      </c>
      <c r="O32" t="s">
        <v>66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0.25</v>
      </c>
      <c r="W32">
        <v>0.25</v>
      </c>
      <c r="X32">
        <v>0.5</v>
      </c>
      <c r="Y32">
        <v>0.5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604</v>
      </c>
      <c r="AH32" t="s">
        <v>27</v>
      </c>
      <c r="AI32" t="s">
        <v>66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414.45</v>
      </c>
      <c r="AQ32">
        <f>$H$32*$W$32</f>
        <v>414.45</v>
      </c>
      <c r="AR32">
        <f>$H$32*$X$32</f>
        <v>828.9</v>
      </c>
      <c r="AS32">
        <f>$H$32*$Y$32</f>
        <v>828.9</v>
      </c>
      <c r="AT32">
        <f>$H$32*$Z$32</f>
        <v>1657.8</v>
      </c>
      <c r="AU32">
        <f>$H$32*$AA$32</f>
        <v>1657.8</v>
      </c>
      <c r="AV32">
        <f>$H$32*$AB$32</f>
        <v>1657.8</v>
      </c>
      <c r="AW32">
        <f>$H$32*$AC$32</f>
        <v>1657.8</v>
      </c>
      <c r="AX32">
        <f>$H$32*$AD$32</f>
        <v>1657.8</v>
      </c>
      <c r="AY32">
        <f>$H$32*$AE$32</f>
        <v>1657.8</v>
      </c>
      <c r="AZ32">
        <f>$H$32*$AF$32</f>
        <v>1657.8</v>
      </c>
    </row>
    <row r="33" spans="1:52" x14ac:dyDescent="0.25">
      <c r="A33">
        <v>64</v>
      </c>
      <c r="B33" t="s">
        <v>327</v>
      </c>
      <c r="C33" t="s">
        <v>354</v>
      </c>
      <c r="D33">
        <v>1</v>
      </c>
      <c r="E33">
        <v>655.73</v>
      </c>
      <c r="F33" t="s">
        <v>335</v>
      </c>
      <c r="G33">
        <v>655.73</v>
      </c>
      <c r="H33">
        <v>786.87</v>
      </c>
      <c r="I33" t="s">
        <v>353</v>
      </c>
      <c r="J33" t="s">
        <v>355</v>
      </c>
      <c r="K33" t="s">
        <v>612</v>
      </c>
      <c r="L33" t="s">
        <v>179</v>
      </c>
      <c r="M33" t="s">
        <v>604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604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0</v>
      </c>
      <c r="AS33">
        <f>$H$33*$Y$33</f>
        <v>786.87</v>
      </c>
      <c r="AT33">
        <f>$H$33*$Z$33</f>
        <v>786.87</v>
      </c>
      <c r="AU33">
        <f>$H$33*$AA$33</f>
        <v>786.87</v>
      </c>
      <c r="AV33">
        <f>$H$33*$AB$33</f>
        <v>786.87</v>
      </c>
      <c r="AW33">
        <f>$H$33*$AC$33</f>
        <v>786.87</v>
      </c>
      <c r="AX33">
        <f>$H$33*$AD$33</f>
        <v>786.87</v>
      </c>
      <c r="AY33">
        <f>$H$33*$AE$33</f>
        <v>786.87</v>
      </c>
      <c r="AZ33">
        <f>$H$33*$AF$33</f>
        <v>786.87</v>
      </c>
    </row>
    <row r="34" spans="1:52" x14ac:dyDescent="0.25">
      <c r="A34">
        <v>65</v>
      </c>
      <c r="B34" t="s">
        <v>327</v>
      </c>
      <c r="C34" t="s">
        <v>400</v>
      </c>
      <c r="D34">
        <v>1</v>
      </c>
      <c r="E34">
        <v>420.94</v>
      </c>
      <c r="F34" t="s">
        <v>335</v>
      </c>
      <c r="G34">
        <v>420.94</v>
      </c>
      <c r="H34">
        <v>505.12</v>
      </c>
      <c r="I34" t="s">
        <v>353</v>
      </c>
      <c r="J34" t="s">
        <v>401</v>
      </c>
      <c r="K34" t="s">
        <v>635</v>
      </c>
      <c r="L34" t="s">
        <v>179</v>
      </c>
      <c r="M34" t="s">
        <v>7</v>
      </c>
      <c r="N34" t="s">
        <v>12</v>
      </c>
      <c r="O34" t="s">
        <v>7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7</v>
      </c>
      <c r="AH34" t="s">
        <v>12</v>
      </c>
      <c r="AI34" t="s">
        <v>7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0</v>
      </c>
      <c r="AS34">
        <f>$H$34*$Y$34</f>
        <v>0</v>
      </c>
      <c r="AT34">
        <f>$H$34*$Z$34</f>
        <v>0</v>
      </c>
      <c r="AU34">
        <f>$H$34*$AA$34</f>
        <v>505.12</v>
      </c>
      <c r="AV34">
        <f>$H$34*$AB$34</f>
        <v>505.12</v>
      </c>
      <c r="AW34">
        <f>$H$34*$AC$34</f>
        <v>505.12</v>
      </c>
      <c r="AX34">
        <f>$H$34*$AD$34</f>
        <v>505.12</v>
      </c>
      <c r="AY34">
        <f>$H$34*$AE$34</f>
        <v>505.12</v>
      </c>
      <c r="AZ34">
        <f>$H$34*$AF$34</f>
        <v>505.12</v>
      </c>
    </row>
    <row r="35" spans="1:52" x14ac:dyDescent="0.25">
      <c r="A35">
        <v>66</v>
      </c>
      <c r="B35" t="s">
        <v>327</v>
      </c>
      <c r="C35" t="s">
        <v>402</v>
      </c>
      <c r="D35">
        <v>1</v>
      </c>
      <c r="E35">
        <v>449.33</v>
      </c>
      <c r="F35" t="s">
        <v>335</v>
      </c>
      <c r="G35">
        <v>449.33</v>
      </c>
      <c r="H35">
        <v>539.19000000000005</v>
      </c>
      <c r="I35" t="s">
        <v>353</v>
      </c>
      <c r="J35" t="s">
        <v>403</v>
      </c>
      <c r="K35" t="s">
        <v>636</v>
      </c>
      <c r="L35" t="s">
        <v>179</v>
      </c>
      <c r="M35" t="s">
        <v>167</v>
      </c>
      <c r="N35" t="s">
        <v>12</v>
      </c>
      <c r="O35" t="s">
        <v>300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167</v>
      </c>
      <c r="AH35" t="s">
        <v>12</v>
      </c>
      <c r="AI35" t="s">
        <v>300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0</v>
      </c>
      <c r="AS35">
        <f>$H$35*$Y$35</f>
        <v>0</v>
      </c>
      <c r="AT35">
        <f>$H$35*$Z$35</f>
        <v>0</v>
      </c>
      <c r="AU35">
        <f>$H$35*$AA$35</f>
        <v>539.19000000000005</v>
      </c>
      <c r="AV35">
        <f>$H$35*$AB$35</f>
        <v>539.19000000000005</v>
      </c>
      <c r="AW35">
        <f>$H$35*$AC$35</f>
        <v>539.19000000000005</v>
      </c>
      <c r="AX35">
        <f>$H$35*$AD$35</f>
        <v>539.19000000000005</v>
      </c>
      <c r="AY35">
        <f>$H$35*$AE$35</f>
        <v>539.19000000000005</v>
      </c>
      <c r="AZ35">
        <f>$H$35*$AF$35</f>
        <v>539.19000000000005</v>
      </c>
    </row>
    <row r="36" spans="1:52" x14ac:dyDescent="0.25">
      <c r="A36">
        <v>67</v>
      </c>
      <c r="B36" t="s">
        <v>327</v>
      </c>
      <c r="C36" t="s">
        <v>404</v>
      </c>
      <c r="D36">
        <v>2</v>
      </c>
      <c r="E36">
        <v>39.96</v>
      </c>
      <c r="F36" t="s">
        <v>329</v>
      </c>
      <c r="G36">
        <v>19.98</v>
      </c>
      <c r="H36">
        <v>47.96</v>
      </c>
      <c r="I36" t="s">
        <v>340</v>
      </c>
      <c r="J36" t="s">
        <v>405</v>
      </c>
      <c r="K36" t="s">
        <v>637</v>
      </c>
      <c r="L36" t="s">
        <v>179</v>
      </c>
      <c r="M36" t="s">
        <v>604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1</v>
      </c>
      <c r="AF36">
        <v>1</v>
      </c>
      <c r="AG36" t="s">
        <v>604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0</v>
      </c>
      <c r="AS36">
        <f>$H$36*$Y$36</f>
        <v>0</v>
      </c>
      <c r="AT36">
        <f>$H$36*$Z$36</f>
        <v>0</v>
      </c>
      <c r="AU36">
        <f>$H$36*$AA$36</f>
        <v>0</v>
      </c>
      <c r="AV36">
        <f>$H$36*$AB$36</f>
        <v>0</v>
      </c>
      <c r="AW36">
        <f>$H$36*$AC$36</f>
        <v>0</v>
      </c>
      <c r="AX36">
        <f>$H$36*$AD$36</f>
        <v>47.96</v>
      </c>
      <c r="AY36">
        <f>$H$36*$AE$36</f>
        <v>47.96</v>
      </c>
      <c r="AZ36">
        <f>$H$36*$AF$36</f>
        <v>47.96</v>
      </c>
    </row>
    <row r="37" spans="1:52" x14ac:dyDescent="0.25">
      <c r="A37">
        <v>68</v>
      </c>
      <c r="B37" t="s">
        <v>327</v>
      </c>
      <c r="C37" t="s">
        <v>406</v>
      </c>
      <c r="D37">
        <v>1</v>
      </c>
      <c r="E37">
        <v>51.37</v>
      </c>
      <c r="F37" t="s">
        <v>335</v>
      </c>
      <c r="G37">
        <v>51.37</v>
      </c>
      <c r="H37">
        <v>61.65</v>
      </c>
      <c r="I37" t="s">
        <v>340</v>
      </c>
      <c r="J37" t="s">
        <v>407</v>
      </c>
      <c r="K37" t="s">
        <v>638</v>
      </c>
      <c r="L37" t="s">
        <v>179</v>
      </c>
      <c r="M37" t="s">
        <v>604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1</v>
      </c>
      <c r="AE37">
        <v>1</v>
      </c>
      <c r="AF37">
        <v>1</v>
      </c>
      <c r="AG37" t="s">
        <v>604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0</v>
      </c>
      <c r="AS37">
        <f>$H$37*$Y$37</f>
        <v>0</v>
      </c>
      <c r="AT37">
        <f>$H$37*$Z$37</f>
        <v>0</v>
      </c>
      <c r="AU37">
        <f>$H$37*$AA$37</f>
        <v>0</v>
      </c>
      <c r="AV37">
        <f>$H$37*$AB$37</f>
        <v>0</v>
      </c>
      <c r="AW37">
        <f>$H$37*$AC$37</f>
        <v>0</v>
      </c>
      <c r="AX37">
        <f>$H$37*$AD$37</f>
        <v>61.65</v>
      </c>
      <c r="AY37">
        <f>$H$37*$AE$37</f>
        <v>61.65</v>
      </c>
      <c r="AZ37">
        <f>$H$37*$AF$37</f>
        <v>61.65</v>
      </c>
    </row>
    <row r="38" spans="1:52" x14ac:dyDescent="0.25">
      <c r="A38">
        <v>69</v>
      </c>
      <c r="B38" t="s">
        <v>327</v>
      </c>
      <c r="C38" t="s">
        <v>408</v>
      </c>
      <c r="D38">
        <v>3</v>
      </c>
      <c r="E38">
        <v>1044.06</v>
      </c>
      <c r="F38" t="s">
        <v>335</v>
      </c>
      <c r="G38">
        <v>348.02</v>
      </c>
      <c r="H38">
        <v>1252.8800000000001</v>
      </c>
      <c r="I38" t="s">
        <v>340</v>
      </c>
      <c r="J38" t="s">
        <v>409</v>
      </c>
      <c r="K38" t="s">
        <v>639</v>
      </c>
      <c r="L38" t="s">
        <v>179</v>
      </c>
      <c r="M38" t="s">
        <v>604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1</v>
      </c>
      <c r="AE38">
        <v>1</v>
      </c>
      <c r="AF38">
        <v>1</v>
      </c>
      <c r="AG38" t="s">
        <v>604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0</v>
      </c>
      <c r="AS38">
        <f>$H$38*$Y$38</f>
        <v>0</v>
      </c>
      <c r="AT38">
        <f>$H$38*$Z$38</f>
        <v>0</v>
      </c>
      <c r="AU38">
        <f>$H$38*$AA$38</f>
        <v>0</v>
      </c>
      <c r="AV38">
        <f>$H$38*$AB$38</f>
        <v>0</v>
      </c>
      <c r="AW38">
        <f>$H$38*$AC$38</f>
        <v>0</v>
      </c>
      <c r="AX38">
        <f>$H$38*$AD$38</f>
        <v>1252.8800000000001</v>
      </c>
      <c r="AY38">
        <f>$H$38*$AE$38</f>
        <v>1252.8800000000001</v>
      </c>
      <c r="AZ38">
        <f>$H$38*$AF$38</f>
        <v>1252.8800000000001</v>
      </c>
    </row>
    <row r="39" spans="1:52" x14ac:dyDescent="0.25">
      <c r="A39">
        <v>70</v>
      </c>
      <c r="B39" t="s">
        <v>327</v>
      </c>
      <c r="C39" t="s">
        <v>410</v>
      </c>
      <c r="D39">
        <v>1</v>
      </c>
      <c r="E39">
        <v>2328.1799999999998</v>
      </c>
      <c r="F39" t="s">
        <v>335</v>
      </c>
      <c r="G39">
        <v>2328.1799999999998</v>
      </c>
      <c r="H39">
        <v>2793.82</v>
      </c>
      <c r="I39" t="s">
        <v>340</v>
      </c>
      <c r="J39" t="s">
        <v>411</v>
      </c>
      <c r="K39" t="s">
        <v>640</v>
      </c>
      <c r="L39" t="s">
        <v>179</v>
      </c>
      <c r="M39" t="s">
        <v>604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1</v>
      </c>
      <c r="AE39">
        <v>1</v>
      </c>
      <c r="AF39">
        <v>1</v>
      </c>
      <c r="AG39" t="s">
        <v>604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0</v>
      </c>
      <c r="AS39">
        <f>$H$39*$Y$39</f>
        <v>0</v>
      </c>
      <c r="AT39">
        <f>$H$39*$Z$39</f>
        <v>0</v>
      </c>
      <c r="AU39">
        <f>$H$39*$AA$39</f>
        <v>0</v>
      </c>
      <c r="AV39">
        <f>$H$39*$AB$39</f>
        <v>0</v>
      </c>
      <c r="AW39">
        <f>$H$39*$AC$39</f>
        <v>0</v>
      </c>
      <c r="AX39">
        <f>$H$39*$AD$39</f>
        <v>2793.82</v>
      </c>
      <c r="AY39">
        <f>$H$39*$AE$39</f>
        <v>2793.82</v>
      </c>
      <c r="AZ39">
        <f>$H$39*$AF$39</f>
        <v>2793.82</v>
      </c>
    </row>
    <row r="40" spans="1:52" x14ac:dyDescent="0.25">
      <c r="A40">
        <v>71</v>
      </c>
      <c r="B40" t="s">
        <v>327</v>
      </c>
      <c r="C40" t="s">
        <v>412</v>
      </c>
      <c r="D40">
        <v>3</v>
      </c>
      <c r="E40">
        <v>343.41</v>
      </c>
      <c r="F40" t="s">
        <v>335</v>
      </c>
      <c r="G40">
        <v>114.47</v>
      </c>
      <c r="H40">
        <v>412.09</v>
      </c>
      <c r="I40" t="s">
        <v>340</v>
      </c>
      <c r="J40" t="s">
        <v>413</v>
      </c>
      <c r="K40" t="s">
        <v>641</v>
      </c>
      <c r="L40" t="s">
        <v>179</v>
      </c>
      <c r="M40" t="s">
        <v>630</v>
      </c>
      <c r="N40" t="s">
        <v>12</v>
      </c>
      <c r="O40" t="s">
        <v>68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1</v>
      </c>
      <c r="AE40">
        <v>1</v>
      </c>
      <c r="AF40">
        <v>1</v>
      </c>
      <c r="AG40" t="s">
        <v>630</v>
      </c>
      <c r="AH40" t="s">
        <v>12</v>
      </c>
      <c r="AI40" t="s">
        <v>68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0</v>
      </c>
      <c r="AO40">
        <f>$H$40*$U$40</f>
        <v>0</v>
      </c>
      <c r="AP40">
        <f>$H$40*$V$40</f>
        <v>0</v>
      </c>
      <c r="AQ40">
        <f>$H$40*$W$40</f>
        <v>0</v>
      </c>
      <c r="AR40">
        <f>$H$40*$X$40</f>
        <v>0</v>
      </c>
      <c r="AS40">
        <f>$H$40*$Y$40</f>
        <v>0</v>
      </c>
      <c r="AT40">
        <f>$H$40*$Z$40</f>
        <v>0</v>
      </c>
      <c r="AU40">
        <f>$H$40*$AA$40</f>
        <v>0</v>
      </c>
      <c r="AV40">
        <f>$H$40*$AB$40</f>
        <v>0</v>
      </c>
      <c r="AW40">
        <f>$H$40*$AC$40</f>
        <v>0</v>
      </c>
      <c r="AX40">
        <f>$H$40*$AD$40</f>
        <v>412.09</v>
      </c>
      <c r="AY40">
        <f>$H$40*$AE$40</f>
        <v>412.09</v>
      </c>
      <c r="AZ40">
        <f>$H$40*$AF$40</f>
        <v>412.09</v>
      </c>
    </row>
    <row r="41" spans="1:52" x14ac:dyDescent="0.25">
      <c r="A41">
        <v>72</v>
      </c>
      <c r="B41" t="s">
        <v>327</v>
      </c>
      <c r="C41" t="s">
        <v>414</v>
      </c>
      <c r="D41">
        <v>3</v>
      </c>
      <c r="E41">
        <v>315.02999999999997</v>
      </c>
      <c r="F41" t="s">
        <v>335</v>
      </c>
      <c r="G41">
        <v>105.01</v>
      </c>
      <c r="H41">
        <v>378.03</v>
      </c>
      <c r="I41" t="s">
        <v>368</v>
      </c>
      <c r="J41" t="s">
        <v>415</v>
      </c>
      <c r="K41" t="s">
        <v>642</v>
      </c>
      <c r="L41" t="s">
        <v>179</v>
      </c>
      <c r="M41" t="s">
        <v>630</v>
      </c>
      <c r="N41" t="s">
        <v>12</v>
      </c>
      <c r="O41" t="s">
        <v>68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630</v>
      </c>
      <c r="AH41" t="s">
        <v>12</v>
      </c>
      <c r="AI41" t="s">
        <v>68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0</v>
      </c>
      <c r="AO41">
        <f>$H$41*$U$41</f>
        <v>0</v>
      </c>
      <c r="AP41">
        <f>$H$41*$V$41</f>
        <v>0</v>
      </c>
      <c r="AQ41">
        <f>$H$41*$W$41</f>
        <v>0</v>
      </c>
      <c r="AR41">
        <f>$H$41*$X$41</f>
        <v>0</v>
      </c>
      <c r="AS41">
        <f>$H$41*$Y$41</f>
        <v>0</v>
      </c>
      <c r="AT41">
        <f>$H$41*$Z$41</f>
        <v>0</v>
      </c>
      <c r="AU41">
        <f>$H$41*$AA$41</f>
        <v>378.03</v>
      </c>
      <c r="AV41">
        <f>$H$41*$AB$41</f>
        <v>378.03</v>
      </c>
      <c r="AW41">
        <f>$H$41*$AC$41</f>
        <v>378.03</v>
      </c>
      <c r="AX41">
        <f>$H$41*$AD$41</f>
        <v>378.03</v>
      </c>
      <c r="AY41">
        <f>$H$41*$AE$41</f>
        <v>378.03</v>
      </c>
      <c r="AZ41">
        <f>$H$41*$AF$41</f>
        <v>378.03</v>
      </c>
    </row>
    <row r="42" spans="1:52" x14ac:dyDescent="0.25">
      <c r="A42">
        <v>73</v>
      </c>
      <c r="B42" t="s">
        <v>327</v>
      </c>
      <c r="C42" t="s">
        <v>416</v>
      </c>
      <c r="D42">
        <v>3</v>
      </c>
      <c r="E42">
        <v>1707.42</v>
      </c>
      <c r="F42" t="s">
        <v>335</v>
      </c>
      <c r="G42">
        <v>569.14</v>
      </c>
      <c r="H42">
        <v>2048.9</v>
      </c>
      <c r="I42" t="s">
        <v>371</v>
      </c>
      <c r="J42" t="s">
        <v>413</v>
      </c>
      <c r="K42" t="s">
        <v>643</v>
      </c>
      <c r="L42" t="s">
        <v>179</v>
      </c>
      <c r="M42" t="s">
        <v>630</v>
      </c>
      <c r="N42" t="s">
        <v>12</v>
      </c>
      <c r="O42" t="s">
        <v>68</v>
      </c>
      <c r="P42">
        <v>0</v>
      </c>
      <c r="Q42">
        <v>0</v>
      </c>
      <c r="R42">
        <v>0</v>
      </c>
      <c r="S42">
        <v>0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630</v>
      </c>
      <c r="AH42" t="s">
        <v>12</v>
      </c>
      <c r="AI42" t="s">
        <v>68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2048.9</v>
      </c>
      <c r="AO42">
        <f>$H$42*$U$42</f>
        <v>2048.9</v>
      </c>
      <c r="AP42">
        <f>$H$42*$V$42</f>
        <v>2048.9</v>
      </c>
      <c r="AQ42">
        <f>$H$42*$W$42</f>
        <v>2048.9</v>
      </c>
      <c r="AR42">
        <f>$H$42*$X$42</f>
        <v>2048.9</v>
      </c>
      <c r="AS42">
        <f>$H$42*$Y$42</f>
        <v>2048.9</v>
      </c>
      <c r="AT42">
        <f>$H$42*$Z$42</f>
        <v>2048.9</v>
      </c>
      <c r="AU42">
        <f>$H$42*$AA$42</f>
        <v>2048.9</v>
      </c>
      <c r="AV42">
        <f>$H$42*$AB$42</f>
        <v>2048.9</v>
      </c>
      <c r="AW42">
        <f>$H$42*$AC$42</f>
        <v>2048.9</v>
      </c>
      <c r="AX42">
        <f>$H$42*$AD$42</f>
        <v>2048.9</v>
      </c>
      <c r="AY42">
        <f>$H$42*$AE$42</f>
        <v>2048.9</v>
      </c>
      <c r="AZ42">
        <f>$H$42*$AF$42</f>
        <v>2048.9</v>
      </c>
    </row>
    <row r="43" spans="1:52" x14ac:dyDescent="0.25">
      <c r="A43">
        <v>74</v>
      </c>
      <c r="B43" t="s">
        <v>327</v>
      </c>
      <c r="C43" t="s">
        <v>417</v>
      </c>
      <c r="D43">
        <v>1</v>
      </c>
      <c r="E43">
        <v>1615.3</v>
      </c>
      <c r="F43" t="s">
        <v>335</v>
      </c>
      <c r="G43">
        <v>1615.3</v>
      </c>
      <c r="H43">
        <v>1938.36</v>
      </c>
      <c r="I43" t="s">
        <v>418</v>
      </c>
      <c r="J43" t="s">
        <v>419</v>
      </c>
      <c r="K43" t="s">
        <v>644</v>
      </c>
      <c r="L43" t="s">
        <v>179</v>
      </c>
      <c r="M43" t="s">
        <v>630</v>
      </c>
      <c r="N43" t="s">
        <v>12</v>
      </c>
      <c r="O43" t="s">
        <v>68</v>
      </c>
      <c r="P43">
        <v>0</v>
      </c>
      <c r="Q43">
        <v>0</v>
      </c>
      <c r="R43">
        <v>0</v>
      </c>
      <c r="S43">
        <v>0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630</v>
      </c>
      <c r="AH43" t="s">
        <v>12</v>
      </c>
      <c r="AI43" t="s">
        <v>68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1938.36</v>
      </c>
      <c r="AO43">
        <f>$H$43*$U$43</f>
        <v>1938.36</v>
      </c>
      <c r="AP43">
        <f>$H$43*$V$43</f>
        <v>1938.36</v>
      </c>
      <c r="AQ43">
        <f>$H$43*$W$43</f>
        <v>1938.36</v>
      </c>
      <c r="AR43">
        <f>$H$43*$X$43</f>
        <v>1938.36</v>
      </c>
      <c r="AS43">
        <f>$H$43*$Y$43</f>
        <v>1938.36</v>
      </c>
      <c r="AT43">
        <f>$H$43*$Z$43</f>
        <v>1938.36</v>
      </c>
      <c r="AU43">
        <f>$H$43*$AA$43</f>
        <v>1938.36</v>
      </c>
      <c r="AV43">
        <f>$H$43*$AB$43</f>
        <v>1938.36</v>
      </c>
      <c r="AW43">
        <f>$H$43*$AC$43</f>
        <v>1938.36</v>
      </c>
      <c r="AX43">
        <f>$H$43*$AD$43</f>
        <v>1938.36</v>
      </c>
      <c r="AY43">
        <f>$H$43*$AE$43</f>
        <v>1938.36</v>
      </c>
      <c r="AZ43">
        <f>$H$43*$AF$43</f>
        <v>1938.36</v>
      </c>
    </row>
    <row r="44" spans="1:52" x14ac:dyDescent="0.25">
      <c r="A44">
        <v>87</v>
      </c>
      <c r="B44" t="s">
        <v>327</v>
      </c>
      <c r="C44" t="s">
        <v>421</v>
      </c>
      <c r="D44">
        <v>2</v>
      </c>
      <c r="E44">
        <v>35.54</v>
      </c>
      <c r="F44" t="s">
        <v>335</v>
      </c>
      <c r="G44">
        <v>17.77</v>
      </c>
      <c r="H44">
        <v>42.64</v>
      </c>
      <c r="I44" t="s">
        <v>337</v>
      </c>
      <c r="J44" t="s">
        <v>422</v>
      </c>
      <c r="K44" t="s">
        <v>645</v>
      </c>
      <c r="L44" t="s">
        <v>179</v>
      </c>
      <c r="M44" t="s">
        <v>604</v>
      </c>
      <c r="N44" t="s">
        <v>27</v>
      </c>
      <c r="O44" t="s">
        <v>66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604</v>
      </c>
      <c r="AH44" t="s">
        <v>27</v>
      </c>
      <c r="AI44" t="s">
        <v>66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42.64</v>
      </c>
      <c r="AS44">
        <f>$H$44*$Y$44</f>
        <v>42.64</v>
      </c>
      <c r="AT44">
        <f>$H$44*$Z$44</f>
        <v>42.64</v>
      </c>
      <c r="AU44">
        <f>$H$44*$AA$44</f>
        <v>42.64</v>
      </c>
      <c r="AV44">
        <f>$H$44*$AB$44</f>
        <v>42.64</v>
      </c>
      <c r="AW44">
        <f>$H$44*$AC$44</f>
        <v>42.64</v>
      </c>
      <c r="AX44">
        <f>$H$44*$AD$44</f>
        <v>42.64</v>
      </c>
      <c r="AY44">
        <f>$H$44*$AE$44</f>
        <v>42.64</v>
      </c>
      <c r="AZ44">
        <f>$H$44*$AF$44</f>
        <v>42.64</v>
      </c>
    </row>
    <row r="45" spans="1:52" x14ac:dyDescent="0.25">
      <c r="A45">
        <v>89</v>
      </c>
      <c r="B45" t="s">
        <v>327</v>
      </c>
      <c r="C45" t="s">
        <v>423</v>
      </c>
      <c r="D45">
        <v>1</v>
      </c>
      <c r="E45">
        <v>1489.01</v>
      </c>
      <c r="F45" t="s">
        <v>335</v>
      </c>
      <c r="G45">
        <v>1489.01</v>
      </c>
      <c r="H45">
        <v>1786.81</v>
      </c>
      <c r="I45" t="s">
        <v>337</v>
      </c>
      <c r="J45" t="s">
        <v>424</v>
      </c>
      <c r="K45" t="s">
        <v>646</v>
      </c>
      <c r="L45" t="s">
        <v>179</v>
      </c>
      <c r="M45" t="s">
        <v>614</v>
      </c>
      <c r="N45" t="s">
        <v>26</v>
      </c>
      <c r="O45" t="s">
        <v>67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614</v>
      </c>
      <c r="AH45" t="s">
        <v>26</v>
      </c>
      <c r="AI45" t="s">
        <v>67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0</v>
      </c>
      <c r="AS45">
        <f>$H$45*$Y$45</f>
        <v>0</v>
      </c>
      <c r="AT45">
        <f>$H$45*$Z$45</f>
        <v>0</v>
      </c>
      <c r="AU45">
        <f>$H$45*$AA$45</f>
        <v>1786.81</v>
      </c>
      <c r="AV45">
        <f>$H$45*$AB$45</f>
        <v>1786.81</v>
      </c>
      <c r="AW45">
        <f>$H$45*$AC$45</f>
        <v>1786.81</v>
      </c>
      <c r="AX45">
        <f>$H$45*$AD$45</f>
        <v>1786.81</v>
      </c>
      <c r="AY45">
        <f>$H$45*$AE$45</f>
        <v>1786.81</v>
      </c>
      <c r="AZ45">
        <f>$H$45*$AF$45</f>
        <v>1786.81</v>
      </c>
    </row>
    <row r="46" spans="1:52" x14ac:dyDescent="0.25">
      <c r="A46">
        <v>92</v>
      </c>
      <c r="B46" t="s">
        <v>327</v>
      </c>
      <c r="C46" t="s">
        <v>425</v>
      </c>
      <c r="D46">
        <v>40</v>
      </c>
      <c r="E46">
        <v>39.6</v>
      </c>
      <c r="F46" t="s">
        <v>329</v>
      </c>
      <c r="G46">
        <v>0.99</v>
      </c>
      <c r="H46">
        <v>47.52</v>
      </c>
      <c r="I46" t="s">
        <v>337</v>
      </c>
      <c r="J46" t="s">
        <v>426</v>
      </c>
      <c r="K46" t="s">
        <v>647</v>
      </c>
      <c r="L46" t="s">
        <v>179</v>
      </c>
      <c r="M46" t="s">
        <v>604</v>
      </c>
      <c r="N46" t="s">
        <v>27</v>
      </c>
      <c r="O46" t="s">
        <v>66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0.6</v>
      </c>
      <c r="Y46">
        <v>0.6</v>
      </c>
      <c r="Z46">
        <v>0.6</v>
      </c>
      <c r="AA46">
        <v>0.6</v>
      </c>
      <c r="AB46">
        <v>0.6</v>
      </c>
      <c r="AC46">
        <v>0.6</v>
      </c>
      <c r="AD46">
        <v>0.6</v>
      </c>
      <c r="AE46">
        <v>0.6</v>
      </c>
      <c r="AF46">
        <v>0.6</v>
      </c>
      <c r="AG46" t="s">
        <v>604</v>
      </c>
      <c r="AH46" t="s">
        <v>27</v>
      </c>
      <c r="AI46" t="s">
        <v>66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28.512</v>
      </c>
      <c r="AS46">
        <f>$H$46*$Y$46</f>
        <v>28.512</v>
      </c>
      <c r="AT46">
        <f>$H$46*$Z$46</f>
        <v>28.512</v>
      </c>
      <c r="AU46">
        <f>$H$46*$AA$46</f>
        <v>28.512</v>
      </c>
      <c r="AV46">
        <f>$H$46*$AB$46</f>
        <v>28.512</v>
      </c>
      <c r="AW46">
        <f>$H$46*$AC$46</f>
        <v>28.512</v>
      </c>
      <c r="AX46">
        <f>$H$46*$AD$46</f>
        <v>28.512</v>
      </c>
      <c r="AY46">
        <f>$H$46*$AE$46</f>
        <v>28.512</v>
      </c>
      <c r="AZ46">
        <f>$H$46*$AF$46</f>
        <v>28.512</v>
      </c>
    </row>
    <row r="47" spans="1:52" x14ac:dyDescent="0.25">
      <c r="A47">
        <v>94</v>
      </c>
      <c r="B47" t="s">
        <v>327</v>
      </c>
      <c r="C47" t="s">
        <v>421</v>
      </c>
      <c r="D47">
        <v>4</v>
      </c>
      <c r="E47">
        <v>71.08</v>
      </c>
      <c r="F47" t="s">
        <v>335</v>
      </c>
      <c r="G47">
        <v>17.77</v>
      </c>
      <c r="H47">
        <v>85.3</v>
      </c>
      <c r="I47" t="s">
        <v>337</v>
      </c>
      <c r="J47" t="s">
        <v>422</v>
      </c>
      <c r="K47" t="s">
        <v>645</v>
      </c>
      <c r="L47" t="s">
        <v>179</v>
      </c>
      <c r="M47" t="s">
        <v>604</v>
      </c>
      <c r="N47" t="s">
        <v>27</v>
      </c>
      <c r="O47" t="s">
        <v>66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604</v>
      </c>
      <c r="AH47" t="s">
        <v>27</v>
      </c>
      <c r="AI47" t="s">
        <v>66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0</v>
      </c>
      <c r="AO47">
        <f>$H$47*$U$47</f>
        <v>0</v>
      </c>
      <c r="AP47">
        <f>$H$47*$V$47</f>
        <v>0</v>
      </c>
      <c r="AQ47">
        <f>$H$47*$W$47</f>
        <v>0</v>
      </c>
      <c r="AR47">
        <f>$H$47*$X$47</f>
        <v>85.3</v>
      </c>
      <c r="AS47">
        <f>$H$47*$Y$47</f>
        <v>85.3</v>
      </c>
      <c r="AT47">
        <f>$H$47*$Z$47</f>
        <v>85.3</v>
      </c>
      <c r="AU47">
        <f>$H$47*$AA$47</f>
        <v>85.3</v>
      </c>
      <c r="AV47">
        <f>$H$47*$AB$47</f>
        <v>85.3</v>
      </c>
      <c r="AW47">
        <f>$H$47*$AC$47</f>
        <v>85.3</v>
      </c>
      <c r="AX47">
        <f>$H$47*$AD$47</f>
        <v>85.3</v>
      </c>
      <c r="AY47">
        <f>$H$47*$AE$47</f>
        <v>85.3</v>
      </c>
      <c r="AZ47">
        <f>$H$47*$AF$47</f>
        <v>85.3</v>
      </c>
    </row>
    <row r="48" spans="1:52" x14ac:dyDescent="0.25">
      <c r="A48">
        <v>95</v>
      </c>
      <c r="B48" t="s">
        <v>327</v>
      </c>
      <c r="C48" t="s">
        <v>427</v>
      </c>
      <c r="D48">
        <v>2</v>
      </c>
      <c r="E48">
        <v>41.5</v>
      </c>
      <c r="F48" t="s">
        <v>335</v>
      </c>
      <c r="G48">
        <v>20.75</v>
      </c>
      <c r="H48">
        <v>49.8</v>
      </c>
      <c r="I48" t="s">
        <v>337</v>
      </c>
      <c r="J48" t="s">
        <v>428</v>
      </c>
      <c r="K48" t="s">
        <v>648</v>
      </c>
      <c r="L48" t="s">
        <v>179</v>
      </c>
      <c r="M48" t="s">
        <v>630</v>
      </c>
      <c r="N48" t="s">
        <v>12</v>
      </c>
      <c r="O48" t="s">
        <v>68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630</v>
      </c>
      <c r="AH48" t="s">
        <v>12</v>
      </c>
      <c r="AI48" t="s">
        <v>68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0</v>
      </c>
      <c r="AO48">
        <f>$H$48*$U$48</f>
        <v>0</v>
      </c>
      <c r="AP48">
        <f>$H$48*$V$48</f>
        <v>0</v>
      </c>
      <c r="AQ48">
        <f>$H$48*$W$48</f>
        <v>0</v>
      </c>
      <c r="AR48">
        <f>$H$48*$X$48</f>
        <v>49.8</v>
      </c>
      <c r="AS48">
        <f>$H$48*$Y$48</f>
        <v>49.8</v>
      </c>
      <c r="AT48">
        <f>$H$48*$Z$48</f>
        <v>49.8</v>
      </c>
      <c r="AU48">
        <f>$H$48*$AA$48</f>
        <v>49.8</v>
      </c>
      <c r="AV48">
        <f>$H$48*$AB$48</f>
        <v>49.8</v>
      </c>
      <c r="AW48">
        <f>$H$48*$AC$48</f>
        <v>49.8</v>
      </c>
      <c r="AX48">
        <f>$H$48*$AD$48</f>
        <v>49.8</v>
      </c>
      <c r="AY48">
        <f>$H$48*$AE$48</f>
        <v>49.8</v>
      </c>
      <c r="AZ48">
        <f>$H$48*$AF$48</f>
        <v>49.8</v>
      </c>
    </row>
    <row r="49" spans="1:52" x14ac:dyDescent="0.25">
      <c r="A49">
        <v>96</v>
      </c>
      <c r="B49" t="s">
        <v>327</v>
      </c>
      <c r="C49" t="s">
        <v>429</v>
      </c>
      <c r="D49">
        <v>5000</v>
      </c>
      <c r="E49">
        <v>17900</v>
      </c>
      <c r="F49" t="s">
        <v>349</v>
      </c>
      <c r="G49">
        <v>3.58</v>
      </c>
      <c r="H49">
        <v>21480</v>
      </c>
      <c r="I49" t="s">
        <v>337</v>
      </c>
      <c r="J49" t="s">
        <v>430</v>
      </c>
      <c r="K49" t="s">
        <v>649</v>
      </c>
      <c r="L49" t="s">
        <v>179</v>
      </c>
      <c r="M49" t="s">
        <v>604</v>
      </c>
      <c r="N49" t="s">
        <v>27</v>
      </c>
      <c r="O49" t="s">
        <v>66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0.6</v>
      </c>
      <c r="Y49">
        <v>0.6</v>
      </c>
      <c r="Z49">
        <v>0.6</v>
      </c>
      <c r="AA49">
        <v>0.6</v>
      </c>
      <c r="AB49">
        <v>0.6</v>
      </c>
      <c r="AC49">
        <v>0.6</v>
      </c>
      <c r="AD49">
        <v>0.6</v>
      </c>
      <c r="AE49">
        <v>0.6</v>
      </c>
      <c r="AF49">
        <v>0.6</v>
      </c>
      <c r="AG49" t="s">
        <v>604</v>
      </c>
      <c r="AH49" t="s">
        <v>27</v>
      </c>
      <c r="AI49" t="s">
        <v>66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0</v>
      </c>
      <c r="AO49">
        <f>$H$49*$U$49</f>
        <v>0</v>
      </c>
      <c r="AP49">
        <f>$H$49*$V$49</f>
        <v>0</v>
      </c>
      <c r="AQ49">
        <f>$H$49*$W$49</f>
        <v>0</v>
      </c>
      <c r="AR49">
        <f>$H$49*$X$49</f>
        <v>12888</v>
      </c>
      <c r="AS49">
        <f>$H$49*$Y$49</f>
        <v>12888</v>
      </c>
      <c r="AT49">
        <f>$H$49*$Z$49</f>
        <v>12888</v>
      </c>
      <c r="AU49">
        <f>$H$49*$AA$49</f>
        <v>12888</v>
      </c>
      <c r="AV49">
        <f>$H$49*$AB$49</f>
        <v>12888</v>
      </c>
      <c r="AW49">
        <f>$H$49*$AC$49</f>
        <v>12888</v>
      </c>
      <c r="AX49">
        <f>$H$49*$AD$49</f>
        <v>12888</v>
      </c>
      <c r="AY49">
        <f>$H$49*$AE$49</f>
        <v>12888</v>
      </c>
      <c r="AZ49">
        <f>$H$49*$AF$49</f>
        <v>12888</v>
      </c>
    </row>
    <row r="50" spans="1:52" x14ac:dyDescent="0.25">
      <c r="A50">
        <v>97</v>
      </c>
      <c r="B50" t="s">
        <v>327</v>
      </c>
      <c r="C50" t="s">
        <v>425</v>
      </c>
      <c r="D50">
        <v>40</v>
      </c>
      <c r="E50">
        <v>39.6</v>
      </c>
      <c r="F50" t="s">
        <v>329</v>
      </c>
      <c r="G50">
        <v>0.99</v>
      </c>
      <c r="H50">
        <v>47.52</v>
      </c>
      <c r="I50" t="s">
        <v>337</v>
      </c>
      <c r="J50" t="s">
        <v>426</v>
      </c>
      <c r="K50" t="s">
        <v>647</v>
      </c>
      <c r="L50" t="s">
        <v>179</v>
      </c>
      <c r="M50" t="s">
        <v>604</v>
      </c>
      <c r="N50" t="s">
        <v>27</v>
      </c>
      <c r="O50" t="s">
        <v>66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0.6</v>
      </c>
      <c r="Y50">
        <v>0.6</v>
      </c>
      <c r="Z50">
        <v>0.6</v>
      </c>
      <c r="AA50">
        <v>0.6</v>
      </c>
      <c r="AB50">
        <v>0.6</v>
      </c>
      <c r="AC50">
        <v>0.6</v>
      </c>
      <c r="AD50">
        <v>0.6</v>
      </c>
      <c r="AE50">
        <v>0.6</v>
      </c>
      <c r="AF50">
        <v>0.6</v>
      </c>
      <c r="AG50" t="s">
        <v>604</v>
      </c>
      <c r="AH50" t="s">
        <v>27</v>
      </c>
      <c r="AI50" t="s">
        <v>66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0</v>
      </c>
      <c r="AO50">
        <f>$H$50*$U$50</f>
        <v>0</v>
      </c>
      <c r="AP50">
        <f>$H$50*$V$50</f>
        <v>0</v>
      </c>
      <c r="AQ50">
        <f>$H$50*$W$50</f>
        <v>0</v>
      </c>
      <c r="AR50">
        <f>$H$50*$X$50</f>
        <v>28.512</v>
      </c>
      <c r="AS50">
        <f>$H$50*$Y$50</f>
        <v>28.512</v>
      </c>
      <c r="AT50">
        <f>$H$50*$Z$50</f>
        <v>28.512</v>
      </c>
      <c r="AU50">
        <f>$H$50*$AA$50</f>
        <v>28.512</v>
      </c>
      <c r="AV50">
        <f>$H$50*$AB$50</f>
        <v>28.512</v>
      </c>
      <c r="AW50">
        <f>$H$50*$AC$50</f>
        <v>28.512</v>
      </c>
      <c r="AX50">
        <f>$H$50*$AD$50</f>
        <v>28.512</v>
      </c>
      <c r="AY50">
        <f>$H$50*$AE$50</f>
        <v>28.512</v>
      </c>
      <c r="AZ50">
        <f>$H$50*$AF$50</f>
        <v>28.512</v>
      </c>
    </row>
    <row r="51" spans="1:52" x14ac:dyDescent="0.25">
      <c r="A51">
        <v>99</v>
      </c>
      <c r="B51" t="s">
        <v>327</v>
      </c>
      <c r="C51" t="s">
        <v>358</v>
      </c>
      <c r="D51">
        <v>10</v>
      </c>
      <c r="E51">
        <v>44.4</v>
      </c>
      <c r="F51" t="s">
        <v>329</v>
      </c>
      <c r="G51">
        <v>4.4400000000000004</v>
      </c>
      <c r="H51">
        <v>53.28</v>
      </c>
      <c r="I51" t="s">
        <v>330</v>
      </c>
      <c r="J51" t="s">
        <v>359</v>
      </c>
      <c r="K51" t="s">
        <v>615</v>
      </c>
      <c r="L51" t="s">
        <v>179</v>
      </c>
      <c r="M51" t="s">
        <v>604</v>
      </c>
      <c r="N51" t="s">
        <v>27</v>
      </c>
      <c r="O51" t="s">
        <v>66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604</v>
      </c>
      <c r="AH51" t="s">
        <v>27</v>
      </c>
      <c r="AI51" t="s">
        <v>66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0</v>
      </c>
      <c r="AO51">
        <f>$H$51*$U$51</f>
        <v>0</v>
      </c>
      <c r="AP51">
        <f>$H$51*$V$51</f>
        <v>0</v>
      </c>
      <c r="AQ51">
        <f>$H$51*$W$51</f>
        <v>0</v>
      </c>
      <c r="AR51">
        <f>$H$51*$X$51</f>
        <v>0</v>
      </c>
      <c r="AS51">
        <f>$H$51*$Y$51</f>
        <v>0</v>
      </c>
      <c r="AT51">
        <f>$H$51*$Z$51</f>
        <v>0</v>
      </c>
      <c r="AU51">
        <f>$H$51*$AA$51</f>
        <v>53.28</v>
      </c>
      <c r="AV51">
        <f>$H$51*$AB$51</f>
        <v>53.28</v>
      </c>
      <c r="AW51">
        <f>$H$51*$AC$51</f>
        <v>53.28</v>
      </c>
      <c r="AX51">
        <f>$H$51*$AD$51</f>
        <v>53.28</v>
      </c>
      <c r="AY51">
        <f>$H$51*$AE$51</f>
        <v>53.28</v>
      </c>
      <c r="AZ51">
        <f>$H$51*$AF$51</f>
        <v>53.28</v>
      </c>
    </row>
    <row r="52" spans="1:52" x14ac:dyDescent="0.25">
      <c r="A52">
        <v>100</v>
      </c>
      <c r="B52" t="s">
        <v>327</v>
      </c>
      <c r="C52" t="s">
        <v>360</v>
      </c>
      <c r="D52">
        <v>10</v>
      </c>
      <c r="E52">
        <v>115.5</v>
      </c>
      <c r="F52" t="s">
        <v>329</v>
      </c>
      <c r="G52">
        <v>11.55</v>
      </c>
      <c r="H52">
        <v>138.6</v>
      </c>
      <c r="I52" t="s">
        <v>333</v>
      </c>
      <c r="J52" t="s">
        <v>361</v>
      </c>
      <c r="K52" t="s">
        <v>616</v>
      </c>
      <c r="L52" t="s">
        <v>179</v>
      </c>
      <c r="M52" t="s">
        <v>604</v>
      </c>
      <c r="N52" t="s">
        <v>27</v>
      </c>
      <c r="O52" t="s">
        <v>66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604</v>
      </c>
      <c r="AH52" t="s">
        <v>27</v>
      </c>
      <c r="AI52" t="s">
        <v>66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0</v>
      </c>
      <c r="AN52">
        <f>$H$52*$T$52</f>
        <v>0</v>
      </c>
      <c r="AO52">
        <f>$H$52*$U$52</f>
        <v>0</v>
      </c>
      <c r="AP52">
        <f>$H$52*$V$52</f>
        <v>0</v>
      </c>
      <c r="AQ52">
        <f>$H$52*$W$52</f>
        <v>0</v>
      </c>
      <c r="AR52">
        <f>$H$52*$X$52</f>
        <v>0</v>
      </c>
      <c r="AS52">
        <f>$H$52*$Y$52</f>
        <v>0</v>
      </c>
      <c r="AT52">
        <f>$H$52*$Z$52</f>
        <v>0</v>
      </c>
      <c r="AU52">
        <f>$H$52*$AA$52</f>
        <v>138.6</v>
      </c>
      <c r="AV52">
        <f>$H$52*$AB$52</f>
        <v>138.6</v>
      </c>
      <c r="AW52">
        <f>$H$52*$AC$52</f>
        <v>138.6</v>
      </c>
      <c r="AX52">
        <f>$H$52*$AD$52</f>
        <v>138.6</v>
      </c>
      <c r="AY52">
        <f>$H$52*$AE$52</f>
        <v>138.6</v>
      </c>
      <c r="AZ52">
        <f>$H$52*$AF$52</f>
        <v>138.6</v>
      </c>
    </row>
    <row r="53" spans="1:52" x14ac:dyDescent="0.25">
      <c r="A53">
        <v>101</v>
      </c>
      <c r="B53" t="s">
        <v>327</v>
      </c>
      <c r="C53" t="s">
        <v>431</v>
      </c>
      <c r="D53">
        <v>10</v>
      </c>
      <c r="E53">
        <v>47.5</v>
      </c>
      <c r="F53" t="s">
        <v>329</v>
      </c>
      <c r="G53">
        <v>4.75</v>
      </c>
      <c r="H53">
        <v>57</v>
      </c>
      <c r="I53" t="s">
        <v>333</v>
      </c>
      <c r="J53" t="s">
        <v>432</v>
      </c>
      <c r="K53" t="s">
        <v>650</v>
      </c>
      <c r="L53" t="s">
        <v>179</v>
      </c>
      <c r="M53" t="s">
        <v>604</v>
      </c>
      <c r="N53" t="s">
        <v>27</v>
      </c>
      <c r="O53" t="s">
        <v>66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1</v>
      </c>
      <c r="AD53">
        <v>1</v>
      </c>
      <c r="AE53">
        <v>1</v>
      </c>
      <c r="AF53">
        <v>1</v>
      </c>
      <c r="AG53" t="s">
        <v>604</v>
      </c>
      <c r="AH53" t="s">
        <v>27</v>
      </c>
      <c r="AI53" t="s">
        <v>66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0</v>
      </c>
      <c r="AO53">
        <f>$H$53*$U$53</f>
        <v>0</v>
      </c>
      <c r="AP53">
        <f>$H$53*$V$53</f>
        <v>0</v>
      </c>
      <c r="AQ53">
        <f>$H$53*$W$53</f>
        <v>0</v>
      </c>
      <c r="AR53">
        <f>$H$53*$X$53</f>
        <v>0</v>
      </c>
      <c r="AS53">
        <f>$H$53*$Y$53</f>
        <v>0</v>
      </c>
      <c r="AT53">
        <f>$H$53*$Z$53</f>
        <v>0</v>
      </c>
      <c r="AU53">
        <f>$H$53*$AA$53</f>
        <v>0</v>
      </c>
      <c r="AV53">
        <f>$H$53*$AB$53</f>
        <v>0</v>
      </c>
      <c r="AW53">
        <f>$H$53*$AC$53</f>
        <v>57</v>
      </c>
      <c r="AX53">
        <f>$H$53*$AD$53</f>
        <v>57</v>
      </c>
      <c r="AY53">
        <f>$H$53*$AE$53</f>
        <v>57</v>
      </c>
      <c r="AZ53">
        <f>$H$53*$AF$53</f>
        <v>57</v>
      </c>
    </row>
    <row r="54" spans="1:52" x14ac:dyDescent="0.25">
      <c r="A54">
        <v>102</v>
      </c>
      <c r="B54" t="s">
        <v>327</v>
      </c>
      <c r="C54" t="s">
        <v>362</v>
      </c>
      <c r="D54">
        <v>244</v>
      </c>
      <c r="E54">
        <v>239.12</v>
      </c>
      <c r="F54" t="s">
        <v>349</v>
      </c>
      <c r="G54">
        <v>0.98</v>
      </c>
      <c r="H54">
        <v>286.94</v>
      </c>
      <c r="I54" t="s">
        <v>330</v>
      </c>
      <c r="J54" t="s">
        <v>363</v>
      </c>
      <c r="K54" t="s">
        <v>617</v>
      </c>
      <c r="L54" t="s">
        <v>179</v>
      </c>
      <c r="M54" t="s">
        <v>604</v>
      </c>
      <c r="N54" t="s">
        <v>27</v>
      </c>
      <c r="O54" t="s">
        <v>66</v>
      </c>
      <c r="P54">
        <v>0</v>
      </c>
      <c r="Q54">
        <v>0</v>
      </c>
      <c r="R54">
        <v>0</v>
      </c>
      <c r="S54">
        <v>0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604</v>
      </c>
      <c r="AH54" t="s">
        <v>27</v>
      </c>
      <c r="AI54" t="s">
        <v>66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0</v>
      </c>
      <c r="AN54">
        <f>$H$54*$T$54</f>
        <v>286.94</v>
      </c>
      <c r="AO54">
        <f>$H$54*$U$54</f>
        <v>286.94</v>
      </c>
      <c r="AP54">
        <f>$H$54*$V$54</f>
        <v>286.94</v>
      </c>
      <c r="AQ54">
        <f>$H$54*$W$54</f>
        <v>286.94</v>
      </c>
      <c r="AR54">
        <f>$H$54*$X$54</f>
        <v>286.94</v>
      </c>
      <c r="AS54">
        <f>$H$54*$Y$54</f>
        <v>286.94</v>
      </c>
      <c r="AT54">
        <f>$H$54*$Z$54</f>
        <v>286.94</v>
      </c>
      <c r="AU54">
        <f>$H$54*$AA$54</f>
        <v>286.94</v>
      </c>
      <c r="AV54">
        <f>$H$54*$AB$54</f>
        <v>286.94</v>
      </c>
      <c r="AW54">
        <f>$H$54*$AC$54</f>
        <v>286.94</v>
      </c>
      <c r="AX54">
        <f>$H$54*$AD$54</f>
        <v>286.94</v>
      </c>
      <c r="AY54">
        <f>$H$54*$AE$54</f>
        <v>286.94</v>
      </c>
      <c r="AZ54">
        <f>$H$54*$AF$54</f>
        <v>286.94</v>
      </c>
    </row>
    <row r="55" spans="1:52" x14ac:dyDescent="0.25">
      <c r="A55">
        <v>103</v>
      </c>
      <c r="B55" t="s">
        <v>327</v>
      </c>
      <c r="C55" t="s">
        <v>364</v>
      </c>
      <c r="D55">
        <v>244</v>
      </c>
      <c r="E55">
        <v>819.84</v>
      </c>
      <c r="F55" t="s">
        <v>349</v>
      </c>
      <c r="G55">
        <v>3.36</v>
      </c>
      <c r="H55">
        <v>983.8</v>
      </c>
      <c r="I55" t="s">
        <v>365</v>
      </c>
      <c r="J55" t="s">
        <v>366</v>
      </c>
      <c r="K55" t="s">
        <v>618</v>
      </c>
      <c r="L55" t="s">
        <v>179</v>
      </c>
      <c r="M55" t="s">
        <v>604</v>
      </c>
      <c r="N55" t="s">
        <v>27</v>
      </c>
      <c r="O55" t="s">
        <v>66</v>
      </c>
      <c r="P55">
        <v>0</v>
      </c>
      <c r="Q55">
        <v>0</v>
      </c>
      <c r="R55">
        <v>0</v>
      </c>
      <c r="S55">
        <v>0.25</v>
      </c>
      <c r="T55">
        <v>0.25</v>
      </c>
      <c r="U55">
        <v>0.25</v>
      </c>
      <c r="V55">
        <v>0.25</v>
      </c>
      <c r="W55">
        <v>0.5</v>
      </c>
      <c r="X55">
        <v>0.5</v>
      </c>
      <c r="Y55">
        <v>0.5</v>
      </c>
      <c r="Z55">
        <v>0.5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604</v>
      </c>
      <c r="AH55" t="s">
        <v>27</v>
      </c>
      <c r="AI55" t="s">
        <v>66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245.95</v>
      </c>
      <c r="AN55">
        <f>$H$55*$T$55</f>
        <v>245.95</v>
      </c>
      <c r="AO55">
        <f>$H$55*$U$55</f>
        <v>245.95</v>
      </c>
      <c r="AP55">
        <f>$H$55*$V$55</f>
        <v>245.95</v>
      </c>
      <c r="AQ55">
        <f>$H$55*$W$55</f>
        <v>491.9</v>
      </c>
      <c r="AR55">
        <f>$H$55*$X$55</f>
        <v>491.9</v>
      </c>
      <c r="AS55">
        <f>$H$55*$Y$55</f>
        <v>491.9</v>
      </c>
      <c r="AT55">
        <f>$H$55*$Z$55</f>
        <v>491.9</v>
      </c>
      <c r="AU55">
        <f>$H$55*$AA$55</f>
        <v>983.8</v>
      </c>
      <c r="AV55">
        <f>$H$55*$AB$55</f>
        <v>983.8</v>
      </c>
      <c r="AW55">
        <f>$H$55*$AC$55</f>
        <v>983.8</v>
      </c>
      <c r="AX55">
        <f>$H$55*$AD$55</f>
        <v>983.8</v>
      </c>
      <c r="AY55">
        <f>$H$55*$AE$55</f>
        <v>983.8</v>
      </c>
      <c r="AZ55">
        <f>$H$55*$AF$55</f>
        <v>983.8</v>
      </c>
    </row>
    <row r="56" spans="1:52" x14ac:dyDescent="0.25">
      <c r="A56">
        <v>104</v>
      </c>
      <c r="B56" t="s">
        <v>327</v>
      </c>
      <c r="C56" t="s">
        <v>367</v>
      </c>
      <c r="D56">
        <v>2</v>
      </c>
      <c r="E56">
        <v>124.82</v>
      </c>
      <c r="F56" t="s">
        <v>335</v>
      </c>
      <c r="G56">
        <v>62.41</v>
      </c>
      <c r="H56">
        <v>149.78</v>
      </c>
      <c r="I56" t="s">
        <v>368</v>
      </c>
      <c r="J56" t="s">
        <v>369</v>
      </c>
      <c r="K56" t="s">
        <v>619</v>
      </c>
      <c r="L56" t="s">
        <v>179</v>
      </c>
      <c r="M56" t="s">
        <v>604</v>
      </c>
      <c r="N56" t="s">
        <v>27</v>
      </c>
      <c r="O56" t="s">
        <v>66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604</v>
      </c>
      <c r="AH56" t="s">
        <v>27</v>
      </c>
      <c r="AI56" t="s">
        <v>66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0</v>
      </c>
      <c r="AN56">
        <f>$H$56*$T$56</f>
        <v>0</v>
      </c>
      <c r="AO56">
        <f>$H$56*$U$56</f>
        <v>0</v>
      </c>
      <c r="AP56">
        <f>$H$56*$V$56</f>
        <v>0</v>
      </c>
      <c r="AQ56">
        <f>$H$56*$W$56</f>
        <v>0</v>
      </c>
      <c r="AR56">
        <f>$H$56*$X$56</f>
        <v>0</v>
      </c>
      <c r="AS56">
        <f>$H$56*$Y$56</f>
        <v>0</v>
      </c>
      <c r="AT56">
        <f>$H$56*$Z$56</f>
        <v>0</v>
      </c>
      <c r="AU56">
        <f>$H$56*$AA$56</f>
        <v>149.78</v>
      </c>
      <c r="AV56">
        <f>$H$56*$AB$56</f>
        <v>149.78</v>
      </c>
      <c r="AW56">
        <f>$H$56*$AC$56</f>
        <v>149.78</v>
      </c>
      <c r="AX56">
        <f>$H$56*$AD$56</f>
        <v>149.78</v>
      </c>
      <c r="AY56">
        <f>$H$56*$AE$56</f>
        <v>149.78</v>
      </c>
      <c r="AZ56">
        <f>$H$56*$AF$56</f>
        <v>149.78</v>
      </c>
    </row>
    <row r="57" spans="1:52" x14ac:dyDescent="0.25">
      <c r="A57">
        <v>105</v>
      </c>
      <c r="B57" t="s">
        <v>327</v>
      </c>
      <c r="C57" t="s">
        <v>370</v>
      </c>
      <c r="D57">
        <v>2</v>
      </c>
      <c r="E57">
        <v>732.36</v>
      </c>
      <c r="F57" t="s">
        <v>335</v>
      </c>
      <c r="G57">
        <v>366.18</v>
      </c>
      <c r="H57">
        <v>878.84</v>
      </c>
      <c r="I57" t="s">
        <v>371</v>
      </c>
      <c r="J57" t="s">
        <v>372</v>
      </c>
      <c r="K57" t="s">
        <v>620</v>
      </c>
      <c r="L57" t="s">
        <v>179</v>
      </c>
      <c r="M57" t="s">
        <v>604</v>
      </c>
      <c r="N57" t="s">
        <v>27</v>
      </c>
      <c r="O57" t="s">
        <v>66</v>
      </c>
      <c r="P57">
        <v>0</v>
      </c>
      <c r="Q57">
        <v>0</v>
      </c>
      <c r="R57">
        <v>0</v>
      </c>
      <c r="S57">
        <v>0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604</v>
      </c>
      <c r="AH57" t="s">
        <v>27</v>
      </c>
      <c r="AI57" t="s">
        <v>66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0</v>
      </c>
      <c r="AN57">
        <f>$H$57*$T$57</f>
        <v>878.84</v>
      </c>
      <c r="AO57">
        <f>$H$57*$U$57</f>
        <v>878.84</v>
      </c>
      <c r="AP57">
        <f>$H$57*$V$57</f>
        <v>878.84</v>
      </c>
      <c r="AQ57">
        <f>$H$57*$W$57</f>
        <v>878.84</v>
      </c>
      <c r="AR57">
        <f>$H$57*$X$57</f>
        <v>878.84</v>
      </c>
      <c r="AS57">
        <f>$H$57*$Y$57</f>
        <v>878.84</v>
      </c>
      <c r="AT57">
        <f>$H$57*$Z$57</f>
        <v>878.84</v>
      </c>
      <c r="AU57">
        <f>$H$57*$AA$57</f>
        <v>878.84</v>
      </c>
      <c r="AV57">
        <f>$H$57*$AB$57</f>
        <v>878.84</v>
      </c>
      <c r="AW57">
        <f>$H$57*$AC$57</f>
        <v>878.84</v>
      </c>
      <c r="AX57">
        <f>$H$57*$AD$57</f>
        <v>878.84</v>
      </c>
      <c r="AY57">
        <f>$H$57*$AE$57</f>
        <v>878.84</v>
      </c>
      <c r="AZ57">
        <f>$H$57*$AF$57</f>
        <v>878.84</v>
      </c>
    </row>
    <row r="58" spans="1:52" x14ac:dyDescent="0.25">
      <c r="A58">
        <v>106</v>
      </c>
      <c r="B58" t="s">
        <v>327</v>
      </c>
      <c r="C58" t="s">
        <v>373</v>
      </c>
      <c r="D58">
        <v>4</v>
      </c>
      <c r="E58">
        <v>125.44</v>
      </c>
      <c r="F58" t="s">
        <v>335</v>
      </c>
      <c r="G58">
        <v>31.36</v>
      </c>
      <c r="H58">
        <v>150.52000000000001</v>
      </c>
      <c r="I58" t="s">
        <v>330</v>
      </c>
      <c r="J58" t="s">
        <v>374</v>
      </c>
      <c r="K58" t="s">
        <v>621</v>
      </c>
      <c r="L58" t="s">
        <v>179</v>
      </c>
      <c r="M58" t="s">
        <v>604</v>
      </c>
      <c r="N58" t="s">
        <v>27</v>
      </c>
      <c r="O58" t="s">
        <v>66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604</v>
      </c>
      <c r="AH58" t="s">
        <v>27</v>
      </c>
      <c r="AI58" t="s">
        <v>66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150.52000000000001</v>
      </c>
      <c r="AN58">
        <f>$H$58*$T$58</f>
        <v>150.52000000000001</v>
      </c>
      <c r="AO58">
        <f>$H$58*$U$58</f>
        <v>150.52000000000001</v>
      </c>
      <c r="AP58">
        <f>$H$58*$V$58</f>
        <v>150.52000000000001</v>
      </c>
      <c r="AQ58">
        <f>$H$58*$W$58</f>
        <v>150.52000000000001</v>
      </c>
      <c r="AR58">
        <f>$H$58*$X$58</f>
        <v>150.52000000000001</v>
      </c>
      <c r="AS58">
        <f>$H$58*$Y$58</f>
        <v>150.52000000000001</v>
      </c>
      <c r="AT58">
        <f>$H$58*$Z$58</f>
        <v>150.52000000000001</v>
      </c>
      <c r="AU58">
        <f>$H$58*$AA$58</f>
        <v>150.52000000000001</v>
      </c>
      <c r="AV58">
        <f>$H$58*$AB$58</f>
        <v>150.52000000000001</v>
      </c>
      <c r="AW58">
        <f>$H$58*$AC$58</f>
        <v>150.52000000000001</v>
      </c>
      <c r="AX58">
        <f>$H$58*$AD$58</f>
        <v>150.52000000000001</v>
      </c>
      <c r="AY58">
        <f>$H$58*$AE$58</f>
        <v>150.52000000000001</v>
      </c>
      <c r="AZ58">
        <f>$H$58*$AF$58</f>
        <v>150.52000000000001</v>
      </c>
    </row>
    <row r="59" spans="1:52" x14ac:dyDescent="0.25">
      <c r="A59">
        <v>107</v>
      </c>
      <c r="B59" t="s">
        <v>327</v>
      </c>
      <c r="C59" t="s">
        <v>375</v>
      </c>
      <c r="D59">
        <v>4</v>
      </c>
      <c r="E59">
        <v>155.72</v>
      </c>
      <c r="F59" t="s">
        <v>335</v>
      </c>
      <c r="G59">
        <v>38.93</v>
      </c>
      <c r="H59">
        <v>186.86</v>
      </c>
      <c r="I59" t="s">
        <v>330</v>
      </c>
      <c r="J59" t="s">
        <v>371</v>
      </c>
      <c r="K59" t="s">
        <v>622</v>
      </c>
      <c r="L59" t="s">
        <v>179</v>
      </c>
      <c r="M59" t="s">
        <v>604</v>
      </c>
      <c r="N59" t="s">
        <v>27</v>
      </c>
      <c r="O59" t="s">
        <v>66</v>
      </c>
      <c r="P59">
        <v>0</v>
      </c>
      <c r="Q59">
        <v>0</v>
      </c>
      <c r="R59">
        <v>0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604</v>
      </c>
      <c r="AH59" t="s">
        <v>27</v>
      </c>
      <c r="AI59" t="s">
        <v>66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186.86</v>
      </c>
      <c r="AN59">
        <f>$H$59*$T$59</f>
        <v>186.86</v>
      </c>
      <c r="AO59">
        <f>$H$59*$U$59</f>
        <v>186.86</v>
      </c>
      <c r="AP59">
        <f>$H$59*$V$59</f>
        <v>186.86</v>
      </c>
      <c r="AQ59">
        <f>$H$59*$W$59</f>
        <v>186.86</v>
      </c>
      <c r="AR59">
        <f>$H$59*$X$59</f>
        <v>186.86</v>
      </c>
      <c r="AS59">
        <f>$H$59*$Y$59</f>
        <v>186.86</v>
      </c>
      <c r="AT59">
        <f>$H$59*$Z$59</f>
        <v>186.86</v>
      </c>
      <c r="AU59">
        <f>$H$59*$AA$59</f>
        <v>186.86</v>
      </c>
      <c r="AV59">
        <f>$H$59*$AB$59</f>
        <v>186.86</v>
      </c>
      <c r="AW59">
        <f>$H$59*$AC$59</f>
        <v>186.86</v>
      </c>
      <c r="AX59">
        <f>$H$59*$AD$59</f>
        <v>186.86</v>
      </c>
      <c r="AY59">
        <f>$H$59*$AE$59</f>
        <v>186.86</v>
      </c>
      <c r="AZ59">
        <f>$H$59*$AF$59</f>
        <v>186.86</v>
      </c>
    </row>
    <row r="60" spans="1:52" x14ac:dyDescent="0.25">
      <c r="A60">
        <v>108</v>
      </c>
      <c r="B60" t="s">
        <v>327</v>
      </c>
      <c r="C60" t="s">
        <v>433</v>
      </c>
      <c r="D60">
        <v>4</v>
      </c>
      <c r="E60">
        <v>2379.7600000000002</v>
      </c>
      <c r="F60" t="s">
        <v>335</v>
      </c>
      <c r="G60">
        <v>594.94000000000005</v>
      </c>
      <c r="H60">
        <v>2855.72</v>
      </c>
      <c r="I60" t="s">
        <v>353</v>
      </c>
      <c r="J60" t="s">
        <v>434</v>
      </c>
      <c r="K60" t="s">
        <v>651</v>
      </c>
      <c r="L60" t="s">
        <v>179</v>
      </c>
      <c r="M60" t="s">
        <v>604</v>
      </c>
      <c r="N60" t="s">
        <v>27</v>
      </c>
      <c r="O60" t="s">
        <v>66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604</v>
      </c>
      <c r="AH60" t="s">
        <v>27</v>
      </c>
      <c r="AI60" t="s">
        <v>66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0</v>
      </c>
      <c r="AS60">
        <f>$H$60*$Y$60</f>
        <v>0</v>
      </c>
      <c r="AT60">
        <f>$H$60*$Z$60</f>
        <v>0</v>
      </c>
      <c r="AU60">
        <f>$H$60*$AA$60</f>
        <v>2855.72</v>
      </c>
      <c r="AV60">
        <f>$H$60*$AB$60</f>
        <v>2855.72</v>
      </c>
      <c r="AW60">
        <f>$H$60*$AC$60</f>
        <v>2855.72</v>
      </c>
      <c r="AX60">
        <f>$H$60*$AD$60</f>
        <v>2855.72</v>
      </c>
      <c r="AY60">
        <f>$H$60*$AE$60</f>
        <v>2855.72</v>
      </c>
      <c r="AZ60">
        <f>$H$60*$AF$60</f>
        <v>2855.72</v>
      </c>
    </row>
    <row r="61" spans="1:52" x14ac:dyDescent="0.25">
      <c r="A61">
        <v>109</v>
      </c>
      <c r="B61" t="s">
        <v>298</v>
      </c>
      <c r="C61" t="s">
        <v>435</v>
      </c>
      <c r="D61">
        <v>2</v>
      </c>
      <c r="E61">
        <v>26.54</v>
      </c>
      <c r="F61" t="s">
        <v>335</v>
      </c>
      <c r="G61">
        <v>13.27</v>
      </c>
      <c r="H61">
        <v>31.84</v>
      </c>
      <c r="I61" t="s">
        <v>337</v>
      </c>
      <c r="J61" t="s">
        <v>436</v>
      </c>
      <c r="K61" t="s">
        <v>652</v>
      </c>
      <c r="L61" t="s">
        <v>179</v>
      </c>
      <c r="M61" t="s">
        <v>298</v>
      </c>
      <c r="N61" t="s">
        <v>12</v>
      </c>
      <c r="O61" t="s">
        <v>299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298</v>
      </c>
      <c r="AH61" t="s">
        <v>12</v>
      </c>
      <c r="AI61" t="s">
        <v>299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31.84</v>
      </c>
      <c r="AS61">
        <f>$H$61*$Y$61</f>
        <v>31.84</v>
      </c>
      <c r="AT61">
        <f>$H$61*$Z$61</f>
        <v>31.84</v>
      </c>
      <c r="AU61">
        <f>$H$61*$AA$61</f>
        <v>31.84</v>
      </c>
      <c r="AV61">
        <f>$H$61*$AB$61</f>
        <v>31.84</v>
      </c>
      <c r="AW61">
        <f>$H$61*$AC$61</f>
        <v>31.84</v>
      </c>
      <c r="AX61">
        <f>$H$61*$AD$61</f>
        <v>31.84</v>
      </c>
      <c r="AY61">
        <f>$H$61*$AE$61</f>
        <v>31.84</v>
      </c>
      <c r="AZ61">
        <f>$H$61*$AF$61</f>
        <v>31.84</v>
      </c>
    </row>
    <row r="62" spans="1:52" x14ac:dyDescent="0.25">
      <c r="A62">
        <v>110</v>
      </c>
      <c r="B62" t="s">
        <v>298</v>
      </c>
      <c r="C62" t="s">
        <v>437</v>
      </c>
      <c r="D62">
        <v>1</v>
      </c>
      <c r="E62">
        <v>98.82</v>
      </c>
      <c r="F62" t="s">
        <v>335</v>
      </c>
      <c r="G62">
        <v>98.82</v>
      </c>
      <c r="H62">
        <v>118.58</v>
      </c>
      <c r="I62" t="s">
        <v>340</v>
      </c>
      <c r="J62" t="s">
        <v>372</v>
      </c>
      <c r="K62" t="s">
        <v>653</v>
      </c>
      <c r="L62" t="s">
        <v>179</v>
      </c>
      <c r="M62" t="s">
        <v>298</v>
      </c>
      <c r="N62" t="s">
        <v>12</v>
      </c>
      <c r="O62" t="s">
        <v>299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1</v>
      </c>
      <c r="AE62">
        <v>1</v>
      </c>
      <c r="AF62">
        <v>1</v>
      </c>
      <c r="AG62" t="s">
        <v>298</v>
      </c>
      <c r="AH62" t="s">
        <v>12</v>
      </c>
      <c r="AI62" t="s">
        <v>299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0</v>
      </c>
      <c r="AT62">
        <f>$H$62*$Z$62</f>
        <v>0</v>
      </c>
      <c r="AU62">
        <f>$H$62*$AA$62</f>
        <v>0</v>
      </c>
      <c r="AV62">
        <f>$H$62*$AB$62</f>
        <v>0</v>
      </c>
      <c r="AW62">
        <f>$H$62*$AC$62</f>
        <v>0</v>
      </c>
      <c r="AX62">
        <f>$H$62*$AD$62</f>
        <v>118.58</v>
      </c>
      <c r="AY62">
        <f>$H$62*$AE$62</f>
        <v>118.58</v>
      </c>
      <c r="AZ62">
        <f>$H$62*$AF$62</f>
        <v>118.58</v>
      </c>
    </row>
    <row r="63" spans="1:52" x14ac:dyDescent="0.25">
      <c r="A63">
        <v>111</v>
      </c>
      <c r="B63" t="s">
        <v>298</v>
      </c>
      <c r="C63" t="s">
        <v>438</v>
      </c>
      <c r="D63">
        <v>15.73</v>
      </c>
      <c r="E63">
        <v>41.21</v>
      </c>
      <c r="F63" t="s">
        <v>329</v>
      </c>
      <c r="G63">
        <v>2.62</v>
      </c>
      <c r="H63">
        <v>49.45</v>
      </c>
      <c r="I63" t="s">
        <v>439</v>
      </c>
      <c r="J63" t="s">
        <v>440</v>
      </c>
      <c r="K63" t="s">
        <v>654</v>
      </c>
      <c r="L63" t="s">
        <v>179</v>
      </c>
      <c r="M63" t="s">
        <v>298</v>
      </c>
      <c r="N63" t="s">
        <v>12</v>
      </c>
      <c r="O63" t="s">
        <v>299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298</v>
      </c>
      <c r="AH63" t="s">
        <v>12</v>
      </c>
      <c r="AI63" t="s">
        <v>299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0</v>
      </c>
      <c r="AS63">
        <f>$H$63*$Y$63</f>
        <v>0</v>
      </c>
      <c r="AT63">
        <f>$H$63*$Z$63</f>
        <v>0</v>
      </c>
      <c r="AU63">
        <f>$H$63*$AA$63</f>
        <v>49.45</v>
      </c>
      <c r="AV63">
        <f>$H$63*$AB$63</f>
        <v>49.45</v>
      </c>
      <c r="AW63">
        <f>$H$63*$AC$63</f>
        <v>49.45</v>
      </c>
      <c r="AX63">
        <f>$H$63*$AD$63</f>
        <v>49.45</v>
      </c>
      <c r="AY63">
        <f>$H$63*$AE$63</f>
        <v>49.45</v>
      </c>
      <c r="AZ63">
        <f>$H$63*$AF$63</f>
        <v>49.45</v>
      </c>
    </row>
    <row r="64" spans="1:52" x14ac:dyDescent="0.25">
      <c r="A64">
        <v>112</v>
      </c>
      <c r="B64" t="s">
        <v>298</v>
      </c>
      <c r="C64" t="s">
        <v>441</v>
      </c>
      <c r="D64">
        <v>141.6</v>
      </c>
      <c r="E64">
        <v>305.86</v>
      </c>
      <c r="F64" t="s">
        <v>349</v>
      </c>
      <c r="G64">
        <v>2.16</v>
      </c>
      <c r="H64">
        <v>367.04</v>
      </c>
      <c r="I64" t="s">
        <v>439</v>
      </c>
      <c r="J64" t="s">
        <v>442</v>
      </c>
      <c r="K64" t="s">
        <v>655</v>
      </c>
      <c r="L64" t="s">
        <v>179</v>
      </c>
      <c r="M64" t="s">
        <v>298</v>
      </c>
      <c r="N64" t="s">
        <v>12</v>
      </c>
      <c r="O64" t="s">
        <v>299</v>
      </c>
      <c r="P64">
        <v>0</v>
      </c>
      <c r="Q64">
        <v>0</v>
      </c>
      <c r="R64">
        <v>0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298</v>
      </c>
      <c r="AH64" t="s">
        <v>12</v>
      </c>
      <c r="AI64" t="s">
        <v>299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367.04</v>
      </c>
      <c r="AN64">
        <f>$H$64*$T$64</f>
        <v>367.04</v>
      </c>
      <c r="AO64">
        <f>$H$64*$U$64</f>
        <v>367.04</v>
      </c>
      <c r="AP64">
        <f>$H$64*$V$64</f>
        <v>367.04</v>
      </c>
      <c r="AQ64">
        <f>$H$64*$W$64</f>
        <v>367.04</v>
      </c>
      <c r="AR64">
        <f>$H$64*$X$64</f>
        <v>367.04</v>
      </c>
      <c r="AS64">
        <f>$H$64*$Y$64</f>
        <v>367.04</v>
      </c>
      <c r="AT64">
        <f>$H$64*$Z$64</f>
        <v>367.04</v>
      </c>
      <c r="AU64">
        <f>$H$64*$AA$64</f>
        <v>367.04</v>
      </c>
      <c r="AV64">
        <f>$H$64*$AB$64</f>
        <v>367.04</v>
      </c>
      <c r="AW64">
        <f>$H$64*$AC$64</f>
        <v>367.04</v>
      </c>
      <c r="AX64">
        <f>$H$64*$AD$64</f>
        <v>367.04</v>
      </c>
      <c r="AY64">
        <f>$H$64*$AE$64</f>
        <v>367.04</v>
      </c>
      <c r="AZ64">
        <f>$H$64*$AF$64</f>
        <v>367.04</v>
      </c>
    </row>
    <row r="65" spans="1:52" x14ac:dyDescent="0.25">
      <c r="A65">
        <v>113</v>
      </c>
      <c r="B65" t="s">
        <v>298</v>
      </c>
      <c r="C65" t="s">
        <v>443</v>
      </c>
      <c r="D65">
        <v>141.6</v>
      </c>
      <c r="E65">
        <v>89.21</v>
      </c>
      <c r="F65" t="s">
        <v>349</v>
      </c>
      <c r="G65">
        <v>0.63</v>
      </c>
      <c r="H65">
        <v>107.05</v>
      </c>
      <c r="I65" t="s">
        <v>330</v>
      </c>
      <c r="J65" t="s">
        <v>444</v>
      </c>
      <c r="K65" t="s">
        <v>656</v>
      </c>
      <c r="L65" t="s">
        <v>179</v>
      </c>
      <c r="M65" t="s">
        <v>298</v>
      </c>
      <c r="N65" t="s">
        <v>12</v>
      </c>
      <c r="O65" t="s">
        <v>299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1</v>
      </c>
      <c r="AE65">
        <v>1</v>
      </c>
      <c r="AF65">
        <v>1</v>
      </c>
      <c r="AG65" t="s">
        <v>298</v>
      </c>
      <c r="AH65" t="s">
        <v>12</v>
      </c>
      <c r="AI65" t="s">
        <v>299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0</v>
      </c>
      <c r="AO65">
        <f>$H$65*$U$65</f>
        <v>0</v>
      </c>
      <c r="AP65">
        <f>$H$65*$V$65</f>
        <v>0</v>
      </c>
      <c r="AQ65">
        <f>$H$65*$W$65</f>
        <v>0</v>
      </c>
      <c r="AR65">
        <f>$H$65*$X$65</f>
        <v>0</v>
      </c>
      <c r="AS65">
        <f>$H$65*$Y$65</f>
        <v>0</v>
      </c>
      <c r="AT65">
        <f>$H$65*$Z$65</f>
        <v>0</v>
      </c>
      <c r="AU65">
        <f>$H$65*$AA$65</f>
        <v>0</v>
      </c>
      <c r="AV65">
        <f>$H$65*$AB$65</f>
        <v>0</v>
      </c>
      <c r="AW65">
        <f>$H$65*$AC$65</f>
        <v>0</v>
      </c>
      <c r="AX65">
        <f>$H$65*$AD$65</f>
        <v>107.05</v>
      </c>
      <c r="AY65">
        <f>$H$65*$AE$65</f>
        <v>107.05</v>
      </c>
      <c r="AZ65">
        <f>$H$65*$AF$65</f>
        <v>107.05</v>
      </c>
    </row>
    <row r="66" spans="1:52" x14ac:dyDescent="0.25">
      <c r="A66">
        <v>114</v>
      </c>
      <c r="B66" t="s">
        <v>298</v>
      </c>
      <c r="C66" t="s">
        <v>362</v>
      </c>
      <c r="D66">
        <v>177</v>
      </c>
      <c r="E66">
        <v>173.46</v>
      </c>
      <c r="F66" t="s">
        <v>349</v>
      </c>
      <c r="G66">
        <v>0.98</v>
      </c>
      <c r="H66">
        <v>208.16</v>
      </c>
      <c r="I66" t="s">
        <v>330</v>
      </c>
      <c r="J66" t="s">
        <v>363</v>
      </c>
      <c r="K66" t="s">
        <v>617</v>
      </c>
      <c r="L66" t="s">
        <v>179</v>
      </c>
      <c r="M66" t="s">
        <v>298</v>
      </c>
      <c r="N66" t="s">
        <v>12</v>
      </c>
      <c r="O66" t="s">
        <v>299</v>
      </c>
      <c r="P66">
        <v>0</v>
      </c>
      <c r="Q66">
        <v>0</v>
      </c>
      <c r="R66">
        <v>0</v>
      </c>
      <c r="S66">
        <v>0</v>
      </c>
      <c r="T66">
        <v>1</v>
      </c>
      <c r="U66">
        <v>1</v>
      </c>
      <c r="V66">
        <v>1</v>
      </c>
      <c r="W66">
        <v>1</v>
      </c>
      <c r="X66">
        <v>1</v>
      </c>
      <c r="Y66">
        <v>1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298</v>
      </c>
      <c r="AH66" t="s">
        <v>12</v>
      </c>
      <c r="AI66" t="s">
        <v>299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208.16</v>
      </c>
      <c r="AO66">
        <f>$H$66*$U$66</f>
        <v>208.16</v>
      </c>
      <c r="AP66">
        <f>$H$66*$V$66</f>
        <v>208.16</v>
      </c>
      <c r="AQ66">
        <f>$H$66*$W$66</f>
        <v>208.16</v>
      </c>
      <c r="AR66">
        <f>$H$66*$X$66</f>
        <v>208.16</v>
      </c>
      <c r="AS66">
        <f>$H$66*$Y$66</f>
        <v>208.16</v>
      </c>
      <c r="AT66">
        <f>$H$66*$Z$66</f>
        <v>208.16</v>
      </c>
      <c r="AU66">
        <f>$H$66*$AA$66</f>
        <v>208.16</v>
      </c>
      <c r="AV66">
        <f>$H$66*$AB$66</f>
        <v>208.16</v>
      </c>
      <c r="AW66">
        <f>$H$66*$AC$66</f>
        <v>208.16</v>
      </c>
      <c r="AX66">
        <f>$H$66*$AD$66</f>
        <v>208.16</v>
      </c>
      <c r="AY66">
        <f>$H$66*$AE$66</f>
        <v>208.16</v>
      </c>
      <c r="AZ66">
        <f>$H$66*$AF$66</f>
        <v>208.16</v>
      </c>
    </row>
    <row r="67" spans="1:52" x14ac:dyDescent="0.25">
      <c r="A67">
        <v>115</v>
      </c>
      <c r="B67" t="s">
        <v>298</v>
      </c>
      <c r="C67" t="s">
        <v>445</v>
      </c>
      <c r="D67">
        <v>35.4</v>
      </c>
      <c r="E67">
        <v>133.1</v>
      </c>
      <c r="F67" t="s">
        <v>349</v>
      </c>
      <c r="G67">
        <v>3.76</v>
      </c>
      <c r="H67">
        <v>159.72</v>
      </c>
      <c r="I67" t="s">
        <v>446</v>
      </c>
      <c r="J67" t="s">
        <v>420</v>
      </c>
      <c r="K67" t="s">
        <v>657</v>
      </c>
      <c r="L67" t="s">
        <v>179</v>
      </c>
      <c r="M67" t="s">
        <v>298</v>
      </c>
      <c r="N67" t="s">
        <v>12</v>
      </c>
      <c r="O67" t="s">
        <v>299</v>
      </c>
      <c r="P67">
        <v>0</v>
      </c>
      <c r="Q67">
        <v>0</v>
      </c>
      <c r="R67">
        <v>0</v>
      </c>
      <c r="S67">
        <v>0.25</v>
      </c>
      <c r="T67">
        <v>0.25</v>
      </c>
      <c r="U67">
        <v>0.25</v>
      </c>
      <c r="V67">
        <v>0.25</v>
      </c>
      <c r="W67">
        <v>0.25</v>
      </c>
      <c r="X67">
        <v>0.5</v>
      </c>
      <c r="Y67">
        <v>0.5</v>
      </c>
      <c r="Z67">
        <v>0.5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298</v>
      </c>
      <c r="AH67" t="s">
        <v>12</v>
      </c>
      <c r="AI67" t="s">
        <v>299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39.93</v>
      </c>
      <c r="AN67">
        <f>$H$67*$T$67</f>
        <v>39.93</v>
      </c>
      <c r="AO67">
        <f>$H$67*$U$67</f>
        <v>39.93</v>
      </c>
      <c r="AP67">
        <f>$H$67*$V$67</f>
        <v>39.93</v>
      </c>
      <c r="AQ67">
        <f>$H$67*$W$67</f>
        <v>39.93</v>
      </c>
      <c r="AR67">
        <f>$H$67*$X$67</f>
        <v>79.86</v>
      </c>
      <c r="AS67">
        <f>$H$67*$Y$67</f>
        <v>79.86</v>
      </c>
      <c r="AT67">
        <f>$H$67*$Z$67</f>
        <v>79.86</v>
      </c>
      <c r="AU67">
        <f>$H$67*$AA$67</f>
        <v>159.72</v>
      </c>
      <c r="AV67">
        <f>$H$67*$AB$67</f>
        <v>159.72</v>
      </c>
      <c r="AW67">
        <f>$H$67*$AC$67</f>
        <v>159.72</v>
      </c>
      <c r="AX67">
        <f>$H$67*$AD$67</f>
        <v>159.72</v>
      </c>
      <c r="AY67">
        <f>$H$67*$AE$67</f>
        <v>159.72</v>
      </c>
      <c r="AZ67">
        <f>$H$67*$AF$67</f>
        <v>159.72</v>
      </c>
    </row>
    <row r="68" spans="1:52" x14ac:dyDescent="0.25">
      <c r="A68">
        <v>116</v>
      </c>
      <c r="B68" t="s">
        <v>298</v>
      </c>
      <c r="C68" t="s">
        <v>364</v>
      </c>
      <c r="D68">
        <v>354</v>
      </c>
      <c r="E68">
        <v>1189.44</v>
      </c>
      <c r="F68" t="s">
        <v>349</v>
      </c>
      <c r="G68">
        <v>3.36</v>
      </c>
      <c r="H68">
        <v>1427.32</v>
      </c>
      <c r="I68" t="s">
        <v>365</v>
      </c>
      <c r="J68" t="s">
        <v>366</v>
      </c>
      <c r="K68" t="s">
        <v>618</v>
      </c>
      <c r="L68" t="s">
        <v>179</v>
      </c>
      <c r="M68" t="s">
        <v>298</v>
      </c>
      <c r="N68" t="s">
        <v>12</v>
      </c>
      <c r="O68" t="s">
        <v>299</v>
      </c>
      <c r="P68">
        <v>0</v>
      </c>
      <c r="Q68">
        <v>0</v>
      </c>
      <c r="R68">
        <v>0</v>
      </c>
      <c r="S68">
        <v>0.25</v>
      </c>
      <c r="T68">
        <v>0.25</v>
      </c>
      <c r="U68">
        <v>0.25</v>
      </c>
      <c r="V68">
        <v>0.25</v>
      </c>
      <c r="W68">
        <v>0.5</v>
      </c>
      <c r="X68">
        <v>0.5</v>
      </c>
      <c r="Y68">
        <v>0.5</v>
      </c>
      <c r="Z68">
        <v>0.5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298</v>
      </c>
      <c r="AH68" t="s">
        <v>12</v>
      </c>
      <c r="AI68" t="s">
        <v>299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356.83</v>
      </c>
      <c r="AN68">
        <f>$H$68*$T$68</f>
        <v>356.83</v>
      </c>
      <c r="AO68">
        <f>$H$68*$U$68</f>
        <v>356.83</v>
      </c>
      <c r="AP68">
        <f>$H$68*$V$68</f>
        <v>356.83</v>
      </c>
      <c r="AQ68">
        <f>$H$68*$W$68</f>
        <v>713.66</v>
      </c>
      <c r="AR68">
        <f>$H$68*$X$68</f>
        <v>713.66</v>
      </c>
      <c r="AS68">
        <f>$H$68*$Y$68</f>
        <v>713.66</v>
      </c>
      <c r="AT68">
        <f>$H$68*$Z$68</f>
        <v>713.66</v>
      </c>
      <c r="AU68">
        <f>$H$68*$AA$68</f>
        <v>1427.32</v>
      </c>
      <c r="AV68">
        <f>$H$68*$AB$68</f>
        <v>1427.32</v>
      </c>
      <c r="AW68">
        <f>$H$68*$AC$68</f>
        <v>1427.32</v>
      </c>
      <c r="AX68">
        <f>$H$68*$AD$68</f>
        <v>1427.32</v>
      </c>
      <c r="AY68">
        <f>$H$68*$AE$68</f>
        <v>1427.32</v>
      </c>
      <c r="AZ68">
        <f>$H$68*$AF$68</f>
        <v>1427.32</v>
      </c>
    </row>
    <row r="69" spans="1:52" x14ac:dyDescent="0.25">
      <c r="A69">
        <v>117</v>
      </c>
      <c r="B69" t="s">
        <v>298</v>
      </c>
      <c r="C69" t="s">
        <v>447</v>
      </c>
      <c r="D69">
        <v>39.33</v>
      </c>
      <c r="E69">
        <v>40.9</v>
      </c>
      <c r="F69" t="s">
        <v>329</v>
      </c>
      <c r="G69">
        <v>1.04</v>
      </c>
      <c r="H69">
        <v>49.08</v>
      </c>
      <c r="I69" t="s">
        <v>330</v>
      </c>
      <c r="J69" t="s">
        <v>448</v>
      </c>
      <c r="K69" t="s">
        <v>658</v>
      </c>
      <c r="L69" t="s">
        <v>179</v>
      </c>
      <c r="M69" t="s">
        <v>298</v>
      </c>
      <c r="N69" t="s">
        <v>12</v>
      </c>
      <c r="O69" t="s">
        <v>299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298</v>
      </c>
      <c r="AH69" t="s">
        <v>12</v>
      </c>
      <c r="AI69" t="s">
        <v>299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0</v>
      </c>
      <c r="AS69">
        <f>$H$69*$Y$69</f>
        <v>0</v>
      </c>
      <c r="AT69">
        <f>$H$69*$Z$69</f>
        <v>0</v>
      </c>
      <c r="AU69">
        <f>$H$69*$AA$69</f>
        <v>49.08</v>
      </c>
      <c r="AV69">
        <f>$H$69*$AB$69</f>
        <v>49.08</v>
      </c>
      <c r="AW69">
        <f>$H$69*$AC$69</f>
        <v>49.08</v>
      </c>
      <c r="AX69">
        <f>$H$69*$AD$69</f>
        <v>49.08</v>
      </c>
      <c r="AY69">
        <f>$H$69*$AE$69</f>
        <v>49.08</v>
      </c>
      <c r="AZ69">
        <f>$H$69*$AF$69</f>
        <v>49.08</v>
      </c>
    </row>
    <row r="70" spans="1:52" x14ac:dyDescent="0.25">
      <c r="A70">
        <v>118</v>
      </c>
      <c r="B70" t="s">
        <v>298</v>
      </c>
      <c r="C70" t="s">
        <v>449</v>
      </c>
      <c r="D70">
        <v>39.33</v>
      </c>
      <c r="E70">
        <v>315.43</v>
      </c>
      <c r="F70" t="s">
        <v>329</v>
      </c>
      <c r="G70">
        <v>8.02</v>
      </c>
      <c r="H70">
        <v>378.51</v>
      </c>
      <c r="I70" t="s">
        <v>333</v>
      </c>
      <c r="J70" t="s">
        <v>450</v>
      </c>
      <c r="K70" t="s">
        <v>659</v>
      </c>
      <c r="L70" t="s">
        <v>179</v>
      </c>
      <c r="M70" t="s">
        <v>298</v>
      </c>
      <c r="N70" t="s">
        <v>12</v>
      </c>
      <c r="O70" t="s">
        <v>299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298</v>
      </c>
      <c r="AH70" t="s">
        <v>12</v>
      </c>
      <c r="AI70" t="s">
        <v>299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0</v>
      </c>
      <c r="AT70">
        <f>$H$70*$Z$70</f>
        <v>0</v>
      </c>
      <c r="AU70">
        <f>$H$70*$AA$70</f>
        <v>378.51</v>
      </c>
      <c r="AV70">
        <f>$H$70*$AB$70</f>
        <v>378.51</v>
      </c>
      <c r="AW70">
        <f>$H$70*$AC$70</f>
        <v>378.51</v>
      </c>
      <c r="AX70">
        <f>$H$70*$AD$70</f>
        <v>378.51</v>
      </c>
      <c r="AY70">
        <f>$H$70*$AE$70</f>
        <v>378.51</v>
      </c>
      <c r="AZ70">
        <f>$H$70*$AF$70</f>
        <v>378.51</v>
      </c>
    </row>
    <row r="71" spans="1:52" x14ac:dyDescent="0.25">
      <c r="A71">
        <v>119</v>
      </c>
      <c r="B71" t="s">
        <v>298</v>
      </c>
      <c r="C71" t="s">
        <v>451</v>
      </c>
      <c r="D71">
        <v>28</v>
      </c>
      <c r="E71">
        <v>890.68</v>
      </c>
      <c r="F71" t="s">
        <v>329</v>
      </c>
      <c r="G71">
        <v>31.81</v>
      </c>
      <c r="H71">
        <v>1068.82</v>
      </c>
      <c r="I71" t="s">
        <v>333</v>
      </c>
      <c r="J71" t="s">
        <v>452</v>
      </c>
      <c r="K71" t="s">
        <v>660</v>
      </c>
      <c r="L71" t="s">
        <v>179</v>
      </c>
      <c r="M71" t="s">
        <v>298</v>
      </c>
      <c r="N71" t="s">
        <v>12</v>
      </c>
      <c r="O71" t="s">
        <v>299</v>
      </c>
      <c r="P71">
        <v>0</v>
      </c>
      <c r="Q71">
        <v>0</v>
      </c>
      <c r="R71">
        <v>0</v>
      </c>
      <c r="S71">
        <v>0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298</v>
      </c>
      <c r="AH71" t="s">
        <v>12</v>
      </c>
      <c r="AI71" t="s">
        <v>299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1068.82</v>
      </c>
      <c r="AO71">
        <f>$H$71*$U$71</f>
        <v>1068.82</v>
      </c>
      <c r="AP71">
        <f>$H$71*$V$71</f>
        <v>1068.82</v>
      </c>
      <c r="AQ71">
        <f>$H$71*$W$71</f>
        <v>1068.82</v>
      </c>
      <c r="AR71">
        <f>$H$71*$X$71</f>
        <v>1068.82</v>
      </c>
      <c r="AS71">
        <f>$H$71*$Y$71</f>
        <v>1068.82</v>
      </c>
      <c r="AT71">
        <f>$H$71*$Z$71</f>
        <v>1068.82</v>
      </c>
      <c r="AU71">
        <f>$H$71*$AA$71</f>
        <v>1068.82</v>
      </c>
      <c r="AV71">
        <f>$H$71*$AB$71</f>
        <v>1068.82</v>
      </c>
      <c r="AW71">
        <f>$H$71*$AC$71</f>
        <v>1068.82</v>
      </c>
      <c r="AX71">
        <f>$H$71*$AD$71</f>
        <v>1068.82</v>
      </c>
      <c r="AY71">
        <f>$H$71*$AE$71</f>
        <v>1068.82</v>
      </c>
      <c r="AZ71">
        <f>$H$71*$AF$71</f>
        <v>1068.82</v>
      </c>
    </row>
    <row r="72" spans="1:52" x14ac:dyDescent="0.25">
      <c r="A72">
        <v>120</v>
      </c>
      <c r="B72" t="s">
        <v>298</v>
      </c>
      <c r="C72" t="s">
        <v>453</v>
      </c>
      <c r="D72">
        <v>8</v>
      </c>
      <c r="E72">
        <v>476.8</v>
      </c>
      <c r="F72" t="s">
        <v>329</v>
      </c>
      <c r="G72">
        <v>59.6</v>
      </c>
      <c r="H72">
        <v>572.16</v>
      </c>
      <c r="I72" t="s">
        <v>333</v>
      </c>
      <c r="J72" t="s">
        <v>454</v>
      </c>
      <c r="K72" t="s">
        <v>661</v>
      </c>
      <c r="L72" t="s">
        <v>179</v>
      </c>
      <c r="M72" t="s">
        <v>298</v>
      </c>
      <c r="N72" t="s">
        <v>12</v>
      </c>
      <c r="O72" t="s">
        <v>299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1</v>
      </c>
      <c r="AE72">
        <v>1</v>
      </c>
      <c r="AF72">
        <v>1</v>
      </c>
      <c r="AG72" t="s">
        <v>298</v>
      </c>
      <c r="AH72" t="s">
        <v>12</v>
      </c>
      <c r="AI72" t="s">
        <v>299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0</v>
      </c>
      <c r="AO72">
        <f>$H$72*$U$72</f>
        <v>0</v>
      </c>
      <c r="AP72">
        <f>$H$72*$V$72</f>
        <v>0</v>
      </c>
      <c r="AQ72">
        <f>$H$72*$W$72</f>
        <v>0</v>
      </c>
      <c r="AR72">
        <f>$H$72*$X$72</f>
        <v>0</v>
      </c>
      <c r="AS72">
        <f>$H$72*$Y$72</f>
        <v>0</v>
      </c>
      <c r="AT72">
        <f>$H$72*$Z$72</f>
        <v>0</v>
      </c>
      <c r="AU72">
        <f>$H$72*$AA$72</f>
        <v>0</v>
      </c>
      <c r="AV72">
        <f>$H$72*$AB$72</f>
        <v>0</v>
      </c>
      <c r="AW72">
        <f>$H$72*$AC$72</f>
        <v>0</v>
      </c>
      <c r="AX72">
        <f>$H$72*$AD$72</f>
        <v>572.16</v>
      </c>
      <c r="AY72">
        <f>$H$72*$AE$72</f>
        <v>572.16</v>
      </c>
      <c r="AZ72">
        <f>$H$72*$AF$72</f>
        <v>572.16</v>
      </c>
    </row>
    <row r="73" spans="1:52" x14ac:dyDescent="0.25">
      <c r="A73">
        <v>121</v>
      </c>
      <c r="B73" t="s">
        <v>298</v>
      </c>
      <c r="C73" t="s">
        <v>455</v>
      </c>
      <c r="D73">
        <v>39.33</v>
      </c>
      <c r="E73">
        <v>59.39</v>
      </c>
      <c r="F73" t="s">
        <v>329</v>
      </c>
      <c r="G73">
        <v>1.51</v>
      </c>
      <c r="H73">
        <v>71.27</v>
      </c>
      <c r="I73" t="s">
        <v>330</v>
      </c>
      <c r="J73" t="s">
        <v>456</v>
      </c>
      <c r="K73" t="s">
        <v>662</v>
      </c>
      <c r="L73" t="s">
        <v>179</v>
      </c>
      <c r="M73" t="s">
        <v>298</v>
      </c>
      <c r="N73" t="s">
        <v>12</v>
      </c>
      <c r="O73" t="s">
        <v>299</v>
      </c>
      <c r="P73">
        <v>0</v>
      </c>
      <c r="Q73">
        <v>0</v>
      </c>
      <c r="R73">
        <v>0</v>
      </c>
      <c r="S73">
        <v>1</v>
      </c>
      <c r="T73">
        <v>1</v>
      </c>
      <c r="U73">
        <v>1</v>
      </c>
      <c r="V73">
        <v>1</v>
      </c>
      <c r="W73">
        <v>1</v>
      </c>
      <c r="X73">
        <v>1</v>
      </c>
      <c r="Y73">
        <v>1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298</v>
      </c>
      <c r="AH73" t="s">
        <v>12</v>
      </c>
      <c r="AI73" t="s">
        <v>299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71.27</v>
      </c>
      <c r="AN73">
        <f>$H$73*$T$73</f>
        <v>71.27</v>
      </c>
      <c r="AO73">
        <f>$H$73*$U$73</f>
        <v>71.27</v>
      </c>
      <c r="AP73">
        <f>$H$73*$V$73</f>
        <v>71.27</v>
      </c>
      <c r="AQ73">
        <f>$H$73*$W$73</f>
        <v>71.27</v>
      </c>
      <c r="AR73">
        <f>$H$73*$X$73</f>
        <v>71.27</v>
      </c>
      <c r="AS73">
        <f>$H$73*$Y$73</f>
        <v>71.27</v>
      </c>
      <c r="AT73">
        <f>$H$73*$Z$73</f>
        <v>71.27</v>
      </c>
      <c r="AU73">
        <f>$H$73*$AA$73</f>
        <v>71.27</v>
      </c>
      <c r="AV73">
        <f>$H$73*$AB$73</f>
        <v>71.27</v>
      </c>
      <c r="AW73">
        <f>$H$73*$AC$73</f>
        <v>71.27</v>
      </c>
      <c r="AX73">
        <f>$H$73*$AD$73</f>
        <v>71.27</v>
      </c>
      <c r="AY73">
        <f>$H$73*$AE$73</f>
        <v>71.27</v>
      </c>
      <c r="AZ73">
        <f>$H$73*$AF$73</f>
        <v>71.27</v>
      </c>
    </row>
    <row r="74" spans="1:52" x14ac:dyDescent="0.25">
      <c r="A74">
        <v>122</v>
      </c>
      <c r="B74" t="s">
        <v>298</v>
      </c>
      <c r="C74" t="s">
        <v>457</v>
      </c>
      <c r="D74">
        <v>39.33</v>
      </c>
      <c r="E74">
        <v>223.39</v>
      </c>
      <c r="F74" t="s">
        <v>329</v>
      </c>
      <c r="G74">
        <v>5.68</v>
      </c>
      <c r="H74">
        <v>268.07</v>
      </c>
      <c r="I74" t="s">
        <v>333</v>
      </c>
      <c r="J74" t="s">
        <v>458</v>
      </c>
      <c r="K74" t="s">
        <v>663</v>
      </c>
      <c r="L74" t="s">
        <v>179</v>
      </c>
      <c r="M74" t="s">
        <v>298</v>
      </c>
      <c r="N74" t="s">
        <v>12</v>
      </c>
      <c r="O74" t="s">
        <v>299</v>
      </c>
      <c r="P74">
        <v>0</v>
      </c>
      <c r="Q74">
        <v>0</v>
      </c>
      <c r="R74">
        <v>0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298</v>
      </c>
      <c r="AH74" t="s">
        <v>12</v>
      </c>
      <c r="AI74" t="s">
        <v>299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268.07</v>
      </c>
      <c r="AN74">
        <f>$H$74*$T$74</f>
        <v>268.07</v>
      </c>
      <c r="AO74">
        <f>$H$74*$U$74</f>
        <v>268.07</v>
      </c>
      <c r="AP74">
        <f>$H$74*$V$74</f>
        <v>268.07</v>
      </c>
      <c r="AQ74">
        <f>$H$74*$W$74</f>
        <v>268.07</v>
      </c>
      <c r="AR74">
        <f>$H$74*$X$74</f>
        <v>268.07</v>
      </c>
      <c r="AS74">
        <f>$H$74*$Y$74</f>
        <v>268.07</v>
      </c>
      <c r="AT74">
        <f>$H$74*$Z$74</f>
        <v>268.07</v>
      </c>
      <c r="AU74">
        <f>$H$74*$AA$74</f>
        <v>268.07</v>
      </c>
      <c r="AV74">
        <f>$H$74*$AB$74</f>
        <v>268.07</v>
      </c>
      <c r="AW74">
        <f>$H$74*$AC$74</f>
        <v>268.07</v>
      </c>
      <c r="AX74">
        <f>$H$74*$AD$74</f>
        <v>268.07</v>
      </c>
      <c r="AY74">
        <f>$H$74*$AE$74</f>
        <v>268.07</v>
      </c>
      <c r="AZ74">
        <f>$H$74*$AF$74</f>
        <v>268.07</v>
      </c>
    </row>
    <row r="75" spans="1:52" x14ac:dyDescent="0.25">
      <c r="A75">
        <v>123</v>
      </c>
      <c r="B75" t="s">
        <v>298</v>
      </c>
      <c r="C75" t="s">
        <v>364</v>
      </c>
      <c r="D75">
        <v>136.72999999999999</v>
      </c>
      <c r="E75">
        <v>459.41</v>
      </c>
      <c r="F75" t="s">
        <v>349</v>
      </c>
      <c r="G75">
        <v>3.36</v>
      </c>
      <c r="H75">
        <v>551.29</v>
      </c>
      <c r="I75" t="s">
        <v>365</v>
      </c>
      <c r="J75" t="s">
        <v>366</v>
      </c>
      <c r="K75" t="s">
        <v>618</v>
      </c>
      <c r="L75" t="s">
        <v>179</v>
      </c>
      <c r="M75" t="s">
        <v>298</v>
      </c>
      <c r="N75" t="s">
        <v>12</v>
      </c>
      <c r="O75" t="s">
        <v>299</v>
      </c>
      <c r="P75">
        <v>0</v>
      </c>
      <c r="Q75">
        <v>0</v>
      </c>
      <c r="R75">
        <v>0</v>
      </c>
      <c r="S75">
        <v>0.25</v>
      </c>
      <c r="T75">
        <v>0.25</v>
      </c>
      <c r="U75">
        <v>0.25</v>
      </c>
      <c r="V75">
        <v>0.25</v>
      </c>
      <c r="W75">
        <v>0.5</v>
      </c>
      <c r="X75">
        <v>0.5</v>
      </c>
      <c r="Y75">
        <v>0.5</v>
      </c>
      <c r="Z75">
        <v>0.5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298</v>
      </c>
      <c r="AH75" t="s">
        <v>12</v>
      </c>
      <c r="AI75" t="s">
        <v>299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137.82249999999999</v>
      </c>
      <c r="AN75">
        <f>$H$75*$T$75</f>
        <v>137.82249999999999</v>
      </c>
      <c r="AO75">
        <f>$H$75*$U$75</f>
        <v>137.82249999999999</v>
      </c>
      <c r="AP75">
        <f>$H$75*$V$75</f>
        <v>137.82249999999999</v>
      </c>
      <c r="AQ75">
        <f>$H$75*$W$75</f>
        <v>275.64499999999998</v>
      </c>
      <c r="AR75">
        <f>$H$75*$X$75</f>
        <v>275.64499999999998</v>
      </c>
      <c r="AS75">
        <f>$H$75*$Y$75</f>
        <v>275.64499999999998</v>
      </c>
      <c r="AT75">
        <f>$H$75*$Z$75</f>
        <v>275.64499999999998</v>
      </c>
      <c r="AU75">
        <f>$H$75*$AA$75</f>
        <v>551.29</v>
      </c>
      <c r="AV75">
        <f>$H$75*$AB$75</f>
        <v>551.29</v>
      </c>
      <c r="AW75">
        <f>$H$75*$AC$75</f>
        <v>551.29</v>
      </c>
      <c r="AX75">
        <f>$H$75*$AD$75</f>
        <v>551.29</v>
      </c>
      <c r="AY75">
        <f>$H$75*$AE$75</f>
        <v>551.29</v>
      </c>
      <c r="AZ75">
        <f>$H$75*$AF$75</f>
        <v>551.29</v>
      </c>
    </row>
    <row r="76" spans="1:52" x14ac:dyDescent="0.25">
      <c r="A76">
        <v>124</v>
      </c>
      <c r="B76" t="s">
        <v>298</v>
      </c>
      <c r="C76" t="s">
        <v>443</v>
      </c>
      <c r="D76">
        <v>136.72999999999999</v>
      </c>
      <c r="E76">
        <v>86.14</v>
      </c>
      <c r="F76" t="s">
        <v>349</v>
      </c>
      <c r="G76">
        <v>0.63</v>
      </c>
      <c r="H76">
        <v>103.36</v>
      </c>
      <c r="I76" t="s">
        <v>330</v>
      </c>
      <c r="J76" t="s">
        <v>444</v>
      </c>
      <c r="K76" t="s">
        <v>656</v>
      </c>
      <c r="L76" t="s">
        <v>179</v>
      </c>
      <c r="M76" t="s">
        <v>298</v>
      </c>
      <c r="N76" t="s">
        <v>12</v>
      </c>
      <c r="O76" t="s">
        <v>299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1</v>
      </c>
      <c r="AE76">
        <v>1</v>
      </c>
      <c r="AF76">
        <v>1</v>
      </c>
      <c r="AG76" t="s">
        <v>298</v>
      </c>
      <c r="AH76" t="s">
        <v>12</v>
      </c>
      <c r="AI76" t="s">
        <v>299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0</v>
      </c>
      <c r="AN76">
        <f>$H$76*$T$76</f>
        <v>0</v>
      </c>
      <c r="AO76">
        <f>$H$76*$U$76</f>
        <v>0</v>
      </c>
      <c r="AP76">
        <f>$H$76*$V$76</f>
        <v>0</v>
      </c>
      <c r="AQ76">
        <f>$H$76*$W$76</f>
        <v>0</v>
      </c>
      <c r="AR76">
        <f>$H$76*$X$76</f>
        <v>0</v>
      </c>
      <c r="AS76">
        <f>$H$76*$Y$76</f>
        <v>0</v>
      </c>
      <c r="AT76">
        <f>$H$76*$Z$76</f>
        <v>0</v>
      </c>
      <c r="AU76">
        <f>$H$76*$AA$76</f>
        <v>0</v>
      </c>
      <c r="AV76">
        <f>$H$76*$AB$76</f>
        <v>0</v>
      </c>
      <c r="AW76">
        <f>$H$76*$AC$76</f>
        <v>0</v>
      </c>
      <c r="AX76">
        <f>$H$76*$AD$76</f>
        <v>103.36</v>
      </c>
      <c r="AY76">
        <f>$H$76*$AE$76</f>
        <v>103.36</v>
      </c>
      <c r="AZ76">
        <f>$H$76*$AF$76</f>
        <v>103.36</v>
      </c>
    </row>
    <row r="77" spans="1:52" x14ac:dyDescent="0.25">
      <c r="A77">
        <v>125</v>
      </c>
      <c r="B77" t="s">
        <v>298</v>
      </c>
      <c r="C77" t="s">
        <v>459</v>
      </c>
      <c r="D77">
        <v>136.72999999999999</v>
      </c>
      <c r="E77">
        <v>94.34</v>
      </c>
      <c r="F77" t="s">
        <v>349</v>
      </c>
      <c r="G77">
        <v>0.69</v>
      </c>
      <c r="H77">
        <v>113.2</v>
      </c>
      <c r="I77" t="s">
        <v>330</v>
      </c>
      <c r="J77" t="s">
        <v>460</v>
      </c>
      <c r="K77" t="s">
        <v>664</v>
      </c>
      <c r="L77" t="s">
        <v>179</v>
      </c>
      <c r="M77" t="s">
        <v>298</v>
      </c>
      <c r="N77" t="s">
        <v>12</v>
      </c>
      <c r="O77" t="s">
        <v>299</v>
      </c>
      <c r="P77">
        <v>0</v>
      </c>
      <c r="Q77">
        <v>0</v>
      </c>
      <c r="R77">
        <v>0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298</v>
      </c>
      <c r="AH77" t="s">
        <v>12</v>
      </c>
      <c r="AI77" t="s">
        <v>299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113.2</v>
      </c>
      <c r="AN77">
        <f>$H$77*$T$77</f>
        <v>113.2</v>
      </c>
      <c r="AO77">
        <f>$H$77*$U$77</f>
        <v>113.2</v>
      </c>
      <c r="AP77">
        <f>$H$77*$V$77</f>
        <v>113.2</v>
      </c>
      <c r="AQ77">
        <f>$H$77*$W$77</f>
        <v>113.2</v>
      </c>
      <c r="AR77">
        <f>$H$77*$X$77</f>
        <v>113.2</v>
      </c>
      <c r="AS77">
        <f>$H$77*$Y$77</f>
        <v>113.2</v>
      </c>
      <c r="AT77">
        <f>$H$77*$Z$77</f>
        <v>113.2</v>
      </c>
      <c r="AU77">
        <f>$H$77*$AA$77</f>
        <v>113.2</v>
      </c>
      <c r="AV77">
        <f>$H$77*$AB$77</f>
        <v>113.2</v>
      </c>
      <c r="AW77">
        <f>$H$77*$AC$77</f>
        <v>113.2</v>
      </c>
      <c r="AX77">
        <f>$H$77*$AD$77</f>
        <v>113.2</v>
      </c>
      <c r="AY77">
        <f>$H$77*$AE$77</f>
        <v>113.2</v>
      </c>
      <c r="AZ77">
        <f>$H$77*$AF$77</f>
        <v>113.2</v>
      </c>
    </row>
    <row r="78" spans="1:52" x14ac:dyDescent="0.25">
      <c r="A78">
        <v>126</v>
      </c>
      <c r="B78" t="s">
        <v>298</v>
      </c>
      <c r="C78" t="s">
        <v>461</v>
      </c>
      <c r="D78">
        <v>19.34</v>
      </c>
      <c r="E78">
        <v>335.55</v>
      </c>
      <c r="F78" t="s">
        <v>349</v>
      </c>
      <c r="G78">
        <v>17.350000000000001</v>
      </c>
      <c r="H78">
        <v>402.67</v>
      </c>
      <c r="I78" t="s">
        <v>462</v>
      </c>
      <c r="J78" t="s">
        <v>463</v>
      </c>
      <c r="K78" t="s">
        <v>665</v>
      </c>
      <c r="L78" t="s">
        <v>179</v>
      </c>
      <c r="M78" t="s">
        <v>298</v>
      </c>
      <c r="N78" t="s">
        <v>12</v>
      </c>
      <c r="O78" t="s">
        <v>299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298</v>
      </c>
      <c r="AH78" t="s">
        <v>12</v>
      </c>
      <c r="AI78" t="s">
        <v>299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0</v>
      </c>
      <c r="AN78">
        <f>$H$78*$T$78</f>
        <v>0</v>
      </c>
      <c r="AO78">
        <f>$H$78*$U$78</f>
        <v>0</v>
      </c>
      <c r="AP78">
        <f>$H$78*$V$78</f>
        <v>0</v>
      </c>
      <c r="AQ78">
        <f>$H$78*$W$78</f>
        <v>0</v>
      </c>
      <c r="AR78">
        <f>$H$78*$X$78</f>
        <v>0</v>
      </c>
      <c r="AS78">
        <f>$H$78*$Y$78</f>
        <v>402.67</v>
      </c>
      <c r="AT78">
        <f>$H$78*$Z$78</f>
        <v>402.67</v>
      </c>
      <c r="AU78">
        <f>$H$78*$AA$78</f>
        <v>402.67</v>
      </c>
      <c r="AV78">
        <f>$H$78*$AB$78</f>
        <v>402.67</v>
      </c>
      <c r="AW78">
        <f>$H$78*$AC$78</f>
        <v>402.67</v>
      </c>
      <c r="AX78">
        <f>$H$78*$AD$78</f>
        <v>402.67</v>
      </c>
      <c r="AY78">
        <f>$H$78*$AE$78</f>
        <v>402.67</v>
      </c>
      <c r="AZ78">
        <f>$H$78*$AF$78</f>
        <v>402.67</v>
      </c>
    </row>
    <row r="79" spans="1:52" x14ac:dyDescent="0.25">
      <c r="A79">
        <v>127</v>
      </c>
      <c r="B79" t="s">
        <v>298</v>
      </c>
      <c r="C79" t="s">
        <v>464</v>
      </c>
      <c r="D79">
        <v>38.68</v>
      </c>
      <c r="E79">
        <v>138.47</v>
      </c>
      <c r="F79" t="s">
        <v>349</v>
      </c>
      <c r="G79">
        <v>3.58</v>
      </c>
      <c r="H79">
        <v>166.17</v>
      </c>
      <c r="I79" t="s">
        <v>465</v>
      </c>
      <c r="J79" t="s">
        <v>466</v>
      </c>
      <c r="K79" t="s">
        <v>666</v>
      </c>
      <c r="L79" t="s">
        <v>179</v>
      </c>
      <c r="M79" t="s">
        <v>298</v>
      </c>
      <c r="N79" t="s">
        <v>12</v>
      </c>
      <c r="O79" t="s">
        <v>299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1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298</v>
      </c>
      <c r="AH79" t="s">
        <v>12</v>
      </c>
      <c r="AI79" t="s">
        <v>299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166.17</v>
      </c>
      <c r="AN79">
        <f>$H$79*$T$79</f>
        <v>166.17</v>
      </c>
      <c r="AO79">
        <f>$H$79*$U$79</f>
        <v>166.17</v>
      </c>
      <c r="AP79">
        <f>$H$79*$V$79</f>
        <v>166.17</v>
      </c>
      <c r="AQ79">
        <f>$H$79*$W$79</f>
        <v>166.17</v>
      </c>
      <c r="AR79">
        <f>$H$79*$X$79</f>
        <v>166.17</v>
      </c>
      <c r="AS79">
        <f>$H$79*$Y$79</f>
        <v>166.17</v>
      </c>
      <c r="AT79">
        <f>$H$79*$Z$79</f>
        <v>166.17</v>
      </c>
      <c r="AU79">
        <f>$H$79*$AA$79</f>
        <v>166.17</v>
      </c>
      <c r="AV79">
        <f>$H$79*$AB$79</f>
        <v>166.17</v>
      </c>
      <c r="AW79">
        <f>$H$79*$AC$79</f>
        <v>166.17</v>
      </c>
      <c r="AX79">
        <f>$H$79*$AD$79</f>
        <v>166.17</v>
      </c>
      <c r="AY79">
        <f>$H$79*$AE$79</f>
        <v>166.17</v>
      </c>
      <c r="AZ79">
        <f>$H$79*$AF$79</f>
        <v>166.17</v>
      </c>
    </row>
    <row r="80" spans="1:52" x14ac:dyDescent="0.25">
      <c r="A80">
        <v>128</v>
      </c>
      <c r="B80" t="s">
        <v>298</v>
      </c>
      <c r="C80" t="s">
        <v>467</v>
      </c>
      <c r="D80">
        <v>38.68</v>
      </c>
      <c r="E80">
        <v>381</v>
      </c>
      <c r="F80" t="s">
        <v>349</v>
      </c>
      <c r="G80">
        <v>9.85</v>
      </c>
      <c r="H80">
        <v>457.2</v>
      </c>
      <c r="I80" t="s">
        <v>465</v>
      </c>
      <c r="J80" t="s">
        <v>372</v>
      </c>
      <c r="K80" t="s">
        <v>667</v>
      </c>
      <c r="L80" t="s">
        <v>179</v>
      </c>
      <c r="M80" t="s">
        <v>298</v>
      </c>
      <c r="N80" t="s">
        <v>12</v>
      </c>
      <c r="O80" t="s">
        <v>299</v>
      </c>
      <c r="P80">
        <v>0</v>
      </c>
      <c r="Q80">
        <v>0</v>
      </c>
      <c r="R80">
        <v>0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298</v>
      </c>
      <c r="AH80" t="s">
        <v>12</v>
      </c>
      <c r="AI80" t="s">
        <v>299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457.2</v>
      </c>
      <c r="AN80">
        <f>$H$80*$T$80</f>
        <v>457.2</v>
      </c>
      <c r="AO80">
        <f>$H$80*$U$80</f>
        <v>457.2</v>
      </c>
      <c r="AP80">
        <f>$H$80*$V$80</f>
        <v>457.2</v>
      </c>
      <c r="AQ80">
        <f>$H$80*$W$80</f>
        <v>457.2</v>
      </c>
      <c r="AR80">
        <f>$H$80*$X$80</f>
        <v>457.2</v>
      </c>
      <c r="AS80">
        <f>$H$80*$Y$80</f>
        <v>457.2</v>
      </c>
      <c r="AT80">
        <f>$H$80*$Z$80</f>
        <v>457.2</v>
      </c>
      <c r="AU80">
        <f>$H$80*$AA$80</f>
        <v>457.2</v>
      </c>
      <c r="AV80">
        <f>$H$80*$AB$80</f>
        <v>457.2</v>
      </c>
      <c r="AW80">
        <f>$H$80*$AC$80</f>
        <v>457.2</v>
      </c>
      <c r="AX80">
        <f>$H$80*$AD$80</f>
        <v>457.2</v>
      </c>
      <c r="AY80">
        <f>$H$80*$AE$80</f>
        <v>457.2</v>
      </c>
      <c r="AZ80">
        <f>$H$80*$AF$80</f>
        <v>457.2</v>
      </c>
    </row>
    <row r="81" spans="1:52" x14ac:dyDescent="0.25">
      <c r="A81">
        <v>129</v>
      </c>
      <c r="B81" t="s">
        <v>298</v>
      </c>
      <c r="C81" t="s">
        <v>468</v>
      </c>
      <c r="D81">
        <v>44.48</v>
      </c>
      <c r="E81">
        <v>45.37</v>
      </c>
      <c r="F81" t="s">
        <v>349</v>
      </c>
      <c r="G81">
        <v>1.02</v>
      </c>
      <c r="H81">
        <v>54.45</v>
      </c>
      <c r="I81" t="s">
        <v>469</v>
      </c>
      <c r="J81" t="s">
        <v>470</v>
      </c>
      <c r="K81" t="s">
        <v>668</v>
      </c>
      <c r="L81" t="s">
        <v>179</v>
      </c>
      <c r="M81" t="s">
        <v>298</v>
      </c>
      <c r="N81" t="s">
        <v>12</v>
      </c>
      <c r="O81" t="s">
        <v>299</v>
      </c>
      <c r="P81">
        <v>0</v>
      </c>
      <c r="Q81">
        <v>0</v>
      </c>
      <c r="R81">
        <v>0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298</v>
      </c>
      <c r="AH81" t="s">
        <v>12</v>
      </c>
      <c r="AI81" t="s">
        <v>299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54.45</v>
      </c>
      <c r="AN81">
        <f>$H$81*$T$81</f>
        <v>54.45</v>
      </c>
      <c r="AO81">
        <f>$H$81*$U$81</f>
        <v>54.45</v>
      </c>
      <c r="AP81">
        <f>$H$81*$V$81</f>
        <v>54.45</v>
      </c>
      <c r="AQ81">
        <f>$H$81*$W$81</f>
        <v>54.45</v>
      </c>
      <c r="AR81">
        <f>$H$81*$X$81</f>
        <v>54.45</v>
      </c>
      <c r="AS81">
        <f>$H$81*$Y$81</f>
        <v>54.45</v>
      </c>
      <c r="AT81">
        <f>$H$81*$Z$81</f>
        <v>54.45</v>
      </c>
      <c r="AU81">
        <f>$H$81*$AA$81</f>
        <v>54.45</v>
      </c>
      <c r="AV81">
        <f>$H$81*$AB$81</f>
        <v>54.45</v>
      </c>
      <c r="AW81">
        <f>$H$81*$AC$81</f>
        <v>54.45</v>
      </c>
      <c r="AX81">
        <f>$H$81*$AD$81</f>
        <v>54.45</v>
      </c>
      <c r="AY81">
        <f>$H$81*$AE$81</f>
        <v>54.45</v>
      </c>
      <c r="AZ81">
        <f>$H$81*$AF$81</f>
        <v>54.45</v>
      </c>
    </row>
    <row r="82" spans="1:52" x14ac:dyDescent="0.25">
      <c r="A82">
        <v>130</v>
      </c>
      <c r="B82" t="s">
        <v>298</v>
      </c>
      <c r="C82" t="s">
        <v>471</v>
      </c>
      <c r="D82">
        <v>44.48</v>
      </c>
      <c r="E82">
        <v>410.55</v>
      </c>
      <c r="F82" t="s">
        <v>349</v>
      </c>
      <c r="G82">
        <v>9.23</v>
      </c>
      <c r="H82">
        <v>492.67</v>
      </c>
      <c r="I82" t="s">
        <v>469</v>
      </c>
      <c r="J82" t="s">
        <v>463</v>
      </c>
      <c r="K82" t="s">
        <v>669</v>
      </c>
      <c r="L82" t="s">
        <v>179</v>
      </c>
      <c r="M82" t="s">
        <v>298</v>
      </c>
      <c r="N82" t="s">
        <v>12</v>
      </c>
      <c r="O82" t="s">
        <v>299</v>
      </c>
      <c r="P82">
        <v>0</v>
      </c>
      <c r="Q82">
        <v>0</v>
      </c>
      <c r="R82">
        <v>0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298</v>
      </c>
      <c r="AH82" t="s">
        <v>12</v>
      </c>
      <c r="AI82" t="s">
        <v>299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492.67</v>
      </c>
      <c r="AN82">
        <f>$H$82*$T$82</f>
        <v>492.67</v>
      </c>
      <c r="AO82">
        <f>$H$82*$U$82</f>
        <v>492.67</v>
      </c>
      <c r="AP82">
        <f>$H$82*$V$82</f>
        <v>492.67</v>
      </c>
      <c r="AQ82">
        <f>$H$82*$W$82</f>
        <v>492.67</v>
      </c>
      <c r="AR82">
        <f>$H$82*$X$82</f>
        <v>492.67</v>
      </c>
      <c r="AS82">
        <f>$H$82*$Y$82</f>
        <v>492.67</v>
      </c>
      <c r="AT82">
        <f>$H$82*$Z$82</f>
        <v>492.67</v>
      </c>
      <c r="AU82">
        <f>$H$82*$AA$82</f>
        <v>492.67</v>
      </c>
      <c r="AV82">
        <f>$H$82*$AB$82</f>
        <v>492.67</v>
      </c>
      <c r="AW82">
        <f>$H$82*$AC$82</f>
        <v>492.67</v>
      </c>
      <c r="AX82">
        <f>$H$82*$AD$82</f>
        <v>492.67</v>
      </c>
      <c r="AY82">
        <f>$H$82*$AE$82</f>
        <v>492.67</v>
      </c>
      <c r="AZ82">
        <f>$H$82*$AF$82</f>
        <v>492.67</v>
      </c>
    </row>
    <row r="83" spans="1:52" x14ac:dyDescent="0.25">
      <c r="A83">
        <v>131</v>
      </c>
      <c r="B83" t="s">
        <v>311</v>
      </c>
      <c r="C83" t="s">
        <v>435</v>
      </c>
      <c r="D83">
        <v>2</v>
      </c>
      <c r="E83">
        <v>26.54</v>
      </c>
      <c r="F83" t="s">
        <v>335</v>
      </c>
      <c r="G83">
        <v>13.27</v>
      </c>
      <c r="H83">
        <v>31.84</v>
      </c>
      <c r="I83" t="s">
        <v>337</v>
      </c>
      <c r="J83" t="s">
        <v>436</v>
      </c>
      <c r="K83" t="s">
        <v>652</v>
      </c>
      <c r="L83" t="s">
        <v>179</v>
      </c>
      <c r="M83" t="s">
        <v>311</v>
      </c>
      <c r="N83" t="s">
        <v>11</v>
      </c>
      <c r="O83" t="s">
        <v>310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311</v>
      </c>
      <c r="AH83" t="s">
        <v>11</v>
      </c>
      <c r="AI83" t="s">
        <v>310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0</v>
      </c>
      <c r="AN83">
        <f>$H$83*$T$83</f>
        <v>0</v>
      </c>
      <c r="AO83">
        <f>$H$83*$U$83</f>
        <v>0</v>
      </c>
      <c r="AP83">
        <f>$H$83*$V$83</f>
        <v>0</v>
      </c>
      <c r="AQ83">
        <f>$H$83*$W$83</f>
        <v>0</v>
      </c>
      <c r="AR83">
        <f>$H$83*$X$83</f>
        <v>31.84</v>
      </c>
      <c r="AS83">
        <f>$H$83*$Y$83</f>
        <v>31.84</v>
      </c>
      <c r="AT83">
        <f>$H$83*$Z$83</f>
        <v>31.84</v>
      </c>
      <c r="AU83">
        <f>$H$83*$AA$83</f>
        <v>31.84</v>
      </c>
      <c r="AV83">
        <f>$H$83*$AB$83</f>
        <v>31.84</v>
      </c>
      <c r="AW83">
        <f>$H$83*$AC$83</f>
        <v>31.84</v>
      </c>
      <c r="AX83">
        <f>$H$83*$AD$83</f>
        <v>31.84</v>
      </c>
      <c r="AY83">
        <f>$H$83*$AE$83</f>
        <v>31.84</v>
      </c>
      <c r="AZ83">
        <f>$H$83*$AF$83</f>
        <v>31.84</v>
      </c>
    </row>
    <row r="84" spans="1:52" x14ac:dyDescent="0.25">
      <c r="A84">
        <v>132</v>
      </c>
      <c r="B84" t="s">
        <v>311</v>
      </c>
      <c r="C84" t="s">
        <v>358</v>
      </c>
      <c r="D84">
        <v>52</v>
      </c>
      <c r="E84">
        <v>230.88</v>
      </c>
      <c r="F84" t="s">
        <v>329</v>
      </c>
      <c r="G84">
        <v>4.4400000000000004</v>
      </c>
      <c r="H84">
        <v>277.06</v>
      </c>
      <c r="I84" t="s">
        <v>330</v>
      </c>
      <c r="J84" t="s">
        <v>359</v>
      </c>
      <c r="K84" t="s">
        <v>615</v>
      </c>
      <c r="L84" t="s">
        <v>179</v>
      </c>
      <c r="M84" t="s">
        <v>311</v>
      </c>
      <c r="N84" t="s">
        <v>11</v>
      </c>
      <c r="O84" t="s">
        <v>310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311</v>
      </c>
      <c r="AH84" t="s">
        <v>11</v>
      </c>
      <c r="AI84" t="s">
        <v>310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0</v>
      </c>
      <c r="AS84">
        <f>$H$84*$Y$84</f>
        <v>0</v>
      </c>
      <c r="AT84">
        <f>$H$84*$Z$84</f>
        <v>0</v>
      </c>
      <c r="AU84">
        <f>$H$84*$AA$84</f>
        <v>277.06</v>
      </c>
      <c r="AV84">
        <f>$H$84*$AB$84</f>
        <v>277.06</v>
      </c>
      <c r="AW84">
        <f>$H$84*$AC$84</f>
        <v>277.06</v>
      </c>
      <c r="AX84">
        <f>$H$84*$AD$84</f>
        <v>277.06</v>
      </c>
      <c r="AY84">
        <f>$H$84*$AE$84</f>
        <v>277.06</v>
      </c>
      <c r="AZ84">
        <f>$H$84*$AF$84</f>
        <v>277.06</v>
      </c>
    </row>
    <row r="85" spans="1:52" x14ac:dyDescent="0.25">
      <c r="A85">
        <v>133</v>
      </c>
      <c r="B85" t="s">
        <v>311</v>
      </c>
      <c r="C85" t="s">
        <v>360</v>
      </c>
      <c r="D85">
        <v>26</v>
      </c>
      <c r="E85">
        <v>300.3</v>
      </c>
      <c r="F85" t="s">
        <v>329</v>
      </c>
      <c r="G85">
        <v>11.55</v>
      </c>
      <c r="H85">
        <v>360.36</v>
      </c>
      <c r="I85" t="s">
        <v>333</v>
      </c>
      <c r="J85" t="s">
        <v>361</v>
      </c>
      <c r="K85" t="s">
        <v>616</v>
      </c>
      <c r="L85" t="s">
        <v>179</v>
      </c>
      <c r="M85" t="s">
        <v>311</v>
      </c>
      <c r="N85" t="s">
        <v>11</v>
      </c>
      <c r="O85" t="s">
        <v>310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311</v>
      </c>
      <c r="AH85" t="s">
        <v>11</v>
      </c>
      <c r="AI85" t="s">
        <v>310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0</v>
      </c>
      <c r="AS85">
        <f>$H$85*$Y$85</f>
        <v>0</v>
      </c>
      <c r="AT85">
        <f>$H$85*$Z$85</f>
        <v>0</v>
      </c>
      <c r="AU85">
        <f>$H$85*$AA$85</f>
        <v>360.36</v>
      </c>
      <c r="AV85">
        <f>$H$85*$AB$85</f>
        <v>360.36</v>
      </c>
      <c r="AW85">
        <f>$H$85*$AC$85</f>
        <v>360.36</v>
      </c>
      <c r="AX85">
        <f>$H$85*$AD$85</f>
        <v>360.36</v>
      </c>
      <c r="AY85">
        <f>$H$85*$AE$85</f>
        <v>360.36</v>
      </c>
      <c r="AZ85">
        <f>$H$85*$AF$85</f>
        <v>360.36</v>
      </c>
    </row>
    <row r="86" spans="1:52" x14ac:dyDescent="0.25">
      <c r="A86">
        <v>134</v>
      </c>
      <c r="B86" t="s">
        <v>311</v>
      </c>
      <c r="C86" t="s">
        <v>472</v>
      </c>
      <c r="D86">
        <v>26</v>
      </c>
      <c r="E86">
        <v>279.76</v>
      </c>
      <c r="F86" t="s">
        <v>329</v>
      </c>
      <c r="G86">
        <v>10.76</v>
      </c>
      <c r="H86">
        <v>335.72</v>
      </c>
      <c r="I86" t="s">
        <v>333</v>
      </c>
      <c r="J86" t="s">
        <v>473</v>
      </c>
      <c r="K86" t="s">
        <v>670</v>
      </c>
      <c r="L86" t="s">
        <v>179</v>
      </c>
      <c r="M86" t="s">
        <v>311</v>
      </c>
      <c r="N86" t="s">
        <v>11</v>
      </c>
      <c r="O86" t="s">
        <v>310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311</v>
      </c>
      <c r="AH86" t="s">
        <v>11</v>
      </c>
      <c r="AI86" t="s">
        <v>310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0</v>
      </c>
      <c r="AO86">
        <f>$H$86*$U$86</f>
        <v>0</v>
      </c>
      <c r="AP86">
        <f>$H$86*$V$86</f>
        <v>0</v>
      </c>
      <c r="AQ86">
        <f>$H$86*$W$86</f>
        <v>0</v>
      </c>
      <c r="AR86">
        <f>$H$86*$X$86</f>
        <v>0</v>
      </c>
      <c r="AS86">
        <f>$H$86*$Y$86</f>
        <v>0</v>
      </c>
      <c r="AT86">
        <f>$H$86*$Z$86</f>
        <v>335.72</v>
      </c>
      <c r="AU86">
        <f>$H$86*$AA$86</f>
        <v>335.72</v>
      </c>
      <c r="AV86">
        <f>$H$86*$AB$86</f>
        <v>335.72</v>
      </c>
      <c r="AW86">
        <f>$H$86*$AC$86</f>
        <v>335.72</v>
      </c>
      <c r="AX86">
        <f>$H$86*$AD$86</f>
        <v>335.72</v>
      </c>
      <c r="AY86">
        <f>$H$86*$AE$86</f>
        <v>335.72</v>
      </c>
      <c r="AZ86">
        <f>$H$86*$AF$86</f>
        <v>335.72</v>
      </c>
    </row>
    <row r="87" spans="1:52" x14ac:dyDescent="0.25">
      <c r="A87">
        <v>135</v>
      </c>
      <c r="B87" t="s">
        <v>311</v>
      </c>
      <c r="C87" t="s">
        <v>431</v>
      </c>
      <c r="D87">
        <v>26</v>
      </c>
      <c r="E87">
        <v>123.5</v>
      </c>
      <c r="F87" t="s">
        <v>329</v>
      </c>
      <c r="G87">
        <v>4.75</v>
      </c>
      <c r="H87">
        <v>148.19999999999999</v>
      </c>
      <c r="I87" t="s">
        <v>333</v>
      </c>
      <c r="J87" t="s">
        <v>432</v>
      </c>
      <c r="K87" t="s">
        <v>650</v>
      </c>
      <c r="L87" t="s">
        <v>179</v>
      </c>
      <c r="M87" t="s">
        <v>311</v>
      </c>
      <c r="N87" t="s">
        <v>11</v>
      </c>
      <c r="O87" t="s">
        <v>310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1</v>
      </c>
      <c r="AD87">
        <v>1</v>
      </c>
      <c r="AE87">
        <v>1</v>
      </c>
      <c r="AF87">
        <v>1</v>
      </c>
      <c r="AG87" t="s">
        <v>311</v>
      </c>
      <c r="AH87" t="s">
        <v>11</v>
      </c>
      <c r="AI87" t="s">
        <v>310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0</v>
      </c>
      <c r="AO87">
        <f>$H$87*$U$87</f>
        <v>0</v>
      </c>
      <c r="AP87">
        <f>$H$87*$V$87</f>
        <v>0</v>
      </c>
      <c r="AQ87">
        <f>$H$87*$W$87</f>
        <v>0</v>
      </c>
      <c r="AR87">
        <f>$H$87*$X$87</f>
        <v>0</v>
      </c>
      <c r="AS87">
        <f>$H$87*$Y$87</f>
        <v>0</v>
      </c>
      <c r="AT87">
        <f>$H$87*$Z$87</f>
        <v>0</v>
      </c>
      <c r="AU87">
        <f>$H$87*$AA$87</f>
        <v>0</v>
      </c>
      <c r="AV87">
        <f>$H$87*$AB$87</f>
        <v>0</v>
      </c>
      <c r="AW87">
        <f>$H$87*$AC$87</f>
        <v>148.19999999999999</v>
      </c>
      <c r="AX87">
        <f>$H$87*$AD$87</f>
        <v>148.19999999999999</v>
      </c>
      <c r="AY87">
        <f>$H$87*$AE$87</f>
        <v>148.19999999999999</v>
      </c>
      <c r="AZ87">
        <f>$H$87*$AF$87</f>
        <v>148.19999999999999</v>
      </c>
    </row>
    <row r="88" spans="1:52" x14ac:dyDescent="0.25">
      <c r="A88">
        <v>136</v>
      </c>
      <c r="B88" t="s">
        <v>311</v>
      </c>
      <c r="C88" t="s">
        <v>437</v>
      </c>
      <c r="D88">
        <v>1</v>
      </c>
      <c r="E88">
        <v>98.82</v>
      </c>
      <c r="F88" t="s">
        <v>335</v>
      </c>
      <c r="G88">
        <v>98.82</v>
      </c>
      <c r="H88">
        <v>118.58</v>
      </c>
      <c r="I88" t="s">
        <v>340</v>
      </c>
      <c r="J88" t="s">
        <v>372</v>
      </c>
      <c r="K88" t="s">
        <v>653</v>
      </c>
      <c r="L88" t="s">
        <v>179</v>
      </c>
      <c r="M88" t="s">
        <v>311</v>
      </c>
      <c r="N88" t="s">
        <v>11</v>
      </c>
      <c r="O88" t="s">
        <v>310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1</v>
      </c>
      <c r="AE88">
        <v>1</v>
      </c>
      <c r="AF88">
        <v>1</v>
      </c>
      <c r="AG88" t="s">
        <v>311</v>
      </c>
      <c r="AH88" t="s">
        <v>11</v>
      </c>
      <c r="AI88" t="s">
        <v>310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0</v>
      </c>
      <c r="AT88">
        <f>$H$88*$Z$88</f>
        <v>0</v>
      </c>
      <c r="AU88">
        <f>$H$88*$AA$88</f>
        <v>0</v>
      </c>
      <c r="AV88">
        <f>$H$88*$AB$88</f>
        <v>0</v>
      </c>
      <c r="AW88">
        <f>$H$88*$AC$88</f>
        <v>0</v>
      </c>
      <c r="AX88">
        <f>$H$88*$AD$88</f>
        <v>118.58</v>
      </c>
      <c r="AY88">
        <f>$H$88*$AE$88</f>
        <v>118.58</v>
      </c>
      <c r="AZ88">
        <f>$H$88*$AF$88</f>
        <v>118.58</v>
      </c>
    </row>
    <row r="89" spans="1:52" x14ac:dyDescent="0.25">
      <c r="A89">
        <v>137</v>
      </c>
      <c r="B89" t="s">
        <v>311</v>
      </c>
      <c r="C89" t="s">
        <v>367</v>
      </c>
      <c r="D89">
        <v>1</v>
      </c>
      <c r="E89">
        <v>62.41</v>
      </c>
      <c r="F89" t="s">
        <v>335</v>
      </c>
      <c r="G89">
        <v>62.41</v>
      </c>
      <c r="H89">
        <v>74.89</v>
      </c>
      <c r="I89" t="s">
        <v>368</v>
      </c>
      <c r="J89" t="s">
        <v>369</v>
      </c>
      <c r="K89" t="s">
        <v>619</v>
      </c>
      <c r="L89" t="s">
        <v>179</v>
      </c>
      <c r="M89" t="s">
        <v>311</v>
      </c>
      <c r="N89" t="s">
        <v>11</v>
      </c>
      <c r="O89" t="s">
        <v>310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311</v>
      </c>
      <c r="AH89" t="s">
        <v>11</v>
      </c>
      <c r="AI89" t="s">
        <v>310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0</v>
      </c>
      <c r="AS89">
        <f>$H$89*$Y$89</f>
        <v>0</v>
      </c>
      <c r="AT89">
        <f>$H$89*$Z$89</f>
        <v>0</v>
      </c>
      <c r="AU89">
        <f>$H$89*$AA$89</f>
        <v>74.89</v>
      </c>
      <c r="AV89">
        <f>$H$89*$AB$89</f>
        <v>74.89</v>
      </c>
      <c r="AW89">
        <f>$H$89*$AC$89</f>
        <v>74.89</v>
      </c>
      <c r="AX89">
        <f>$H$89*$AD$89</f>
        <v>74.89</v>
      </c>
      <c r="AY89">
        <f>$H$89*$AE$89</f>
        <v>74.89</v>
      </c>
      <c r="AZ89">
        <f>$H$89*$AF$89</f>
        <v>74.89</v>
      </c>
    </row>
    <row r="90" spans="1:52" x14ac:dyDescent="0.25">
      <c r="A90">
        <v>138</v>
      </c>
      <c r="B90" t="s">
        <v>311</v>
      </c>
      <c r="C90" t="s">
        <v>375</v>
      </c>
      <c r="D90">
        <v>2</v>
      </c>
      <c r="E90">
        <v>77.86</v>
      </c>
      <c r="F90" t="s">
        <v>335</v>
      </c>
      <c r="G90">
        <v>38.93</v>
      </c>
      <c r="H90">
        <v>93.44</v>
      </c>
      <c r="I90" t="s">
        <v>330</v>
      </c>
      <c r="J90" t="s">
        <v>371</v>
      </c>
      <c r="K90" t="s">
        <v>622</v>
      </c>
      <c r="L90" t="s">
        <v>179</v>
      </c>
      <c r="M90" t="s">
        <v>311</v>
      </c>
      <c r="N90" t="s">
        <v>11</v>
      </c>
      <c r="O90" t="s">
        <v>310</v>
      </c>
      <c r="P90">
        <v>0</v>
      </c>
      <c r="Q90">
        <v>0</v>
      </c>
      <c r="R90">
        <v>0</v>
      </c>
      <c r="S90">
        <v>1</v>
      </c>
      <c r="T90">
        <v>1</v>
      </c>
      <c r="U90">
        <v>1</v>
      </c>
      <c r="V90">
        <v>1</v>
      </c>
      <c r="W90">
        <v>1</v>
      </c>
      <c r="X90">
        <v>1</v>
      </c>
      <c r="Y90">
        <v>1</v>
      </c>
      <c r="Z90">
        <v>1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311</v>
      </c>
      <c r="AH90" t="s">
        <v>11</v>
      </c>
      <c r="AI90" t="s">
        <v>310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93.44</v>
      </c>
      <c r="AN90">
        <f>$H$90*$T$90</f>
        <v>93.44</v>
      </c>
      <c r="AO90">
        <f>$H$90*$U$90</f>
        <v>93.44</v>
      </c>
      <c r="AP90">
        <f>$H$90*$V$90</f>
        <v>93.44</v>
      </c>
      <c r="AQ90">
        <f>$H$90*$W$90</f>
        <v>93.44</v>
      </c>
      <c r="AR90">
        <f>$H$90*$X$90</f>
        <v>93.44</v>
      </c>
      <c r="AS90">
        <f>$H$90*$Y$90</f>
        <v>93.44</v>
      </c>
      <c r="AT90">
        <f>$H$90*$Z$90</f>
        <v>93.44</v>
      </c>
      <c r="AU90">
        <f>$H$90*$AA$90</f>
        <v>93.44</v>
      </c>
      <c r="AV90">
        <f>$H$90*$AB$90</f>
        <v>93.44</v>
      </c>
      <c r="AW90">
        <f>$H$90*$AC$90</f>
        <v>93.44</v>
      </c>
      <c r="AX90">
        <f>$H$90*$AD$90</f>
        <v>93.44</v>
      </c>
      <c r="AY90">
        <f>$H$90*$AE$90</f>
        <v>93.44</v>
      </c>
      <c r="AZ90">
        <f>$H$90*$AF$90</f>
        <v>93.44</v>
      </c>
    </row>
    <row r="91" spans="1:52" x14ac:dyDescent="0.25">
      <c r="A91">
        <v>139</v>
      </c>
      <c r="B91" t="s">
        <v>311</v>
      </c>
      <c r="C91" t="s">
        <v>373</v>
      </c>
      <c r="D91">
        <v>2</v>
      </c>
      <c r="E91">
        <v>62.72</v>
      </c>
      <c r="F91" t="s">
        <v>335</v>
      </c>
      <c r="G91">
        <v>31.36</v>
      </c>
      <c r="H91">
        <v>75.260000000000005</v>
      </c>
      <c r="I91" t="s">
        <v>330</v>
      </c>
      <c r="J91" t="s">
        <v>374</v>
      </c>
      <c r="K91" t="s">
        <v>621</v>
      </c>
      <c r="L91" t="s">
        <v>179</v>
      </c>
      <c r="M91" t="s">
        <v>311</v>
      </c>
      <c r="N91" t="s">
        <v>11</v>
      </c>
      <c r="O91" t="s">
        <v>310</v>
      </c>
      <c r="P91">
        <v>0</v>
      </c>
      <c r="Q91">
        <v>0</v>
      </c>
      <c r="R91">
        <v>0</v>
      </c>
      <c r="S91">
        <v>1</v>
      </c>
      <c r="T91">
        <v>1</v>
      </c>
      <c r="U91">
        <v>1</v>
      </c>
      <c r="V91">
        <v>1</v>
      </c>
      <c r="W91">
        <v>1</v>
      </c>
      <c r="X91">
        <v>1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311</v>
      </c>
      <c r="AH91" t="s">
        <v>11</v>
      </c>
      <c r="AI91" t="s">
        <v>310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75.260000000000005</v>
      </c>
      <c r="AN91">
        <f>$H$91*$T$91</f>
        <v>75.260000000000005</v>
      </c>
      <c r="AO91">
        <f>$H$91*$U$91</f>
        <v>75.260000000000005</v>
      </c>
      <c r="AP91">
        <f>$H$91*$V$91</f>
        <v>75.260000000000005</v>
      </c>
      <c r="AQ91">
        <f>$H$91*$W$91</f>
        <v>75.260000000000005</v>
      </c>
      <c r="AR91">
        <f>$H$91*$X$91</f>
        <v>75.260000000000005</v>
      </c>
      <c r="AS91">
        <f>$H$91*$Y$91</f>
        <v>75.260000000000005</v>
      </c>
      <c r="AT91">
        <f>$H$91*$Z$91</f>
        <v>75.260000000000005</v>
      </c>
      <c r="AU91">
        <f>$H$91*$AA$91</f>
        <v>75.260000000000005</v>
      </c>
      <c r="AV91">
        <f>$H$91*$AB$91</f>
        <v>75.260000000000005</v>
      </c>
      <c r="AW91">
        <f>$H$91*$AC$91</f>
        <v>75.260000000000005</v>
      </c>
      <c r="AX91">
        <f>$H$91*$AD$91</f>
        <v>75.260000000000005</v>
      </c>
      <c r="AY91">
        <f>$H$91*$AE$91</f>
        <v>75.260000000000005</v>
      </c>
      <c r="AZ91">
        <f>$H$91*$AF$91</f>
        <v>75.260000000000005</v>
      </c>
    </row>
    <row r="92" spans="1:52" x14ac:dyDescent="0.25">
      <c r="A92">
        <v>140</v>
      </c>
      <c r="B92" t="s">
        <v>311</v>
      </c>
      <c r="C92" t="s">
        <v>370</v>
      </c>
      <c r="D92">
        <v>1</v>
      </c>
      <c r="E92">
        <v>366.18</v>
      </c>
      <c r="F92" t="s">
        <v>335</v>
      </c>
      <c r="G92">
        <v>366.18</v>
      </c>
      <c r="H92">
        <v>439.42</v>
      </c>
      <c r="I92" t="s">
        <v>371</v>
      </c>
      <c r="J92" t="s">
        <v>372</v>
      </c>
      <c r="K92" t="s">
        <v>620</v>
      </c>
      <c r="L92" t="s">
        <v>179</v>
      </c>
      <c r="M92" t="s">
        <v>311</v>
      </c>
      <c r="N92" t="s">
        <v>11</v>
      </c>
      <c r="O92" t="s">
        <v>310</v>
      </c>
      <c r="P92">
        <v>0</v>
      </c>
      <c r="Q92">
        <v>0</v>
      </c>
      <c r="R92">
        <v>0</v>
      </c>
      <c r="S92">
        <v>0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311</v>
      </c>
      <c r="AH92" t="s">
        <v>11</v>
      </c>
      <c r="AI92" t="s">
        <v>310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439.42</v>
      </c>
      <c r="AO92">
        <f>$H$92*$U$92</f>
        <v>439.42</v>
      </c>
      <c r="AP92">
        <f>$H$92*$V$92</f>
        <v>439.42</v>
      </c>
      <c r="AQ92">
        <f>$H$92*$W$92</f>
        <v>439.42</v>
      </c>
      <c r="AR92">
        <f>$H$92*$X$92</f>
        <v>439.42</v>
      </c>
      <c r="AS92">
        <f>$H$92*$Y$92</f>
        <v>439.42</v>
      </c>
      <c r="AT92">
        <f>$H$92*$Z$92</f>
        <v>439.42</v>
      </c>
      <c r="AU92">
        <f>$H$92*$AA$92</f>
        <v>439.42</v>
      </c>
      <c r="AV92">
        <f>$H$92*$AB$92</f>
        <v>439.42</v>
      </c>
      <c r="AW92">
        <f>$H$92*$AC$92</f>
        <v>439.42</v>
      </c>
      <c r="AX92">
        <f>$H$92*$AD$92</f>
        <v>439.42</v>
      </c>
      <c r="AY92">
        <f>$H$92*$AE$92</f>
        <v>439.42</v>
      </c>
      <c r="AZ92">
        <f>$H$92*$AF$92</f>
        <v>439.42</v>
      </c>
    </row>
    <row r="93" spans="1:52" x14ac:dyDescent="0.25">
      <c r="A93">
        <v>141</v>
      </c>
      <c r="B93" t="s">
        <v>311</v>
      </c>
      <c r="C93" t="s">
        <v>438</v>
      </c>
      <c r="D93">
        <v>17.329999999999998</v>
      </c>
      <c r="E93">
        <v>45.4</v>
      </c>
      <c r="F93" t="s">
        <v>329</v>
      </c>
      <c r="G93">
        <v>2.62</v>
      </c>
      <c r="H93">
        <v>54.48</v>
      </c>
      <c r="I93" t="s">
        <v>439</v>
      </c>
      <c r="J93" t="s">
        <v>440</v>
      </c>
      <c r="K93" t="s">
        <v>654</v>
      </c>
      <c r="L93" t="s">
        <v>179</v>
      </c>
      <c r="M93" t="s">
        <v>311</v>
      </c>
      <c r="N93" t="s">
        <v>11</v>
      </c>
      <c r="O93" t="s">
        <v>310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311</v>
      </c>
      <c r="AH93" t="s">
        <v>11</v>
      </c>
      <c r="AI93" t="s">
        <v>310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0</v>
      </c>
      <c r="AT93">
        <f>$H$93*$Z$93</f>
        <v>0</v>
      </c>
      <c r="AU93">
        <f>$H$93*$AA$93</f>
        <v>54.48</v>
      </c>
      <c r="AV93">
        <f>$H$93*$AB$93</f>
        <v>54.48</v>
      </c>
      <c r="AW93">
        <f>$H$93*$AC$93</f>
        <v>54.48</v>
      </c>
      <c r="AX93">
        <f>$H$93*$AD$93</f>
        <v>54.48</v>
      </c>
      <c r="AY93">
        <f>$H$93*$AE$93</f>
        <v>54.48</v>
      </c>
      <c r="AZ93">
        <f>$H$93*$AF$93</f>
        <v>54.48</v>
      </c>
    </row>
    <row r="94" spans="1:52" x14ac:dyDescent="0.25">
      <c r="A94">
        <v>142</v>
      </c>
      <c r="B94" t="s">
        <v>311</v>
      </c>
      <c r="C94" t="s">
        <v>441</v>
      </c>
      <c r="D94">
        <v>156</v>
      </c>
      <c r="E94">
        <v>336.96</v>
      </c>
      <c r="F94" t="s">
        <v>349</v>
      </c>
      <c r="G94">
        <v>2.16</v>
      </c>
      <c r="H94">
        <v>404.36</v>
      </c>
      <c r="I94" t="s">
        <v>439</v>
      </c>
      <c r="J94" t="s">
        <v>442</v>
      </c>
      <c r="K94" t="s">
        <v>655</v>
      </c>
      <c r="L94" t="s">
        <v>179</v>
      </c>
      <c r="M94" t="s">
        <v>311</v>
      </c>
      <c r="N94" t="s">
        <v>11</v>
      </c>
      <c r="O94" t="s">
        <v>310</v>
      </c>
      <c r="P94">
        <v>0</v>
      </c>
      <c r="Q94">
        <v>0</v>
      </c>
      <c r="R94">
        <v>0</v>
      </c>
      <c r="S94">
        <v>1</v>
      </c>
      <c r="T94">
        <v>1</v>
      </c>
      <c r="U94">
        <v>1</v>
      </c>
      <c r="V94">
        <v>1</v>
      </c>
      <c r="W94">
        <v>1</v>
      </c>
      <c r="X94">
        <v>1</v>
      </c>
      <c r="Y94">
        <v>1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311</v>
      </c>
      <c r="AH94" t="s">
        <v>11</v>
      </c>
      <c r="AI94" t="s">
        <v>310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404.36</v>
      </c>
      <c r="AN94">
        <f>$H$94*$T$94</f>
        <v>404.36</v>
      </c>
      <c r="AO94">
        <f>$H$94*$U$94</f>
        <v>404.36</v>
      </c>
      <c r="AP94">
        <f>$H$94*$V$94</f>
        <v>404.36</v>
      </c>
      <c r="AQ94">
        <f>$H$94*$W$94</f>
        <v>404.36</v>
      </c>
      <c r="AR94">
        <f>$H$94*$X$94</f>
        <v>404.36</v>
      </c>
      <c r="AS94">
        <f>$H$94*$Y$94</f>
        <v>404.36</v>
      </c>
      <c r="AT94">
        <f>$H$94*$Z$94</f>
        <v>404.36</v>
      </c>
      <c r="AU94">
        <f>$H$94*$AA$94</f>
        <v>404.36</v>
      </c>
      <c r="AV94">
        <f>$H$94*$AB$94</f>
        <v>404.36</v>
      </c>
      <c r="AW94">
        <f>$H$94*$AC$94</f>
        <v>404.36</v>
      </c>
      <c r="AX94">
        <f>$H$94*$AD$94</f>
        <v>404.36</v>
      </c>
      <c r="AY94">
        <f>$H$94*$AE$94</f>
        <v>404.36</v>
      </c>
      <c r="AZ94">
        <f>$H$94*$AF$94</f>
        <v>404.36</v>
      </c>
    </row>
    <row r="95" spans="1:52" x14ac:dyDescent="0.25">
      <c r="A95">
        <v>143</v>
      </c>
      <c r="B95" t="s">
        <v>311</v>
      </c>
      <c r="C95" t="s">
        <v>443</v>
      </c>
      <c r="D95">
        <v>156</v>
      </c>
      <c r="E95">
        <v>98.28</v>
      </c>
      <c r="F95" t="s">
        <v>349</v>
      </c>
      <c r="G95">
        <v>0.63</v>
      </c>
      <c r="H95">
        <v>117.94</v>
      </c>
      <c r="I95" t="s">
        <v>330</v>
      </c>
      <c r="J95" t="s">
        <v>444</v>
      </c>
      <c r="K95" t="s">
        <v>656</v>
      </c>
      <c r="L95" t="s">
        <v>179</v>
      </c>
      <c r="M95" t="s">
        <v>311</v>
      </c>
      <c r="N95" t="s">
        <v>11</v>
      </c>
      <c r="O95" t="s">
        <v>310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1</v>
      </c>
      <c r="AE95">
        <v>1</v>
      </c>
      <c r="AF95">
        <v>1</v>
      </c>
      <c r="AG95" t="s">
        <v>311</v>
      </c>
      <c r="AH95" t="s">
        <v>11</v>
      </c>
      <c r="AI95" t="s">
        <v>310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0</v>
      </c>
      <c r="AT95">
        <f>$H$95*$Z$95</f>
        <v>0</v>
      </c>
      <c r="AU95">
        <f>$H$95*$AA$95</f>
        <v>0</v>
      </c>
      <c r="AV95">
        <f>$H$95*$AB$95</f>
        <v>0</v>
      </c>
      <c r="AW95">
        <f>$H$95*$AC$95</f>
        <v>0</v>
      </c>
      <c r="AX95">
        <f>$H$95*$AD$95</f>
        <v>117.94</v>
      </c>
      <c r="AY95">
        <f>$H$95*$AE$95</f>
        <v>117.94</v>
      </c>
      <c r="AZ95">
        <f>$H$95*$AF$95</f>
        <v>117.94</v>
      </c>
    </row>
    <row r="96" spans="1:52" x14ac:dyDescent="0.25">
      <c r="A96">
        <v>144</v>
      </c>
      <c r="B96" t="s">
        <v>311</v>
      </c>
      <c r="C96" t="s">
        <v>362</v>
      </c>
      <c r="D96">
        <v>195</v>
      </c>
      <c r="E96">
        <v>191.1</v>
      </c>
      <c r="F96" t="s">
        <v>349</v>
      </c>
      <c r="G96">
        <v>0.98</v>
      </c>
      <c r="H96">
        <v>229.32</v>
      </c>
      <c r="I96" t="s">
        <v>330</v>
      </c>
      <c r="J96" t="s">
        <v>363</v>
      </c>
      <c r="K96" t="s">
        <v>617</v>
      </c>
      <c r="L96" t="s">
        <v>179</v>
      </c>
      <c r="M96" t="s">
        <v>311</v>
      </c>
      <c r="N96" t="s">
        <v>11</v>
      </c>
      <c r="O96" t="s">
        <v>310</v>
      </c>
      <c r="P96">
        <v>0</v>
      </c>
      <c r="Q96">
        <v>0</v>
      </c>
      <c r="R96">
        <v>0</v>
      </c>
      <c r="S96">
        <v>0</v>
      </c>
      <c r="T96">
        <v>1</v>
      </c>
      <c r="U96">
        <v>1</v>
      </c>
      <c r="V96">
        <v>1</v>
      </c>
      <c r="W96">
        <v>1</v>
      </c>
      <c r="X96">
        <v>1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311</v>
      </c>
      <c r="AH96" t="s">
        <v>11</v>
      </c>
      <c r="AI96" t="s">
        <v>310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229.32</v>
      </c>
      <c r="AO96">
        <f>$H$96*$U$96</f>
        <v>229.32</v>
      </c>
      <c r="AP96">
        <f>$H$96*$V$96</f>
        <v>229.32</v>
      </c>
      <c r="AQ96">
        <f>$H$96*$W$96</f>
        <v>229.32</v>
      </c>
      <c r="AR96">
        <f>$H$96*$X$96</f>
        <v>229.32</v>
      </c>
      <c r="AS96">
        <f>$H$96*$Y$96</f>
        <v>229.32</v>
      </c>
      <c r="AT96">
        <f>$H$96*$Z$96</f>
        <v>229.32</v>
      </c>
      <c r="AU96">
        <f>$H$96*$AA$96</f>
        <v>229.32</v>
      </c>
      <c r="AV96">
        <f>$H$96*$AB$96</f>
        <v>229.32</v>
      </c>
      <c r="AW96">
        <f>$H$96*$AC$96</f>
        <v>229.32</v>
      </c>
      <c r="AX96">
        <f>$H$96*$AD$96</f>
        <v>229.32</v>
      </c>
      <c r="AY96">
        <f>$H$96*$AE$96</f>
        <v>229.32</v>
      </c>
      <c r="AZ96">
        <f>$H$96*$AF$96</f>
        <v>229.32</v>
      </c>
    </row>
    <row r="97" spans="1:52" x14ac:dyDescent="0.25">
      <c r="A97">
        <v>145</v>
      </c>
      <c r="B97" t="s">
        <v>311</v>
      </c>
      <c r="C97" t="s">
        <v>445</v>
      </c>
      <c r="D97">
        <v>39</v>
      </c>
      <c r="E97">
        <v>146.63999999999999</v>
      </c>
      <c r="F97" t="s">
        <v>349</v>
      </c>
      <c r="G97">
        <v>3.76</v>
      </c>
      <c r="H97">
        <v>175.96</v>
      </c>
      <c r="I97" t="s">
        <v>446</v>
      </c>
      <c r="J97" t="s">
        <v>420</v>
      </c>
      <c r="K97" t="s">
        <v>657</v>
      </c>
      <c r="L97" t="s">
        <v>179</v>
      </c>
      <c r="M97" t="s">
        <v>311</v>
      </c>
      <c r="N97" t="s">
        <v>11</v>
      </c>
      <c r="O97" t="s">
        <v>310</v>
      </c>
      <c r="P97">
        <v>0</v>
      </c>
      <c r="Q97">
        <v>0</v>
      </c>
      <c r="R97">
        <v>0</v>
      </c>
      <c r="S97">
        <v>0.25</v>
      </c>
      <c r="T97">
        <v>0.25</v>
      </c>
      <c r="U97">
        <v>0.25</v>
      </c>
      <c r="V97">
        <v>0.25</v>
      </c>
      <c r="W97">
        <v>0.25</v>
      </c>
      <c r="X97">
        <v>0.5</v>
      </c>
      <c r="Y97">
        <v>0.5</v>
      </c>
      <c r="Z97">
        <v>0.5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311</v>
      </c>
      <c r="AH97" t="s">
        <v>11</v>
      </c>
      <c r="AI97" t="s">
        <v>310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43.99</v>
      </c>
      <c r="AN97">
        <f>$H$97*$T$97</f>
        <v>43.99</v>
      </c>
      <c r="AO97">
        <f>$H$97*$U$97</f>
        <v>43.99</v>
      </c>
      <c r="AP97">
        <f>$H$97*$V$97</f>
        <v>43.99</v>
      </c>
      <c r="AQ97">
        <f>$H$97*$W$97</f>
        <v>43.99</v>
      </c>
      <c r="AR97">
        <f>$H$97*$X$97</f>
        <v>87.98</v>
      </c>
      <c r="AS97">
        <f>$H$97*$Y$97</f>
        <v>87.98</v>
      </c>
      <c r="AT97">
        <f>$H$97*$Z$97</f>
        <v>87.98</v>
      </c>
      <c r="AU97">
        <f>$H$97*$AA$97</f>
        <v>175.96</v>
      </c>
      <c r="AV97">
        <f>$H$97*$AB$97</f>
        <v>175.96</v>
      </c>
      <c r="AW97">
        <f>$H$97*$AC$97</f>
        <v>175.96</v>
      </c>
      <c r="AX97">
        <f>$H$97*$AD$97</f>
        <v>175.96</v>
      </c>
      <c r="AY97">
        <f>$H$97*$AE$97</f>
        <v>175.96</v>
      </c>
      <c r="AZ97">
        <f>$H$97*$AF$97</f>
        <v>175.96</v>
      </c>
    </row>
    <row r="98" spans="1:52" x14ac:dyDescent="0.25">
      <c r="A98">
        <v>146</v>
      </c>
      <c r="B98" t="s">
        <v>311</v>
      </c>
      <c r="C98" t="s">
        <v>364</v>
      </c>
      <c r="D98">
        <v>390</v>
      </c>
      <c r="E98">
        <v>1310.4000000000001</v>
      </c>
      <c r="F98" t="s">
        <v>349</v>
      </c>
      <c r="G98">
        <v>3.36</v>
      </c>
      <c r="H98">
        <v>1572.48</v>
      </c>
      <c r="I98" t="s">
        <v>365</v>
      </c>
      <c r="J98" t="s">
        <v>366</v>
      </c>
      <c r="K98" t="s">
        <v>618</v>
      </c>
      <c r="L98" t="s">
        <v>179</v>
      </c>
      <c r="M98" t="s">
        <v>311</v>
      </c>
      <c r="N98" t="s">
        <v>11</v>
      </c>
      <c r="O98" t="s">
        <v>310</v>
      </c>
      <c r="P98">
        <v>0</v>
      </c>
      <c r="Q98">
        <v>0</v>
      </c>
      <c r="R98">
        <v>0</v>
      </c>
      <c r="S98">
        <v>0.25</v>
      </c>
      <c r="T98">
        <v>0.25</v>
      </c>
      <c r="U98">
        <v>0.25</v>
      </c>
      <c r="V98">
        <v>0.25</v>
      </c>
      <c r="W98">
        <v>0.5</v>
      </c>
      <c r="X98">
        <v>0.5</v>
      </c>
      <c r="Y98">
        <v>0.5</v>
      </c>
      <c r="Z98">
        <v>0.5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311</v>
      </c>
      <c r="AH98" t="s">
        <v>11</v>
      </c>
      <c r="AI98" t="s">
        <v>310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393.12</v>
      </c>
      <c r="AN98">
        <f>$H$98*$T$98</f>
        <v>393.12</v>
      </c>
      <c r="AO98">
        <f>$H$98*$U$98</f>
        <v>393.12</v>
      </c>
      <c r="AP98">
        <f>$H$98*$V$98</f>
        <v>393.12</v>
      </c>
      <c r="AQ98">
        <f>$H$98*$W$98</f>
        <v>786.24</v>
      </c>
      <c r="AR98">
        <f>$H$98*$X$98</f>
        <v>786.24</v>
      </c>
      <c r="AS98">
        <f>$H$98*$Y$98</f>
        <v>786.24</v>
      </c>
      <c r="AT98">
        <f>$H$98*$Z$98</f>
        <v>786.24</v>
      </c>
      <c r="AU98">
        <f>$H$98*$AA$98</f>
        <v>1572.48</v>
      </c>
      <c r="AV98">
        <f>$H$98*$AB$98</f>
        <v>1572.48</v>
      </c>
      <c r="AW98">
        <f>$H$98*$AC$98</f>
        <v>1572.48</v>
      </c>
      <c r="AX98">
        <f>$H$98*$AD$98</f>
        <v>1572.48</v>
      </c>
      <c r="AY98">
        <f>$H$98*$AE$98</f>
        <v>1572.48</v>
      </c>
      <c r="AZ98">
        <f>$H$98*$AF$98</f>
        <v>1572.48</v>
      </c>
    </row>
    <row r="99" spans="1:52" x14ac:dyDescent="0.25">
      <c r="A99">
        <v>147</v>
      </c>
      <c r="B99" t="s">
        <v>311</v>
      </c>
      <c r="C99" t="s">
        <v>455</v>
      </c>
      <c r="D99">
        <v>43.33</v>
      </c>
      <c r="E99">
        <v>65.430000000000007</v>
      </c>
      <c r="F99" t="s">
        <v>329</v>
      </c>
      <c r="G99">
        <v>1.51</v>
      </c>
      <c r="H99">
        <v>78.510000000000005</v>
      </c>
      <c r="I99" t="s">
        <v>330</v>
      </c>
      <c r="J99" t="s">
        <v>456</v>
      </c>
      <c r="K99" t="s">
        <v>662</v>
      </c>
      <c r="L99" t="s">
        <v>179</v>
      </c>
      <c r="M99" t="s">
        <v>311</v>
      </c>
      <c r="N99" t="s">
        <v>11</v>
      </c>
      <c r="O99" t="s">
        <v>310</v>
      </c>
      <c r="P99">
        <v>0</v>
      </c>
      <c r="Q99">
        <v>0</v>
      </c>
      <c r="R99">
        <v>0</v>
      </c>
      <c r="S99">
        <v>1</v>
      </c>
      <c r="T99">
        <v>1</v>
      </c>
      <c r="U99">
        <v>1</v>
      </c>
      <c r="V99">
        <v>1</v>
      </c>
      <c r="W99">
        <v>1</v>
      </c>
      <c r="X99">
        <v>1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311</v>
      </c>
      <c r="AH99" t="s">
        <v>11</v>
      </c>
      <c r="AI99" t="s">
        <v>310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78.510000000000005</v>
      </c>
      <c r="AN99">
        <f>$H$99*$T$99</f>
        <v>78.510000000000005</v>
      </c>
      <c r="AO99">
        <f>$H$99*$U$99</f>
        <v>78.510000000000005</v>
      </c>
      <c r="AP99">
        <f>$H$99*$V$99</f>
        <v>78.510000000000005</v>
      </c>
      <c r="AQ99">
        <f>$H$99*$W$99</f>
        <v>78.510000000000005</v>
      </c>
      <c r="AR99">
        <f>$H$99*$X$99</f>
        <v>78.510000000000005</v>
      </c>
      <c r="AS99">
        <f>$H$99*$Y$99</f>
        <v>78.510000000000005</v>
      </c>
      <c r="AT99">
        <f>$H$99*$Z$99</f>
        <v>78.510000000000005</v>
      </c>
      <c r="AU99">
        <f>$H$99*$AA$99</f>
        <v>78.510000000000005</v>
      </c>
      <c r="AV99">
        <f>$H$99*$AB$99</f>
        <v>78.510000000000005</v>
      </c>
      <c r="AW99">
        <f>$H$99*$AC$99</f>
        <v>78.510000000000005</v>
      </c>
      <c r="AX99">
        <f>$H$99*$AD$99</f>
        <v>78.510000000000005</v>
      </c>
      <c r="AY99">
        <f>$H$99*$AE$99</f>
        <v>78.510000000000005</v>
      </c>
      <c r="AZ99">
        <f>$H$99*$AF$99</f>
        <v>78.510000000000005</v>
      </c>
    </row>
    <row r="100" spans="1:52" x14ac:dyDescent="0.25">
      <c r="A100">
        <v>148</v>
      </c>
      <c r="B100" t="s">
        <v>311</v>
      </c>
      <c r="C100" t="s">
        <v>457</v>
      </c>
      <c r="D100">
        <v>43.33</v>
      </c>
      <c r="E100">
        <v>246.11</v>
      </c>
      <c r="F100" t="s">
        <v>329</v>
      </c>
      <c r="G100">
        <v>5.68</v>
      </c>
      <c r="H100">
        <v>295.33</v>
      </c>
      <c r="I100" t="s">
        <v>333</v>
      </c>
      <c r="J100" t="s">
        <v>458</v>
      </c>
      <c r="K100" t="s">
        <v>663</v>
      </c>
      <c r="L100" t="s">
        <v>179</v>
      </c>
      <c r="M100" t="s">
        <v>311</v>
      </c>
      <c r="N100" t="s">
        <v>11</v>
      </c>
      <c r="O100" t="s">
        <v>310</v>
      </c>
      <c r="P100">
        <v>0</v>
      </c>
      <c r="Q100">
        <v>0</v>
      </c>
      <c r="R100">
        <v>0</v>
      </c>
      <c r="S100">
        <v>1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311</v>
      </c>
      <c r="AH100" t="s">
        <v>11</v>
      </c>
      <c r="AI100" t="s">
        <v>310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295.33</v>
      </c>
      <c r="AN100">
        <f>$H$100*$T$100</f>
        <v>295.33</v>
      </c>
      <c r="AO100">
        <f>$H$100*$U$100</f>
        <v>295.33</v>
      </c>
      <c r="AP100">
        <f>$H$100*$V$100</f>
        <v>295.33</v>
      </c>
      <c r="AQ100">
        <f>$H$100*$W$100</f>
        <v>295.33</v>
      </c>
      <c r="AR100">
        <f>$H$100*$X$100</f>
        <v>295.33</v>
      </c>
      <c r="AS100">
        <f>$H$100*$Y$100</f>
        <v>295.33</v>
      </c>
      <c r="AT100">
        <f>$H$100*$Z$100</f>
        <v>295.33</v>
      </c>
      <c r="AU100">
        <f>$H$100*$AA$100</f>
        <v>295.33</v>
      </c>
      <c r="AV100">
        <f>$H$100*$AB$100</f>
        <v>295.33</v>
      </c>
      <c r="AW100">
        <f>$H$100*$AC$100</f>
        <v>295.33</v>
      </c>
      <c r="AX100">
        <f>$H$100*$AD$100</f>
        <v>295.33</v>
      </c>
      <c r="AY100">
        <f>$H$100*$AE$100</f>
        <v>295.33</v>
      </c>
      <c r="AZ100">
        <f>$H$100*$AF$100</f>
        <v>295.33</v>
      </c>
    </row>
    <row r="101" spans="1:52" x14ac:dyDescent="0.25">
      <c r="A101">
        <v>149</v>
      </c>
      <c r="B101" t="s">
        <v>311</v>
      </c>
      <c r="C101" t="s">
        <v>364</v>
      </c>
      <c r="D101">
        <v>116.36</v>
      </c>
      <c r="E101">
        <v>390.97</v>
      </c>
      <c r="F101" t="s">
        <v>349</v>
      </c>
      <c r="G101">
        <v>3.36</v>
      </c>
      <c r="H101">
        <v>469.17</v>
      </c>
      <c r="I101" t="s">
        <v>365</v>
      </c>
      <c r="J101" t="s">
        <v>366</v>
      </c>
      <c r="K101" t="s">
        <v>618</v>
      </c>
      <c r="L101" t="s">
        <v>179</v>
      </c>
      <c r="M101" t="s">
        <v>311</v>
      </c>
      <c r="N101" t="s">
        <v>11</v>
      </c>
      <c r="O101" t="s">
        <v>310</v>
      </c>
      <c r="P101">
        <v>0</v>
      </c>
      <c r="Q101">
        <v>0</v>
      </c>
      <c r="R101">
        <v>0</v>
      </c>
      <c r="S101">
        <v>0.25</v>
      </c>
      <c r="T101">
        <v>0.25</v>
      </c>
      <c r="U101">
        <v>0.25</v>
      </c>
      <c r="V101">
        <v>0.25</v>
      </c>
      <c r="W101">
        <v>0.5</v>
      </c>
      <c r="X101">
        <v>0.5</v>
      </c>
      <c r="Y101">
        <v>0.5</v>
      </c>
      <c r="Z101">
        <v>0.5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311</v>
      </c>
      <c r="AH101" t="s">
        <v>11</v>
      </c>
      <c r="AI101" t="s">
        <v>310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117.2925</v>
      </c>
      <c r="AN101">
        <f>$H$101*$T$101</f>
        <v>117.2925</v>
      </c>
      <c r="AO101">
        <f>$H$101*$U$101</f>
        <v>117.2925</v>
      </c>
      <c r="AP101">
        <f>$H$101*$V$101</f>
        <v>117.2925</v>
      </c>
      <c r="AQ101">
        <f>$H$101*$W$101</f>
        <v>234.58500000000001</v>
      </c>
      <c r="AR101">
        <f>$H$101*$X$101</f>
        <v>234.58500000000001</v>
      </c>
      <c r="AS101">
        <f>$H$101*$Y$101</f>
        <v>234.58500000000001</v>
      </c>
      <c r="AT101">
        <f>$H$101*$Z$101</f>
        <v>234.58500000000001</v>
      </c>
      <c r="AU101">
        <f>$H$101*$AA$101</f>
        <v>469.17</v>
      </c>
      <c r="AV101">
        <f>$H$101*$AB$101</f>
        <v>469.17</v>
      </c>
      <c r="AW101">
        <f>$H$101*$AC$101</f>
        <v>469.17</v>
      </c>
      <c r="AX101">
        <f>$H$101*$AD$101</f>
        <v>469.17</v>
      </c>
      <c r="AY101">
        <f>$H$101*$AE$101</f>
        <v>469.17</v>
      </c>
      <c r="AZ101">
        <f>$H$101*$AF$101</f>
        <v>469.17</v>
      </c>
    </row>
    <row r="102" spans="1:52" x14ac:dyDescent="0.25">
      <c r="A102">
        <v>150</v>
      </c>
      <c r="B102" t="s">
        <v>311</v>
      </c>
      <c r="C102" t="s">
        <v>443</v>
      </c>
      <c r="D102">
        <v>116.36</v>
      </c>
      <c r="E102">
        <v>73.31</v>
      </c>
      <c r="F102" t="s">
        <v>349</v>
      </c>
      <c r="G102">
        <v>0.63</v>
      </c>
      <c r="H102">
        <v>87.97</v>
      </c>
      <c r="I102" t="s">
        <v>330</v>
      </c>
      <c r="J102" t="s">
        <v>444</v>
      </c>
      <c r="K102" t="s">
        <v>656</v>
      </c>
      <c r="L102" t="s">
        <v>179</v>
      </c>
      <c r="M102" t="s">
        <v>311</v>
      </c>
      <c r="N102" t="s">
        <v>11</v>
      </c>
      <c r="O102" t="s">
        <v>310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1</v>
      </c>
      <c r="AE102">
        <v>1</v>
      </c>
      <c r="AF102">
        <v>1</v>
      </c>
      <c r="AG102" t="s">
        <v>311</v>
      </c>
      <c r="AH102" t="s">
        <v>11</v>
      </c>
      <c r="AI102" t="s">
        <v>310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0</v>
      </c>
      <c r="AT102">
        <f>$H$102*$Z$102</f>
        <v>0</v>
      </c>
      <c r="AU102">
        <f>$H$102*$AA$102</f>
        <v>0</v>
      </c>
      <c r="AV102">
        <f>$H$102*$AB$102</f>
        <v>0</v>
      </c>
      <c r="AW102">
        <f>$H$102*$AC$102</f>
        <v>0</v>
      </c>
      <c r="AX102">
        <f>$H$102*$AD$102</f>
        <v>87.97</v>
      </c>
      <c r="AY102">
        <f>$H$102*$AE$102</f>
        <v>87.97</v>
      </c>
      <c r="AZ102">
        <f>$H$102*$AF$102</f>
        <v>87.97</v>
      </c>
    </row>
    <row r="103" spans="1:52" x14ac:dyDescent="0.25">
      <c r="A103">
        <v>151</v>
      </c>
      <c r="B103" t="s">
        <v>311</v>
      </c>
      <c r="C103" t="s">
        <v>459</v>
      </c>
      <c r="D103">
        <v>116.36</v>
      </c>
      <c r="E103">
        <v>80.290000000000006</v>
      </c>
      <c r="F103" t="s">
        <v>349</v>
      </c>
      <c r="G103">
        <v>0.69</v>
      </c>
      <c r="H103">
        <v>96.35</v>
      </c>
      <c r="I103" t="s">
        <v>330</v>
      </c>
      <c r="J103" t="s">
        <v>460</v>
      </c>
      <c r="K103" t="s">
        <v>664</v>
      </c>
      <c r="L103" t="s">
        <v>179</v>
      </c>
      <c r="M103" t="s">
        <v>311</v>
      </c>
      <c r="N103" t="s">
        <v>11</v>
      </c>
      <c r="O103" t="s">
        <v>310</v>
      </c>
      <c r="P103">
        <v>0</v>
      </c>
      <c r="Q103">
        <v>0</v>
      </c>
      <c r="R103">
        <v>0</v>
      </c>
      <c r="S103">
        <v>1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311</v>
      </c>
      <c r="AH103" t="s">
        <v>11</v>
      </c>
      <c r="AI103" t="s">
        <v>310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96.35</v>
      </c>
      <c r="AN103">
        <f>$H$103*$T$103</f>
        <v>96.35</v>
      </c>
      <c r="AO103">
        <f>$H$103*$U$103</f>
        <v>96.35</v>
      </c>
      <c r="AP103">
        <f>$H$103*$V$103</f>
        <v>96.35</v>
      </c>
      <c r="AQ103">
        <f>$H$103*$W$103</f>
        <v>96.35</v>
      </c>
      <c r="AR103">
        <f>$H$103*$X$103</f>
        <v>96.35</v>
      </c>
      <c r="AS103">
        <f>$H$103*$Y$103</f>
        <v>96.35</v>
      </c>
      <c r="AT103">
        <f>$H$103*$Z$103</f>
        <v>96.35</v>
      </c>
      <c r="AU103">
        <f>$H$103*$AA$103</f>
        <v>96.35</v>
      </c>
      <c r="AV103">
        <f>$H$103*$AB$103</f>
        <v>96.35</v>
      </c>
      <c r="AW103">
        <f>$H$103*$AC$103</f>
        <v>96.35</v>
      </c>
      <c r="AX103">
        <f>$H$103*$AD$103</f>
        <v>96.35</v>
      </c>
      <c r="AY103">
        <f>$H$103*$AE$103</f>
        <v>96.35</v>
      </c>
      <c r="AZ103">
        <f>$H$103*$AF$103</f>
        <v>96.35</v>
      </c>
    </row>
    <row r="104" spans="1:52" x14ac:dyDescent="0.25">
      <c r="A104">
        <v>152</v>
      </c>
      <c r="B104" t="s">
        <v>311</v>
      </c>
      <c r="C104" t="s">
        <v>461</v>
      </c>
      <c r="D104">
        <v>23.27</v>
      </c>
      <c r="E104">
        <v>403.73</v>
      </c>
      <c r="F104" t="s">
        <v>349</v>
      </c>
      <c r="G104">
        <v>17.350000000000001</v>
      </c>
      <c r="H104">
        <v>484.47</v>
      </c>
      <c r="I104" t="s">
        <v>462</v>
      </c>
      <c r="J104" t="s">
        <v>463</v>
      </c>
      <c r="K104" t="s">
        <v>665</v>
      </c>
      <c r="L104" t="s">
        <v>179</v>
      </c>
      <c r="M104" t="s">
        <v>311</v>
      </c>
      <c r="N104" t="s">
        <v>11</v>
      </c>
      <c r="O104" t="s">
        <v>310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311</v>
      </c>
      <c r="AH104" t="s">
        <v>11</v>
      </c>
      <c r="AI104" t="s">
        <v>310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0</v>
      </c>
      <c r="AN104">
        <f>$H$104*$T$104</f>
        <v>0</v>
      </c>
      <c r="AO104">
        <f>$H$104*$U$104</f>
        <v>0</v>
      </c>
      <c r="AP104">
        <f>$H$104*$V$104</f>
        <v>0</v>
      </c>
      <c r="AQ104">
        <f>$H$104*$W$104</f>
        <v>0</v>
      </c>
      <c r="AR104">
        <f>$H$104*$X$104</f>
        <v>0</v>
      </c>
      <c r="AS104">
        <f>$H$104*$Y$104</f>
        <v>484.47</v>
      </c>
      <c r="AT104">
        <f>$H$104*$Z$104</f>
        <v>484.47</v>
      </c>
      <c r="AU104">
        <f>$H$104*$AA$104</f>
        <v>484.47</v>
      </c>
      <c r="AV104">
        <f>$H$104*$AB$104</f>
        <v>484.47</v>
      </c>
      <c r="AW104">
        <f>$H$104*$AC$104</f>
        <v>484.47</v>
      </c>
      <c r="AX104">
        <f>$H$104*$AD$104</f>
        <v>484.47</v>
      </c>
      <c r="AY104">
        <f>$H$104*$AE$104</f>
        <v>484.47</v>
      </c>
      <c r="AZ104">
        <f>$H$104*$AF$104</f>
        <v>484.47</v>
      </c>
    </row>
    <row r="105" spans="1:52" x14ac:dyDescent="0.25">
      <c r="A105">
        <v>153</v>
      </c>
      <c r="B105" t="s">
        <v>311</v>
      </c>
      <c r="C105" t="s">
        <v>464</v>
      </c>
      <c r="D105">
        <v>46.54</v>
      </c>
      <c r="E105">
        <v>166.61</v>
      </c>
      <c r="F105" t="s">
        <v>349</v>
      </c>
      <c r="G105">
        <v>3.58</v>
      </c>
      <c r="H105">
        <v>199.93</v>
      </c>
      <c r="I105" t="s">
        <v>465</v>
      </c>
      <c r="J105" t="s">
        <v>466</v>
      </c>
      <c r="K105" t="s">
        <v>666</v>
      </c>
      <c r="L105" t="s">
        <v>179</v>
      </c>
      <c r="M105" t="s">
        <v>311</v>
      </c>
      <c r="N105" t="s">
        <v>11</v>
      </c>
      <c r="O105" t="s">
        <v>310</v>
      </c>
      <c r="P105">
        <v>0</v>
      </c>
      <c r="Q105">
        <v>0</v>
      </c>
      <c r="R105">
        <v>0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311</v>
      </c>
      <c r="AH105" t="s">
        <v>11</v>
      </c>
      <c r="AI105" t="s">
        <v>310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199.93</v>
      </c>
      <c r="AN105">
        <f>$H$105*$T$105</f>
        <v>199.93</v>
      </c>
      <c r="AO105">
        <f>$H$105*$U$105</f>
        <v>199.93</v>
      </c>
      <c r="AP105">
        <f>$H$105*$V$105</f>
        <v>199.93</v>
      </c>
      <c r="AQ105">
        <f>$H$105*$W$105</f>
        <v>199.93</v>
      </c>
      <c r="AR105">
        <f>$H$105*$X$105</f>
        <v>199.93</v>
      </c>
      <c r="AS105">
        <f>$H$105*$Y$105</f>
        <v>199.93</v>
      </c>
      <c r="AT105">
        <f>$H$105*$Z$105</f>
        <v>199.93</v>
      </c>
      <c r="AU105">
        <f>$H$105*$AA$105</f>
        <v>199.93</v>
      </c>
      <c r="AV105">
        <f>$H$105*$AB$105</f>
        <v>199.93</v>
      </c>
      <c r="AW105">
        <f>$H$105*$AC$105</f>
        <v>199.93</v>
      </c>
      <c r="AX105">
        <f>$H$105*$AD$105</f>
        <v>199.93</v>
      </c>
      <c r="AY105">
        <f>$H$105*$AE$105</f>
        <v>199.93</v>
      </c>
      <c r="AZ105">
        <f>$H$105*$AF$105</f>
        <v>199.93</v>
      </c>
    </row>
    <row r="106" spans="1:52" x14ac:dyDescent="0.25">
      <c r="A106">
        <v>154</v>
      </c>
      <c r="B106" t="s">
        <v>311</v>
      </c>
      <c r="C106" t="s">
        <v>467</v>
      </c>
      <c r="D106">
        <v>46.54</v>
      </c>
      <c r="E106">
        <v>458.42</v>
      </c>
      <c r="F106" t="s">
        <v>349</v>
      </c>
      <c r="G106">
        <v>9.85</v>
      </c>
      <c r="H106">
        <v>550.1</v>
      </c>
      <c r="I106" t="s">
        <v>465</v>
      </c>
      <c r="J106" t="s">
        <v>372</v>
      </c>
      <c r="K106" t="s">
        <v>667</v>
      </c>
      <c r="L106" t="s">
        <v>179</v>
      </c>
      <c r="M106" t="s">
        <v>311</v>
      </c>
      <c r="N106" t="s">
        <v>11</v>
      </c>
      <c r="O106" t="s">
        <v>310</v>
      </c>
      <c r="P106">
        <v>0</v>
      </c>
      <c r="Q106">
        <v>0</v>
      </c>
      <c r="R106">
        <v>0</v>
      </c>
      <c r="S106">
        <v>1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311</v>
      </c>
      <c r="AH106" t="s">
        <v>11</v>
      </c>
      <c r="AI106" t="s">
        <v>310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550.1</v>
      </c>
      <c r="AN106">
        <f>$H$106*$T$106</f>
        <v>550.1</v>
      </c>
      <c r="AO106">
        <f>$H$106*$U$106</f>
        <v>550.1</v>
      </c>
      <c r="AP106">
        <f>$H$106*$V$106</f>
        <v>550.1</v>
      </c>
      <c r="AQ106">
        <f>$H$106*$W$106</f>
        <v>550.1</v>
      </c>
      <c r="AR106">
        <f>$H$106*$X$106</f>
        <v>550.1</v>
      </c>
      <c r="AS106">
        <f>$H$106*$Y$106</f>
        <v>550.1</v>
      </c>
      <c r="AT106">
        <f>$H$106*$Z$106</f>
        <v>550.1</v>
      </c>
      <c r="AU106">
        <f>$H$106*$AA$106</f>
        <v>550.1</v>
      </c>
      <c r="AV106">
        <f>$H$106*$AB$106</f>
        <v>550.1</v>
      </c>
      <c r="AW106">
        <f>$H$106*$AC$106</f>
        <v>550.1</v>
      </c>
      <c r="AX106">
        <f>$H$106*$AD$106</f>
        <v>550.1</v>
      </c>
      <c r="AY106">
        <f>$H$106*$AE$106</f>
        <v>550.1</v>
      </c>
      <c r="AZ106">
        <f>$H$106*$AF$106</f>
        <v>550.1</v>
      </c>
    </row>
    <row r="107" spans="1:52" x14ac:dyDescent="0.25">
      <c r="A107">
        <v>155</v>
      </c>
      <c r="B107" t="s">
        <v>311</v>
      </c>
      <c r="C107" t="s">
        <v>468</v>
      </c>
      <c r="D107">
        <v>53.53</v>
      </c>
      <c r="E107">
        <v>54.6</v>
      </c>
      <c r="F107" t="s">
        <v>349</v>
      </c>
      <c r="G107">
        <v>1.02</v>
      </c>
      <c r="H107">
        <v>65.52</v>
      </c>
      <c r="I107" t="s">
        <v>469</v>
      </c>
      <c r="J107" t="s">
        <v>470</v>
      </c>
      <c r="K107" t="s">
        <v>668</v>
      </c>
      <c r="L107" t="s">
        <v>179</v>
      </c>
      <c r="M107" t="s">
        <v>311</v>
      </c>
      <c r="N107" t="s">
        <v>11</v>
      </c>
      <c r="O107" t="s">
        <v>310</v>
      </c>
      <c r="P107">
        <v>0</v>
      </c>
      <c r="Q107">
        <v>0</v>
      </c>
      <c r="R107">
        <v>0</v>
      </c>
      <c r="S107">
        <v>1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311</v>
      </c>
      <c r="AH107" t="s">
        <v>11</v>
      </c>
      <c r="AI107" t="s">
        <v>310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65.52</v>
      </c>
      <c r="AN107">
        <f>$H$107*$T$107</f>
        <v>65.52</v>
      </c>
      <c r="AO107">
        <f>$H$107*$U$107</f>
        <v>65.52</v>
      </c>
      <c r="AP107">
        <f>$H$107*$V$107</f>
        <v>65.52</v>
      </c>
      <c r="AQ107">
        <f>$H$107*$W$107</f>
        <v>65.52</v>
      </c>
      <c r="AR107">
        <f>$H$107*$X$107</f>
        <v>65.52</v>
      </c>
      <c r="AS107">
        <f>$H$107*$Y$107</f>
        <v>65.52</v>
      </c>
      <c r="AT107">
        <f>$H$107*$Z$107</f>
        <v>65.52</v>
      </c>
      <c r="AU107">
        <f>$H$107*$AA$107</f>
        <v>65.52</v>
      </c>
      <c r="AV107">
        <f>$H$107*$AB$107</f>
        <v>65.52</v>
      </c>
      <c r="AW107">
        <f>$H$107*$AC$107</f>
        <v>65.52</v>
      </c>
      <c r="AX107">
        <f>$H$107*$AD$107</f>
        <v>65.52</v>
      </c>
      <c r="AY107">
        <f>$H$107*$AE$107</f>
        <v>65.52</v>
      </c>
      <c r="AZ107">
        <f>$H$107*$AF$107</f>
        <v>65.52</v>
      </c>
    </row>
    <row r="108" spans="1:52" x14ac:dyDescent="0.25">
      <c r="A108">
        <v>156</v>
      </c>
      <c r="B108" t="s">
        <v>311</v>
      </c>
      <c r="C108" t="s">
        <v>471</v>
      </c>
      <c r="D108">
        <v>53.53</v>
      </c>
      <c r="E108">
        <v>494.08</v>
      </c>
      <c r="F108" t="s">
        <v>349</v>
      </c>
      <c r="G108">
        <v>9.23</v>
      </c>
      <c r="H108">
        <v>592.9</v>
      </c>
      <c r="I108" t="s">
        <v>469</v>
      </c>
      <c r="J108" t="s">
        <v>463</v>
      </c>
      <c r="K108" t="s">
        <v>669</v>
      </c>
      <c r="L108" t="s">
        <v>179</v>
      </c>
      <c r="M108" t="s">
        <v>311</v>
      </c>
      <c r="N108" t="s">
        <v>11</v>
      </c>
      <c r="O108" t="s">
        <v>310</v>
      </c>
      <c r="P108">
        <v>0</v>
      </c>
      <c r="Q108">
        <v>0</v>
      </c>
      <c r="R108">
        <v>0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311</v>
      </c>
      <c r="AH108" t="s">
        <v>11</v>
      </c>
      <c r="AI108" t="s">
        <v>310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592.9</v>
      </c>
      <c r="AN108">
        <f>$H$108*$T$108</f>
        <v>592.9</v>
      </c>
      <c r="AO108">
        <f>$H$108*$U$108</f>
        <v>592.9</v>
      </c>
      <c r="AP108">
        <f>$H$108*$V$108</f>
        <v>592.9</v>
      </c>
      <c r="AQ108">
        <f>$H$108*$W$108</f>
        <v>592.9</v>
      </c>
      <c r="AR108">
        <f>$H$108*$X$108</f>
        <v>592.9</v>
      </c>
      <c r="AS108">
        <f>$H$108*$Y$108</f>
        <v>592.9</v>
      </c>
      <c r="AT108">
        <f>$H$108*$Z$108</f>
        <v>592.9</v>
      </c>
      <c r="AU108">
        <f>$H$108*$AA$108</f>
        <v>592.9</v>
      </c>
      <c r="AV108">
        <f>$H$108*$AB$108</f>
        <v>592.9</v>
      </c>
      <c r="AW108">
        <f>$H$108*$AC$108</f>
        <v>592.9</v>
      </c>
      <c r="AX108">
        <f>$H$108*$AD$108</f>
        <v>592.9</v>
      </c>
      <c r="AY108">
        <f>$H$108*$AE$108</f>
        <v>592.9</v>
      </c>
      <c r="AZ108">
        <f>$H$108*$AF$108</f>
        <v>592.9</v>
      </c>
    </row>
    <row r="109" spans="1:52" x14ac:dyDescent="0.25">
      <c r="A109">
        <v>157</v>
      </c>
      <c r="B109" t="s">
        <v>268</v>
      </c>
      <c r="C109" t="s">
        <v>474</v>
      </c>
      <c r="D109">
        <v>60</v>
      </c>
      <c r="E109">
        <v>5016.6000000000004</v>
      </c>
      <c r="F109" t="s">
        <v>349</v>
      </c>
      <c r="G109">
        <v>83.61</v>
      </c>
      <c r="H109">
        <v>6019.92</v>
      </c>
      <c r="I109" t="s">
        <v>475</v>
      </c>
      <c r="J109" t="s">
        <v>476</v>
      </c>
      <c r="K109" t="s">
        <v>671</v>
      </c>
      <c r="L109" t="s">
        <v>179</v>
      </c>
      <c r="M109" t="s">
        <v>268</v>
      </c>
      <c r="N109" t="s">
        <v>12</v>
      </c>
      <c r="O109" t="s">
        <v>13</v>
      </c>
      <c r="P109">
        <v>0</v>
      </c>
      <c r="Q109">
        <v>0</v>
      </c>
      <c r="R109">
        <v>0</v>
      </c>
      <c r="S109">
        <v>0.25</v>
      </c>
      <c r="T109">
        <v>0.25</v>
      </c>
      <c r="U109">
        <v>0.25</v>
      </c>
      <c r="V109">
        <v>0.25</v>
      </c>
      <c r="W109">
        <v>0.25</v>
      </c>
      <c r="X109">
        <v>0.5</v>
      </c>
      <c r="Y109">
        <v>0.5</v>
      </c>
      <c r="Z109">
        <v>0.5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268</v>
      </c>
      <c r="AH109" t="s">
        <v>12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1504.98</v>
      </c>
      <c r="AN109">
        <f>$H$109*$T$109</f>
        <v>1504.98</v>
      </c>
      <c r="AO109">
        <f>$H$109*$U$109</f>
        <v>1504.98</v>
      </c>
      <c r="AP109">
        <f>$H$109*$V$109</f>
        <v>1504.98</v>
      </c>
      <c r="AQ109">
        <f>$H$109*$W$109</f>
        <v>1504.98</v>
      </c>
      <c r="AR109">
        <f>$H$109*$X$109</f>
        <v>3009.96</v>
      </c>
      <c r="AS109">
        <f>$H$109*$Y$109</f>
        <v>3009.96</v>
      </c>
      <c r="AT109">
        <f>$H$109*$Z$109</f>
        <v>3009.96</v>
      </c>
      <c r="AU109">
        <f>$H$109*$AA$109</f>
        <v>6019.92</v>
      </c>
      <c r="AV109">
        <f>$H$109*$AB$109</f>
        <v>6019.92</v>
      </c>
      <c r="AW109">
        <f>$H$109*$AC$109</f>
        <v>6019.92</v>
      </c>
      <c r="AX109">
        <f>$H$109*$AD$109</f>
        <v>6019.92</v>
      </c>
      <c r="AY109">
        <f>$H$109*$AE$109</f>
        <v>6019.92</v>
      </c>
      <c r="AZ109">
        <f>$H$109*$AF$109</f>
        <v>6019.92</v>
      </c>
    </row>
    <row r="110" spans="1:52" x14ac:dyDescent="0.25">
      <c r="A110">
        <v>158</v>
      </c>
      <c r="B110" t="s">
        <v>268</v>
      </c>
      <c r="C110" t="s">
        <v>477</v>
      </c>
      <c r="D110">
        <v>60</v>
      </c>
      <c r="E110">
        <v>528.6</v>
      </c>
      <c r="F110" t="s">
        <v>349</v>
      </c>
      <c r="G110">
        <v>8.81</v>
      </c>
      <c r="H110">
        <v>634.32000000000005</v>
      </c>
      <c r="I110" t="s">
        <v>478</v>
      </c>
      <c r="J110" t="s">
        <v>479</v>
      </c>
      <c r="K110" t="s">
        <v>672</v>
      </c>
      <c r="L110" t="s">
        <v>179</v>
      </c>
      <c r="M110" t="s">
        <v>268</v>
      </c>
      <c r="N110" t="s">
        <v>12</v>
      </c>
      <c r="O110" t="s">
        <v>13</v>
      </c>
      <c r="P110">
        <v>0</v>
      </c>
      <c r="Q110">
        <v>0</v>
      </c>
      <c r="R110">
        <v>0</v>
      </c>
      <c r="S110">
        <v>1</v>
      </c>
      <c r="T110">
        <v>1</v>
      </c>
      <c r="U110">
        <v>1</v>
      </c>
      <c r="V110">
        <v>1</v>
      </c>
      <c r="W110">
        <v>1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268</v>
      </c>
      <c r="AH110" t="s">
        <v>12</v>
      </c>
      <c r="AI110" t="s">
        <v>13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634.32000000000005</v>
      </c>
      <c r="AN110">
        <f>$H$110*$T$110</f>
        <v>634.32000000000005</v>
      </c>
      <c r="AO110">
        <f>$H$110*$U$110</f>
        <v>634.32000000000005</v>
      </c>
      <c r="AP110">
        <f>$H$110*$V$110</f>
        <v>634.32000000000005</v>
      </c>
      <c r="AQ110">
        <f>$H$110*$W$110</f>
        <v>634.32000000000005</v>
      </c>
      <c r="AR110">
        <f>$H$110*$X$110</f>
        <v>634.32000000000005</v>
      </c>
      <c r="AS110">
        <f>$H$110*$Y$110</f>
        <v>634.32000000000005</v>
      </c>
      <c r="AT110">
        <f>$H$110*$Z$110</f>
        <v>634.32000000000005</v>
      </c>
      <c r="AU110">
        <f>$H$110*$AA$110</f>
        <v>634.32000000000005</v>
      </c>
      <c r="AV110">
        <f>$H$110*$AB$110</f>
        <v>634.32000000000005</v>
      </c>
      <c r="AW110">
        <f>$H$110*$AC$110</f>
        <v>634.32000000000005</v>
      </c>
      <c r="AX110">
        <f>$H$110*$AD$110</f>
        <v>634.32000000000005</v>
      </c>
      <c r="AY110">
        <f>$H$110*$AE$110</f>
        <v>634.32000000000005</v>
      </c>
      <c r="AZ110">
        <f>$H$110*$AF$110</f>
        <v>634.32000000000005</v>
      </c>
    </row>
    <row r="111" spans="1:52" x14ac:dyDescent="0.25">
      <c r="A111">
        <v>159</v>
      </c>
      <c r="B111" t="s">
        <v>268</v>
      </c>
      <c r="C111" t="s">
        <v>480</v>
      </c>
      <c r="D111">
        <v>1</v>
      </c>
      <c r="E111">
        <v>42.6</v>
      </c>
      <c r="F111" t="s">
        <v>335</v>
      </c>
      <c r="G111">
        <v>42.6</v>
      </c>
      <c r="H111">
        <v>51.12</v>
      </c>
      <c r="I111" t="s">
        <v>368</v>
      </c>
      <c r="J111" t="s">
        <v>481</v>
      </c>
      <c r="K111" t="s">
        <v>673</v>
      </c>
      <c r="L111" t="s">
        <v>179</v>
      </c>
      <c r="M111" t="s">
        <v>268</v>
      </c>
      <c r="N111" t="s">
        <v>12</v>
      </c>
      <c r="O111" t="s">
        <v>13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268</v>
      </c>
      <c r="AH111" t="s">
        <v>12</v>
      </c>
      <c r="AI111" t="s">
        <v>13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0</v>
      </c>
      <c r="AS111">
        <f>$H$111*$Y$111</f>
        <v>51.12</v>
      </c>
      <c r="AT111">
        <f>$H$111*$Z$111</f>
        <v>51.12</v>
      </c>
      <c r="AU111">
        <f>$H$111*$AA$111</f>
        <v>51.12</v>
      </c>
      <c r="AV111">
        <f>$H$111*$AB$111</f>
        <v>51.12</v>
      </c>
      <c r="AW111">
        <f>$H$111*$AC$111</f>
        <v>51.12</v>
      </c>
      <c r="AX111">
        <f>$H$111*$AD$111</f>
        <v>51.12</v>
      </c>
      <c r="AY111">
        <f>$H$111*$AE$111</f>
        <v>51.12</v>
      </c>
      <c r="AZ111">
        <f>$H$111*$AF$111</f>
        <v>51.12</v>
      </c>
    </row>
    <row r="112" spans="1:52" x14ac:dyDescent="0.25">
      <c r="A112">
        <v>160</v>
      </c>
      <c r="B112" t="s">
        <v>268</v>
      </c>
      <c r="C112" t="s">
        <v>482</v>
      </c>
      <c r="D112">
        <v>1</v>
      </c>
      <c r="E112">
        <v>45.87</v>
      </c>
      <c r="F112" t="s">
        <v>335</v>
      </c>
      <c r="G112">
        <v>45.87</v>
      </c>
      <c r="H112">
        <v>55.05</v>
      </c>
      <c r="I112" t="s">
        <v>368</v>
      </c>
      <c r="J112" t="s">
        <v>483</v>
      </c>
      <c r="K112" t="s">
        <v>674</v>
      </c>
      <c r="L112" t="s">
        <v>179</v>
      </c>
      <c r="M112" t="s">
        <v>268</v>
      </c>
      <c r="N112" t="s">
        <v>12</v>
      </c>
      <c r="O112" t="s">
        <v>13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268</v>
      </c>
      <c r="AH112" t="s">
        <v>12</v>
      </c>
      <c r="AI112" t="s">
        <v>13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0</v>
      </c>
      <c r="AT112">
        <f>$H$112*$Z$112</f>
        <v>0</v>
      </c>
      <c r="AU112">
        <f>$H$112*$AA$112</f>
        <v>55.05</v>
      </c>
      <c r="AV112">
        <f>$H$112*$AB$112</f>
        <v>55.05</v>
      </c>
      <c r="AW112">
        <f>$H$112*$AC$112</f>
        <v>55.05</v>
      </c>
      <c r="AX112">
        <f>$H$112*$AD$112</f>
        <v>55.05</v>
      </c>
      <c r="AY112">
        <f>$H$112*$AE$112</f>
        <v>55.05</v>
      </c>
      <c r="AZ112">
        <f>$H$112*$AF$112</f>
        <v>55.05</v>
      </c>
    </row>
    <row r="113" spans="1:52" x14ac:dyDescent="0.25">
      <c r="A113">
        <v>161</v>
      </c>
      <c r="B113" t="s">
        <v>268</v>
      </c>
      <c r="C113" t="s">
        <v>358</v>
      </c>
      <c r="D113">
        <v>15</v>
      </c>
      <c r="E113">
        <v>66.599999999999994</v>
      </c>
      <c r="F113" t="s">
        <v>329</v>
      </c>
      <c r="G113">
        <v>4.4400000000000004</v>
      </c>
      <c r="H113">
        <v>79.92</v>
      </c>
      <c r="I113" t="s">
        <v>330</v>
      </c>
      <c r="J113" t="s">
        <v>359</v>
      </c>
      <c r="K113" t="s">
        <v>615</v>
      </c>
      <c r="L113" t="s">
        <v>179</v>
      </c>
      <c r="M113" t="s">
        <v>268</v>
      </c>
      <c r="N113" t="s">
        <v>12</v>
      </c>
      <c r="O113" t="s">
        <v>13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268</v>
      </c>
      <c r="AH113" t="s">
        <v>12</v>
      </c>
      <c r="AI113" t="s">
        <v>13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0</v>
      </c>
      <c r="AT113">
        <f>$H$113*$Z$113</f>
        <v>0</v>
      </c>
      <c r="AU113">
        <f>$H$113*$AA$113</f>
        <v>79.92</v>
      </c>
      <c r="AV113">
        <f>$H$113*$AB$113</f>
        <v>79.92</v>
      </c>
      <c r="AW113">
        <f>$H$113*$AC$113</f>
        <v>79.92</v>
      </c>
      <c r="AX113">
        <f>$H$113*$AD$113</f>
        <v>79.92</v>
      </c>
      <c r="AY113">
        <f>$H$113*$AE$113</f>
        <v>79.92</v>
      </c>
      <c r="AZ113">
        <f>$H$113*$AF$113</f>
        <v>79.92</v>
      </c>
    </row>
    <row r="114" spans="1:52" x14ac:dyDescent="0.25">
      <c r="A114">
        <v>162</v>
      </c>
      <c r="B114" t="s">
        <v>268</v>
      </c>
      <c r="C114" t="s">
        <v>360</v>
      </c>
      <c r="D114">
        <v>15</v>
      </c>
      <c r="E114">
        <v>173.25</v>
      </c>
      <c r="F114" t="s">
        <v>329</v>
      </c>
      <c r="G114">
        <v>11.55</v>
      </c>
      <c r="H114">
        <v>207.91</v>
      </c>
      <c r="I114" t="s">
        <v>333</v>
      </c>
      <c r="J114" t="s">
        <v>361</v>
      </c>
      <c r="K114" t="s">
        <v>616</v>
      </c>
      <c r="L114" t="s">
        <v>179</v>
      </c>
      <c r="M114" t="s">
        <v>268</v>
      </c>
      <c r="N114" t="s">
        <v>12</v>
      </c>
      <c r="O114" t="s">
        <v>13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268</v>
      </c>
      <c r="AH114" t="s">
        <v>12</v>
      </c>
      <c r="AI114" t="s">
        <v>13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0</v>
      </c>
      <c r="AS114">
        <f>$H$114*$Y$114</f>
        <v>0</v>
      </c>
      <c r="AT114">
        <f>$H$114*$Z$114</f>
        <v>0</v>
      </c>
      <c r="AU114">
        <f>$H$114*$AA$114</f>
        <v>207.91</v>
      </c>
      <c r="AV114">
        <f>$H$114*$AB$114</f>
        <v>207.91</v>
      </c>
      <c r="AW114">
        <f>$H$114*$AC$114</f>
        <v>207.91</v>
      </c>
      <c r="AX114">
        <f>$H$114*$AD$114</f>
        <v>207.91</v>
      </c>
      <c r="AY114">
        <f>$H$114*$AE$114</f>
        <v>207.91</v>
      </c>
      <c r="AZ114">
        <f>$H$114*$AF$114</f>
        <v>207.91</v>
      </c>
    </row>
    <row r="115" spans="1:52" x14ac:dyDescent="0.25">
      <c r="A115">
        <v>163</v>
      </c>
      <c r="B115" t="s">
        <v>268</v>
      </c>
      <c r="C115" t="s">
        <v>484</v>
      </c>
      <c r="D115">
        <v>1</v>
      </c>
      <c r="E115">
        <v>43.19</v>
      </c>
      <c r="F115" t="s">
        <v>335</v>
      </c>
      <c r="G115">
        <v>43.19</v>
      </c>
      <c r="H115">
        <v>51.83</v>
      </c>
      <c r="I115" t="s">
        <v>368</v>
      </c>
      <c r="J115" t="s">
        <v>485</v>
      </c>
      <c r="K115" t="s">
        <v>675</v>
      </c>
      <c r="L115" t="s">
        <v>179</v>
      </c>
      <c r="M115" t="s">
        <v>268</v>
      </c>
      <c r="N115" t="s">
        <v>12</v>
      </c>
      <c r="O115" t="s">
        <v>13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268</v>
      </c>
      <c r="AH115" t="s">
        <v>12</v>
      </c>
      <c r="AI115" t="s">
        <v>13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0</v>
      </c>
      <c r="AO115">
        <f>$H$115*$U$115</f>
        <v>0</v>
      </c>
      <c r="AP115">
        <f>$H$115*$V$115</f>
        <v>0</v>
      </c>
      <c r="AQ115">
        <f>$H$115*$W$115</f>
        <v>0</v>
      </c>
      <c r="AR115">
        <f>$H$115*$X$115</f>
        <v>0</v>
      </c>
      <c r="AS115">
        <f>$H$115*$Y$115</f>
        <v>0</v>
      </c>
      <c r="AT115">
        <f>$H$115*$Z$115</f>
        <v>0</v>
      </c>
      <c r="AU115">
        <f>$H$115*$AA$115</f>
        <v>51.83</v>
      </c>
      <c r="AV115">
        <f>$H$115*$AB$115</f>
        <v>51.83</v>
      </c>
      <c r="AW115">
        <f>$H$115*$AC$115</f>
        <v>51.83</v>
      </c>
      <c r="AX115">
        <f>$H$115*$AD$115</f>
        <v>51.83</v>
      </c>
      <c r="AY115">
        <f>$H$115*$AE$115</f>
        <v>51.83</v>
      </c>
      <c r="AZ115">
        <f>$H$115*$AF$115</f>
        <v>51.83</v>
      </c>
    </row>
    <row r="116" spans="1:52" x14ac:dyDescent="0.25">
      <c r="A116">
        <v>164</v>
      </c>
      <c r="B116" t="s">
        <v>268</v>
      </c>
      <c r="C116" t="s">
        <v>435</v>
      </c>
      <c r="D116">
        <v>2</v>
      </c>
      <c r="E116">
        <v>26.54</v>
      </c>
      <c r="F116" t="s">
        <v>335</v>
      </c>
      <c r="G116">
        <v>13.27</v>
      </c>
      <c r="H116">
        <v>31.84</v>
      </c>
      <c r="I116" t="s">
        <v>337</v>
      </c>
      <c r="J116" t="s">
        <v>436</v>
      </c>
      <c r="K116" t="s">
        <v>652</v>
      </c>
      <c r="L116" t="s">
        <v>179</v>
      </c>
      <c r="M116" t="s">
        <v>268</v>
      </c>
      <c r="N116" t="s">
        <v>12</v>
      </c>
      <c r="O116" t="s">
        <v>13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1</v>
      </c>
      <c r="Y116">
        <v>1</v>
      </c>
      <c r="Z116">
        <v>1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268</v>
      </c>
      <c r="AH116" t="s">
        <v>12</v>
      </c>
      <c r="AI116" t="s">
        <v>13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0</v>
      </c>
      <c r="AQ116">
        <f>$H$116*$W$116</f>
        <v>0</v>
      </c>
      <c r="AR116">
        <f>$H$116*$X$116</f>
        <v>31.84</v>
      </c>
      <c r="AS116">
        <f>$H$116*$Y$116</f>
        <v>31.84</v>
      </c>
      <c r="AT116">
        <f>$H$116*$Z$116</f>
        <v>31.84</v>
      </c>
      <c r="AU116">
        <f>$H$116*$AA$116</f>
        <v>31.84</v>
      </c>
      <c r="AV116">
        <f>$H$116*$AB$116</f>
        <v>31.84</v>
      </c>
      <c r="AW116">
        <f>$H$116*$AC$116</f>
        <v>31.84</v>
      </c>
      <c r="AX116">
        <f>$H$116*$AD$116</f>
        <v>31.84</v>
      </c>
      <c r="AY116">
        <f>$H$116*$AE$116</f>
        <v>31.84</v>
      </c>
      <c r="AZ116">
        <f>$H$116*$AF$116</f>
        <v>31.84</v>
      </c>
    </row>
    <row r="117" spans="1:52" x14ac:dyDescent="0.25">
      <c r="A117">
        <v>165</v>
      </c>
      <c r="B117" t="s">
        <v>268</v>
      </c>
      <c r="C117" t="s">
        <v>486</v>
      </c>
      <c r="D117">
        <v>6</v>
      </c>
      <c r="E117">
        <v>112.38</v>
      </c>
      <c r="F117" t="s">
        <v>349</v>
      </c>
      <c r="G117">
        <v>18.73</v>
      </c>
      <c r="H117">
        <v>134.86000000000001</v>
      </c>
      <c r="I117" t="s">
        <v>487</v>
      </c>
      <c r="J117" t="s">
        <v>420</v>
      </c>
      <c r="K117" t="s">
        <v>676</v>
      </c>
      <c r="L117" t="s">
        <v>179</v>
      </c>
      <c r="M117" t="s">
        <v>268</v>
      </c>
      <c r="N117" t="s">
        <v>12</v>
      </c>
      <c r="O117" t="s">
        <v>13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268</v>
      </c>
      <c r="AH117" t="s">
        <v>12</v>
      </c>
      <c r="AI117" t="s">
        <v>13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0</v>
      </c>
      <c r="AS117">
        <f>$H$117*$Y$117</f>
        <v>0</v>
      </c>
      <c r="AT117">
        <f>$H$117*$Z$117</f>
        <v>0</v>
      </c>
      <c r="AU117">
        <f>$H$117*$AA$117</f>
        <v>134.86000000000001</v>
      </c>
      <c r="AV117">
        <f>$H$117*$AB$117</f>
        <v>134.86000000000001</v>
      </c>
      <c r="AW117">
        <f>$H$117*$AC$117</f>
        <v>134.86000000000001</v>
      </c>
      <c r="AX117">
        <f>$H$117*$AD$117</f>
        <v>134.86000000000001</v>
      </c>
      <c r="AY117">
        <f>$H$117*$AE$117</f>
        <v>134.86000000000001</v>
      </c>
      <c r="AZ117">
        <f>$H$117*$AF$117</f>
        <v>134.86000000000001</v>
      </c>
    </row>
    <row r="118" spans="1:52" x14ac:dyDescent="0.25">
      <c r="A118">
        <v>166</v>
      </c>
      <c r="B118" t="s">
        <v>268</v>
      </c>
      <c r="C118" t="s">
        <v>488</v>
      </c>
      <c r="D118">
        <v>1</v>
      </c>
      <c r="E118">
        <v>290.16000000000003</v>
      </c>
      <c r="F118" t="s">
        <v>335</v>
      </c>
      <c r="G118">
        <v>290.16000000000003</v>
      </c>
      <c r="H118">
        <v>348.2</v>
      </c>
      <c r="I118" t="s">
        <v>489</v>
      </c>
      <c r="J118" t="s">
        <v>490</v>
      </c>
      <c r="K118" t="s">
        <v>677</v>
      </c>
      <c r="L118" t="s">
        <v>179</v>
      </c>
      <c r="M118" t="s">
        <v>268</v>
      </c>
      <c r="N118" t="s">
        <v>12</v>
      </c>
      <c r="O118" t="s">
        <v>13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268</v>
      </c>
      <c r="AH118" t="s">
        <v>12</v>
      </c>
      <c r="AI118" t="s">
        <v>13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0</v>
      </c>
      <c r="AS118">
        <f>$H$118*$Y$118</f>
        <v>0</v>
      </c>
      <c r="AT118">
        <f>$H$118*$Z$118</f>
        <v>0</v>
      </c>
      <c r="AU118">
        <f>$H$118*$AA$118</f>
        <v>0</v>
      </c>
      <c r="AV118">
        <f>$H$118*$AB$118</f>
        <v>348.2</v>
      </c>
      <c r="AW118">
        <f>$H$118*$AC$118</f>
        <v>348.2</v>
      </c>
      <c r="AX118">
        <f>$H$118*$AD$118</f>
        <v>348.2</v>
      </c>
      <c r="AY118">
        <f>$H$118*$AE$118</f>
        <v>348.2</v>
      </c>
      <c r="AZ118">
        <f>$H$118*$AF$118</f>
        <v>348.2</v>
      </c>
    </row>
    <row r="119" spans="1:52" x14ac:dyDescent="0.25">
      <c r="A119">
        <v>167</v>
      </c>
      <c r="B119" t="s">
        <v>268</v>
      </c>
      <c r="C119" t="s">
        <v>354</v>
      </c>
      <c r="D119">
        <v>0.75</v>
      </c>
      <c r="E119">
        <v>491.8</v>
      </c>
      <c r="F119" t="s">
        <v>335</v>
      </c>
      <c r="G119">
        <v>655.73</v>
      </c>
      <c r="H119">
        <v>590.16</v>
      </c>
      <c r="I119" t="s">
        <v>353</v>
      </c>
      <c r="J119" t="s">
        <v>355</v>
      </c>
      <c r="K119" t="s">
        <v>612</v>
      </c>
      <c r="L119" t="s">
        <v>179</v>
      </c>
      <c r="M119" t="s">
        <v>268</v>
      </c>
      <c r="N119" t="s">
        <v>12</v>
      </c>
      <c r="O119" t="s">
        <v>13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268</v>
      </c>
      <c r="AH119" t="s">
        <v>12</v>
      </c>
      <c r="AI119" t="s">
        <v>13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590.16</v>
      </c>
      <c r="AT119">
        <f>$H$119*$Z$119</f>
        <v>590.16</v>
      </c>
      <c r="AU119">
        <f>$H$119*$AA$119</f>
        <v>590.16</v>
      </c>
      <c r="AV119">
        <f>$H$119*$AB$119</f>
        <v>590.16</v>
      </c>
      <c r="AW119">
        <f>$H$119*$AC$119</f>
        <v>590.16</v>
      </c>
      <c r="AX119">
        <f>$H$119*$AD$119</f>
        <v>590.16</v>
      </c>
      <c r="AY119">
        <f>$H$119*$AE$119</f>
        <v>590.16</v>
      </c>
      <c r="AZ119">
        <f>$H$119*$AF$119</f>
        <v>590.16</v>
      </c>
    </row>
    <row r="120" spans="1:52" x14ac:dyDescent="0.25">
      <c r="A120">
        <v>168</v>
      </c>
      <c r="B120" t="s">
        <v>268</v>
      </c>
      <c r="C120" t="s">
        <v>354</v>
      </c>
      <c r="D120">
        <v>0.75</v>
      </c>
      <c r="E120">
        <v>491.8</v>
      </c>
      <c r="F120" t="s">
        <v>335</v>
      </c>
      <c r="G120">
        <v>655.73</v>
      </c>
      <c r="H120">
        <v>590.16</v>
      </c>
      <c r="I120" t="s">
        <v>353</v>
      </c>
      <c r="J120" t="s">
        <v>355</v>
      </c>
      <c r="K120" t="s">
        <v>612</v>
      </c>
      <c r="L120" t="s">
        <v>179</v>
      </c>
      <c r="M120" t="s">
        <v>268</v>
      </c>
      <c r="N120" t="s">
        <v>12</v>
      </c>
      <c r="O120" t="s">
        <v>13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268</v>
      </c>
      <c r="AH120" t="s">
        <v>12</v>
      </c>
      <c r="AI120" t="s">
        <v>13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0</v>
      </c>
      <c r="AS120">
        <f>$H$120*$Y$120</f>
        <v>590.16</v>
      </c>
      <c r="AT120">
        <f>$H$120*$Z$120</f>
        <v>590.16</v>
      </c>
      <c r="AU120">
        <f>$H$120*$AA$120</f>
        <v>590.16</v>
      </c>
      <c r="AV120">
        <f>$H$120*$AB$120</f>
        <v>590.16</v>
      </c>
      <c r="AW120">
        <f>$H$120*$AC$120</f>
        <v>590.16</v>
      </c>
      <c r="AX120">
        <f>$H$120*$AD$120</f>
        <v>590.16</v>
      </c>
      <c r="AY120">
        <f>$H$120*$AE$120</f>
        <v>590.16</v>
      </c>
      <c r="AZ120">
        <f>$H$120*$AF$120</f>
        <v>590.16</v>
      </c>
    </row>
    <row r="121" spans="1:52" x14ac:dyDescent="0.25">
      <c r="A121">
        <v>169</v>
      </c>
      <c r="B121" t="s">
        <v>268</v>
      </c>
      <c r="C121" t="s">
        <v>354</v>
      </c>
      <c r="D121">
        <v>0.25</v>
      </c>
      <c r="E121">
        <v>163.93</v>
      </c>
      <c r="F121" t="s">
        <v>335</v>
      </c>
      <c r="G121">
        <v>655.73</v>
      </c>
      <c r="H121">
        <v>196.71</v>
      </c>
      <c r="I121" t="s">
        <v>353</v>
      </c>
      <c r="J121" t="s">
        <v>355</v>
      </c>
      <c r="K121" t="s">
        <v>612</v>
      </c>
      <c r="L121" t="s">
        <v>179</v>
      </c>
      <c r="M121" t="s">
        <v>268</v>
      </c>
      <c r="N121" t="s">
        <v>12</v>
      </c>
      <c r="O121" t="s">
        <v>13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268</v>
      </c>
      <c r="AH121" t="s">
        <v>12</v>
      </c>
      <c r="AI121" t="s">
        <v>13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0</v>
      </c>
      <c r="AO121">
        <f>$H$121*$U$121</f>
        <v>0</v>
      </c>
      <c r="AP121">
        <f>$H$121*$V$121</f>
        <v>0</v>
      </c>
      <c r="AQ121">
        <f>$H$121*$W$121</f>
        <v>0</v>
      </c>
      <c r="AR121">
        <f>$H$121*$X$121</f>
        <v>0</v>
      </c>
      <c r="AS121">
        <f>$H$121*$Y$121</f>
        <v>196.71</v>
      </c>
      <c r="AT121">
        <f>$H$121*$Z$121</f>
        <v>196.71</v>
      </c>
      <c r="AU121">
        <f>$H$121*$AA$121</f>
        <v>196.71</v>
      </c>
      <c r="AV121">
        <f>$H$121*$AB$121</f>
        <v>196.71</v>
      </c>
      <c r="AW121">
        <f>$H$121*$AC$121</f>
        <v>196.71</v>
      </c>
      <c r="AX121">
        <f>$H$121*$AD$121</f>
        <v>196.71</v>
      </c>
      <c r="AY121">
        <f>$H$121*$AE$121</f>
        <v>196.71</v>
      </c>
      <c r="AZ121">
        <f>$H$121*$AF$121</f>
        <v>196.71</v>
      </c>
    </row>
    <row r="122" spans="1:52" x14ac:dyDescent="0.25">
      <c r="A122">
        <v>170</v>
      </c>
      <c r="B122" t="s">
        <v>268</v>
      </c>
      <c r="C122" t="s">
        <v>354</v>
      </c>
      <c r="D122">
        <v>0.25</v>
      </c>
      <c r="E122">
        <v>163.93</v>
      </c>
      <c r="F122" t="s">
        <v>335</v>
      </c>
      <c r="G122">
        <v>655.73</v>
      </c>
      <c r="H122">
        <v>196.71</v>
      </c>
      <c r="I122" t="s">
        <v>353</v>
      </c>
      <c r="J122" t="s">
        <v>355</v>
      </c>
      <c r="K122" t="s">
        <v>612</v>
      </c>
      <c r="L122" t="s">
        <v>179</v>
      </c>
      <c r="M122" t="s">
        <v>268</v>
      </c>
      <c r="N122" t="s">
        <v>12</v>
      </c>
      <c r="O122" t="s">
        <v>13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268</v>
      </c>
      <c r="AH122" t="s">
        <v>12</v>
      </c>
      <c r="AI122" t="s">
        <v>13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0</v>
      </c>
      <c r="AN122">
        <f>$H$122*$T$122</f>
        <v>0</v>
      </c>
      <c r="AO122">
        <f>$H$122*$U$122</f>
        <v>0</v>
      </c>
      <c r="AP122">
        <f>$H$122*$V$122</f>
        <v>0</v>
      </c>
      <c r="AQ122">
        <f>$H$122*$W$122</f>
        <v>0</v>
      </c>
      <c r="AR122">
        <f>$H$122*$X$122</f>
        <v>0</v>
      </c>
      <c r="AS122">
        <f>$H$122*$Y$122</f>
        <v>196.71</v>
      </c>
      <c r="AT122">
        <f>$H$122*$Z$122</f>
        <v>196.71</v>
      </c>
      <c r="AU122">
        <f>$H$122*$AA$122</f>
        <v>196.71</v>
      </c>
      <c r="AV122">
        <f>$H$122*$AB$122</f>
        <v>196.71</v>
      </c>
      <c r="AW122">
        <f>$H$122*$AC$122</f>
        <v>196.71</v>
      </c>
      <c r="AX122">
        <f>$H$122*$AD$122</f>
        <v>196.71</v>
      </c>
      <c r="AY122">
        <f>$H$122*$AE$122</f>
        <v>196.71</v>
      </c>
      <c r="AZ122">
        <f>$H$122*$AF$122</f>
        <v>196.71</v>
      </c>
    </row>
    <row r="123" spans="1:52" x14ac:dyDescent="0.25">
      <c r="A123">
        <v>171</v>
      </c>
      <c r="B123" t="s">
        <v>268</v>
      </c>
      <c r="C123" t="s">
        <v>491</v>
      </c>
      <c r="D123">
        <v>1</v>
      </c>
      <c r="E123">
        <v>78.69</v>
      </c>
      <c r="F123" t="s">
        <v>335</v>
      </c>
      <c r="G123">
        <v>78.69</v>
      </c>
      <c r="H123">
        <v>94.43</v>
      </c>
      <c r="I123" t="s">
        <v>353</v>
      </c>
      <c r="J123" t="s">
        <v>492</v>
      </c>
      <c r="K123" t="s">
        <v>678</v>
      </c>
      <c r="L123" t="s">
        <v>179</v>
      </c>
      <c r="M123" t="s">
        <v>268</v>
      </c>
      <c r="N123" t="s">
        <v>12</v>
      </c>
      <c r="O123" t="s">
        <v>13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268</v>
      </c>
      <c r="AH123" t="s">
        <v>12</v>
      </c>
      <c r="AI123" t="s">
        <v>13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0</v>
      </c>
      <c r="AO123">
        <f>$H$123*$U$123</f>
        <v>0</v>
      </c>
      <c r="AP123">
        <f>$H$123*$V$123</f>
        <v>0</v>
      </c>
      <c r="AQ123">
        <f>$H$123*$W$123</f>
        <v>0</v>
      </c>
      <c r="AR123">
        <f>$H$123*$X$123</f>
        <v>0</v>
      </c>
      <c r="AS123">
        <f>$H$123*$Y$123</f>
        <v>94.43</v>
      </c>
      <c r="AT123">
        <f>$H$123*$Z$123</f>
        <v>94.43</v>
      </c>
      <c r="AU123">
        <f>$H$123*$AA$123</f>
        <v>94.43</v>
      </c>
      <c r="AV123">
        <f>$H$123*$AB$123</f>
        <v>94.43</v>
      </c>
      <c r="AW123">
        <f>$H$123*$AC$123</f>
        <v>94.43</v>
      </c>
      <c r="AX123">
        <f>$H$123*$AD$123</f>
        <v>94.43</v>
      </c>
      <c r="AY123">
        <f>$H$123*$AE$123</f>
        <v>94.43</v>
      </c>
      <c r="AZ123">
        <f>$H$123*$AF$123</f>
        <v>94.43</v>
      </c>
    </row>
    <row r="124" spans="1:52" x14ac:dyDescent="0.25">
      <c r="A124">
        <v>172</v>
      </c>
      <c r="B124" t="s">
        <v>268</v>
      </c>
      <c r="C124" t="s">
        <v>493</v>
      </c>
      <c r="D124">
        <v>1</v>
      </c>
      <c r="E124">
        <v>743.17</v>
      </c>
      <c r="F124" t="s">
        <v>335</v>
      </c>
      <c r="G124">
        <v>743.17</v>
      </c>
      <c r="H124">
        <v>891.81</v>
      </c>
      <c r="I124" t="s">
        <v>353</v>
      </c>
      <c r="J124" t="s">
        <v>494</v>
      </c>
      <c r="K124" t="s">
        <v>679</v>
      </c>
      <c r="L124" t="s">
        <v>179</v>
      </c>
      <c r="M124" t="s">
        <v>268</v>
      </c>
      <c r="N124" t="s">
        <v>12</v>
      </c>
      <c r="O124" t="s">
        <v>13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268</v>
      </c>
      <c r="AH124" t="s">
        <v>12</v>
      </c>
      <c r="AI124" t="s">
        <v>13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0</v>
      </c>
      <c r="AN124">
        <f>$H$124*$T$124</f>
        <v>0</v>
      </c>
      <c r="AO124">
        <f>$H$124*$U$124</f>
        <v>0</v>
      </c>
      <c r="AP124">
        <f>$H$124*$V$124</f>
        <v>0</v>
      </c>
      <c r="AQ124">
        <f>$H$124*$W$124</f>
        <v>0</v>
      </c>
      <c r="AR124">
        <f>$H$124*$X$124</f>
        <v>0</v>
      </c>
      <c r="AS124">
        <f>$H$124*$Y$124</f>
        <v>891.81</v>
      </c>
      <c r="AT124">
        <f>$H$124*$Z$124</f>
        <v>891.81</v>
      </c>
      <c r="AU124">
        <f>$H$124*$AA$124</f>
        <v>891.81</v>
      </c>
      <c r="AV124">
        <f>$H$124*$AB$124</f>
        <v>891.81</v>
      </c>
      <c r="AW124">
        <f>$H$124*$AC$124</f>
        <v>891.81</v>
      </c>
      <c r="AX124">
        <f>$H$124*$AD$124</f>
        <v>891.81</v>
      </c>
      <c r="AY124">
        <f>$H$124*$AE$124</f>
        <v>891.81</v>
      </c>
      <c r="AZ124">
        <f>$H$124*$AF$124</f>
        <v>891.81</v>
      </c>
    </row>
    <row r="125" spans="1:52" x14ac:dyDescent="0.25">
      <c r="A125">
        <v>173</v>
      </c>
      <c r="B125" t="s">
        <v>268</v>
      </c>
      <c r="C125" t="s">
        <v>495</v>
      </c>
      <c r="D125">
        <v>1</v>
      </c>
      <c r="E125">
        <v>1133.07</v>
      </c>
      <c r="F125" t="s">
        <v>335</v>
      </c>
      <c r="G125">
        <v>1133.07</v>
      </c>
      <c r="H125">
        <v>1359.69</v>
      </c>
      <c r="I125" t="s">
        <v>353</v>
      </c>
      <c r="J125" t="s">
        <v>496</v>
      </c>
      <c r="K125" t="s">
        <v>680</v>
      </c>
      <c r="L125" t="s">
        <v>179</v>
      </c>
      <c r="M125" t="s">
        <v>268</v>
      </c>
      <c r="N125" t="s">
        <v>12</v>
      </c>
      <c r="O125" t="s">
        <v>13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268</v>
      </c>
      <c r="AH125" t="s">
        <v>12</v>
      </c>
      <c r="AI125" t="s">
        <v>13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0</v>
      </c>
      <c r="AO125">
        <f>$H$125*$U$125</f>
        <v>0</v>
      </c>
      <c r="AP125">
        <f>$H$125*$V$125</f>
        <v>0</v>
      </c>
      <c r="AQ125">
        <f>$H$125*$W$125</f>
        <v>0</v>
      </c>
      <c r="AR125">
        <f>$H$125*$X$125</f>
        <v>0</v>
      </c>
      <c r="AS125">
        <f>$H$125*$Y$125</f>
        <v>1359.69</v>
      </c>
      <c r="AT125">
        <f>$H$125*$Z$125</f>
        <v>1359.69</v>
      </c>
      <c r="AU125">
        <f>$H$125*$AA$125</f>
        <v>1359.69</v>
      </c>
      <c r="AV125">
        <f>$H$125*$AB$125</f>
        <v>1359.69</v>
      </c>
      <c r="AW125">
        <f>$H$125*$AC$125</f>
        <v>1359.69</v>
      </c>
      <c r="AX125">
        <f>$H$125*$AD$125</f>
        <v>1359.69</v>
      </c>
      <c r="AY125">
        <f>$H$125*$AE$125</f>
        <v>1359.69</v>
      </c>
      <c r="AZ125">
        <f>$H$125*$AF$125</f>
        <v>1359.69</v>
      </c>
    </row>
    <row r="126" spans="1:52" x14ac:dyDescent="0.25">
      <c r="A126">
        <v>174</v>
      </c>
      <c r="B126" t="s">
        <v>268</v>
      </c>
      <c r="C126" t="s">
        <v>497</v>
      </c>
      <c r="D126">
        <v>1</v>
      </c>
      <c r="E126">
        <v>655.4</v>
      </c>
      <c r="F126" t="s">
        <v>335</v>
      </c>
      <c r="G126">
        <v>655.4</v>
      </c>
      <c r="H126">
        <v>786.48</v>
      </c>
      <c r="I126" t="s">
        <v>487</v>
      </c>
      <c r="J126" t="s">
        <v>498</v>
      </c>
      <c r="K126" t="s">
        <v>681</v>
      </c>
      <c r="L126" t="s">
        <v>179</v>
      </c>
      <c r="M126" t="s">
        <v>268</v>
      </c>
      <c r="N126" t="s">
        <v>12</v>
      </c>
      <c r="O126" t="s">
        <v>13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268</v>
      </c>
      <c r="AH126" t="s">
        <v>12</v>
      </c>
      <c r="AI126" t="s">
        <v>13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0</v>
      </c>
      <c r="AN126">
        <f>$H$126*$T$126</f>
        <v>0</v>
      </c>
      <c r="AO126">
        <f>$H$126*$U$126</f>
        <v>0</v>
      </c>
      <c r="AP126">
        <f>$H$126*$V$126</f>
        <v>0</v>
      </c>
      <c r="AQ126">
        <f>$H$126*$W$126</f>
        <v>0</v>
      </c>
      <c r="AR126">
        <f>$H$126*$X$126</f>
        <v>0</v>
      </c>
      <c r="AS126">
        <f>$H$126*$Y$126</f>
        <v>786.48</v>
      </c>
      <c r="AT126">
        <f>$H$126*$Z$126</f>
        <v>786.48</v>
      </c>
      <c r="AU126">
        <f>$H$126*$AA$126</f>
        <v>786.48</v>
      </c>
      <c r="AV126">
        <f>$H$126*$AB$126</f>
        <v>786.48</v>
      </c>
      <c r="AW126">
        <f>$H$126*$AC$126</f>
        <v>786.48</v>
      </c>
      <c r="AX126">
        <f>$H$126*$AD$126</f>
        <v>786.48</v>
      </c>
      <c r="AY126">
        <f>$H$126*$AE$126</f>
        <v>786.48</v>
      </c>
      <c r="AZ126">
        <f>$H$126*$AF$126</f>
        <v>786.48</v>
      </c>
    </row>
    <row r="127" spans="1:52" x14ac:dyDescent="0.25">
      <c r="A127">
        <v>175</v>
      </c>
      <c r="B127" t="s">
        <v>268</v>
      </c>
      <c r="C127" t="s">
        <v>499</v>
      </c>
      <c r="D127">
        <v>1</v>
      </c>
      <c r="E127">
        <v>415.22</v>
      </c>
      <c r="F127" t="s">
        <v>335</v>
      </c>
      <c r="G127">
        <v>415.22</v>
      </c>
      <c r="H127">
        <v>498.26</v>
      </c>
      <c r="I127" t="s">
        <v>353</v>
      </c>
      <c r="J127" t="s">
        <v>500</v>
      </c>
      <c r="K127" t="s">
        <v>682</v>
      </c>
      <c r="L127" t="s">
        <v>179</v>
      </c>
      <c r="M127" t="s">
        <v>268</v>
      </c>
      <c r="N127" t="s">
        <v>12</v>
      </c>
      <c r="O127" t="s">
        <v>13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268</v>
      </c>
      <c r="AH127" t="s">
        <v>12</v>
      </c>
      <c r="AI127" t="s">
        <v>13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0</v>
      </c>
      <c r="AQ127">
        <f>$H$127*$W$127</f>
        <v>0</v>
      </c>
      <c r="AR127">
        <f>$H$127*$X$127</f>
        <v>0</v>
      </c>
      <c r="AS127">
        <f>$H$127*$Y$127</f>
        <v>0</v>
      </c>
      <c r="AT127">
        <f>$H$127*$Z$127</f>
        <v>0</v>
      </c>
      <c r="AU127">
        <f>$H$127*$AA$127</f>
        <v>498.26</v>
      </c>
      <c r="AV127">
        <f>$H$127*$AB$127</f>
        <v>498.26</v>
      </c>
      <c r="AW127">
        <f>$H$127*$AC$127</f>
        <v>498.26</v>
      </c>
      <c r="AX127">
        <f>$H$127*$AD$127</f>
        <v>498.26</v>
      </c>
      <c r="AY127">
        <f>$H$127*$AE$127</f>
        <v>498.26</v>
      </c>
      <c r="AZ127">
        <f>$H$127*$AF$127</f>
        <v>498.26</v>
      </c>
    </row>
    <row r="128" spans="1:52" x14ac:dyDescent="0.25">
      <c r="A128">
        <v>176</v>
      </c>
      <c r="B128" t="s">
        <v>268</v>
      </c>
      <c r="C128" t="s">
        <v>501</v>
      </c>
      <c r="D128">
        <v>10</v>
      </c>
      <c r="E128">
        <v>65.7</v>
      </c>
      <c r="F128" t="s">
        <v>329</v>
      </c>
      <c r="G128">
        <v>6.57</v>
      </c>
      <c r="H128">
        <v>78.84</v>
      </c>
      <c r="I128" t="s">
        <v>343</v>
      </c>
      <c r="J128" t="s">
        <v>502</v>
      </c>
      <c r="K128" t="s">
        <v>683</v>
      </c>
      <c r="L128" t="s">
        <v>179</v>
      </c>
      <c r="M128" t="s">
        <v>268</v>
      </c>
      <c r="N128" t="s">
        <v>12</v>
      </c>
      <c r="O128" t="s">
        <v>13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1</v>
      </c>
      <c r="AE128">
        <v>1</v>
      </c>
      <c r="AF128">
        <v>1</v>
      </c>
      <c r="AG128" t="s">
        <v>268</v>
      </c>
      <c r="AH128" t="s">
        <v>12</v>
      </c>
      <c r="AI128" t="s">
        <v>13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0</v>
      </c>
      <c r="AT128">
        <f>$H$128*$Z$128</f>
        <v>0</v>
      </c>
      <c r="AU128">
        <f>$H$128*$AA$128</f>
        <v>0</v>
      </c>
      <c r="AV128">
        <f>$H$128*$AB$128</f>
        <v>0</v>
      </c>
      <c r="AW128">
        <f>$H$128*$AC$128</f>
        <v>0</v>
      </c>
      <c r="AX128">
        <f>$H$128*$AD$128</f>
        <v>78.84</v>
      </c>
      <c r="AY128">
        <f>$H$128*$AE$128</f>
        <v>78.84</v>
      </c>
      <c r="AZ128">
        <f>$H$128*$AF$128</f>
        <v>78.84</v>
      </c>
    </row>
    <row r="129" spans="1:52" x14ac:dyDescent="0.25">
      <c r="A129">
        <v>177</v>
      </c>
      <c r="B129" t="s">
        <v>268</v>
      </c>
      <c r="C129" t="s">
        <v>503</v>
      </c>
      <c r="D129">
        <v>1</v>
      </c>
      <c r="E129">
        <v>197.02</v>
      </c>
      <c r="F129" t="s">
        <v>335</v>
      </c>
      <c r="G129">
        <v>197.02</v>
      </c>
      <c r="H129">
        <v>236.42</v>
      </c>
      <c r="I129" t="s">
        <v>343</v>
      </c>
      <c r="J129" t="s">
        <v>504</v>
      </c>
      <c r="K129" t="s">
        <v>684</v>
      </c>
      <c r="L129" t="s">
        <v>179</v>
      </c>
      <c r="M129" t="s">
        <v>268</v>
      </c>
      <c r="N129" t="s">
        <v>12</v>
      </c>
      <c r="O129" t="s">
        <v>13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1</v>
      </c>
      <c r="AE129">
        <v>1</v>
      </c>
      <c r="AF129">
        <v>1</v>
      </c>
      <c r="AG129" t="s">
        <v>268</v>
      </c>
      <c r="AH129" t="s">
        <v>12</v>
      </c>
      <c r="AI129" t="s">
        <v>13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0</v>
      </c>
      <c r="AN129">
        <f>$H$129*$T$129</f>
        <v>0</v>
      </c>
      <c r="AO129">
        <f>$H$129*$U$129</f>
        <v>0</v>
      </c>
      <c r="AP129">
        <f>$H$129*$V$129</f>
        <v>0</v>
      </c>
      <c r="AQ129">
        <f>$H$129*$W$129</f>
        <v>0</v>
      </c>
      <c r="AR129">
        <f>$H$129*$X$129</f>
        <v>0</v>
      </c>
      <c r="AS129">
        <f>$H$129*$Y$129</f>
        <v>0</v>
      </c>
      <c r="AT129">
        <f>$H$129*$Z$129</f>
        <v>0</v>
      </c>
      <c r="AU129">
        <f>$H$129*$AA$129</f>
        <v>0</v>
      </c>
      <c r="AV129">
        <f>$H$129*$AB$129</f>
        <v>0</v>
      </c>
      <c r="AW129">
        <f>$H$129*$AC$129</f>
        <v>0</v>
      </c>
      <c r="AX129">
        <f>$H$129*$AD$129</f>
        <v>236.42</v>
      </c>
      <c r="AY129">
        <f>$H$129*$AE$129</f>
        <v>236.42</v>
      </c>
      <c r="AZ129">
        <f>$H$129*$AF$129</f>
        <v>236.42</v>
      </c>
    </row>
    <row r="130" spans="1:52" x14ac:dyDescent="0.25">
      <c r="A130">
        <v>178</v>
      </c>
      <c r="B130" t="s">
        <v>268</v>
      </c>
      <c r="C130" t="s">
        <v>505</v>
      </c>
      <c r="D130">
        <v>1</v>
      </c>
      <c r="E130">
        <v>155.46</v>
      </c>
      <c r="F130" t="s">
        <v>335</v>
      </c>
      <c r="G130">
        <v>155.46</v>
      </c>
      <c r="H130">
        <v>186.56</v>
      </c>
      <c r="I130" t="s">
        <v>340</v>
      </c>
      <c r="J130" t="s">
        <v>506</v>
      </c>
      <c r="K130" t="s">
        <v>685</v>
      </c>
      <c r="L130" t="s">
        <v>179</v>
      </c>
      <c r="M130" t="s">
        <v>268</v>
      </c>
      <c r="N130" t="s">
        <v>12</v>
      </c>
      <c r="O130" t="s">
        <v>13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1</v>
      </c>
      <c r="AE130">
        <v>1</v>
      </c>
      <c r="AF130">
        <v>1</v>
      </c>
      <c r="AG130" t="s">
        <v>268</v>
      </c>
      <c r="AH130" t="s">
        <v>12</v>
      </c>
      <c r="AI130" t="s">
        <v>13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0</v>
      </c>
      <c r="AN130">
        <f>$H$130*$T$130</f>
        <v>0</v>
      </c>
      <c r="AO130">
        <f>$H$130*$U$130</f>
        <v>0</v>
      </c>
      <c r="AP130">
        <f>$H$130*$V$130</f>
        <v>0</v>
      </c>
      <c r="AQ130">
        <f>$H$130*$W$130</f>
        <v>0</v>
      </c>
      <c r="AR130">
        <f>$H$130*$X$130</f>
        <v>0</v>
      </c>
      <c r="AS130">
        <f>$H$130*$Y$130</f>
        <v>0</v>
      </c>
      <c r="AT130">
        <f>$H$130*$Z$130</f>
        <v>0</v>
      </c>
      <c r="AU130">
        <f>$H$130*$AA$130</f>
        <v>0</v>
      </c>
      <c r="AV130">
        <f>$H$130*$AB$130</f>
        <v>0</v>
      </c>
      <c r="AW130">
        <f>$H$130*$AC$130</f>
        <v>0</v>
      </c>
      <c r="AX130">
        <f>$H$130*$AD$130</f>
        <v>186.56</v>
      </c>
      <c r="AY130">
        <f>$H$130*$AE$130</f>
        <v>186.56</v>
      </c>
      <c r="AZ130">
        <f>$H$130*$AF$130</f>
        <v>186.56</v>
      </c>
    </row>
    <row r="131" spans="1:52" x14ac:dyDescent="0.25">
      <c r="A131">
        <v>179</v>
      </c>
      <c r="B131" t="s">
        <v>268</v>
      </c>
      <c r="C131" t="s">
        <v>367</v>
      </c>
      <c r="D131">
        <v>1</v>
      </c>
      <c r="E131">
        <v>62.41</v>
      </c>
      <c r="F131" t="s">
        <v>335</v>
      </c>
      <c r="G131">
        <v>62.41</v>
      </c>
      <c r="H131">
        <v>74.89</v>
      </c>
      <c r="I131" t="s">
        <v>368</v>
      </c>
      <c r="J131" t="s">
        <v>369</v>
      </c>
      <c r="K131" t="s">
        <v>619</v>
      </c>
      <c r="L131" t="s">
        <v>179</v>
      </c>
      <c r="M131" t="s">
        <v>268</v>
      </c>
      <c r="N131" t="s">
        <v>12</v>
      </c>
      <c r="O131" t="s">
        <v>13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268</v>
      </c>
      <c r="AH131" t="s">
        <v>12</v>
      </c>
      <c r="AI131" t="s">
        <v>13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0</v>
      </c>
      <c r="AO131">
        <f>$H$131*$U$131</f>
        <v>0</v>
      </c>
      <c r="AP131">
        <f>$H$131*$V$131</f>
        <v>0</v>
      </c>
      <c r="AQ131">
        <f>$H$131*$W$131</f>
        <v>0</v>
      </c>
      <c r="AR131">
        <f>$H$131*$X$131</f>
        <v>0</v>
      </c>
      <c r="AS131">
        <f>$H$131*$Y$131</f>
        <v>0</v>
      </c>
      <c r="AT131">
        <f>$H$131*$Z$131</f>
        <v>0</v>
      </c>
      <c r="AU131">
        <f>$H$131*$AA$131</f>
        <v>74.89</v>
      </c>
      <c r="AV131">
        <f>$H$131*$AB$131</f>
        <v>74.89</v>
      </c>
      <c r="AW131">
        <f>$H$131*$AC$131</f>
        <v>74.89</v>
      </c>
      <c r="AX131">
        <f>$H$131*$AD$131</f>
        <v>74.89</v>
      </c>
      <c r="AY131">
        <f>$H$131*$AE$131</f>
        <v>74.89</v>
      </c>
      <c r="AZ131">
        <f>$H$131*$AF$131</f>
        <v>74.89</v>
      </c>
    </row>
    <row r="132" spans="1:52" x14ac:dyDescent="0.25">
      <c r="A132">
        <v>180</v>
      </c>
      <c r="B132" t="s">
        <v>268</v>
      </c>
      <c r="C132" t="s">
        <v>375</v>
      </c>
      <c r="D132">
        <v>2</v>
      </c>
      <c r="E132">
        <v>77.86</v>
      </c>
      <c r="F132" t="s">
        <v>335</v>
      </c>
      <c r="G132">
        <v>38.93</v>
      </c>
      <c r="H132">
        <v>93.44</v>
      </c>
      <c r="I132" t="s">
        <v>330</v>
      </c>
      <c r="J132" t="s">
        <v>371</v>
      </c>
      <c r="K132" t="s">
        <v>622</v>
      </c>
      <c r="L132" t="s">
        <v>179</v>
      </c>
      <c r="M132" t="s">
        <v>268</v>
      </c>
      <c r="N132" t="s">
        <v>12</v>
      </c>
      <c r="O132" t="s">
        <v>13</v>
      </c>
      <c r="P132">
        <v>0</v>
      </c>
      <c r="Q132">
        <v>0</v>
      </c>
      <c r="R132">
        <v>0</v>
      </c>
      <c r="S132">
        <v>1</v>
      </c>
      <c r="T132">
        <v>1</v>
      </c>
      <c r="U132">
        <v>1</v>
      </c>
      <c r="V132">
        <v>1</v>
      </c>
      <c r="W132">
        <v>1</v>
      </c>
      <c r="X132">
        <v>1</v>
      </c>
      <c r="Y132">
        <v>1</v>
      </c>
      <c r="Z132">
        <v>1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268</v>
      </c>
      <c r="AH132" t="s">
        <v>12</v>
      </c>
      <c r="AI132" t="s">
        <v>13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93.44</v>
      </c>
      <c r="AN132">
        <f>$H$132*$T$132</f>
        <v>93.44</v>
      </c>
      <c r="AO132">
        <f>$H$132*$U$132</f>
        <v>93.44</v>
      </c>
      <c r="AP132">
        <f>$H$132*$V$132</f>
        <v>93.44</v>
      </c>
      <c r="AQ132">
        <f>$H$132*$W$132</f>
        <v>93.44</v>
      </c>
      <c r="AR132">
        <f>$H$132*$X$132</f>
        <v>93.44</v>
      </c>
      <c r="AS132">
        <f>$H$132*$Y$132</f>
        <v>93.44</v>
      </c>
      <c r="AT132">
        <f>$H$132*$Z$132</f>
        <v>93.44</v>
      </c>
      <c r="AU132">
        <f>$H$132*$AA$132</f>
        <v>93.44</v>
      </c>
      <c r="AV132">
        <f>$H$132*$AB$132</f>
        <v>93.44</v>
      </c>
      <c r="AW132">
        <f>$H$132*$AC$132</f>
        <v>93.44</v>
      </c>
      <c r="AX132">
        <f>$H$132*$AD$132</f>
        <v>93.44</v>
      </c>
      <c r="AY132">
        <f>$H$132*$AE$132</f>
        <v>93.44</v>
      </c>
      <c r="AZ132">
        <f>$H$132*$AF$132</f>
        <v>93.44</v>
      </c>
    </row>
    <row r="133" spans="1:52" x14ac:dyDescent="0.25">
      <c r="A133">
        <v>181</v>
      </c>
      <c r="B133" t="s">
        <v>268</v>
      </c>
      <c r="C133" t="s">
        <v>373</v>
      </c>
      <c r="D133">
        <v>2</v>
      </c>
      <c r="E133">
        <v>62.72</v>
      </c>
      <c r="F133" t="s">
        <v>335</v>
      </c>
      <c r="G133">
        <v>31.36</v>
      </c>
      <c r="H133">
        <v>75.260000000000005</v>
      </c>
      <c r="I133" t="s">
        <v>330</v>
      </c>
      <c r="J133" t="s">
        <v>374</v>
      </c>
      <c r="K133" t="s">
        <v>621</v>
      </c>
      <c r="L133" t="s">
        <v>179</v>
      </c>
      <c r="M133" t="s">
        <v>268</v>
      </c>
      <c r="N133" t="s">
        <v>12</v>
      </c>
      <c r="O133" t="s">
        <v>13</v>
      </c>
      <c r="P133">
        <v>0</v>
      </c>
      <c r="Q133">
        <v>0</v>
      </c>
      <c r="R133">
        <v>0</v>
      </c>
      <c r="S133">
        <v>1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268</v>
      </c>
      <c r="AH133" t="s">
        <v>12</v>
      </c>
      <c r="AI133" t="s">
        <v>13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75.260000000000005</v>
      </c>
      <c r="AN133">
        <f>$H$133*$T$133</f>
        <v>75.260000000000005</v>
      </c>
      <c r="AO133">
        <f>$H$133*$U$133</f>
        <v>75.260000000000005</v>
      </c>
      <c r="AP133">
        <f>$H$133*$V$133</f>
        <v>75.260000000000005</v>
      </c>
      <c r="AQ133">
        <f>$H$133*$W$133</f>
        <v>75.260000000000005</v>
      </c>
      <c r="AR133">
        <f>$H$133*$X$133</f>
        <v>75.260000000000005</v>
      </c>
      <c r="AS133">
        <f>$H$133*$Y$133</f>
        <v>75.260000000000005</v>
      </c>
      <c r="AT133">
        <f>$H$133*$Z$133</f>
        <v>75.260000000000005</v>
      </c>
      <c r="AU133">
        <f>$H$133*$AA$133</f>
        <v>75.260000000000005</v>
      </c>
      <c r="AV133">
        <f>$H$133*$AB$133</f>
        <v>75.260000000000005</v>
      </c>
      <c r="AW133">
        <f>$H$133*$AC$133</f>
        <v>75.260000000000005</v>
      </c>
      <c r="AX133">
        <f>$H$133*$AD$133</f>
        <v>75.260000000000005</v>
      </c>
      <c r="AY133">
        <f>$H$133*$AE$133</f>
        <v>75.260000000000005</v>
      </c>
      <c r="AZ133">
        <f>$H$133*$AF$133</f>
        <v>75.260000000000005</v>
      </c>
    </row>
    <row r="134" spans="1:52" x14ac:dyDescent="0.25">
      <c r="A134">
        <v>182</v>
      </c>
      <c r="B134" t="s">
        <v>268</v>
      </c>
      <c r="C134" t="s">
        <v>370</v>
      </c>
      <c r="D134">
        <v>1</v>
      </c>
      <c r="E134">
        <v>366.18</v>
      </c>
      <c r="F134" t="s">
        <v>335</v>
      </c>
      <c r="G134">
        <v>366.18</v>
      </c>
      <c r="H134">
        <v>439.42</v>
      </c>
      <c r="I134" t="s">
        <v>371</v>
      </c>
      <c r="J134" t="s">
        <v>372</v>
      </c>
      <c r="K134" t="s">
        <v>620</v>
      </c>
      <c r="L134" t="s">
        <v>179</v>
      </c>
      <c r="M134" t="s">
        <v>268</v>
      </c>
      <c r="N134" t="s">
        <v>12</v>
      </c>
      <c r="O134" t="s">
        <v>13</v>
      </c>
      <c r="P134">
        <v>0</v>
      </c>
      <c r="Q134">
        <v>0</v>
      </c>
      <c r="R134">
        <v>0</v>
      </c>
      <c r="S134">
        <v>0</v>
      </c>
      <c r="T134">
        <v>1</v>
      </c>
      <c r="U134">
        <v>1</v>
      </c>
      <c r="V134">
        <v>1</v>
      </c>
      <c r="W134">
        <v>1</v>
      </c>
      <c r="X134">
        <v>1</v>
      </c>
      <c r="Y134">
        <v>1</v>
      </c>
      <c r="Z134">
        <v>1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268</v>
      </c>
      <c r="AH134" t="s">
        <v>12</v>
      </c>
      <c r="AI134" t="s">
        <v>13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439.42</v>
      </c>
      <c r="AO134">
        <f>$H$134*$U$134</f>
        <v>439.42</v>
      </c>
      <c r="AP134">
        <f>$H$134*$V$134</f>
        <v>439.42</v>
      </c>
      <c r="AQ134">
        <f>$H$134*$W$134</f>
        <v>439.42</v>
      </c>
      <c r="AR134">
        <f>$H$134*$X$134</f>
        <v>439.42</v>
      </c>
      <c r="AS134">
        <f>$H$134*$Y$134</f>
        <v>439.42</v>
      </c>
      <c r="AT134">
        <f>$H$134*$Z$134</f>
        <v>439.42</v>
      </c>
      <c r="AU134">
        <f>$H$134*$AA$134</f>
        <v>439.42</v>
      </c>
      <c r="AV134">
        <f>$H$134*$AB$134</f>
        <v>439.42</v>
      </c>
      <c r="AW134">
        <f>$H$134*$AC$134</f>
        <v>439.42</v>
      </c>
      <c r="AX134">
        <f>$H$134*$AD$134</f>
        <v>439.42</v>
      </c>
      <c r="AY134">
        <f>$H$134*$AE$134</f>
        <v>439.42</v>
      </c>
      <c r="AZ134">
        <f>$H$134*$AF$134</f>
        <v>439.42</v>
      </c>
    </row>
    <row r="135" spans="1:52" x14ac:dyDescent="0.25">
      <c r="A135">
        <v>183</v>
      </c>
      <c r="B135" t="s">
        <v>268</v>
      </c>
      <c r="C135" t="s">
        <v>507</v>
      </c>
      <c r="D135">
        <v>1</v>
      </c>
      <c r="E135">
        <v>37</v>
      </c>
      <c r="F135" t="s">
        <v>335</v>
      </c>
      <c r="G135">
        <v>37</v>
      </c>
      <c r="H135">
        <v>44.4</v>
      </c>
      <c r="I135" t="s">
        <v>337</v>
      </c>
      <c r="J135" t="s">
        <v>508</v>
      </c>
      <c r="K135" t="s">
        <v>686</v>
      </c>
      <c r="L135" t="s">
        <v>179</v>
      </c>
      <c r="M135" t="s">
        <v>268</v>
      </c>
      <c r="N135" t="s">
        <v>12</v>
      </c>
      <c r="O135" t="s">
        <v>13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0.6</v>
      </c>
      <c r="Y135">
        <v>0.6</v>
      </c>
      <c r="Z135">
        <v>0.6</v>
      </c>
      <c r="AA135">
        <v>0.6</v>
      </c>
      <c r="AB135">
        <v>0.6</v>
      </c>
      <c r="AC135">
        <v>0.6</v>
      </c>
      <c r="AD135">
        <v>1</v>
      </c>
      <c r="AE135">
        <v>1</v>
      </c>
      <c r="AF135">
        <v>1</v>
      </c>
      <c r="AG135" t="s">
        <v>268</v>
      </c>
      <c r="AH135" t="s">
        <v>12</v>
      </c>
      <c r="AI135" t="s">
        <v>13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26.639999999999997</v>
      </c>
      <c r="AS135">
        <f>$H$135*$Y$135</f>
        <v>26.639999999999997</v>
      </c>
      <c r="AT135">
        <f>$H$135*$Z$135</f>
        <v>26.639999999999997</v>
      </c>
      <c r="AU135">
        <f>$H$135*$AA$135</f>
        <v>26.639999999999997</v>
      </c>
      <c r="AV135">
        <f>$H$135*$AB$135</f>
        <v>26.639999999999997</v>
      </c>
      <c r="AW135">
        <f>$H$135*$AC$135</f>
        <v>26.639999999999997</v>
      </c>
      <c r="AX135">
        <f>$H$135*$AD$135</f>
        <v>44.4</v>
      </c>
      <c r="AY135">
        <f>$H$135*$AE$135</f>
        <v>44.4</v>
      </c>
      <c r="AZ135">
        <f>$H$135*$AF$135</f>
        <v>44.4</v>
      </c>
    </row>
    <row r="136" spans="1:52" x14ac:dyDescent="0.25">
      <c r="A136">
        <v>184</v>
      </c>
      <c r="B136" t="s">
        <v>268</v>
      </c>
      <c r="C136" t="s">
        <v>509</v>
      </c>
      <c r="D136">
        <v>6</v>
      </c>
      <c r="E136">
        <v>1915.62</v>
      </c>
      <c r="F136" t="s">
        <v>329</v>
      </c>
      <c r="G136">
        <v>319.27</v>
      </c>
      <c r="H136">
        <v>2298.7399999999998</v>
      </c>
      <c r="I136" t="s">
        <v>489</v>
      </c>
      <c r="J136" t="s">
        <v>510</v>
      </c>
      <c r="K136" t="s">
        <v>687</v>
      </c>
      <c r="L136" t="s">
        <v>179</v>
      </c>
      <c r="M136" t="s">
        <v>268</v>
      </c>
      <c r="N136" t="s">
        <v>12</v>
      </c>
      <c r="O136" t="s">
        <v>13</v>
      </c>
      <c r="P136">
        <v>0</v>
      </c>
      <c r="Q136">
        <v>0</v>
      </c>
      <c r="R136">
        <v>0</v>
      </c>
      <c r="S136">
        <v>0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268</v>
      </c>
      <c r="AH136" t="s">
        <v>12</v>
      </c>
      <c r="AI136" t="s">
        <v>13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2298.7399999999998</v>
      </c>
      <c r="AO136">
        <f>$H$136*$U$136</f>
        <v>2298.7399999999998</v>
      </c>
      <c r="AP136">
        <f>$H$136*$V$136</f>
        <v>2298.7399999999998</v>
      </c>
      <c r="AQ136">
        <f>$H$136*$W$136</f>
        <v>2298.7399999999998</v>
      </c>
      <c r="AR136">
        <f>$H$136*$X$136</f>
        <v>2298.7399999999998</v>
      </c>
      <c r="AS136">
        <f>$H$136*$Y$136</f>
        <v>2298.7399999999998</v>
      </c>
      <c r="AT136">
        <f>$H$136*$Z$136</f>
        <v>2298.7399999999998</v>
      </c>
      <c r="AU136">
        <f>$H$136*$AA$136</f>
        <v>2298.7399999999998</v>
      </c>
      <c r="AV136">
        <f>$H$136*$AB$136</f>
        <v>2298.7399999999998</v>
      </c>
      <c r="AW136">
        <f>$H$136*$AC$136</f>
        <v>2298.7399999999998</v>
      </c>
      <c r="AX136">
        <f>$H$136*$AD$136</f>
        <v>2298.7399999999998</v>
      </c>
      <c r="AY136">
        <f>$H$136*$AE$136</f>
        <v>2298.7399999999998</v>
      </c>
      <c r="AZ136">
        <f>$H$136*$AF$136</f>
        <v>2298.7399999999998</v>
      </c>
    </row>
    <row r="137" spans="1:52" x14ac:dyDescent="0.25">
      <c r="A137">
        <v>185</v>
      </c>
      <c r="B137" t="s">
        <v>268</v>
      </c>
      <c r="C137" t="s">
        <v>511</v>
      </c>
      <c r="D137">
        <v>10</v>
      </c>
      <c r="E137">
        <v>969.9</v>
      </c>
      <c r="F137" t="s">
        <v>349</v>
      </c>
      <c r="G137">
        <v>96.99</v>
      </c>
      <c r="H137">
        <v>1163.8800000000001</v>
      </c>
      <c r="I137" t="s">
        <v>489</v>
      </c>
      <c r="J137" t="s">
        <v>512</v>
      </c>
      <c r="K137" t="s">
        <v>688</v>
      </c>
      <c r="L137" t="s">
        <v>179</v>
      </c>
      <c r="M137" t="s">
        <v>268</v>
      </c>
      <c r="N137" t="s">
        <v>12</v>
      </c>
      <c r="O137" t="s">
        <v>13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268</v>
      </c>
      <c r="AH137" t="s">
        <v>12</v>
      </c>
      <c r="AI137" t="s">
        <v>13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0</v>
      </c>
      <c r="AS137">
        <f>$H$137*$Y$137</f>
        <v>0</v>
      </c>
      <c r="AT137">
        <f>$H$137*$Z$137</f>
        <v>1163.8800000000001</v>
      </c>
      <c r="AU137">
        <f>$H$137*$AA$137</f>
        <v>1163.8800000000001</v>
      </c>
      <c r="AV137">
        <f>$H$137*$AB$137</f>
        <v>1163.8800000000001</v>
      </c>
      <c r="AW137">
        <f>$H$137*$AC$137</f>
        <v>1163.8800000000001</v>
      </c>
      <c r="AX137">
        <f>$H$137*$AD$137</f>
        <v>1163.8800000000001</v>
      </c>
      <c r="AY137">
        <f>$H$137*$AE$137</f>
        <v>1163.8800000000001</v>
      </c>
      <c r="AZ137">
        <f>$H$137*$AF$137</f>
        <v>1163.8800000000001</v>
      </c>
    </row>
    <row r="138" spans="1:52" x14ac:dyDescent="0.25">
      <c r="A138">
        <v>186</v>
      </c>
      <c r="B138" t="s">
        <v>268</v>
      </c>
      <c r="C138" t="s">
        <v>513</v>
      </c>
      <c r="D138">
        <v>1</v>
      </c>
      <c r="E138">
        <v>305.94</v>
      </c>
      <c r="F138" t="s">
        <v>335</v>
      </c>
      <c r="G138">
        <v>305.94</v>
      </c>
      <c r="H138">
        <v>367.12</v>
      </c>
      <c r="I138" t="s">
        <v>353</v>
      </c>
      <c r="J138" t="s">
        <v>514</v>
      </c>
      <c r="K138" t="s">
        <v>689</v>
      </c>
      <c r="L138" t="s">
        <v>179</v>
      </c>
      <c r="M138" t="s">
        <v>268</v>
      </c>
      <c r="N138" t="s">
        <v>12</v>
      </c>
      <c r="O138" t="s">
        <v>13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268</v>
      </c>
      <c r="AH138" t="s">
        <v>12</v>
      </c>
      <c r="AI138" t="s">
        <v>13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0</v>
      </c>
      <c r="AT138">
        <f>$H$138*$Z$138</f>
        <v>0</v>
      </c>
      <c r="AU138">
        <f>$H$138*$AA$138</f>
        <v>367.12</v>
      </c>
      <c r="AV138">
        <f>$H$138*$AB$138</f>
        <v>367.12</v>
      </c>
      <c r="AW138">
        <f>$H$138*$AC$138</f>
        <v>367.12</v>
      </c>
      <c r="AX138">
        <f>$H$138*$AD$138</f>
        <v>367.12</v>
      </c>
      <c r="AY138">
        <f>$H$138*$AE$138</f>
        <v>367.12</v>
      </c>
      <c r="AZ138">
        <f>$H$138*$AF$138</f>
        <v>367.12</v>
      </c>
    </row>
    <row r="139" spans="1:52" x14ac:dyDescent="0.25">
      <c r="A139">
        <v>187</v>
      </c>
      <c r="B139" t="s">
        <v>268</v>
      </c>
      <c r="C139" t="s">
        <v>354</v>
      </c>
      <c r="D139">
        <v>1.5</v>
      </c>
      <c r="E139">
        <v>983.6</v>
      </c>
      <c r="F139" t="s">
        <v>335</v>
      </c>
      <c r="G139">
        <v>655.73</v>
      </c>
      <c r="H139">
        <v>1180.32</v>
      </c>
      <c r="I139" t="s">
        <v>353</v>
      </c>
      <c r="J139" t="s">
        <v>355</v>
      </c>
      <c r="K139" t="s">
        <v>612</v>
      </c>
      <c r="L139" t="s">
        <v>179</v>
      </c>
      <c r="M139" t="s">
        <v>268</v>
      </c>
      <c r="N139" t="s">
        <v>12</v>
      </c>
      <c r="O139" t="s">
        <v>13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268</v>
      </c>
      <c r="AH139" t="s">
        <v>12</v>
      </c>
      <c r="AI139" t="s">
        <v>13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0</v>
      </c>
      <c r="AQ139">
        <f>$H$139*$W$139</f>
        <v>0</v>
      </c>
      <c r="AR139">
        <f>$H$139*$X$139</f>
        <v>0</v>
      </c>
      <c r="AS139">
        <f>$H$139*$Y$139</f>
        <v>1180.32</v>
      </c>
      <c r="AT139">
        <f>$H$139*$Z$139</f>
        <v>1180.32</v>
      </c>
      <c r="AU139">
        <f>$H$139*$AA$139</f>
        <v>1180.32</v>
      </c>
      <c r="AV139">
        <f>$H$139*$AB$139</f>
        <v>1180.32</v>
      </c>
      <c r="AW139">
        <f>$H$139*$AC$139</f>
        <v>1180.32</v>
      </c>
      <c r="AX139">
        <f>$H$139*$AD$139</f>
        <v>1180.32</v>
      </c>
      <c r="AY139">
        <f>$H$139*$AE$139</f>
        <v>1180.32</v>
      </c>
      <c r="AZ139">
        <f>$H$139*$AF$139</f>
        <v>1180.32</v>
      </c>
    </row>
    <row r="140" spans="1:52" x14ac:dyDescent="0.25">
      <c r="A140">
        <v>188</v>
      </c>
      <c r="B140" t="s">
        <v>268</v>
      </c>
      <c r="C140" t="s">
        <v>354</v>
      </c>
      <c r="D140">
        <v>0.5</v>
      </c>
      <c r="E140">
        <v>327.87</v>
      </c>
      <c r="F140" t="s">
        <v>335</v>
      </c>
      <c r="G140">
        <v>655.73</v>
      </c>
      <c r="H140">
        <v>393.45</v>
      </c>
      <c r="I140" t="s">
        <v>353</v>
      </c>
      <c r="J140" t="s">
        <v>355</v>
      </c>
      <c r="K140" t="s">
        <v>612</v>
      </c>
      <c r="L140" t="s">
        <v>179</v>
      </c>
      <c r="M140" t="s">
        <v>268</v>
      </c>
      <c r="N140" t="s">
        <v>12</v>
      </c>
      <c r="O140" t="s">
        <v>13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1</v>
      </c>
      <c r="Z140">
        <v>1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268</v>
      </c>
      <c r="AH140" t="s">
        <v>12</v>
      </c>
      <c r="AI140" t="s">
        <v>13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0</v>
      </c>
      <c r="AO140">
        <f>$H$140*$U$140</f>
        <v>0</v>
      </c>
      <c r="AP140">
        <f>$H$140*$V$140</f>
        <v>0</v>
      </c>
      <c r="AQ140">
        <f>$H$140*$W$140</f>
        <v>0</v>
      </c>
      <c r="AR140">
        <f>$H$140*$X$140</f>
        <v>0</v>
      </c>
      <c r="AS140">
        <f>$H$140*$Y$140</f>
        <v>393.45</v>
      </c>
      <c r="AT140">
        <f>$H$140*$Z$140</f>
        <v>393.45</v>
      </c>
      <c r="AU140">
        <f>$H$140*$AA$140</f>
        <v>393.45</v>
      </c>
      <c r="AV140">
        <f>$H$140*$AB$140</f>
        <v>393.45</v>
      </c>
      <c r="AW140">
        <f>$H$140*$AC$140</f>
        <v>393.45</v>
      </c>
      <c r="AX140">
        <f>$H$140*$AD$140</f>
        <v>393.45</v>
      </c>
      <c r="AY140">
        <f>$H$140*$AE$140</f>
        <v>393.45</v>
      </c>
      <c r="AZ140">
        <f>$H$140*$AF$140</f>
        <v>393.45</v>
      </c>
    </row>
    <row r="141" spans="1:52" x14ac:dyDescent="0.25">
      <c r="A141">
        <v>189</v>
      </c>
      <c r="B141" t="s">
        <v>268</v>
      </c>
      <c r="C141" t="s">
        <v>515</v>
      </c>
      <c r="D141">
        <v>2</v>
      </c>
      <c r="E141">
        <v>813.28</v>
      </c>
      <c r="F141" t="s">
        <v>335</v>
      </c>
      <c r="G141">
        <v>406.64</v>
      </c>
      <c r="H141">
        <v>975.94</v>
      </c>
      <c r="I141" t="s">
        <v>353</v>
      </c>
      <c r="J141" t="s">
        <v>516</v>
      </c>
      <c r="K141" t="s">
        <v>690</v>
      </c>
      <c r="L141" t="s">
        <v>179</v>
      </c>
      <c r="M141" t="s">
        <v>268</v>
      </c>
      <c r="N141" t="s">
        <v>12</v>
      </c>
      <c r="O141" t="s">
        <v>13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268</v>
      </c>
      <c r="AH141" t="s">
        <v>12</v>
      </c>
      <c r="AI141" t="s">
        <v>13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0</v>
      </c>
      <c r="AO141">
        <f>$H$141*$U$141</f>
        <v>0</v>
      </c>
      <c r="AP141">
        <f>$H$141*$V$141</f>
        <v>0</v>
      </c>
      <c r="AQ141">
        <f>$H$141*$W$141</f>
        <v>0</v>
      </c>
      <c r="AR141">
        <f>$H$141*$X$141</f>
        <v>0</v>
      </c>
      <c r="AS141">
        <f>$H$141*$Y$141</f>
        <v>0</v>
      </c>
      <c r="AT141">
        <f>$H$141*$Z$141</f>
        <v>0</v>
      </c>
      <c r="AU141">
        <f>$H$141*$AA$141</f>
        <v>975.94</v>
      </c>
      <c r="AV141">
        <f>$H$141*$AB$141</f>
        <v>975.94</v>
      </c>
      <c r="AW141">
        <f>$H$141*$AC$141</f>
        <v>975.94</v>
      </c>
      <c r="AX141">
        <f>$H$141*$AD$141</f>
        <v>975.94</v>
      </c>
      <c r="AY141">
        <f>$H$141*$AE$141</f>
        <v>975.94</v>
      </c>
      <c r="AZ141">
        <f>$H$141*$AF$141</f>
        <v>975.94</v>
      </c>
    </row>
    <row r="142" spans="1:52" x14ac:dyDescent="0.25">
      <c r="A142">
        <v>190</v>
      </c>
      <c r="B142" t="s">
        <v>268</v>
      </c>
      <c r="C142" t="s">
        <v>438</v>
      </c>
      <c r="D142">
        <v>10.199999999999999</v>
      </c>
      <c r="E142">
        <v>26.72</v>
      </c>
      <c r="F142" t="s">
        <v>329</v>
      </c>
      <c r="G142">
        <v>2.62</v>
      </c>
      <c r="H142">
        <v>32.06</v>
      </c>
      <c r="I142" t="s">
        <v>439</v>
      </c>
      <c r="J142" t="s">
        <v>440</v>
      </c>
      <c r="K142" t="s">
        <v>654</v>
      </c>
      <c r="L142" t="s">
        <v>179</v>
      </c>
      <c r="M142" t="s">
        <v>268</v>
      </c>
      <c r="N142" t="s">
        <v>12</v>
      </c>
      <c r="O142" t="s">
        <v>13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268</v>
      </c>
      <c r="AH142" t="s">
        <v>12</v>
      </c>
      <c r="AI142" t="s">
        <v>13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0</v>
      </c>
      <c r="AN142">
        <f>$H$142*$T$142</f>
        <v>0</v>
      </c>
      <c r="AO142">
        <f>$H$142*$U$142</f>
        <v>0</v>
      </c>
      <c r="AP142">
        <f>$H$142*$V$142</f>
        <v>0</v>
      </c>
      <c r="AQ142">
        <f>$H$142*$W$142</f>
        <v>0</v>
      </c>
      <c r="AR142">
        <f>$H$142*$X$142</f>
        <v>0</v>
      </c>
      <c r="AS142">
        <f>$H$142*$Y$142</f>
        <v>0</v>
      </c>
      <c r="AT142">
        <f>$H$142*$Z$142</f>
        <v>0</v>
      </c>
      <c r="AU142">
        <f>$H$142*$AA$142</f>
        <v>32.06</v>
      </c>
      <c r="AV142">
        <f>$H$142*$AB$142</f>
        <v>32.06</v>
      </c>
      <c r="AW142">
        <f>$H$142*$AC$142</f>
        <v>32.06</v>
      </c>
      <c r="AX142">
        <f>$H$142*$AD$142</f>
        <v>32.06</v>
      </c>
      <c r="AY142">
        <f>$H$142*$AE$142</f>
        <v>32.06</v>
      </c>
      <c r="AZ142">
        <f>$H$142*$AF$142</f>
        <v>32.06</v>
      </c>
    </row>
    <row r="143" spans="1:52" x14ac:dyDescent="0.25">
      <c r="A143">
        <v>191</v>
      </c>
      <c r="B143" t="s">
        <v>268</v>
      </c>
      <c r="C143" t="s">
        <v>441</v>
      </c>
      <c r="D143">
        <v>91.8</v>
      </c>
      <c r="E143">
        <v>198.29</v>
      </c>
      <c r="F143" t="s">
        <v>349</v>
      </c>
      <c r="G143">
        <v>2.16</v>
      </c>
      <c r="H143">
        <v>237.95</v>
      </c>
      <c r="I143" t="s">
        <v>439</v>
      </c>
      <c r="J143" t="s">
        <v>442</v>
      </c>
      <c r="K143" t="s">
        <v>655</v>
      </c>
      <c r="L143" t="s">
        <v>179</v>
      </c>
      <c r="M143" t="s">
        <v>268</v>
      </c>
      <c r="N143" t="s">
        <v>12</v>
      </c>
      <c r="O143" t="s">
        <v>13</v>
      </c>
      <c r="P143">
        <v>0</v>
      </c>
      <c r="Q143">
        <v>0</v>
      </c>
      <c r="R143">
        <v>0</v>
      </c>
      <c r="S143">
        <v>1</v>
      </c>
      <c r="T143">
        <v>1</v>
      </c>
      <c r="U143">
        <v>1</v>
      </c>
      <c r="V143">
        <v>1</v>
      </c>
      <c r="W143">
        <v>1</v>
      </c>
      <c r="X143">
        <v>1</v>
      </c>
      <c r="Y143">
        <v>1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268</v>
      </c>
      <c r="AH143" t="s">
        <v>12</v>
      </c>
      <c r="AI143" t="s">
        <v>13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237.95</v>
      </c>
      <c r="AN143">
        <f>$H$143*$T$143</f>
        <v>237.95</v>
      </c>
      <c r="AO143">
        <f>$H$143*$U$143</f>
        <v>237.95</v>
      </c>
      <c r="AP143">
        <f>$H$143*$V$143</f>
        <v>237.95</v>
      </c>
      <c r="AQ143">
        <f>$H$143*$W$143</f>
        <v>237.95</v>
      </c>
      <c r="AR143">
        <f>$H$143*$X$143</f>
        <v>237.95</v>
      </c>
      <c r="AS143">
        <f>$H$143*$Y$143</f>
        <v>237.95</v>
      </c>
      <c r="AT143">
        <f>$H$143*$Z$143</f>
        <v>237.95</v>
      </c>
      <c r="AU143">
        <f>$H$143*$AA$143</f>
        <v>237.95</v>
      </c>
      <c r="AV143">
        <f>$H$143*$AB$143</f>
        <v>237.95</v>
      </c>
      <c r="AW143">
        <f>$H$143*$AC$143</f>
        <v>237.95</v>
      </c>
      <c r="AX143">
        <f>$H$143*$AD$143</f>
        <v>237.95</v>
      </c>
      <c r="AY143">
        <f>$H$143*$AE$143</f>
        <v>237.95</v>
      </c>
      <c r="AZ143">
        <f>$H$143*$AF$143</f>
        <v>237.95</v>
      </c>
    </row>
    <row r="144" spans="1:52" x14ac:dyDescent="0.25">
      <c r="A144">
        <v>192</v>
      </c>
      <c r="B144" t="s">
        <v>268</v>
      </c>
      <c r="C144" t="s">
        <v>443</v>
      </c>
      <c r="D144">
        <v>91.8</v>
      </c>
      <c r="E144">
        <v>57.83</v>
      </c>
      <c r="F144" t="s">
        <v>349</v>
      </c>
      <c r="G144">
        <v>0.63</v>
      </c>
      <c r="H144">
        <v>69.39</v>
      </c>
      <c r="I144" t="s">
        <v>330</v>
      </c>
      <c r="J144" t="s">
        <v>444</v>
      </c>
      <c r="K144" t="s">
        <v>656</v>
      </c>
      <c r="L144" t="s">
        <v>179</v>
      </c>
      <c r="M144" t="s">
        <v>268</v>
      </c>
      <c r="N144" t="s">
        <v>12</v>
      </c>
      <c r="O144" t="s">
        <v>13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1</v>
      </c>
      <c r="AE144">
        <v>1</v>
      </c>
      <c r="AF144">
        <v>1</v>
      </c>
      <c r="AG144" t="s">
        <v>268</v>
      </c>
      <c r="AH144" t="s">
        <v>12</v>
      </c>
      <c r="AI144" t="s">
        <v>13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0</v>
      </c>
      <c r="AO144">
        <f>$H$144*$U$144</f>
        <v>0</v>
      </c>
      <c r="AP144">
        <f>$H$144*$V$144</f>
        <v>0</v>
      </c>
      <c r="AQ144">
        <f>$H$144*$W$144</f>
        <v>0</v>
      </c>
      <c r="AR144">
        <f>$H$144*$X$144</f>
        <v>0</v>
      </c>
      <c r="AS144">
        <f>$H$144*$Y$144</f>
        <v>0</v>
      </c>
      <c r="AT144">
        <f>$H$144*$Z$144</f>
        <v>0</v>
      </c>
      <c r="AU144">
        <f>$H$144*$AA$144</f>
        <v>0</v>
      </c>
      <c r="AV144">
        <f>$H$144*$AB$144</f>
        <v>0</v>
      </c>
      <c r="AW144">
        <f>$H$144*$AC$144</f>
        <v>0</v>
      </c>
      <c r="AX144">
        <f>$H$144*$AD$144</f>
        <v>69.39</v>
      </c>
      <c r="AY144">
        <f>$H$144*$AE$144</f>
        <v>69.39</v>
      </c>
      <c r="AZ144">
        <f>$H$144*$AF$144</f>
        <v>69.39</v>
      </c>
    </row>
    <row r="145" spans="1:52" x14ac:dyDescent="0.25">
      <c r="A145">
        <v>193</v>
      </c>
      <c r="B145" t="s">
        <v>268</v>
      </c>
      <c r="C145" t="s">
        <v>362</v>
      </c>
      <c r="D145">
        <v>114.75</v>
      </c>
      <c r="E145">
        <v>112.46</v>
      </c>
      <c r="F145" t="s">
        <v>349</v>
      </c>
      <c r="G145">
        <v>0.98</v>
      </c>
      <c r="H145">
        <v>134.96</v>
      </c>
      <c r="I145" t="s">
        <v>330</v>
      </c>
      <c r="J145" t="s">
        <v>363</v>
      </c>
      <c r="K145" t="s">
        <v>617</v>
      </c>
      <c r="L145" t="s">
        <v>179</v>
      </c>
      <c r="M145" t="s">
        <v>268</v>
      </c>
      <c r="N145" t="s">
        <v>12</v>
      </c>
      <c r="O145" t="s">
        <v>13</v>
      </c>
      <c r="P145">
        <v>0</v>
      </c>
      <c r="Q145">
        <v>0</v>
      </c>
      <c r="R145">
        <v>0</v>
      </c>
      <c r="S145">
        <v>0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268</v>
      </c>
      <c r="AH145" t="s">
        <v>12</v>
      </c>
      <c r="AI145" t="s">
        <v>13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0</v>
      </c>
      <c r="AN145">
        <f>$H$145*$T$145</f>
        <v>134.96</v>
      </c>
      <c r="AO145">
        <f>$H$145*$U$145</f>
        <v>134.96</v>
      </c>
      <c r="AP145">
        <f>$H$145*$V$145</f>
        <v>134.96</v>
      </c>
      <c r="AQ145">
        <f>$H$145*$W$145</f>
        <v>134.96</v>
      </c>
      <c r="AR145">
        <f>$H$145*$X$145</f>
        <v>134.96</v>
      </c>
      <c r="AS145">
        <f>$H$145*$Y$145</f>
        <v>134.96</v>
      </c>
      <c r="AT145">
        <f>$H$145*$Z$145</f>
        <v>134.96</v>
      </c>
      <c r="AU145">
        <f>$H$145*$AA$145</f>
        <v>134.96</v>
      </c>
      <c r="AV145">
        <f>$H$145*$AB$145</f>
        <v>134.96</v>
      </c>
      <c r="AW145">
        <f>$H$145*$AC$145</f>
        <v>134.96</v>
      </c>
      <c r="AX145">
        <f>$H$145*$AD$145</f>
        <v>134.96</v>
      </c>
      <c r="AY145">
        <f>$H$145*$AE$145</f>
        <v>134.96</v>
      </c>
      <c r="AZ145">
        <f>$H$145*$AF$145</f>
        <v>134.96</v>
      </c>
    </row>
    <row r="146" spans="1:52" x14ac:dyDescent="0.25">
      <c r="A146">
        <v>194</v>
      </c>
      <c r="B146" t="s">
        <v>268</v>
      </c>
      <c r="C146" t="s">
        <v>445</v>
      </c>
      <c r="D146">
        <v>22.95</v>
      </c>
      <c r="E146">
        <v>86.29</v>
      </c>
      <c r="F146" t="s">
        <v>349</v>
      </c>
      <c r="G146">
        <v>3.76</v>
      </c>
      <c r="H146">
        <v>103.55</v>
      </c>
      <c r="I146" t="s">
        <v>446</v>
      </c>
      <c r="J146" t="s">
        <v>420</v>
      </c>
      <c r="K146" t="s">
        <v>657</v>
      </c>
      <c r="L146" t="s">
        <v>179</v>
      </c>
      <c r="M146" t="s">
        <v>268</v>
      </c>
      <c r="N146" t="s">
        <v>12</v>
      </c>
      <c r="O146" t="s">
        <v>13</v>
      </c>
      <c r="P146">
        <v>0</v>
      </c>
      <c r="Q146">
        <v>0</v>
      </c>
      <c r="R146">
        <v>0</v>
      </c>
      <c r="S146">
        <v>0.25</v>
      </c>
      <c r="T146">
        <v>0.25</v>
      </c>
      <c r="U146">
        <v>0.25</v>
      </c>
      <c r="V146">
        <v>0.25</v>
      </c>
      <c r="W146">
        <v>0.25</v>
      </c>
      <c r="X146">
        <v>0.5</v>
      </c>
      <c r="Y146">
        <v>0.5</v>
      </c>
      <c r="Z146">
        <v>0.5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268</v>
      </c>
      <c r="AH146" t="s">
        <v>12</v>
      </c>
      <c r="AI146" t="s">
        <v>13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25.887499999999999</v>
      </c>
      <c r="AN146">
        <f>$H$146*$T$146</f>
        <v>25.887499999999999</v>
      </c>
      <c r="AO146">
        <f>$H$146*$U$146</f>
        <v>25.887499999999999</v>
      </c>
      <c r="AP146">
        <f>$H$146*$V$146</f>
        <v>25.887499999999999</v>
      </c>
      <c r="AQ146">
        <f>$H$146*$W$146</f>
        <v>25.887499999999999</v>
      </c>
      <c r="AR146">
        <f>$H$146*$X$146</f>
        <v>51.774999999999999</v>
      </c>
      <c r="AS146">
        <f>$H$146*$Y$146</f>
        <v>51.774999999999999</v>
      </c>
      <c r="AT146">
        <f>$H$146*$Z$146</f>
        <v>51.774999999999999</v>
      </c>
      <c r="AU146">
        <f>$H$146*$AA$146</f>
        <v>103.55</v>
      </c>
      <c r="AV146">
        <f>$H$146*$AB$146</f>
        <v>103.55</v>
      </c>
      <c r="AW146">
        <f>$H$146*$AC$146</f>
        <v>103.55</v>
      </c>
      <c r="AX146">
        <f>$H$146*$AD$146</f>
        <v>103.55</v>
      </c>
      <c r="AY146">
        <f>$H$146*$AE$146</f>
        <v>103.55</v>
      </c>
      <c r="AZ146">
        <f>$H$146*$AF$146</f>
        <v>103.55</v>
      </c>
    </row>
    <row r="147" spans="1:52" x14ac:dyDescent="0.25">
      <c r="A147">
        <v>195</v>
      </c>
      <c r="B147" t="s">
        <v>268</v>
      </c>
      <c r="C147" t="s">
        <v>364</v>
      </c>
      <c r="D147">
        <v>229.5</v>
      </c>
      <c r="E147">
        <v>771.12</v>
      </c>
      <c r="F147" t="s">
        <v>349</v>
      </c>
      <c r="G147">
        <v>3.36</v>
      </c>
      <c r="H147">
        <v>925.34</v>
      </c>
      <c r="I147" t="s">
        <v>365</v>
      </c>
      <c r="J147" t="s">
        <v>366</v>
      </c>
      <c r="K147" t="s">
        <v>618</v>
      </c>
      <c r="L147" t="s">
        <v>179</v>
      </c>
      <c r="M147" t="s">
        <v>268</v>
      </c>
      <c r="N147" t="s">
        <v>12</v>
      </c>
      <c r="O147" t="s">
        <v>13</v>
      </c>
      <c r="P147">
        <v>0</v>
      </c>
      <c r="Q147">
        <v>0</v>
      </c>
      <c r="R147">
        <v>0</v>
      </c>
      <c r="S147">
        <v>0.25</v>
      </c>
      <c r="T147">
        <v>0.25</v>
      </c>
      <c r="U147">
        <v>0.25</v>
      </c>
      <c r="V147">
        <v>0.25</v>
      </c>
      <c r="W147">
        <v>0.5</v>
      </c>
      <c r="X147">
        <v>0.5</v>
      </c>
      <c r="Y147">
        <v>0.5</v>
      </c>
      <c r="Z147">
        <v>0.5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268</v>
      </c>
      <c r="AH147" t="s">
        <v>12</v>
      </c>
      <c r="AI147" t="s">
        <v>13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231.33500000000001</v>
      </c>
      <c r="AN147">
        <f>$H$147*$T$147</f>
        <v>231.33500000000001</v>
      </c>
      <c r="AO147">
        <f>$H$147*$U$147</f>
        <v>231.33500000000001</v>
      </c>
      <c r="AP147">
        <f>$H$147*$V$147</f>
        <v>231.33500000000001</v>
      </c>
      <c r="AQ147">
        <f>$H$147*$W$147</f>
        <v>462.67</v>
      </c>
      <c r="AR147">
        <f>$H$147*$X$147</f>
        <v>462.67</v>
      </c>
      <c r="AS147">
        <f>$H$147*$Y$147</f>
        <v>462.67</v>
      </c>
      <c r="AT147">
        <f>$H$147*$Z$147</f>
        <v>462.67</v>
      </c>
      <c r="AU147">
        <f>$H$147*$AA$147</f>
        <v>925.34</v>
      </c>
      <c r="AV147">
        <f>$H$147*$AB$147</f>
        <v>925.34</v>
      </c>
      <c r="AW147">
        <f>$H$147*$AC$147</f>
        <v>925.34</v>
      </c>
      <c r="AX147">
        <f>$H$147*$AD$147</f>
        <v>925.34</v>
      </c>
      <c r="AY147">
        <f>$H$147*$AE$147</f>
        <v>925.34</v>
      </c>
      <c r="AZ147">
        <f>$H$147*$AF$147</f>
        <v>925.34</v>
      </c>
    </row>
    <row r="148" spans="1:52" x14ac:dyDescent="0.25">
      <c r="A148">
        <v>196</v>
      </c>
      <c r="B148" t="s">
        <v>268</v>
      </c>
      <c r="C148" t="s">
        <v>455</v>
      </c>
      <c r="D148">
        <v>25.5</v>
      </c>
      <c r="E148">
        <v>38.51</v>
      </c>
      <c r="F148" t="s">
        <v>329</v>
      </c>
      <c r="G148">
        <v>1.51</v>
      </c>
      <c r="H148">
        <v>46.21</v>
      </c>
      <c r="I148" t="s">
        <v>330</v>
      </c>
      <c r="J148" t="s">
        <v>456</v>
      </c>
      <c r="K148" t="s">
        <v>662</v>
      </c>
      <c r="L148" t="s">
        <v>179</v>
      </c>
      <c r="M148" t="s">
        <v>268</v>
      </c>
      <c r="N148" t="s">
        <v>12</v>
      </c>
      <c r="O148" t="s">
        <v>13</v>
      </c>
      <c r="P148">
        <v>0</v>
      </c>
      <c r="Q148">
        <v>0</v>
      </c>
      <c r="R148">
        <v>0</v>
      </c>
      <c r="S148">
        <v>1</v>
      </c>
      <c r="T148">
        <v>1</v>
      </c>
      <c r="U148">
        <v>1</v>
      </c>
      <c r="V148">
        <v>1</v>
      </c>
      <c r="W148">
        <v>1</v>
      </c>
      <c r="X148">
        <v>1</v>
      </c>
      <c r="Y148">
        <v>1</v>
      </c>
      <c r="Z148">
        <v>1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268</v>
      </c>
      <c r="AH148" t="s">
        <v>12</v>
      </c>
      <c r="AI148" t="s">
        <v>13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46.21</v>
      </c>
      <c r="AN148">
        <f>$H$148*$T$148</f>
        <v>46.21</v>
      </c>
      <c r="AO148">
        <f>$H$148*$U$148</f>
        <v>46.21</v>
      </c>
      <c r="AP148">
        <f>$H$148*$V$148</f>
        <v>46.21</v>
      </c>
      <c r="AQ148">
        <f>$H$148*$W$148</f>
        <v>46.21</v>
      </c>
      <c r="AR148">
        <f>$H$148*$X$148</f>
        <v>46.21</v>
      </c>
      <c r="AS148">
        <f>$H$148*$Y$148</f>
        <v>46.21</v>
      </c>
      <c r="AT148">
        <f>$H$148*$Z$148</f>
        <v>46.21</v>
      </c>
      <c r="AU148">
        <f>$H$148*$AA$148</f>
        <v>46.21</v>
      </c>
      <c r="AV148">
        <f>$H$148*$AB$148</f>
        <v>46.21</v>
      </c>
      <c r="AW148">
        <f>$H$148*$AC$148</f>
        <v>46.21</v>
      </c>
      <c r="AX148">
        <f>$H$148*$AD$148</f>
        <v>46.21</v>
      </c>
      <c r="AY148">
        <f>$H$148*$AE$148</f>
        <v>46.21</v>
      </c>
      <c r="AZ148">
        <f>$H$148*$AF$148</f>
        <v>46.21</v>
      </c>
    </row>
    <row r="149" spans="1:52" x14ac:dyDescent="0.25">
      <c r="A149">
        <v>197</v>
      </c>
      <c r="B149" t="s">
        <v>268</v>
      </c>
      <c r="C149" t="s">
        <v>457</v>
      </c>
      <c r="D149">
        <v>25.5</v>
      </c>
      <c r="E149">
        <v>144.84</v>
      </c>
      <c r="F149" t="s">
        <v>329</v>
      </c>
      <c r="G149">
        <v>5.68</v>
      </c>
      <c r="H149">
        <v>173.8</v>
      </c>
      <c r="I149" t="s">
        <v>333</v>
      </c>
      <c r="J149" t="s">
        <v>458</v>
      </c>
      <c r="K149" t="s">
        <v>663</v>
      </c>
      <c r="L149" t="s">
        <v>179</v>
      </c>
      <c r="M149" t="s">
        <v>268</v>
      </c>
      <c r="N149" t="s">
        <v>12</v>
      </c>
      <c r="O149" t="s">
        <v>13</v>
      </c>
      <c r="P149">
        <v>0</v>
      </c>
      <c r="Q149">
        <v>0</v>
      </c>
      <c r="R149">
        <v>0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268</v>
      </c>
      <c r="AH149" t="s">
        <v>12</v>
      </c>
      <c r="AI149" t="s">
        <v>13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173.8</v>
      </c>
      <c r="AN149">
        <f>$H$149*$T$149</f>
        <v>173.8</v>
      </c>
      <c r="AO149">
        <f>$H$149*$U$149</f>
        <v>173.8</v>
      </c>
      <c r="AP149">
        <f>$H$149*$V$149</f>
        <v>173.8</v>
      </c>
      <c r="AQ149">
        <f>$H$149*$W$149</f>
        <v>173.8</v>
      </c>
      <c r="AR149">
        <f>$H$149*$X$149</f>
        <v>173.8</v>
      </c>
      <c r="AS149">
        <f>$H$149*$Y$149</f>
        <v>173.8</v>
      </c>
      <c r="AT149">
        <f>$H$149*$Z$149</f>
        <v>173.8</v>
      </c>
      <c r="AU149">
        <f>$H$149*$AA$149</f>
        <v>173.8</v>
      </c>
      <c r="AV149">
        <f>$H$149*$AB$149</f>
        <v>173.8</v>
      </c>
      <c r="AW149">
        <f>$H$149*$AC$149</f>
        <v>173.8</v>
      </c>
      <c r="AX149">
        <f>$H$149*$AD$149</f>
        <v>173.8</v>
      </c>
      <c r="AY149">
        <f>$H$149*$AE$149</f>
        <v>173.8</v>
      </c>
      <c r="AZ149">
        <f>$H$149*$AF$149</f>
        <v>173.8</v>
      </c>
    </row>
    <row r="150" spans="1:52" x14ac:dyDescent="0.25">
      <c r="A150">
        <v>198</v>
      </c>
      <c r="B150" t="s">
        <v>268</v>
      </c>
      <c r="C150" t="s">
        <v>364</v>
      </c>
      <c r="D150">
        <v>38.51</v>
      </c>
      <c r="E150">
        <v>129.38999999999999</v>
      </c>
      <c r="F150" t="s">
        <v>349</v>
      </c>
      <c r="G150">
        <v>3.36</v>
      </c>
      <c r="H150">
        <v>155.27000000000001</v>
      </c>
      <c r="I150" t="s">
        <v>365</v>
      </c>
      <c r="J150" t="s">
        <v>366</v>
      </c>
      <c r="K150" t="s">
        <v>618</v>
      </c>
      <c r="L150" t="s">
        <v>179</v>
      </c>
      <c r="M150" t="s">
        <v>268</v>
      </c>
      <c r="N150" t="s">
        <v>12</v>
      </c>
      <c r="O150" t="s">
        <v>13</v>
      </c>
      <c r="P150">
        <v>0</v>
      </c>
      <c r="Q150">
        <v>0</v>
      </c>
      <c r="R150">
        <v>0</v>
      </c>
      <c r="S150">
        <v>0.25</v>
      </c>
      <c r="T150">
        <v>0.25</v>
      </c>
      <c r="U150">
        <v>0.25</v>
      </c>
      <c r="V150">
        <v>0.25</v>
      </c>
      <c r="W150">
        <v>0.5</v>
      </c>
      <c r="X150">
        <v>0.5</v>
      </c>
      <c r="Y150">
        <v>0.5</v>
      </c>
      <c r="Z150">
        <v>0.5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268</v>
      </c>
      <c r="AH150" t="s">
        <v>12</v>
      </c>
      <c r="AI150" t="s">
        <v>13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38.817500000000003</v>
      </c>
      <c r="AN150">
        <f>$H$150*$T$150</f>
        <v>38.817500000000003</v>
      </c>
      <c r="AO150">
        <f>$H$150*$U$150</f>
        <v>38.817500000000003</v>
      </c>
      <c r="AP150">
        <f>$H$150*$V$150</f>
        <v>38.817500000000003</v>
      </c>
      <c r="AQ150">
        <f>$H$150*$W$150</f>
        <v>77.635000000000005</v>
      </c>
      <c r="AR150">
        <f>$H$150*$X$150</f>
        <v>77.635000000000005</v>
      </c>
      <c r="AS150">
        <f>$H$150*$Y$150</f>
        <v>77.635000000000005</v>
      </c>
      <c r="AT150">
        <f>$H$150*$Z$150</f>
        <v>77.635000000000005</v>
      </c>
      <c r="AU150">
        <f>$H$150*$AA$150</f>
        <v>155.27000000000001</v>
      </c>
      <c r="AV150">
        <f>$H$150*$AB$150</f>
        <v>155.27000000000001</v>
      </c>
      <c r="AW150">
        <f>$H$150*$AC$150</f>
        <v>155.27000000000001</v>
      </c>
      <c r="AX150">
        <f>$H$150*$AD$150</f>
        <v>155.27000000000001</v>
      </c>
      <c r="AY150">
        <f>$H$150*$AE$150</f>
        <v>155.27000000000001</v>
      </c>
      <c r="AZ150">
        <f>$H$150*$AF$150</f>
        <v>155.27000000000001</v>
      </c>
    </row>
    <row r="151" spans="1:52" x14ac:dyDescent="0.25">
      <c r="A151">
        <v>199</v>
      </c>
      <c r="B151" t="s">
        <v>268</v>
      </c>
      <c r="C151" t="s">
        <v>443</v>
      </c>
      <c r="D151">
        <v>38.51</v>
      </c>
      <c r="E151">
        <v>24.26</v>
      </c>
      <c r="F151" t="s">
        <v>349</v>
      </c>
      <c r="G151">
        <v>0.63</v>
      </c>
      <c r="H151">
        <v>29.12</v>
      </c>
      <c r="I151" t="s">
        <v>330</v>
      </c>
      <c r="J151" t="s">
        <v>444</v>
      </c>
      <c r="K151" t="s">
        <v>656</v>
      </c>
      <c r="L151" t="s">
        <v>179</v>
      </c>
      <c r="M151" t="s">
        <v>268</v>
      </c>
      <c r="N151" t="s">
        <v>12</v>
      </c>
      <c r="O151" t="s">
        <v>13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1</v>
      </c>
      <c r="AE151">
        <v>1</v>
      </c>
      <c r="AF151">
        <v>1</v>
      </c>
      <c r="AG151" t="s">
        <v>268</v>
      </c>
      <c r="AH151" t="s">
        <v>12</v>
      </c>
      <c r="AI151" t="s">
        <v>13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0</v>
      </c>
      <c r="AO151">
        <f>$H$151*$U$151</f>
        <v>0</v>
      </c>
      <c r="AP151">
        <f>$H$151*$V$151</f>
        <v>0</v>
      </c>
      <c r="AQ151">
        <f>$H$151*$W$151</f>
        <v>0</v>
      </c>
      <c r="AR151">
        <f>$H$151*$X$151</f>
        <v>0</v>
      </c>
      <c r="AS151">
        <f>$H$151*$Y$151</f>
        <v>0</v>
      </c>
      <c r="AT151">
        <f>$H$151*$Z$151</f>
        <v>0</v>
      </c>
      <c r="AU151">
        <f>$H$151*$AA$151</f>
        <v>0</v>
      </c>
      <c r="AV151">
        <f>$H$151*$AB$151</f>
        <v>0</v>
      </c>
      <c r="AW151">
        <f>$H$151*$AC$151</f>
        <v>0</v>
      </c>
      <c r="AX151">
        <f>$H$151*$AD$151</f>
        <v>29.12</v>
      </c>
      <c r="AY151">
        <f>$H$151*$AE$151</f>
        <v>29.12</v>
      </c>
      <c r="AZ151">
        <f>$H$151*$AF$151</f>
        <v>29.12</v>
      </c>
    </row>
    <row r="152" spans="1:52" x14ac:dyDescent="0.25">
      <c r="A152">
        <v>200</v>
      </c>
      <c r="B152" t="s">
        <v>268</v>
      </c>
      <c r="C152" t="s">
        <v>459</v>
      </c>
      <c r="D152">
        <v>38.51</v>
      </c>
      <c r="E152">
        <v>26.57</v>
      </c>
      <c r="F152" t="s">
        <v>349</v>
      </c>
      <c r="G152">
        <v>0.69</v>
      </c>
      <c r="H152">
        <v>31.89</v>
      </c>
      <c r="I152" t="s">
        <v>330</v>
      </c>
      <c r="J152" t="s">
        <v>460</v>
      </c>
      <c r="K152" t="s">
        <v>664</v>
      </c>
      <c r="L152" t="s">
        <v>179</v>
      </c>
      <c r="M152" t="s">
        <v>268</v>
      </c>
      <c r="N152" t="s">
        <v>12</v>
      </c>
      <c r="O152" t="s">
        <v>13</v>
      </c>
      <c r="P152">
        <v>0</v>
      </c>
      <c r="Q152">
        <v>0</v>
      </c>
      <c r="R152">
        <v>0</v>
      </c>
      <c r="S152">
        <v>1</v>
      </c>
      <c r="T152">
        <v>1</v>
      </c>
      <c r="U152">
        <v>1</v>
      </c>
      <c r="V152">
        <v>1</v>
      </c>
      <c r="W152">
        <v>1</v>
      </c>
      <c r="X152">
        <v>1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268</v>
      </c>
      <c r="AH152" t="s">
        <v>12</v>
      </c>
      <c r="AI152" t="s">
        <v>13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31.89</v>
      </c>
      <c r="AN152">
        <f>$H$152*$T$152</f>
        <v>31.89</v>
      </c>
      <c r="AO152">
        <f>$H$152*$U$152</f>
        <v>31.89</v>
      </c>
      <c r="AP152">
        <f>$H$152*$V$152</f>
        <v>31.89</v>
      </c>
      <c r="AQ152">
        <f>$H$152*$W$152</f>
        <v>31.89</v>
      </c>
      <c r="AR152">
        <f>$H$152*$X$152</f>
        <v>31.89</v>
      </c>
      <c r="AS152">
        <f>$H$152*$Y$152</f>
        <v>31.89</v>
      </c>
      <c r="AT152">
        <f>$H$152*$Z$152</f>
        <v>31.89</v>
      </c>
      <c r="AU152">
        <f>$H$152*$AA$152</f>
        <v>31.89</v>
      </c>
      <c r="AV152">
        <f>$H$152*$AB$152</f>
        <v>31.89</v>
      </c>
      <c r="AW152">
        <f>$H$152*$AC$152</f>
        <v>31.89</v>
      </c>
      <c r="AX152">
        <f>$H$152*$AD$152</f>
        <v>31.89</v>
      </c>
      <c r="AY152">
        <f>$H$152*$AE$152</f>
        <v>31.89</v>
      </c>
      <c r="AZ152">
        <f>$H$152*$AF$152</f>
        <v>31.89</v>
      </c>
    </row>
    <row r="153" spans="1:52" x14ac:dyDescent="0.25">
      <c r="A153">
        <v>201</v>
      </c>
      <c r="B153" t="s">
        <v>268</v>
      </c>
      <c r="C153" t="s">
        <v>461</v>
      </c>
      <c r="D153">
        <v>7.7</v>
      </c>
      <c r="E153">
        <v>133.6</v>
      </c>
      <c r="F153" t="s">
        <v>349</v>
      </c>
      <c r="G153">
        <v>17.350000000000001</v>
      </c>
      <c r="H153">
        <v>160.32</v>
      </c>
      <c r="I153" t="s">
        <v>462</v>
      </c>
      <c r="J153" t="s">
        <v>463</v>
      </c>
      <c r="K153" t="s">
        <v>665</v>
      </c>
      <c r="L153" t="s">
        <v>179</v>
      </c>
      <c r="M153" t="s">
        <v>268</v>
      </c>
      <c r="N153" t="s">
        <v>12</v>
      </c>
      <c r="O153" t="s">
        <v>13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268</v>
      </c>
      <c r="AH153" t="s">
        <v>12</v>
      </c>
      <c r="AI153" t="s">
        <v>13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0</v>
      </c>
      <c r="AQ153">
        <f>$H$153*$W$153</f>
        <v>0</v>
      </c>
      <c r="AR153">
        <f>$H$153*$X$153</f>
        <v>0</v>
      </c>
      <c r="AS153">
        <f>$H$153*$Y$153</f>
        <v>160.32</v>
      </c>
      <c r="AT153">
        <f>$H$153*$Z$153</f>
        <v>160.32</v>
      </c>
      <c r="AU153">
        <f>$H$153*$AA$153</f>
        <v>160.32</v>
      </c>
      <c r="AV153">
        <f>$H$153*$AB$153</f>
        <v>160.32</v>
      </c>
      <c r="AW153">
        <f>$H$153*$AC$153</f>
        <v>160.32</v>
      </c>
      <c r="AX153">
        <f>$H$153*$AD$153</f>
        <v>160.32</v>
      </c>
      <c r="AY153">
        <f>$H$153*$AE$153</f>
        <v>160.32</v>
      </c>
      <c r="AZ153">
        <f>$H$153*$AF$153</f>
        <v>160.32</v>
      </c>
    </row>
    <row r="154" spans="1:52" x14ac:dyDescent="0.25">
      <c r="A154">
        <v>202</v>
      </c>
      <c r="B154" t="s">
        <v>268</v>
      </c>
      <c r="C154" t="s">
        <v>464</v>
      </c>
      <c r="D154">
        <v>15.41</v>
      </c>
      <c r="E154">
        <v>55.17</v>
      </c>
      <c r="F154" t="s">
        <v>349</v>
      </c>
      <c r="G154">
        <v>3.58</v>
      </c>
      <c r="H154">
        <v>66.209999999999994</v>
      </c>
      <c r="I154" t="s">
        <v>465</v>
      </c>
      <c r="J154" t="s">
        <v>466</v>
      </c>
      <c r="K154" t="s">
        <v>666</v>
      </c>
      <c r="L154" t="s">
        <v>179</v>
      </c>
      <c r="M154" t="s">
        <v>268</v>
      </c>
      <c r="N154" t="s">
        <v>12</v>
      </c>
      <c r="O154" t="s">
        <v>13</v>
      </c>
      <c r="P154">
        <v>0</v>
      </c>
      <c r="Q154">
        <v>0</v>
      </c>
      <c r="R154">
        <v>0</v>
      </c>
      <c r="S154">
        <v>1</v>
      </c>
      <c r="T154">
        <v>1</v>
      </c>
      <c r="U154">
        <v>1</v>
      </c>
      <c r="V154">
        <v>1</v>
      </c>
      <c r="W154">
        <v>1</v>
      </c>
      <c r="X154">
        <v>1</v>
      </c>
      <c r="Y154">
        <v>1</v>
      </c>
      <c r="Z154">
        <v>1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268</v>
      </c>
      <c r="AH154" t="s">
        <v>12</v>
      </c>
      <c r="AI154" t="s">
        <v>13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66.209999999999994</v>
      </c>
      <c r="AN154">
        <f>$H$154*$T$154</f>
        <v>66.209999999999994</v>
      </c>
      <c r="AO154">
        <f>$H$154*$U$154</f>
        <v>66.209999999999994</v>
      </c>
      <c r="AP154">
        <f>$H$154*$V$154</f>
        <v>66.209999999999994</v>
      </c>
      <c r="AQ154">
        <f>$H$154*$W$154</f>
        <v>66.209999999999994</v>
      </c>
      <c r="AR154">
        <f>$H$154*$X$154</f>
        <v>66.209999999999994</v>
      </c>
      <c r="AS154">
        <f>$H$154*$Y$154</f>
        <v>66.209999999999994</v>
      </c>
      <c r="AT154">
        <f>$H$154*$Z$154</f>
        <v>66.209999999999994</v>
      </c>
      <c r="AU154">
        <f>$H$154*$AA$154</f>
        <v>66.209999999999994</v>
      </c>
      <c r="AV154">
        <f>$H$154*$AB$154</f>
        <v>66.209999999999994</v>
      </c>
      <c r="AW154">
        <f>$H$154*$AC$154</f>
        <v>66.209999999999994</v>
      </c>
      <c r="AX154">
        <f>$H$154*$AD$154</f>
        <v>66.209999999999994</v>
      </c>
      <c r="AY154">
        <f>$H$154*$AE$154</f>
        <v>66.209999999999994</v>
      </c>
      <c r="AZ154">
        <f>$H$154*$AF$154</f>
        <v>66.209999999999994</v>
      </c>
    </row>
    <row r="155" spans="1:52" x14ac:dyDescent="0.25">
      <c r="A155">
        <v>203</v>
      </c>
      <c r="B155" t="s">
        <v>268</v>
      </c>
      <c r="C155" t="s">
        <v>467</v>
      </c>
      <c r="D155">
        <v>15.41</v>
      </c>
      <c r="E155">
        <v>151.79</v>
      </c>
      <c r="F155" t="s">
        <v>349</v>
      </c>
      <c r="G155">
        <v>9.85</v>
      </c>
      <c r="H155">
        <v>182.15</v>
      </c>
      <c r="I155" t="s">
        <v>465</v>
      </c>
      <c r="J155" t="s">
        <v>372</v>
      </c>
      <c r="K155" t="s">
        <v>667</v>
      </c>
      <c r="L155" t="s">
        <v>179</v>
      </c>
      <c r="M155" t="s">
        <v>268</v>
      </c>
      <c r="N155" t="s">
        <v>12</v>
      </c>
      <c r="O155" t="s">
        <v>13</v>
      </c>
      <c r="P155">
        <v>0</v>
      </c>
      <c r="Q155">
        <v>0</v>
      </c>
      <c r="R155">
        <v>0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268</v>
      </c>
      <c r="AH155" t="s">
        <v>12</v>
      </c>
      <c r="AI155" t="s">
        <v>13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182.15</v>
      </c>
      <c r="AN155">
        <f>$H$155*$T$155</f>
        <v>182.15</v>
      </c>
      <c r="AO155">
        <f>$H$155*$U$155</f>
        <v>182.15</v>
      </c>
      <c r="AP155">
        <f>$H$155*$V$155</f>
        <v>182.15</v>
      </c>
      <c r="AQ155">
        <f>$H$155*$W$155</f>
        <v>182.15</v>
      </c>
      <c r="AR155">
        <f>$H$155*$X$155</f>
        <v>182.15</v>
      </c>
      <c r="AS155">
        <f>$H$155*$Y$155</f>
        <v>182.15</v>
      </c>
      <c r="AT155">
        <f>$H$155*$Z$155</f>
        <v>182.15</v>
      </c>
      <c r="AU155">
        <f>$H$155*$AA$155</f>
        <v>182.15</v>
      </c>
      <c r="AV155">
        <f>$H$155*$AB$155</f>
        <v>182.15</v>
      </c>
      <c r="AW155">
        <f>$H$155*$AC$155</f>
        <v>182.15</v>
      </c>
      <c r="AX155">
        <f>$H$155*$AD$155</f>
        <v>182.15</v>
      </c>
      <c r="AY155">
        <f>$H$155*$AE$155</f>
        <v>182.15</v>
      </c>
      <c r="AZ155">
        <f>$H$155*$AF$155</f>
        <v>182.15</v>
      </c>
    </row>
    <row r="156" spans="1:52" x14ac:dyDescent="0.25">
      <c r="A156">
        <v>204</v>
      </c>
      <c r="B156" t="s">
        <v>268</v>
      </c>
      <c r="C156" t="s">
        <v>468</v>
      </c>
      <c r="D156">
        <v>17.72</v>
      </c>
      <c r="E156">
        <v>18.07</v>
      </c>
      <c r="F156" t="s">
        <v>349</v>
      </c>
      <c r="G156">
        <v>1.02</v>
      </c>
      <c r="H156">
        <v>21.69</v>
      </c>
      <c r="I156" t="s">
        <v>469</v>
      </c>
      <c r="J156" t="s">
        <v>470</v>
      </c>
      <c r="K156" t="s">
        <v>668</v>
      </c>
      <c r="L156" t="s">
        <v>179</v>
      </c>
      <c r="M156" t="s">
        <v>268</v>
      </c>
      <c r="N156" t="s">
        <v>12</v>
      </c>
      <c r="O156" t="s">
        <v>13</v>
      </c>
      <c r="P156">
        <v>0</v>
      </c>
      <c r="Q156">
        <v>0</v>
      </c>
      <c r="R156">
        <v>0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268</v>
      </c>
      <c r="AH156" t="s">
        <v>12</v>
      </c>
      <c r="AI156" t="s">
        <v>13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21.69</v>
      </c>
      <c r="AN156">
        <f>$H$156*$T$156</f>
        <v>21.69</v>
      </c>
      <c r="AO156">
        <f>$H$156*$U$156</f>
        <v>21.69</v>
      </c>
      <c r="AP156">
        <f>$H$156*$V$156</f>
        <v>21.69</v>
      </c>
      <c r="AQ156">
        <f>$H$156*$W$156</f>
        <v>21.69</v>
      </c>
      <c r="AR156">
        <f>$H$156*$X$156</f>
        <v>21.69</v>
      </c>
      <c r="AS156">
        <f>$H$156*$Y$156</f>
        <v>21.69</v>
      </c>
      <c r="AT156">
        <f>$H$156*$Z$156</f>
        <v>21.69</v>
      </c>
      <c r="AU156">
        <f>$H$156*$AA$156</f>
        <v>21.69</v>
      </c>
      <c r="AV156">
        <f>$H$156*$AB$156</f>
        <v>21.69</v>
      </c>
      <c r="AW156">
        <f>$H$156*$AC$156</f>
        <v>21.69</v>
      </c>
      <c r="AX156">
        <f>$H$156*$AD$156</f>
        <v>21.69</v>
      </c>
      <c r="AY156">
        <f>$H$156*$AE$156</f>
        <v>21.69</v>
      </c>
      <c r="AZ156">
        <f>$H$156*$AF$156</f>
        <v>21.69</v>
      </c>
    </row>
    <row r="157" spans="1:52" x14ac:dyDescent="0.25">
      <c r="A157">
        <v>205</v>
      </c>
      <c r="B157" t="s">
        <v>268</v>
      </c>
      <c r="C157" t="s">
        <v>471</v>
      </c>
      <c r="D157">
        <v>17.72</v>
      </c>
      <c r="E157">
        <v>163.56</v>
      </c>
      <c r="F157" t="s">
        <v>349</v>
      </c>
      <c r="G157">
        <v>9.23</v>
      </c>
      <c r="H157">
        <v>196.28</v>
      </c>
      <c r="I157" t="s">
        <v>469</v>
      </c>
      <c r="J157" t="s">
        <v>463</v>
      </c>
      <c r="K157" t="s">
        <v>669</v>
      </c>
      <c r="L157" t="s">
        <v>179</v>
      </c>
      <c r="M157" t="s">
        <v>268</v>
      </c>
      <c r="N157" t="s">
        <v>12</v>
      </c>
      <c r="O157" t="s">
        <v>13</v>
      </c>
      <c r="P157">
        <v>0</v>
      </c>
      <c r="Q157">
        <v>0</v>
      </c>
      <c r="R157">
        <v>0</v>
      </c>
      <c r="S157">
        <v>1</v>
      </c>
      <c r="T157">
        <v>1</v>
      </c>
      <c r="U157">
        <v>1</v>
      </c>
      <c r="V157">
        <v>1</v>
      </c>
      <c r="W157">
        <v>1</v>
      </c>
      <c r="X157">
        <v>1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268</v>
      </c>
      <c r="AH157" t="s">
        <v>12</v>
      </c>
      <c r="AI157" t="s">
        <v>13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196.28</v>
      </c>
      <c r="AN157">
        <f>$H$157*$T$157</f>
        <v>196.28</v>
      </c>
      <c r="AO157">
        <f>$H$157*$U$157</f>
        <v>196.28</v>
      </c>
      <c r="AP157">
        <f>$H$157*$V$157</f>
        <v>196.28</v>
      </c>
      <c r="AQ157">
        <f>$H$157*$W$157</f>
        <v>196.28</v>
      </c>
      <c r="AR157">
        <f>$H$157*$X$157</f>
        <v>196.28</v>
      </c>
      <c r="AS157">
        <f>$H$157*$Y$157</f>
        <v>196.28</v>
      </c>
      <c r="AT157">
        <f>$H$157*$Z$157</f>
        <v>196.28</v>
      </c>
      <c r="AU157">
        <f>$H$157*$AA$157</f>
        <v>196.28</v>
      </c>
      <c r="AV157">
        <f>$H$157*$AB$157</f>
        <v>196.28</v>
      </c>
      <c r="AW157">
        <f>$H$157*$AC$157</f>
        <v>196.28</v>
      </c>
      <c r="AX157">
        <f>$H$157*$AD$157</f>
        <v>196.28</v>
      </c>
      <c r="AY157">
        <f>$H$157*$AE$157</f>
        <v>196.28</v>
      </c>
      <c r="AZ157">
        <f>$H$157*$AF$157</f>
        <v>196.28</v>
      </c>
    </row>
    <row r="158" spans="1:52" x14ac:dyDescent="0.25">
      <c r="A158">
        <v>206</v>
      </c>
      <c r="B158" t="s">
        <v>279</v>
      </c>
      <c r="C158" t="s">
        <v>474</v>
      </c>
      <c r="D158">
        <v>60</v>
      </c>
      <c r="E158">
        <v>5016.6000000000004</v>
      </c>
      <c r="F158" t="s">
        <v>349</v>
      </c>
      <c r="G158">
        <v>83.61</v>
      </c>
      <c r="H158">
        <v>6019.92</v>
      </c>
      <c r="I158" t="s">
        <v>475</v>
      </c>
      <c r="J158" t="s">
        <v>476</v>
      </c>
      <c r="K158" t="s">
        <v>671</v>
      </c>
      <c r="L158" t="s">
        <v>179</v>
      </c>
      <c r="M158" t="s">
        <v>279</v>
      </c>
      <c r="N158" t="s">
        <v>11</v>
      </c>
      <c r="O158" t="s">
        <v>13</v>
      </c>
      <c r="P158">
        <v>0</v>
      </c>
      <c r="Q158">
        <v>0</v>
      </c>
      <c r="R158">
        <v>0</v>
      </c>
      <c r="S158">
        <v>0.25</v>
      </c>
      <c r="T158">
        <v>0.25</v>
      </c>
      <c r="U158">
        <v>0.25</v>
      </c>
      <c r="V158">
        <v>0.25</v>
      </c>
      <c r="W158">
        <v>0.25</v>
      </c>
      <c r="X158">
        <v>0.5</v>
      </c>
      <c r="Y158">
        <v>0.5</v>
      </c>
      <c r="Z158">
        <v>0.5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279</v>
      </c>
      <c r="AH158" t="s">
        <v>11</v>
      </c>
      <c r="AI158" t="s">
        <v>13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1504.98</v>
      </c>
      <c r="AN158">
        <f>$H$158*$T$158</f>
        <v>1504.98</v>
      </c>
      <c r="AO158">
        <f>$H$158*$U$158</f>
        <v>1504.98</v>
      </c>
      <c r="AP158">
        <f>$H$158*$V$158</f>
        <v>1504.98</v>
      </c>
      <c r="AQ158">
        <f>$H$158*$W$158</f>
        <v>1504.98</v>
      </c>
      <c r="AR158">
        <f>$H$158*$X$158</f>
        <v>3009.96</v>
      </c>
      <c r="AS158">
        <f>$H$158*$Y$158</f>
        <v>3009.96</v>
      </c>
      <c r="AT158">
        <f>$H$158*$Z$158</f>
        <v>3009.96</v>
      </c>
      <c r="AU158">
        <f>$H$158*$AA$158</f>
        <v>6019.92</v>
      </c>
      <c r="AV158">
        <f>$H$158*$AB$158</f>
        <v>6019.92</v>
      </c>
      <c r="AW158">
        <f>$H$158*$AC$158</f>
        <v>6019.92</v>
      </c>
      <c r="AX158">
        <f>$H$158*$AD$158</f>
        <v>6019.92</v>
      </c>
      <c r="AY158">
        <f>$H$158*$AE$158</f>
        <v>6019.92</v>
      </c>
      <c r="AZ158">
        <f>$H$158*$AF$158</f>
        <v>6019.92</v>
      </c>
    </row>
    <row r="159" spans="1:52" x14ac:dyDescent="0.25">
      <c r="A159">
        <v>207</v>
      </c>
      <c r="B159" t="s">
        <v>279</v>
      </c>
      <c r="C159" t="s">
        <v>477</v>
      </c>
      <c r="D159">
        <v>60</v>
      </c>
      <c r="E159">
        <v>528.6</v>
      </c>
      <c r="F159" t="s">
        <v>349</v>
      </c>
      <c r="G159">
        <v>8.81</v>
      </c>
      <c r="H159">
        <v>634.32000000000005</v>
      </c>
      <c r="I159" t="s">
        <v>478</v>
      </c>
      <c r="J159" t="s">
        <v>479</v>
      </c>
      <c r="K159" t="s">
        <v>672</v>
      </c>
      <c r="L159" t="s">
        <v>179</v>
      </c>
      <c r="M159" t="s">
        <v>279</v>
      </c>
      <c r="N159" t="s">
        <v>11</v>
      </c>
      <c r="O159" t="s">
        <v>13</v>
      </c>
      <c r="P159">
        <v>0</v>
      </c>
      <c r="Q159">
        <v>0</v>
      </c>
      <c r="R159">
        <v>0</v>
      </c>
      <c r="S159">
        <v>1</v>
      </c>
      <c r="T159">
        <v>1</v>
      </c>
      <c r="U159">
        <v>1</v>
      </c>
      <c r="V159">
        <v>1</v>
      </c>
      <c r="W159">
        <v>1</v>
      </c>
      <c r="X159">
        <v>1</v>
      </c>
      <c r="Y159">
        <v>1</v>
      </c>
      <c r="Z159">
        <v>1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279</v>
      </c>
      <c r="AH159" t="s">
        <v>11</v>
      </c>
      <c r="AI159" t="s">
        <v>13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634.32000000000005</v>
      </c>
      <c r="AN159">
        <f>$H$159*$T$159</f>
        <v>634.32000000000005</v>
      </c>
      <c r="AO159">
        <f>$H$159*$U$159</f>
        <v>634.32000000000005</v>
      </c>
      <c r="AP159">
        <f>$H$159*$V$159</f>
        <v>634.32000000000005</v>
      </c>
      <c r="AQ159">
        <f>$H$159*$W$159</f>
        <v>634.32000000000005</v>
      </c>
      <c r="AR159">
        <f>$H$159*$X$159</f>
        <v>634.32000000000005</v>
      </c>
      <c r="AS159">
        <f>$H$159*$Y$159</f>
        <v>634.32000000000005</v>
      </c>
      <c r="AT159">
        <f>$H$159*$Z$159</f>
        <v>634.32000000000005</v>
      </c>
      <c r="AU159">
        <f>$H$159*$AA$159</f>
        <v>634.32000000000005</v>
      </c>
      <c r="AV159">
        <f>$H$159*$AB$159</f>
        <v>634.32000000000005</v>
      </c>
      <c r="AW159">
        <f>$H$159*$AC$159</f>
        <v>634.32000000000005</v>
      </c>
      <c r="AX159">
        <f>$H$159*$AD$159</f>
        <v>634.32000000000005</v>
      </c>
      <c r="AY159">
        <f>$H$159*$AE$159</f>
        <v>634.32000000000005</v>
      </c>
      <c r="AZ159">
        <f>$H$159*$AF$159</f>
        <v>634.32000000000005</v>
      </c>
    </row>
    <row r="160" spans="1:52" x14ac:dyDescent="0.25">
      <c r="A160">
        <v>208</v>
      </c>
      <c r="B160" t="s">
        <v>279</v>
      </c>
      <c r="C160" t="s">
        <v>480</v>
      </c>
      <c r="D160">
        <v>1</v>
      </c>
      <c r="E160">
        <v>42.6</v>
      </c>
      <c r="F160" t="s">
        <v>335</v>
      </c>
      <c r="G160">
        <v>42.6</v>
      </c>
      <c r="H160">
        <v>51.12</v>
      </c>
      <c r="I160" t="s">
        <v>368</v>
      </c>
      <c r="J160" t="s">
        <v>481</v>
      </c>
      <c r="K160" t="s">
        <v>673</v>
      </c>
      <c r="L160" t="s">
        <v>179</v>
      </c>
      <c r="M160" t="s">
        <v>279</v>
      </c>
      <c r="N160" t="s">
        <v>11</v>
      </c>
      <c r="O160" t="s">
        <v>13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1</v>
      </c>
      <c r="Z160">
        <v>1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279</v>
      </c>
      <c r="AH160" t="s">
        <v>11</v>
      </c>
      <c r="AI160" t="s">
        <v>13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51.12</v>
      </c>
      <c r="AT160">
        <f>$H$160*$Z$160</f>
        <v>51.12</v>
      </c>
      <c r="AU160">
        <f>$H$160*$AA$160</f>
        <v>51.12</v>
      </c>
      <c r="AV160">
        <f>$H$160*$AB$160</f>
        <v>51.12</v>
      </c>
      <c r="AW160">
        <f>$H$160*$AC$160</f>
        <v>51.12</v>
      </c>
      <c r="AX160">
        <f>$H$160*$AD$160</f>
        <v>51.12</v>
      </c>
      <c r="AY160">
        <f>$H$160*$AE$160</f>
        <v>51.12</v>
      </c>
      <c r="AZ160">
        <f>$H$160*$AF$160</f>
        <v>51.12</v>
      </c>
    </row>
    <row r="161" spans="1:52" x14ac:dyDescent="0.25">
      <c r="A161">
        <v>209</v>
      </c>
      <c r="B161" t="s">
        <v>279</v>
      </c>
      <c r="C161" t="s">
        <v>482</v>
      </c>
      <c r="D161">
        <v>1</v>
      </c>
      <c r="E161">
        <v>45.87</v>
      </c>
      <c r="F161" t="s">
        <v>335</v>
      </c>
      <c r="G161">
        <v>45.87</v>
      </c>
      <c r="H161">
        <v>55.05</v>
      </c>
      <c r="I161" t="s">
        <v>368</v>
      </c>
      <c r="J161" t="s">
        <v>483</v>
      </c>
      <c r="K161" t="s">
        <v>674</v>
      </c>
      <c r="L161" t="s">
        <v>179</v>
      </c>
      <c r="M161" t="s">
        <v>279</v>
      </c>
      <c r="N161" t="s">
        <v>11</v>
      </c>
      <c r="O161" t="s">
        <v>13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279</v>
      </c>
      <c r="AH161" t="s">
        <v>11</v>
      </c>
      <c r="AI161" t="s">
        <v>13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0</v>
      </c>
      <c r="AT161">
        <f>$H$161*$Z$161</f>
        <v>0</v>
      </c>
      <c r="AU161">
        <f>$H$161*$AA$161</f>
        <v>55.05</v>
      </c>
      <c r="AV161">
        <f>$H$161*$AB$161</f>
        <v>55.05</v>
      </c>
      <c r="AW161">
        <f>$H$161*$AC$161</f>
        <v>55.05</v>
      </c>
      <c r="AX161">
        <f>$H$161*$AD$161</f>
        <v>55.05</v>
      </c>
      <c r="AY161">
        <f>$H$161*$AE$161</f>
        <v>55.05</v>
      </c>
      <c r="AZ161">
        <f>$H$161*$AF$161</f>
        <v>55.05</v>
      </c>
    </row>
    <row r="162" spans="1:52" x14ac:dyDescent="0.25">
      <c r="A162">
        <v>210</v>
      </c>
      <c r="B162" t="s">
        <v>279</v>
      </c>
      <c r="C162" t="s">
        <v>358</v>
      </c>
      <c r="D162">
        <v>15</v>
      </c>
      <c r="E162">
        <v>66.599999999999994</v>
      </c>
      <c r="F162" t="s">
        <v>329</v>
      </c>
      <c r="G162">
        <v>4.4400000000000004</v>
      </c>
      <c r="H162">
        <v>79.92</v>
      </c>
      <c r="I162" t="s">
        <v>330</v>
      </c>
      <c r="J162" t="s">
        <v>359</v>
      </c>
      <c r="K162" t="s">
        <v>615</v>
      </c>
      <c r="L162" t="s">
        <v>179</v>
      </c>
      <c r="M162" t="s">
        <v>279</v>
      </c>
      <c r="N162" t="s">
        <v>11</v>
      </c>
      <c r="O162" t="s">
        <v>13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279</v>
      </c>
      <c r="AH162" t="s">
        <v>11</v>
      </c>
      <c r="AI162" t="s">
        <v>13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0</v>
      </c>
      <c r="AT162">
        <f>$H$162*$Z$162</f>
        <v>0</v>
      </c>
      <c r="AU162">
        <f>$H$162*$AA$162</f>
        <v>79.92</v>
      </c>
      <c r="AV162">
        <f>$H$162*$AB$162</f>
        <v>79.92</v>
      </c>
      <c r="AW162">
        <f>$H$162*$AC$162</f>
        <v>79.92</v>
      </c>
      <c r="AX162">
        <f>$H$162*$AD$162</f>
        <v>79.92</v>
      </c>
      <c r="AY162">
        <f>$H$162*$AE$162</f>
        <v>79.92</v>
      </c>
      <c r="AZ162">
        <f>$H$162*$AF$162</f>
        <v>79.92</v>
      </c>
    </row>
    <row r="163" spans="1:52" x14ac:dyDescent="0.25">
      <c r="A163">
        <v>211</v>
      </c>
      <c r="B163" t="s">
        <v>279</v>
      </c>
      <c r="C163" t="s">
        <v>360</v>
      </c>
      <c r="D163">
        <v>15</v>
      </c>
      <c r="E163">
        <v>173.25</v>
      </c>
      <c r="F163" t="s">
        <v>329</v>
      </c>
      <c r="G163">
        <v>11.55</v>
      </c>
      <c r="H163">
        <v>207.91</v>
      </c>
      <c r="I163" t="s">
        <v>333</v>
      </c>
      <c r="J163" t="s">
        <v>361</v>
      </c>
      <c r="K163" t="s">
        <v>616</v>
      </c>
      <c r="L163" t="s">
        <v>179</v>
      </c>
      <c r="M163" t="s">
        <v>279</v>
      </c>
      <c r="N163" t="s">
        <v>11</v>
      </c>
      <c r="O163" t="s">
        <v>13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279</v>
      </c>
      <c r="AH163" t="s">
        <v>11</v>
      </c>
      <c r="AI163" t="s">
        <v>13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0</v>
      </c>
      <c r="AT163">
        <f>$H$163*$Z$163</f>
        <v>0</v>
      </c>
      <c r="AU163">
        <f>$H$163*$AA$163</f>
        <v>207.91</v>
      </c>
      <c r="AV163">
        <f>$H$163*$AB$163</f>
        <v>207.91</v>
      </c>
      <c r="AW163">
        <f>$H$163*$AC$163</f>
        <v>207.91</v>
      </c>
      <c r="AX163">
        <f>$H$163*$AD$163</f>
        <v>207.91</v>
      </c>
      <c r="AY163">
        <f>$H$163*$AE$163</f>
        <v>207.91</v>
      </c>
      <c r="AZ163">
        <f>$H$163*$AF$163</f>
        <v>207.91</v>
      </c>
    </row>
    <row r="164" spans="1:52" x14ac:dyDescent="0.25">
      <c r="A164">
        <v>212</v>
      </c>
      <c r="B164" t="s">
        <v>279</v>
      </c>
      <c r="C164" t="s">
        <v>484</v>
      </c>
      <c r="D164">
        <v>1</v>
      </c>
      <c r="E164">
        <v>43.19</v>
      </c>
      <c r="F164" t="s">
        <v>335</v>
      </c>
      <c r="G164">
        <v>43.19</v>
      </c>
      <c r="H164">
        <v>51.83</v>
      </c>
      <c r="I164" t="s">
        <v>368</v>
      </c>
      <c r="J164" t="s">
        <v>485</v>
      </c>
      <c r="K164" t="s">
        <v>675</v>
      </c>
      <c r="L164" t="s">
        <v>179</v>
      </c>
      <c r="M164" t="s">
        <v>279</v>
      </c>
      <c r="N164" t="s">
        <v>11</v>
      </c>
      <c r="O164" t="s">
        <v>13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279</v>
      </c>
      <c r="AH164" t="s">
        <v>11</v>
      </c>
      <c r="AI164" t="s">
        <v>13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0</v>
      </c>
      <c r="AT164">
        <f>$H$164*$Z$164</f>
        <v>0</v>
      </c>
      <c r="AU164">
        <f>$H$164*$AA$164</f>
        <v>51.83</v>
      </c>
      <c r="AV164">
        <f>$H$164*$AB$164</f>
        <v>51.83</v>
      </c>
      <c r="AW164">
        <f>$H$164*$AC$164</f>
        <v>51.83</v>
      </c>
      <c r="AX164">
        <f>$H$164*$AD$164</f>
        <v>51.83</v>
      </c>
      <c r="AY164">
        <f>$H$164*$AE$164</f>
        <v>51.83</v>
      </c>
      <c r="AZ164">
        <f>$H$164*$AF$164</f>
        <v>51.83</v>
      </c>
    </row>
    <row r="165" spans="1:52" x14ac:dyDescent="0.25">
      <c r="A165">
        <v>213</v>
      </c>
      <c r="B165" t="s">
        <v>279</v>
      </c>
      <c r="C165" t="s">
        <v>435</v>
      </c>
      <c r="D165">
        <v>2</v>
      </c>
      <c r="E165">
        <v>26.54</v>
      </c>
      <c r="F165" t="s">
        <v>335</v>
      </c>
      <c r="G165">
        <v>13.27</v>
      </c>
      <c r="H165">
        <v>31.84</v>
      </c>
      <c r="I165" t="s">
        <v>337</v>
      </c>
      <c r="J165" t="s">
        <v>436</v>
      </c>
      <c r="K165" t="s">
        <v>652</v>
      </c>
      <c r="L165" t="s">
        <v>179</v>
      </c>
      <c r="M165" t="s">
        <v>279</v>
      </c>
      <c r="N165" t="s">
        <v>11</v>
      </c>
      <c r="O165" t="s">
        <v>13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279</v>
      </c>
      <c r="AH165" t="s">
        <v>11</v>
      </c>
      <c r="AI165" t="s">
        <v>13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31.84</v>
      </c>
      <c r="AS165">
        <f>$H$165*$Y$165</f>
        <v>31.84</v>
      </c>
      <c r="AT165">
        <f>$H$165*$Z$165</f>
        <v>31.84</v>
      </c>
      <c r="AU165">
        <f>$H$165*$AA$165</f>
        <v>31.84</v>
      </c>
      <c r="AV165">
        <f>$H$165*$AB$165</f>
        <v>31.84</v>
      </c>
      <c r="AW165">
        <f>$H$165*$AC$165</f>
        <v>31.84</v>
      </c>
      <c r="AX165">
        <f>$H$165*$AD$165</f>
        <v>31.84</v>
      </c>
      <c r="AY165">
        <f>$H$165*$AE$165</f>
        <v>31.84</v>
      </c>
      <c r="AZ165">
        <f>$H$165*$AF$165</f>
        <v>31.84</v>
      </c>
    </row>
    <row r="166" spans="1:52" x14ac:dyDescent="0.25">
      <c r="A166">
        <v>214</v>
      </c>
      <c r="B166" t="s">
        <v>279</v>
      </c>
      <c r="C166" t="s">
        <v>486</v>
      </c>
      <c r="D166">
        <v>6</v>
      </c>
      <c r="E166">
        <v>112.38</v>
      </c>
      <c r="F166" t="s">
        <v>349</v>
      </c>
      <c r="G166">
        <v>18.73</v>
      </c>
      <c r="H166">
        <v>134.86000000000001</v>
      </c>
      <c r="I166" t="s">
        <v>487</v>
      </c>
      <c r="J166" t="s">
        <v>420</v>
      </c>
      <c r="K166" t="s">
        <v>676</v>
      </c>
      <c r="L166" t="s">
        <v>179</v>
      </c>
      <c r="M166" t="s">
        <v>279</v>
      </c>
      <c r="N166" t="s">
        <v>11</v>
      </c>
      <c r="O166" t="s">
        <v>13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279</v>
      </c>
      <c r="AH166" t="s">
        <v>11</v>
      </c>
      <c r="AI166" t="s">
        <v>13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0</v>
      </c>
      <c r="AS166">
        <f>$H$166*$Y$166</f>
        <v>0</v>
      </c>
      <c r="AT166">
        <f>$H$166*$Z$166</f>
        <v>0</v>
      </c>
      <c r="AU166">
        <f>$H$166*$AA$166</f>
        <v>134.86000000000001</v>
      </c>
      <c r="AV166">
        <f>$H$166*$AB$166</f>
        <v>134.86000000000001</v>
      </c>
      <c r="AW166">
        <f>$H$166*$AC$166</f>
        <v>134.86000000000001</v>
      </c>
      <c r="AX166">
        <f>$H$166*$AD$166</f>
        <v>134.86000000000001</v>
      </c>
      <c r="AY166">
        <f>$H$166*$AE$166</f>
        <v>134.86000000000001</v>
      </c>
      <c r="AZ166">
        <f>$H$166*$AF$166</f>
        <v>134.86000000000001</v>
      </c>
    </row>
    <row r="167" spans="1:52" x14ac:dyDescent="0.25">
      <c r="A167">
        <v>215</v>
      </c>
      <c r="B167" t="s">
        <v>279</v>
      </c>
      <c r="C167" t="s">
        <v>488</v>
      </c>
      <c r="D167">
        <v>1</v>
      </c>
      <c r="E167">
        <v>290.16000000000003</v>
      </c>
      <c r="F167" t="s">
        <v>335</v>
      </c>
      <c r="G167">
        <v>290.16000000000003</v>
      </c>
      <c r="H167">
        <v>348.2</v>
      </c>
      <c r="I167" t="s">
        <v>489</v>
      </c>
      <c r="J167" t="s">
        <v>490</v>
      </c>
      <c r="K167" t="s">
        <v>677</v>
      </c>
      <c r="L167" t="s">
        <v>179</v>
      </c>
      <c r="M167" t="s">
        <v>279</v>
      </c>
      <c r="N167" t="s">
        <v>11</v>
      </c>
      <c r="O167" t="s">
        <v>13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279</v>
      </c>
      <c r="AH167" t="s">
        <v>11</v>
      </c>
      <c r="AI167" t="s">
        <v>13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0</v>
      </c>
      <c r="AT167">
        <f>$H$167*$Z$167</f>
        <v>0</v>
      </c>
      <c r="AU167">
        <f>$H$167*$AA$167</f>
        <v>0</v>
      </c>
      <c r="AV167">
        <f>$H$167*$AB$167</f>
        <v>348.2</v>
      </c>
      <c r="AW167">
        <f>$H$167*$AC$167</f>
        <v>348.2</v>
      </c>
      <c r="AX167">
        <f>$H$167*$AD$167</f>
        <v>348.2</v>
      </c>
      <c r="AY167">
        <f>$H$167*$AE$167</f>
        <v>348.2</v>
      </c>
      <c r="AZ167">
        <f>$H$167*$AF$167</f>
        <v>348.2</v>
      </c>
    </row>
    <row r="168" spans="1:52" x14ac:dyDescent="0.25">
      <c r="A168">
        <v>216</v>
      </c>
      <c r="B168" t="s">
        <v>279</v>
      </c>
      <c r="C168" t="s">
        <v>354</v>
      </c>
      <c r="D168">
        <v>0.75</v>
      </c>
      <c r="E168">
        <v>491.8</v>
      </c>
      <c r="F168" t="s">
        <v>335</v>
      </c>
      <c r="G168">
        <v>655.73</v>
      </c>
      <c r="H168">
        <v>590.16</v>
      </c>
      <c r="I168" t="s">
        <v>353</v>
      </c>
      <c r="J168" t="s">
        <v>355</v>
      </c>
      <c r="K168" t="s">
        <v>612</v>
      </c>
      <c r="L168" t="s">
        <v>179</v>
      </c>
      <c r="M168" t="s">
        <v>279</v>
      </c>
      <c r="N168" t="s">
        <v>11</v>
      </c>
      <c r="O168" t="s">
        <v>13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279</v>
      </c>
      <c r="AH168" t="s">
        <v>11</v>
      </c>
      <c r="AI168" t="s">
        <v>13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0</v>
      </c>
      <c r="AQ168">
        <f>$H$168*$W$168</f>
        <v>0</v>
      </c>
      <c r="AR168">
        <f>$H$168*$X$168</f>
        <v>0</v>
      </c>
      <c r="AS168">
        <f>$H$168*$Y$168</f>
        <v>590.16</v>
      </c>
      <c r="AT168">
        <f>$H$168*$Z$168</f>
        <v>590.16</v>
      </c>
      <c r="AU168">
        <f>$H$168*$AA$168</f>
        <v>590.16</v>
      </c>
      <c r="AV168">
        <f>$H$168*$AB$168</f>
        <v>590.16</v>
      </c>
      <c r="AW168">
        <f>$H$168*$AC$168</f>
        <v>590.16</v>
      </c>
      <c r="AX168">
        <f>$H$168*$AD$168</f>
        <v>590.16</v>
      </c>
      <c r="AY168">
        <f>$H$168*$AE$168</f>
        <v>590.16</v>
      </c>
      <c r="AZ168">
        <f>$H$168*$AF$168</f>
        <v>590.16</v>
      </c>
    </row>
    <row r="169" spans="1:52" x14ac:dyDescent="0.25">
      <c r="A169">
        <v>217</v>
      </c>
      <c r="B169" t="s">
        <v>279</v>
      </c>
      <c r="C169" t="s">
        <v>354</v>
      </c>
      <c r="D169">
        <v>0.75</v>
      </c>
      <c r="E169">
        <v>491.8</v>
      </c>
      <c r="F169" t="s">
        <v>335</v>
      </c>
      <c r="G169">
        <v>655.73</v>
      </c>
      <c r="H169">
        <v>590.16</v>
      </c>
      <c r="I169" t="s">
        <v>353</v>
      </c>
      <c r="J169" t="s">
        <v>355</v>
      </c>
      <c r="K169" t="s">
        <v>612</v>
      </c>
      <c r="L169" t="s">
        <v>179</v>
      </c>
      <c r="M169" t="s">
        <v>279</v>
      </c>
      <c r="N169" t="s">
        <v>11</v>
      </c>
      <c r="O169" t="s">
        <v>13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1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279</v>
      </c>
      <c r="AH169" t="s">
        <v>11</v>
      </c>
      <c r="AI169" t="s">
        <v>13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0</v>
      </c>
      <c r="AQ169">
        <f>$H$169*$W$169</f>
        <v>0</v>
      </c>
      <c r="AR169">
        <f>$H$169*$X$169</f>
        <v>0</v>
      </c>
      <c r="AS169">
        <f>$H$169*$Y$169</f>
        <v>590.16</v>
      </c>
      <c r="AT169">
        <f>$H$169*$Z$169</f>
        <v>590.16</v>
      </c>
      <c r="AU169">
        <f>$H$169*$AA$169</f>
        <v>590.16</v>
      </c>
      <c r="AV169">
        <f>$H$169*$AB$169</f>
        <v>590.16</v>
      </c>
      <c r="AW169">
        <f>$H$169*$AC$169</f>
        <v>590.16</v>
      </c>
      <c r="AX169">
        <f>$H$169*$AD$169</f>
        <v>590.16</v>
      </c>
      <c r="AY169">
        <f>$H$169*$AE$169</f>
        <v>590.16</v>
      </c>
      <c r="AZ169">
        <f>$H$169*$AF$169</f>
        <v>590.16</v>
      </c>
    </row>
    <row r="170" spans="1:52" x14ac:dyDescent="0.25">
      <c r="A170">
        <v>218</v>
      </c>
      <c r="B170" t="s">
        <v>279</v>
      </c>
      <c r="C170" t="s">
        <v>354</v>
      </c>
      <c r="D170">
        <v>0.25</v>
      </c>
      <c r="E170">
        <v>163.93</v>
      </c>
      <c r="F170" t="s">
        <v>335</v>
      </c>
      <c r="G170">
        <v>655.73</v>
      </c>
      <c r="H170">
        <v>196.71</v>
      </c>
      <c r="I170" t="s">
        <v>353</v>
      </c>
      <c r="J170" t="s">
        <v>355</v>
      </c>
      <c r="K170" t="s">
        <v>612</v>
      </c>
      <c r="L170" t="s">
        <v>179</v>
      </c>
      <c r="M170" t="s">
        <v>279</v>
      </c>
      <c r="N170" t="s">
        <v>11</v>
      </c>
      <c r="O170" t="s">
        <v>13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279</v>
      </c>
      <c r="AH170" t="s">
        <v>11</v>
      </c>
      <c r="AI170" t="s">
        <v>13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0</v>
      </c>
      <c r="AQ170">
        <f>$H$170*$W$170</f>
        <v>0</v>
      </c>
      <c r="AR170">
        <f>$H$170*$X$170</f>
        <v>0</v>
      </c>
      <c r="AS170">
        <f>$H$170*$Y$170</f>
        <v>196.71</v>
      </c>
      <c r="AT170">
        <f>$H$170*$Z$170</f>
        <v>196.71</v>
      </c>
      <c r="AU170">
        <f>$H$170*$AA$170</f>
        <v>196.71</v>
      </c>
      <c r="AV170">
        <f>$H$170*$AB$170</f>
        <v>196.71</v>
      </c>
      <c r="AW170">
        <f>$H$170*$AC$170</f>
        <v>196.71</v>
      </c>
      <c r="AX170">
        <f>$H$170*$AD$170</f>
        <v>196.71</v>
      </c>
      <c r="AY170">
        <f>$H$170*$AE$170</f>
        <v>196.71</v>
      </c>
      <c r="AZ170">
        <f>$H$170*$AF$170</f>
        <v>196.71</v>
      </c>
    </row>
    <row r="171" spans="1:52" x14ac:dyDescent="0.25">
      <c r="A171">
        <v>219</v>
      </c>
      <c r="B171" t="s">
        <v>279</v>
      </c>
      <c r="C171" t="s">
        <v>354</v>
      </c>
      <c r="D171">
        <v>0.25</v>
      </c>
      <c r="E171">
        <v>163.93</v>
      </c>
      <c r="F171" t="s">
        <v>335</v>
      </c>
      <c r="G171">
        <v>655.73</v>
      </c>
      <c r="H171">
        <v>196.71</v>
      </c>
      <c r="I171" t="s">
        <v>353</v>
      </c>
      <c r="J171" t="s">
        <v>355</v>
      </c>
      <c r="K171" t="s">
        <v>612</v>
      </c>
      <c r="L171" t="s">
        <v>179</v>
      </c>
      <c r="M171" t="s">
        <v>279</v>
      </c>
      <c r="N171" t="s">
        <v>11</v>
      </c>
      <c r="O171" t="s">
        <v>13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279</v>
      </c>
      <c r="AH171" t="s">
        <v>11</v>
      </c>
      <c r="AI171" t="s">
        <v>13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0</v>
      </c>
      <c r="AO171">
        <f>$H$171*$U$171</f>
        <v>0</v>
      </c>
      <c r="AP171">
        <f>$H$171*$V$171</f>
        <v>0</v>
      </c>
      <c r="AQ171">
        <f>$H$171*$W$171</f>
        <v>0</v>
      </c>
      <c r="AR171">
        <f>$H$171*$X$171</f>
        <v>0</v>
      </c>
      <c r="AS171">
        <f>$H$171*$Y$171</f>
        <v>196.71</v>
      </c>
      <c r="AT171">
        <f>$H$171*$Z$171</f>
        <v>196.71</v>
      </c>
      <c r="AU171">
        <f>$H$171*$AA$171</f>
        <v>196.71</v>
      </c>
      <c r="AV171">
        <f>$H$171*$AB$171</f>
        <v>196.71</v>
      </c>
      <c r="AW171">
        <f>$H$171*$AC$171</f>
        <v>196.71</v>
      </c>
      <c r="AX171">
        <f>$H$171*$AD$171</f>
        <v>196.71</v>
      </c>
      <c r="AY171">
        <f>$H$171*$AE$171</f>
        <v>196.71</v>
      </c>
      <c r="AZ171">
        <f>$H$171*$AF$171</f>
        <v>196.71</v>
      </c>
    </row>
    <row r="172" spans="1:52" x14ac:dyDescent="0.25">
      <c r="A172">
        <v>220</v>
      </c>
      <c r="B172" t="s">
        <v>279</v>
      </c>
      <c r="C172" t="s">
        <v>491</v>
      </c>
      <c r="D172">
        <v>1</v>
      </c>
      <c r="E172">
        <v>78.69</v>
      </c>
      <c r="F172" t="s">
        <v>335</v>
      </c>
      <c r="G172">
        <v>78.69</v>
      </c>
      <c r="H172">
        <v>94.43</v>
      </c>
      <c r="I172" t="s">
        <v>353</v>
      </c>
      <c r="J172" t="s">
        <v>492</v>
      </c>
      <c r="K172" t="s">
        <v>678</v>
      </c>
      <c r="L172" t="s">
        <v>179</v>
      </c>
      <c r="M172" t="s">
        <v>279</v>
      </c>
      <c r="N172" t="s">
        <v>11</v>
      </c>
      <c r="O172" t="s">
        <v>13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1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279</v>
      </c>
      <c r="AH172" t="s">
        <v>11</v>
      </c>
      <c r="AI172" t="s">
        <v>13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0</v>
      </c>
      <c r="AN172">
        <f>$H$172*$T$172</f>
        <v>0</v>
      </c>
      <c r="AO172">
        <f>$H$172*$U$172</f>
        <v>0</v>
      </c>
      <c r="AP172">
        <f>$H$172*$V$172</f>
        <v>0</v>
      </c>
      <c r="AQ172">
        <f>$H$172*$W$172</f>
        <v>0</v>
      </c>
      <c r="AR172">
        <f>$H$172*$X$172</f>
        <v>0</v>
      </c>
      <c r="AS172">
        <f>$H$172*$Y$172</f>
        <v>94.43</v>
      </c>
      <c r="AT172">
        <f>$H$172*$Z$172</f>
        <v>94.43</v>
      </c>
      <c r="AU172">
        <f>$H$172*$AA$172</f>
        <v>94.43</v>
      </c>
      <c r="AV172">
        <f>$H$172*$AB$172</f>
        <v>94.43</v>
      </c>
      <c r="AW172">
        <f>$H$172*$AC$172</f>
        <v>94.43</v>
      </c>
      <c r="AX172">
        <f>$H$172*$AD$172</f>
        <v>94.43</v>
      </c>
      <c r="AY172">
        <f>$H$172*$AE$172</f>
        <v>94.43</v>
      </c>
      <c r="AZ172">
        <f>$H$172*$AF$172</f>
        <v>94.43</v>
      </c>
    </row>
    <row r="173" spans="1:52" x14ac:dyDescent="0.25">
      <c r="A173">
        <v>221</v>
      </c>
      <c r="B173" t="s">
        <v>279</v>
      </c>
      <c r="C173" t="s">
        <v>493</v>
      </c>
      <c r="D173">
        <v>1</v>
      </c>
      <c r="E173">
        <v>743.17</v>
      </c>
      <c r="F173" t="s">
        <v>335</v>
      </c>
      <c r="G173">
        <v>743.17</v>
      </c>
      <c r="H173">
        <v>891.81</v>
      </c>
      <c r="I173" t="s">
        <v>353</v>
      </c>
      <c r="J173" t="s">
        <v>494</v>
      </c>
      <c r="K173" t="s">
        <v>679</v>
      </c>
      <c r="L173" t="s">
        <v>179</v>
      </c>
      <c r="M173" t="s">
        <v>279</v>
      </c>
      <c r="N173" t="s">
        <v>11</v>
      </c>
      <c r="O173" t="s">
        <v>13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279</v>
      </c>
      <c r="AH173" t="s">
        <v>11</v>
      </c>
      <c r="AI173" t="s">
        <v>13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0</v>
      </c>
      <c r="AO173">
        <f>$H$173*$U$173</f>
        <v>0</v>
      </c>
      <c r="AP173">
        <f>$H$173*$V$173</f>
        <v>0</v>
      </c>
      <c r="AQ173">
        <f>$H$173*$W$173</f>
        <v>0</v>
      </c>
      <c r="AR173">
        <f>$H$173*$X$173</f>
        <v>0</v>
      </c>
      <c r="AS173">
        <f>$H$173*$Y$173</f>
        <v>891.81</v>
      </c>
      <c r="AT173">
        <f>$H$173*$Z$173</f>
        <v>891.81</v>
      </c>
      <c r="AU173">
        <f>$H$173*$AA$173</f>
        <v>891.81</v>
      </c>
      <c r="AV173">
        <f>$H$173*$AB$173</f>
        <v>891.81</v>
      </c>
      <c r="AW173">
        <f>$H$173*$AC$173</f>
        <v>891.81</v>
      </c>
      <c r="AX173">
        <f>$H$173*$AD$173</f>
        <v>891.81</v>
      </c>
      <c r="AY173">
        <f>$H$173*$AE$173</f>
        <v>891.81</v>
      </c>
      <c r="AZ173">
        <f>$H$173*$AF$173</f>
        <v>891.81</v>
      </c>
    </row>
    <row r="174" spans="1:52" x14ac:dyDescent="0.25">
      <c r="A174">
        <v>222</v>
      </c>
      <c r="B174" t="s">
        <v>279</v>
      </c>
      <c r="C174" t="s">
        <v>495</v>
      </c>
      <c r="D174">
        <v>1</v>
      </c>
      <c r="E174">
        <v>1133.07</v>
      </c>
      <c r="F174" t="s">
        <v>335</v>
      </c>
      <c r="G174">
        <v>1133.07</v>
      </c>
      <c r="H174">
        <v>1359.69</v>
      </c>
      <c r="I174" t="s">
        <v>353</v>
      </c>
      <c r="J174" t="s">
        <v>496</v>
      </c>
      <c r="K174" t="s">
        <v>680</v>
      </c>
      <c r="L174" t="s">
        <v>179</v>
      </c>
      <c r="M174" t="s">
        <v>279</v>
      </c>
      <c r="N174" t="s">
        <v>11</v>
      </c>
      <c r="O174" t="s">
        <v>13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279</v>
      </c>
      <c r="AH174" t="s">
        <v>11</v>
      </c>
      <c r="AI174" t="s">
        <v>13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0</v>
      </c>
      <c r="AS174">
        <f>$H$174*$Y$174</f>
        <v>1359.69</v>
      </c>
      <c r="AT174">
        <f>$H$174*$Z$174</f>
        <v>1359.69</v>
      </c>
      <c r="AU174">
        <f>$H$174*$AA$174</f>
        <v>1359.69</v>
      </c>
      <c r="AV174">
        <f>$H$174*$AB$174</f>
        <v>1359.69</v>
      </c>
      <c r="AW174">
        <f>$H$174*$AC$174</f>
        <v>1359.69</v>
      </c>
      <c r="AX174">
        <f>$H$174*$AD$174</f>
        <v>1359.69</v>
      </c>
      <c r="AY174">
        <f>$H$174*$AE$174</f>
        <v>1359.69</v>
      </c>
      <c r="AZ174">
        <f>$H$174*$AF$174</f>
        <v>1359.69</v>
      </c>
    </row>
    <row r="175" spans="1:52" x14ac:dyDescent="0.25">
      <c r="A175">
        <v>223</v>
      </c>
      <c r="B175" t="s">
        <v>279</v>
      </c>
      <c r="C175" t="s">
        <v>497</v>
      </c>
      <c r="D175">
        <v>1</v>
      </c>
      <c r="E175">
        <v>655.4</v>
      </c>
      <c r="F175" t="s">
        <v>335</v>
      </c>
      <c r="G175">
        <v>655.4</v>
      </c>
      <c r="H175">
        <v>786.48</v>
      </c>
      <c r="I175" t="s">
        <v>487</v>
      </c>
      <c r="J175" t="s">
        <v>498</v>
      </c>
      <c r="K175" t="s">
        <v>681</v>
      </c>
      <c r="L175" t="s">
        <v>179</v>
      </c>
      <c r="M175" t="s">
        <v>279</v>
      </c>
      <c r="N175" t="s">
        <v>11</v>
      </c>
      <c r="O175" t="s">
        <v>13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1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279</v>
      </c>
      <c r="AH175" t="s">
        <v>11</v>
      </c>
      <c r="AI175" t="s">
        <v>13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0</v>
      </c>
      <c r="AO175">
        <f>$H$175*$U$175</f>
        <v>0</v>
      </c>
      <c r="AP175">
        <f>$H$175*$V$175</f>
        <v>0</v>
      </c>
      <c r="AQ175">
        <f>$H$175*$W$175</f>
        <v>0</v>
      </c>
      <c r="AR175">
        <f>$H$175*$X$175</f>
        <v>0</v>
      </c>
      <c r="AS175">
        <f>$H$175*$Y$175</f>
        <v>786.48</v>
      </c>
      <c r="AT175">
        <f>$H$175*$Z$175</f>
        <v>786.48</v>
      </c>
      <c r="AU175">
        <f>$H$175*$AA$175</f>
        <v>786.48</v>
      </c>
      <c r="AV175">
        <f>$H$175*$AB$175</f>
        <v>786.48</v>
      </c>
      <c r="AW175">
        <f>$H$175*$AC$175</f>
        <v>786.48</v>
      </c>
      <c r="AX175">
        <f>$H$175*$AD$175</f>
        <v>786.48</v>
      </c>
      <c r="AY175">
        <f>$H$175*$AE$175</f>
        <v>786.48</v>
      </c>
      <c r="AZ175">
        <f>$H$175*$AF$175</f>
        <v>786.48</v>
      </c>
    </row>
    <row r="176" spans="1:52" x14ac:dyDescent="0.25">
      <c r="A176">
        <v>224</v>
      </c>
      <c r="B176" t="s">
        <v>279</v>
      </c>
      <c r="C176" t="s">
        <v>499</v>
      </c>
      <c r="D176">
        <v>1</v>
      </c>
      <c r="E176">
        <v>415.22</v>
      </c>
      <c r="F176" t="s">
        <v>335</v>
      </c>
      <c r="G176">
        <v>415.22</v>
      </c>
      <c r="H176">
        <v>498.26</v>
      </c>
      <c r="I176" t="s">
        <v>353</v>
      </c>
      <c r="J176" t="s">
        <v>500</v>
      </c>
      <c r="K176" t="s">
        <v>682</v>
      </c>
      <c r="L176" t="s">
        <v>179</v>
      </c>
      <c r="M176" t="s">
        <v>279</v>
      </c>
      <c r="N176" t="s">
        <v>11</v>
      </c>
      <c r="O176" t="s">
        <v>13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279</v>
      </c>
      <c r="AH176" t="s">
        <v>11</v>
      </c>
      <c r="AI176" t="s">
        <v>13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0</v>
      </c>
      <c r="AU176">
        <f>$H$176*$AA$176</f>
        <v>498.26</v>
      </c>
      <c r="AV176">
        <f>$H$176*$AB$176</f>
        <v>498.26</v>
      </c>
      <c r="AW176">
        <f>$H$176*$AC$176</f>
        <v>498.26</v>
      </c>
      <c r="AX176">
        <f>$H$176*$AD$176</f>
        <v>498.26</v>
      </c>
      <c r="AY176">
        <f>$H$176*$AE$176</f>
        <v>498.26</v>
      </c>
      <c r="AZ176">
        <f>$H$176*$AF$176</f>
        <v>498.26</v>
      </c>
    </row>
    <row r="177" spans="1:52" x14ac:dyDescent="0.25">
      <c r="A177">
        <v>225</v>
      </c>
      <c r="B177" t="s">
        <v>279</v>
      </c>
      <c r="C177" t="s">
        <v>501</v>
      </c>
      <c r="D177">
        <v>10</v>
      </c>
      <c r="E177">
        <v>65.7</v>
      </c>
      <c r="F177" t="s">
        <v>329</v>
      </c>
      <c r="G177">
        <v>6.57</v>
      </c>
      <c r="H177">
        <v>78.84</v>
      </c>
      <c r="I177" t="s">
        <v>343</v>
      </c>
      <c r="J177" t="s">
        <v>502</v>
      </c>
      <c r="K177" t="s">
        <v>683</v>
      </c>
      <c r="L177" t="s">
        <v>179</v>
      </c>
      <c r="M177" t="s">
        <v>279</v>
      </c>
      <c r="N177" t="s">
        <v>11</v>
      </c>
      <c r="O177" t="s">
        <v>13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1</v>
      </c>
      <c r="AE177">
        <v>1</v>
      </c>
      <c r="AF177">
        <v>1</v>
      </c>
      <c r="AG177" t="s">
        <v>279</v>
      </c>
      <c r="AH177" t="s">
        <v>11</v>
      </c>
      <c r="AI177" t="s">
        <v>13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0</v>
      </c>
      <c r="AO177">
        <f>$H$177*$U$177</f>
        <v>0</v>
      </c>
      <c r="AP177">
        <f>$H$177*$V$177</f>
        <v>0</v>
      </c>
      <c r="AQ177">
        <f>$H$177*$W$177</f>
        <v>0</v>
      </c>
      <c r="AR177">
        <f>$H$177*$X$177</f>
        <v>0</v>
      </c>
      <c r="AS177">
        <f>$H$177*$Y$177</f>
        <v>0</v>
      </c>
      <c r="AT177">
        <f>$H$177*$Z$177</f>
        <v>0</v>
      </c>
      <c r="AU177">
        <f>$H$177*$AA$177</f>
        <v>0</v>
      </c>
      <c r="AV177">
        <f>$H$177*$AB$177</f>
        <v>0</v>
      </c>
      <c r="AW177">
        <f>$H$177*$AC$177</f>
        <v>0</v>
      </c>
      <c r="AX177">
        <f>$H$177*$AD$177</f>
        <v>78.84</v>
      </c>
      <c r="AY177">
        <f>$H$177*$AE$177</f>
        <v>78.84</v>
      </c>
      <c r="AZ177">
        <f>$H$177*$AF$177</f>
        <v>78.84</v>
      </c>
    </row>
    <row r="178" spans="1:52" x14ac:dyDescent="0.25">
      <c r="A178">
        <v>226</v>
      </c>
      <c r="B178" t="s">
        <v>279</v>
      </c>
      <c r="C178" t="s">
        <v>503</v>
      </c>
      <c r="D178">
        <v>1</v>
      </c>
      <c r="E178">
        <v>197.02</v>
      </c>
      <c r="F178" t="s">
        <v>335</v>
      </c>
      <c r="G178">
        <v>197.02</v>
      </c>
      <c r="H178">
        <v>236.42</v>
      </c>
      <c r="I178" t="s">
        <v>343</v>
      </c>
      <c r="J178" t="s">
        <v>504</v>
      </c>
      <c r="K178" t="s">
        <v>684</v>
      </c>
      <c r="L178" t="s">
        <v>179</v>
      </c>
      <c r="M178" t="s">
        <v>279</v>
      </c>
      <c r="N178" t="s">
        <v>11</v>
      </c>
      <c r="O178" t="s">
        <v>13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1</v>
      </c>
      <c r="AE178">
        <v>1</v>
      </c>
      <c r="AF178">
        <v>1</v>
      </c>
      <c r="AG178" t="s">
        <v>279</v>
      </c>
      <c r="AH178" t="s">
        <v>11</v>
      </c>
      <c r="AI178" t="s">
        <v>13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0</v>
      </c>
      <c r="AO178">
        <f>$H$178*$U$178</f>
        <v>0</v>
      </c>
      <c r="AP178">
        <f>$H$178*$V$178</f>
        <v>0</v>
      </c>
      <c r="AQ178">
        <f>$H$178*$W$178</f>
        <v>0</v>
      </c>
      <c r="AR178">
        <f>$H$178*$X$178</f>
        <v>0</v>
      </c>
      <c r="AS178">
        <f>$H$178*$Y$178</f>
        <v>0</v>
      </c>
      <c r="AT178">
        <f>$H$178*$Z$178</f>
        <v>0</v>
      </c>
      <c r="AU178">
        <f>$H$178*$AA$178</f>
        <v>0</v>
      </c>
      <c r="AV178">
        <f>$H$178*$AB$178</f>
        <v>0</v>
      </c>
      <c r="AW178">
        <f>$H$178*$AC$178</f>
        <v>0</v>
      </c>
      <c r="AX178">
        <f>$H$178*$AD$178</f>
        <v>236.42</v>
      </c>
      <c r="AY178">
        <f>$H$178*$AE$178</f>
        <v>236.42</v>
      </c>
      <c r="AZ178">
        <f>$H$178*$AF$178</f>
        <v>236.42</v>
      </c>
    </row>
    <row r="179" spans="1:52" x14ac:dyDescent="0.25">
      <c r="A179">
        <v>227</v>
      </c>
      <c r="B179" t="s">
        <v>279</v>
      </c>
      <c r="C179" t="s">
        <v>505</v>
      </c>
      <c r="D179">
        <v>1</v>
      </c>
      <c r="E179">
        <v>155.46</v>
      </c>
      <c r="F179" t="s">
        <v>335</v>
      </c>
      <c r="G179">
        <v>155.46</v>
      </c>
      <c r="H179">
        <v>186.56</v>
      </c>
      <c r="I179" t="s">
        <v>340</v>
      </c>
      <c r="J179" t="s">
        <v>506</v>
      </c>
      <c r="K179" t="s">
        <v>685</v>
      </c>
      <c r="L179" t="s">
        <v>179</v>
      </c>
      <c r="M179" t="s">
        <v>279</v>
      </c>
      <c r="N179" t="s">
        <v>11</v>
      </c>
      <c r="O179" t="s">
        <v>13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1</v>
      </c>
      <c r="AE179">
        <v>1</v>
      </c>
      <c r="AF179">
        <v>1</v>
      </c>
      <c r="AG179" t="s">
        <v>279</v>
      </c>
      <c r="AH179" t="s">
        <v>11</v>
      </c>
      <c r="AI179" t="s">
        <v>13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0</v>
      </c>
      <c r="AN179">
        <f>$H$179*$T$179</f>
        <v>0</v>
      </c>
      <c r="AO179">
        <f>$H$179*$U$179</f>
        <v>0</v>
      </c>
      <c r="AP179">
        <f>$H$179*$V$179</f>
        <v>0</v>
      </c>
      <c r="AQ179">
        <f>$H$179*$W$179</f>
        <v>0</v>
      </c>
      <c r="AR179">
        <f>$H$179*$X$179</f>
        <v>0</v>
      </c>
      <c r="AS179">
        <f>$H$179*$Y$179</f>
        <v>0</v>
      </c>
      <c r="AT179">
        <f>$H$179*$Z$179</f>
        <v>0</v>
      </c>
      <c r="AU179">
        <f>$H$179*$AA$179</f>
        <v>0</v>
      </c>
      <c r="AV179">
        <f>$H$179*$AB$179</f>
        <v>0</v>
      </c>
      <c r="AW179">
        <f>$H$179*$AC$179</f>
        <v>0</v>
      </c>
      <c r="AX179">
        <f>$H$179*$AD$179</f>
        <v>186.56</v>
      </c>
      <c r="AY179">
        <f>$H$179*$AE$179</f>
        <v>186.56</v>
      </c>
      <c r="AZ179">
        <f>$H$179*$AF$179</f>
        <v>186.56</v>
      </c>
    </row>
    <row r="180" spans="1:52" x14ac:dyDescent="0.25">
      <c r="A180">
        <v>228</v>
      </c>
      <c r="B180" t="s">
        <v>279</v>
      </c>
      <c r="C180" t="s">
        <v>367</v>
      </c>
      <c r="D180">
        <v>1</v>
      </c>
      <c r="E180">
        <v>62.41</v>
      </c>
      <c r="F180" t="s">
        <v>335</v>
      </c>
      <c r="G180">
        <v>62.41</v>
      </c>
      <c r="H180">
        <v>74.89</v>
      </c>
      <c r="I180" t="s">
        <v>368</v>
      </c>
      <c r="J180" t="s">
        <v>369</v>
      </c>
      <c r="K180" t="s">
        <v>619</v>
      </c>
      <c r="L180" t="s">
        <v>179</v>
      </c>
      <c r="M180" t="s">
        <v>279</v>
      </c>
      <c r="N180" t="s">
        <v>11</v>
      </c>
      <c r="O180" t="s">
        <v>13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279</v>
      </c>
      <c r="AH180" t="s">
        <v>11</v>
      </c>
      <c r="AI180" t="s">
        <v>13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0</v>
      </c>
      <c r="AN180">
        <f>$H$180*$T$180</f>
        <v>0</v>
      </c>
      <c r="AO180">
        <f>$H$180*$U$180</f>
        <v>0</v>
      </c>
      <c r="AP180">
        <f>$H$180*$V$180</f>
        <v>0</v>
      </c>
      <c r="AQ180">
        <f>$H$180*$W$180</f>
        <v>0</v>
      </c>
      <c r="AR180">
        <f>$H$180*$X$180</f>
        <v>0</v>
      </c>
      <c r="AS180">
        <f>$H$180*$Y$180</f>
        <v>0</v>
      </c>
      <c r="AT180">
        <f>$H$180*$Z$180</f>
        <v>0</v>
      </c>
      <c r="AU180">
        <f>$H$180*$AA$180</f>
        <v>74.89</v>
      </c>
      <c r="AV180">
        <f>$H$180*$AB$180</f>
        <v>74.89</v>
      </c>
      <c r="AW180">
        <f>$H$180*$AC$180</f>
        <v>74.89</v>
      </c>
      <c r="AX180">
        <f>$H$180*$AD$180</f>
        <v>74.89</v>
      </c>
      <c r="AY180">
        <f>$H$180*$AE$180</f>
        <v>74.89</v>
      </c>
      <c r="AZ180">
        <f>$H$180*$AF$180</f>
        <v>74.89</v>
      </c>
    </row>
    <row r="181" spans="1:52" x14ac:dyDescent="0.25">
      <c r="A181">
        <v>229</v>
      </c>
      <c r="B181" t="s">
        <v>279</v>
      </c>
      <c r="C181" t="s">
        <v>375</v>
      </c>
      <c r="D181">
        <v>2</v>
      </c>
      <c r="E181">
        <v>77.86</v>
      </c>
      <c r="F181" t="s">
        <v>335</v>
      </c>
      <c r="G181">
        <v>38.93</v>
      </c>
      <c r="H181">
        <v>93.44</v>
      </c>
      <c r="I181" t="s">
        <v>330</v>
      </c>
      <c r="J181" t="s">
        <v>371</v>
      </c>
      <c r="K181" t="s">
        <v>622</v>
      </c>
      <c r="L181" t="s">
        <v>179</v>
      </c>
      <c r="M181" t="s">
        <v>279</v>
      </c>
      <c r="N181" t="s">
        <v>11</v>
      </c>
      <c r="O181" t="s">
        <v>13</v>
      </c>
      <c r="P181">
        <v>0</v>
      </c>
      <c r="Q181">
        <v>0</v>
      </c>
      <c r="R181">
        <v>0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279</v>
      </c>
      <c r="AH181" t="s">
        <v>11</v>
      </c>
      <c r="AI181" t="s">
        <v>13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93.44</v>
      </c>
      <c r="AN181">
        <f>$H$181*$T$181</f>
        <v>93.44</v>
      </c>
      <c r="AO181">
        <f>$H$181*$U$181</f>
        <v>93.44</v>
      </c>
      <c r="AP181">
        <f>$H$181*$V$181</f>
        <v>93.44</v>
      </c>
      <c r="AQ181">
        <f>$H$181*$W$181</f>
        <v>93.44</v>
      </c>
      <c r="AR181">
        <f>$H$181*$X$181</f>
        <v>93.44</v>
      </c>
      <c r="AS181">
        <f>$H$181*$Y$181</f>
        <v>93.44</v>
      </c>
      <c r="AT181">
        <f>$H$181*$Z$181</f>
        <v>93.44</v>
      </c>
      <c r="AU181">
        <f>$H$181*$AA$181</f>
        <v>93.44</v>
      </c>
      <c r="AV181">
        <f>$H$181*$AB$181</f>
        <v>93.44</v>
      </c>
      <c r="AW181">
        <f>$H$181*$AC$181</f>
        <v>93.44</v>
      </c>
      <c r="AX181">
        <f>$H$181*$AD$181</f>
        <v>93.44</v>
      </c>
      <c r="AY181">
        <f>$H$181*$AE$181</f>
        <v>93.44</v>
      </c>
      <c r="AZ181">
        <f>$H$181*$AF$181</f>
        <v>93.44</v>
      </c>
    </row>
    <row r="182" spans="1:52" x14ac:dyDescent="0.25">
      <c r="A182">
        <v>230</v>
      </c>
      <c r="B182" t="s">
        <v>279</v>
      </c>
      <c r="C182" t="s">
        <v>373</v>
      </c>
      <c r="D182">
        <v>2</v>
      </c>
      <c r="E182">
        <v>62.72</v>
      </c>
      <c r="F182" t="s">
        <v>335</v>
      </c>
      <c r="G182">
        <v>31.36</v>
      </c>
      <c r="H182">
        <v>75.260000000000005</v>
      </c>
      <c r="I182" t="s">
        <v>330</v>
      </c>
      <c r="J182" t="s">
        <v>374</v>
      </c>
      <c r="K182" t="s">
        <v>621</v>
      </c>
      <c r="L182" t="s">
        <v>179</v>
      </c>
      <c r="M182" t="s">
        <v>279</v>
      </c>
      <c r="N182" t="s">
        <v>11</v>
      </c>
      <c r="O182" t="s">
        <v>13</v>
      </c>
      <c r="P182">
        <v>0</v>
      </c>
      <c r="Q182">
        <v>0</v>
      </c>
      <c r="R182">
        <v>0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279</v>
      </c>
      <c r="AH182" t="s">
        <v>11</v>
      </c>
      <c r="AI182" t="s">
        <v>13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75.260000000000005</v>
      </c>
      <c r="AN182">
        <f>$H$182*$T$182</f>
        <v>75.260000000000005</v>
      </c>
      <c r="AO182">
        <f>$H$182*$U$182</f>
        <v>75.260000000000005</v>
      </c>
      <c r="AP182">
        <f>$H$182*$V$182</f>
        <v>75.260000000000005</v>
      </c>
      <c r="AQ182">
        <f>$H$182*$W$182</f>
        <v>75.260000000000005</v>
      </c>
      <c r="AR182">
        <f>$H$182*$X$182</f>
        <v>75.260000000000005</v>
      </c>
      <c r="AS182">
        <f>$H$182*$Y$182</f>
        <v>75.260000000000005</v>
      </c>
      <c r="AT182">
        <f>$H$182*$Z$182</f>
        <v>75.260000000000005</v>
      </c>
      <c r="AU182">
        <f>$H$182*$AA$182</f>
        <v>75.260000000000005</v>
      </c>
      <c r="AV182">
        <f>$H$182*$AB$182</f>
        <v>75.260000000000005</v>
      </c>
      <c r="AW182">
        <f>$H$182*$AC$182</f>
        <v>75.260000000000005</v>
      </c>
      <c r="AX182">
        <f>$H$182*$AD$182</f>
        <v>75.260000000000005</v>
      </c>
      <c r="AY182">
        <f>$H$182*$AE$182</f>
        <v>75.260000000000005</v>
      </c>
      <c r="AZ182">
        <f>$H$182*$AF$182</f>
        <v>75.260000000000005</v>
      </c>
    </row>
    <row r="183" spans="1:52" x14ac:dyDescent="0.25">
      <c r="A183">
        <v>231</v>
      </c>
      <c r="B183" t="s">
        <v>279</v>
      </c>
      <c r="C183" t="s">
        <v>370</v>
      </c>
      <c r="D183">
        <v>1</v>
      </c>
      <c r="E183">
        <v>366.18</v>
      </c>
      <c r="F183" t="s">
        <v>335</v>
      </c>
      <c r="G183">
        <v>366.18</v>
      </c>
      <c r="H183">
        <v>439.42</v>
      </c>
      <c r="I183" t="s">
        <v>371</v>
      </c>
      <c r="J183" t="s">
        <v>372</v>
      </c>
      <c r="K183" t="s">
        <v>620</v>
      </c>
      <c r="L183" t="s">
        <v>179</v>
      </c>
      <c r="M183" t="s">
        <v>279</v>
      </c>
      <c r="N183" t="s">
        <v>11</v>
      </c>
      <c r="O183" t="s">
        <v>13</v>
      </c>
      <c r="P183">
        <v>0</v>
      </c>
      <c r="Q183">
        <v>0</v>
      </c>
      <c r="R183">
        <v>0</v>
      </c>
      <c r="S183">
        <v>0</v>
      </c>
      <c r="T183">
        <v>1</v>
      </c>
      <c r="U183">
        <v>1</v>
      </c>
      <c r="V183">
        <v>1</v>
      </c>
      <c r="W183">
        <v>1</v>
      </c>
      <c r="X183">
        <v>1</v>
      </c>
      <c r="Y183">
        <v>1</v>
      </c>
      <c r="Z183">
        <v>1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279</v>
      </c>
      <c r="AH183" t="s">
        <v>11</v>
      </c>
      <c r="AI183" t="s">
        <v>13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0</v>
      </c>
      <c r="AN183">
        <f>$H$183*$T$183</f>
        <v>439.42</v>
      </c>
      <c r="AO183">
        <f>$H$183*$U$183</f>
        <v>439.42</v>
      </c>
      <c r="AP183">
        <f>$H$183*$V$183</f>
        <v>439.42</v>
      </c>
      <c r="AQ183">
        <f>$H$183*$W$183</f>
        <v>439.42</v>
      </c>
      <c r="AR183">
        <f>$H$183*$X$183</f>
        <v>439.42</v>
      </c>
      <c r="AS183">
        <f>$H$183*$Y$183</f>
        <v>439.42</v>
      </c>
      <c r="AT183">
        <f>$H$183*$Z$183</f>
        <v>439.42</v>
      </c>
      <c r="AU183">
        <f>$H$183*$AA$183</f>
        <v>439.42</v>
      </c>
      <c r="AV183">
        <f>$H$183*$AB$183</f>
        <v>439.42</v>
      </c>
      <c r="AW183">
        <f>$H$183*$AC$183</f>
        <v>439.42</v>
      </c>
      <c r="AX183">
        <f>$H$183*$AD$183</f>
        <v>439.42</v>
      </c>
      <c r="AY183">
        <f>$H$183*$AE$183</f>
        <v>439.42</v>
      </c>
      <c r="AZ183">
        <f>$H$183*$AF$183</f>
        <v>439.42</v>
      </c>
    </row>
    <row r="184" spans="1:52" x14ac:dyDescent="0.25">
      <c r="A184">
        <v>232</v>
      </c>
      <c r="B184" t="s">
        <v>279</v>
      </c>
      <c r="C184" t="s">
        <v>507</v>
      </c>
      <c r="D184">
        <v>1</v>
      </c>
      <c r="E184">
        <v>37</v>
      </c>
      <c r="F184" t="s">
        <v>335</v>
      </c>
      <c r="G184">
        <v>37</v>
      </c>
      <c r="H184">
        <v>44.4</v>
      </c>
      <c r="I184" t="s">
        <v>337</v>
      </c>
      <c r="J184" t="s">
        <v>508</v>
      </c>
      <c r="K184" t="s">
        <v>686</v>
      </c>
      <c r="L184" t="s">
        <v>179</v>
      </c>
      <c r="M184" t="s">
        <v>279</v>
      </c>
      <c r="N184" t="s">
        <v>11</v>
      </c>
      <c r="O184" t="s">
        <v>13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0.6</v>
      </c>
      <c r="Y184">
        <v>0.6</v>
      </c>
      <c r="Z184">
        <v>0.6</v>
      </c>
      <c r="AA184">
        <v>0.6</v>
      </c>
      <c r="AB184">
        <v>0.6</v>
      </c>
      <c r="AC184">
        <v>0.6</v>
      </c>
      <c r="AD184">
        <v>1</v>
      </c>
      <c r="AE184">
        <v>1</v>
      </c>
      <c r="AF184">
        <v>1</v>
      </c>
      <c r="AG184" t="s">
        <v>279</v>
      </c>
      <c r="AH184" t="s">
        <v>11</v>
      </c>
      <c r="AI184" t="s">
        <v>13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0</v>
      </c>
      <c r="AQ184">
        <f>$H$184*$W$184</f>
        <v>0</v>
      </c>
      <c r="AR184">
        <f>$H$184*$X$184</f>
        <v>26.639999999999997</v>
      </c>
      <c r="AS184">
        <f>$H$184*$Y$184</f>
        <v>26.639999999999997</v>
      </c>
      <c r="AT184">
        <f>$H$184*$Z$184</f>
        <v>26.639999999999997</v>
      </c>
      <c r="AU184">
        <f>$H$184*$AA$184</f>
        <v>26.639999999999997</v>
      </c>
      <c r="AV184">
        <f>$H$184*$AB$184</f>
        <v>26.639999999999997</v>
      </c>
      <c r="AW184">
        <f>$H$184*$AC$184</f>
        <v>26.639999999999997</v>
      </c>
      <c r="AX184">
        <f>$H$184*$AD$184</f>
        <v>44.4</v>
      </c>
      <c r="AY184">
        <f>$H$184*$AE$184</f>
        <v>44.4</v>
      </c>
      <c r="AZ184">
        <f>$H$184*$AF$184</f>
        <v>44.4</v>
      </c>
    </row>
    <row r="185" spans="1:52" x14ac:dyDescent="0.25">
      <c r="A185">
        <v>233</v>
      </c>
      <c r="B185" t="s">
        <v>279</v>
      </c>
      <c r="C185" t="s">
        <v>509</v>
      </c>
      <c r="D185">
        <v>6</v>
      </c>
      <c r="E185">
        <v>1915.62</v>
      </c>
      <c r="F185" t="s">
        <v>329</v>
      </c>
      <c r="G185">
        <v>319.27</v>
      </c>
      <c r="H185">
        <v>2298.7399999999998</v>
      </c>
      <c r="I185" t="s">
        <v>489</v>
      </c>
      <c r="J185" t="s">
        <v>510</v>
      </c>
      <c r="K185" t="s">
        <v>687</v>
      </c>
      <c r="L185" t="s">
        <v>179</v>
      </c>
      <c r="M185" t="s">
        <v>279</v>
      </c>
      <c r="N185" t="s">
        <v>11</v>
      </c>
      <c r="O185" t="s">
        <v>13</v>
      </c>
      <c r="P185">
        <v>0</v>
      </c>
      <c r="Q185">
        <v>0</v>
      </c>
      <c r="R185">
        <v>0</v>
      </c>
      <c r="S185">
        <v>0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279</v>
      </c>
      <c r="AH185" t="s">
        <v>11</v>
      </c>
      <c r="AI185" t="s">
        <v>13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0</v>
      </c>
      <c r="AN185">
        <f>$H$185*$T$185</f>
        <v>2298.7399999999998</v>
      </c>
      <c r="AO185">
        <f>$H$185*$U$185</f>
        <v>2298.7399999999998</v>
      </c>
      <c r="AP185">
        <f>$H$185*$V$185</f>
        <v>2298.7399999999998</v>
      </c>
      <c r="AQ185">
        <f>$H$185*$W$185</f>
        <v>2298.7399999999998</v>
      </c>
      <c r="AR185">
        <f>$H$185*$X$185</f>
        <v>2298.7399999999998</v>
      </c>
      <c r="AS185">
        <f>$H$185*$Y$185</f>
        <v>2298.7399999999998</v>
      </c>
      <c r="AT185">
        <f>$H$185*$Z$185</f>
        <v>2298.7399999999998</v>
      </c>
      <c r="AU185">
        <f>$H$185*$AA$185</f>
        <v>2298.7399999999998</v>
      </c>
      <c r="AV185">
        <f>$H$185*$AB$185</f>
        <v>2298.7399999999998</v>
      </c>
      <c r="AW185">
        <f>$H$185*$AC$185</f>
        <v>2298.7399999999998</v>
      </c>
      <c r="AX185">
        <f>$H$185*$AD$185</f>
        <v>2298.7399999999998</v>
      </c>
      <c r="AY185">
        <f>$H$185*$AE$185</f>
        <v>2298.7399999999998</v>
      </c>
      <c r="AZ185">
        <f>$H$185*$AF$185</f>
        <v>2298.7399999999998</v>
      </c>
    </row>
    <row r="186" spans="1:52" x14ac:dyDescent="0.25">
      <c r="A186">
        <v>234</v>
      </c>
      <c r="B186" t="s">
        <v>279</v>
      </c>
      <c r="C186" t="s">
        <v>511</v>
      </c>
      <c r="D186">
        <v>10</v>
      </c>
      <c r="E186">
        <v>969.9</v>
      </c>
      <c r="F186" t="s">
        <v>349</v>
      </c>
      <c r="G186">
        <v>96.99</v>
      </c>
      <c r="H186">
        <v>1163.8800000000001</v>
      </c>
      <c r="I186" t="s">
        <v>489</v>
      </c>
      <c r="J186" t="s">
        <v>512</v>
      </c>
      <c r="K186" t="s">
        <v>688</v>
      </c>
      <c r="L186" t="s">
        <v>179</v>
      </c>
      <c r="M186" t="s">
        <v>279</v>
      </c>
      <c r="N186" t="s">
        <v>11</v>
      </c>
      <c r="O186" t="s">
        <v>13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279</v>
      </c>
      <c r="AH186" t="s">
        <v>11</v>
      </c>
      <c r="AI186" t="s">
        <v>13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0</v>
      </c>
      <c r="AN186">
        <f>$H$186*$T$186</f>
        <v>0</v>
      </c>
      <c r="AO186">
        <f>$H$186*$U$186</f>
        <v>0</v>
      </c>
      <c r="AP186">
        <f>$H$186*$V$186</f>
        <v>0</v>
      </c>
      <c r="AQ186">
        <f>$H$186*$W$186</f>
        <v>0</v>
      </c>
      <c r="AR186">
        <f>$H$186*$X$186</f>
        <v>0</v>
      </c>
      <c r="AS186">
        <f>$H$186*$Y$186</f>
        <v>0</v>
      </c>
      <c r="AT186">
        <f>$H$186*$Z$186</f>
        <v>1163.8800000000001</v>
      </c>
      <c r="AU186">
        <f>$H$186*$AA$186</f>
        <v>1163.8800000000001</v>
      </c>
      <c r="AV186">
        <f>$H$186*$AB$186</f>
        <v>1163.8800000000001</v>
      </c>
      <c r="AW186">
        <f>$H$186*$AC$186</f>
        <v>1163.8800000000001</v>
      </c>
      <c r="AX186">
        <f>$H$186*$AD$186</f>
        <v>1163.8800000000001</v>
      </c>
      <c r="AY186">
        <f>$H$186*$AE$186</f>
        <v>1163.8800000000001</v>
      </c>
      <c r="AZ186">
        <f>$H$186*$AF$186</f>
        <v>1163.8800000000001</v>
      </c>
    </row>
    <row r="187" spans="1:52" x14ac:dyDescent="0.25">
      <c r="A187">
        <v>235</v>
      </c>
      <c r="B187" t="s">
        <v>279</v>
      </c>
      <c r="C187" t="s">
        <v>513</v>
      </c>
      <c r="D187">
        <v>1</v>
      </c>
      <c r="E187">
        <v>305.94</v>
      </c>
      <c r="F187" t="s">
        <v>335</v>
      </c>
      <c r="G187">
        <v>305.94</v>
      </c>
      <c r="H187">
        <v>367.12</v>
      </c>
      <c r="I187" t="s">
        <v>353</v>
      </c>
      <c r="J187" t="s">
        <v>514</v>
      </c>
      <c r="K187" t="s">
        <v>689</v>
      </c>
      <c r="L187" t="s">
        <v>179</v>
      </c>
      <c r="M187" t="s">
        <v>279</v>
      </c>
      <c r="N187" t="s">
        <v>11</v>
      </c>
      <c r="O187" t="s">
        <v>13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279</v>
      </c>
      <c r="AH187" t="s">
        <v>11</v>
      </c>
      <c r="AI187" t="s">
        <v>13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0</v>
      </c>
      <c r="AS187">
        <f>$H$187*$Y$187</f>
        <v>0</v>
      </c>
      <c r="AT187">
        <f>$H$187*$Z$187</f>
        <v>0</v>
      </c>
      <c r="AU187">
        <f>$H$187*$AA$187</f>
        <v>367.12</v>
      </c>
      <c r="AV187">
        <f>$H$187*$AB$187</f>
        <v>367.12</v>
      </c>
      <c r="AW187">
        <f>$H$187*$AC$187</f>
        <v>367.12</v>
      </c>
      <c r="AX187">
        <f>$H$187*$AD$187</f>
        <v>367.12</v>
      </c>
      <c r="AY187">
        <f>$H$187*$AE$187</f>
        <v>367.12</v>
      </c>
      <c r="AZ187">
        <f>$H$187*$AF$187</f>
        <v>367.12</v>
      </c>
    </row>
    <row r="188" spans="1:52" x14ac:dyDescent="0.25">
      <c r="A188">
        <v>236</v>
      </c>
      <c r="B188" t="s">
        <v>279</v>
      </c>
      <c r="C188" t="s">
        <v>354</v>
      </c>
      <c r="D188">
        <v>1.5</v>
      </c>
      <c r="E188">
        <v>983.6</v>
      </c>
      <c r="F188" t="s">
        <v>335</v>
      </c>
      <c r="G188">
        <v>655.73</v>
      </c>
      <c r="H188">
        <v>1180.32</v>
      </c>
      <c r="I188" t="s">
        <v>353</v>
      </c>
      <c r="J188" t="s">
        <v>355</v>
      </c>
      <c r="K188" t="s">
        <v>612</v>
      </c>
      <c r="L188" t="s">
        <v>179</v>
      </c>
      <c r="M188" t="s">
        <v>279</v>
      </c>
      <c r="N188" t="s">
        <v>11</v>
      </c>
      <c r="O188" t="s">
        <v>13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279</v>
      </c>
      <c r="AH188" t="s">
        <v>11</v>
      </c>
      <c r="AI188" t="s">
        <v>13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0</v>
      </c>
      <c r="AN188">
        <f>$H$188*$T$188</f>
        <v>0</v>
      </c>
      <c r="AO188">
        <f>$H$188*$U$188</f>
        <v>0</v>
      </c>
      <c r="AP188">
        <f>$H$188*$V$188</f>
        <v>0</v>
      </c>
      <c r="AQ188">
        <f>$H$188*$W$188</f>
        <v>0</v>
      </c>
      <c r="AR188">
        <f>$H$188*$X$188</f>
        <v>0</v>
      </c>
      <c r="AS188">
        <f>$H$188*$Y$188</f>
        <v>1180.32</v>
      </c>
      <c r="AT188">
        <f>$H$188*$Z$188</f>
        <v>1180.32</v>
      </c>
      <c r="AU188">
        <f>$H$188*$AA$188</f>
        <v>1180.32</v>
      </c>
      <c r="AV188">
        <f>$H$188*$AB$188</f>
        <v>1180.32</v>
      </c>
      <c r="AW188">
        <f>$H$188*$AC$188</f>
        <v>1180.32</v>
      </c>
      <c r="AX188">
        <f>$H$188*$AD$188</f>
        <v>1180.32</v>
      </c>
      <c r="AY188">
        <f>$H$188*$AE$188</f>
        <v>1180.32</v>
      </c>
      <c r="AZ188">
        <f>$H$188*$AF$188</f>
        <v>1180.32</v>
      </c>
    </row>
    <row r="189" spans="1:52" x14ac:dyDescent="0.25">
      <c r="A189">
        <v>237</v>
      </c>
      <c r="B189" t="s">
        <v>279</v>
      </c>
      <c r="C189" t="s">
        <v>354</v>
      </c>
      <c r="D189">
        <v>0.5</v>
      </c>
      <c r="E189">
        <v>327.87</v>
      </c>
      <c r="F189" t="s">
        <v>335</v>
      </c>
      <c r="G189">
        <v>655.73</v>
      </c>
      <c r="H189">
        <v>393.45</v>
      </c>
      <c r="I189" t="s">
        <v>353</v>
      </c>
      <c r="J189" t="s">
        <v>355</v>
      </c>
      <c r="K189" t="s">
        <v>612</v>
      </c>
      <c r="L189" t="s">
        <v>179</v>
      </c>
      <c r="M189" t="s">
        <v>279</v>
      </c>
      <c r="N189" t="s">
        <v>11</v>
      </c>
      <c r="O189" t="s">
        <v>13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279</v>
      </c>
      <c r="AH189" t="s">
        <v>11</v>
      </c>
      <c r="AI189" t="s">
        <v>13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0</v>
      </c>
      <c r="AO189">
        <f>$H$189*$U$189</f>
        <v>0</v>
      </c>
      <c r="AP189">
        <f>$H$189*$V$189</f>
        <v>0</v>
      </c>
      <c r="AQ189">
        <f>$H$189*$W$189</f>
        <v>0</v>
      </c>
      <c r="AR189">
        <f>$H$189*$X$189</f>
        <v>0</v>
      </c>
      <c r="AS189">
        <f>$H$189*$Y$189</f>
        <v>393.45</v>
      </c>
      <c r="AT189">
        <f>$H$189*$Z$189</f>
        <v>393.45</v>
      </c>
      <c r="AU189">
        <f>$H$189*$AA$189</f>
        <v>393.45</v>
      </c>
      <c r="AV189">
        <f>$H$189*$AB$189</f>
        <v>393.45</v>
      </c>
      <c r="AW189">
        <f>$H$189*$AC$189</f>
        <v>393.45</v>
      </c>
      <c r="AX189">
        <f>$H$189*$AD$189</f>
        <v>393.45</v>
      </c>
      <c r="AY189">
        <f>$H$189*$AE$189</f>
        <v>393.45</v>
      </c>
      <c r="AZ189">
        <f>$H$189*$AF$189</f>
        <v>393.45</v>
      </c>
    </row>
    <row r="190" spans="1:52" x14ac:dyDescent="0.25">
      <c r="A190">
        <v>238</v>
      </c>
      <c r="B190" t="s">
        <v>279</v>
      </c>
      <c r="C190" t="s">
        <v>515</v>
      </c>
      <c r="D190">
        <v>2</v>
      </c>
      <c r="E190">
        <v>813.28</v>
      </c>
      <c r="F190" t="s">
        <v>335</v>
      </c>
      <c r="G190">
        <v>406.64</v>
      </c>
      <c r="H190">
        <v>975.94</v>
      </c>
      <c r="I190" t="s">
        <v>353</v>
      </c>
      <c r="J190" t="s">
        <v>516</v>
      </c>
      <c r="K190" t="s">
        <v>690</v>
      </c>
      <c r="L190" t="s">
        <v>179</v>
      </c>
      <c r="M190" t="s">
        <v>279</v>
      </c>
      <c r="N190" t="s">
        <v>11</v>
      </c>
      <c r="O190" t="s">
        <v>13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279</v>
      </c>
      <c r="AH190" t="s">
        <v>11</v>
      </c>
      <c r="AI190" t="s">
        <v>13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0</v>
      </c>
      <c r="AN190">
        <f>$H$190*$T$190</f>
        <v>0</v>
      </c>
      <c r="AO190">
        <f>$H$190*$U$190</f>
        <v>0</v>
      </c>
      <c r="AP190">
        <f>$H$190*$V$190</f>
        <v>0</v>
      </c>
      <c r="AQ190">
        <f>$H$190*$W$190</f>
        <v>0</v>
      </c>
      <c r="AR190">
        <f>$H$190*$X$190</f>
        <v>0</v>
      </c>
      <c r="AS190">
        <f>$H$190*$Y$190</f>
        <v>0</v>
      </c>
      <c r="AT190">
        <f>$H$190*$Z$190</f>
        <v>0</v>
      </c>
      <c r="AU190">
        <f>$H$190*$AA$190</f>
        <v>975.94</v>
      </c>
      <c r="AV190">
        <f>$H$190*$AB$190</f>
        <v>975.94</v>
      </c>
      <c r="AW190">
        <f>$H$190*$AC$190</f>
        <v>975.94</v>
      </c>
      <c r="AX190">
        <f>$H$190*$AD$190</f>
        <v>975.94</v>
      </c>
      <c r="AY190">
        <f>$H$190*$AE$190</f>
        <v>975.94</v>
      </c>
      <c r="AZ190">
        <f>$H$190*$AF$190</f>
        <v>975.94</v>
      </c>
    </row>
    <row r="191" spans="1:52" x14ac:dyDescent="0.25">
      <c r="A191">
        <v>239</v>
      </c>
      <c r="B191" t="s">
        <v>279</v>
      </c>
      <c r="C191" t="s">
        <v>438</v>
      </c>
      <c r="D191">
        <v>10.199999999999999</v>
      </c>
      <c r="E191">
        <v>26.72</v>
      </c>
      <c r="F191" t="s">
        <v>329</v>
      </c>
      <c r="G191">
        <v>2.62</v>
      </c>
      <c r="H191">
        <v>32.06</v>
      </c>
      <c r="I191" t="s">
        <v>439</v>
      </c>
      <c r="J191" t="s">
        <v>440</v>
      </c>
      <c r="K191" t="s">
        <v>654</v>
      </c>
      <c r="L191" t="s">
        <v>179</v>
      </c>
      <c r="M191" t="s">
        <v>279</v>
      </c>
      <c r="N191" t="s">
        <v>11</v>
      </c>
      <c r="O191" t="s">
        <v>13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279</v>
      </c>
      <c r="AH191" t="s">
        <v>11</v>
      </c>
      <c r="AI191" t="s">
        <v>13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0</v>
      </c>
      <c r="AO191">
        <f>$H$191*$U$191</f>
        <v>0</v>
      </c>
      <c r="AP191">
        <f>$H$191*$V$191</f>
        <v>0</v>
      </c>
      <c r="AQ191">
        <f>$H$191*$W$191</f>
        <v>0</v>
      </c>
      <c r="AR191">
        <f>$H$191*$X$191</f>
        <v>0</v>
      </c>
      <c r="AS191">
        <f>$H$191*$Y$191</f>
        <v>0</v>
      </c>
      <c r="AT191">
        <f>$H$191*$Z$191</f>
        <v>0</v>
      </c>
      <c r="AU191">
        <f>$H$191*$AA$191</f>
        <v>32.06</v>
      </c>
      <c r="AV191">
        <f>$H$191*$AB$191</f>
        <v>32.06</v>
      </c>
      <c r="AW191">
        <f>$H$191*$AC$191</f>
        <v>32.06</v>
      </c>
      <c r="AX191">
        <f>$H$191*$AD$191</f>
        <v>32.06</v>
      </c>
      <c r="AY191">
        <f>$H$191*$AE$191</f>
        <v>32.06</v>
      </c>
      <c r="AZ191">
        <f>$H$191*$AF$191</f>
        <v>32.06</v>
      </c>
    </row>
    <row r="192" spans="1:52" x14ac:dyDescent="0.25">
      <c r="A192">
        <v>240</v>
      </c>
      <c r="B192" t="s">
        <v>279</v>
      </c>
      <c r="C192" t="s">
        <v>441</v>
      </c>
      <c r="D192">
        <v>91.8</v>
      </c>
      <c r="E192">
        <v>198.29</v>
      </c>
      <c r="F192" t="s">
        <v>349</v>
      </c>
      <c r="G192">
        <v>2.16</v>
      </c>
      <c r="H192">
        <v>237.95</v>
      </c>
      <c r="I192" t="s">
        <v>439</v>
      </c>
      <c r="J192" t="s">
        <v>442</v>
      </c>
      <c r="K192" t="s">
        <v>655</v>
      </c>
      <c r="L192" t="s">
        <v>179</v>
      </c>
      <c r="M192" t="s">
        <v>279</v>
      </c>
      <c r="N192" t="s">
        <v>11</v>
      </c>
      <c r="O192" t="s">
        <v>13</v>
      </c>
      <c r="P192">
        <v>0</v>
      </c>
      <c r="Q192">
        <v>0</v>
      </c>
      <c r="R192">
        <v>0</v>
      </c>
      <c r="S192">
        <v>1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279</v>
      </c>
      <c r="AH192" t="s">
        <v>11</v>
      </c>
      <c r="AI192" t="s">
        <v>13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237.95</v>
      </c>
      <c r="AN192">
        <f>$H$192*$T$192</f>
        <v>237.95</v>
      </c>
      <c r="AO192">
        <f>$H$192*$U$192</f>
        <v>237.95</v>
      </c>
      <c r="AP192">
        <f>$H$192*$V$192</f>
        <v>237.95</v>
      </c>
      <c r="AQ192">
        <f>$H$192*$W$192</f>
        <v>237.95</v>
      </c>
      <c r="AR192">
        <f>$H$192*$X$192</f>
        <v>237.95</v>
      </c>
      <c r="AS192">
        <f>$H$192*$Y$192</f>
        <v>237.95</v>
      </c>
      <c r="AT192">
        <f>$H$192*$Z$192</f>
        <v>237.95</v>
      </c>
      <c r="AU192">
        <f>$H$192*$AA$192</f>
        <v>237.95</v>
      </c>
      <c r="AV192">
        <f>$H$192*$AB$192</f>
        <v>237.95</v>
      </c>
      <c r="AW192">
        <f>$H$192*$AC$192</f>
        <v>237.95</v>
      </c>
      <c r="AX192">
        <f>$H$192*$AD$192</f>
        <v>237.95</v>
      </c>
      <c r="AY192">
        <f>$H$192*$AE$192</f>
        <v>237.95</v>
      </c>
      <c r="AZ192">
        <f>$H$192*$AF$192</f>
        <v>237.95</v>
      </c>
    </row>
    <row r="193" spans="1:52" x14ac:dyDescent="0.25">
      <c r="A193">
        <v>241</v>
      </c>
      <c r="B193" t="s">
        <v>279</v>
      </c>
      <c r="C193" t="s">
        <v>443</v>
      </c>
      <c r="D193">
        <v>91.8</v>
      </c>
      <c r="E193">
        <v>57.83</v>
      </c>
      <c r="F193" t="s">
        <v>349</v>
      </c>
      <c r="G193">
        <v>0.63</v>
      </c>
      <c r="H193">
        <v>69.39</v>
      </c>
      <c r="I193" t="s">
        <v>330</v>
      </c>
      <c r="J193" t="s">
        <v>444</v>
      </c>
      <c r="K193" t="s">
        <v>656</v>
      </c>
      <c r="L193" t="s">
        <v>179</v>
      </c>
      <c r="M193" t="s">
        <v>279</v>
      </c>
      <c r="N193" t="s">
        <v>11</v>
      </c>
      <c r="O193" t="s">
        <v>13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1</v>
      </c>
      <c r="AE193">
        <v>1</v>
      </c>
      <c r="AF193">
        <v>1</v>
      </c>
      <c r="AG193" t="s">
        <v>279</v>
      </c>
      <c r="AH193" t="s">
        <v>11</v>
      </c>
      <c r="AI193" t="s">
        <v>13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0</v>
      </c>
      <c r="AN193">
        <f>$H$193*$T$193</f>
        <v>0</v>
      </c>
      <c r="AO193">
        <f>$H$193*$U$193</f>
        <v>0</v>
      </c>
      <c r="AP193">
        <f>$H$193*$V$193</f>
        <v>0</v>
      </c>
      <c r="AQ193">
        <f>$H$193*$W$193</f>
        <v>0</v>
      </c>
      <c r="AR193">
        <f>$H$193*$X$193</f>
        <v>0</v>
      </c>
      <c r="AS193">
        <f>$H$193*$Y$193</f>
        <v>0</v>
      </c>
      <c r="AT193">
        <f>$H$193*$Z$193</f>
        <v>0</v>
      </c>
      <c r="AU193">
        <f>$H$193*$AA$193</f>
        <v>0</v>
      </c>
      <c r="AV193">
        <f>$H$193*$AB$193</f>
        <v>0</v>
      </c>
      <c r="AW193">
        <f>$H$193*$AC$193</f>
        <v>0</v>
      </c>
      <c r="AX193">
        <f>$H$193*$AD$193</f>
        <v>69.39</v>
      </c>
      <c r="AY193">
        <f>$H$193*$AE$193</f>
        <v>69.39</v>
      </c>
      <c r="AZ193">
        <f>$H$193*$AF$193</f>
        <v>69.39</v>
      </c>
    </row>
    <row r="194" spans="1:52" x14ac:dyDescent="0.25">
      <c r="A194">
        <v>242</v>
      </c>
      <c r="B194" t="s">
        <v>279</v>
      </c>
      <c r="C194" t="s">
        <v>362</v>
      </c>
      <c r="D194">
        <v>114.75</v>
      </c>
      <c r="E194">
        <v>112.46</v>
      </c>
      <c r="F194" t="s">
        <v>349</v>
      </c>
      <c r="G194">
        <v>0.98</v>
      </c>
      <c r="H194">
        <v>134.96</v>
      </c>
      <c r="I194" t="s">
        <v>330</v>
      </c>
      <c r="J194" t="s">
        <v>363</v>
      </c>
      <c r="K194" t="s">
        <v>617</v>
      </c>
      <c r="L194" t="s">
        <v>179</v>
      </c>
      <c r="M194" t="s">
        <v>279</v>
      </c>
      <c r="N194" t="s">
        <v>11</v>
      </c>
      <c r="O194" t="s">
        <v>13</v>
      </c>
      <c r="P194">
        <v>0</v>
      </c>
      <c r="Q194">
        <v>0</v>
      </c>
      <c r="R194">
        <v>0</v>
      </c>
      <c r="S194">
        <v>0</v>
      </c>
      <c r="T194">
        <v>1</v>
      </c>
      <c r="U194">
        <v>1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279</v>
      </c>
      <c r="AH194" t="s">
        <v>11</v>
      </c>
      <c r="AI194" t="s">
        <v>13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134.96</v>
      </c>
      <c r="AO194">
        <f>$H$194*$U$194</f>
        <v>134.96</v>
      </c>
      <c r="AP194">
        <f>$H$194*$V$194</f>
        <v>134.96</v>
      </c>
      <c r="AQ194">
        <f>$H$194*$W$194</f>
        <v>134.96</v>
      </c>
      <c r="AR194">
        <f>$H$194*$X$194</f>
        <v>134.96</v>
      </c>
      <c r="AS194">
        <f>$H$194*$Y$194</f>
        <v>134.96</v>
      </c>
      <c r="AT194">
        <f>$H$194*$Z$194</f>
        <v>134.96</v>
      </c>
      <c r="AU194">
        <f>$H$194*$AA$194</f>
        <v>134.96</v>
      </c>
      <c r="AV194">
        <f>$H$194*$AB$194</f>
        <v>134.96</v>
      </c>
      <c r="AW194">
        <f>$H$194*$AC$194</f>
        <v>134.96</v>
      </c>
      <c r="AX194">
        <f>$H$194*$AD$194</f>
        <v>134.96</v>
      </c>
      <c r="AY194">
        <f>$H$194*$AE$194</f>
        <v>134.96</v>
      </c>
      <c r="AZ194">
        <f>$H$194*$AF$194</f>
        <v>134.96</v>
      </c>
    </row>
    <row r="195" spans="1:52" x14ac:dyDescent="0.25">
      <c r="A195">
        <v>243</v>
      </c>
      <c r="B195" t="s">
        <v>279</v>
      </c>
      <c r="C195" t="s">
        <v>445</v>
      </c>
      <c r="D195">
        <v>22.95</v>
      </c>
      <c r="E195">
        <v>86.29</v>
      </c>
      <c r="F195" t="s">
        <v>349</v>
      </c>
      <c r="G195">
        <v>3.76</v>
      </c>
      <c r="H195">
        <v>103.55</v>
      </c>
      <c r="I195" t="s">
        <v>446</v>
      </c>
      <c r="J195" t="s">
        <v>420</v>
      </c>
      <c r="K195" t="s">
        <v>657</v>
      </c>
      <c r="L195" t="s">
        <v>179</v>
      </c>
      <c r="M195" t="s">
        <v>279</v>
      </c>
      <c r="N195" t="s">
        <v>11</v>
      </c>
      <c r="O195" t="s">
        <v>13</v>
      </c>
      <c r="P195">
        <v>0</v>
      </c>
      <c r="Q195">
        <v>0</v>
      </c>
      <c r="R195">
        <v>0</v>
      </c>
      <c r="S195">
        <v>0.25</v>
      </c>
      <c r="T195">
        <v>0.25</v>
      </c>
      <c r="U195">
        <v>0.25</v>
      </c>
      <c r="V195">
        <v>0.25</v>
      </c>
      <c r="W195">
        <v>0.25</v>
      </c>
      <c r="X195">
        <v>0.5</v>
      </c>
      <c r="Y195">
        <v>0.5</v>
      </c>
      <c r="Z195">
        <v>0.5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279</v>
      </c>
      <c r="AH195" t="s">
        <v>11</v>
      </c>
      <c r="AI195" t="s">
        <v>13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25.887499999999999</v>
      </c>
      <c r="AN195">
        <f>$H$195*$T$195</f>
        <v>25.887499999999999</v>
      </c>
      <c r="AO195">
        <f>$H$195*$U$195</f>
        <v>25.887499999999999</v>
      </c>
      <c r="AP195">
        <f>$H$195*$V$195</f>
        <v>25.887499999999999</v>
      </c>
      <c r="AQ195">
        <f>$H$195*$W$195</f>
        <v>25.887499999999999</v>
      </c>
      <c r="AR195">
        <f>$H$195*$X$195</f>
        <v>51.774999999999999</v>
      </c>
      <c r="AS195">
        <f>$H$195*$Y$195</f>
        <v>51.774999999999999</v>
      </c>
      <c r="AT195">
        <f>$H$195*$Z$195</f>
        <v>51.774999999999999</v>
      </c>
      <c r="AU195">
        <f>$H$195*$AA$195</f>
        <v>103.55</v>
      </c>
      <c r="AV195">
        <f>$H$195*$AB$195</f>
        <v>103.55</v>
      </c>
      <c r="AW195">
        <f>$H$195*$AC$195</f>
        <v>103.55</v>
      </c>
      <c r="AX195">
        <f>$H$195*$AD$195</f>
        <v>103.55</v>
      </c>
      <c r="AY195">
        <f>$H$195*$AE$195</f>
        <v>103.55</v>
      </c>
      <c r="AZ195">
        <f>$H$195*$AF$195</f>
        <v>103.55</v>
      </c>
    </row>
    <row r="196" spans="1:52" x14ac:dyDescent="0.25">
      <c r="A196">
        <v>244</v>
      </c>
      <c r="B196" t="s">
        <v>279</v>
      </c>
      <c r="C196" t="s">
        <v>364</v>
      </c>
      <c r="D196">
        <v>229.5</v>
      </c>
      <c r="E196">
        <v>771.12</v>
      </c>
      <c r="F196" t="s">
        <v>349</v>
      </c>
      <c r="G196">
        <v>3.36</v>
      </c>
      <c r="H196">
        <v>925.34</v>
      </c>
      <c r="I196" t="s">
        <v>365</v>
      </c>
      <c r="J196" t="s">
        <v>366</v>
      </c>
      <c r="K196" t="s">
        <v>618</v>
      </c>
      <c r="L196" t="s">
        <v>179</v>
      </c>
      <c r="M196" t="s">
        <v>279</v>
      </c>
      <c r="N196" t="s">
        <v>11</v>
      </c>
      <c r="O196" t="s">
        <v>13</v>
      </c>
      <c r="P196">
        <v>0</v>
      </c>
      <c r="Q196">
        <v>0</v>
      </c>
      <c r="R196">
        <v>0</v>
      </c>
      <c r="S196">
        <v>0.25</v>
      </c>
      <c r="T196">
        <v>0.25</v>
      </c>
      <c r="U196">
        <v>0.25</v>
      </c>
      <c r="V196">
        <v>0.25</v>
      </c>
      <c r="W196">
        <v>0.5</v>
      </c>
      <c r="X196">
        <v>0.5</v>
      </c>
      <c r="Y196">
        <v>0.5</v>
      </c>
      <c r="Z196">
        <v>0.5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279</v>
      </c>
      <c r="AH196" t="s">
        <v>11</v>
      </c>
      <c r="AI196" t="s">
        <v>13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231.33500000000001</v>
      </c>
      <c r="AN196">
        <f>$H$196*$T$196</f>
        <v>231.33500000000001</v>
      </c>
      <c r="AO196">
        <f>$H$196*$U$196</f>
        <v>231.33500000000001</v>
      </c>
      <c r="AP196">
        <f>$H$196*$V$196</f>
        <v>231.33500000000001</v>
      </c>
      <c r="AQ196">
        <f>$H$196*$W$196</f>
        <v>462.67</v>
      </c>
      <c r="AR196">
        <f>$H$196*$X$196</f>
        <v>462.67</v>
      </c>
      <c r="AS196">
        <f>$H$196*$Y$196</f>
        <v>462.67</v>
      </c>
      <c r="AT196">
        <f>$H$196*$Z$196</f>
        <v>462.67</v>
      </c>
      <c r="AU196">
        <f>$H$196*$AA$196</f>
        <v>925.34</v>
      </c>
      <c r="AV196">
        <f>$H$196*$AB$196</f>
        <v>925.34</v>
      </c>
      <c r="AW196">
        <f>$H$196*$AC$196</f>
        <v>925.34</v>
      </c>
      <c r="AX196">
        <f>$H$196*$AD$196</f>
        <v>925.34</v>
      </c>
      <c r="AY196">
        <f>$H$196*$AE$196</f>
        <v>925.34</v>
      </c>
      <c r="AZ196">
        <f>$H$196*$AF$196</f>
        <v>925.34</v>
      </c>
    </row>
    <row r="197" spans="1:52" x14ac:dyDescent="0.25">
      <c r="A197">
        <v>245</v>
      </c>
      <c r="B197" t="s">
        <v>279</v>
      </c>
      <c r="C197" t="s">
        <v>455</v>
      </c>
      <c r="D197">
        <v>25.5</v>
      </c>
      <c r="E197">
        <v>38.51</v>
      </c>
      <c r="F197" t="s">
        <v>329</v>
      </c>
      <c r="G197">
        <v>1.51</v>
      </c>
      <c r="H197">
        <v>46.21</v>
      </c>
      <c r="I197" t="s">
        <v>330</v>
      </c>
      <c r="J197" t="s">
        <v>456</v>
      </c>
      <c r="K197" t="s">
        <v>662</v>
      </c>
      <c r="L197" t="s">
        <v>179</v>
      </c>
      <c r="M197" t="s">
        <v>279</v>
      </c>
      <c r="N197" t="s">
        <v>11</v>
      </c>
      <c r="O197" t="s">
        <v>13</v>
      </c>
      <c r="P197">
        <v>0</v>
      </c>
      <c r="Q197">
        <v>0</v>
      </c>
      <c r="R197">
        <v>0</v>
      </c>
      <c r="S197">
        <v>1</v>
      </c>
      <c r="T197">
        <v>1</v>
      </c>
      <c r="U197">
        <v>1</v>
      </c>
      <c r="V197">
        <v>1</v>
      </c>
      <c r="W197">
        <v>1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279</v>
      </c>
      <c r="AH197" t="s">
        <v>11</v>
      </c>
      <c r="AI197" t="s">
        <v>13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46.21</v>
      </c>
      <c r="AN197">
        <f>$H$197*$T$197</f>
        <v>46.21</v>
      </c>
      <c r="AO197">
        <f>$H$197*$U$197</f>
        <v>46.21</v>
      </c>
      <c r="AP197">
        <f>$H$197*$V$197</f>
        <v>46.21</v>
      </c>
      <c r="AQ197">
        <f>$H$197*$W$197</f>
        <v>46.21</v>
      </c>
      <c r="AR197">
        <f>$H$197*$X$197</f>
        <v>46.21</v>
      </c>
      <c r="AS197">
        <f>$H$197*$Y$197</f>
        <v>46.21</v>
      </c>
      <c r="AT197">
        <f>$H$197*$Z$197</f>
        <v>46.21</v>
      </c>
      <c r="AU197">
        <f>$H$197*$AA$197</f>
        <v>46.21</v>
      </c>
      <c r="AV197">
        <f>$H$197*$AB$197</f>
        <v>46.21</v>
      </c>
      <c r="AW197">
        <f>$H$197*$AC$197</f>
        <v>46.21</v>
      </c>
      <c r="AX197">
        <f>$H$197*$AD$197</f>
        <v>46.21</v>
      </c>
      <c r="AY197">
        <f>$H$197*$AE$197</f>
        <v>46.21</v>
      </c>
      <c r="AZ197">
        <f>$H$197*$AF$197</f>
        <v>46.21</v>
      </c>
    </row>
    <row r="198" spans="1:52" x14ac:dyDescent="0.25">
      <c r="A198">
        <v>246</v>
      </c>
      <c r="B198" t="s">
        <v>279</v>
      </c>
      <c r="C198" t="s">
        <v>457</v>
      </c>
      <c r="D198">
        <v>25.5</v>
      </c>
      <c r="E198">
        <v>144.84</v>
      </c>
      <c r="F198" t="s">
        <v>329</v>
      </c>
      <c r="G198">
        <v>5.68</v>
      </c>
      <c r="H198">
        <v>173.8</v>
      </c>
      <c r="I198" t="s">
        <v>333</v>
      </c>
      <c r="J198" t="s">
        <v>458</v>
      </c>
      <c r="K198" t="s">
        <v>663</v>
      </c>
      <c r="L198" t="s">
        <v>179</v>
      </c>
      <c r="M198" t="s">
        <v>279</v>
      </c>
      <c r="N198" t="s">
        <v>11</v>
      </c>
      <c r="O198" t="s">
        <v>13</v>
      </c>
      <c r="P198">
        <v>0</v>
      </c>
      <c r="Q198">
        <v>0</v>
      </c>
      <c r="R198">
        <v>0</v>
      </c>
      <c r="S198">
        <v>1</v>
      </c>
      <c r="T198">
        <v>1</v>
      </c>
      <c r="U198">
        <v>1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279</v>
      </c>
      <c r="AH198" t="s">
        <v>11</v>
      </c>
      <c r="AI198" t="s">
        <v>13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173.8</v>
      </c>
      <c r="AN198">
        <f>$H$198*$T$198</f>
        <v>173.8</v>
      </c>
      <c r="AO198">
        <f>$H$198*$U$198</f>
        <v>173.8</v>
      </c>
      <c r="AP198">
        <f>$H$198*$V$198</f>
        <v>173.8</v>
      </c>
      <c r="AQ198">
        <f>$H$198*$W$198</f>
        <v>173.8</v>
      </c>
      <c r="AR198">
        <f>$H$198*$X$198</f>
        <v>173.8</v>
      </c>
      <c r="AS198">
        <f>$H$198*$Y$198</f>
        <v>173.8</v>
      </c>
      <c r="AT198">
        <f>$H$198*$Z$198</f>
        <v>173.8</v>
      </c>
      <c r="AU198">
        <f>$H$198*$AA$198</f>
        <v>173.8</v>
      </c>
      <c r="AV198">
        <f>$H$198*$AB$198</f>
        <v>173.8</v>
      </c>
      <c r="AW198">
        <f>$H$198*$AC$198</f>
        <v>173.8</v>
      </c>
      <c r="AX198">
        <f>$H$198*$AD$198</f>
        <v>173.8</v>
      </c>
      <c r="AY198">
        <f>$H$198*$AE$198</f>
        <v>173.8</v>
      </c>
      <c r="AZ198">
        <f>$H$198*$AF$198</f>
        <v>173.8</v>
      </c>
    </row>
    <row r="199" spans="1:52" x14ac:dyDescent="0.25">
      <c r="A199">
        <v>247</v>
      </c>
      <c r="B199" t="s">
        <v>279</v>
      </c>
      <c r="C199" t="s">
        <v>364</v>
      </c>
      <c r="D199">
        <v>38.51</v>
      </c>
      <c r="E199">
        <v>129.38999999999999</v>
      </c>
      <c r="F199" t="s">
        <v>349</v>
      </c>
      <c r="G199">
        <v>3.36</v>
      </c>
      <c r="H199">
        <v>155.27000000000001</v>
      </c>
      <c r="I199" t="s">
        <v>365</v>
      </c>
      <c r="J199" t="s">
        <v>366</v>
      </c>
      <c r="K199" t="s">
        <v>618</v>
      </c>
      <c r="L199" t="s">
        <v>179</v>
      </c>
      <c r="M199" t="s">
        <v>279</v>
      </c>
      <c r="N199" t="s">
        <v>11</v>
      </c>
      <c r="O199" t="s">
        <v>13</v>
      </c>
      <c r="P199">
        <v>0</v>
      </c>
      <c r="Q199">
        <v>0</v>
      </c>
      <c r="R199">
        <v>0</v>
      </c>
      <c r="S199">
        <v>0.25</v>
      </c>
      <c r="T199">
        <v>0.25</v>
      </c>
      <c r="U199">
        <v>0.25</v>
      </c>
      <c r="V199">
        <v>0.25</v>
      </c>
      <c r="W199">
        <v>0.5</v>
      </c>
      <c r="X199">
        <v>0.5</v>
      </c>
      <c r="Y199">
        <v>0.5</v>
      </c>
      <c r="Z199">
        <v>0.5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279</v>
      </c>
      <c r="AH199" t="s">
        <v>11</v>
      </c>
      <c r="AI199" t="s">
        <v>13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38.817500000000003</v>
      </c>
      <c r="AN199">
        <f>$H$199*$T$199</f>
        <v>38.817500000000003</v>
      </c>
      <c r="AO199">
        <f>$H$199*$U$199</f>
        <v>38.817500000000003</v>
      </c>
      <c r="AP199">
        <f>$H$199*$V$199</f>
        <v>38.817500000000003</v>
      </c>
      <c r="AQ199">
        <f>$H$199*$W$199</f>
        <v>77.635000000000005</v>
      </c>
      <c r="AR199">
        <f>$H$199*$X$199</f>
        <v>77.635000000000005</v>
      </c>
      <c r="AS199">
        <f>$H$199*$Y$199</f>
        <v>77.635000000000005</v>
      </c>
      <c r="AT199">
        <f>$H$199*$Z$199</f>
        <v>77.635000000000005</v>
      </c>
      <c r="AU199">
        <f>$H$199*$AA$199</f>
        <v>155.27000000000001</v>
      </c>
      <c r="AV199">
        <f>$H$199*$AB$199</f>
        <v>155.27000000000001</v>
      </c>
      <c r="AW199">
        <f>$H$199*$AC$199</f>
        <v>155.27000000000001</v>
      </c>
      <c r="AX199">
        <f>$H$199*$AD$199</f>
        <v>155.27000000000001</v>
      </c>
      <c r="AY199">
        <f>$H$199*$AE$199</f>
        <v>155.27000000000001</v>
      </c>
      <c r="AZ199">
        <f>$H$199*$AF$199</f>
        <v>155.27000000000001</v>
      </c>
    </row>
    <row r="200" spans="1:52" x14ac:dyDescent="0.25">
      <c r="A200">
        <v>248</v>
      </c>
      <c r="B200" t="s">
        <v>279</v>
      </c>
      <c r="C200" t="s">
        <v>443</v>
      </c>
      <c r="D200">
        <v>38.51</v>
      </c>
      <c r="E200">
        <v>24.26</v>
      </c>
      <c r="F200" t="s">
        <v>349</v>
      </c>
      <c r="G200">
        <v>0.63</v>
      </c>
      <c r="H200">
        <v>29.12</v>
      </c>
      <c r="I200" t="s">
        <v>330</v>
      </c>
      <c r="J200" t="s">
        <v>444</v>
      </c>
      <c r="K200" t="s">
        <v>656</v>
      </c>
      <c r="L200" t="s">
        <v>179</v>
      </c>
      <c r="M200" t="s">
        <v>279</v>
      </c>
      <c r="N200" t="s">
        <v>11</v>
      </c>
      <c r="O200" t="s">
        <v>13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1</v>
      </c>
      <c r="AE200">
        <v>1</v>
      </c>
      <c r="AF200">
        <v>1</v>
      </c>
      <c r="AG200" t="s">
        <v>279</v>
      </c>
      <c r="AH200" t="s">
        <v>11</v>
      </c>
      <c r="AI200" t="s">
        <v>13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0</v>
      </c>
      <c r="AN200">
        <f>$H$200*$T$200</f>
        <v>0</v>
      </c>
      <c r="AO200">
        <f>$H$200*$U$200</f>
        <v>0</v>
      </c>
      <c r="AP200">
        <f>$H$200*$V$200</f>
        <v>0</v>
      </c>
      <c r="AQ200">
        <f>$H$200*$W$200</f>
        <v>0</v>
      </c>
      <c r="AR200">
        <f>$H$200*$X$200</f>
        <v>0</v>
      </c>
      <c r="AS200">
        <f>$H$200*$Y$200</f>
        <v>0</v>
      </c>
      <c r="AT200">
        <f>$H$200*$Z$200</f>
        <v>0</v>
      </c>
      <c r="AU200">
        <f>$H$200*$AA$200</f>
        <v>0</v>
      </c>
      <c r="AV200">
        <f>$H$200*$AB$200</f>
        <v>0</v>
      </c>
      <c r="AW200">
        <f>$H$200*$AC$200</f>
        <v>0</v>
      </c>
      <c r="AX200">
        <f>$H$200*$AD$200</f>
        <v>29.12</v>
      </c>
      <c r="AY200">
        <f>$H$200*$AE$200</f>
        <v>29.12</v>
      </c>
      <c r="AZ200">
        <f>$H$200*$AF$200</f>
        <v>29.12</v>
      </c>
    </row>
    <row r="201" spans="1:52" x14ac:dyDescent="0.25">
      <c r="A201">
        <v>249</v>
      </c>
      <c r="B201" t="s">
        <v>279</v>
      </c>
      <c r="C201" t="s">
        <v>459</v>
      </c>
      <c r="D201">
        <v>38.51</v>
      </c>
      <c r="E201">
        <v>26.57</v>
      </c>
      <c r="F201" t="s">
        <v>349</v>
      </c>
      <c r="G201">
        <v>0.69</v>
      </c>
      <c r="H201">
        <v>31.89</v>
      </c>
      <c r="I201" t="s">
        <v>330</v>
      </c>
      <c r="J201" t="s">
        <v>460</v>
      </c>
      <c r="K201" t="s">
        <v>664</v>
      </c>
      <c r="L201" t="s">
        <v>179</v>
      </c>
      <c r="M201" t="s">
        <v>279</v>
      </c>
      <c r="N201" t="s">
        <v>11</v>
      </c>
      <c r="O201" t="s">
        <v>13</v>
      </c>
      <c r="P201">
        <v>0</v>
      </c>
      <c r="Q201">
        <v>0</v>
      </c>
      <c r="R201">
        <v>0</v>
      </c>
      <c r="S201">
        <v>1</v>
      </c>
      <c r="T201">
        <v>1</v>
      </c>
      <c r="U201">
        <v>1</v>
      </c>
      <c r="V201">
        <v>1</v>
      </c>
      <c r="W201">
        <v>1</v>
      </c>
      <c r="X201">
        <v>1</v>
      </c>
      <c r="Y201">
        <v>1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279</v>
      </c>
      <c r="AH201" t="s">
        <v>11</v>
      </c>
      <c r="AI201" t="s">
        <v>13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31.89</v>
      </c>
      <c r="AN201">
        <f>$H$201*$T$201</f>
        <v>31.89</v>
      </c>
      <c r="AO201">
        <f>$H$201*$U$201</f>
        <v>31.89</v>
      </c>
      <c r="AP201">
        <f>$H$201*$V$201</f>
        <v>31.89</v>
      </c>
      <c r="AQ201">
        <f>$H$201*$W$201</f>
        <v>31.89</v>
      </c>
      <c r="AR201">
        <f>$H$201*$X$201</f>
        <v>31.89</v>
      </c>
      <c r="AS201">
        <f>$H$201*$Y$201</f>
        <v>31.89</v>
      </c>
      <c r="AT201">
        <f>$H$201*$Z$201</f>
        <v>31.89</v>
      </c>
      <c r="AU201">
        <f>$H$201*$AA$201</f>
        <v>31.89</v>
      </c>
      <c r="AV201">
        <f>$H$201*$AB$201</f>
        <v>31.89</v>
      </c>
      <c r="AW201">
        <f>$H$201*$AC$201</f>
        <v>31.89</v>
      </c>
      <c r="AX201">
        <f>$H$201*$AD$201</f>
        <v>31.89</v>
      </c>
      <c r="AY201">
        <f>$H$201*$AE$201</f>
        <v>31.89</v>
      </c>
      <c r="AZ201">
        <f>$H$201*$AF$201</f>
        <v>31.89</v>
      </c>
    </row>
    <row r="202" spans="1:52" x14ac:dyDescent="0.25">
      <c r="A202">
        <v>250</v>
      </c>
      <c r="B202" t="s">
        <v>279</v>
      </c>
      <c r="C202" t="s">
        <v>461</v>
      </c>
      <c r="D202">
        <v>7.7</v>
      </c>
      <c r="E202">
        <v>133.6</v>
      </c>
      <c r="F202" t="s">
        <v>349</v>
      </c>
      <c r="G202">
        <v>17.350000000000001</v>
      </c>
      <c r="H202">
        <v>160.32</v>
      </c>
      <c r="I202" t="s">
        <v>462</v>
      </c>
      <c r="J202" t="s">
        <v>463</v>
      </c>
      <c r="K202" t="s">
        <v>665</v>
      </c>
      <c r="L202" t="s">
        <v>179</v>
      </c>
      <c r="M202" t="s">
        <v>279</v>
      </c>
      <c r="N202" t="s">
        <v>11</v>
      </c>
      <c r="O202" t="s">
        <v>13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279</v>
      </c>
      <c r="AH202" t="s">
        <v>11</v>
      </c>
      <c r="AI202" t="s">
        <v>13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0</v>
      </c>
      <c r="AQ202">
        <f>$H$202*$W$202</f>
        <v>0</v>
      </c>
      <c r="AR202">
        <f>$H$202*$X$202</f>
        <v>0</v>
      </c>
      <c r="AS202">
        <f>$H$202*$Y$202</f>
        <v>160.32</v>
      </c>
      <c r="AT202">
        <f>$H$202*$Z$202</f>
        <v>160.32</v>
      </c>
      <c r="AU202">
        <f>$H$202*$AA$202</f>
        <v>160.32</v>
      </c>
      <c r="AV202">
        <f>$H$202*$AB$202</f>
        <v>160.32</v>
      </c>
      <c r="AW202">
        <f>$H$202*$AC$202</f>
        <v>160.32</v>
      </c>
      <c r="AX202">
        <f>$H$202*$AD$202</f>
        <v>160.32</v>
      </c>
      <c r="AY202">
        <f>$H$202*$AE$202</f>
        <v>160.32</v>
      </c>
      <c r="AZ202">
        <f>$H$202*$AF$202</f>
        <v>160.32</v>
      </c>
    </row>
    <row r="203" spans="1:52" x14ac:dyDescent="0.25">
      <c r="A203">
        <v>251</v>
      </c>
      <c r="B203" t="s">
        <v>279</v>
      </c>
      <c r="C203" t="s">
        <v>464</v>
      </c>
      <c r="D203">
        <v>15.41</v>
      </c>
      <c r="E203">
        <v>55.17</v>
      </c>
      <c r="F203" t="s">
        <v>349</v>
      </c>
      <c r="G203">
        <v>3.58</v>
      </c>
      <c r="H203">
        <v>66.209999999999994</v>
      </c>
      <c r="I203" t="s">
        <v>465</v>
      </c>
      <c r="J203" t="s">
        <v>466</v>
      </c>
      <c r="K203" t="s">
        <v>666</v>
      </c>
      <c r="L203" t="s">
        <v>179</v>
      </c>
      <c r="M203" t="s">
        <v>279</v>
      </c>
      <c r="N203" t="s">
        <v>11</v>
      </c>
      <c r="O203" t="s">
        <v>13</v>
      </c>
      <c r="P203">
        <v>0</v>
      </c>
      <c r="Q203">
        <v>0</v>
      </c>
      <c r="R203">
        <v>0</v>
      </c>
      <c r="S203">
        <v>1</v>
      </c>
      <c r="T203">
        <v>1</v>
      </c>
      <c r="U203">
        <v>1</v>
      </c>
      <c r="V203">
        <v>1</v>
      </c>
      <c r="W203">
        <v>1</v>
      </c>
      <c r="X203">
        <v>1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279</v>
      </c>
      <c r="AH203" t="s">
        <v>11</v>
      </c>
      <c r="AI203" t="s">
        <v>13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66.209999999999994</v>
      </c>
      <c r="AN203">
        <f>$H$203*$T$203</f>
        <v>66.209999999999994</v>
      </c>
      <c r="AO203">
        <f>$H$203*$U$203</f>
        <v>66.209999999999994</v>
      </c>
      <c r="AP203">
        <f>$H$203*$V$203</f>
        <v>66.209999999999994</v>
      </c>
      <c r="AQ203">
        <f>$H$203*$W$203</f>
        <v>66.209999999999994</v>
      </c>
      <c r="AR203">
        <f>$H$203*$X$203</f>
        <v>66.209999999999994</v>
      </c>
      <c r="AS203">
        <f>$H$203*$Y$203</f>
        <v>66.209999999999994</v>
      </c>
      <c r="AT203">
        <f>$H$203*$Z$203</f>
        <v>66.209999999999994</v>
      </c>
      <c r="AU203">
        <f>$H$203*$AA$203</f>
        <v>66.209999999999994</v>
      </c>
      <c r="AV203">
        <f>$H$203*$AB$203</f>
        <v>66.209999999999994</v>
      </c>
      <c r="AW203">
        <f>$H$203*$AC$203</f>
        <v>66.209999999999994</v>
      </c>
      <c r="AX203">
        <f>$H$203*$AD$203</f>
        <v>66.209999999999994</v>
      </c>
      <c r="AY203">
        <f>$H$203*$AE$203</f>
        <v>66.209999999999994</v>
      </c>
      <c r="AZ203">
        <f>$H$203*$AF$203</f>
        <v>66.209999999999994</v>
      </c>
    </row>
    <row r="204" spans="1:52" x14ac:dyDescent="0.25">
      <c r="A204">
        <v>252</v>
      </c>
      <c r="B204" t="s">
        <v>279</v>
      </c>
      <c r="C204" t="s">
        <v>467</v>
      </c>
      <c r="D204">
        <v>15.41</v>
      </c>
      <c r="E204">
        <v>151.79</v>
      </c>
      <c r="F204" t="s">
        <v>349</v>
      </c>
      <c r="G204">
        <v>9.85</v>
      </c>
      <c r="H204">
        <v>182.15</v>
      </c>
      <c r="I204" t="s">
        <v>465</v>
      </c>
      <c r="J204" t="s">
        <v>372</v>
      </c>
      <c r="K204" t="s">
        <v>667</v>
      </c>
      <c r="L204" t="s">
        <v>179</v>
      </c>
      <c r="M204" t="s">
        <v>279</v>
      </c>
      <c r="N204" t="s">
        <v>11</v>
      </c>
      <c r="O204" t="s">
        <v>13</v>
      </c>
      <c r="P204">
        <v>0</v>
      </c>
      <c r="Q204">
        <v>0</v>
      </c>
      <c r="R204">
        <v>0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279</v>
      </c>
      <c r="AH204" t="s">
        <v>11</v>
      </c>
      <c r="AI204" t="s">
        <v>13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182.15</v>
      </c>
      <c r="AN204">
        <f>$H$204*$T$204</f>
        <v>182.15</v>
      </c>
      <c r="AO204">
        <f>$H$204*$U$204</f>
        <v>182.15</v>
      </c>
      <c r="AP204">
        <f>$H$204*$V$204</f>
        <v>182.15</v>
      </c>
      <c r="AQ204">
        <f>$H$204*$W$204</f>
        <v>182.15</v>
      </c>
      <c r="AR204">
        <f>$H$204*$X$204</f>
        <v>182.15</v>
      </c>
      <c r="AS204">
        <f>$H$204*$Y$204</f>
        <v>182.15</v>
      </c>
      <c r="AT204">
        <f>$H$204*$Z$204</f>
        <v>182.15</v>
      </c>
      <c r="AU204">
        <f>$H$204*$AA$204</f>
        <v>182.15</v>
      </c>
      <c r="AV204">
        <f>$H$204*$AB$204</f>
        <v>182.15</v>
      </c>
      <c r="AW204">
        <f>$H$204*$AC$204</f>
        <v>182.15</v>
      </c>
      <c r="AX204">
        <f>$H$204*$AD$204</f>
        <v>182.15</v>
      </c>
      <c r="AY204">
        <f>$H$204*$AE$204</f>
        <v>182.15</v>
      </c>
      <c r="AZ204">
        <f>$H$204*$AF$204</f>
        <v>182.15</v>
      </c>
    </row>
    <row r="205" spans="1:52" x14ac:dyDescent="0.25">
      <c r="A205">
        <v>253</v>
      </c>
      <c r="B205" t="s">
        <v>279</v>
      </c>
      <c r="C205" t="s">
        <v>468</v>
      </c>
      <c r="D205">
        <v>17.72</v>
      </c>
      <c r="E205">
        <v>18.07</v>
      </c>
      <c r="F205" t="s">
        <v>349</v>
      </c>
      <c r="G205">
        <v>1.02</v>
      </c>
      <c r="H205">
        <v>21.69</v>
      </c>
      <c r="I205" t="s">
        <v>469</v>
      </c>
      <c r="J205" t="s">
        <v>470</v>
      </c>
      <c r="K205" t="s">
        <v>668</v>
      </c>
      <c r="L205" t="s">
        <v>179</v>
      </c>
      <c r="M205" t="s">
        <v>279</v>
      </c>
      <c r="N205" t="s">
        <v>11</v>
      </c>
      <c r="O205" t="s">
        <v>13</v>
      </c>
      <c r="P205">
        <v>0</v>
      </c>
      <c r="Q205">
        <v>0</v>
      </c>
      <c r="R205">
        <v>0</v>
      </c>
      <c r="S205">
        <v>1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279</v>
      </c>
      <c r="AH205" t="s">
        <v>11</v>
      </c>
      <c r="AI205" t="s">
        <v>13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21.69</v>
      </c>
      <c r="AN205">
        <f>$H$205*$T$205</f>
        <v>21.69</v>
      </c>
      <c r="AO205">
        <f>$H$205*$U$205</f>
        <v>21.69</v>
      </c>
      <c r="AP205">
        <f>$H$205*$V$205</f>
        <v>21.69</v>
      </c>
      <c r="AQ205">
        <f>$H$205*$W$205</f>
        <v>21.69</v>
      </c>
      <c r="AR205">
        <f>$H$205*$X$205</f>
        <v>21.69</v>
      </c>
      <c r="AS205">
        <f>$H$205*$Y$205</f>
        <v>21.69</v>
      </c>
      <c r="AT205">
        <f>$H$205*$Z$205</f>
        <v>21.69</v>
      </c>
      <c r="AU205">
        <f>$H$205*$AA$205</f>
        <v>21.69</v>
      </c>
      <c r="AV205">
        <f>$H$205*$AB$205</f>
        <v>21.69</v>
      </c>
      <c r="AW205">
        <f>$H$205*$AC$205</f>
        <v>21.69</v>
      </c>
      <c r="AX205">
        <f>$H$205*$AD$205</f>
        <v>21.69</v>
      </c>
      <c r="AY205">
        <f>$H$205*$AE$205</f>
        <v>21.69</v>
      </c>
      <c r="AZ205">
        <f>$H$205*$AF$205</f>
        <v>21.69</v>
      </c>
    </row>
    <row r="206" spans="1:52" x14ac:dyDescent="0.25">
      <c r="A206">
        <v>254</v>
      </c>
      <c r="B206" t="s">
        <v>279</v>
      </c>
      <c r="C206" t="s">
        <v>471</v>
      </c>
      <c r="D206">
        <v>17.72</v>
      </c>
      <c r="E206">
        <v>163.56</v>
      </c>
      <c r="F206" t="s">
        <v>349</v>
      </c>
      <c r="G206">
        <v>9.23</v>
      </c>
      <c r="H206">
        <v>196.28</v>
      </c>
      <c r="I206" t="s">
        <v>469</v>
      </c>
      <c r="J206" t="s">
        <v>463</v>
      </c>
      <c r="K206" t="s">
        <v>669</v>
      </c>
      <c r="L206" t="s">
        <v>179</v>
      </c>
      <c r="M206" t="s">
        <v>279</v>
      </c>
      <c r="N206" t="s">
        <v>11</v>
      </c>
      <c r="O206" t="s">
        <v>13</v>
      </c>
      <c r="P206">
        <v>0</v>
      </c>
      <c r="Q206">
        <v>0</v>
      </c>
      <c r="R206">
        <v>0</v>
      </c>
      <c r="S206">
        <v>1</v>
      </c>
      <c r="T206">
        <v>1</v>
      </c>
      <c r="U206">
        <v>1</v>
      </c>
      <c r="V206">
        <v>1</v>
      </c>
      <c r="W206">
        <v>1</v>
      </c>
      <c r="X206">
        <v>1</v>
      </c>
      <c r="Y206">
        <v>1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279</v>
      </c>
      <c r="AH206" t="s">
        <v>11</v>
      </c>
      <c r="AI206" t="s">
        <v>13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196.28</v>
      </c>
      <c r="AN206">
        <f>$H$206*$T$206</f>
        <v>196.28</v>
      </c>
      <c r="AO206">
        <f>$H$206*$U$206</f>
        <v>196.28</v>
      </c>
      <c r="AP206">
        <f>$H$206*$V$206</f>
        <v>196.28</v>
      </c>
      <c r="AQ206">
        <f>$H$206*$W$206</f>
        <v>196.28</v>
      </c>
      <c r="AR206">
        <f>$H$206*$X$206</f>
        <v>196.28</v>
      </c>
      <c r="AS206">
        <f>$H$206*$Y$206</f>
        <v>196.28</v>
      </c>
      <c r="AT206">
        <f>$H$206*$Z$206</f>
        <v>196.28</v>
      </c>
      <c r="AU206">
        <f>$H$206*$AA$206</f>
        <v>196.28</v>
      </c>
      <c r="AV206">
        <f>$H$206*$AB$206</f>
        <v>196.28</v>
      </c>
      <c r="AW206">
        <f>$H$206*$AC$206</f>
        <v>196.28</v>
      </c>
      <c r="AX206">
        <f>$H$206*$AD$206</f>
        <v>196.28</v>
      </c>
      <c r="AY206">
        <f>$H$206*$AE$206</f>
        <v>196.28</v>
      </c>
      <c r="AZ206">
        <f>$H$206*$AF$206</f>
        <v>196.28</v>
      </c>
    </row>
    <row r="207" spans="1:52" x14ac:dyDescent="0.25">
      <c r="A207">
        <v>255</v>
      </c>
      <c r="B207" t="s">
        <v>277</v>
      </c>
      <c r="C207" t="s">
        <v>474</v>
      </c>
      <c r="D207">
        <v>60</v>
      </c>
      <c r="E207">
        <v>5016.6000000000004</v>
      </c>
      <c r="F207" t="s">
        <v>349</v>
      </c>
      <c r="G207">
        <v>83.61</v>
      </c>
      <c r="H207">
        <v>6019.92</v>
      </c>
      <c r="I207" t="s">
        <v>475</v>
      </c>
      <c r="J207" t="s">
        <v>476</v>
      </c>
      <c r="K207" t="s">
        <v>671</v>
      </c>
      <c r="L207" t="s">
        <v>179</v>
      </c>
      <c r="M207" t="s">
        <v>277</v>
      </c>
      <c r="N207" t="s">
        <v>11</v>
      </c>
      <c r="O207" t="s">
        <v>13</v>
      </c>
      <c r="P207">
        <v>0</v>
      </c>
      <c r="Q207">
        <v>0</v>
      </c>
      <c r="R207">
        <v>0</v>
      </c>
      <c r="S207">
        <v>0.25</v>
      </c>
      <c r="T207">
        <v>0.25</v>
      </c>
      <c r="U207">
        <v>0.25</v>
      </c>
      <c r="V207">
        <v>0.25</v>
      </c>
      <c r="W207">
        <v>0.25</v>
      </c>
      <c r="X207">
        <v>0.5</v>
      </c>
      <c r="Y207">
        <v>0.5</v>
      </c>
      <c r="Z207">
        <v>0.5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277</v>
      </c>
      <c r="AH207" t="s">
        <v>11</v>
      </c>
      <c r="AI207" t="s">
        <v>13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1504.98</v>
      </c>
      <c r="AN207">
        <f>$H$207*$T$207</f>
        <v>1504.98</v>
      </c>
      <c r="AO207">
        <f>$H$207*$U$207</f>
        <v>1504.98</v>
      </c>
      <c r="AP207">
        <f>$H$207*$V$207</f>
        <v>1504.98</v>
      </c>
      <c r="AQ207">
        <f>$H$207*$W$207</f>
        <v>1504.98</v>
      </c>
      <c r="AR207">
        <f>$H$207*$X$207</f>
        <v>3009.96</v>
      </c>
      <c r="AS207">
        <f>$H$207*$Y$207</f>
        <v>3009.96</v>
      </c>
      <c r="AT207">
        <f>$H$207*$Z$207</f>
        <v>3009.96</v>
      </c>
      <c r="AU207">
        <f>$H$207*$AA$207</f>
        <v>6019.92</v>
      </c>
      <c r="AV207">
        <f>$H$207*$AB$207</f>
        <v>6019.92</v>
      </c>
      <c r="AW207">
        <f>$H$207*$AC$207</f>
        <v>6019.92</v>
      </c>
      <c r="AX207">
        <f>$H$207*$AD$207</f>
        <v>6019.92</v>
      </c>
      <c r="AY207">
        <f>$H$207*$AE$207</f>
        <v>6019.92</v>
      </c>
      <c r="AZ207">
        <f>$H$207*$AF$207</f>
        <v>6019.92</v>
      </c>
    </row>
    <row r="208" spans="1:52" x14ac:dyDescent="0.25">
      <c r="A208">
        <v>256</v>
      </c>
      <c r="B208" t="s">
        <v>277</v>
      </c>
      <c r="C208" t="s">
        <v>477</v>
      </c>
      <c r="D208">
        <v>60</v>
      </c>
      <c r="E208">
        <v>528.6</v>
      </c>
      <c r="F208" t="s">
        <v>349</v>
      </c>
      <c r="G208">
        <v>8.81</v>
      </c>
      <c r="H208">
        <v>634.32000000000005</v>
      </c>
      <c r="I208" t="s">
        <v>478</v>
      </c>
      <c r="J208" t="s">
        <v>479</v>
      </c>
      <c r="K208" t="s">
        <v>672</v>
      </c>
      <c r="L208" t="s">
        <v>179</v>
      </c>
      <c r="M208" t="s">
        <v>277</v>
      </c>
      <c r="N208" t="s">
        <v>11</v>
      </c>
      <c r="O208" t="s">
        <v>13</v>
      </c>
      <c r="P208">
        <v>0</v>
      </c>
      <c r="Q208">
        <v>0</v>
      </c>
      <c r="R208">
        <v>0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1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277</v>
      </c>
      <c r="AH208" t="s">
        <v>11</v>
      </c>
      <c r="AI208" t="s">
        <v>13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634.32000000000005</v>
      </c>
      <c r="AN208">
        <f>$H$208*$T$208</f>
        <v>634.32000000000005</v>
      </c>
      <c r="AO208">
        <f>$H$208*$U$208</f>
        <v>634.32000000000005</v>
      </c>
      <c r="AP208">
        <f>$H$208*$V$208</f>
        <v>634.32000000000005</v>
      </c>
      <c r="AQ208">
        <f>$H$208*$W$208</f>
        <v>634.32000000000005</v>
      </c>
      <c r="AR208">
        <f>$H$208*$X$208</f>
        <v>634.32000000000005</v>
      </c>
      <c r="AS208">
        <f>$H$208*$Y$208</f>
        <v>634.32000000000005</v>
      </c>
      <c r="AT208">
        <f>$H$208*$Z$208</f>
        <v>634.32000000000005</v>
      </c>
      <c r="AU208">
        <f>$H$208*$AA$208</f>
        <v>634.32000000000005</v>
      </c>
      <c r="AV208">
        <f>$H$208*$AB$208</f>
        <v>634.32000000000005</v>
      </c>
      <c r="AW208">
        <f>$H$208*$AC$208</f>
        <v>634.32000000000005</v>
      </c>
      <c r="AX208">
        <f>$H$208*$AD$208</f>
        <v>634.32000000000005</v>
      </c>
      <c r="AY208">
        <f>$H$208*$AE$208</f>
        <v>634.32000000000005</v>
      </c>
      <c r="AZ208">
        <f>$H$208*$AF$208</f>
        <v>634.32000000000005</v>
      </c>
    </row>
    <row r="209" spans="1:52" x14ac:dyDescent="0.25">
      <c r="A209">
        <v>257</v>
      </c>
      <c r="B209" t="s">
        <v>277</v>
      </c>
      <c r="C209" t="s">
        <v>480</v>
      </c>
      <c r="D209">
        <v>1</v>
      </c>
      <c r="E209">
        <v>42.6</v>
      </c>
      <c r="F209" t="s">
        <v>335</v>
      </c>
      <c r="G209">
        <v>42.6</v>
      </c>
      <c r="H209">
        <v>51.12</v>
      </c>
      <c r="I209" t="s">
        <v>368</v>
      </c>
      <c r="J209" t="s">
        <v>481</v>
      </c>
      <c r="K209" t="s">
        <v>673</v>
      </c>
      <c r="L209" t="s">
        <v>179</v>
      </c>
      <c r="M209" t="s">
        <v>277</v>
      </c>
      <c r="N209" t="s">
        <v>11</v>
      </c>
      <c r="O209" t="s">
        <v>13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1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277</v>
      </c>
      <c r="AH209" t="s">
        <v>11</v>
      </c>
      <c r="AI209" t="s">
        <v>13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0</v>
      </c>
      <c r="AO209">
        <f>$H$209*$U$209</f>
        <v>0</v>
      </c>
      <c r="AP209">
        <f>$H$209*$V$209</f>
        <v>0</v>
      </c>
      <c r="AQ209">
        <f>$H$209*$W$209</f>
        <v>0</v>
      </c>
      <c r="AR209">
        <f>$H$209*$X$209</f>
        <v>0</v>
      </c>
      <c r="AS209">
        <f>$H$209*$Y$209</f>
        <v>51.12</v>
      </c>
      <c r="AT209">
        <f>$H$209*$Z$209</f>
        <v>51.12</v>
      </c>
      <c r="AU209">
        <f>$H$209*$AA$209</f>
        <v>51.12</v>
      </c>
      <c r="AV209">
        <f>$H$209*$AB$209</f>
        <v>51.12</v>
      </c>
      <c r="AW209">
        <f>$H$209*$AC$209</f>
        <v>51.12</v>
      </c>
      <c r="AX209">
        <f>$H$209*$AD$209</f>
        <v>51.12</v>
      </c>
      <c r="AY209">
        <f>$H$209*$AE$209</f>
        <v>51.12</v>
      </c>
      <c r="AZ209">
        <f>$H$209*$AF$209</f>
        <v>51.12</v>
      </c>
    </row>
    <row r="210" spans="1:52" x14ac:dyDescent="0.25">
      <c r="A210">
        <v>258</v>
      </c>
      <c r="B210" t="s">
        <v>277</v>
      </c>
      <c r="C210" t="s">
        <v>482</v>
      </c>
      <c r="D210">
        <v>1</v>
      </c>
      <c r="E210">
        <v>45.87</v>
      </c>
      <c r="F210" t="s">
        <v>335</v>
      </c>
      <c r="G210">
        <v>45.87</v>
      </c>
      <c r="H210">
        <v>55.05</v>
      </c>
      <c r="I210" t="s">
        <v>368</v>
      </c>
      <c r="J210" t="s">
        <v>483</v>
      </c>
      <c r="K210" t="s">
        <v>674</v>
      </c>
      <c r="L210" t="s">
        <v>179</v>
      </c>
      <c r="M210" t="s">
        <v>277</v>
      </c>
      <c r="N210" t="s">
        <v>11</v>
      </c>
      <c r="O210" t="s">
        <v>13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277</v>
      </c>
      <c r="AH210" t="s">
        <v>11</v>
      </c>
      <c r="AI210" t="s">
        <v>13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0</v>
      </c>
      <c r="AO210">
        <f>$H$210*$U$210</f>
        <v>0</v>
      </c>
      <c r="AP210">
        <f>$H$210*$V$210</f>
        <v>0</v>
      </c>
      <c r="AQ210">
        <f>$H$210*$W$210</f>
        <v>0</v>
      </c>
      <c r="AR210">
        <f>$H$210*$X$210</f>
        <v>0</v>
      </c>
      <c r="AS210">
        <f>$H$210*$Y$210</f>
        <v>0</v>
      </c>
      <c r="AT210">
        <f>$H$210*$Z$210</f>
        <v>0</v>
      </c>
      <c r="AU210">
        <f>$H$210*$AA$210</f>
        <v>55.05</v>
      </c>
      <c r="AV210">
        <f>$H$210*$AB$210</f>
        <v>55.05</v>
      </c>
      <c r="AW210">
        <f>$H$210*$AC$210</f>
        <v>55.05</v>
      </c>
      <c r="AX210">
        <f>$H$210*$AD$210</f>
        <v>55.05</v>
      </c>
      <c r="AY210">
        <f>$H$210*$AE$210</f>
        <v>55.05</v>
      </c>
      <c r="AZ210">
        <f>$H$210*$AF$210</f>
        <v>55.05</v>
      </c>
    </row>
    <row r="211" spans="1:52" x14ac:dyDescent="0.25">
      <c r="A211">
        <v>259</v>
      </c>
      <c r="B211" t="s">
        <v>277</v>
      </c>
      <c r="C211" t="s">
        <v>358</v>
      </c>
      <c r="D211">
        <v>15</v>
      </c>
      <c r="E211">
        <v>66.599999999999994</v>
      </c>
      <c r="F211" t="s">
        <v>329</v>
      </c>
      <c r="G211">
        <v>4.4400000000000004</v>
      </c>
      <c r="H211">
        <v>79.92</v>
      </c>
      <c r="I211" t="s">
        <v>330</v>
      </c>
      <c r="J211" t="s">
        <v>359</v>
      </c>
      <c r="K211" t="s">
        <v>615</v>
      </c>
      <c r="L211" t="s">
        <v>179</v>
      </c>
      <c r="M211" t="s">
        <v>277</v>
      </c>
      <c r="N211" t="s">
        <v>11</v>
      </c>
      <c r="O211" t="s">
        <v>13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277</v>
      </c>
      <c r="AH211" t="s">
        <v>11</v>
      </c>
      <c r="AI211" t="s">
        <v>13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0</v>
      </c>
      <c r="AN211">
        <f>$H$211*$T$211</f>
        <v>0</v>
      </c>
      <c r="AO211">
        <f>$H$211*$U$211</f>
        <v>0</v>
      </c>
      <c r="AP211">
        <f>$H$211*$V$211</f>
        <v>0</v>
      </c>
      <c r="AQ211">
        <f>$H$211*$W$211</f>
        <v>0</v>
      </c>
      <c r="AR211">
        <f>$H$211*$X$211</f>
        <v>0</v>
      </c>
      <c r="AS211">
        <f>$H$211*$Y$211</f>
        <v>0</v>
      </c>
      <c r="AT211">
        <f>$H$211*$Z$211</f>
        <v>0</v>
      </c>
      <c r="AU211">
        <f>$H$211*$AA$211</f>
        <v>79.92</v>
      </c>
      <c r="AV211">
        <f>$H$211*$AB$211</f>
        <v>79.92</v>
      </c>
      <c r="AW211">
        <f>$H$211*$AC$211</f>
        <v>79.92</v>
      </c>
      <c r="AX211">
        <f>$H$211*$AD$211</f>
        <v>79.92</v>
      </c>
      <c r="AY211">
        <f>$H$211*$AE$211</f>
        <v>79.92</v>
      </c>
      <c r="AZ211">
        <f>$H$211*$AF$211</f>
        <v>79.92</v>
      </c>
    </row>
    <row r="212" spans="1:52" x14ac:dyDescent="0.25">
      <c r="A212">
        <v>260</v>
      </c>
      <c r="B212" t="s">
        <v>277</v>
      </c>
      <c r="C212" t="s">
        <v>360</v>
      </c>
      <c r="D212">
        <v>15</v>
      </c>
      <c r="E212">
        <v>173.25</v>
      </c>
      <c r="F212" t="s">
        <v>329</v>
      </c>
      <c r="G212">
        <v>11.55</v>
      </c>
      <c r="H212">
        <v>207.91</v>
      </c>
      <c r="I212" t="s">
        <v>333</v>
      </c>
      <c r="J212" t="s">
        <v>361</v>
      </c>
      <c r="K212" t="s">
        <v>616</v>
      </c>
      <c r="L212" t="s">
        <v>179</v>
      </c>
      <c r="M212" t="s">
        <v>277</v>
      </c>
      <c r="N212" t="s">
        <v>11</v>
      </c>
      <c r="O212" t="s">
        <v>13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277</v>
      </c>
      <c r="AH212" t="s">
        <v>11</v>
      </c>
      <c r="AI212" t="s">
        <v>13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0</v>
      </c>
      <c r="AN212">
        <f>$H$212*$T$212</f>
        <v>0</v>
      </c>
      <c r="AO212">
        <f>$H$212*$U$212</f>
        <v>0</v>
      </c>
      <c r="AP212">
        <f>$H$212*$V$212</f>
        <v>0</v>
      </c>
      <c r="AQ212">
        <f>$H$212*$W$212</f>
        <v>0</v>
      </c>
      <c r="AR212">
        <f>$H$212*$X$212</f>
        <v>0</v>
      </c>
      <c r="AS212">
        <f>$H$212*$Y$212</f>
        <v>0</v>
      </c>
      <c r="AT212">
        <f>$H$212*$Z$212</f>
        <v>0</v>
      </c>
      <c r="AU212">
        <f>$H$212*$AA$212</f>
        <v>207.91</v>
      </c>
      <c r="AV212">
        <f>$H$212*$AB$212</f>
        <v>207.91</v>
      </c>
      <c r="AW212">
        <f>$H$212*$AC$212</f>
        <v>207.91</v>
      </c>
      <c r="AX212">
        <f>$H$212*$AD$212</f>
        <v>207.91</v>
      </c>
      <c r="AY212">
        <f>$H$212*$AE$212</f>
        <v>207.91</v>
      </c>
      <c r="AZ212">
        <f>$H$212*$AF$212</f>
        <v>207.91</v>
      </c>
    </row>
    <row r="213" spans="1:52" x14ac:dyDescent="0.25">
      <c r="A213">
        <v>261</v>
      </c>
      <c r="B213" t="s">
        <v>277</v>
      </c>
      <c r="C213" t="s">
        <v>484</v>
      </c>
      <c r="D213">
        <v>1</v>
      </c>
      <c r="E213">
        <v>43.19</v>
      </c>
      <c r="F213" t="s">
        <v>335</v>
      </c>
      <c r="G213">
        <v>43.19</v>
      </c>
      <c r="H213">
        <v>51.83</v>
      </c>
      <c r="I213" t="s">
        <v>368</v>
      </c>
      <c r="J213" t="s">
        <v>485</v>
      </c>
      <c r="K213" t="s">
        <v>675</v>
      </c>
      <c r="L213" t="s">
        <v>179</v>
      </c>
      <c r="M213" t="s">
        <v>277</v>
      </c>
      <c r="N213" t="s">
        <v>11</v>
      </c>
      <c r="O213" t="s">
        <v>13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277</v>
      </c>
      <c r="AH213" t="s">
        <v>11</v>
      </c>
      <c r="AI213" t="s">
        <v>13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0</v>
      </c>
      <c r="AN213">
        <f>$H$213*$T$213</f>
        <v>0</v>
      </c>
      <c r="AO213">
        <f>$H$213*$U$213</f>
        <v>0</v>
      </c>
      <c r="AP213">
        <f>$H$213*$V$213</f>
        <v>0</v>
      </c>
      <c r="AQ213">
        <f>$H$213*$W$213</f>
        <v>0</v>
      </c>
      <c r="AR213">
        <f>$H$213*$X$213</f>
        <v>0</v>
      </c>
      <c r="AS213">
        <f>$H$213*$Y$213</f>
        <v>0</v>
      </c>
      <c r="AT213">
        <f>$H$213*$Z$213</f>
        <v>0</v>
      </c>
      <c r="AU213">
        <f>$H$213*$AA$213</f>
        <v>51.83</v>
      </c>
      <c r="AV213">
        <f>$H$213*$AB$213</f>
        <v>51.83</v>
      </c>
      <c r="AW213">
        <f>$H$213*$AC$213</f>
        <v>51.83</v>
      </c>
      <c r="AX213">
        <f>$H$213*$AD$213</f>
        <v>51.83</v>
      </c>
      <c r="AY213">
        <f>$H$213*$AE$213</f>
        <v>51.83</v>
      </c>
      <c r="AZ213">
        <f>$H$213*$AF$213</f>
        <v>51.83</v>
      </c>
    </row>
    <row r="214" spans="1:52" x14ac:dyDescent="0.25">
      <c r="A214">
        <v>262</v>
      </c>
      <c r="B214" t="s">
        <v>277</v>
      </c>
      <c r="C214" t="s">
        <v>435</v>
      </c>
      <c r="D214">
        <v>2</v>
      </c>
      <c r="E214">
        <v>26.54</v>
      </c>
      <c r="F214" t="s">
        <v>335</v>
      </c>
      <c r="G214">
        <v>13.27</v>
      </c>
      <c r="H214">
        <v>31.84</v>
      </c>
      <c r="I214" t="s">
        <v>337</v>
      </c>
      <c r="J214" t="s">
        <v>436</v>
      </c>
      <c r="K214" t="s">
        <v>652</v>
      </c>
      <c r="L214" t="s">
        <v>179</v>
      </c>
      <c r="M214" t="s">
        <v>277</v>
      </c>
      <c r="N214" t="s">
        <v>11</v>
      </c>
      <c r="O214" t="s">
        <v>13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1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277</v>
      </c>
      <c r="AH214" t="s">
        <v>11</v>
      </c>
      <c r="AI214" t="s">
        <v>13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0</v>
      </c>
      <c r="AN214">
        <f>$H$214*$T$214</f>
        <v>0</v>
      </c>
      <c r="AO214">
        <f>$H$214*$U$214</f>
        <v>0</v>
      </c>
      <c r="AP214">
        <f>$H$214*$V$214</f>
        <v>0</v>
      </c>
      <c r="AQ214">
        <f>$H$214*$W$214</f>
        <v>0</v>
      </c>
      <c r="AR214">
        <f>$H$214*$X$214</f>
        <v>31.84</v>
      </c>
      <c r="AS214">
        <f>$H$214*$Y$214</f>
        <v>31.84</v>
      </c>
      <c r="AT214">
        <f>$H$214*$Z$214</f>
        <v>31.84</v>
      </c>
      <c r="AU214">
        <f>$H$214*$AA$214</f>
        <v>31.84</v>
      </c>
      <c r="AV214">
        <f>$H$214*$AB$214</f>
        <v>31.84</v>
      </c>
      <c r="AW214">
        <f>$H$214*$AC$214</f>
        <v>31.84</v>
      </c>
      <c r="AX214">
        <f>$H$214*$AD$214</f>
        <v>31.84</v>
      </c>
      <c r="AY214">
        <f>$H$214*$AE$214</f>
        <v>31.84</v>
      </c>
      <c r="AZ214">
        <f>$H$214*$AF$214</f>
        <v>31.84</v>
      </c>
    </row>
    <row r="215" spans="1:52" x14ac:dyDescent="0.25">
      <c r="A215">
        <v>263</v>
      </c>
      <c r="B215" t="s">
        <v>277</v>
      </c>
      <c r="C215" t="s">
        <v>486</v>
      </c>
      <c r="D215">
        <v>6</v>
      </c>
      <c r="E215">
        <v>112.38</v>
      </c>
      <c r="F215" t="s">
        <v>349</v>
      </c>
      <c r="G215">
        <v>18.73</v>
      </c>
      <c r="H215">
        <v>134.86000000000001</v>
      </c>
      <c r="I215" t="s">
        <v>487</v>
      </c>
      <c r="J215" t="s">
        <v>420</v>
      </c>
      <c r="K215" t="s">
        <v>676</v>
      </c>
      <c r="L215" t="s">
        <v>179</v>
      </c>
      <c r="M215" t="s">
        <v>277</v>
      </c>
      <c r="N215" t="s">
        <v>11</v>
      </c>
      <c r="O215" t="s">
        <v>13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277</v>
      </c>
      <c r="AH215" t="s">
        <v>11</v>
      </c>
      <c r="AI215" t="s">
        <v>13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0</v>
      </c>
      <c r="AN215">
        <f>$H$215*$T$215</f>
        <v>0</v>
      </c>
      <c r="AO215">
        <f>$H$215*$U$215</f>
        <v>0</v>
      </c>
      <c r="AP215">
        <f>$H$215*$V$215</f>
        <v>0</v>
      </c>
      <c r="AQ215">
        <f>$H$215*$W$215</f>
        <v>0</v>
      </c>
      <c r="AR215">
        <f>$H$215*$X$215</f>
        <v>0</v>
      </c>
      <c r="AS215">
        <f>$H$215*$Y$215</f>
        <v>0</v>
      </c>
      <c r="AT215">
        <f>$H$215*$Z$215</f>
        <v>0</v>
      </c>
      <c r="AU215">
        <f>$H$215*$AA$215</f>
        <v>134.86000000000001</v>
      </c>
      <c r="AV215">
        <f>$H$215*$AB$215</f>
        <v>134.86000000000001</v>
      </c>
      <c r="AW215">
        <f>$H$215*$AC$215</f>
        <v>134.86000000000001</v>
      </c>
      <c r="AX215">
        <f>$H$215*$AD$215</f>
        <v>134.86000000000001</v>
      </c>
      <c r="AY215">
        <f>$H$215*$AE$215</f>
        <v>134.86000000000001</v>
      </c>
      <c r="AZ215">
        <f>$H$215*$AF$215</f>
        <v>134.86000000000001</v>
      </c>
    </row>
    <row r="216" spans="1:52" x14ac:dyDescent="0.25">
      <c r="A216">
        <v>264</v>
      </c>
      <c r="B216" t="s">
        <v>277</v>
      </c>
      <c r="C216" t="s">
        <v>488</v>
      </c>
      <c r="D216">
        <v>1</v>
      </c>
      <c r="E216">
        <v>290.16000000000003</v>
      </c>
      <c r="F216" t="s">
        <v>335</v>
      </c>
      <c r="G216">
        <v>290.16000000000003</v>
      </c>
      <c r="H216">
        <v>348.2</v>
      </c>
      <c r="I216" t="s">
        <v>489</v>
      </c>
      <c r="J216" t="s">
        <v>490</v>
      </c>
      <c r="K216" t="s">
        <v>677</v>
      </c>
      <c r="L216" t="s">
        <v>179</v>
      </c>
      <c r="M216" t="s">
        <v>277</v>
      </c>
      <c r="N216" t="s">
        <v>11</v>
      </c>
      <c r="O216" t="s">
        <v>13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277</v>
      </c>
      <c r="AH216" t="s">
        <v>11</v>
      </c>
      <c r="AI216" t="s">
        <v>13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0</v>
      </c>
      <c r="AN216">
        <f>$H$216*$T$216</f>
        <v>0</v>
      </c>
      <c r="AO216">
        <f>$H$216*$U$216</f>
        <v>0</v>
      </c>
      <c r="AP216">
        <f>$H$216*$V$216</f>
        <v>0</v>
      </c>
      <c r="AQ216">
        <f>$H$216*$W$216</f>
        <v>0</v>
      </c>
      <c r="AR216">
        <f>$H$216*$X$216</f>
        <v>0</v>
      </c>
      <c r="AS216">
        <f>$H$216*$Y$216</f>
        <v>0</v>
      </c>
      <c r="AT216">
        <f>$H$216*$Z$216</f>
        <v>0</v>
      </c>
      <c r="AU216">
        <f>$H$216*$AA$216</f>
        <v>0</v>
      </c>
      <c r="AV216">
        <f>$H$216*$AB$216</f>
        <v>348.2</v>
      </c>
      <c r="AW216">
        <f>$H$216*$AC$216</f>
        <v>348.2</v>
      </c>
      <c r="AX216">
        <f>$H$216*$AD$216</f>
        <v>348.2</v>
      </c>
      <c r="AY216">
        <f>$H$216*$AE$216</f>
        <v>348.2</v>
      </c>
      <c r="AZ216">
        <f>$H$216*$AF$216</f>
        <v>348.2</v>
      </c>
    </row>
    <row r="217" spans="1:52" x14ac:dyDescent="0.25">
      <c r="A217">
        <v>265</v>
      </c>
      <c r="B217" t="s">
        <v>277</v>
      </c>
      <c r="C217" t="s">
        <v>354</v>
      </c>
      <c r="D217">
        <v>0.75</v>
      </c>
      <c r="E217">
        <v>491.8</v>
      </c>
      <c r="F217" t="s">
        <v>335</v>
      </c>
      <c r="G217">
        <v>655.73</v>
      </c>
      <c r="H217">
        <v>590.16</v>
      </c>
      <c r="I217" t="s">
        <v>353</v>
      </c>
      <c r="J217" t="s">
        <v>355</v>
      </c>
      <c r="K217" t="s">
        <v>612</v>
      </c>
      <c r="L217" t="s">
        <v>179</v>
      </c>
      <c r="M217" t="s">
        <v>277</v>
      </c>
      <c r="N217" t="s">
        <v>11</v>
      </c>
      <c r="O217" t="s">
        <v>13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277</v>
      </c>
      <c r="AH217" t="s">
        <v>11</v>
      </c>
      <c r="AI217" t="s">
        <v>13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0</v>
      </c>
      <c r="AN217">
        <f>$H$217*$T$217</f>
        <v>0</v>
      </c>
      <c r="AO217">
        <f>$H$217*$U$217</f>
        <v>0</v>
      </c>
      <c r="AP217">
        <f>$H$217*$V$217</f>
        <v>0</v>
      </c>
      <c r="AQ217">
        <f>$H$217*$W$217</f>
        <v>0</v>
      </c>
      <c r="AR217">
        <f>$H$217*$X$217</f>
        <v>0</v>
      </c>
      <c r="AS217">
        <f>$H$217*$Y$217</f>
        <v>590.16</v>
      </c>
      <c r="AT217">
        <f>$H$217*$Z$217</f>
        <v>590.16</v>
      </c>
      <c r="AU217">
        <f>$H$217*$AA$217</f>
        <v>590.16</v>
      </c>
      <c r="AV217">
        <f>$H$217*$AB$217</f>
        <v>590.16</v>
      </c>
      <c r="AW217">
        <f>$H$217*$AC$217</f>
        <v>590.16</v>
      </c>
      <c r="AX217">
        <f>$H$217*$AD$217</f>
        <v>590.16</v>
      </c>
      <c r="AY217">
        <f>$H$217*$AE$217</f>
        <v>590.16</v>
      </c>
      <c r="AZ217">
        <f>$H$217*$AF$217</f>
        <v>590.16</v>
      </c>
    </row>
    <row r="218" spans="1:52" x14ac:dyDescent="0.25">
      <c r="A218">
        <v>266</v>
      </c>
      <c r="B218" t="s">
        <v>277</v>
      </c>
      <c r="C218" t="s">
        <v>354</v>
      </c>
      <c r="D218">
        <v>0.75</v>
      </c>
      <c r="E218">
        <v>491.8</v>
      </c>
      <c r="F218" t="s">
        <v>335</v>
      </c>
      <c r="G218">
        <v>655.73</v>
      </c>
      <c r="H218">
        <v>590.16</v>
      </c>
      <c r="I218" t="s">
        <v>353</v>
      </c>
      <c r="J218" t="s">
        <v>355</v>
      </c>
      <c r="K218" t="s">
        <v>612</v>
      </c>
      <c r="L218" t="s">
        <v>179</v>
      </c>
      <c r="M218" t="s">
        <v>277</v>
      </c>
      <c r="N218" t="s">
        <v>11</v>
      </c>
      <c r="O218" t="s">
        <v>13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277</v>
      </c>
      <c r="AH218" t="s">
        <v>11</v>
      </c>
      <c r="AI218" t="s">
        <v>13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0</v>
      </c>
      <c r="AN218">
        <f>$H$218*$T$218</f>
        <v>0</v>
      </c>
      <c r="AO218">
        <f>$H$218*$U$218</f>
        <v>0</v>
      </c>
      <c r="AP218">
        <f>$H$218*$V$218</f>
        <v>0</v>
      </c>
      <c r="AQ218">
        <f>$H$218*$W$218</f>
        <v>0</v>
      </c>
      <c r="AR218">
        <f>$H$218*$X$218</f>
        <v>0</v>
      </c>
      <c r="AS218">
        <f>$H$218*$Y$218</f>
        <v>590.16</v>
      </c>
      <c r="AT218">
        <f>$H$218*$Z$218</f>
        <v>590.16</v>
      </c>
      <c r="AU218">
        <f>$H$218*$AA$218</f>
        <v>590.16</v>
      </c>
      <c r="AV218">
        <f>$H$218*$AB$218</f>
        <v>590.16</v>
      </c>
      <c r="AW218">
        <f>$H$218*$AC$218</f>
        <v>590.16</v>
      </c>
      <c r="AX218">
        <f>$H$218*$AD$218</f>
        <v>590.16</v>
      </c>
      <c r="AY218">
        <f>$H$218*$AE$218</f>
        <v>590.16</v>
      </c>
      <c r="AZ218">
        <f>$H$218*$AF$218</f>
        <v>590.16</v>
      </c>
    </row>
    <row r="219" spans="1:52" x14ac:dyDescent="0.25">
      <c r="A219">
        <v>267</v>
      </c>
      <c r="B219" t="s">
        <v>277</v>
      </c>
      <c r="C219" t="s">
        <v>354</v>
      </c>
      <c r="D219">
        <v>0.25</v>
      </c>
      <c r="E219">
        <v>163.93</v>
      </c>
      <c r="F219" t="s">
        <v>335</v>
      </c>
      <c r="G219">
        <v>655.73</v>
      </c>
      <c r="H219">
        <v>196.71</v>
      </c>
      <c r="I219" t="s">
        <v>353</v>
      </c>
      <c r="J219" t="s">
        <v>355</v>
      </c>
      <c r="K219" t="s">
        <v>612</v>
      </c>
      <c r="L219" t="s">
        <v>179</v>
      </c>
      <c r="M219" t="s">
        <v>277</v>
      </c>
      <c r="N219" t="s">
        <v>11</v>
      </c>
      <c r="O219" t="s">
        <v>13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277</v>
      </c>
      <c r="AH219" t="s">
        <v>11</v>
      </c>
      <c r="AI219" t="s">
        <v>13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0</v>
      </c>
      <c r="AN219">
        <f>$H$219*$T$219</f>
        <v>0</v>
      </c>
      <c r="AO219">
        <f>$H$219*$U$219</f>
        <v>0</v>
      </c>
      <c r="AP219">
        <f>$H$219*$V$219</f>
        <v>0</v>
      </c>
      <c r="AQ219">
        <f>$H$219*$W$219</f>
        <v>0</v>
      </c>
      <c r="AR219">
        <f>$H$219*$X$219</f>
        <v>0</v>
      </c>
      <c r="AS219">
        <f>$H$219*$Y$219</f>
        <v>196.71</v>
      </c>
      <c r="AT219">
        <f>$H$219*$Z$219</f>
        <v>196.71</v>
      </c>
      <c r="AU219">
        <f>$H$219*$AA$219</f>
        <v>196.71</v>
      </c>
      <c r="AV219">
        <f>$H$219*$AB$219</f>
        <v>196.71</v>
      </c>
      <c r="AW219">
        <f>$H$219*$AC$219</f>
        <v>196.71</v>
      </c>
      <c r="AX219">
        <f>$H$219*$AD$219</f>
        <v>196.71</v>
      </c>
      <c r="AY219">
        <f>$H$219*$AE$219</f>
        <v>196.71</v>
      </c>
      <c r="AZ219">
        <f>$H$219*$AF$219</f>
        <v>196.71</v>
      </c>
    </row>
    <row r="220" spans="1:52" x14ac:dyDescent="0.25">
      <c r="A220">
        <v>268</v>
      </c>
      <c r="B220" t="s">
        <v>277</v>
      </c>
      <c r="C220" t="s">
        <v>354</v>
      </c>
      <c r="D220">
        <v>0.25</v>
      </c>
      <c r="E220">
        <v>163.93</v>
      </c>
      <c r="F220" t="s">
        <v>335</v>
      </c>
      <c r="G220">
        <v>655.73</v>
      </c>
      <c r="H220">
        <v>196.71</v>
      </c>
      <c r="I220" t="s">
        <v>353</v>
      </c>
      <c r="J220" t="s">
        <v>355</v>
      </c>
      <c r="K220" t="s">
        <v>612</v>
      </c>
      <c r="L220" t="s">
        <v>179</v>
      </c>
      <c r="M220" t="s">
        <v>277</v>
      </c>
      <c r="N220" t="s">
        <v>11</v>
      </c>
      <c r="O220" t="s">
        <v>13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277</v>
      </c>
      <c r="AH220" t="s">
        <v>11</v>
      </c>
      <c r="AI220" t="s">
        <v>13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0</v>
      </c>
      <c r="AN220">
        <f>$H$220*$T$220</f>
        <v>0</v>
      </c>
      <c r="AO220">
        <f>$H$220*$U$220</f>
        <v>0</v>
      </c>
      <c r="AP220">
        <f>$H$220*$V$220</f>
        <v>0</v>
      </c>
      <c r="AQ220">
        <f>$H$220*$W$220</f>
        <v>0</v>
      </c>
      <c r="AR220">
        <f>$H$220*$X$220</f>
        <v>0</v>
      </c>
      <c r="AS220">
        <f>$H$220*$Y$220</f>
        <v>196.71</v>
      </c>
      <c r="AT220">
        <f>$H$220*$Z$220</f>
        <v>196.71</v>
      </c>
      <c r="AU220">
        <f>$H$220*$AA$220</f>
        <v>196.71</v>
      </c>
      <c r="AV220">
        <f>$H$220*$AB$220</f>
        <v>196.71</v>
      </c>
      <c r="AW220">
        <f>$H$220*$AC$220</f>
        <v>196.71</v>
      </c>
      <c r="AX220">
        <f>$H$220*$AD$220</f>
        <v>196.71</v>
      </c>
      <c r="AY220">
        <f>$H$220*$AE$220</f>
        <v>196.71</v>
      </c>
      <c r="AZ220">
        <f>$H$220*$AF$220</f>
        <v>196.71</v>
      </c>
    </row>
    <row r="221" spans="1:52" x14ac:dyDescent="0.25">
      <c r="A221">
        <v>269</v>
      </c>
      <c r="B221" t="s">
        <v>277</v>
      </c>
      <c r="C221" t="s">
        <v>491</v>
      </c>
      <c r="D221">
        <v>1</v>
      </c>
      <c r="E221">
        <v>78.69</v>
      </c>
      <c r="F221" t="s">
        <v>335</v>
      </c>
      <c r="G221">
        <v>78.69</v>
      </c>
      <c r="H221">
        <v>94.43</v>
      </c>
      <c r="I221" t="s">
        <v>353</v>
      </c>
      <c r="J221" t="s">
        <v>492</v>
      </c>
      <c r="K221" t="s">
        <v>678</v>
      </c>
      <c r="L221" t="s">
        <v>179</v>
      </c>
      <c r="M221" t="s">
        <v>277</v>
      </c>
      <c r="N221" t="s">
        <v>11</v>
      </c>
      <c r="O221" t="s">
        <v>13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277</v>
      </c>
      <c r="AH221" t="s">
        <v>11</v>
      </c>
      <c r="AI221" t="s">
        <v>13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0</v>
      </c>
      <c r="AN221">
        <f>$H$221*$T$221</f>
        <v>0</v>
      </c>
      <c r="AO221">
        <f>$H$221*$U$221</f>
        <v>0</v>
      </c>
      <c r="AP221">
        <f>$H$221*$V$221</f>
        <v>0</v>
      </c>
      <c r="AQ221">
        <f>$H$221*$W$221</f>
        <v>0</v>
      </c>
      <c r="AR221">
        <f>$H$221*$X$221</f>
        <v>0</v>
      </c>
      <c r="AS221">
        <f>$H$221*$Y$221</f>
        <v>94.43</v>
      </c>
      <c r="AT221">
        <f>$H$221*$Z$221</f>
        <v>94.43</v>
      </c>
      <c r="AU221">
        <f>$H$221*$AA$221</f>
        <v>94.43</v>
      </c>
      <c r="AV221">
        <f>$H$221*$AB$221</f>
        <v>94.43</v>
      </c>
      <c r="AW221">
        <f>$H$221*$AC$221</f>
        <v>94.43</v>
      </c>
      <c r="AX221">
        <f>$H$221*$AD$221</f>
        <v>94.43</v>
      </c>
      <c r="AY221">
        <f>$H$221*$AE$221</f>
        <v>94.43</v>
      </c>
      <c r="AZ221">
        <f>$H$221*$AF$221</f>
        <v>94.43</v>
      </c>
    </row>
    <row r="222" spans="1:52" x14ac:dyDescent="0.25">
      <c r="A222">
        <v>270</v>
      </c>
      <c r="B222" t="s">
        <v>277</v>
      </c>
      <c r="C222" t="s">
        <v>493</v>
      </c>
      <c r="D222">
        <v>1</v>
      </c>
      <c r="E222">
        <v>743.17</v>
      </c>
      <c r="F222" t="s">
        <v>335</v>
      </c>
      <c r="G222">
        <v>743.17</v>
      </c>
      <c r="H222">
        <v>891.81</v>
      </c>
      <c r="I222" t="s">
        <v>353</v>
      </c>
      <c r="J222" t="s">
        <v>494</v>
      </c>
      <c r="K222" t="s">
        <v>679</v>
      </c>
      <c r="L222" t="s">
        <v>179</v>
      </c>
      <c r="M222" t="s">
        <v>277</v>
      </c>
      <c r="N222" t="s">
        <v>11</v>
      </c>
      <c r="O222" t="s">
        <v>13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1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277</v>
      </c>
      <c r="AH222" t="s">
        <v>11</v>
      </c>
      <c r="AI222" t="s">
        <v>13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0</v>
      </c>
      <c r="AN222">
        <f>$H$222*$T$222</f>
        <v>0</v>
      </c>
      <c r="AO222">
        <f>$H$222*$U$222</f>
        <v>0</v>
      </c>
      <c r="AP222">
        <f>$H$222*$V$222</f>
        <v>0</v>
      </c>
      <c r="AQ222">
        <f>$H$222*$W$222</f>
        <v>0</v>
      </c>
      <c r="AR222">
        <f>$H$222*$X$222</f>
        <v>0</v>
      </c>
      <c r="AS222">
        <f>$H$222*$Y$222</f>
        <v>891.81</v>
      </c>
      <c r="AT222">
        <f>$H$222*$Z$222</f>
        <v>891.81</v>
      </c>
      <c r="AU222">
        <f>$H$222*$AA$222</f>
        <v>891.81</v>
      </c>
      <c r="AV222">
        <f>$H$222*$AB$222</f>
        <v>891.81</v>
      </c>
      <c r="AW222">
        <f>$H$222*$AC$222</f>
        <v>891.81</v>
      </c>
      <c r="AX222">
        <f>$H$222*$AD$222</f>
        <v>891.81</v>
      </c>
      <c r="AY222">
        <f>$H$222*$AE$222</f>
        <v>891.81</v>
      </c>
      <c r="AZ222">
        <f>$H$222*$AF$222</f>
        <v>891.81</v>
      </c>
    </row>
    <row r="223" spans="1:52" x14ac:dyDescent="0.25">
      <c r="A223">
        <v>271</v>
      </c>
      <c r="B223" t="s">
        <v>277</v>
      </c>
      <c r="C223" t="s">
        <v>495</v>
      </c>
      <c r="D223">
        <v>1</v>
      </c>
      <c r="E223">
        <v>1133.07</v>
      </c>
      <c r="F223" t="s">
        <v>335</v>
      </c>
      <c r="G223">
        <v>1133.07</v>
      </c>
      <c r="H223">
        <v>1359.69</v>
      </c>
      <c r="I223" t="s">
        <v>353</v>
      </c>
      <c r="J223" t="s">
        <v>496</v>
      </c>
      <c r="K223" t="s">
        <v>680</v>
      </c>
      <c r="L223" t="s">
        <v>179</v>
      </c>
      <c r="M223" t="s">
        <v>277</v>
      </c>
      <c r="N223" t="s">
        <v>11</v>
      </c>
      <c r="O223" t="s">
        <v>13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277</v>
      </c>
      <c r="AH223" t="s">
        <v>11</v>
      </c>
      <c r="AI223" t="s">
        <v>13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0</v>
      </c>
      <c r="AN223">
        <f>$H$223*$T$223</f>
        <v>0</v>
      </c>
      <c r="AO223">
        <f>$H$223*$U$223</f>
        <v>0</v>
      </c>
      <c r="AP223">
        <f>$H$223*$V$223</f>
        <v>0</v>
      </c>
      <c r="AQ223">
        <f>$H$223*$W$223</f>
        <v>0</v>
      </c>
      <c r="AR223">
        <f>$H$223*$X$223</f>
        <v>0</v>
      </c>
      <c r="AS223">
        <f>$H$223*$Y$223</f>
        <v>1359.69</v>
      </c>
      <c r="AT223">
        <f>$H$223*$Z$223</f>
        <v>1359.69</v>
      </c>
      <c r="AU223">
        <f>$H$223*$AA$223</f>
        <v>1359.69</v>
      </c>
      <c r="AV223">
        <f>$H$223*$AB$223</f>
        <v>1359.69</v>
      </c>
      <c r="AW223">
        <f>$H$223*$AC$223</f>
        <v>1359.69</v>
      </c>
      <c r="AX223">
        <f>$H$223*$AD$223</f>
        <v>1359.69</v>
      </c>
      <c r="AY223">
        <f>$H$223*$AE$223</f>
        <v>1359.69</v>
      </c>
      <c r="AZ223">
        <f>$H$223*$AF$223</f>
        <v>1359.69</v>
      </c>
    </row>
    <row r="224" spans="1:52" x14ac:dyDescent="0.25">
      <c r="A224">
        <v>272</v>
      </c>
      <c r="B224" t="s">
        <v>277</v>
      </c>
      <c r="C224" t="s">
        <v>497</v>
      </c>
      <c r="D224">
        <v>1</v>
      </c>
      <c r="E224">
        <v>655.4</v>
      </c>
      <c r="F224" t="s">
        <v>335</v>
      </c>
      <c r="G224">
        <v>655.4</v>
      </c>
      <c r="H224">
        <v>786.48</v>
      </c>
      <c r="I224" t="s">
        <v>487</v>
      </c>
      <c r="J224" t="s">
        <v>498</v>
      </c>
      <c r="K224" t="s">
        <v>681</v>
      </c>
      <c r="L224" t="s">
        <v>179</v>
      </c>
      <c r="M224" t="s">
        <v>277</v>
      </c>
      <c r="N224" t="s">
        <v>11</v>
      </c>
      <c r="O224" t="s">
        <v>13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1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277</v>
      </c>
      <c r="AH224" t="s">
        <v>11</v>
      </c>
      <c r="AI224" t="s">
        <v>13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0</v>
      </c>
      <c r="AN224">
        <f>$H$224*$T$224</f>
        <v>0</v>
      </c>
      <c r="AO224">
        <f>$H$224*$U$224</f>
        <v>0</v>
      </c>
      <c r="AP224">
        <f>$H$224*$V$224</f>
        <v>0</v>
      </c>
      <c r="AQ224">
        <f>$H$224*$W$224</f>
        <v>0</v>
      </c>
      <c r="AR224">
        <f>$H$224*$X$224</f>
        <v>0</v>
      </c>
      <c r="AS224">
        <f>$H$224*$Y$224</f>
        <v>786.48</v>
      </c>
      <c r="AT224">
        <f>$H$224*$Z$224</f>
        <v>786.48</v>
      </c>
      <c r="AU224">
        <f>$H$224*$AA$224</f>
        <v>786.48</v>
      </c>
      <c r="AV224">
        <f>$H$224*$AB$224</f>
        <v>786.48</v>
      </c>
      <c r="AW224">
        <f>$H$224*$AC$224</f>
        <v>786.48</v>
      </c>
      <c r="AX224">
        <f>$H$224*$AD$224</f>
        <v>786.48</v>
      </c>
      <c r="AY224">
        <f>$H$224*$AE$224</f>
        <v>786.48</v>
      </c>
      <c r="AZ224">
        <f>$H$224*$AF$224</f>
        <v>786.48</v>
      </c>
    </row>
    <row r="225" spans="1:52" x14ac:dyDescent="0.25">
      <c r="A225">
        <v>273</v>
      </c>
      <c r="B225" t="s">
        <v>277</v>
      </c>
      <c r="C225" t="s">
        <v>499</v>
      </c>
      <c r="D225">
        <v>1</v>
      </c>
      <c r="E225">
        <v>415.22</v>
      </c>
      <c r="F225" t="s">
        <v>335</v>
      </c>
      <c r="G225">
        <v>415.22</v>
      </c>
      <c r="H225">
        <v>498.26</v>
      </c>
      <c r="I225" t="s">
        <v>353</v>
      </c>
      <c r="J225" t="s">
        <v>500</v>
      </c>
      <c r="K225" t="s">
        <v>682</v>
      </c>
      <c r="L225" t="s">
        <v>179</v>
      </c>
      <c r="M225" t="s">
        <v>277</v>
      </c>
      <c r="N225" t="s">
        <v>11</v>
      </c>
      <c r="O225" t="s">
        <v>13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277</v>
      </c>
      <c r="AH225" t="s">
        <v>11</v>
      </c>
      <c r="AI225" t="s">
        <v>13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0</v>
      </c>
      <c r="AN225">
        <f>$H$225*$T$225</f>
        <v>0</v>
      </c>
      <c r="AO225">
        <f>$H$225*$U$225</f>
        <v>0</v>
      </c>
      <c r="AP225">
        <f>$H$225*$V$225</f>
        <v>0</v>
      </c>
      <c r="AQ225">
        <f>$H$225*$W$225</f>
        <v>0</v>
      </c>
      <c r="AR225">
        <f>$H$225*$X$225</f>
        <v>0</v>
      </c>
      <c r="AS225">
        <f>$H$225*$Y$225</f>
        <v>0</v>
      </c>
      <c r="AT225">
        <f>$H$225*$Z$225</f>
        <v>0</v>
      </c>
      <c r="AU225">
        <f>$H$225*$AA$225</f>
        <v>498.26</v>
      </c>
      <c r="AV225">
        <f>$H$225*$AB$225</f>
        <v>498.26</v>
      </c>
      <c r="AW225">
        <f>$H$225*$AC$225</f>
        <v>498.26</v>
      </c>
      <c r="AX225">
        <f>$H$225*$AD$225</f>
        <v>498.26</v>
      </c>
      <c r="AY225">
        <f>$H$225*$AE$225</f>
        <v>498.26</v>
      </c>
      <c r="AZ225">
        <f>$H$225*$AF$225</f>
        <v>498.26</v>
      </c>
    </row>
    <row r="226" spans="1:52" x14ac:dyDescent="0.25">
      <c r="A226">
        <v>274</v>
      </c>
      <c r="B226" t="s">
        <v>277</v>
      </c>
      <c r="C226" t="s">
        <v>501</v>
      </c>
      <c r="D226">
        <v>10</v>
      </c>
      <c r="E226">
        <v>65.7</v>
      </c>
      <c r="F226" t="s">
        <v>329</v>
      </c>
      <c r="G226">
        <v>6.57</v>
      </c>
      <c r="H226">
        <v>78.84</v>
      </c>
      <c r="I226" t="s">
        <v>343</v>
      </c>
      <c r="J226" t="s">
        <v>502</v>
      </c>
      <c r="K226" t="s">
        <v>683</v>
      </c>
      <c r="L226" t="s">
        <v>179</v>
      </c>
      <c r="M226" t="s">
        <v>277</v>
      </c>
      <c r="N226" t="s">
        <v>11</v>
      </c>
      <c r="O226" t="s">
        <v>13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1</v>
      </c>
      <c r="AE226">
        <v>1</v>
      </c>
      <c r="AF226">
        <v>1</v>
      </c>
      <c r="AG226" t="s">
        <v>277</v>
      </c>
      <c r="AH226" t="s">
        <v>11</v>
      </c>
      <c r="AI226" t="s">
        <v>13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0</v>
      </c>
      <c r="AQ226">
        <f>$H$226*$W$226</f>
        <v>0</v>
      </c>
      <c r="AR226">
        <f>$H$226*$X$226</f>
        <v>0</v>
      </c>
      <c r="AS226">
        <f>$H$226*$Y$226</f>
        <v>0</v>
      </c>
      <c r="AT226">
        <f>$H$226*$Z$226</f>
        <v>0</v>
      </c>
      <c r="AU226">
        <f>$H$226*$AA$226</f>
        <v>0</v>
      </c>
      <c r="AV226">
        <f>$H$226*$AB$226</f>
        <v>0</v>
      </c>
      <c r="AW226">
        <f>$H$226*$AC$226</f>
        <v>0</v>
      </c>
      <c r="AX226">
        <f>$H$226*$AD$226</f>
        <v>78.84</v>
      </c>
      <c r="AY226">
        <f>$H$226*$AE$226</f>
        <v>78.84</v>
      </c>
      <c r="AZ226">
        <f>$H$226*$AF$226</f>
        <v>78.84</v>
      </c>
    </row>
    <row r="227" spans="1:52" x14ac:dyDescent="0.25">
      <c r="A227">
        <v>275</v>
      </c>
      <c r="B227" t="s">
        <v>277</v>
      </c>
      <c r="C227" t="s">
        <v>503</v>
      </c>
      <c r="D227">
        <v>1</v>
      </c>
      <c r="E227">
        <v>197.02</v>
      </c>
      <c r="F227" t="s">
        <v>335</v>
      </c>
      <c r="G227">
        <v>197.02</v>
      </c>
      <c r="H227">
        <v>236.42</v>
      </c>
      <c r="I227" t="s">
        <v>343</v>
      </c>
      <c r="J227" t="s">
        <v>504</v>
      </c>
      <c r="K227" t="s">
        <v>684</v>
      </c>
      <c r="L227" t="s">
        <v>179</v>
      </c>
      <c r="M227" t="s">
        <v>277</v>
      </c>
      <c r="N227" t="s">
        <v>11</v>
      </c>
      <c r="O227" t="s">
        <v>13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1</v>
      </c>
      <c r="AE227">
        <v>1</v>
      </c>
      <c r="AF227">
        <v>1</v>
      </c>
      <c r="AG227" t="s">
        <v>277</v>
      </c>
      <c r="AH227" t="s">
        <v>11</v>
      </c>
      <c r="AI227" t="s">
        <v>13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0</v>
      </c>
      <c r="AO227">
        <f>$H$227*$U$227</f>
        <v>0</v>
      </c>
      <c r="AP227">
        <f>$H$227*$V$227</f>
        <v>0</v>
      </c>
      <c r="AQ227">
        <f>$H$227*$W$227</f>
        <v>0</v>
      </c>
      <c r="AR227">
        <f>$H$227*$X$227</f>
        <v>0</v>
      </c>
      <c r="AS227">
        <f>$H$227*$Y$227</f>
        <v>0</v>
      </c>
      <c r="AT227">
        <f>$H$227*$Z$227</f>
        <v>0</v>
      </c>
      <c r="AU227">
        <f>$H$227*$AA$227</f>
        <v>0</v>
      </c>
      <c r="AV227">
        <f>$H$227*$AB$227</f>
        <v>0</v>
      </c>
      <c r="AW227">
        <f>$H$227*$AC$227</f>
        <v>0</v>
      </c>
      <c r="AX227">
        <f>$H$227*$AD$227</f>
        <v>236.42</v>
      </c>
      <c r="AY227">
        <f>$H$227*$AE$227</f>
        <v>236.42</v>
      </c>
      <c r="AZ227">
        <f>$H$227*$AF$227</f>
        <v>236.42</v>
      </c>
    </row>
    <row r="228" spans="1:52" x14ac:dyDescent="0.25">
      <c r="A228">
        <v>276</v>
      </c>
      <c r="B228" t="s">
        <v>277</v>
      </c>
      <c r="C228" t="s">
        <v>505</v>
      </c>
      <c r="D228">
        <v>1</v>
      </c>
      <c r="E228">
        <v>155.46</v>
      </c>
      <c r="F228" t="s">
        <v>335</v>
      </c>
      <c r="G228">
        <v>155.46</v>
      </c>
      <c r="H228">
        <v>186.56</v>
      </c>
      <c r="I228" t="s">
        <v>340</v>
      </c>
      <c r="J228" t="s">
        <v>506</v>
      </c>
      <c r="K228" t="s">
        <v>685</v>
      </c>
      <c r="L228" t="s">
        <v>179</v>
      </c>
      <c r="M228" t="s">
        <v>277</v>
      </c>
      <c r="N228" t="s">
        <v>11</v>
      </c>
      <c r="O228" t="s">
        <v>13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1</v>
      </c>
      <c r="AE228">
        <v>1</v>
      </c>
      <c r="AF228">
        <v>1</v>
      </c>
      <c r="AG228" t="s">
        <v>277</v>
      </c>
      <c r="AH228" t="s">
        <v>11</v>
      </c>
      <c r="AI228" t="s">
        <v>13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0</v>
      </c>
      <c r="AN228">
        <f>$H$228*$T$228</f>
        <v>0</v>
      </c>
      <c r="AO228">
        <f>$H$228*$U$228</f>
        <v>0</v>
      </c>
      <c r="AP228">
        <f>$H$228*$V$228</f>
        <v>0</v>
      </c>
      <c r="AQ228">
        <f>$H$228*$W$228</f>
        <v>0</v>
      </c>
      <c r="AR228">
        <f>$H$228*$X$228</f>
        <v>0</v>
      </c>
      <c r="AS228">
        <f>$H$228*$Y$228</f>
        <v>0</v>
      </c>
      <c r="AT228">
        <f>$H$228*$Z$228</f>
        <v>0</v>
      </c>
      <c r="AU228">
        <f>$H$228*$AA$228</f>
        <v>0</v>
      </c>
      <c r="AV228">
        <f>$H$228*$AB$228</f>
        <v>0</v>
      </c>
      <c r="AW228">
        <f>$H$228*$AC$228</f>
        <v>0</v>
      </c>
      <c r="AX228">
        <f>$H$228*$AD$228</f>
        <v>186.56</v>
      </c>
      <c r="AY228">
        <f>$H$228*$AE$228</f>
        <v>186.56</v>
      </c>
      <c r="AZ228">
        <f>$H$228*$AF$228</f>
        <v>186.56</v>
      </c>
    </row>
    <row r="229" spans="1:52" x14ac:dyDescent="0.25">
      <c r="A229">
        <v>277</v>
      </c>
      <c r="B229" t="s">
        <v>277</v>
      </c>
      <c r="C229" t="s">
        <v>367</v>
      </c>
      <c r="D229">
        <v>1</v>
      </c>
      <c r="E229">
        <v>62.41</v>
      </c>
      <c r="F229" t="s">
        <v>335</v>
      </c>
      <c r="G229">
        <v>62.41</v>
      </c>
      <c r="H229">
        <v>74.89</v>
      </c>
      <c r="I229" t="s">
        <v>368</v>
      </c>
      <c r="J229" t="s">
        <v>369</v>
      </c>
      <c r="K229" t="s">
        <v>619</v>
      </c>
      <c r="L229" t="s">
        <v>179</v>
      </c>
      <c r="M229" t="s">
        <v>277</v>
      </c>
      <c r="N229" t="s">
        <v>11</v>
      </c>
      <c r="O229" t="s">
        <v>13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277</v>
      </c>
      <c r="AH229" t="s">
        <v>11</v>
      </c>
      <c r="AI229" t="s">
        <v>13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0</v>
      </c>
      <c r="AN229">
        <f>$H$229*$T$229</f>
        <v>0</v>
      </c>
      <c r="AO229">
        <f>$H$229*$U$229</f>
        <v>0</v>
      </c>
      <c r="AP229">
        <f>$H$229*$V$229</f>
        <v>0</v>
      </c>
      <c r="AQ229">
        <f>$H$229*$W$229</f>
        <v>0</v>
      </c>
      <c r="AR229">
        <f>$H$229*$X$229</f>
        <v>0</v>
      </c>
      <c r="AS229">
        <f>$H$229*$Y$229</f>
        <v>0</v>
      </c>
      <c r="AT229">
        <f>$H$229*$Z$229</f>
        <v>0</v>
      </c>
      <c r="AU229">
        <f>$H$229*$AA$229</f>
        <v>74.89</v>
      </c>
      <c r="AV229">
        <f>$H$229*$AB$229</f>
        <v>74.89</v>
      </c>
      <c r="AW229">
        <f>$H$229*$AC$229</f>
        <v>74.89</v>
      </c>
      <c r="AX229">
        <f>$H$229*$AD$229</f>
        <v>74.89</v>
      </c>
      <c r="AY229">
        <f>$H$229*$AE$229</f>
        <v>74.89</v>
      </c>
      <c r="AZ229">
        <f>$H$229*$AF$229</f>
        <v>74.89</v>
      </c>
    </row>
    <row r="230" spans="1:52" x14ac:dyDescent="0.25">
      <c r="A230">
        <v>278</v>
      </c>
      <c r="B230" t="s">
        <v>277</v>
      </c>
      <c r="C230" t="s">
        <v>375</v>
      </c>
      <c r="D230">
        <v>2</v>
      </c>
      <c r="E230">
        <v>77.86</v>
      </c>
      <c r="F230" t="s">
        <v>335</v>
      </c>
      <c r="G230">
        <v>38.93</v>
      </c>
      <c r="H230">
        <v>93.44</v>
      </c>
      <c r="I230" t="s">
        <v>330</v>
      </c>
      <c r="J230" t="s">
        <v>371</v>
      </c>
      <c r="K230" t="s">
        <v>622</v>
      </c>
      <c r="L230" t="s">
        <v>179</v>
      </c>
      <c r="M230" t="s">
        <v>277</v>
      </c>
      <c r="N230" t="s">
        <v>11</v>
      </c>
      <c r="O230" t="s">
        <v>13</v>
      </c>
      <c r="P230">
        <v>0</v>
      </c>
      <c r="Q230">
        <v>0</v>
      </c>
      <c r="R230">
        <v>0</v>
      </c>
      <c r="S230">
        <v>1</v>
      </c>
      <c r="T230">
        <v>1</v>
      </c>
      <c r="U230">
        <v>1</v>
      </c>
      <c r="V230">
        <v>1</v>
      </c>
      <c r="W230">
        <v>1</v>
      </c>
      <c r="X230">
        <v>1</v>
      </c>
      <c r="Y230">
        <v>1</v>
      </c>
      <c r="Z230">
        <v>1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277</v>
      </c>
      <c r="AH230" t="s">
        <v>11</v>
      </c>
      <c r="AI230" t="s">
        <v>13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93.44</v>
      </c>
      <c r="AN230">
        <f>$H$230*$T$230</f>
        <v>93.44</v>
      </c>
      <c r="AO230">
        <f>$H$230*$U$230</f>
        <v>93.44</v>
      </c>
      <c r="AP230">
        <f>$H$230*$V$230</f>
        <v>93.44</v>
      </c>
      <c r="AQ230">
        <f>$H$230*$W$230</f>
        <v>93.44</v>
      </c>
      <c r="AR230">
        <f>$H$230*$X$230</f>
        <v>93.44</v>
      </c>
      <c r="AS230">
        <f>$H$230*$Y$230</f>
        <v>93.44</v>
      </c>
      <c r="AT230">
        <f>$H$230*$Z$230</f>
        <v>93.44</v>
      </c>
      <c r="AU230">
        <f>$H$230*$AA$230</f>
        <v>93.44</v>
      </c>
      <c r="AV230">
        <f>$H$230*$AB$230</f>
        <v>93.44</v>
      </c>
      <c r="AW230">
        <f>$H$230*$AC$230</f>
        <v>93.44</v>
      </c>
      <c r="AX230">
        <f>$H$230*$AD$230</f>
        <v>93.44</v>
      </c>
      <c r="AY230">
        <f>$H$230*$AE$230</f>
        <v>93.44</v>
      </c>
      <c r="AZ230">
        <f>$H$230*$AF$230</f>
        <v>93.44</v>
      </c>
    </row>
    <row r="231" spans="1:52" x14ac:dyDescent="0.25">
      <c r="A231">
        <v>279</v>
      </c>
      <c r="B231" t="s">
        <v>277</v>
      </c>
      <c r="C231" t="s">
        <v>373</v>
      </c>
      <c r="D231">
        <v>2</v>
      </c>
      <c r="E231">
        <v>62.72</v>
      </c>
      <c r="F231" t="s">
        <v>335</v>
      </c>
      <c r="G231">
        <v>31.36</v>
      </c>
      <c r="H231">
        <v>75.260000000000005</v>
      </c>
      <c r="I231" t="s">
        <v>330</v>
      </c>
      <c r="J231" t="s">
        <v>374</v>
      </c>
      <c r="K231" t="s">
        <v>621</v>
      </c>
      <c r="L231" t="s">
        <v>179</v>
      </c>
      <c r="M231" t="s">
        <v>277</v>
      </c>
      <c r="N231" t="s">
        <v>11</v>
      </c>
      <c r="O231" t="s">
        <v>13</v>
      </c>
      <c r="P231">
        <v>0</v>
      </c>
      <c r="Q231">
        <v>0</v>
      </c>
      <c r="R231">
        <v>0</v>
      </c>
      <c r="S231">
        <v>1</v>
      </c>
      <c r="T231">
        <v>1</v>
      </c>
      <c r="U231">
        <v>1</v>
      </c>
      <c r="V231">
        <v>1</v>
      </c>
      <c r="W231">
        <v>1</v>
      </c>
      <c r="X231">
        <v>1</v>
      </c>
      <c r="Y231">
        <v>1</v>
      </c>
      <c r="Z231">
        <v>1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277</v>
      </c>
      <c r="AH231" t="s">
        <v>11</v>
      </c>
      <c r="AI231" t="s">
        <v>13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75.260000000000005</v>
      </c>
      <c r="AN231">
        <f>$H$231*$T$231</f>
        <v>75.260000000000005</v>
      </c>
      <c r="AO231">
        <f>$H$231*$U$231</f>
        <v>75.260000000000005</v>
      </c>
      <c r="AP231">
        <f>$H$231*$V$231</f>
        <v>75.260000000000005</v>
      </c>
      <c r="AQ231">
        <f>$H$231*$W$231</f>
        <v>75.260000000000005</v>
      </c>
      <c r="AR231">
        <f>$H$231*$X$231</f>
        <v>75.260000000000005</v>
      </c>
      <c r="AS231">
        <f>$H$231*$Y$231</f>
        <v>75.260000000000005</v>
      </c>
      <c r="AT231">
        <f>$H$231*$Z$231</f>
        <v>75.260000000000005</v>
      </c>
      <c r="AU231">
        <f>$H$231*$AA$231</f>
        <v>75.260000000000005</v>
      </c>
      <c r="AV231">
        <f>$H$231*$AB$231</f>
        <v>75.260000000000005</v>
      </c>
      <c r="AW231">
        <f>$H$231*$AC$231</f>
        <v>75.260000000000005</v>
      </c>
      <c r="AX231">
        <f>$H$231*$AD$231</f>
        <v>75.260000000000005</v>
      </c>
      <c r="AY231">
        <f>$H$231*$AE$231</f>
        <v>75.260000000000005</v>
      </c>
      <c r="AZ231">
        <f>$H$231*$AF$231</f>
        <v>75.260000000000005</v>
      </c>
    </row>
    <row r="232" spans="1:52" x14ac:dyDescent="0.25">
      <c r="A232">
        <v>280</v>
      </c>
      <c r="B232" t="s">
        <v>277</v>
      </c>
      <c r="C232" t="s">
        <v>370</v>
      </c>
      <c r="D232">
        <v>1</v>
      </c>
      <c r="E232">
        <v>366.18</v>
      </c>
      <c r="F232" t="s">
        <v>335</v>
      </c>
      <c r="G232">
        <v>366.18</v>
      </c>
      <c r="H232">
        <v>439.42</v>
      </c>
      <c r="I232" t="s">
        <v>371</v>
      </c>
      <c r="J232" t="s">
        <v>372</v>
      </c>
      <c r="K232" t="s">
        <v>620</v>
      </c>
      <c r="L232" t="s">
        <v>179</v>
      </c>
      <c r="M232" t="s">
        <v>277</v>
      </c>
      <c r="N232" t="s">
        <v>11</v>
      </c>
      <c r="O232" t="s">
        <v>13</v>
      </c>
      <c r="P232">
        <v>0</v>
      </c>
      <c r="Q232">
        <v>0</v>
      </c>
      <c r="R232">
        <v>0</v>
      </c>
      <c r="S232">
        <v>0</v>
      </c>
      <c r="T232">
        <v>1</v>
      </c>
      <c r="U232">
        <v>1</v>
      </c>
      <c r="V232">
        <v>1</v>
      </c>
      <c r="W232">
        <v>1</v>
      </c>
      <c r="X232">
        <v>1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277</v>
      </c>
      <c r="AH232" t="s">
        <v>11</v>
      </c>
      <c r="AI232" t="s">
        <v>13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0</v>
      </c>
      <c r="AN232">
        <f>$H$232*$T$232</f>
        <v>439.42</v>
      </c>
      <c r="AO232">
        <f>$H$232*$U$232</f>
        <v>439.42</v>
      </c>
      <c r="AP232">
        <f>$H$232*$V$232</f>
        <v>439.42</v>
      </c>
      <c r="AQ232">
        <f>$H$232*$W$232</f>
        <v>439.42</v>
      </c>
      <c r="AR232">
        <f>$H$232*$X$232</f>
        <v>439.42</v>
      </c>
      <c r="AS232">
        <f>$H$232*$Y$232</f>
        <v>439.42</v>
      </c>
      <c r="AT232">
        <f>$H$232*$Z$232</f>
        <v>439.42</v>
      </c>
      <c r="AU232">
        <f>$H$232*$AA$232</f>
        <v>439.42</v>
      </c>
      <c r="AV232">
        <f>$H$232*$AB$232</f>
        <v>439.42</v>
      </c>
      <c r="AW232">
        <f>$H$232*$AC$232</f>
        <v>439.42</v>
      </c>
      <c r="AX232">
        <f>$H$232*$AD$232</f>
        <v>439.42</v>
      </c>
      <c r="AY232">
        <f>$H$232*$AE$232</f>
        <v>439.42</v>
      </c>
      <c r="AZ232">
        <f>$H$232*$AF$232</f>
        <v>439.42</v>
      </c>
    </row>
    <row r="233" spans="1:52" x14ac:dyDescent="0.25">
      <c r="A233">
        <v>281</v>
      </c>
      <c r="B233" t="s">
        <v>277</v>
      </c>
      <c r="C233" t="s">
        <v>507</v>
      </c>
      <c r="D233">
        <v>1</v>
      </c>
      <c r="E233">
        <v>37</v>
      </c>
      <c r="F233" t="s">
        <v>335</v>
      </c>
      <c r="G233">
        <v>37</v>
      </c>
      <c r="H233">
        <v>44.4</v>
      </c>
      <c r="I233" t="s">
        <v>337</v>
      </c>
      <c r="J233" t="s">
        <v>508</v>
      </c>
      <c r="K233" t="s">
        <v>686</v>
      </c>
      <c r="L233" t="s">
        <v>179</v>
      </c>
      <c r="M233" t="s">
        <v>277</v>
      </c>
      <c r="N233" t="s">
        <v>11</v>
      </c>
      <c r="O233" t="s">
        <v>13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0.6</v>
      </c>
      <c r="Y233">
        <v>0.6</v>
      </c>
      <c r="Z233">
        <v>0.6</v>
      </c>
      <c r="AA233">
        <v>0.6</v>
      </c>
      <c r="AB233">
        <v>0.6</v>
      </c>
      <c r="AC233">
        <v>0.6</v>
      </c>
      <c r="AD233">
        <v>1</v>
      </c>
      <c r="AE233">
        <v>1</v>
      </c>
      <c r="AF233">
        <v>1</v>
      </c>
      <c r="AG233" t="s">
        <v>277</v>
      </c>
      <c r="AH233" t="s">
        <v>11</v>
      </c>
      <c r="AI233" t="s">
        <v>13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0</v>
      </c>
      <c r="AN233">
        <f>$H$233*$T$233</f>
        <v>0</v>
      </c>
      <c r="AO233">
        <f>$H$233*$U$233</f>
        <v>0</v>
      </c>
      <c r="AP233">
        <f>$H$233*$V$233</f>
        <v>0</v>
      </c>
      <c r="AQ233">
        <f>$H$233*$W$233</f>
        <v>0</v>
      </c>
      <c r="AR233">
        <f>$H$233*$X$233</f>
        <v>26.639999999999997</v>
      </c>
      <c r="AS233">
        <f>$H$233*$Y$233</f>
        <v>26.639999999999997</v>
      </c>
      <c r="AT233">
        <f>$H$233*$Z$233</f>
        <v>26.639999999999997</v>
      </c>
      <c r="AU233">
        <f>$H$233*$AA$233</f>
        <v>26.639999999999997</v>
      </c>
      <c r="AV233">
        <f>$H$233*$AB$233</f>
        <v>26.639999999999997</v>
      </c>
      <c r="AW233">
        <f>$H$233*$AC$233</f>
        <v>26.639999999999997</v>
      </c>
      <c r="AX233">
        <f>$H$233*$AD$233</f>
        <v>44.4</v>
      </c>
      <c r="AY233">
        <f>$H$233*$AE$233</f>
        <v>44.4</v>
      </c>
      <c r="AZ233">
        <f>$H$233*$AF$233</f>
        <v>44.4</v>
      </c>
    </row>
    <row r="234" spans="1:52" x14ac:dyDescent="0.25">
      <c r="A234">
        <v>282</v>
      </c>
      <c r="B234" t="s">
        <v>277</v>
      </c>
      <c r="C234" t="s">
        <v>509</v>
      </c>
      <c r="D234">
        <v>6</v>
      </c>
      <c r="E234">
        <v>1915.62</v>
      </c>
      <c r="F234" t="s">
        <v>329</v>
      </c>
      <c r="G234">
        <v>319.27</v>
      </c>
      <c r="H234">
        <v>2298.7399999999998</v>
      </c>
      <c r="I234" t="s">
        <v>489</v>
      </c>
      <c r="J234" t="s">
        <v>510</v>
      </c>
      <c r="K234" t="s">
        <v>687</v>
      </c>
      <c r="L234" t="s">
        <v>179</v>
      </c>
      <c r="M234" t="s">
        <v>277</v>
      </c>
      <c r="N234" t="s">
        <v>11</v>
      </c>
      <c r="O234" t="s">
        <v>13</v>
      </c>
      <c r="P234">
        <v>0</v>
      </c>
      <c r="Q234">
        <v>0</v>
      </c>
      <c r="R234">
        <v>0</v>
      </c>
      <c r="S234">
        <v>0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277</v>
      </c>
      <c r="AH234" t="s">
        <v>11</v>
      </c>
      <c r="AI234" t="s">
        <v>13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0</v>
      </c>
      <c r="AN234">
        <f>$H$234*$T$234</f>
        <v>2298.7399999999998</v>
      </c>
      <c r="AO234">
        <f>$H$234*$U$234</f>
        <v>2298.7399999999998</v>
      </c>
      <c r="AP234">
        <f>$H$234*$V$234</f>
        <v>2298.7399999999998</v>
      </c>
      <c r="AQ234">
        <f>$H$234*$W$234</f>
        <v>2298.7399999999998</v>
      </c>
      <c r="AR234">
        <f>$H$234*$X$234</f>
        <v>2298.7399999999998</v>
      </c>
      <c r="AS234">
        <f>$H$234*$Y$234</f>
        <v>2298.7399999999998</v>
      </c>
      <c r="AT234">
        <f>$H$234*$Z$234</f>
        <v>2298.7399999999998</v>
      </c>
      <c r="AU234">
        <f>$H$234*$AA$234</f>
        <v>2298.7399999999998</v>
      </c>
      <c r="AV234">
        <f>$H$234*$AB$234</f>
        <v>2298.7399999999998</v>
      </c>
      <c r="AW234">
        <f>$H$234*$AC$234</f>
        <v>2298.7399999999998</v>
      </c>
      <c r="AX234">
        <f>$H$234*$AD$234</f>
        <v>2298.7399999999998</v>
      </c>
      <c r="AY234">
        <f>$H$234*$AE$234</f>
        <v>2298.7399999999998</v>
      </c>
      <c r="AZ234">
        <f>$H$234*$AF$234</f>
        <v>2298.7399999999998</v>
      </c>
    </row>
    <row r="235" spans="1:52" x14ac:dyDescent="0.25">
      <c r="A235">
        <v>283</v>
      </c>
      <c r="B235" t="s">
        <v>277</v>
      </c>
      <c r="C235" t="s">
        <v>511</v>
      </c>
      <c r="D235">
        <v>10</v>
      </c>
      <c r="E235">
        <v>969.9</v>
      </c>
      <c r="F235" t="s">
        <v>349</v>
      </c>
      <c r="G235">
        <v>96.99</v>
      </c>
      <c r="H235">
        <v>1163.8800000000001</v>
      </c>
      <c r="I235" t="s">
        <v>489</v>
      </c>
      <c r="J235" t="s">
        <v>512</v>
      </c>
      <c r="K235" t="s">
        <v>688</v>
      </c>
      <c r="L235" t="s">
        <v>179</v>
      </c>
      <c r="M235" t="s">
        <v>277</v>
      </c>
      <c r="N235" t="s">
        <v>11</v>
      </c>
      <c r="O235" t="s">
        <v>13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277</v>
      </c>
      <c r="AH235" t="s">
        <v>11</v>
      </c>
      <c r="AI235" t="s">
        <v>13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0</v>
      </c>
      <c r="AN235">
        <f>$H$235*$T$235</f>
        <v>0</v>
      </c>
      <c r="AO235">
        <f>$H$235*$U$235</f>
        <v>0</v>
      </c>
      <c r="AP235">
        <f>$H$235*$V$235</f>
        <v>0</v>
      </c>
      <c r="AQ235">
        <f>$H$235*$W$235</f>
        <v>0</v>
      </c>
      <c r="AR235">
        <f>$H$235*$X$235</f>
        <v>0</v>
      </c>
      <c r="AS235">
        <f>$H$235*$Y$235</f>
        <v>0</v>
      </c>
      <c r="AT235">
        <f>$H$235*$Z$235</f>
        <v>1163.8800000000001</v>
      </c>
      <c r="AU235">
        <f>$H$235*$AA$235</f>
        <v>1163.8800000000001</v>
      </c>
      <c r="AV235">
        <f>$H$235*$AB$235</f>
        <v>1163.8800000000001</v>
      </c>
      <c r="AW235">
        <f>$H$235*$AC$235</f>
        <v>1163.8800000000001</v>
      </c>
      <c r="AX235">
        <f>$H$235*$AD$235</f>
        <v>1163.8800000000001</v>
      </c>
      <c r="AY235">
        <f>$H$235*$AE$235</f>
        <v>1163.8800000000001</v>
      </c>
      <c r="AZ235">
        <f>$H$235*$AF$235</f>
        <v>1163.8800000000001</v>
      </c>
    </row>
    <row r="236" spans="1:52" x14ac:dyDescent="0.25">
      <c r="A236">
        <v>284</v>
      </c>
      <c r="B236" t="s">
        <v>277</v>
      </c>
      <c r="C236" t="s">
        <v>513</v>
      </c>
      <c r="D236">
        <v>1</v>
      </c>
      <c r="E236">
        <v>305.94</v>
      </c>
      <c r="F236" t="s">
        <v>335</v>
      </c>
      <c r="G236">
        <v>305.94</v>
      </c>
      <c r="H236">
        <v>367.12</v>
      </c>
      <c r="I236" t="s">
        <v>353</v>
      </c>
      <c r="J236" t="s">
        <v>514</v>
      </c>
      <c r="K236" t="s">
        <v>689</v>
      </c>
      <c r="L236" t="s">
        <v>179</v>
      </c>
      <c r="M236" t="s">
        <v>277</v>
      </c>
      <c r="N236" t="s">
        <v>11</v>
      </c>
      <c r="O236" t="s">
        <v>13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277</v>
      </c>
      <c r="AH236" t="s">
        <v>11</v>
      </c>
      <c r="AI236" t="s">
        <v>13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0</v>
      </c>
      <c r="AN236">
        <f>$H$236*$T$236</f>
        <v>0</v>
      </c>
      <c r="AO236">
        <f>$H$236*$U$236</f>
        <v>0</v>
      </c>
      <c r="AP236">
        <f>$H$236*$V$236</f>
        <v>0</v>
      </c>
      <c r="AQ236">
        <f>$H$236*$W$236</f>
        <v>0</v>
      </c>
      <c r="AR236">
        <f>$H$236*$X$236</f>
        <v>0</v>
      </c>
      <c r="AS236">
        <f>$H$236*$Y$236</f>
        <v>0</v>
      </c>
      <c r="AT236">
        <f>$H$236*$Z$236</f>
        <v>0</v>
      </c>
      <c r="AU236">
        <f>$H$236*$AA$236</f>
        <v>367.12</v>
      </c>
      <c r="AV236">
        <f>$H$236*$AB$236</f>
        <v>367.12</v>
      </c>
      <c r="AW236">
        <f>$H$236*$AC$236</f>
        <v>367.12</v>
      </c>
      <c r="AX236">
        <f>$H$236*$AD$236</f>
        <v>367.12</v>
      </c>
      <c r="AY236">
        <f>$H$236*$AE$236</f>
        <v>367.12</v>
      </c>
      <c r="AZ236">
        <f>$H$236*$AF$236</f>
        <v>367.12</v>
      </c>
    </row>
    <row r="237" spans="1:52" x14ac:dyDescent="0.25">
      <c r="A237">
        <v>285</v>
      </c>
      <c r="B237" t="s">
        <v>277</v>
      </c>
      <c r="C237" t="s">
        <v>354</v>
      </c>
      <c r="D237">
        <v>1.5</v>
      </c>
      <c r="E237">
        <v>983.6</v>
      </c>
      <c r="F237" t="s">
        <v>335</v>
      </c>
      <c r="G237">
        <v>655.73</v>
      </c>
      <c r="H237">
        <v>1180.32</v>
      </c>
      <c r="I237" t="s">
        <v>353</v>
      </c>
      <c r="J237" t="s">
        <v>355</v>
      </c>
      <c r="K237" t="s">
        <v>612</v>
      </c>
      <c r="L237" t="s">
        <v>179</v>
      </c>
      <c r="M237" t="s">
        <v>277</v>
      </c>
      <c r="N237" t="s">
        <v>11</v>
      </c>
      <c r="O237" t="s">
        <v>13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277</v>
      </c>
      <c r="AH237" t="s">
        <v>11</v>
      </c>
      <c r="AI237" t="s">
        <v>13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0</v>
      </c>
      <c r="AN237">
        <f>$H$237*$T$237</f>
        <v>0</v>
      </c>
      <c r="AO237">
        <f>$H$237*$U$237</f>
        <v>0</v>
      </c>
      <c r="AP237">
        <f>$H$237*$V$237</f>
        <v>0</v>
      </c>
      <c r="AQ237">
        <f>$H$237*$W$237</f>
        <v>0</v>
      </c>
      <c r="AR237">
        <f>$H$237*$X$237</f>
        <v>0</v>
      </c>
      <c r="AS237">
        <f>$H$237*$Y$237</f>
        <v>1180.32</v>
      </c>
      <c r="AT237">
        <f>$H$237*$Z$237</f>
        <v>1180.32</v>
      </c>
      <c r="AU237">
        <f>$H$237*$AA$237</f>
        <v>1180.32</v>
      </c>
      <c r="AV237">
        <f>$H$237*$AB$237</f>
        <v>1180.32</v>
      </c>
      <c r="AW237">
        <f>$H$237*$AC$237</f>
        <v>1180.32</v>
      </c>
      <c r="AX237">
        <f>$H$237*$AD$237</f>
        <v>1180.32</v>
      </c>
      <c r="AY237">
        <f>$H$237*$AE$237</f>
        <v>1180.32</v>
      </c>
      <c r="AZ237">
        <f>$H$237*$AF$237</f>
        <v>1180.32</v>
      </c>
    </row>
    <row r="238" spans="1:52" x14ac:dyDescent="0.25">
      <c r="A238">
        <v>286</v>
      </c>
      <c r="B238" t="s">
        <v>277</v>
      </c>
      <c r="C238" t="s">
        <v>354</v>
      </c>
      <c r="D238">
        <v>0.5</v>
      </c>
      <c r="E238">
        <v>327.87</v>
      </c>
      <c r="F238" t="s">
        <v>335</v>
      </c>
      <c r="G238">
        <v>655.73</v>
      </c>
      <c r="H238">
        <v>393.45</v>
      </c>
      <c r="I238" t="s">
        <v>353</v>
      </c>
      <c r="J238" t="s">
        <v>355</v>
      </c>
      <c r="K238" t="s">
        <v>612</v>
      </c>
      <c r="L238" t="s">
        <v>179</v>
      </c>
      <c r="M238" t="s">
        <v>277</v>
      </c>
      <c r="N238" t="s">
        <v>11</v>
      </c>
      <c r="O238" t="s">
        <v>13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277</v>
      </c>
      <c r="AH238" t="s">
        <v>11</v>
      </c>
      <c r="AI238" t="s">
        <v>13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0</v>
      </c>
      <c r="AN238">
        <f>$H$238*$T$238</f>
        <v>0</v>
      </c>
      <c r="AO238">
        <f>$H$238*$U$238</f>
        <v>0</v>
      </c>
      <c r="AP238">
        <f>$H$238*$V$238</f>
        <v>0</v>
      </c>
      <c r="AQ238">
        <f>$H$238*$W$238</f>
        <v>0</v>
      </c>
      <c r="AR238">
        <f>$H$238*$X$238</f>
        <v>0</v>
      </c>
      <c r="AS238">
        <f>$H$238*$Y$238</f>
        <v>393.45</v>
      </c>
      <c r="AT238">
        <f>$H$238*$Z$238</f>
        <v>393.45</v>
      </c>
      <c r="AU238">
        <f>$H$238*$AA$238</f>
        <v>393.45</v>
      </c>
      <c r="AV238">
        <f>$H$238*$AB$238</f>
        <v>393.45</v>
      </c>
      <c r="AW238">
        <f>$H$238*$AC$238</f>
        <v>393.45</v>
      </c>
      <c r="AX238">
        <f>$H$238*$AD$238</f>
        <v>393.45</v>
      </c>
      <c r="AY238">
        <f>$H$238*$AE$238</f>
        <v>393.45</v>
      </c>
      <c r="AZ238">
        <f>$H$238*$AF$238</f>
        <v>393.45</v>
      </c>
    </row>
    <row r="239" spans="1:52" x14ac:dyDescent="0.25">
      <c r="A239">
        <v>287</v>
      </c>
      <c r="B239" t="s">
        <v>277</v>
      </c>
      <c r="C239" t="s">
        <v>515</v>
      </c>
      <c r="D239">
        <v>2</v>
      </c>
      <c r="E239">
        <v>813.28</v>
      </c>
      <c r="F239" t="s">
        <v>335</v>
      </c>
      <c r="G239">
        <v>406.64</v>
      </c>
      <c r="H239">
        <v>975.94</v>
      </c>
      <c r="I239" t="s">
        <v>353</v>
      </c>
      <c r="J239" t="s">
        <v>516</v>
      </c>
      <c r="K239" t="s">
        <v>690</v>
      </c>
      <c r="L239" t="s">
        <v>179</v>
      </c>
      <c r="M239" t="s">
        <v>277</v>
      </c>
      <c r="N239" t="s">
        <v>11</v>
      </c>
      <c r="O239" t="s">
        <v>13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277</v>
      </c>
      <c r="AH239" t="s">
        <v>11</v>
      </c>
      <c r="AI239" t="s">
        <v>13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0</v>
      </c>
      <c r="AN239">
        <f>$H$239*$T$239</f>
        <v>0</v>
      </c>
      <c r="AO239">
        <f>$H$239*$U$239</f>
        <v>0</v>
      </c>
      <c r="AP239">
        <f>$H$239*$V$239</f>
        <v>0</v>
      </c>
      <c r="AQ239">
        <f>$H$239*$W$239</f>
        <v>0</v>
      </c>
      <c r="AR239">
        <f>$H$239*$X$239</f>
        <v>0</v>
      </c>
      <c r="AS239">
        <f>$H$239*$Y$239</f>
        <v>0</v>
      </c>
      <c r="AT239">
        <f>$H$239*$Z$239</f>
        <v>0</v>
      </c>
      <c r="AU239">
        <f>$H$239*$AA$239</f>
        <v>975.94</v>
      </c>
      <c r="AV239">
        <f>$H$239*$AB$239</f>
        <v>975.94</v>
      </c>
      <c r="AW239">
        <f>$H$239*$AC$239</f>
        <v>975.94</v>
      </c>
      <c r="AX239">
        <f>$H$239*$AD$239</f>
        <v>975.94</v>
      </c>
      <c r="AY239">
        <f>$H$239*$AE$239</f>
        <v>975.94</v>
      </c>
      <c r="AZ239">
        <f>$H$239*$AF$239</f>
        <v>975.94</v>
      </c>
    </row>
    <row r="240" spans="1:52" x14ac:dyDescent="0.25">
      <c r="A240">
        <v>288</v>
      </c>
      <c r="B240" t="s">
        <v>277</v>
      </c>
      <c r="C240" t="s">
        <v>438</v>
      </c>
      <c r="D240">
        <v>10.199999999999999</v>
      </c>
      <c r="E240">
        <v>26.72</v>
      </c>
      <c r="F240" t="s">
        <v>329</v>
      </c>
      <c r="G240">
        <v>2.62</v>
      </c>
      <c r="H240">
        <v>32.06</v>
      </c>
      <c r="I240" t="s">
        <v>439</v>
      </c>
      <c r="J240" t="s">
        <v>440</v>
      </c>
      <c r="K240" t="s">
        <v>654</v>
      </c>
      <c r="L240" t="s">
        <v>179</v>
      </c>
      <c r="M240" t="s">
        <v>277</v>
      </c>
      <c r="N240" t="s">
        <v>11</v>
      </c>
      <c r="O240" t="s">
        <v>13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277</v>
      </c>
      <c r="AH240" t="s">
        <v>11</v>
      </c>
      <c r="AI240" t="s">
        <v>13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0</v>
      </c>
      <c r="AN240">
        <f>$H$240*$T$240</f>
        <v>0</v>
      </c>
      <c r="AO240">
        <f>$H$240*$U$240</f>
        <v>0</v>
      </c>
      <c r="AP240">
        <f>$H$240*$V$240</f>
        <v>0</v>
      </c>
      <c r="AQ240">
        <f>$H$240*$W$240</f>
        <v>0</v>
      </c>
      <c r="AR240">
        <f>$H$240*$X$240</f>
        <v>0</v>
      </c>
      <c r="AS240">
        <f>$H$240*$Y$240</f>
        <v>0</v>
      </c>
      <c r="AT240">
        <f>$H$240*$Z$240</f>
        <v>0</v>
      </c>
      <c r="AU240">
        <f>$H$240*$AA$240</f>
        <v>32.06</v>
      </c>
      <c r="AV240">
        <f>$H$240*$AB$240</f>
        <v>32.06</v>
      </c>
      <c r="AW240">
        <f>$H$240*$AC$240</f>
        <v>32.06</v>
      </c>
      <c r="AX240">
        <f>$H$240*$AD$240</f>
        <v>32.06</v>
      </c>
      <c r="AY240">
        <f>$H$240*$AE$240</f>
        <v>32.06</v>
      </c>
      <c r="AZ240">
        <f>$H$240*$AF$240</f>
        <v>32.06</v>
      </c>
    </row>
    <row r="241" spans="1:52" x14ac:dyDescent="0.25">
      <c r="A241">
        <v>289</v>
      </c>
      <c r="B241" t="s">
        <v>277</v>
      </c>
      <c r="C241" t="s">
        <v>441</v>
      </c>
      <c r="D241">
        <v>91.8</v>
      </c>
      <c r="E241">
        <v>198.29</v>
      </c>
      <c r="F241" t="s">
        <v>349</v>
      </c>
      <c r="G241">
        <v>2.16</v>
      </c>
      <c r="H241">
        <v>237.95</v>
      </c>
      <c r="I241" t="s">
        <v>439</v>
      </c>
      <c r="J241" t="s">
        <v>442</v>
      </c>
      <c r="K241" t="s">
        <v>655</v>
      </c>
      <c r="L241" t="s">
        <v>179</v>
      </c>
      <c r="M241" t="s">
        <v>277</v>
      </c>
      <c r="N241" t="s">
        <v>11</v>
      </c>
      <c r="O241" t="s">
        <v>13</v>
      </c>
      <c r="P241">
        <v>0</v>
      </c>
      <c r="Q241">
        <v>0</v>
      </c>
      <c r="R241">
        <v>0</v>
      </c>
      <c r="S241">
        <v>1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277</v>
      </c>
      <c r="AH241" t="s">
        <v>11</v>
      </c>
      <c r="AI241" t="s">
        <v>13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237.95</v>
      </c>
      <c r="AN241">
        <f>$H$241*$T$241</f>
        <v>237.95</v>
      </c>
      <c r="AO241">
        <f>$H$241*$U$241</f>
        <v>237.95</v>
      </c>
      <c r="AP241">
        <f>$H$241*$V$241</f>
        <v>237.95</v>
      </c>
      <c r="AQ241">
        <f>$H$241*$W$241</f>
        <v>237.95</v>
      </c>
      <c r="AR241">
        <f>$H$241*$X$241</f>
        <v>237.95</v>
      </c>
      <c r="AS241">
        <f>$H$241*$Y$241</f>
        <v>237.95</v>
      </c>
      <c r="AT241">
        <f>$H$241*$Z$241</f>
        <v>237.95</v>
      </c>
      <c r="AU241">
        <f>$H$241*$AA$241</f>
        <v>237.95</v>
      </c>
      <c r="AV241">
        <f>$H$241*$AB$241</f>
        <v>237.95</v>
      </c>
      <c r="AW241">
        <f>$H$241*$AC$241</f>
        <v>237.95</v>
      </c>
      <c r="AX241">
        <f>$H$241*$AD$241</f>
        <v>237.95</v>
      </c>
      <c r="AY241">
        <f>$H$241*$AE$241</f>
        <v>237.95</v>
      </c>
      <c r="AZ241">
        <f>$H$241*$AF$241</f>
        <v>237.95</v>
      </c>
    </row>
    <row r="242" spans="1:52" x14ac:dyDescent="0.25">
      <c r="A242">
        <v>290</v>
      </c>
      <c r="B242" t="s">
        <v>277</v>
      </c>
      <c r="C242" t="s">
        <v>443</v>
      </c>
      <c r="D242">
        <v>91.8</v>
      </c>
      <c r="E242">
        <v>57.83</v>
      </c>
      <c r="F242" t="s">
        <v>349</v>
      </c>
      <c r="G242">
        <v>0.63</v>
      </c>
      <c r="H242">
        <v>69.39</v>
      </c>
      <c r="I242" t="s">
        <v>330</v>
      </c>
      <c r="J242" t="s">
        <v>444</v>
      </c>
      <c r="K242" t="s">
        <v>656</v>
      </c>
      <c r="L242" t="s">
        <v>179</v>
      </c>
      <c r="M242" t="s">
        <v>277</v>
      </c>
      <c r="N242" t="s">
        <v>11</v>
      </c>
      <c r="O242" t="s">
        <v>13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1</v>
      </c>
      <c r="AE242">
        <v>1</v>
      </c>
      <c r="AF242">
        <v>1</v>
      </c>
      <c r="AG242" t="s">
        <v>277</v>
      </c>
      <c r="AH242" t="s">
        <v>11</v>
      </c>
      <c r="AI242" t="s">
        <v>13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0</v>
      </c>
      <c r="AN242">
        <f>$H$242*$T$242</f>
        <v>0</v>
      </c>
      <c r="AO242">
        <f>$H$242*$U$242</f>
        <v>0</v>
      </c>
      <c r="AP242">
        <f>$H$242*$V$242</f>
        <v>0</v>
      </c>
      <c r="AQ242">
        <f>$H$242*$W$242</f>
        <v>0</v>
      </c>
      <c r="AR242">
        <f>$H$242*$X$242</f>
        <v>0</v>
      </c>
      <c r="AS242">
        <f>$H$242*$Y$242</f>
        <v>0</v>
      </c>
      <c r="AT242">
        <f>$H$242*$Z$242</f>
        <v>0</v>
      </c>
      <c r="AU242">
        <f>$H$242*$AA$242</f>
        <v>0</v>
      </c>
      <c r="AV242">
        <f>$H$242*$AB$242</f>
        <v>0</v>
      </c>
      <c r="AW242">
        <f>$H$242*$AC$242</f>
        <v>0</v>
      </c>
      <c r="AX242">
        <f>$H$242*$AD$242</f>
        <v>69.39</v>
      </c>
      <c r="AY242">
        <f>$H$242*$AE$242</f>
        <v>69.39</v>
      </c>
      <c r="AZ242">
        <f>$H$242*$AF$242</f>
        <v>69.39</v>
      </c>
    </row>
    <row r="243" spans="1:52" x14ac:dyDescent="0.25">
      <c r="A243">
        <v>291</v>
      </c>
      <c r="B243" t="s">
        <v>277</v>
      </c>
      <c r="C243" t="s">
        <v>362</v>
      </c>
      <c r="D243">
        <v>114.75</v>
      </c>
      <c r="E243">
        <v>112.46</v>
      </c>
      <c r="F243" t="s">
        <v>349</v>
      </c>
      <c r="G243">
        <v>0.98</v>
      </c>
      <c r="H243">
        <v>134.96</v>
      </c>
      <c r="I243" t="s">
        <v>330</v>
      </c>
      <c r="J243" t="s">
        <v>363</v>
      </c>
      <c r="K243" t="s">
        <v>617</v>
      </c>
      <c r="L243" t="s">
        <v>179</v>
      </c>
      <c r="M243" t="s">
        <v>277</v>
      </c>
      <c r="N243" t="s">
        <v>11</v>
      </c>
      <c r="O243" t="s">
        <v>13</v>
      </c>
      <c r="P243">
        <v>0</v>
      </c>
      <c r="Q243">
        <v>0</v>
      </c>
      <c r="R243">
        <v>0</v>
      </c>
      <c r="S243">
        <v>0</v>
      </c>
      <c r="T243">
        <v>1</v>
      </c>
      <c r="U243">
        <v>1</v>
      </c>
      <c r="V243">
        <v>1</v>
      </c>
      <c r="W243">
        <v>1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277</v>
      </c>
      <c r="AH243" t="s">
        <v>11</v>
      </c>
      <c r="AI243" t="s">
        <v>13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0</v>
      </c>
      <c r="AN243">
        <f>$H$243*$T$243</f>
        <v>134.96</v>
      </c>
      <c r="AO243">
        <f>$H$243*$U$243</f>
        <v>134.96</v>
      </c>
      <c r="AP243">
        <f>$H$243*$V$243</f>
        <v>134.96</v>
      </c>
      <c r="AQ243">
        <f>$H$243*$W$243</f>
        <v>134.96</v>
      </c>
      <c r="AR243">
        <f>$H$243*$X$243</f>
        <v>134.96</v>
      </c>
      <c r="AS243">
        <f>$H$243*$Y$243</f>
        <v>134.96</v>
      </c>
      <c r="AT243">
        <f>$H$243*$Z$243</f>
        <v>134.96</v>
      </c>
      <c r="AU243">
        <f>$H$243*$AA$243</f>
        <v>134.96</v>
      </c>
      <c r="AV243">
        <f>$H$243*$AB$243</f>
        <v>134.96</v>
      </c>
      <c r="AW243">
        <f>$H$243*$AC$243</f>
        <v>134.96</v>
      </c>
      <c r="AX243">
        <f>$H$243*$AD$243</f>
        <v>134.96</v>
      </c>
      <c r="AY243">
        <f>$H$243*$AE$243</f>
        <v>134.96</v>
      </c>
      <c r="AZ243">
        <f>$H$243*$AF$243</f>
        <v>134.96</v>
      </c>
    </row>
    <row r="244" spans="1:52" x14ac:dyDescent="0.25">
      <c r="A244">
        <v>292</v>
      </c>
      <c r="B244" t="s">
        <v>277</v>
      </c>
      <c r="C244" t="s">
        <v>445</v>
      </c>
      <c r="D244">
        <v>22.95</v>
      </c>
      <c r="E244">
        <v>86.29</v>
      </c>
      <c r="F244" t="s">
        <v>349</v>
      </c>
      <c r="G244">
        <v>3.76</v>
      </c>
      <c r="H244">
        <v>103.55</v>
      </c>
      <c r="I244" t="s">
        <v>446</v>
      </c>
      <c r="J244" t="s">
        <v>420</v>
      </c>
      <c r="K244" t="s">
        <v>657</v>
      </c>
      <c r="L244" t="s">
        <v>179</v>
      </c>
      <c r="M244" t="s">
        <v>277</v>
      </c>
      <c r="N244" t="s">
        <v>11</v>
      </c>
      <c r="O244" t="s">
        <v>13</v>
      </c>
      <c r="P244">
        <v>0</v>
      </c>
      <c r="Q244">
        <v>0</v>
      </c>
      <c r="R244">
        <v>0</v>
      </c>
      <c r="S244">
        <v>0.25</v>
      </c>
      <c r="T244">
        <v>0.25</v>
      </c>
      <c r="U244">
        <v>0.25</v>
      </c>
      <c r="V244">
        <v>0.25</v>
      </c>
      <c r="W244">
        <v>0.25</v>
      </c>
      <c r="X244">
        <v>0.5</v>
      </c>
      <c r="Y244">
        <v>0.5</v>
      </c>
      <c r="Z244">
        <v>0.5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277</v>
      </c>
      <c r="AH244" t="s">
        <v>11</v>
      </c>
      <c r="AI244" t="s">
        <v>13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25.887499999999999</v>
      </c>
      <c r="AN244">
        <f>$H$244*$T$244</f>
        <v>25.887499999999999</v>
      </c>
      <c r="AO244">
        <f>$H$244*$U$244</f>
        <v>25.887499999999999</v>
      </c>
      <c r="AP244">
        <f>$H$244*$V$244</f>
        <v>25.887499999999999</v>
      </c>
      <c r="AQ244">
        <f>$H$244*$W$244</f>
        <v>25.887499999999999</v>
      </c>
      <c r="AR244">
        <f>$H$244*$X$244</f>
        <v>51.774999999999999</v>
      </c>
      <c r="AS244">
        <f>$H$244*$Y$244</f>
        <v>51.774999999999999</v>
      </c>
      <c r="AT244">
        <f>$H$244*$Z$244</f>
        <v>51.774999999999999</v>
      </c>
      <c r="AU244">
        <f>$H$244*$AA$244</f>
        <v>103.55</v>
      </c>
      <c r="AV244">
        <f>$H$244*$AB$244</f>
        <v>103.55</v>
      </c>
      <c r="AW244">
        <f>$H$244*$AC$244</f>
        <v>103.55</v>
      </c>
      <c r="AX244">
        <f>$H$244*$AD$244</f>
        <v>103.55</v>
      </c>
      <c r="AY244">
        <f>$H$244*$AE$244</f>
        <v>103.55</v>
      </c>
      <c r="AZ244">
        <f>$H$244*$AF$244</f>
        <v>103.55</v>
      </c>
    </row>
    <row r="245" spans="1:52" x14ac:dyDescent="0.25">
      <c r="A245">
        <v>293</v>
      </c>
      <c r="B245" t="s">
        <v>277</v>
      </c>
      <c r="C245" t="s">
        <v>364</v>
      </c>
      <c r="D245">
        <v>229.5</v>
      </c>
      <c r="E245">
        <v>771.12</v>
      </c>
      <c r="F245" t="s">
        <v>349</v>
      </c>
      <c r="G245">
        <v>3.36</v>
      </c>
      <c r="H245">
        <v>925.34</v>
      </c>
      <c r="I245" t="s">
        <v>365</v>
      </c>
      <c r="J245" t="s">
        <v>366</v>
      </c>
      <c r="K245" t="s">
        <v>618</v>
      </c>
      <c r="L245" t="s">
        <v>179</v>
      </c>
      <c r="M245" t="s">
        <v>277</v>
      </c>
      <c r="N245" t="s">
        <v>11</v>
      </c>
      <c r="O245" t="s">
        <v>13</v>
      </c>
      <c r="P245">
        <v>0</v>
      </c>
      <c r="Q245">
        <v>0</v>
      </c>
      <c r="R245">
        <v>0</v>
      </c>
      <c r="S245">
        <v>0.25</v>
      </c>
      <c r="T245">
        <v>0.25</v>
      </c>
      <c r="U245">
        <v>0.25</v>
      </c>
      <c r="V245">
        <v>0.25</v>
      </c>
      <c r="W245">
        <v>0.5</v>
      </c>
      <c r="X245">
        <v>0.5</v>
      </c>
      <c r="Y245">
        <v>0.5</v>
      </c>
      <c r="Z245">
        <v>0.5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277</v>
      </c>
      <c r="AH245" t="s">
        <v>11</v>
      </c>
      <c r="AI245" t="s">
        <v>13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231.33500000000001</v>
      </c>
      <c r="AN245">
        <f>$H$245*$T$245</f>
        <v>231.33500000000001</v>
      </c>
      <c r="AO245">
        <f>$H$245*$U$245</f>
        <v>231.33500000000001</v>
      </c>
      <c r="AP245">
        <f>$H$245*$V$245</f>
        <v>231.33500000000001</v>
      </c>
      <c r="AQ245">
        <f>$H$245*$W$245</f>
        <v>462.67</v>
      </c>
      <c r="AR245">
        <f>$H$245*$X$245</f>
        <v>462.67</v>
      </c>
      <c r="AS245">
        <f>$H$245*$Y$245</f>
        <v>462.67</v>
      </c>
      <c r="AT245">
        <f>$H$245*$Z$245</f>
        <v>462.67</v>
      </c>
      <c r="AU245">
        <f>$H$245*$AA$245</f>
        <v>925.34</v>
      </c>
      <c r="AV245">
        <f>$H$245*$AB$245</f>
        <v>925.34</v>
      </c>
      <c r="AW245">
        <f>$H$245*$AC$245</f>
        <v>925.34</v>
      </c>
      <c r="AX245">
        <f>$H$245*$AD$245</f>
        <v>925.34</v>
      </c>
      <c r="AY245">
        <f>$H$245*$AE$245</f>
        <v>925.34</v>
      </c>
      <c r="AZ245">
        <f>$H$245*$AF$245</f>
        <v>925.34</v>
      </c>
    </row>
    <row r="246" spans="1:52" x14ac:dyDescent="0.25">
      <c r="A246">
        <v>294</v>
      </c>
      <c r="B246" t="s">
        <v>277</v>
      </c>
      <c r="C246" t="s">
        <v>455</v>
      </c>
      <c r="D246">
        <v>25.5</v>
      </c>
      <c r="E246">
        <v>38.51</v>
      </c>
      <c r="F246" t="s">
        <v>329</v>
      </c>
      <c r="G246">
        <v>1.51</v>
      </c>
      <c r="H246">
        <v>46.21</v>
      </c>
      <c r="I246" t="s">
        <v>330</v>
      </c>
      <c r="J246" t="s">
        <v>456</v>
      </c>
      <c r="K246" t="s">
        <v>662</v>
      </c>
      <c r="L246" t="s">
        <v>179</v>
      </c>
      <c r="M246" t="s">
        <v>277</v>
      </c>
      <c r="N246" t="s">
        <v>11</v>
      </c>
      <c r="O246" t="s">
        <v>13</v>
      </c>
      <c r="P246">
        <v>0</v>
      </c>
      <c r="Q246">
        <v>0</v>
      </c>
      <c r="R246">
        <v>0</v>
      </c>
      <c r="S246">
        <v>1</v>
      </c>
      <c r="T246">
        <v>1</v>
      </c>
      <c r="U246">
        <v>1</v>
      </c>
      <c r="V246">
        <v>1</v>
      </c>
      <c r="W246">
        <v>1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277</v>
      </c>
      <c r="AH246" t="s">
        <v>11</v>
      </c>
      <c r="AI246" t="s">
        <v>13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46.21</v>
      </c>
      <c r="AN246">
        <f>$H$246*$T$246</f>
        <v>46.21</v>
      </c>
      <c r="AO246">
        <f>$H$246*$U$246</f>
        <v>46.21</v>
      </c>
      <c r="AP246">
        <f>$H$246*$V$246</f>
        <v>46.21</v>
      </c>
      <c r="AQ246">
        <f>$H$246*$W$246</f>
        <v>46.21</v>
      </c>
      <c r="AR246">
        <f>$H$246*$X$246</f>
        <v>46.21</v>
      </c>
      <c r="AS246">
        <f>$H$246*$Y$246</f>
        <v>46.21</v>
      </c>
      <c r="AT246">
        <f>$H$246*$Z$246</f>
        <v>46.21</v>
      </c>
      <c r="AU246">
        <f>$H$246*$AA$246</f>
        <v>46.21</v>
      </c>
      <c r="AV246">
        <f>$H$246*$AB$246</f>
        <v>46.21</v>
      </c>
      <c r="AW246">
        <f>$H$246*$AC$246</f>
        <v>46.21</v>
      </c>
      <c r="AX246">
        <f>$H$246*$AD$246</f>
        <v>46.21</v>
      </c>
      <c r="AY246">
        <f>$H$246*$AE$246</f>
        <v>46.21</v>
      </c>
      <c r="AZ246">
        <f>$H$246*$AF$246</f>
        <v>46.21</v>
      </c>
    </row>
    <row r="247" spans="1:52" x14ac:dyDescent="0.25">
      <c r="A247">
        <v>295</v>
      </c>
      <c r="B247" t="s">
        <v>277</v>
      </c>
      <c r="C247" t="s">
        <v>457</v>
      </c>
      <c r="D247">
        <v>25.5</v>
      </c>
      <c r="E247">
        <v>144.84</v>
      </c>
      <c r="F247" t="s">
        <v>329</v>
      </c>
      <c r="G247">
        <v>5.68</v>
      </c>
      <c r="H247">
        <v>173.8</v>
      </c>
      <c r="I247" t="s">
        <v>333</v>
      </c>
      <c r="J247" t="s">
        <v>458</v>
      </c>
      <c r="K247" t="s">
        <v>663</v>
      </c>
      <c r="L247" t="s">
        <v>179</v>
      </c>
      <c r="M247" t="s">
        <v>277</v>
      </c>
      <c r="N247" t="s">
        <v>11</v>
      </c>
      <c r="O247" t="s">
        <v>13</v>
      </c>
      <c r="P247">
        <v>0</v>
      </c>
      <c r="Q247">
        <v>0</v>
      </c>
      <c r="R247">
        <v>0</v>
      </c>
      <c r="S247">
        <v>1</v>
      </c>
      <c r="T247">
        <v>1</v>
      </c>
      <c r="U247">
        <v>1</v>
      </c>
      <c r="V247">
        <v>1</v>
      </c>
      <c r="W247">
        <v>1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277</v>
      </c>
      <c r="AH247" t="s">
        <v>11</v>
      </c>
      <c r="AI247" t="s">
        <v>13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173.8</v>
      </c>
      <c r="AN247">
        <f>$H$247*$T$247</f>
        <v>173.8</v>
      </c>
      <c r="AO247">
        <f>$H$247*$U$247</f>
        <v>173.8</v>
      </c>
      <c r="AP247">
        <f>$H$247*$V$247</f>
        <v>173.8</v>
      </c>
      <c r="AQ247">
        <f>$H$247*$W$247</f>
        <v>173.8</v>
      </c>
      <c r="AR247">
        <f>$H$247*$X$247</f>
        <v>173.8</v>
      </c>
      <c r="AS247">
        <f>$H$247*$Y$247</f>
        <v>173.8</v>
      </c>
      <c r="AT247">
        <f>$H$247*$Z$247</f>
        <v>173.8</v>
      </c>
      <c r="AU247">
        <f>$H$247*$AA$247</f>
        <v>173.8</v>
      </c>
      <c r="AV247">
        <f>$H$247*$AB$247</f>
        <v>173.8</v>
      </c>
      <c r="AW247">
        <f>$H$247*$AC$247</f>
        <v>173.8</v>
      </c>
      <c r="AX247">
        <f>$H$247*$AD$247</f>
        <v>173.8</v>
      </c>
      <c r="AY247">
        <f>$H$247*$AE$247</f>
        <v>173.8</v>
      </c>
      <c r="AZ247">
        <f>$H$247*$AF$247</f>
        <v>173.8</v>
      </c>
    </row>
    <row r="248" spans="1:52" x14ac:dyDescent="0.25">
      <c r="A248">
        <v>296</v>
      </c>
      <c r="B248" t="s">
        <v>277</v>
      </c>
      <c r="C248" t="s">
        <v>364</v>
      </c>
      <c r="D248">
        <v>38.51</v>
      </c>
      <c r="E248">
        <v>129.38999999999999</v>
      </c>
      <c r="F248" t="s">
        <v>349</v>
      </c>
      <c r="G248">
        <v>3.36</v>
      </c>
      <c r="H248">
        <v>155.27000000000001</v>
      </c>
      <c r="I248" t="s">
        <v>365</v>
      </c>
      <c r="J248" t="s">
        <v>366</v>
      </c>
      <c r="K248" t="s">
        <v>618</v>
      </c>
      <c r="L248" t="s">
        <v>179</v>
      </c>
      <c r="M248" t="s">
        <v>277</v>
      </c>
      <c r="N248" t="s">
        <v>11</v>
      </c>
      <c r="O248" t="s">
        <v>13</v>
      </c>
      <c r="P248">
        <v>0</v>
      </c>
      <c r="Q248">
        <v>0</v>
      </c>
      <c r="R248">
        <v>0</v>
      </c>
      <c r="S248">
        <v>0.25</v>
      </c>
      <c r="T248">
        <v>0.25</v>
      </c>
      <c r="U248">
        <v>0.25</v>
      </c>
      <c r="V248">
        <v>0.25</v>
      </c>
      <c r="W248">
        <v>0.5</v>
      </c>
      <c r="X248">
        <v>0.5</v>
      </c>
      <c r="Y248">
        <v>0.5</v>
      </c>
      <c r="Z248">
        <v>0.5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277</v>
      </c>
      <c r="AH248" t="s">
        <v>11</v>
      </c>
      <c r="AI248" t="s">
        <v>13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38.817500000000003</v>
      </c>
      <c r="AN248">
        <f>$H$248*$T$248</f>
        <v>38.817500000000003</v>
      </c>
      <c r="AO248">
        <f>$H$248*$U$248</f>
        <v>38.817500000000003</v>
      </c>
      <c r="AP248">
        <f>$H$248*$V$248</f>
        <v>38.817500000000003</v>
      </c>
      <c r="AQ248">
        <f>$H$248*$W$248</f>
        <v>77.635000000000005</v>
      </c>
      <c r="AR248">
        <f>$H$248*$X$248</f>
        <v>77.635000000000005</v>
      </c>
      <c r="AS248">
        <f>$H$248*$Y$248</f>
        <v>77.635000000000005</v>
      </c>
      <c r="AT248">
        <f>$H$248*$Z$248</f>
        <v>77.635000000000005</v>
      </c>
      <c r="AU248">
        <f>$H$248*$AA$248</f>
        <v>155.27000000000001</v>
      </c>
      <c r="AV248">
        <f>$H$248*$AB$248</f>
        <v>155.27000000000001</v>
      </c>
      <c r="AW248">
        <f>$H$248*$AC$248</f>
        <v>155.27000000000001</v>
      </c>
      <c r="AX248">
        <f>$H$248*$AD$248</f>
        <v>155.27000000000001</v>
      </c>
      <c r="AY248">
        <f>$H$248*$AE$248</f>
        <v>155.27000000000001</v>
      </c>
      <c r="AZ248">
        <f>$H$248*$AF$248</f>
        <v>155.27000000000001</v>
      </c>
    </row>
    <row r="249" spans="1:52" x14ac:dyDescent="0.25">
      <c r="A249">
        <v>297</v>
      </c>
      <c r="B249" t="s">
        <v>277</v>
      </c>
      <c r="C249" t="s">
        <v>443</v>
      </c>
      <c r="D249">
        <v>38.51</v>
      </c>
      <c r="E249">
        <v>24.26</v>
      </c>
      <c r="F249" t="s">
        <v>349</v>
      </c>
      <c r="G249">
        <v>0.63</v>
      </c>
      <c r="H249">
        <v>29.12</v>
      </c>
      <c r="I249" t="s">
        <v>330</v>
      </c>
      <c r="J249" t="s">
        <v>444</v>
      </c>
      <c r="K249" t="s">
        <v>656</v>
      </c>
      <c r="L249" t="s">
        <v>179</v>
      </c>
      <c r="M249" t="s">
        <v>277</v>
      </c>
      <c r="N249" t="s">
        <v>11</v>
      </c>
      <c r="O249" t="s">
        <v>13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1</v>
      </c>
      <c r="AE249">
        <v>1</v>
      </c>
      <c r="AF249">
        <v>1</v>
      </c>
      <c r="AG249" t="s">
        <v>277</v>
      </c>
      <c r="AH249" t="s">
        <v>11</v>
      </c>
      <c r="AI249" t="s">
        <v>13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0</v>
      </c>
      <c r="AN249">
        <f>$H$249*$T$249</f>
        <v>0</v>
      </c>
      <c r="AO249">
        <f>$H$249*$U$249</f>
        <v>0</v>
      </c>
      <c r="AP249">
        <f>$H$249*$V$249</f>
        <v>0</v>
      </c>
      <c r="AQ249">
        <f>$H$249*$W$249</f>
        <v>0</v>
      </c>
      <c r="AR249">
        <f>$H$249*$X$249</f>
        <v>0</v>
      </c>
      <c r="AS249">
        <f>$H$249*$Y$249</f>
        <v>0</v>
      </c>
      <c r="AT249">
        <f>$H$249*$Z$249</f>
        <v>0</v>
      </c>
      <c r="AU249">
        <f>$H$249*$AA$249</f>
        <v>0</v>
      </c>
      <c r="AV249">
        <f>$H$249*$AB$249</f>
        <v>0</v>
      </c>
      <c r="AW249">
        <f>$H$249*$AC$249</f>
        <v>0</v>
      </c>
      <c r="AX249">
        <f>$H$249*$AD$249</f>
        <v>29.12</v>
      </c>
      <c r="AY249">
        <f>$H$249*$AE$249</f>
        <v>29.12</v>
      </c>
      <c r="AZ249">
        <f>$H$249*$AF$249</f>
        <v>29.12</v>
      </c>
    </row>
    <row r="250" spans="1:52" x14ac:dyDescent="0.25">
      <c r="A250">
        <v>298</v>
      </c>
      <c r="B250" t="s">
        <v>277</v>
      </c>
      <c r="C250" t="s">
        <v>459</v>
      </c>
      <c r="D250">
        <v>38.51</v>
      </c>
      <c r="E250">
        <v>26.57</v>
      </c>
      <c r="F250" t="s">
        <v>349</v>
      </c>
      <c r="G250">
        <v>0.69</v>
      </c>
      <c r="H250">
        <v>31.89</v>
      </c>
      <c r="I250" t="s">
        <v>330</v>
      </c>
      <c r="J250" t="s">
        <v>460</v>
      </c>
      <c r="K250" t="s">
        <v>664</v>
      </c>
      <c r="L250" t="s">
        <v>179</v>
      </c>
      <c r="M250" t="s">
        <v>277</v>
      </c>
      <c r="N250" t="s">
        <v>11</v>
      </c>
      <c r="O250" t="s">
        <v>13</v>
      </c>
      <c r="P250">
        <v>0</v>
      </c>
      <c r="Q250">
        <v>0</v>
      </c>
      <c r="R250">
        <v>0</v>
      </c>
      <c r="S250">
        <v>1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277</v>
      </c>
      <c r="AH250" t="s">
        <v>11</v>
      </c>
      <c r="AI250" t="s">
        <v>13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31.89</v>
      </c>
      <c r="AN250">
        <f>$H$250*$T$250</f>
        <v>31.89</v>
      </c>
      <c r="AO250">
        <f>$H$250*$U$250</f>
        <v>31.89</v>
      </c>
      <c r="AP250">
        <f>$H$250*$V$250</f>
        <v>31.89</v>
      </c>
      <c r="AQ250">
        <f>$H$250*$W$250</f>
        <v>31.89</v>
      </c>
      <c r="AR250">
        <f>$H$250*$X$250</f>
        <v>31.89</v>
      </c>
      <c r="AS250">
        <f>$H$250*$Y$250</f>
        <v>31.89</v>
      </c>
      <c r="AT250">
        <f>$H$250*$Z$250</f>
        <v>31.89</v>
      </c>
      <c r="AU250">
        <f>$H$250*$AA$250</f>
        <v>31.89</v>
      </c>
      <c r="AV250">
        <f>$H$250*$AB$250</f>
        <v>31.89</v>
      </c>
      <c r="AW250">
        <f>$H$250*$AC$250</f>
        <v>31.89</v>
      </c>
      <c r="AX250">
        <f>$H$250*$AD$250</f>
        <v>31.89</v>
      </c>
      <c r="AY250">
        <f>$H$250*$AE$250</f>
        <v>31.89</v>
      </c>
      <c r="AZ250">
        <f>$H$250*$AF$250</f>
        <v>31.89</v>
      </c>
    </row>
    <row r="251" spans="1:52" x14ac:dyDescent="0.25">
      <c r="A251">
        <v>299</v>
      </c>
      <c r="B251" t="s">
        <v>277</v>
      </c>
      <c r="C251" t="s">
        <v>461</v>
      </c>
      <c r="D251">
        <v>7.7</v>
      </c>
      <c r="E251">
        <v>133.6</v>
      </c>
      <c r="F251" t="s">
        <v>349</v>
      </c>
      <c r="G251">
        <v>17.350000000000001</v>
      </c>
      <c r="H251">
        <v>160.32</v>
      </c>
      <c r="I251" t="s">
        <v>462</v>
      </c>
      <c r="J251" t="s">
        <v>463</v>
      </c>
      <c r="K251" t="s">
        <v>665</v>
      </c>
      <c r="L251" t="s">
        <v>179</v>
      </c>
      <c r="M251" t="s">
        <v>277</v>
      </c>
      <c r="N251" t="s">
        <v>11</v>
      </c>
      <c r="O251" t="s">
        <v>13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1</v>
      </c>
      <c r="Z251">
        <v>1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277</v>
      </c>
      <c r="AH251" t="s">
        <v>11</v>
      </c>
      <c r="AI251" t="s">
        <v>13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0</v>
      </c>
      <c r="AN251">
        <f>$H$251*$T$251</f>
        <v>0</v>
      </c>
      <c r="AO251">
        <f>$H$251*$U$251</f>
        <v>0</v>
      </c>
      <c r="AP251">
        <f>$H$251*$V$251</f>
        <v>0</v>
      </c>
      <c r="AQ251">
        <f>$H$251*$W$251</f>
        <v>0</v>
      </c>
      <c r="AR251">
        <f>$H$251*$X$251</f>
        <v>0</v>
      </c>
      <c r="AS251">
        <f>$H$251*$Y$251</f>
        <v>160.32</v>
      </c>
      <c r="AT251">
        <f>$H$251*$Z$251</f>
        <v>160.32</v>
      </c>
      <c r="AU251">
        <f>$H$251*$AA$251</f>
        <v>160.32</v>
      </c>
      <c r="AV251">
        <f>$H$251*$AB$251</f>
        <v>160.32</v>
      </c>
      <c r="AW251">
        <f>$H$251*$AC$251</f>
        <v>160.32</v>
      </c>
      <c r="AX251">
        <f>$H$251*$AD$251</f>
        <v>160.32</v>
      </c>
      <c r="AY251">
        <f>$H$251*$AE$251</f>
        <v>160.32</v>
      </c>
      <c r="AZ251">
        <f>$H$251*$AF$251</f>
        <v>160.32</v>
      </c>
    </row>
    <row r="252" spans="1:52" x14ac:dyDescent="0.25">
      <c r="A252">
        <v>300</v>
      </c>
      <c r="B252" t="s">
        <v>277</v>
      </c>
      <c r="C252" t="s">
        <v>464</v>
      </c>
      <c r="D252">
        <v>15.41</v>
      </c>
      <c r="E252">
        <v>55.17</v>
      </c>
      <c r="F252" t="s">
        <v>349</v>
      </c>
      <c r="G252">
        <v>3.58</v>
      </c>
      <c r="H252">
        <v>66.209999999999994</v>
      </c>
      <c r="I252" t="s">
        <v>465</v>
      </c>
      <c r="J252" t="s">
        <v>466</v>
      </c>
      <c r="K252" t="s">
        <v>666</v>
      </c>
      <c r="L252" t="s">
        <v>179</v>
      </c>
      <c r="M252" t="s">
        <v>277</v>
      </c>
      <c r="N252" t="s">
        <v>11</v>
      </c>
      <c r="O252" t="s">
        <v>13</v>
      </c>
      <c r="P252">
        <v>0</v>
      </c>
      <c r="Q252">
        <v>0</v>
      </c>
      <c r="R252">
        <v>0</v>
      </c>
      <c r="S252">
        <v>1</v>
      </c>
      <c r="T252">
        <v>1</v>
      </c>
      <c r="U252">
        <v>1</v>
      </c>
      <c r="V252">
        <v>1</v>
      </c>
      <c r="W252">
        <v>1</v>
      </c>
      <c r="X252">
        <v>1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277</v>
      </c>
      <c r="AH252" t="s">
        <v>11</v>
      </c>
      <c r="AI252" t="s">
        <v>13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66.209999999999994</v>
      </c>
      <c r="AN252">
        <f>$H$252*$T$252</f>
        <v>66.209999999999994</v>
      </c>
      <c r="AO252">
        <f>$H$252*$U$252</f>
        <v>66.209999999999994</v>
      </c>
      <c r="AP252">
        <f>$H$252*$V$252</f>
        <v>66.209999999999994</v>
      </c>
      <c r="AQ252">
        <f>$H$252*$W$252</f>
        <v>66.209999999999994</v>
      </c>
      <c r="AR252">
        <f>$H$252*$X$252</f>
        <v>66.209999999999994</v>
      </c>
      <c r="AS252">
        <f>$H$252*$Y$252</f>
        <v>66.209999999999994</v>
      </c>
      <c r="AT252">
        <f>$H$252*$Z$252</f>
        <v>66.209999999999994</v>
      </c>
      <c r="AU252">
        <f>$H$252*$AA$252</f>
        <v>66.209999999999994</v>
      </c>
      <c r="AV252">
        <f>$H$252*$AB$252</f>
        <v>66.209999999999994</v>
      </c>
      <c r="AW252">
        <f>$H$252*$AC$252</f>
        <v>66.209999999999994</v>
      </c>
      <c r="AX252">
        <f>$H$252*$AD$252</f>
        <v>66.209999999999994</v>
      </c>
      <c r="AY252">
        <f>$H$252*$AE$252</f>
        <v>66.209999999999994</v>
      </c>
      <c r="AZ252">
        <f>$H$252*$AF$252</f>
        <v>66.209999999999994</v>
      </c>
    </row>
    <row r="253" spans="1:52" x14ac:dyDescent="0.25">
      <c r="A253">
        <v>301</v>
      </c>
      <c r="B253" t="s">
        <v>277</v>
      </c>
      <c r="C253" t="s">
        <v>467</v>
      </c>
      <c r="D253">
        <v>15.41</v>
      </c>
      <c r="E253">
        <v>151.79</v>
      </c>
      <c r="F253" t="s">
        <v>349</v>
      </c>
      <c r="G253">
        <v>9.85</v>
      </c>
      <c r="H253">
        <v>182.15</v>
      </c>
      <c r="I253" t="s">
        <v>465</v>
      </c>
      <c r="J253" t="s">
        <v>372</v>
      </c>
      <c r="K253" t="s">
        <v>667</v>
      </c>
      <c r="L253" t="s">
        <v>179</v>
      </c>
      <c r="M253" t="s">
        <v>277</v>
      </c>
      <c r="N253" t="s">
        <v>11</v>
      </c>
      <c r="O253" t="s">
        <v>13</v>
      </c>
      <c r="P253">
        <v>0</v>
      </c>
      <c r="Q253">
        <v>0</v>
      </c>
      <c r="R253">
        <v>0</v>
      </c>
      <c r="S253">
        <v>1</v>
      </c>
      <c r="T253">
        <v>1</v>
      </c>
      <c r="U253">
        <v>1</v>
      </c>
      <c r="V253">
        <v>1</v>
      </c>
      <c r="W253">
        <v>1</v>
      </c>
      <c r="X253">
        <v>1</v>
      </c>
      <c r="Y253">
        <v>1</v>
      </c>
      <c r="Z253">
        <v>1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277</v>
      </c>
      <c r="AH253" t="s">
        <v>11</v>
      </c>
      <c r="AI253" t="s">
        <v>13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182.15</v>
      </c>
      <c r="AN253">
        <f>$H$253*$T$253</f>
        <v>182.15</v>
      </c>
      <c r="AO253">
        <f>$H$253*$U$253</f>
        <v>182.15</v>
      </c>
      <c r="AP253">
        <f>$H$253*$V$253</f>
        <v>182.15</v>
      </c>
      <c r="AQ253">
        <f>$H$253*$W$253</f>
        <v>182.15</v>
      </c>
      <c r="AR253">
        <f>$H$253*$X$253</f>
        <v>182.15</v>
      </c>
      <c r="AS253">
        <f>$H$253*$Y$253</f>
        <v>182.15</v>
      </c>
      <c r="AT253">
        <f>$H$253*$Z$253</f>
        <v>182.15</v>
      </c>
      <c r="AU253">
        <f>$H$253*$AA$253</f>
        <v>182.15</v>
      </c>
      <c r="AV253">
        <f>$H$253*$AB$253</f>
        <v>182.15</v>
      </c>
      <c r="AW253">
        <f>$H$253*$AC$253</f>
        <v>182.15</v>
      </c>
      <c r="AX253">
        <f>$H$253*$AD$253</f>
        <v>182.15</v>
      </c>
      <c r="AY253">
        <f>$H$253*$AE$253</f>
        <v>182.15</v>
      </c>
      <c r="AZ253">
        <f>$H$253*$AF$253</f>
        <v>182.15</v>
      </c>
    </row>
    <row r="254" spans="1:52" x14ac:dyDescent="0.25">
      <c r="A254">
        <v>302</v>
      </c>
      <c r="B254" t="s">
        <v>277</v>
      </c>
      <c r="C254" t="s">
        <v>468</v>
      </c>
      <c r="D254">
        <v>17.72</v>
      </c>
      <c r="E254">
        <v>18.07</v>
      </c>
      <c r="F254" t="s">
        <v>349</v>
      </c>
      <c r="G254">
        <v>1.02</v>
      </c>
      <c r="H254">
        <v>21.69</v>
      </c>
      <c r="I254" t="s">
        <v>469</v>
      </c>
      <c r="J254" t="s">
        <v>470</v>
      </c>
      <c r="K254" t="s">
        <v>668</v>
      </c>
      <c r="L254" t="s">
        <v>179</v>
      </c>
      <c r="M254" t="s">
        <v>277</v>
      </c>
      <c r="N254" t="s">
        <v>11</v>
      </c>
      <c r="O254" t="s">
        <v>13</v>
      </c>
      <c r="P254">
        <v>0</v>
      </c>
      <c r="Q254">
        <v>0</v>
      </c>
      <c r="R254">
        <v>0</v>
      </c>
      <c r="S254">
        <v>1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277</v>
      </c>
      <c r="AH254" t="s">
        <v>11</v>
      </c>
      <c r="AI254" t="s">
        <v>13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21.69</v>
      </c>
      <c r="AN254">
        <f>$H$254*$T$254</f>
        <v>21.69</v>
      </c>
      <c r="AO254">
        <f>$H$254*$U$254</f>
        <v>21.69</v>
      </c>
      <c r="AP254">
        <f>$H$254*$V$254</f>
        <v>21.69</v>
      </c>
      <c r="AQ254">
        <f>$H$254*$W$254</f>
        <v>21.69</v>
      </c>
      <c r="AR254">
        <f>$H$254*$X$254</f>
        <v>21.69</v>
      </c>
      <c r="AS254">
        <f>$H$254*$Y$254</f>
        <v>21.69</v>
      </c>
      <c r="AT254">
        <f>$H$254*$Z$254</f>
        <v>21.69</v>
      </c>
      <c r="AU254">
        <f>$H$254*$AA$254</f>
        <v>21.69</v>
      </c>
      <c r="AV254">
        <f>$H$254*$AB$254</f>
        <v>21.69</v>
      </c>
      <c r="AW254">
        <f>$H$254*$AC$254</f>
        <v>21.69</v>
      </c>
      <c r="AX254">
        <f>$H$254*$AD$254</f>
        <v>21.69</v>
      </c>
      <c r="AY254">
        <f>$H$254*$AE$254</f>
        <v>21.69</v>
      </c>
      <c r="AZ254">
        <f>$H$254*$AF$254</f>
        <v>21.69</v>
      </c>
    </row>
    <row r="255" spans="1:52" x14ac:dyDescent="0.25">
      <c r="A255">
        <v>303</v>
      </c>
      <c r="B255" t="s">
        <v>277</v>
      </c>
      <c r="C255" t="s">
        <v>471</v>
      </c>
      <c r="D255">
        <v>17.72</v>
      </c>
      <c r="E255">
        <v>163.56</v>
      </c>
      <c r="F255" t="s">
        <v>349</v>
      </c>
      <c r="G255">
        <v>9.23</v>
      </c>
      <c r="H255">
        <v>196.28</v>
      </c>
      <c r="I255" t="s">
        <v>469</v>
      </c>
      <c r="J255" t="s">
        <v>463</v>
      </c>
      <c r="K255" t="s">
        <v>669</v>
      </c>
      <c r="L255" t="s">
        <v>179</v>
      </c>
      <c r="M255" t="s">
        <v>277</v>
      </c>
      <c r="N255" t="s">
        <v>11</v>
      </c>
      <c r="O255" t="s">
        <v>13</v>
      </c>
      <c r="P255">
        <v>0</v>
      </c>
      <c r="Q255">
        <v>0</v>
      </c>
      <c r="R255">
        <v>0</v>
      </c>
      <c r="S255">
        <v>1</v>
      </c>
      <c r="T255">
        <v>1</v>
      </c>
      <c r="U255">
        <v>1</v>
      </c>
      <c r="V255">
        <v>1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277</v>
      </c>
      <c r="AH255" t="s">
        <v>11</v>
      </c>
      <c r="AI255" t="s">
        <v>13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196.28</v>
      </c>
      <c r="AN255">
        <f>$H$255*$T$255</f>
        <v>196.28</v>
      </c>
      <c r="AO255">
        <f>$H$255*$U$255</f>
        <v>196.28</v>
      </c>
      <c r="AP255">
        <f>$H$255*$V$255</f>
        <v>196.28</v>
      </c>
      <c r="AQ255">
        <f>$H$255*$W$255</f>
        <v>196.28</v>
      </c>
      <c r="AR255">
        <f>$H$255*$X$255</f>
        <v>196.28</v>
      </c>
      <c r="AS255">
        <f>$H$255*$Y$255</f>
        <v>196.28</v>
      </c>
      <c r="AT255">
        <f>$H$255*$Z$255</f>
        <v>196.28</v>
      </c>
      <c r="AU255">
        <f>$H$255*$AA$255</f>
        <v>196.28</v>
      </c>
      <c r="AV255">
        <f>$H$255*$AB$255</f>
        <v>196.28</v>
      </c>
      <c r="AW255">
        <f>$H$255*$AC$255</f>
        <v>196.28</v>
      </c>
      <c r="AX255">
        <f>$H$255*$AD$255</f>
        <v>196.28</v>
      </c>
      <c r="AY255">
        <f>$H$255*$AE$255</f>
        <v>196.28</v>
      </c>
      <c r="AZ255">
        <f>$H$255*$AF$255</f>
        <v>196.28</v>
      </c>
    </row>
    <row r="256" spans="1:52" x14ac:dyDescent="0.25">
      <c r="A256">
        <v>304</v>
      </c>
      <c r="B256" t="s">
        <v>274</v>
      </c>
      <c r="C256" t="s">
        <v>435</v>
      </c>
      <c r="D256">
        <v>2</v>
      </c>
      <c r="E256">
        <v>26.54</v>
      </c>
      <c r="F256" t="s">
        <v>335</v>
      </c>
      <c r="G256">
        <v>13.27</v>
      </c>
      <c r="H256">
        <v>31.84</v>
      </c>
      <c r="I256" t="s">
        <v>337</v>
      </c>
      <c r="J256" t="s">
        <v>436</v>
      </c>
      <c r="K256" t="s">
        <v>652</v>
      </c>
      <c r="L256" t="s">
        <v>179</v>
      </c>
      <c r="M256" t="s">
        <v>274</v>
      </c>
      <c r="N256" t="s">
        <v>12</v>
      </c>
      <c r="O256" t="s">
        <v>275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1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274</v>
      </c>
      <c r="AH256" t="s">
        <v>12</v>
      </c>
      <c r="AI256" t="s">
        <v>275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0</v>
      </c>
      <c r="AN256">
        <f>$H$256*$T$256</f>
        <v>0</v>
      </c>
      <c r="AO256">
        <f>$H$256*$U$256</f>
        <v>0</v>
      </c>
      <c r="AP256">
        <f>$H$256*$V$256</f>
        <v>0</v>
      </c>
      <c r="AQ256">
        <f>$H$256*$W$256</f>
        <v>0</v>
      </c>
      <c r="AR256">
        <f>$H$256*$X$256</f>
        <v>31.84</v>
      </c>
      <c r="AS256">
        <f>$H$256*$Y$256</f>
        <v>31.84</v>
      </c>
      <c r="AT256">
        <f>$H$256*$Z$256</f>
        <v>31.84</v>
      </c>
      <c r="AU256">
        <f>$H$256*$AA$256</f>
        <v>31.84</v>
      </c>
      <c r="AV256">
        <f>$H$256*$AB$256</f>
        <v>31.84</v>
      </c>
      <c r="AW256">
        <f>$H$256*$AC$256</f>
        <v>31.84</v>
      </c>
      <c r="AX256">
        <f>$H$256*$AD$256</f>
        <v>31.84</v>
      </c>
      <c r="AY256">
        <f>$H$256*$AE$256</f>
        <v>31.84</v>
      </c>
      <c r="AZ256">
        <f>$H$256*$AF$256</f>
        <v>31.84</v>
      </c>
    </row>
    <row r="257" spans="1:52" x14ac:dyDescent="0.25">
      <c r="A257">
        <v>305</v>
      </c>
      <c r="B257" t="s">
        <v>274</v>
      </c>
      <c r="C257" t="s">
        <v>507</v>
      </c>
      <c r="D257">
        <v>2</v>
      </c>
      <c r="E257">
        <v>74</v>
      </c>
      <c r="F257" t="s">
        <v>335</v>
      </c>
      <c r="G257">
        <v>37</v>
      </c>
      <c r="H257">
        <v>88.8</v>
      </c>
      <c r="I257" t="s">
        <v>337</v>
      </c>
      <c r="J257" t="s">
        <v>508</v>
      </c>
      <c r="K257" t="s">
        <v>686</v>
      </c>
      <c r="L257" t="s">
        <v>179</v>
      </c>
      <c r="M257" t="s">
        <v>274</v>
      </c>
      <c r="N257" t="s">
        <v>12</v>
      </c>
      <c r="O257" t="s">
        <v>275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0.6</v>
      </c>
      <c r="Y257">
        <v>0.6</v>
      </c>
      <c r="Z257">
        <v>0.6</v>
      </c>
      <c r="AA257">
        <v>0.6</v>
      </c>
      <c r="AB257">
        <v>0.6</v>
      </c>
      <c r="AC257">
        <v>0.6</v>
      </c>
      <c r="AD257">
        <v>1</v>
      </c>
      <c r="AE257">
        <v>1</v>
      </c>
      <c r="AF257">
        <v>1</v>
      </c>
      <c r="AG257" t="s">
        <v>274</v>
      </c>
      <c r="AH257" t="s">
        <v>12</v>
      </c>
      <c r="AI257" t="s">
        <v>275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0</v>
      </c>
      <c r="AN257">
        <f>$H$257*$T$257</f>
        <v>0</v>
      </c>
      <c r="AO257">
        <f>$H$257*$U$257</f>
        <v>0</v>
      </c>
      <c r="AP257">
        <f>$H$257*$V$257</f>
        <v>0</v>
      </c>
      <c r="AQ257">
        <f>$H$257*$W$257</f>
        <v>0</v>
      </c>
      <c r="AR257">
        <f>$H$257*$X$257</f>
        <v>53.279999999999994</v>
      </c>
      <c r="AS257">
        <f>$H$257*$Y$257</f>
        <v>53.279999999999994</v>
      </c>
      <c r="AT257">
        <f>$H$257*$Z$257</f>
        <v>53.279999999999994</v>
      </c>
      <c r="AU257">
        <f>$H$257*$AA$257</f>
        <v>53.279999999999994</v>
      </c>
      <c r="AV257">
        <f>$H$257*$AB$257</f>
        <v>53.279999999999994</v>
      </c>
      <c r="AW257">
        <f>$H$257*$AC$257</f>
        <v>53.279999999999994</v>
      </c>
      <c r="AX257">
        <f>$H$257*$AD$257</f>
        <v>88.8</v>
      </c>
      <c r="AY257">
        <f>$H$257*$AE$257</f>
        <v>88.8</v>
      </c>
      <c r="AZ257">
        <f>$H$257*$AF$257</f>
        <v>88.8</v>
      </c>
    </row>
    <row r="258" spans="1:52" x14ac:dyDescent="0.25">
      <c r="A258">
        <v>306</v>
      </c>
      <c r="B258" t="s">
        <v>274</v>
      </c>
      <c r="C258" t="s">
        <v>474</v>
      </c>
      <c r="D258">
        <v>96</v>
      </c>
      <c r="E258">
        <v>8026.56</v>
      </c>
      <c r="F258" t="s">
        <v>349</v>
      </c>
      <c r="G258">
        <v>83.61</v>
      </c>
      <c r="H258">
        <v>9631.8799999999992</v>
      </c>
      <c r="I258" t="s">
        <v>475</v>
      </c>
      <c r="J258" t="s">
        <v>476</v>
      </c>
      <c r="K258" t="s">
        <v>671</v>
      </c>
      <c r="L258" t="s">
        <v>179</v>
      </c>
      <c r="M258" t="s">
        <v>274</v>
      </c>
      <c r="N258" t="s">
        <v>12</v>
      </c>
      <c r="O258" t="s">
        <v>275</v>
      </c>
      <c r="P258">
        <v>0</v>
      </c>
      <c r="Q258">
        <v>0</v>
      </c>
      <c r="R258">
        <v>0</v>
      </c>
      <c r="S258">
        <v>0.25</v>
      </c>
      <c r="T258">
        <v>0.25</v>
      </c>
      <c r="U258">
        <v>0.25</v>
      </c>
      <c r="V258">
        <v>0.25</v>
      </c>
      <c r="W258">
        <v>0.25</v>
      </c>
      <c r="X258">
        <v>0.5</v>
      </c>
      <c r="Y258">
        <v>0.5</v>
      </c>
      <c r="Z258">
        <v>0.5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274</v>
      </c>
      <c r="AH258" t="s">
        <v>12</v>
      </c>
      <c r="AI258" t="s">
        <v>275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2407.9699999999998</v>
      </c>
      <c r="AN258">
        <f>$H$258*$T$258</f>
        <v>2407.9699999999998</v>
      </c>
      <c r="AO258">
        <f>$H$258*$U$258</f>
        <v>2407.9699999999998</v>
      </c>
      <c r="AP258">
        <f>$H$258*$V$258</f>
        <v>2407.9699999999998</v>
      </c>
      <c r="AQ258">
        <f>$H$258*$W$258</f>
        <v>2407.9699999999998</v>
      </c>
      <c r="AR258">
        <f>$H$258*$X$258</f>
        <v>4815.9399999999996</v>
      </c>
      <c r="AS258">
        <f>$H$258*$Y$258</f>
        <v>4815.9399999999996</v>
      </c>
      <c r="AT258">
        <f>$H$258*$Z$258</f>
        <v>4815.9399999999996</v>
      </c>
      <c r="AU258">
        <f>$H$258*$AA$258</f>
        <v>9631.8799999999992</v>
      </c>
      <c r="AV258">
        <f>$H$258*$AB$258</f>
        <v>9631.8799999999992</v>
      </c>
      <c r="AW258">
        <f>$H$258*$AC$258</f>
        <v>9631.8799999999992</v>
      </c>
      <c r="AX258">
        <f>$H$258*$AD$258</f>
        <v>9631.8799999999992</v>
      </c>
      <c r="AY258">
        <f>$H$258*$AE$258</f>
        <v>9631.8799999999992</v>
      </c>
      <c r="AZ258">
        <f>$H$258*$AF$258</f>
        <v>9631.8799999999992</v>
      </c>
    </row>
    <row r="259" spans="1:52" x14ac:dyDescent="0.25">
      <c r="A259">
        <v>307</v>
      </c>
      <c r="B259" t="s">
        <v>274</v>
      </c>
      <c r="C259" t="s">
        <v>477</v>
      </c>
      <c r="D259">
        <v>96</v>
      </c>
      <c r="E259">
        <v>845.76</v>
      </c>
      <c r="F259" t="s">
        <v>349</v>
      </c>
      <c r="G259">
        <v>8.81</v>
      </c>
      <c r="H259">
        <v>1014.92</v>
      </c>
      <c r="I259" t="s">
        <v>478</v>
      </c>
      <c r="J259" t="s">
        <v>479</v>
      </c>
      <c r="K259" t="s">
        <v>672</v>
      </c>
      <c r="L259" t="s">
        <v>179</v>
      </c>
      <c r="M259" t="s">
        <v>274</v>
      </c>
      <c r="N259" t="s">
        <v>12</v>
      </c>
      <c r="O259" t="s">
        <v>275</v>
      </c>
      <c r="P259">
        <v>0</v>
      </c>
      <c r="Q259">
        <v>0</v>
      </c>
      <c r="R259">
        <v>0</v>
      </c>
      <c r="S259">
        <v>1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274</v>
      </c>
      <c r="AH259" t="s">
        <v>12</v>
      </c>
      <c r="AI259" t="s">
        <v>275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1014.92</v>
      </c>
      <c r="AN259">
        <f>$H$259*$T$259</f>
        <v>1014.92</v>
      </c>
      <c r="AO259">
        <f>$H$259*$U$259</f>
        <v>1014.92</v>
      </c>
      <c r="AP259">
        <f>$H$259*$V$259</f>
        <v>1014.92</v>
      </c>
      <c r="AQ259">
        <f>$H$259*$W$259</f>
        <v>1014.92</v>
      </c>
      <c r="AR259">
        <f>$H$259*$X$259</f>
        <v>1014.92</v>
      </c>
      <c r="AS259">
        <f>$H$259*$Y$259</f>
        <v>1014.92</v>
      </c>
      <c r="AT259">
        <f>$H$259*$Z$259</f>
        <v>1014.92</v>
      </c>
      <c r="AU259">
        <f>$H$259*$AA$259</f>
        <v>1014.92</v>
      </c>
      <c r="AV259">
        <f>$H$259*$AB$259</f>
        <v>1014.92</v>
      </c>
      <c r="AW259">
        <f>$H$259*$AC$259</f>
        <v>1014.92</v>
      </c>
      <c r="AX259">
        <f>$H$259*$AD$259</f>
        <v>1014.92</v>
      </c>
      <c r="AY259">
        <f>$H$259*$AE$259</f>
        <v>1014.92</v>
      </c>
      <c r="AZ259">
        <f>$H$259*$AF$259</f>
        <v>1014.92</v>
      </c>
    </row>
    <row r="260" spans="1:52" x14ac:dyDescent="0.25">
      <c r="A260">
        <v>308</v>
      </c>
      <c r="B260" t="s">
        <v>274</v>
      </c>
      <c r="C260" t="s">
        <v>482</v>
      </c>
      <c r="D260">
        <v>1</v>
      </c>
      <c r="E260">
        <v>45.87</v>
      </c>
      <c r="F260" t="s">
        <v>335</v>
      </c>
      <c r="G260">
        <v>45.87</v>
      </c>
      <c r="H260">
        <v>55.05</v>
      </c>
      <c r="I260" t="s">
        <v>368</v>
      </c>
      <c r="J260" t="s">
        <v>483</v>
      </c>
      <c r="K260" t="s">
        <v>674</v>
      </c>
      <c r="L260" t="s">
        <v>179</v>
      </c>
      <c r="M260" t="s">
        <v>274</v>
      </c>
      <c r="N260" t="s">
        <v>12</v>
      </c>
      <c r="O260" t="s">
        <v>275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274</v>
      </c>
      <c r="AH260" t="s">
        <v>12</v>
      </c>
      <c r="AI260" t="s">
        <v>275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0</v>
      </c>
      <c r="AN260">
        <f>$H$260*$T$260</f>
        <v>0</v>
      </c>
      <c r="AO260">
        <f>$H$260*$U$260</f>
        <v>0</v>
      </c>
      <c r="AP260">
        <f>$H$260*$V$260</f>
        <v>0</v>
      </c>
      <c r="AQ260">
        <f>$H$260*$W$260</f>
        <v>0</v>
      </c>
      <c r="AR260">
        <f>$H$260*$X$260</f>
        <v>0</v>
      </c>
      <c r="AS260">
        <f>$H$260*$Y$260</f>
        <v>0</v>
      </c>
      <c r="AT260">
        <f>$H$260*$Z$260</f>
        <v>0</v>
      </c>
      <c r="AU260">
        <f>$H$260*$AA$260</f>
        <v>55.05</v>
      </c>
      <c r="AV260">
        <f>$H$260*$AB$260</f>
        <v>55.05</v>
      </c>
      <c r="AW260">
        <f>$H$260*$AC$260</f>
        <v>55.05</v>
      </c>
      <c r="AX260">
        <f>$H$260*$AD$260</f>
        <v>55.05</v>
      </c>
      <c r="AY260">
        <f>$H$260*$AE$260</f>
        <v>55.05</v>
      </c>
      <c r="AZ260">
        <f>$H$260*$AF$260</f>
        <v>55.05</v>
      </c>
    </row>
    <row r="261" spans="1:52" x14ac:dyDescent="0.25">
      <c r="A261">
        <v>309</v>
      </c>
      <c r="B261" t="s">
        <v>274</v>
      </c>
      <c r="C261" t="s">
        <v>358</v>
      </c>
      <c r="D261">
        <v>15</v>
      </c>
      <c r="E261">
        <v>66.599999999999994</v>
      </c>
      <c r="F261" t="s">
        <v>329</v>
      </c>
      <c r="G261">
        <v>4.4400000000000004</v>
      </c>
      <c r="H261">
        <v>79.92</v>
      </c>
      <c r="I261" t="s">
        <v>330</v>
      </c>
      <c r="J261" t="s">
        <v>359</v>
      </c>
      <c r="K261" t="s">
        <v>615</v>
      </c>
      <c r="L261" t="s">
        <v>179</v>
      </c>
      <c r="M261" t="s">
        <v>274</v>
      </c>
      <c r="N261" t="s">
        <v>12</v>
      </c>
      <c r="O261" t="s">
        <v>275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274</v>
      </c>
      <c r="AH261" t="s">
        <v>12</v>
      </c>
      <c r="AI261" t="s">
        <v>275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0</v>
      </c>
      <c r="AN261">
        <f>$H$261*$T$261</f>
        <v>0</v>
      </c>
      <c r="AO261">
        <f>$H$261*$U$261</f>
        <v>0</v>
      </c>
      <c r="AP261">
        <f>$H$261*$V$261</f>
        <v>0</v>
      </c>
      <c r="AQ261">
        <f>$H$261*$W$261</f>
        <v>0</v>
      </c>
      <c r="AR261">
        <f>$H$261*$X$261</f>
        <v>0</v>
      </c>
      <c r="AS261">
        <f>$H$261*$Y$261</f>
        <v>0</v>
      </c>
      <c r="AT261">
        <f>$H$261*$Z$261</f>
        <v>0</v>
      </c>
      <c r="AU261">
        <f>$H$261*$AA$261</f>
        <v>79.92</v>
      </c>
      <c r="AV261">
        <f>$H$261*$AB$261</f>
        <v>79.92</v>
      </c>
      <c r="AW261">
        <f>$H$261*$AC$261</f>
        <v>79.92</v>
      </c>
      <c r="AX261">
        <f>$H$261*$AD$261</f>
        <v>79.92</v>
      </c>
      <c r="AY261">
        <f>$H$261*$AE$261</f>
        <v>79.92</v>
      </c>
      <c r="AZ261">
        <f>$H$261*$AF$261</f>
        <v>79.92</v>
      </c>
    </row>
    <row r="262" spans="1:52" x14ac:dyDescent="0.25">
      <c r="A262">
        <v>310</v>
      </c>
      <c r="B262" t="s">
        <v>274</v>
      </c>
      <c r="C262" t="s">
        <v>360</v>
      </c>
      <c r="D262">
        <v>15</v>
      </c>
      <c r="E262">
        <v>173.25</v>
      </c>
      <c r="F262" t="s">
        <v>329</v>
      </c>
      <c r="G262">
        <v>11.55</v>
      </c>
      <c r="H262">
        <v>207.91</v>
      </c>
      <c r="I262" t="s">
        <v>333</v>
      </c>
      <c r="J262" t="s">
        <v>361</v>
      </c>
      <c r="K262" t="s">
        <v>616</v>
      </c>
      <c r="L262" t="s">
        <v>179</v>
      </c>
      <c r="M262" t="s">
        <v>274</v>
      </c>
      <c r="N262" t="s">
        <v>12</v>
      </c>
      <c r="O262" t="s">
        <v>275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274</v>
      </c>
      <c r="AH262" t="s">
        <v>12</v>
      </c>
      <c r="AI262" t="s">
        <v>275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0</v>
      </c>
      <c r="AN262">
        <f>$H$262*$T$262</f>
        <v>0</v>
      </c>
      <c r="AO262">
        <f>$H$262*$U$262</f>
        <v>0</v>
      </c>
      <c r="AP262">
        <f>$H$262*$V$262</f>
        <v>0</v>
      </c>
      <c r="AQ262">
        <f>$H$262*$W$262</f>
        <v>0</v>
      </c>
      <c r="AR262">
        <f>$H$262*$X$262</f>
        <v>0</v>
      </c>
      <c r="AS262">
        <f>$H$262*$Y$262</f>
        <v>0</v>
      </c>
      <c r="AT262">
        <f>$H$262*$Z$262</f>
        <v>0</v>
      </c>
      <c r="AU262">
        <f>$H$262*$AA$262</f>
        <v>207.91</v>
      </c>
      <c r="AV262">
        <f>$H$262*$AB$262</f>
        <v>207.91</v>
      </c>
      <c r="AW262">
        <f>$H$262*$AC$262</f>
        <v>207.91</v>
      </c>
      <c r="AX262">
        <f>$H$262*$AD$262</f>
        <v>207.91</v>
      </c>
      <c r="AY262">
        <f>$H$262*$AE$262</f>
        <v>207.91</v>
      </c>
      <c r="AZ262">
        <f>$H$262*$AF$262</f>
        <v>207.91</v>
      </c>
    </row>
    <row r="263" spans="1:52" x14ac:dyDescent="0.25">
      <c r="A263">
        <v>311</v>
      </c>
      <c r="B263" t="s">
        <v>274</v>
      </c>
      <c r="C263" t="s">
        <v>484</v>
      </c>
      <c r="D263">
        <v>1</v>
      </c>
      <c r="E263">
        <v>43.19</v>
      </c>
      <c r="F263" t="s">
        <v>335</v>
      </c>
      <c r="G263">
        <v>43.19</v>
      </c>
      <c r="H263">
        <v>51.83</v>
      </c>
      <c r="I263" t="s">
        <v>368</v>
      </c>
      <c r="J263" t="s">
        <v>485</v>
      </c>
      <c r="K263" t="s">
        <v>675</v>
      </c>
      <c r="L263" t="s">
        <v>179</v>
      </c>
      <c r="M263" t="s">
        <v>274</v>
      </c>
      <c r="N263" t="s">
        <v>12</v>
      </c>
      <c r="O263" t="s">
        <v>275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274</v>
      </c>
      <c r="AH263" t="s">
        <v>12</v>
      </c>
      <c r="AI263" t="s">
        <v>275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0</v>
      </c>
      <c r="AN263">
        <f>$H$263*$T$263</f>
        <v>0</v>
      </c>
      <c r="AO263">
        <f>$H$263*$U$263</f>
        <v>0</v>
      </c>
      <c r="AP263">
        <f>$H$263*$V$263</f>
        <v>0</v>
      </c>
      <c r="AQ263">
        <f>$H$263*$W$263</f>
        <v>0</v>
      </c>
      <c r="AR263">
        <f>$H$263*$X$263</f>
        <v>0</v>
      </c>
      <c r="AS263">
        <f>$H$263*$Y$263</f>
        <v>0</v>
      </c>
      <c r="AT263">
        <f>$H$263*$Z$263</f>
        <v>0</v>
      </c>
      <c r="AU263">
        <f>$H$263*$AA$263</f>
        <v>51.83</v>
      </c>
      <c r="AV263">
        <f>$H$263*$AB$263</f>
        <v>51.83</v>
      </c>
      <c r="AW263">
        <f>$H$263*$AC$263</f>
        <v>51.83</v>
      </c>
      <c r="AX263">
        <f>$H$263*$AD$263</f>
        <v>51.83</v>
      </c>
      <c r="AY263">
        <f>$H$263*$AE$263</f>
        <v>51.83</v>
      </c>
      <c r="AZ263">
        <f>$H$263*$AF$263</f>
        <v>51.83</v>
      </c>
    </row>
    <row r="264" spans="1:52" x14ac:dyDescent="0.25">
      <c r="A264">
        <v>312</v>
      </c>
      <c r="B264" t="s">
        <v>274</v>
      </c>
      <c r="C264" t="s">
        <v>486</v>
      </c>
      <c r="D264">
        <v>6</v>
      </c>
      <c r="E264">
        <v>112.38</v>
      </c>
      <c r="F264" t="s">
        <v>349</v>
      </c>
      <c r="G264">
        <v>18.73</v>
      </c>
      <c r="H264">
        <v>134.86000000000001</v>
      </c>
      <c r="I264" t="s">
        <v>487</v>
      </c>
      <c r="J264" t="s">
        <v>420</v>
      </c>
      <c r="K264" t="s">
        <v>676</v>
      </c>
      <c r="L264" t="s">
        <v>179</v>
      </c>
      <c r="M264" t="s">
        <v>274</v>
      </c>
      <c r="N264" t="s">
        <v>12</v>
      </c>
      <c r="O264" t="s">
        <v>275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274</v>
      </c>
      <c r="AH264" t="s">
        <v>12</v>
      </c>
      <c r="AI264" t="s">
        <v>275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0</v>
      </c>
      <c r="AN264">
        <f>$H$264*$T$264</f>
        <v>0</v>
      </c>
      <c r="AO264">
        <f>$H$264*$U$264</f>
        <v>0</v>
      </c>
      <c r="AP264">
        <f>$H$264*$V$264</f>
        <v>0</v>
      </c>
      <c r="AQ264">
        <f>$H$264*$W$264</f>
        <v>0</v>
      </c>
      <c r="AR264">
        <f>$H$264*$X$264</f>
        <v>0</v>
      </c>
      <c r="AS264">
        <f>$H$264*$Y$264</f>
        <v>0</v>
      </c>
      <c r="AT264">
        <f>$H$264*$Z$264</f>
        <v>0</v>
      </c>
      <c r="AU264">
        <f>$H$264*$AA$264</f>
        <v>134.86000000000001</v>
      </c>
      <c r="AV264">
        <f>$H$264*$AB$264</f>
        <v>134.86000000000001</v>
      </c>
      <c r="AW264">
        <f>$H$264*$AC$264</f>
        <v>134.86000000000001</v>
      </c>
      <c r="AX264">
        <f>$H$264*$AD$264</f>
        <v>134.86000000000001</v>
      </c>
      <c r="AY264">
        <f>$H$264*$AE$264</f>
        <v>134.86000000000001</v>
      </c>
      <c r="AZ264">
        <f>$H$264*$AF$264</f>
        <v>134.86000000000001</v>
      </c>
    </row>
    <row r="265" spans="1:52" x14ac:dyDescent="0.25">
      <c r="A265">
        <v>313</v>
      </c>
      <c r="B265" t="s">
        <v>274</v>
      </c>
      <c r="C265" t="s">
        <v>488</v>
      </c>
      <c r="D265">
        <v>1</v>
      </c>
      <c r="E265">
        <v>290.16000000000003</v>
      </c>
      <c r="F265" t="s">
        <v>335</v>
      </c>
      <c r="G265">
        <v>290.16000000000003</v>
      </c>
      <c r="H265">
        <v>348.2</v>
      </c>
      <c r="I265" t="s">
        <v>489</v>
      </c>
      <c r="J265" t="s">
        <v>490</v>
      </c>
      <c r="K265" t="s">
        <v>677</v>
      </c>
      <c r="L265" t="s">
        <v>179</v>
      </c>
      <c r="M265" t="s">
        <v>274</v>
      </c>
      <c r="N265" t="s">
        <v>12</v>
      </c>
      <c r="O265" t="s">
        <v>275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274</v>
      </c>
      <c r="AH265" t="s">
        <v>12</v>
      </c>
      <c r="AI265" t="s">
        <v>275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0</v>
      </c>
      <c r="AN265">
        <f>$H$265*$T$265</f>
        <v>0</v>
      </c>
      <c r="AO265">
        <f>$H$265*$U$265</f>
        <v>0</v>
      </c>
      <c r="AP265">
        <f>$H$265*$V$265</f>
        <v>0</v>
      </c>
      <c r="AQ265">
        <f>$H$265*$W$265</f>
        <v>0</v>
      </c>
      <c r="AR265">
        <f>$H$265*$X$265</f>
        <v>0</v>
      </c>
      <c r="AS265">
        <f>$H$265*$Y$265</f>
        <v>0</v>
      </c>
      <c r="AT265">
        <f>$H$265*$Z$265</f>
        <v>0</v>
      </c>
      <c r="AU265">
        <f>$H$265*$AA$265</f>
        <v>0</v>
      </c>
      <c r="AV265">
        <f>$H$265*$AB$265</f>
        <v>348.2</v>
      </c>
      <c r="AW265">
        <f>$H$265*$AC$265</f>
        <v>348.2</v>
      </c>
      <c r="AX265">
        <f>$H$265*$AD$265</f>
        <v>348.2</v>
      </c>
      <c r="AY265">
        <f>$H$265*$AE$265</f>
        <v>348.2</v>
      </c>
      <c r="AZ265">
        <f>$H$265*$AF$265</f>
        <v>348.2</v>
      </c>
    </row>
    <row r="266" spans="1:52" x14ac:dyDescent="0.25">
      <c r="A266">
        <v>314</v>
      </c>
      <c r="B266" t="s">
        <v>274</v>
      </c>
      <c r="C266" t="s">
        <v>354</v>
      </c>
      <c r="D266">
        <v>0.75</v>
      </c>
      <c r="E266">
        <v>491.8</v>
      </c>
      <c r="F266" t="s">
        <v>335</v>
      </c>
      <c r="G266">
        <v>655.73</v>
      </c>
      <c r="H266">
        <v>590.16</v>
      </c>
      <c r="I266" t="s">
        <v>353</v>
      </c>
      <c r="J266" t="s">
        <v>355</v>
      </c>
      <c r="K266" t="s">
        <v>612</v>
      </c>
      <c r="L266" t="s">
        <v>179</v>
      </c>
      <c r="M266" t="s">
        <v>274</v>
      </c>
      <c r="N266" t="s">
        <v>12</v>
      </c>
      <c r="O266" t="s">
        <v>275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274</v>
      </c>
      <c r="AH266" t="s">
        <v>12</v>
      </c>
      <c r="AI266" t="s">
        <v>275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0</v>
      </c>
      <c r="AN266">
        <f>$H$266*$T$266</f>
        <v>0</v>
      </c>
      <c r="AO266">
        <f>$H$266*$U$266</f>
        <v>0</v>
      </c>
      <c r="AP266">
        <f>$H$266*$V$266</f>
        <v>0</v>
      </c>
      <c r="AQ266">
        <f>$H$266*$W$266</f>
        <v>0</v>
      </c>
      <c r="AR266">
        <f>$H$266*$X$266</f>
        <v>0</v>
      </c>
      <c r="AS266">
        <f>$H$266*$Y$266</f>
        <v>590.16</v>
      </c>
      <c r="AT266">
        <f>$H$266*$Z$266</f>
        <v>590.16</v>
      </c>
      <c r="AU266">
        <f>$H$266*$AA$266</f>
        <v>590.16</v>
      </c>
      <c r="AV266">
        <f>$H$266*$AB$266</f>
        <v>590.16</v>
      </c>
      <c r="AW266">
        <f>$H$266*$AC$266</f>
        <v>590.16</v>
      </c>
      <c r="AX266">
        <f>$H$266*$AD$266</f>
        <v>590.16</v>
      </c>
      <c r="AY266">
        <f>$H$266*$AE$266</f>
        <v>590.16</v>
      </c>
      <c r="AZ266">
        <f>$H$266*$AF$266</f>
        <v>590.16</v>
      </c>
    </row>
    <row r="267" spans="1:52" x14ac:dyDescent="0.25">
      <c r="A267">
        <v>315</v>
      </c>
      <c r="B267" t="s">
        <v>274</v>
      </c>
      <c r="C267" t="s">
        <v>354</v>
      </c>
      <c r="D267">
        <v>0.75</v>
      </c>
      <c r="E267">
        <v>491.8</v>
      </c>
      <c r="F267" t="s">
        <v>335</v>
      </c>
      <c r="G267">
        <v>655.73</v>
      </c>
      <c r="H267">
        <v>590.16</v>
      </c>
      <c r="I267" t="s">
        <v>353</v>
      </c>
      <c r="J267" t="s">
        <v>355</v>
      </c>
      <c r="K267" t="s">
        <v>612</v>
      </c>
      <c r="L267" t="s">
        <v>179</v>
      </c>
      <c r="M267" t="s">
        <v>274</v>
      </c>
      <c r="N267" t="s">
        <v>12</v>
      </c>
      <c r="O267" t="s">
        <v>275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1</v>
      </c>
      <c r="Z267">
        <v>1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274</v>
      </c>
      <c r="AH267" t="s">
        <v>12</v>
      </c>
      <c r="AI267" t="s">
        <v>275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0</v>
      </c>
      <c r="AN267">
        <f>$H$267*$T$267</f>
        <v>0</v>
      </c>
      <c r="AO267">
        <f>$H$267*$U$267</f>
        <v>0</v>
      </c>
      <c r="AP267">
        <f>$H$267*$V$267</f>
        <v>0</v>
      </c>
      <c r="AQ267">
        <f>$H$267*$W$267</f>
        <v>0</v>
      </c>
      <c r="AR267">
        <f>$H$267*$X$267</f>
        <v>0</v>
      </c>
      <c r="AS267">
        <f>$H$267*$Y$267</f>
        <v>590.16</v>
      </c>
      <c r="AT267">
        <f>$H$267*$Z$267</f>
        <v>590.16</v>
      </c>
      <c r="AU267">
        <f>$H$267*$AA$267</f>
        <v>590.16</v>
      </c>
      <c r="AV267">
        <f>$H$267*$AB$267</f>
        <v>590.16</v>
      </c>
      <c r="AW267">
        <f>$H$267*$AC$267</f>
        <v>590.16</v>
      </c>
      <c r="AX267">
        <f>$H$267*$AD$267</f>
        <v>590.16</v>
      </c>
      <c r="AY267">
        <f>$H$267*$AE$267</f>
        <v>590.16</v>
      </c>
      <c r="AZ267">
        <f>$H$267*$AF$267</f>
        <v>590.16</v>
      </c>
    </row>
    <row r="268" spans="1:52" x14ac:dyDescent="0.25">
      <c r="A268">
        <v>316</v>
      </c>
      <c r="B268" t="s">
        <v>274</v>
      </c>
      <c r="C268" t="s">
        <v>354</v>
      </c>
      <c r="D268">
        <v>0.25</v>
      </c>
      <c r="E268">
        <v>163.93</v>
      </c>
      <c r="F268" t="s">
        <v>335</v>
      </c>
      <c r="G268">
        <v>655.73</v>
      </c>
      <c r="H268">
        <v>196.71</v>
      </c>
      <c r="I268" t="s">
        <v>353</v>
      </c>
      <c r="J268" t="s">
        <v>355</v>
      </c>
      <c r="K268" t="s">
        <v>612</v>
      </c>
      <c r="L268" t="s">
        <v>179</v>
      </c>
      <c r="M268" t="s">
        <v>274</v>
      </c>
      <c r="N268" t="s">
        <v>12</v>
      </c>
      <c r="O268" t="s">
        <v>275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274</v>
      </c>
      <c r="AH268" t="s">
        <v>12</v>
      </c>
      <c r="AI268" t="s">
        <v>275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0</v>
      </c>
      <c r="AN268">
        <f>$H$268*$T$268</f>
        <v>0</v>
      </c>
      <c r="AO268">
        <f>$H$268*$U$268</f>
        <v>0</v>
      </c>
      <c r="AP268">
        <f>$H$268*$V$268</f>
        <v>0</v>
      </c>
      <c r="AQ268">
        <f>$H$268*$W$268</f>
        <v>0</v>
      </c>
      <c r="AR268">
        <f>$H$268*$X$268</f>
        <v>0</v>
      </c>
      <c r="AS268">
        <f>$H$268*$Y$268</f>
        <v>196.71</v>
      </c>
      <c r="AT268">
        <f>$H$268*$Z$268</f>
        <v>196.71</v>
      </c>
      <c r="AU268">
        <f>$H$268*$AA$268</f>
        <v>196.71</v>
      </c>
      <c r="AV268">
        <f>$H$268*$AB$268</f>
        <v>196.71</v>
      </c>
      <c r="AW268">
        <f>$H$268*$AC$268</f>
        <v>196.71</v>
      </c>
      <c r="AX268">
        <f>$H$268*$AD$268</f>
        <v>196.71</v>
      </c>
      <c r="AY268">
        <f>$H$268*$AE$268</f>
        <v>196.71</v>
      </c>
      <c r="AZ268">
        <f>$H$268*$AF$268</f>
        <v>196.71</v>
      </c>
    </row>
    <row r="269" spans="1:52" x14ac:dyDescent="0.25">
      <c r="A269">
        <v>317</v>
      </c>
      <c r="B269" t="s">
        <v>274</v>
      </c>
      <c r="C269" t="s">
        <v>354</v>
      </c>
      <c r="D269">
        <v>0.25</v>
      </c>
      <c r="E269">
        <v>163.93</v>
      </c>
      <c r="F269" t="s">
        <v>335</v>
      </c>
      <c r="G269">
        <v>655.73</v>
      </c>
      <c r="H269">
        <v>196.71</v>
      </c>
      <c r="I269" t="s">
        <v>353</v>
      </c>
      <c r="J269" t="s">
        <v>355</v>
      </c>
      <c r="K269" t="s">
        <v>612</v>
      </c>
      <c r="L269" t="s">
        <v>179</v>
      </c>
      <c r="M269" t="s">
        <v>274</v>
      </c>
      <c r="N269" t="s">
        <v>12</v>
      </c>
      <c r="O269" t="s">
        <v>275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1</v>
      </c>
      <c r="Z269">
        <v>1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274</v>
      </c>
      <c r="AH269" t="s">
        <v>12</v>
      </c>
      <c r="AI269" t="s">
        <v>275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0</v>
      </c>
      <c r="AN269">
        <f>$H$269*$T$269</f>
        <v>0</v>
      </c>
      <c r="AO269">
        <f>$H$269*$U$269</f>
        <v>0</v>
      </c>
      <c r="AP269">
        <f>$H$269*$V$269</f>
        <v>0</v>
      </c>
      <c r="AQ269">
        <f>$H$269*$W$269</f>
        <v>0</v>
      </c>
      <c r="AR269">
        <f>$H$269*$X$269</f>
        <v>0</v>
      </c>
      <c r="AS269">
        <f>$H$269*$Y$269</f>
        <v>196.71</v>
      </c>
      <c r="AT269">
        <f>$H$269*$Z$269</f>
        <v>196.71</v>
      </c>
      <c r="AU269">
        <f>$H$269*$AA$269</f>
        <v>196.71</v>
      </c>
      <c r="AV269">
        <f>$H$269*$AB$269</f>
        <v>196.71</v>
      </c>
      <c r="AW269">
        <f>$H$269*$AC$269</f>
        <v>196.71</v>
      </c>
      <c r="AX269">
        <f>$H$269*$AD$269</f>
        <v>196.71</v>
      </c>
      <c r="AY269">
        <f>$H$269*$AE$269</f>
        <v>196.71</v>
      </c>
      <c r="AZ269">
        <f>$H$269*$AF$269</f>
        <v>196.71</v>
      </c>
    </row>
    <row r="270" spans="1:52" x14ac:dyDescent="0.25">
      <c r="A270">
        <v>318</v>
      </c>
      <c r="B270" t="s">
        <v>274</v>
      </c>
      <c r="C270" t="s">
        <v>491</v>
      </c>
      <c r="D270">
        <v>1</v>
      </c>
      <c r="E270">
        <v>78.69</v>
      </c>
      <c r="F270" t="s">
        <v>335</v>
      </c>
      <c r="G270">
        <v>78.69</v>
      </c>
      <c r="H270">
        <v>94.43</v>
      </c>
      <c r="I270" t="s">
        <v>353</v>
      </c>
      <c r="J270" t="s">
        <v>492</v>
      </c>
      <c r="K270" t="s">
        <v>678</v>
      </c>
      <c r="L270" t="s">
        <v>179</v>
      </c>
      <c r="M270" t="s">
        <v>274</v>
      </c>
      <c r="N270" t="s">
        <v>12</v>
      </c>
      <c r="O270" t="s">
        <v>275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274</v>
      </c>
      <c r="AH270" t="s">
        <v>12</v>
      </c>
      <c r="AI270" t="s">
        <v>275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0</v>
      </c>
      <c r="AN270">
        <f>$H$270*$T$270</f>
        <v>0</v>
      </c>
      <c r="AO270">
        <f>$H$270*$U$270</f>
        <v>0</v>
      </c>
      <c r="AP270">
        <f>$H$270*$V$270</f>
        <v>0</v>
      </c>
      <c r="AQ270">
        <f>$H$270*$W$270</f>
        <v>0</v>
      </c>
      <c r="AR270">
        <f>$H$270*$X$270</f>
        <v>0</v>
      </c>
      <c r="AS270">
        <f>$H$270*$Y$270</f>
        <v>94.43</v>
      </c>
      <c r="AT270">
        <f>$H$270*$Z$270</f>
        <v>94.43</v>
      </c>
      <c r="AU270">
        <f>$H$270*$AA$270</f>
        <v>94.43</v>
      </c>
      <c r="AV270">
        <f>$H$270*$AB$270</f>
        <v>94.43</v>
      </c>
      <c r="AW270">
        <f>$H$270*$AC$270</f>
        <v>94.43</v>
      </c>
      <c r="AX270">
        <f>$H$270*$AD$270</f>
        <v>94.43</v>
      </c>
      <c r="AY270">
        <f>$H$270*$AE$270</f>
        <v>94.43</v>
      </c>
      <c r="AZ270">
        <f>$H$270*$AF$270</f>
        <v>94.43</v>
      </c>
    </row>
    <row r="271" spans="1:52" x14ac:dyDescent="0.25">
      <c r="A271">
        <v>319</v>
      </c>
      <c r="B271" t="s">
        <v>274</v>
      </c>
      <c r="C271" t="s">
        <v>493</v>
      </c>
      <c r="D271">
        <v>1</v>
      </c>
      <c r="E271">
        <v>743.17</v>
      </c>
      <c r="F271" t="s">
        <v>335</v>
      </c>
      <c r="G271">
        <v>743.17</v>
      </c>
      <c r="H271">
        <v>891.81</v>
      </c>
      <c r="I271" t="s">
        <v>353</v>
      </c>
      <c r="J271" t="s">
        <v>494</v>
      </c>
      <c r="K271" t="s">
        <v>679</v>
      </c>
      <c r="L271" t="s">
        <v>179</v>
      </c>
      <c r="M271" t="s">
        <v>274</v>
      </c>
      <c r="N271" t="s">
        <v>12</v>
      </c>
      <c r="O271" t="s">
        <v>275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274</v>
      </c>
      <c r="AH271" t="s">
        <v>12</v>
      </c>
      <c r="AI271" t="s">
        <v>275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0</v>
      </c>
      <c r="AN271">
        <f>$H$271*$T$271</f>
        <v>0</v>
      </c>
      <c r="AO271">
        <f>$H$271*$U$271</f>
        <v>0</v>
      </c>
      <c r="AP271">
        <f>$H$271*$V$271</f>
        <v>0</v>
      </c>
      <c r="AQ271">
        <f>$H$271*$W$271</f>
        <v>0</v>
      </c>
      <c r="AR271">
        <f>$H$271*$X$271</f>
        <v>0</v>
      </c>
      <c r="AS271">
        <f>$H$271*$Y$271</f>
        <v>891.81</v>
      </c>
      <c r="AT271">
        <f>$H$271*$Z$271</f>
        <v>891.81</v>
      </c>
      <c r="AU271">
        <f>$H$271*$AA$271</f>
        <v>891.81</v>
      </c>
      <c r="AV271">
        <f>$H$271*$AB$271</f>
        <v>891.81</v>
      </c>
      <c r="AW271">
        <f>$H$271*$AC$271</f>
        <v>891.81</v>
      </c>
      <c r="AX271">
        <f>$H$271*$AD$271</f>
        <v>891.81</v>
      </c>
      <c r="AY271">
        <f>$H$271*$AE$271</f>
        <v>891.81</v>
      </c>
      <c r="AZ271">
        <f>$H$271*$AF$271</f>
        <v>891.81</v>
      </c>
    </row>
    <row r="272" spans="1:52" x14ac:dyDescent="0.25">
      <c r="A272">
        <v>320</v>
      </c>
      <c r="B272" t="s">
        <v>274</v>
      </c>
      <c r="C272" t="s">
        <v>517</v>
      </c>
      <c r="D272">
        <v>1</v>
      </c>
      <c r="E272">
        <v>810.84</v>
      </c>
      <c r="F272" t="s">
        <v>335</v>
      </c>
      <c r="G272">
        <v>810.84</v>
      </c>
      <c r="H272">
        <v>973</v>
      </c>
      <c r="I272" t="s">
        <v>487</v>
      </c>
      <c r="J272" t="s">
        <v>518</v>
      </c>
      <c r="K272" t="s">
        <v>691</v>
      </c>
      <c r="L272" t="s">
        <v>179</v>
      </c>
      <c r="M272" t="s">
        <v>274</v>
      </c>
      <c r="N272" t="s">
        <v>12</v>
      </c>
      <c r="O272" t="s">
        <v>275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274</v>
      </c>
      <c r="AH272" t="s">
        <v>12</v>
      </c>
      <c r="AI272" t="s">
        <v>275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0</v>
      </c>
      <c r="AN272">
        <f>$H$272*$T$272</f>
        <v>0</v>
      </c>
      <c r="AO272">
        <f>$H$272*$U$272</f>
        <v>0</v>
      </c>
      <c r="AP272">
        <f>$H$272*$V$272</f>
        <v>0</v>
      </c>
      <c r="AQ272">
        <f>$H$272*$W$272</f>
        <v>0</v>
      </c>
      <c r="AR272">
        <f>$H$272*$X$272</f>
        <v>0</v>
      </c>
      <c r="AS272">
        <f>$H$272*$Y$272</f>
        <v>973</v>
      </c>
      <c r="AT272">
        <f>$H$272*$Z$272</f>
        <v>973</v>
      </c>
      <c r="AU272">
        <f>$H$272*$AA$272</f>
        <v>973</v>
      </c>
      <c r="AV272">
        <f>$H$272*$AB$272</f>
        <v>973</v>
      </c>
      <c r="AW272">
        <f>$H$272*$AC$272</f>
        <v>973</v>
      </c>
      <c r="AX272">
        <f>$H$272*$AD$272</f>
        <v>973</v>
      </c>
      <c r="AY272">
        <f>$H$272*$AE$272</f>
        <v>973</v>
      </c>
      <c r="AZ272">
        <f>$H$272*$AF$272</f>
        <v>973</v>
      </c>
    </row>
    <row r="273" spans="1:52" x14ac:dyDescent="0.25">
      <c r="A273">
        <v>321</v>
      </c>
      <c r="B273" t="s">
        <v>274</v>
      </c>
      <c r="C273" t="s">
        <v>519</v>
      </c>
      <c r="D273">
        <v>1</v>
      </c>
      <c r="E273">
        <v>237.15</v>
      </c>
      <c r="F273" t="s">
        <v>335</v>
      </c>
      <c r="G273">
        <v>237.15</v>
      </c>
      <c r="H273">
        <v>284.58999999999997</v>
      </c>
      <c r="I273" t="s">
        <v>353</v>
      </c>
      <c r="J273" t="s">
        <v>520</v>
      </c>
      <c r="K273" t="s">
        <v>692</v>
      </c>
      <c r="L273" t="s">
        <v>179</v>
      </c>
      <c r="M273" t="s">
        <v>274</v>
      </c>
      <c r="N273" t="s">
        <v>12</v>
      </c>
      <c r="O273" t="s">
        <v>275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1</v>
      </c>
      <c r="X273">
        <v>1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274</v>
      </c>
      <c r="AH273" t="s">
        <v>12</v>
      </c>
      <c r="AI273" t="s">
        <v>275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0</v>
      </c>
      <c r="AN273">
        <f>$H$273*$T$273</f>
        <v>0</v>
      </c>
      <c r="AO273">
        <f>$H$273*$U$273</f>
        <v>0</v>
      </c>
      <c r="AP273">
        <f>$H$273*$V$273</f>
        <v>0</v>
      </c>
      <c r="AQ273">
        <f>$H$273*$W$273</f>
        <v>284.58999999999997</v>
      </c>
      <c r="AR273">
        <f>$H$273*$X$273</f>
        <v>284.58999999999997</v>
      </c>
      <c r="AS273">
        <f>$H$273*$Y$273</f>
        <v>284.58999999999997</v>
      </c>
      <c r="AT273">
        <f>$H$273*$Z$273</f>
        <v>284.58999999999997</v>
      </c>
      <c r="AU273">
        <f>$H$273*$AA$273</f>
        <v>284.58999999999997</v>
      </c>
      <c r="AV273">
        <f>$H$273*$AB$273</f>
        <v>284.58999999999997</v>
      </c>
      <c r="AW273">
        <f>$H$273*$AC$273</f>
        <v>284.58999999999997</v>
      </c>
      <c r="AX273">
        <f>$H$273*$AD$273</f>
        <v>284.58999999999997</v>
      </c>
      <c r="AY273">
        <f>$H$273*$AE$273</f>
        <v>284.58999999999997</v>
      </c>
      <c r="AZ273">
        <f>$H$273*$AF$273</f>
        <v>284.58999999999997</v>
      </c>
    </row>
    <row r="274" spans="1:52" x14ac:dyDescent="0.25">
      <c r="A274">
        <v>322</v>
      </c>
      <c r="B274" t="s">
        <v>274</v>
      </c>
      <c r="C274" t="s">
        <v>501</v>
      </c>
      <c r="D274">
        <v>10</v>
      </c>
      <c r="E274">
        <v>65.7</v>
      </c>
      <c r="F274" t="s">
        <v>329</v>
      </c>
      <c r="G274">
        <v>6.57</v>
      </c>
      <c r="H274">
        <v>78.84</v>
      </c>
      <c r="I274" t="s">
        <v>343</v>
      </c>
      <c r="J274" t="s">
        <v>502</v>
      </c>
      <c r="K274" t="s">
        <v>683</v>
      </c>
      <c r="L274" t="s">
        <v>179</v>
      </c>
      <c r="M274" t="s">
        <v>274</v>
      </c>
      <c r="N274" t="s">
        <v>12</v>
      </c>
      <c r="O274" t="s">
        <v>275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1</v>
      </c>
      <c r="AE274">
        <v>1</v>
      </c>
      <c r="AF274">
        <v>1</v>
      </c>
      <c r="AG274" t="s">
        <v>274</v>
      </c>
      <c r="AH274" t="s">
        <v>12</v>
      </c>
      <c r="AI274" t="s">
        <v>275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0</v>
      </c>
      <c r="AN274">
        <f>$H$274*$T$274</f>
        <v>0</v>
      </c>
      <c r="AO274">
        <f>$H$274*$U$274</f>
        <v>0</v>
      </c>
      <c r="AP274">
        <f>$H$274*$V$274</f>
        <v>0</v>
      </c>
      <c r="AQ274">
        <f>$H$274*$W$274</f>
        <v>0</v>
      </c>
      <c r="AR274">
        <f>$H$274*$X$274</f>
        <v>0</v>
      </c>
      <c r="AS274">
        <f>$H$274*$Y$274</f>
        <v>0</v>
      </c>
      <c r="AT274">
        <f>$H$274*$Z$274</f>
        <v>0</v>
      </c>
      <c r="AU274">
        <f>$H$274*$AA$274</f>
        <v>0</v>
      </c>
      <c r="AV274">
        <f>$H$274*$AB$274</f>
        <v>0</v>
      </c>
      <c r="AW274">
        <f>$H$274*$AC$274</f>
        <v>0</v>
      </c>
      <c r="AX274">
        <f>$H$274*$AD$274</f>
        <v>78.84</v>
      </c>
      <c r="AY274">
        <f>$H$274*$AE$274</f>
        <v>78.84</v>
      </c>
      <c r="AZ274">
        <f>$H$274*$AF$274</f>
        <v>78.84</v>
      </c>
    </row>
    <row r="275" spans="1:52" x14ac:dyDescent="0.25">
      <c r="A275">
        <v>323</v>
      </c>
      <c r="B275" t="s">
        <v>274</v>
      </c>
      <c r="C275" t="s">
        <v>503</v>
      </c>
      <c r="D275">
        <v>1</v>
      </c>
      <c r="E275">
        <v>197.02</v>
      </c>
      <c r="F275" t="s">
        <v>335</v>
      </c>
      <c r="G275">
        <v>197.02</v>
      </c>
      <c r="H275">
        <v>236.42</v>
      </c>
      <c r="I275" t="s">
        <v>343</v>
      </c>
      <c r="J275" t="s">
        <v>504</v>
      </c>
      <c r="K275" t="s">
        <v>684</v>
      </c>
      <c r="L275" t="s">
        <v>179</v>
      </c>
      <c r="M275" t="s">
        <v>274</v>
      </c>
      <c r="N275" t="s">
        <v>12</v>
      </c>
      <c r="O275" t="s">
        <v>275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1</v>
      </c>
      <c r="AE275">
        <v>1</v>
      </c>
      <c r="AF275">
        <v>1</v>
      </c>
      <c r="AG275" t="s">
        <v>274</v>
      </c>
      <c r="AH275" t="s">
        <v>12</v>
      </c>
      <c r="AI275" t="s">
        <v>275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0</v>
      </c>
      <c r="AN275">
        <f>$H$275*$T$275</f>
        <v>0</v>
      </c>
      <c r="AO275">
        <f>$H$275*$U$275</f>
        <v>0</v>
      </c>
      <c r="AP275">
        <f>$H$275*$V$275</f>
        <v>0</v>
      </c>
      <c r="AQ275">
        <f>$H$275*$W$275</f>
        <v>0</v>
      </c>
      <c r="AR275">
        <f>$H$275*$X$275</f>
        <v>0</v>
      </c>
      <c r="AS275">
        <f>$H$275*$Y$275</f>
        <v>0</v>
      </c>
      <c r="AT275">
        <f>$H$275*$Z$275</f>
        <v>0</v>
      </c>
      <c r="AU275">
        <f>$H$275*$AA$275</f>
        <v>0</v>
      </c>
      <c r="AV275">
        <f>$H$275*$AB$275</f>
        <v>0</v>
      </c>
      <c r="AW275">
        <f>$H$275*$AC$275</f>
        <v>0</v>
      </c>
      <c r="AX275">
        <f>$H$275*$AD$275</f>
        <v>236.42</v>
      </c>
      <c r="AY275">
        <f>$H$275*$AE$275</f>
        <v>236.42</v>
      </c>
      <c r="AZ275">
        <f>$H$275*$AF$275</f>
        <v>236.42</v>
      </c>
    </row>
    <row r="276" spans="1:52" x14ac:dyDescent="0.25">
      <c r="A276">
        <v>324</v>
      </c>
      <c r="B276" t="s">
        <v>274</v>
      </c>
      <c r="C276" t="s">
        <v>521</v>
      </c>
      <c r="D276">
        <v>1</v>
      </c>
      <c r="E276">
        <v>200.6</v>
      </c>
      <c r="F276" t="s">
        <v>335</v>
      </c>
      <c r="G276">
        <v>200.6</v>
      </c>
      <c r="H276">
        <v>240.72</v>
      </c>
      <c r="I276" t="s">
        <v>340</v>
      </c>
      <c r="J276" t="s">
        <v>522</v>
      </c>
      <c r="K276" t="s">
        <v>693</v>
      </c>
      <c r="L276" t="s">
        <v>179</v>
      </c>
      <c r="M276" t="s">
        <v>274</v>
      </c>
      <c r="N276" t="s">
        <v>12</v>
      </c>
      <c r="O276" t="s">
        <v>275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1</v>
      </c>
      <c r="AE276">
        <v>1</v>
      </c>
      <c r="AF276">
        <v>1</v>
      </c>
      <c r="AG276" t="s">
        <v>274</v>
      </c>
      <c r="AH276" t="s">
        <v>12</v>
      </c>
      <c r="AI276" t="s">
        <v>275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0</v>
      </c>
      <c r="AN276">
        <f>$H$276*$T$276</f>
        <v>0</v>
      </c>
      <c r="AO276">
        <f>$H$276*$U$276</f>
        <v>0</v>
      </c>
      <c r="AP276">
        <f>$H$276*$V$276</f>
        <v>0</v>
      </c>
      <c r="AQ276">
        <f>$H$276*$W$276</f>
        <v>0</v>
      </c>
      <c r="AR276">
        <f>$H$276*$X$276</f>
        <v>0</v>
      </c>
      <c r="AS276">
        <f>$H$276*$Y$276</f>
        <v>0</v>
      </c>
      <c r="AT276">
        <f>$H$276*$Z$276</f>
        <v>0</v>
      </c>
      <c r="AU276">
        <f>$H$276*$AA$276</f>
        <v>0</v>
      </c>
      <c r="AV276">
        <f>$H$276*$AB$276</f>
        <v>0</v>
      </c>
      <c r="AW276">
        <f>$H$276*$AC$276</f>
        <v>0</v>
      </c>
      <c r="AX276">
        <f>$H$276*$AD$276</f>
        <v>240.72</v>
      </c>
      <c r="AY276">
        <f>$H$276*$AE$276</f>
        <v>240.72</v>
      </c>
      <c r="AZ276">
        <f>$H$276*$AF$276</f>
        <v>240.72</v>
      </c>
    </row>
    <row r="277" spans="1:52" x14ac:dyDescent="0.25">
      <c r="A277">
        <v>325</v>
      </c>
      <c r="B277" t="s">
        <v>274</v>
      </c>
      <c r="C277" t="s">
        <v>367</v>
      </c>
      <c r="D277">
        <v>1</v>
      </c>
      <c r="E277">
        <v>62.41</v>
      </c>
      <c r="F277" t="s">
        <v>335</v>
      </c>
      <c r="G277">
        <v>62.41</v>
      </c>
      <c r="H277">
        <v>74.89</v>
      </c>
      <c r="I277" t="s">
        <v>368</v>
      </c>
      <c r="J277" t="s">
        <v>369</v>
      </c>
      <c r="K277" t="s">
        <v>619</v>
      </c>
      <c r="L277" t="s">
        <v>179</v>
      </c>
      <c r="M277" t="s">
        <v>274</v>
      </c>
      <c r="N277" t="s">
        <v>12</v>
      </c>
      <c r="O277" t="s">
        <v>275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274</v>
      </c>
      <c r="AH277" t="s">
        <v>12</v>
      </c>
      <c r="AI277" t="s">
        <v>275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0</v>
      </c>
      <c r="AN277">
        <f>$H$277*$T$277</f>
        <v>0</v>
      </c>
      <c r="AO277">
        <f>$H$277*$U$277</f>
        <v>0</v>
      </c>
      <c r="AP277">
        <f>$H$277*$V$277</f>
        <v>0</v>
      </c>
      <c r="AQ277">
        <f>$H$277*$W$277</f>
        <v>0</v>
      </c>
      <c r="AR277">
        <f>$H$277*$X$277</f>
        <v>0</v>
      </c>
      <c r="AS277">
        <f>$H$277*$Y$277</f>
        <v>0</v>
      </c>
      <c r="AT277">
        <f>$H$277*$Z$277</f>
        <v>0</v>
      </c>
      <c r="AU277">
        <f>$H$277*$AA$277</f>
        <v>74.89</v>
      </c>
      <c r="AV277">
        <f>$H$277*$AB$277</f>
        <v>74.89</v>
      </c>
      <c r="AW277">
        <f>$H$277*$AC$277</f>
        <v>74.89</v>
      </c>
      <c r="AX277">
        <f>$H$277*$AD$277</f>
        <v>74.89</v>
      </c>
      <c r="AY277">
        <f>$H$277*$AE$277</f>
        <v>74.89</v>
      </c>
      <c r="AZ277">
        <f>$H$277*$AF$277</f>
        <v>74.89</v>
      </c>
    </row>
    <row r="278" spans="1:52" x14ac:dyDescent="0.25">
      <c r="A278">
        <v>326</v>
      </c>
      <c r="B278" t="s">
        <v>274</v>
      </c>
      <c r="C278" t="s">
        <v>375</v>
      </c>
      <c r="D278">
        <v>2</v>
      </c>
      <c r="E278">
        <v>77.86</v>
      </c>
      <c r="F278" t="s">
        <v>335</v>
      </c>
      <c r="G278">
        <v>38.93</v>
      </c>
      <c r="H278">
        <v>93.44</v>
      </c>
      <c r="I278" t="s">
        <v>330</v>
      </c>
      <c r="J278" t="s">
        <v>371</v>
      </c>
      <c r="K278" t="s">
        <v>622</v>
      </c>
      <c r="L278" t="s">
        <v>179</v>
      </c>
      <c r="M278" t="s">
        <v>274</v>
      </c>
      <c r="N278" t="s">
        <v>12</v>
      </c>
      <c r="O278" t="s">
        <v>275</v>
      </c>
      <c r="P278">
        <v>0</v>
      </c>
      <c r="Q278">
        <v>0</v>
      </c>
      <c r="R278">
        <v>0</v>
      </c>
      <c r="S278">
        <v>1</v>
      </c>
      <c r="T278">
        <v>1</v>
      </c>
      <c r="U278">
        <v>1</v>
      </c>
      <c r="V278">
        <v>1</v>
      </c>
      <c r="W278">
        <v>1</v>
      </c>
      <c r="X278">
        <v>1</v>
      </c>
      <c r="Y278">
        <v>1</v>
      </c>
      <c r="Z278">
        <v>1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274</v>
      </c>
      <c r="AH278" t="s">
        <v>12</v>
      </c>
      <c r="AI278" t="s">
        <v>275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93.44</v>
      </c>
      <c r="AN278">
        <f>$H$278*$T$278</f>
        <v>93.44</v>
      </c>
      <c r="AO278">
        <f>$H$278*$U$278</f>
        <v>93.44</v>
      </c>
      <c r="AP278">
        <f>$H$278*$V$278</f>
        <v>93.44</v>
      </c>
      <c r="AQ278">
        <f>$H$278*$W$278</f>
        <v>93.44</v>
      </c>
      <c r="AR278">
        <f>$H$278*$X$278</f>
        <v>93.44</v>
      </c>
      <c r="AS278">
        <f>$H$278*$Y$278</f>
        <v>93.44</v>
      </c>
      <c r="AT278">
        <f>$H$278*$Z$278</f>
        <v>93.44</v>
      </c>
      <c r="AU278">
        <f>$H$278*$AA$278</f>
        <v>93.44</v>
      </c>
      <c r="AV278">
        <f>$H$278*$AB$278</f>
        <v>93.44</v>
      </c>
      <c r="AW278">
        <f>$H$278*$AC$278</f>
        <v>93.44</v>
      </c>
      <c r="AX278">
        <f>$H$278*$AD$278</f>
        <v>93.44</v>
      </c>
      <c r="AY278">
        <f>$H$278*$AE$278</f>
        <v>93.44</v>
      </c>
      <c r="AZ278">
        <f>$H$278*$AF$278</f>
        <v>93.44</v>
      </c>
    </row>
    <row r="279" spans="1:52" x14ac:dyDescent="0.25">
      <c r="A279">
        <v>327</v>
      </c>
      <c r="B279" t="s">
        <v>274</v>
      </c>
      <c r="C279" t="s">
        <v>373</v>
      </c>
      <c r="D279">
        <v>2</v>
      </c>
      <c r="E279">
        <v>62.72</v>
      </c>
      <c r="F279" t="s">
        <v>335</v>
      </c>
      <c r="G279">
        <v>31.36</v>
      </c>
      <c r="H279">
        <v>75.260000000000005</v>
      </c>
      <c r="I279" t="s">
        <v>330</v>
      </c>
      <c r="J279" t="s">
        <v>374</v>
      </c>
      <c r="K279" t="s">
        <v>621</v>
      </c>
      <c r="L279" t="s">
        <v>179</v>
      </c>
      <c r="M279" t="s">
        <v>274</v>
      </c>
      <c r="N279" t="s">
        <v>12</v>
      </c>
      <c r="O279" t="s">
        <v>275</v>
      </c>
      <c r="P279">
        <v>0</v>
      </c>
      <c r="Q279">
        <v>0</v>
      </c>
      <c r="R279">
        <v>0</v>
      </c>
      <c r="S279">
        <v>1</v>
      </c>
      <c r="T279">
        <v>1</v>
      </c>
      <c r="U279">
        <v>1</v>
      </c>
      <c r="V279">
        <v>1</v>
      </c>
      <c r="W279">
        <v>1</v>
      </c>
      <c r="X279">
        <v>1</v>
      </c>
      <c r="Y279">
        <v>1</v>
      </c>
      <c r="Z279">
        <v>1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274</v>
      </c>
      <c r="AH279" t="s">
        <v>12</v>
      </c>
      <c r="AI279" t="s">
        <v>275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75.260000000000005</v>
      </c>
      <c r="AN279">
        <f>$H$279*$T$279</f>
        <v>75.260000000000005</v>
      </c>
      <c r="AO279">
        <f>$H$279*$U$279</f>
        <v>75.260000000000005</v>
      </c>
      <c r="AP279">
        <f>$H$279*$V$279</f>
        <v>75.260000000000005</v>
      </c>
      <c r="AQ279">
        <f>$H$279*$W$279</f>
        <v>75.260000000000005</v>
      </c>
      <c r="AR279">
        <f>$H$279*$X$279</f>
        <v>75.260000000000005</v>
      </c>
      <c r="AS279">
        <f>$H$279*$Y$279</f>
        <v>75.260000000000005</v>
      </c>
      <c r="AT279">
        <f>$H$279*$Z$279</f>
        <v>75.260000000000005</v>
      </c>
      <c r="AU279">
        <f>$H$279*$AA$279</f>
        <v>75.260000000000005</v>
      </c>
      <c r="AV279">
        <f>$H$279*$AB$279</f>
        <v>75.260000000000005</v>
      </c>
      <c r="AW279">
        <f>$H$279*$AC$279</f>
        <v>75.260000000000005</v>
      </c>
      <c r="AX279">
        <f>$H$279*$AD$279</f>
        <v>75.260000000000005</v>
      </c>
      <c r="AY279">
        <f>$H$279*$AE$279</f>
        <v>75.260000000000005</v>
      </c>
      <c r="AZ279">
        <f>$H$279*$AF$279</f>
        <v>75.260000000000005</v>
      </c>
    </row>
    <row r="280" spans="1:52" x14ac:dyDescent="0.25">
      <c r="A280">
        <v>328</v>
      </c>
      <c r="B280" t="s">
        <v>274</v>
      </c>
      <c r="C280" t="s">
        <v>370</v>
      </c>
      <c r="D280">
        <v>1</v>
      </c>
      <c r="E280">
        <v>366.18</v>
      </c>
      <c r="F280" t="s">
        <v>335</v>
      </c>
      <c r="G280">
        <v>366.18</v>
      </c>
      <c r="H280">
        <v>439.42</v>
      </c>
      <c r="I280" t="s">
        <v>371</v>
      </c>
      <c r="J280" t="s">
        <v>372</v>
      </c>
      <c r="K280" t="s">
        <v>620</v>
      </c>
      <c r="L280" t="s">
        <v>179</v>
      </c>
      <c r="M280" t="s">
        <v>274</v>
      </c>
      <c r="N280" t="s">
        <v>12</v>
      </c>
      <c r="O280" t="s">
        <v>275</v>
      </c>
      <c r="P280">
        <v>0</v>
      </c>
      <c r="Q280">
        <v>0</v>
      </c>
      <c r="R280">
        <v>0</v>
      </c>
      <c r="S280">
        <v>0</v>
      </c>
      <c r="T280">
        <v>1</v>
      </c>
      <c r="U280">
        <v>1</v>
      </c>
      <c r="V280">
        <v>1</v>
      </c>
      <c r="W280">
        <v>1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274</v>
      </c>
      <c r="AH280" t="s">
        <v>12</v>
      </c>
      <c r="AI280" t="s">
        <v>275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0</v>
      </c>
      <c r="AN280">
        <f>$H$280*$T$280</f>
        <v>439.42</v>
      </c>
      <c r="AO280">
        <f>$H$280*$U$280</f>
        <v>439.42</v>
      </c>
      <c r="AP280">
        <f>$H$280*$V$280</f>
        <v>439.42</v>
      </c>
      <c r="AQ280">
        <f>$H$280*$W$280</f>
        <v>439.42</v>
      </c>
      <c r="AR280">
        <f>$H$280*$X$280</f>
        <v>439.42</v>
      </c>
      <c r="AS280">
        <f>$H$280*$Y$280</f>
        <v>439.42</v>
      </c>
      <c r="AT280">
        <f>$H$280*$Z$280</f>
        <v>439.42</v>
      </c>
      <c r="AU280">
        <f>$H$280*$AA$280</f>
        <v>439.42</v>
      </c>
      <c r="AV280">
        <f>$H$280*$AB$280</f>
        <v>439.42</v>
      </c>
      <c r="AW280">
        <f>$H$280*$AC$280</f>
        <v>439.42</v>
      </c>
      <c r="AX280">
        <f>$H$280*$AD$280</f>
        <v>439.42</v>
      </c>
      <c r="AY280">
        <f>$H$280*$AE$280</f>
        <v>439.42</v>
      </c>
      <c r="AZ280">
        <f>$H$280*$AF$280</f>
        <v>439.42</v>
      </c>
    </row>
    <row r="281" spans="1:52" x14ac:dyDescent="0.25">
      <c r="A281">
        <v>329</v>
      </c>
      <c r="B281" t="s">
        <v>274</v>
      </c>
      <c r="C281" t="s">
        <v>354</v>
      </c>
      <c r="D281">
        <v>0.75</v>
      </c>
      <c r="E281">
        <v>491.8</v>
      </c>
      <c r="F281" t="s">
        <v>335</v>
      </c>
      <c r="G281">
        <v>655.73</v>
      </c>
      <c r="H281">
        <v>590.16</v>
      </c>
      <c r="I281" t="s">
        <v>353</v>
      </c>
      <c r="J281" t="s">
        <v>355</v>
      </c>
      <c r="K281" t="s">
        <v>612</v>
      </c>
      <c r="L281" t="s">
        <v>179</v>
      </c>
      <c r="M281" t="s">
        <v>274</v>
      </c>
      <c r="N281" t="s">
        <v>12</v>
      </c>
      <c r="O281" t="s">
        <v>275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1</v>
      </c>
      <c r="Z281">
        <v>1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274</v>
      </c>
      <c r="AH281" t="s">
        <v>12</v>
      </c>
      <c r="AI281" t="s">
        <v>275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0</v>
      </c>
      <c r="AN281">
        <f>$H$281*$T$281</f>
        <v>0</v>
      </c>
      <c r="AO281">
        <f>$H$281*$U$281</f>
        <v>0</v>
      </c>
      <c r="AP281">
        <f>$H$281*$V$281</f>
        <v>0</v>
      </c>
      <c r="AQ281">
        <f>$H$281*$W$281</f>
        <v>0</v>
      </c>
      <c r="AR281">
        <f>$H$281*$X$281</f>
        <v>0</v>
      </c>
      <c r="AS281">
        <f>$H$281*$Y$281</f>
        <v>590.16</v>
      </c>
      <c r="AT281">
        <f>$H$281*$Z$281</f>
        <v>590.16</v>
      </c>
      <c r="AU281">
        <f>$H$281*$AA$281</f>
        <v>590.16</v>
      </c>
      <c r="AV281">
        <f>$H$281*$AB$281</f>
        <v>590.16</v>
      </c>
      <c r="AW281">
        <f>$H$281*$AC$281</f>
        <v>590.16</v>
      </c>
      <c r="AX281">
        <f>$H$281*$AD$281</f>
        <v>590.16</v>
      </c>
      <c r="AY281">
        <f>$H$281*$AE$281</f>
        <v>590.16</v>
      </c>
      <c r="AZ281">
        <f>$H$281*$AF$281</f>
        <v>590.16</v>
      </c>
    </row>
    <row r="282" spans="1:52" x14ac:dyDescent="0.25">
      <c r="A282">
        <v>330</v>
      </c>
      <c r="B282" t="s">
        <v>274</v>
      </c>
      <c r="C282" t="s">
        <v>523</v>
      </c>
      <c r="D282">
        <v>1</v>
      </c>
      <c r="E282">
        <v>388.49</v>
      </c>
      <c r="F282" t="s">
        <v>335</v>
      </c>
      <c r="G282">
        <v>388.49</v>
      </c>
      <c r="H282">
        <v>466.19</v>
      </c>
      <c r="I282" t="s">
        <v>353</v>
      </c>
      <c r="J282" t="s">
        <v>524</v>
      </c>
      <c r="K282" t="s">
        <v>694</v>
      </c>
      <c r="L282" t="s">
        <v>179</v>
      </c>
      <c r="M282" t="s">
        <v>274</v>
      </c>
      <c r="N282" t="s">
        <v>12</v>
      </c>
      <c r="O282" t="s">
        <v>275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274</v>
      </c>
      <c r="AH282" t="s">
        <v>12</v>
      </c>
      <c r="AI282" t="s">
        <v>275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0</v>
      </c>
      <c r="AN282">
        <f>$H$282*$T$282</f>
        <v>0</v>
      </c>
      <c r="AO282">
        <f>$H$282*$U$282</f>
        <v>0</v>
      </c>
      <c r="AP282">
        <f>$H$282*$V$282</f>
        <v>0</v>
      </c>
      <c r="AQ282">
        <f>$H$282*$W$282</f>
        <v>0</v>
      </c>
      <c r="AR282">
        <f>$H$282*$X$282</f>
        <v>0</v>
      </c>
      <c r="AS282">
        <f>$H$282*$Y$282</f>
        <v>466.19</v>
      </c>
      <c r="AT282">
        <f>$H$282*$Z$282</f>
        <v>466.19</v>
      </c>
      <c r="AU282">
        <f>$H$282*$AA$282</f>
        <v>466.19</v>
      </c>
      <c r="AV282">
        <f>$H$282*$AB$282</f>
        <v>466.19</v>
      </c>
      <c r="AW282">
        <f>$H$282*$AC$282</f>
        <v>466.19</v>
      </c>
      <c r="AX282">
        <f>$H$282*$AD$282</f>
        <v>466.19</v>
      </c>
      <c r="AY282">
        <f>$H$282*$AE$282</f>
        <v>466.19</v>
      </c>
      <c r="AZ282">
        <f>$H$282*$AF$282</f>
        <v>466.19</v>
      </c>
    </row>
    <row r="283" spans="1:52" x14ac:dyDescent="0.25">
      <c r="A283">
        <v>331</v>
      </c>
      <c r="B283" t="s">
        <v>274</v>
      </c>
      <c r="C283" t="s">
        <v>525</v>
      </c>
      <c r="D283">
        <v>1</v>
      </c>
      <c r="E283">
        <v>3800.75</v>
      </c>
      <c r="F283" t="s">
        <v>335</v>
      </c>
      <c r="G283">
        <v>3800.75</v>
      </c>
      <c r="H283">
        <v>4560.91</v>
      </c>
      <c r="I283" t="s">
        <v>353</v>
      </c>
      <c r="J283" t="s">
        <v>526</v>
      </c>
      <c r="K283" t="s">
        <v>695</v>
      </c>
      <c r="L283" t="s">
        <v>179</v>
      </c>
      <c r="M283" t="s">
        <v>274</v>
      </c>
      <c r="N283" t="s">
        <v>12</v>
      </c>
      <c r="O283" t="s">
        <v>275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1</v>
      </c>
      <c r="Z283">
        <v>1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274</v>
      </c>
      <c r="AH283" t="s">
        <v>12</v>
      </c>
      <c r="AI283" t="s">
        <v>275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0</v>
      </c>
      <c r="AN283">
        <f>$H$283*$T$283</f>
        <v>0</v>
      </c>
      <c r="AO283">
        <f>$H$283*$U$283</f>
        <v>0</v>
      </c>
      <c r="AP283">
        <f>$H$283*$V$283</f>
        <v>0</v>
      </c>
      <c r="AQ283">
        <f>$H$283*$W$283</f>
        <v>0</v>
      </c>
      <c r="AR283">
        <f>$H$283*$X$283</f>
        <v>0</v>
      </c>
      <c r="AS283">
        <f>$H$283*$Y$283</f>
        <v>4560.91</v>
      </c>
      <c r="AT283">
        <f>$H$283*$Z$283</f>
        <v>4560.91</v>
      </c>
      <c r="AU283">
        <f>$H$283*$AA$283</f>
        <v>4560.91</v>
      </c>
      <c r="AV283">
        <f>$H$283*$AB$283</f>
        <v>4560.91</v>
      </c>
      <c r="AW283">
        <f>$H$283*$AC$283</f>
        <v>4560.91</v>
      </c>
      <c r="AX283">
        <f>$H$283*$AD$283</f>
        <v>4560.91</v>
      </c>
      <c r="AY283">
        <f>$H$283*$AE$283</f>
        <v>4560.91</v>
      </c>
      <c r="AZ283">
        <f>$H$283*$AF$283</f>
        <v>4560.91</v>
      </c>
    </row>
    <row r="284" spans="1:52" x14ac:dyDescent="0.25">
      <c r="A284">
        <v>332</v>
      </c>
      <c r="B284" t="s">
        <v>274</v>
      </c>
      <c r="C284" t="s">
        <v>354</v>
      </c>
      <c r="D284">
        <v>0.25</v>
      </c>
      <c r="E284">
        <v>163.93</v>
      </c>
      <c r="F284" t="s">
        <v>335</v>
      </c>
      <c r="G284">
        <v>655.73</v>
      </c>
      <c r="H284">
        <v>196.71</v>
      </c>
      <c r="I284" t="s">
        <v>353</v>
      </c>
      <c r="J284" t="s">
        <v>355</v>
      </c>
      <c r="K284" t="s">
        <v>612</v>
      </c>
      <c r="L284" t="s">
        <v>179</v>
      </c>
      <c r="M284" t="s">
        <v>274</v>
      </c>
      <c r="N284" t="s">
        <v>12</v>
      </c>
      <c r="O284" t="s">
        <v>275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1</v>
      </c>
      <c r="Z284">
        <v>1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274</v>
      </c>
      <c r="AH284" t="s">
        <v>12</v>
      </c>
      <c r="AI284" t="s">
        <v>275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0</v>
      </c>
      <c r="AN284">
        <f>$H$284*$T$284</f>
        <v>0</v>
      </c>
      <c r="AO284">
        <f>$H$284*$U$284</f>
        <v>0</v>
      </c>
      <c r="AP284">
        <f>$H$284*$V$284</f>
        <v>0</v>
      </c>
      <c r="AQ284">
        <f>$H$284*$W$284</f>
        <v>0</v>
      </c>
      <c r="AR284">
        <f>$H$284*$X$284</f>
        <v>0</v>
      </c>
      <c r="AS284">
        <f>$H$284*$Y$284</f>
        <v>196.71</v>
      </c>
      <c r="AT284">
        <f>$H$284*$Z$284</f>
        <v>196.71</v>
      </c>
      <c r="AU284">
        <f>$H$284*$AA$284</f>
        <v>196.71</v>
      </c>
      <c r="AV284">
        <f>$H$284*$AB$284</f>
        <v>196.71</v>
      </c>
      <c r="AW284">
        <f>$H$284*$AC$284</f>
        <v>196.71</v>
      </c>
      <c r="AX284">
        <f>$H$284*$AD$284</f>
        <v>196.71</v>
      </c>
      <c r="AY284">
        <f>$H$284*$AE$284</f>
        <v>196.71</v>
      </c>
      <c r="AZ284">
        <f>$H$284*$AF$284</f>
        <v>196.71</v>
      </c>
    </row>
    <row r="285" spans="1:52" x14ac:dyDescent="0.25">
      <c r="A285">
        <v>333</v>
      </c>
      <c r="B285" t="s">
        <v>274</v>
      </c>
      <c r="C285" t="s">
        <v>509</v>
      </c>
      <c r="D285">
        <v>7</v>
      </c>
      <c r="E285">
        <v>2234.89</v>
      </c>
      <c r="F285" t="s">
        <v>329</v>
      </c>
      <c r="G285">
        <v>319.27</v>
      </c>
      <c r="H285">
        <v>2681.87</v>
      </c>
      <c r="I285" t="s">
        <v>489</v>
      </c>
      <c r="J285" t="s">
        <v>510</v>
      </c>
      <c r="K285" t="s">
        <v>687</v>
      </c>
      <c r="L285" t="s">
        <v>179</v>
      </c>
      <c r="M285" t="s">
        <v>274</v>
      </c>
      <c r="N285" t="s">
        <v>12</v>
      </c>
      <c r="O285" t="s">
        <v>275</v>
      </c>
      <c r="P285">
        <v>0</v>
      </c>
      <c r="Q285">
        <v>0</v>
      </c>
      <c r="R285">
        <v>0</v>
      </c>
      <c r="S285">
        <v>0</v>
      </c>
      <c r="T285">
        <v>1</v>
      </c>
      <c r="U285">
        <v>1</v>
      </c>
      <c r="V285">
        <v>1</v>
      </c>
      <c r="W285">
        <v>1</v>
      </c>
      <c r="X285">
        <v>1</v>
      </c>
      <c r="Y285">
        <v>1</v>
      </c>
      <c r="Z285">
        <v>1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274</v>
      </c>
      <c r="AH285" t="s">
        <v>12</v>
      </c>
      <c r="AI285" t="s">
        <v>275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0</v>
      </c>
      <c r="AN285">
        <f>$H$285*$T$285</f>
        <v>2681.87</v>
      </c>
      <c r="AO285">
        <f>$H$285*$U$285</f>
        <v>2681.87</v>
      </c>
      <c r="AP285">
        <f>$H$285*$V$285</f>
        <v>2681.87</v>
      </c>
      <c r="AQ285">
        <f>$H$285*$W$285</f>
        <v>2681.87</v>
      </c>
      <c r="AR285">
        <f>$H$285*$X$285</f>
        <v>2681.87</v>
      </c>
      <c r="AS285">
        <f>$H$285*$Y$285</f>
        <v>2681.87</v>
      </c>
      <c r="AT285">
        <f>$H$285*$Z$285</f>
        <v>2681.87</v>
      </c>
      <c r="AU285">
        <f>$H$285*$AA$285</f>
        <v>2681.87</v>
      </c>
      <c r="AV285">
        <f>$H$285*$AB$285</f>
        <v>2681.87</v>
      </c>
      <c r="AW285">
        <f>$H$285*$AC$285</f>
        <v>2681.87</v>
      </c>
      <c r="AX285">
        <f>$H$285*$AD$285</f>
        <v>2681.87</v>
      </c>
      <c r="AY285">
        <f>$H$285*$AE$285</f>
        <v>2681.87</v>
      </c>
      <c r="AZ285">
        <f>$H$285*$AF$285</f>
        <v>2681.87</v>
      </c>
    </row>
    <row r="286" spans="1:52" x14ac:dyDescent="0.25">
      <c r="A286">
        <v>334</v>
      </c>
      <c r="B286" t="s">
        <v>274</v>
      </c>
      <c r="C286" t="s">
        <v>511</v>
      </c>
      <c r="D286">
        <v>12</v>
      </c>
      <c r="E286">
        <v>1163.8800000000001</v>
      </c>
      <c r="F286" t="s">
        <v>349</v>
      </c>
      <c r="G286">
        <v>96.99</v>
      </c>
      <c r="H286">
        <v>1396.66</v>
      </c>
      <c r="I286" t="s">
        <v>489</v>
      </c>
      <c r="J286" t="s">
        <v>512</v>
      </c>
      <c r="K286" t="s">
        <v>688</v>
      </c>
      <c r="L286" t="s">
        <v>179</v>
      </c>
      <c r="M286" t="s">
        <v>274</v>
      </c>
      <c r="N286" t="s">
        <v>12</v>
      </c>
      <c r="O286" t="s">
        <v>275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1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274</v>
      </c>
      <c r="AH286" t="s">
        <v>12</v>
      </c>
      <c r="AI286" t="s">
        <v>275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0</v>
      </c>
      <c r="AN286">
        <f>$H$286*$T$286</f>
        <v>0</v>
      </c>
      <c r="AO286">
        <f>$H$286*$U$286</f>
        <v>0</v>
      </c>
      <c r="AP286">
        <f>$H$286*$V$286</f>
        <v>0</v>
      </c>
      <c r="AQ286">
        <f>$H$286*$W$286</f>
        <v>0</v>
      </c>
      <c r="AR286">
        <f>$H$286*$X$286</f>
        <v>0</v>
      </c>
      <c r="AS286">
        <f>$H$286*$Y$286</f>
        <v>0</v>
      </c>
      <c r="AT286">
        <f>$H$286*$Z$286</f>
        <v>1396.66</v>
      </c>
      <c r="AU286">
        <f>$H$286*$AA$286</f>
        <v>1396.66</v>
      </c>
      <c r="AV286">
        <f>$H$286*$AB$286</f>
        <v>1396.66</v>
      </c>
      <c r="AW286">
        <f>$H$286*$AC$286</f>
        <v>1396.66</v>
      </c>
      <c r="AX286">
        <f>$H$286*$AD$286</f>
        <v>1396.66</v>
      </c>
      <c r="AY286">
        <f>$H$286*$AE$286</f>
        <v>1396.66</v>
      </c>
      <c r="AZ286">
        <f>$H$286*$AF$286</f>
        <v>1396.66</v>
      </c>
    </row>
    <row r="287" spans="1:52" x14ac:dyDescent="0.25">
      <c r="A287">
        <v>335</v>
      </c>
      <c r="B287" t="s">
        <v>274</v>
      </c>
      <c r="C287" t="s">
        <v>513</v>
      </c>
      <c r="D287">
        <v>1</v>
      </c>
      <c r="E287">
        <v>305.94</v>
      </c>
      <c r="F287" t="s">
        <v>335</v>
      </c>
      <c r="G287">
        <v>305.94</v>
      </c>
      <c r="H287">
        <v>367.12</v>
      </c>
      <c r="I287" t="s">
        <v>353</v>
      </c>
      <c r="J287" t="s">
        <v>514</v>
      </c>
      <c r="K287" t="s">
        <v>689</v>
      </c>
      <c r="L287" t="s">
        <v>179</v>
      </c>
      <c r="M287" t="s">
        <v>274</v>
      </c>
      <c r="N287" t="s">
        <v>12</v>
      </c>
      <c r="O287" t="s">
        <v>275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274</v>
      </c>
      <c r="AH287" t="s">
        <v>12</v>
      </c>
      <c r="AI287" t="s">
        <v>275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0</v>
      </c>
      <c r="AN287">
        <f>$H$287*$T$287</f>
        <v>0</v>
      </c>
      <c r="AO287">
        <f>$H$287*$U$287</f>
        <v>0</v>
      </c>
      <c r="AP287">
        <f>$H$287*$V$287</f>
        <v>0</v>
      </c>
      <c r="AQ287">
        <f>$H$287*$W$287</f>
        <v>0</v>
      </c>
      <c r="AR287">
        <f>$H$287*$X$287</f>
        <v>0</v>
      </c>
      <c r="AS287">
        <f>$H$287*$Y$287</f>
        <v>0</v>
      </c>
      <c r="AT287">
        <f>$H$287*$Z$287</f>
        <v>0</v>
      </c>
      <c r="AU287">
        <f>$H$287*$AA$287</f>
        <v>367.12</v>
      </c>
      <c r="AV287">
        <f>$H$287*$AB$287</f>
        <v>367.12</v>
      </c>
      <c r="AW287">
        <f>$H$287*$AC$287</f>
        <v>367.12</v>
      </c>
      <c r="AX287">
        <f>$H$287*$AD$287</f>
        <v>367.12</v>
      </c>
      <c r="AY287">
        <f>$H$287*$AE$287</f>
        <v>367.12</v>
      </c>
      <c r="AZ287">
        <f>$H$287*$AF$287</f>
        <v>367.12</v>
      </c>
    </row>
    <row r="288" spans="1:52" x14ac:dyDescent="0.25">
      <c r="A288">
        <v>336</v>
      </c>
      <c r="B288" t="s">
        <v>274</v>
      </c>
      <c r="C288" t="s">
        <v>354</v>
      </c>
      <c r="D288">
        <v>1.5</v>
      </c>
      <c r="E288">
        <v>983.6</v>
      </c>
      <c r="F288" t="s">
        <v>335</v>
      </c>
      <c r="G288">
        <v>655.73</v>
      </c>
      <c r="H288">
        <v>1180.32</v>
      </c>
      <c r="I288" t="s">
        <v>353</v>
      </c>
      <c r="J288" t="s">
        <v>355</v>
      </c>
      <c r="K288" t="s">
        <v>612</v>
      </c>
      <c r="L288" t="s">
        <v>179</v>
      </c>
      <c r="M288" t="s">
        <v>274</v>
      </c>
      <c r="N288" t="s">
        <v>12</v>
      </c>
      <c r="O288" t="s">
        <v>275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274</v>
      </c>
      <c r="AH288" t="s">
        <v>12</v>
      </c>
      <c r="AI288" t="s">
        <v>275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0</v>
      </c>
      <c r="AN288">
        <f>$H$288*$T$288</f>
        <v>0</v>
      </c>
      <c r="AO288">
        <f>$H$288*$U$288</f>
        <v>0</v>
      </c>
      <c r="AP288">
        <f>$H$288*$V$288</f>
        <v>0</v>
      </c>
      <c r="AQ288">
        <f>$H$288*$W$288</f>
        <v>0</v>
      </c>
      <c r="AR288">
        <f>$H$288*$X$288</f>
        <v>0</v>
      </c>
      <c r="AS288">
        <f>$H$288*$Y$288</f>
        <v>1180.32</v>
      </c>
      <c r="AT288">
        <f>$H$288*$Z$288</f>
        <v>1180.32</v>
      </c>
      <c r="AU288">
        <f>$H$288*$AA$288</f>
        <v>1180.32</v>
      </c>
      <c r="AV288">
        <f>$H$288*$AB$288</f>
        <v>1180.32</v>
      </c>
      <c r="AW288">
        <f>$H$288*$AC$288</f>
        <v>1180.32</v>
      </c>
      <c r="AX288">
        <f>$H$288*$AD$288</f>
        <v>1180.32</v>
      </c>
      <c r="AY288">
        <f>$H$288*$AE$288</f>
        <v>1180.32</v>
      </c>
      <c r="AZ288">
        <f>$H$288*$AF$288</f>
        <v>1180.32</v>
      </c>
    </row>
    <row r="289" spans="1:52" x14ac:dyDescent="0.25">
      <c r="A289">
        <v>337</v>
      </c>
      <c r="B289" t="s">
        <v>274</v>
      </c>
      <c r="C289" t="s">
        <v>354</v>
      </c>
      <c r="D289">
        <v>0.5</v>
      </c>
      <c r="E289">
        <v>327.87</v>
      </c>
      <c r="F289" t="s">
        <v>335</v>
      </c>
      <c r="G289">
        <v>655.73</v>
      </c>
      <c r="H289">
        <v>393.45</v>
      </c>
      <c r="I289" t="s">
        <v>353</v>
      </c>
      <c r="J289" t="s">
        <v>355</v>
      </c>
      <c r="K289" t="s">
        <v>612</v>
      </c>
      <c r="L289" t="s">
        <v>179</v>
      </c>
      <c r="M289" t="s">
        <v>274</v>
      </c>
      <c r="N289" t="s">
        <v>12</v>
      </c>
      <c r="O289" t="s">
        <v>275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1</v>
      </c>
      <c r="Z289">
        <v>1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274</v>
      </c>
      <c r="AH289" t="s">
        <v>12</v>
      </c>
      <c r="AI289" t="s">
        <v>275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0</v>
      </c>
      <c r="AN289">
        <f>$H$289*$T$289</f>
        <v>0</v>
      </c>
      <c r="AO289">
        <f>$H$289*$U$289</f>
        <v>0</v>
      </c>
      <c r="AP289">
        <f>$H$289*$V$289</f>
        <v>0</v>
      </c>
      <c r="AQ289">
        <f>$H$289*$W$289</f>
        <v>0</v>
      </c>
      <c r="AR289">
        <f>$H$289*$X$289</f>
        <v>0</v>
      </c>
      <c r="AS289">
        <f>$H$289*$Y$289</f>
        <v>393.45</v>
      </c>
      <c r="AT289">
        <f>$H$289*$Z$289</f>
        <v>393.45</v>
      </c>
      <c r="AU289">
        <f>$H$289*$AA$289</f>
        <v>393.45</v>
      </c>
      <c r="AV289">
        <f>$H$289*$AB$289</f>
        <v>393.45</v>
      </c>
      <c r="AW289">
        <f>$H$289*$AC$289</f>
        <v>393.45</v>
      </c>
      <c r="AX289">
        <f>$H$289*$AD$289</f>
        <v>393.45</v>
      </c>
      <c r="AY289">
        <f>$H$289*$AE$289</f>
        <v>393.45</v>
      </c>
      <c r="AZ289">
        <f>$H$289*$AF$289</f>
        <v>393.45</v>
      </c>
    </row>
    <row r="290" spans="1:52" x14ac:dyDescent="0.25">
      <c r="A290">
        <v>338</v>
      </c>
      <c r="B290" t="s">
        <v>274</v>
      </c>
      <c r="C290" t="s">
        <v>515</v>
      </c>
      <c r="D290">
        <v>2</v>
      </c>
      <c r="E290">
        <v>813.28</v>
      </c>
      <c r="F290" t="s">
        <v>335</v>
      </c>
      <c r="G290">
        <v>406.64</v>
      </c>
      <c r="H290">
        <v>975.94</v>
      </c>
      <c r="I290" t="s">
        <v>353</v>
      </c>
      <c r="J290" t="s">
        <v>516</v>
      </c>
      <c r="K290" t="s">
        <v>690</v>
      </c>
      <c r="L290" t="s">
        <v>179</v>
      </c>
      <c r="M290" t="s">
        <v>274</v>
      </c>
      <c r="N290" t="s">
        <v>12</v>
      </c>
      <c r="O290" t="s">
        <v>275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274</v>
      </c>
      <c r="AH290" t="s">
        <v>12</v>
      </c>
      <c r="AI290" t="s">
        <v>275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0</v>
      </c>
      <c r="AN290">
        <f>$H$290*$T$290</f>
        <v>0</v>
      </c>
      <c r="AO290">
        <f>$H$290*$U$290</f>
        <v>0</v>
      </c>
      <c r="AP290">
        <f>$H$290*$V$290</f>
        <v>0</v>
      </c>
      <c r="AQ290">
        <f>$H$290*$W$290</f>
        <v>0</v>
      </c>
      <c r="AR290">
        <f>$H$290*$X$290</f>
        <v>0</v>
      </c>
      <c r="AS290">
        <f>$H$290*$Y$290</f>
        <v>0</v>
      </c>
      <c r="AT290">
        <f>$H$290*$Z$290</f>
        <v>0</v>
      </c>
      <c r="AU290">
        <f>$H$290*$AA$290</f>
        <v>975.94</v>
      </c>
      <c r="AV290">
        <f>$H$290*$AB$290</f>
        <v>975.94</v>
      </c>
      <c r="AW290">
        <f>$H$290*$AC$290</f>
        <v>975.94</v>
      </c>
      <c r="AX290">
        <f>$H$290*$AD$290</f>
        <v>975.94</v>
      </c>
      <c r="AY290">
        <f>$H$290*$AE$290</f>
        <v>975.94</v>
      </c>
      <c r="AZ290">
        <f>$H$290*$AF$290</f>
        <v>975.94</v>
      </c>
    </row>
    <row r="291" spans="1:52" x14ac:dyDescent="0.25">
      <c r="A291">
        <v>339</v>
      </c>
      <c r="B291" t="s">
        <v>274</v>
      </c>
      <c r="C291" t="s">
        <v>438</v>
      </c>
      <c r="D291">
        <v>14.13</v>
      </c>
      <c r="E291">
        <v>37.020000000000003</v>
      </c>
      <c r="F291" t="s">
        <v>329</v>
      </c>
      <c r="G291">
        <v>2.62</v>
      </c>
      <c r="H291">
        <v>44.42</v>
      </c>
      <c r="I291" t="s">
        <v>439</v>
      </c>
      <c r="J291" t="s">
        <v>440</v>
      </c>
      <c r="K291" t="s">
        <v>654</v>
      </c>
      <c r="L291" t="s">
        <v>179</v>
      </c>
      <c r="M291" t="s">
        <v>274</v>
      </c>
      <c r="N291" t="s">
        <v>12</v>
      </c>
      <c r="O291" t="s">
        <v>275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274</v>
      </c>
      <c r="AH291" t="s">
        <v>12</v>
      </c>
      <c r="AI291" t="s">
        <v>275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0</v>
      </c>
      <c r="AN291">
        <f>$H$291*$T$291</f>
        <v>0</v>
      </c>
      <c r="AO291">
        <f>$H$291*$U$291</f>
        <v>0</v>
      </c>
      <c r="AP291">
        <f>$H$291*$V$291</f>
        <v>0</v>
      </c>
      <c r="AQ291">
        <f>$H$291*$W$291</f>
        <v>0</v>
      </c>
      <c r="AR291">
        <f>$H$291*$X$291</f>
        <v>0</v>
      </c>
      <c r="AS291">
        <f>$H$291*$Y$291</f>
        <v>0</v>
      </c>
      <c r="AT291">
        <f>$H$291*$Z$291</f>
        <v>0</v>
      </c>
      <c r="AU291">
        <f>$H$291*$AA$291</f>
        <v>44.42</v>
      </c>
      <c r="AV291">
        <f>$H$291*$AB$291</f>
        <v>44.42</v>
      </c>
      <c r="AW291">
        <f>$H$291*$AC$291</f>
        <v>44.42</v>
      </c>
      <c r="AX291">
        <f>$H$291*$AD$291</f>
        <v>44.42</v>
      </c>
      <c r="AY291">
        <f>$H$291*$AE$291</f>
        <v>44.42</v>
      </c>
      <c r="AZ291">
        <f>$H$291*$AF$291</f>
        <v>44.42</v>
      </c>
    </row>
    <row r="292" spans="1:52" x14ac:dyDescent="0.25">
      <c r="A292">
        <v>340</v>
      </c>
      <c r="B292" t="s">
        <v>274</v>
      </c>
      <c r="C292" t="s">
        <v>441</v>
      </c>
      <c r="D292">
        <v>127.2</v>
      </c>
      <c r="E292">
        <v>274.75</v>
      </c>
      <c r="F292" t="s">
        <v>349</v>
      </c>
      <c r="G292">
        <v>2.16</v>
      </c>
      <c r="H292">
        <v>329.71</v>
      </c>
      <c r="I292" t="s">
        <v>439</v>
      </c>
      <c r="J292" t="s">
        <v>442</v>
      </c>
      <c r="K292" t="s">
        <v>655</v>
      </c>
      <c r="L292" t="s">
        <v>179</v>
      </c>
      <c r="M292" t="s">
        <v>274</v>
      </c>
      <c r="N292" t="s">
        <v>12</v>
      </c>
      <c r="O292" t="s">
        <v>275</v>
      </c>
      <c r="P292">
        <v>0</v>
      </c>
      <c r="Q292">
        <v>0</v>
      </c>
      <c r="R292">
        <v>0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274</v>
      </c>
      <c r="AH292" t="s">
        <v>12</v>
      </c>
      <c r="AI292" t="s">
        <v>275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329.71</v>
      </c>
      <c r="AN292">
        <f>$H$292*$T$292</f>
        <v>329.71</v>
      </c>
      <c r="AO292">
        <f>$H$292*$U$292</f>
        <v>329.71</v>
      </c>
      <c r="AP292">
        <f>$H$292*$V$292</f>
        <v>329.71</v>
      </c>
      <c r="AQ292">
        <f>$H$292*$W$292</f>
        <v>329.71</v>
      </c>
      <c r="AR292">
        <f>$H$292*$X$292</f>
        <v>329.71</v>
      </c>
      <c r="AS292">
        <f>$H$292*$Y$292</f>
        <v>329.71</v>
      </c>
      <c r="AT292">
        <f>$H$292*$Z$292</f>
        <v>329.71</v>
      </c>
      <c r="AU292">
        <f>$H$292*$AA$292</f>
        <v>329.71</v>
      </c>
      <c r="AV292">
        <f>$H$292*$AB$292</f>
        <v>329.71</v>
      </c>
      <c r="AW292">
        <f>$H$292*$AC$292</f>
        <v>329.71</v>
      </c>
      <c r="AX292">
        <f>$H$292*$AD$292</f>
        <v>329.71</v>
      </c>
      <c r="AY292">
        <f>$H$292*$AE$292</f>
        <v>329.71</v>
      </c>
      <c r="AZ292">
        <f>$H$292*$AF$292</f>
        <v>329.71</v>
      </c>
    </row>
    <row r="293" spans="1:52" x14ac:dyDescent="0.25">
      <c r="A293">
        <v>341</v>
      </c>
      <c r="B293" t="s">
        <v>274</v>
      </c>
      <c r="C293" t="s">
        <v>443</v>
      </c>
      <c r="D293">
        <v>127.2</v>
      </c>
      <c r="E293">
        <v>80.14</v>
      </c>
      <c r="F293" t="s">
        <v>349</v>
      </c>
      <c r="G293">
        <v>0.63</v>
      </c>
      <c r="H293">
        <v>96.16</v>
      </c>
      <c r="I293" t="s">
        <v>330</v>
      </c>
      <c r="J293" t="s">
        <v>444</v>
      </c>
      <c r="K293" t="s">
        <v>656</v>
      </c>
      <c r="L293" t="s">
        <v>179</v>
      </c>
      <c r="M293" t="s">
        <v>274</v>
      </c>
      <c r="N293" t="s">
        <v>12</v>
      </c>
      <c r="O293" t="s">
        <v>275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1</v>
      </c>
      <c r="AE293">
        <v>1</v>
      </c>
      <c r="AF293">
        <v>1</v>
      </c>
      <c r="AG293" t="s">
        <v>274</v>
      </c>
      <c r="AH293" t="s">
        <v>12</v>
      </c>
      <c r="AI293" t="s">
        <v>275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0</v>
      </c>
      <c r="AN293">
        <f>$H$293*$T$293</f>
        <v>0</v>
      </c>
      <c r="AO293">
        <f>$H$293*$U$293</f>
        <v>0</v>
      </c>
      <c r="AP293">
        <f>$H$293*$V$293</f>
        <v>0</v>
      </c>
      <c r="AQ293">
        <f>$H$293*$W$293</f>
        <v>0</v>
      </c>
      <c r="AR293">
        <f>$H$293*$X$293</f>
        <v>0</v>
      </c>
      <c r="AS293">
        <f>$H$293*$Y$293</f>
        <v>0</v>
      </c>
      <c r="AT293">
        <f>$H$293*$Z$293</f>
        <v>0</v>
      </c>
      <c r="AU293">
        <f>$H$293*$AA$293</f>
        <v>0</v>
      </c>
      <c r="AV293">
        <f>$H$293*$AB$293</f>
        <v>0</v>
      </c>
      <c r="AW293">
        <f>$H$293*$AC$293</f>
        <v>0</v>
      </c>
      <c r="AX293">
        <f>$H$293*$AD$293</f>
        <v>96.16</v>
      </c>
      <c r="AY293">
        <f>$H$293*$AE$293</f>
        <v>96.16</v>
      </c>
      <c r="AZ293">
        <f>$H$293*$AF$293</f>
        <v>96.16</v>
      </c>
    </row>
    <row r="294" spans="1:52" x14ac:dyDescent="0.25">
      <c r="A294">
        <v>342</v>
      </c>
      <c r="B294" t="s">
        <v>274</v>
      </c>
      <c r="C294" t="s">
        <v>362</v>
      </c>
      <c r="D294">
        <v>159</v>
      </c>
      <c r="E294">
        <v>155.82</v>
      </c>
      <c r="F294" t="s">
        <v>349</v>
      </c>
      <c r="G294">
        <v>0.98</v>
      </c>
      <c r="H294">
        <v>186.98</v>
      </c>
      <c r="I294" t="s">
        <v>330</v>
      </c>
      <c r="J294" t="s">
        <v>363</v>
      </c>
      <c r="K294" t="s">
        <v>617</v>
      </c>
      <c r="L294" t="s">
        <v>179</v>
      </c>
      <c r="M294" t="s">
        <v>274</v>
      </c>
      <c r="N294" t="s">
        <v>12</v>
      </c>
      <c r="O294" t="s">
        <v>275</v>
      </c>
      <c r="P294">
        <v>0</v>
      </c>
      <c r="Q294">
        <v>0</v>
      </c>
      <c r="R294">
        <v>0</v>
      </c>
      <c r="S294">
        <v>0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274</v>
      </c>
      <c r="AH294" t="s">
        <v>12</v>
      </c>
      <c r="AI294" t="s">
        <v>275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0</v>
      </c>
      <c r="AN294">
        <f>$H$294*$T$294</f>
        <v>186.98</v>
      </c>
      <c r="AO294">
        <f>$H$294*$U$294</f>
        <v>186.98</v>
      </c>
      <c r="AP294">
        <f>$H$294*$V$294</f>
        <v>186.98</v>
      </c>
      <c r="AQ294">
        <f>$H$294*$W$294</f>
        <v>186.98</v>
      </c>
      <c r="AR294">
        <f>$H$294*$X$294</f>
        <v>186.98</v>
      </c>
      <c r="AS294">
        <f>$H$294*$Y$294</f>
        <v>186.98</v>
      </c>
      <c r="AT294">
        <f>$H$294*$Z$294</f>
        <v>186.98</v>
      </c>
      <c r="AU294">
        <f>$H$294*$AA$294</f>
        <v>186.98</v>
      </c>
      <c r="AV294">
        <f>$H$294*$AB$294</f>
        <v>186.98</v>
      </c>
      <c r="AW294">
        <f>$H$294*$AC$294</f>
        <v>186.98</v>
      </c>
      <c r="AX294">
        <f>$H$294*$AD$294</f>
        <v>186.98</v>
      </c>
      <c r="AY294">
        <f>$H$294*$AE$294</f>
        <v>186.98</v>
      </c>
      <c r="AZ294">
        <f>$H$294*$AF$294</f>
        <v>186.98</v>
      </c>
    </row>
    <row r="295" spans="1:52" x14ac:dyDescent="0.25">
      <c r="A295">
        <v>343</v>
      </c>
      <c r="B295" t="s">
        <v>274</v>
      </c>
      <c r="C295" t="s">
        <v>445</v>
      </c>
      <c r="D295">
        <v>31.8</v>
      </c>
      <c r="E295">
        <v>119.57</v>
      </c>
      <c r="F295" t="s">
        <v>349</v>
      </c>
      <c r="G295">
        <v>3.76</v>
      </c>
      <c r="H295">
        <v>143.49</v>
      </c>
      <c r="I295" t="s">
        <v>446</v>
      </c>
      <c r="J295" t="s">
        <v>420</v>
      </c>
      <c r="K295" t="s">
        <v>657</v>
      </c>
      <c r="L295" t="s">
        <v>179</v>
      </c>
      <c r="M295" t="s">
        <v>274</v>
      </c>
      <c r="N295" t="s">
        <v>12</v>
      </c>
      <c r="O295" t="s">
        <v>275</v>
      </c>
      <c r="P295">
        <v>0</v>
      </c>
      <c r="Q295">
        <v>0</v>
      </c>
      <c r="R295">
        <v>0</v>
      </c>
      <c r="S295">
        <v>0.25</v>
      </c>
      <c r="T295">
        <v>0.25</v>
      </c>
      <c r="U295">
        <v>0.25</v>
      </c>
      <c r="V295">
        <v>0.25</v>
      </c>
      <c r="W295">
        <v>0.25</v>
      </c>
      <c r="X295">
        <v>0.5</v>
      </c>
      <c r="Y295">
        <v>0.5</v>
      </c>
      <c r="Z295">
        <v>0.5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274</v>
      </c>
      <c r="AH295" t="s">
        <v>12</v>
      </c>
      <c r="AI295" t="s">
        <v>275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35.872500000000002</v>
      </c>
      <c r="AN295">
        <f>$H$295*$T$295</f>
        <v>35.872500000000002</v>
      </c>
      <c r="AO295">
        <f>$H$295*$U$295</f>
        <v>35.872500000000002</v>
      </c>
      <c r="AP295">
        <f>$H$295*$V$295</f>
        <v>35.872500000000002</v>
      </c>
      <c r="AQ295">
        <f>$H$295*$W$295</f>
        <v>35.872500000000002</v>
      </c>
      <c r="AR295">
        <f>$H$295*$X$295</f>
        <v>71.745000000000005</v>
      </c>
      <c r="AS295">
        <f>$H$295*$Y$295</f>
        <v>71.745000000000005</v>
      </c>
      <c r="AT295">
        <f>$H$295*$Z$295</f>
        <v>71.745000000000005</v>
      </c>
      <c r="AU295">
        <f>$H$295*$AA$295</f>
        <v>143.49</v>
      </c>
      <c r="AV295">
        <f>$H$295*$AB$295</f>
        <v>143.49</v>
      </c>
      <c r="AW295">
        <f>$H$295*$AC$295</f>
        <v>143.49</v>
      </c>
      <c r="AX295">
        <f>$H$295*$AD$295</f>
        <v>143.49</v>
      </c>
      <c r="AY295">
        <f>$H$295*$AE$295</f>
        <v>143.49</v>
      </c>
      <c r="AZ295">
        <f>$H$295*$AF$295</f>
        <v>143.49</v>
      </c>
    </row>
    <row r="296" spans="1:52" x14ac:dyDescent="0.25">
      <c r="A296">
        <v>344</v>
      </c>
      <c r="B296" t="s">
        <v>274</v>
      </c>
      <c r="C296" t="s">
        <v>364</v>
      </c>
      <c r="D296">
        <v>318</v>
      </c>
      <c r="E296">
        <v>1068.48</v>
      </c>
      <c r="F296" t="s">
        <v>349</v>
      </c>
      <c r="G296">
        <v>3.36</v>
      </c>
      <c r="H296">
        <v>1282.18</v>
      </c>
      <c r="I296" t="s">
        <v>365</v>
      </c>
      <c r="J296" t="s">
        <v>366</v>
      </c>
      <c r="K296" t="s">
        <v>618</v>
      </c>
      <c r="L296" t="s">
        <v>179</v>
      </c>
      <c r="M296" t="s">
        <v>274</v>
      </c>
      <c r="N296" t="s">
        <v>12</v>
      </c>
      <c r="O296" t="s">
        <v>275</v>
      </c>
      <c r="P296">
        <v>0</v>
      </c>
      <c r="Q296">
        <v>0</v>
      </c>
      <c r="R296">
        <v>0</v>
      </c>
      <c r="S296">
        <v>0.25</v>
      </c>
      <c r="T296">
        <v>0.25</v>
      </c>
      <c r="U296">
        <v>0.25</v>
      </c>
      <c r="V296">
        <v>0.25</v>
      </c>
      <c r="W296">
        <v>0.5</v>
      </c>
      <c r="X296">
        <v>0.5</v>
      </c>
      <c r="Y296">
        <v>0.5</v>
      </c>
      <c r="Z296">
        <v>0.5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274</v>
      </c>
      <c r="AH296" t="s">
        <v>12</v>
      </c>
      <c r="AI296" t="s">
        <v>275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320.54500000000002</v>
      </c>
      <c r="AN296">
        <f>$H$296*$T$296</f>
        <v>320.54500000000002</v>
      </c>
      <c r="AO296">
        <f>$H$296*$U$296</f>
        <v>320.54500000000002</v>
      </c>
      <c r="AP296">
        <f>$H$296*$V$296</f>
        <v>320.54500000000002</v>
      </c>
      <c r="AQ296">
        <f>$H$296*$W$296</f>
        <v>641.09</v>
      </c>
      <c r="AR296">
        <f>$H$296*$X$296</f>
        <v>641.09</v>
      </c>
      <c r="AS296">
        <f>$H$296*$Y$296</f>
        <v>641.09</v>
      </c>
      <c r="AT296">
        <f>$H$296*$Z$296</f>
        <v>641.09</v>
      </c>
      <c r="AU296">
        <f>$H$296*$AA$296</f>
        <v>1282.18</v>
      </c>
      <c r="AV296">
        <f>$H$296*$AB$296</f>
        <v>1282.18</v>
      </c>
      <c r="AW296">
        <f>$H$296*$AC$296</f>
        <v>1282.18</v>
      </c>
      <c r="AX296">
        <f>$H$296*$AD$296</f>
        <v>1282.18</v>
      </c>
      <c r="AY296">
        <f>$H$296*$AE$296</f>
        <v>1282.18</v>
      </c>
      <c r="AZ296">
        <f>$H$296*$AF$296</f>
        <v>1282.18</v>
      </c>
    </row>
    <row r="297" spans="1:52" x14ac:dyDescent="0.25">
      <c r="A297">
        <v>345</v>
      </c>
      <c r="B297" t="s">
        <v>274</v>
      </c>
      <c r="C297" t="s">
        <v>455</v>
      </c>
      <c r="D297">
        <v>35.33</v>
      </c>
      <c r="E297">
        <v>53.35</v>
      </c>
      <c r="F297" t="s">
        <v>329</v>
      </c>
      <c r="G297">
        <v>1.51</v>
      </c>
      <c r="H297">
        <v>64.03</v>
      </c>
      <c r="I297" t="s">
        <v>330</v>
      </c>
      <c r="J297" t="s">
        <v>456</v>
      </c>
      <c r="K297" t="s">
        <v>662</v>
      </c>
      <c r="L297" t="s">
        <v>179</v>
      </c>
      <c r="M297" t="s">
        <v>274</v>
      </c>
      <c r="N297" t="s">
        <v>12</v>
      </c>
      <c r="O297" t="s">
        <v>275</v>
      </c>
      <c r="P297">
        <v>0</v>
      </c>
      <c r="Q297">
        <v>0</v>
      </c>
      <c r="R297">
        <v>0</v>
      </c>
      <c r="S297">
        <v>1</v>
      </c>
      <c r="T297">
        <v>1</v>
      </c>
      <c r="U297">
        <v>1</v>
      </c>
      <c r="V297">
        <v>1</v>
      </c>
      <c r="W297">
        <v>1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274</v>
      </c>
      <c r="AH297" t="s">
        <v>12</v>
      </c>
      <c r="AI297" t="s">
        <v>275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64.03</v>
      </c>
      <c r="AN297">
        <f>$H$297*$T$297</f>
        <v>64.03</v>
      </c>
      <c r="AO297">
        <f>$H$297*$U$297</f>
        <v>64.03</v>
      </c>
      <c r="AP297">
        <f>$H$297*$V$297</f>
        <v>64.03</v>
      </c>
      <c r="AQ297">
        <f>$H$297*$W$297</f>
        <v>64.03</v>
      </c>
      <c r="AR297">
        <f>$H$297*$X$297</f>
        <v>64.03</v>
      </c>
      <c r="AS297">
        <f>$H$297*$Y$297</f>
        <v>64.03</v>
      </c>
      <c r="AT297">
        <f>$H$297*$Z$297</f>
        <v>64.03</v>
      </c>
      <c r="AU297">
        <f>$H$297*$AA$297</f>
        <v>64.03</v>
      </c>
      <c r="AV297">
        <f>$H$297*$AB$297</f>
        <v>64.03</v>
      </c>
      <c r="AW297">
        <f>$H$297*$AC$297</f>
        <v>64.03</v>
      </c>
      <c r="AX297">
        <f>$H$297*$AD$297</f>
        <v>64.03</v>
      </c>
      <c r="AY297">
        <f>$H$297*$AE$297</f>
        <v>64.03</v>
      </c>
      <c r="AZ297">
        <f>$H$297*$AF$297</f>
        <v>64.03</v>
      </c>
    </row>
    <row r="298" spans="1:52" x14ac:dyDescent="0.25">
      <c r="A298">
        <v>346</v>
      </c>
      <c r="B298" t="s">
        <v>274</v>
      </c>
      <c r="C298" t="s">
        <v>457</v>
      </c>
      <c r="D298">
        <v>35.33</v>
      </c>
      <c r="E298">
        <v>200.67</v>
      </c>
      <c r="F298" t="s">
        <v>329</v>
      </c>
      <c r="G298">
        <v>5.68</v>
      </c>
      <c r="H298">
        <v>240.81</v>
      </c>
      <c r="I298" t="s">
        <v>333</v>
      </c>
      <c r="J298" t="s">
        <v>458</v>
      </c>
      <c r="K298" t="s">
        <v>663</v>
      </c>
      <c r="L298" t="s">
        <v>179</v>
      </c>
      <c r="M298" t="s">
        <v>274</v>
      </c>
      <c r="N298" t="s">
        <v>12</v>
      </c>
      <c r="O298" t="s">
        <v>275</v>
      </c>
      <c r="P298">
        <v>0</v>
      </c>
      <c r="Q298">
        <v>0</v>
      </c>
      <c r="R298">
        <v>0</v>
      </c>
      <c r="S298">
        <v>1</v>
      </c>
      <c r="T298">
        <v>1</v>
      </c>
      <c r="U298">
        <v>1</v>
      </c>
      <c r="V298">
        <v>1</v>
      </c>
      <c r="W298">
        <v>1</v>
      </c>
      <c r="X298">
        <v>1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274</v>
      </c>
      <c r="AH298" t="s">
        <v>12</v>
      </c>
      <c r="AI298" t="s">
        <v>275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240.81</v>
      </c>
      <c r="AN298">
        <f>$H$298*$T$298</f>
        <v>240.81</v>
      </c>
      <c r="AO298">
        <f>$H$298*$U$298</f>
        <v>240.81</v>
      </c>
      <c r="AP298">
        <f>$H$298*$V$298</f>
        <v>240.81</v>
      </c>
      <c r="AQ298">
        <f>$H$298*$W$298</f>
        <v>240.81</v>
      </c>
      <c r="AR298">
        <f>$H$298*$X$298</f>
        <v>240.81</v>
      </c>
      <c r="AS298">
        <f>$H$298*$Y$298</f>
        <v>240.81</v>
      </c>
      <c r="AT298">
        <f>$H$298*$Z$298</f>
        <v>240.81</v>
      </c>
      <c r="AU298">
        <f>$H$298*$AA$298</f>
        <v>240.81</v>
      </c>
      <c r="AV298">
        <f>$H$298*$AB$298</f>
        <v>240.81</v>
      </c>
      <c r="AW298">
        <f>$H$298*$AC$298</f>
        <v>240.81</v>
      </c>
      <c r="AX298">
        <f>$H$298*$AD$298</f>
        <v>240.81</v>
      </c>
      <c r="AY298">
        <f>$H$298*$AE$298</f>
        <v>240.81</v>
      </c>
      <c r="AZ298">
        <f>$H$298*$AF$298</f>
        <v>240.81</v>
      </c>
    </row>
    <row r="299" spans="1:52" x14ac:dyDescent="0.25">
      <c r="A299">
        <v>347</v>
      </c>
      <c r="B299" t="s">
        <v>274</v>
      </c>
      <c r="C299" t="s">
        <v>364</v>
      </c>
      <c r="D299">
        <v>77.03</v>
      </c>
      <c r="E299">
        <v>258.82</v>
      </c>
      <c r="F299" t="s">
        <v>349</v>
      </c>
      <c r="G299">
        <v>3.36</v>
      </c>
      <c r="H299">
        <v>310.58</v>
      </c>
      <c r="I299" t="s">
        <v>365</v>
      </c>
      <c r="J299" t="s">
        <v>366</v>
      </c>
      <c r="K299" t="s">
        <v>618</v>
      </c>
      <c r="L299" t="s">
        <v>179</v>
      </c>
      <c r="M299" t="s">
        <v>274</v>
      </c>
      <c r="N299" t="s">
        <v>12</v>
      </c>
      <c r="O299" t="s">
        <v>275</v>
      </c>
      <c r="P299">
        <v>0</v>
      </c>
      <c r="Q299">
        <v>0</v>
      </c>
      <c r="R299">
        <v>0</v>
      </c>
      <c r="S299">
        <v>0.25</v>
      </c>
      <c r="T299">
        <v>0.25</v>
      </c>
      <c r="U299">
        <v>0.25</v>
      </c>
      <c r="V299">
        <v>0.25</v>
      </c>
      <c r="W299">
        <v>0.5</v>
      </c>
      <c r="X299">
        <v>0.5</v>
      </c>
      <c r="Y299">
        <v>0.5</v>
      </c>
      <c r="Z299">
        <v>0.5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274</v>
      </c>
      <c r="AH299" t="s">
        <v>12</v>
      </c>
      <c r="AI299" t="s">
        <v>275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77.644999999999996</v>
      </c>
      <c r="AN299">
        <f>$H$299*$T$299</f>
        <v>77.644999999999996</v>
      </c>
      <c r="AO299">
        <f>$H$299*$U$299</f>
        <v>77.644999999999996</v>
      </c>
      <c r="AP299">
        <f>$H$299*$V$299</f>
        <v>77.644999999999996</v>
      </c>
      <c r="AQ299">
        <f>$H$299*$W$299</f>
        <v>155.29</v>
      </c>
      <c r="AR299">
        <f>$H$299*$X$299</f>
        <v>155.29</v>
      </c>
      <c r="AS299">
        <f>$H$299*$Y$299</f>
        <v>155.29</v>
      </c>
      <c r="AT299">
        <f>$H$299*$Z$299</f>
        <v>155.29</v>
      </c>
      <c r="AU299">
        <f>$H$299*$AA$299</f>
        <v>310.58</v>
      </c>
      <c r="AV299">
        <f>$H$299*$AB$299</f>
        <v>310.58</v>
      </c>
      <c r="AW299">
        <f>$H$299*$AC$299</f>
        <v>310.58</v>
      </c>
      <c r="AX299">
        <f>$H$299*$AD$299</f>
        <v>310.58</v>
      </c>
      <c r="AY299">
        <f>$H$299*$AE$299</f>
        <v>310.58</v>
      </c>
      <c r="AZ299">
        <f>$H$299*$AF$299</f>
        <v>310.58</v>
      </c>
    </row>
    <row r="300" spans="1:52" x14ac:dyDescent="0.25">
      <c r="A300">
        <v>348</v>
      </c>
      <c r="B300" t="s">
        <v>274</v>
      </c>
      <c r="C300" t="s">
        <v>443</v>
      </c>
      <c r="D300">
        <v>77.03</v>
      </c>
      <c r="E300">
        <v>48.53</v>
      </c>
      <c r="F300" t="s">
        <v>349</v>
      </c>
      <c r="G300">
        <v>0.63</v>
      </c>
      <c r="H300">
        <v>58.23</v>
      </c>
      <c r="I300" t="s">
        <v>330</v>
      </c>
      <c r="J300" t="s">
        <v>444</v>
      </c>
      <c r="K300" t="s">
        <v>656</v>
      </c>
      <c r="L300" t="s">
        <v>179</v>
      </c>
      <c r="M300" t="s">
        <v>274</v>
      </c>
      <c r="N300" t="s">
        <v>12</v>
      </c>
      <c r="O300" t="s">
        <v>275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1</v>
      </c>
      <c r="AE300">
        <v>1</v>
      </c>
      <c r="AF300">
        <v>1</v>
      </c>
      <c r="AG300" t="s">
        <v>274</v>
      </c>
      <c r="AH300" t="s">
        <v>12</v>
      </c>
      <c r="AI300" t="s">
        <v>275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0</v>
      </c>
      <c r="AN300">
        <f>$H$300*$T$300</f>
        <v>0</v>
      </c>
      <c r="AO300">
        <f>$H$300*$U$300</f>
        <v>0</v>
      </c>
      <c r="AP300">
        <f>$H$300*$V$300</f>
        <v>0</v>
      </c>
      <c r="AQ300">
        <f>$H$300*$W$300</f>
        <v>0</v>
      </c>
      <c r="AR300">
        <f>$H$300*$X$300</f>
        <v>0</v>
      </c>
      <c r="AS300">
        <f>$H$300*$Y$300</f>
        <v>0</v>
      </c>
      <c r="AT300">
        <f>$H$300*$Z$300</f>
        <v>0</v>
      </c>
      <c r="AU300">
        <f>$H$300*$AA$300</f>
        <v>0</v>
      </c>
      <c r="AV300">
        <f>$H$300*$AB$300</f>
        <v>0</v>
      </c>
      <c r="AW300">
        <f>$H$300*$AC$300</f>
        <v>0</v>
      </c>
      <c r="AX300">
        <f>$H$300*$AD$300</f>
        <v>58.23</v>
      </c>
      <c r="AY300">
        <f>$H$300*$AE$300</f>
        <v>58.23</v>
      </c>
      <c r="AZ300">
        <f>$H$300*$AF$300</f>
        <v>58.23</v>
      </c>
    </row>
    <row r="301" spans="1:52" x14ac:dyDescent="0.25">
      <c r="A301">
        <v>349</v>
      </c>
      <c r="B301" t="s">
        <v>274</v>
      </c>
      <c r="C301" t="s">
        <v>459</v>
      </c>
      <c r="D301">
        <v>77.03</v>
      </c>
      <c r="E301">
        <v>53.15</v>
      </c>
      <c r="F301" t="s">
        <v>349</v>
      </c>
      <c r="G301">
        <v>0.69</v>
      </c>
      <c r="H301">
        <v>63.79</v>
      </c>
      <c r="I301" t="s">
        <v>330</v>
      </c>
      <c r="J301" t="s">
        <v>460</v>
      </c>
      <c r="K301" t="s">
        <v>664</v>
      </c>
      <c r="L301" t="s">
        <v>179</v>
      </c>
      <c r="M301" t="s">
        <v>274</v>
      </c>
      <c r="N301" t="s">
        <v>12</v>
      </c>
      <c r="O301" t="s">
        <v>275</v>
      </c>
      <c r="P301">
        <v>0</v>
      </c>
      <c r="Q301">
        <v>0</v>
      </c>
      <c r="R301">
        <v>0</v>
      </c>
      <c r="S301">
        <v>1</v>
      </c>
      <c r="T301">
        <v>1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1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274</v>
      </c>
      <c r="AH301" t="s">
        <v>12</v>
      </c>
      <c r="AI301" t="s">
        <v>275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63.79</v>
      </c>
      <c r="AN301">
        <f>$H$301*$T$301</f>
        <v>63.79</v>
      </c>
      <c r="AO301">
        <f>$H$301*$U$301</f>
        <v>63.79</v>
      </c>
      <c r="AP301">
        <f>$H$301*$V$301</f>
        <v>63.79</v>
      </c>
      <c r="AQ301">
        <f>$H$301*$W$301</f>
        <v>63.79</v>
      </c>
      <c r="AR301">
        <f>$H$301*$X$301</f>
        <v>63.79</v>
      </c>
      <c r="AS301">
        <f>$H$301*$Y$301</f>
        <v>63.79</v>
      </c>
      <c r="AT301">
        <f>$H$301*$Z$301</f>
        <v>63.79</v>
      </c>
      <c r="AU301">
        <f>$H$301*$AA$301</f>
        <v>63.79</v>
      </c>
      <c r="AV301">
        <f>$H$301*$AB$301</f>
        <v>63.79</v>
      </c>
      <c r="AW301">
        <f>$H$301*$AC$301</f>
        <v>63.79</v>
      </c>
      <c r="AX301">
        <f>$H$301*$AD$301</f>
        <v>63.79</v>
      </c>
      <c r="AY301">
        <f>$H$301*$AE$301</f>
        <v>63.79</v>
      </c>
      <c r="AZ301">
        <f>$H$301*$AF$301</f>
        <v>63.79</v>
      </c>
    </row>
    <row r="302" spans="1:52" x14ac:dyDescent="0.25">
      <c r="A302">
        <v>350</v>
      </c>
      <c r="B302" t="s">
        <v>274</v>
      </c>
      <c r="C302" t="s">
        <v>461</v>
      </c>
      <c r="D302">
        <v>15.41</v>
      </c>
      <c r="E302">
        <v>267.36</v>
      </c>
      <c r="F302" t="s">
        <v>349</v>
      </c>
      <c r="G302">
        <v>17.350000000000001</v>
      </c>
      <c r="H302">
        <v>320.83999999999997</v>
      </c>
      <c r="I302" t="s">
        <v>462</v>
      </c>
      <c r="J302" t="s">
        <v>463</v>
      </c>
      <c r="K302" t="s">
        <v>665</v>
      </c>
      <c r="L302" t="s">
        <v>179</v>
      </c>
      <c r="M302" t="s">
        <v>274</v>
      </c>
      <c r="N302" t="s">
        <v>12</v>
      </c>
      <c r="O302" t="s">
        <v>275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1</v>
      </c>
      <c r="Z302">
        <v>1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274</v>
      </c>
      <c r="AH302" t="s">
        <v>12</v>
      </c>
      <c r="AI302" t="s">
        <v>275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0</v>
      </c>
      <c r="AN302">
        <f>$H$302*$T$302</f>
        <v>0</v>
      </c>
      <c r="AO302">
        <f>$H$302*$U$302</f>
        <v>0</v>
      </c>
      <c r="AP302">
        <f>$H$302*$V$302</f>
        <v>0</v>
      </c>
      <c r="AQ302">
        <f>$H$302*$W$302</f>
        <v>0</v>
      </c>
      <c r="AR302">
        <f>$H$302*$X$302</f>
        <v>0</v>
      </c>
      <c r="AS302">
        <f>$H$302*$Y$302</f>
        <v>320.83999999999997</v>
      </c>
      <c r="AT302">
        <f>$H$302*$Z$302</f>
        <v>320.83999999999997</v>
      </c>
      <c r="AU302">
        <f>$H$302*$AA$302</f>
        <v>320.83999999999997</v>
      </c>
      <c r="AV302">
        <f>$H$302*$AB$302</f>
        <v>320.83999999999997</v>
      </c>
      <c r="AW302">
        <f>$H$302*$AC$302</f>
        <v>320.83999999999997</v>
      </c>
      <c r="AX302">
        <f>$H$302*$AD$302</f>
        <v>320.83999999999997</v>
      </c>
      <c r="AY302">
        <f>$H$302*$AE$302</f>
        <v>320.83999999999997</v>
      </c>
      <c r="AZ302">
        <f>$H$302*$AF$302</f>
        <v>320.83999999999997</v>
      </c>
    </row>
    <row r="303" spans="1:52" x14ac:dyDescent="0.25">
      <c r="A303">
        <v>351</v>
      </c>
      <c r="B303" t="s">
        <v>274</v>
      </c>
      <c r="C303" t="s">
        <v>464</v>
      </c>
      <c r="D303">
        <v>30.81</v>
      </c>
      <c r="E303">
        <v>110.3</v>
      </c>
      <c r="F303" t="s">
        <v>349</v>
      </c>
      <c r="G303">
        <v>3.58</v>
      </c>
      <c r="H303">
        <v>132.36000000000001</v>
      </c>
      <c r="I303" t="s">
        <v>465</v>
      </c>
      <c r="J303" t="s">
        <v>466</v>
      </c>
      <c r="K303" t="s">
        <v>666</v>
      </c>
      <c r="L303" t="s">
        <v>179</v>
      </c>
      <c r="M303" t="s">
        <v>274</v>
      </c>
      <c r="N303" t="s">
        <v>12</v>
      </c>
      <c r="O303" t="s">
        <v>275</v>
      </c>
      <c r="P303">
        <v>0</v>
      </c>
      <c r="Q303">
        <v>0</v>
      </c>
      <c r="R303">
        <v>0</v>
      </c>
      <c r="S303">
        <v>1</v>
      </c>
      <c r="T303">
        <v>1</v>
      </c>
      <c r="U303">
        <v>1</v>
      </c>
      <c r="V303">
        <v>1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274</v>
      </c>
      <c r="AH303" t="s">
        <v>12</v>
      </c>
      <c r="AI303" t="s">
        <v>275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132.36000000000001</v>
      </c>
      <c r="AN303">
        <f>$H$303*$T$303</f>
        <v>132.36000000000001</v>
      </c>
      <c r="AO303">
        <f>$H$303*$U$303</f>
        <v>132.36000000000001</v>
      </c>
      <c r="AP303">
        <f>$H$303*$V$303</f>
        <v>132.36000000000001</v>
      </c>
      <c r="AQ303">
        <f>$H$303*$W$303</f>
        <v>132.36000000000001</v>
      </c>
      <c r="AR303">
        <f>$H$303*$X$303</f>
        <v>132.36000000000001</v>
      </c>
      <c r="AS303">
        <f>$H$303*$Y$303</f>
        <v>132.36000000000001</v>
      </c>
      <c r="AT303">
        <f>$H$303*$Z$303</f>
        <v>132.36000000000001</v>
      </c>
      <c r="AU303">
        <f>$H$303*$AA$303</f>
        <v>132.36000000000001</v>
      </c>
      <c r="AV303">
        <f>$H$303*$AB$303</f>
        <v>132.36000000000001</v>
      </c>
      <c r="AW303">
        <f>$H$303*$AC$303</f>
        <v>132.36000000000001</v>
      </c>
      <c r="AX303">
        <f>$H$303*$AD$303</f>
        <v>132.36000000000001</v>
      </c>
      <c r="AY303">
        <f>$H$303*$AE$303</f>
        <v>132.36000000000001</v>
      </c>
      <c r="AZ303">
        <f>$H$303*$AF$303</f>
        <v>132.36000000000001</v>
      </c>
    </row>
    <row r="304" spans="1:52" x14ac:dyDescent="0.25">
      <c r="A304">
        <v>352</v>
      </c>
      <c r="B304" t="s">
        <v>274</v>
      </c>
      <c r="C304" t="s">
        <v>467</v>
      </c>
      <c r="D304">
        <v>30.81</v>
      </c>
      <c r="E304">
        <v>303.48</v>
      </c>
      <c r="F304" t="s">
        <v>349</v>
      </c>
      <c r="G304">
        <v>9.85</v>
      </c>
      <c r="H304">
        <v>364.18</v>
      </c>
      <c r="I304" t="s">
        <v>465</v>
      </c>
      <c r="J304" t="s">
        <v>372</v>
      </c>
      <c r="K304" t="s">
        <v>667</v>
      </c>
      <c r="L304" t="s">
        <v>179</v>
      </c>
      <c r="M304" t="s">
        <v>274</v>
      </c>
      <c r="N304" t="s">
        <v>12</v>
      </c>
      <c r="O304" t="s">
        <v>275</v>
      </c>
      <c r="P304">
        <v>0</v>
      </c>
      <c r="Q304">
        <v>0</v>
      </c>
      <c r="R304">
        <v>0</v>
      </c>
      <c r="S304">
        <v>1</v>
      </c>
      <c r="T304">
        <v>1</v>
      </c>
      <c r="U304">
        <v>1</v>
      </c>
      <c r="V304">
        <v>1</v>
      </c>
      <c r="W304">
        <v>1</v>
      </c>
      <c r="X304">
        <v>1</v>
      </c>
      <c r="Y304">
        <v>1</v>
      </c>
      <c r="Z304">
        <v>1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274</v>
      </c>
      <c r="AH304" t="s">
        <v>12</v>
      </c>
      <c r="AI304" t="s">
        <v>275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364.18</v>
      </c>
      <c r="AN304">
        <f>$H$304*$T$304</f>
        <v>364.18</v>
      </c>
      <c r="AO304">
        <f>$H$304*$U$304</f>
        <v>364.18</v>
      </c>
      <c r="AP304">
        <f>$H$304*$V$304</f>
        <v>364.18</v>
      </c>
      <c r="AQ304">
        <f>$H$304*$W$304</f>
        <v>364.18</v>
      </c>
      <c r="AR304">
        <f>$H$304*$X$304</f>
        <v>364.18</v>
      </c>
      <c r="AS304">
        <f>$H$304*$Y$304</f>
        <v>364.18</v>
      </c>
      <c r="AT304">
        <f>$H$304*$Z$304</f>
        <v>364.18</v>
      </c>
      <c r="AU304">
        <f>$H$304*$AA$304</f>
        <v>364.18</v>
      </c>
      <c r="AV304">
        <f>$H$304*$AB$304</f>
        <v>364.18</v>
      </c>
      <c r="AW304">
        <f>$H$304*$AC$304</f>
        <v>364.18</v>
      </c>
      <c r="AX304">
        <f>$H$304*$AD$304</f>
        <v>364.18</v>
      </c>
      <c r="AY304">
        <f>$H$304*$AE$304</f>
        <v>364.18</v>
      </c>
      <c r="AZ304">
        <f>$H$304*$AF$304</f>
        <v>364.18</v>
      </c>
    </row>
    <row r="305" spans="1:52" x14ac:dyDescent="0.25">
      <c r="A305">
        <v>353</v>
      </c>
      <c r="B305" t="s">
        <v>274</v>
      </c>
      <c r="C305" t="s">
        <v>468</v>
      </c>
      <c r="D305">
        <v>35.43</v>
      </c>
      <c r="E305">
        <v>36.14</v>
      </c>
      <c r="F305" t="s">
        <v>349</v>
      </c>
      <c r="G305">
        <v>1.02</v>
      </c>
      <c r="H305">
        <v>43.36</v>
      </c>
      <c r="I305" t="s">
        <v>469</v>
      </c>
      <c r="J305" t="s">
        <v>470</v>
      </c>
      <c r="K305" t="s">
        <v>668</v>
      </c>
      <c r="L305" t="s">
        <v>179</v>
      </c>
      <c r="M305" t="s">
        <v>274</v>
      </c>
      <c r="N305" t="s">
        <v>12</v>
      </c>
      <c r="O305" t="s">
        <v>275</v>
      </c>
      <c r="P305">
        <v>0</v>
      </c>
      <c r="Q305">
        <v>0</v>
      </c>
      <c r="R305">
        <v>0</v>
      </c>
      <c r="S305">
        <v>1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274</v>
      </c>
      <c r="AH305" t="s">
        <v>12</v>
      </c>
      <c r="AI305" t="s">
        <v>275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43.36</v>
      </c>
      <c r="AN305">
        <f>$H$305*$T$305</f>
        <v>43.36</v>
      </c>
      <c r="AO305">
        <f>$H$305*$U$305</f>
        <v>43.36</v>
      </c>
      <c r="AP305">
        <f>$H$305*$V$305</f>
        <v>43.36</v>
      </c>
      <c r="AQ305">
        <f>$H$305*$W$305</f>
        <v>43.36</v>
      </c>
      <c r="AR305">
        <f>$H$305*$X$305</f>
        <v>43.36</v>
      </c>
      <c r="AS305">
        <f>$H$305*$Y$305</f>
        <v>43.36</v>
      </c>
      <c r="AT305">
        <f>$H$305*$Z$305</f>
        <v>43.36</v>
      </c>
      <c r="AU305">
        <f>$H$305*$AA$305</f>
        <v>43.36</v>
      </c>
      <c r="AV305">
        <f>$H$305*$AB$305</f>
        <v>43.36</v>
      </c>
      <c r="AW305">
        <f>$H$305*$AC$305</f>
        <v>43.36</v>
      </c>
      <c r="AX305">
        <f>$H$305*$AD$305</f>
        <v>43.36</v>
      </c>
      <c r="AY305">
        <f>$H$305*$AE$305</f>
        <v>43.36</v>
      </c>
      <c r="AZ305">
        <f>$H$305*$AF$305</f>
        <v>43.36</v>
      </c>
    </row>
    <row r="306" spans="1:52" x14ac:dyDescent="0.25">
      <c r="A306">
        <v>354</v>
      </c>
      <c r="B306" t="s">
        <v>274</v>
      </c>
      <c r="C306" t="s">
        <v>471</v>
      </c>
      <c r="D306">
        <v>35.43</v>
      </c>
      <c r="E306">
        <v>327.02</v>
      </c>
      <c r="F306" t="s">
        <v>349</v>
      </c>
      <c r="G306">
        <v>9.23</v>
      </c>
      <c r="H306">
        <v>392.42</v>
      </c>
      <c r="I306" t="s">
        <v>469</v>
      </c>
      <c r="J306" t="s">
        <v>463</v>
      </c>
      <c r="K306" t="s">
        <v>669</v>
      </c>
      <c r="L306" t="s">
        <v>179</v>
      </c>
      <c r="M306" t="s">
        <v>274</v>
      </c>
      <c r="N306" t="s">
        <v>12</v>
      </c>
      <c r="O306" t="s">
        <v>275</v>
      </c>
      <c r="P306">
        <v>0</v>
      </c>
      <c r="Q306">
        <v>0</v>
      </c>
      <c r="R306">
        <v>0</v>
      </c>
      <c r="S306">
        <v>1</v>
      </c>
      <c r="T306">
        <v>1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274</v>
      </c>
      <c r="AH306" t="s">
        <v>12</v>
      </c>
      <c r="AI306" t="s">
        <v>275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392.42</v>
      </c>
      <c r="AN306">
        <f>$H$306*$T$306</f>
        <v>392.42</v>
      </c>
      <c r="AO306">
        <f>$H$306*$U$306</f>
        <v>392.42</v>
      </c>
      <c r="AP306">
        <f>$H$306*$V$306</f>
        <v>392.42</v>
      </c>
      <c r="AQ306">
        <f>$H$306*$W$306</f>
        <v>392.42</v>
      </c>
      <c r="AR306">
        <f>$H$306*$X$306</f>
        <v>392.42</v>
      </c>
      <c r="AS306">
        <f>$H$306*$Y$306</f>
        <v>392.42</v>
      </c>
      <c r="AT306">
        <f>$H$306*$Z$306</f>
        <v>392.42</v>
      </c>
      <c r="AU306">
        <f>$H$306*$AA$306</f>
        <v>392.42</v>
      </c>
      <c r="AV306">
        <f>$H$306*$AB$306</f>
        <v>392.42</v>
      </c>
      <c r="AW306">
        <f>$H$306*$AC$306</f>
        <v>392.42</v>
      </c>
      <c r="AX306">
        <f>$H$306*$AD$306</f>
        <v>392.42</v>
      </c>
      <c r="AY306">
        <f>$H$306*$AE$306</f>
        <v>392.42</v>
      </c>
      <c r="AZ306">
        <f>$H$306*$AF$306</f>
        <v>392.42</v>
      </c>
    </row>
    <row r="307" spans="1:52" x14ac:dyDescent="0.25">
      <c r="A307">
        <v>355</v>
      </c>
      <c r="B307" t="s">
        <v>290</v>
      </c>
      <c r="C307" t="s">
        <v>435</v>
      </c>
      <c r="D307">
        <v>11</v>
      </c>
      <c r="E307">
        <v>145.97</v>
      </c>
      <c r="F307" t="s">
        <v>335</v>
      </c>
      <c r="G307">
        <v>13.27</v>
      </c>
      <c r="H307">
        <v>175.17</v>
      </c>
      <c r="I307" t="s">
        <v>337</v>
      </c>
      <c r="J307" t="s">
        <v>436</v>
      </c>
      <c r="K307" t="s">
        <v>652</v>
      </c>
      <c r="L307" t="s">
        <v>179</v>
      </c>
      <c r="M307" t="s">
        <v>290</v>
      </c>
      <c r="N307" t="s">
        <v>12</v>
      </c>
      <c r="O307" t="s">
        <v>14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1</v>
      </c>
      <c r="Y307">
        <v>1</v>
      </c>
      <c r="Z307">
        <v>1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290</v>
      </c>
      <c r="AH307" t="s">
        <v>12</v>
      </c>
      <c r="AI307" t="s">
        <v>14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0</v>
      </c>
      <c r="AN307">
        <f>$H$307*$T$307</f>
        <v>0</v>
      </c>
      <c r="AO307">
        <f>$H$307*$U$307</f>
        <v>0</v>
      </c>
      <c r="AP307">
        <f>$H$307*$V$307</f>
        <v>0</v>
      </c>
      <c r="AQ307">
        <f>$H$307*$W$307</f>
        <v>0</v>
      </c>
      <c r="AR307">
        <f>$H$307*$X$307</f>
        <v>175.17</v>
      </c>
      <c r="AS307">
        <f>$H$307*$Y$307</f>
        <v>175.17</v>
      </c>
      <c r="AT307">
        <f>$H$307*$Z$307</f>
        <v>175.17</v>
      </c>
      <c r="AU307">
        <f>$H$307*$AA$307</f>
        <v>175.17</v>
      </c>
      <c r="AV307">
        <f>$H$307*$AB$307</f>
        <v>175.17</v>
      </c>
      <c r="AW307">
        <f>$H$307*$AC$307</f>
        <v>175.17</v>
      </c>
      <c r="AX307">
        <f>$H$307*$AD$307</f>
        <v>175.17</v>
      </c>
      <c r="AY307">
        <f>$H$307*$AE$307</f>
        <v>175.17</v>
      </c>
      <c r="AZ307">
        <f>$H$307*$AF$307</f>
        <v>175.17</v>
      </c>
    </row>
    <row r="308" spans="1:52" x14ac:dyDescent="0.25">
      <c r="A308">
        <v>356</v>
      </c>
      <c r="B308" t="s">
        <v>290</v>
      </c>
      <c r="C308" t="s">
        <v>437</v>
      </c>
      <c r="D308">
        <v>1</v>
      </c>
      <c r="E308">
        <v>98.82</v>
      </c>
      <c r="F308" t="s">
        <v>335</v>
      </c>
      <c r="G308">
        <v>98.82</v>
      </c>
      <c r="H308">
        <v>118.58</v>
      </c>
      <c r="I308" t="s">
        <v>340</v>
      </c>
      <c r="J308" t="s">
        <v>372</v>
      </c>
      <c r="K308" t="s">
        <v>653</v>
      </c>
      <c r="L308" t="s">
        <v>179</v>
      </c>
      <c r="M308" t="s">
        <v>290</v>
      </c>
      <c r="N308" t="s">
        <v>12</v>
      </c>
      <c r="O308" t="s">
        <v>14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1</v>
      </c>
      <c r="AE308">
        <v>1</v>
      </c>
      <c r="AF308">
        <v>1</v>
      </c>
      <c r="AG308" t="s">
        <v>290</v>
      </c>
      <c r="AH308" t="s">
        <v>12</v>
      </c>
      <c r="AI308" t="s">
        <v>14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0</v>
      </c>
      <c r="AN308">
        <f>$H$308*$T$308</f>
        <v>0</v>
      </c>
      <c r="AO308">
        <f>$H$308*$U$308</f>
        <v>0</v>
      </c>
      <c r="AP308">
        <f>$H$308*$V$308</f>
        <v>0</v>
      </c>
      <c r="AQ308">
        <f>$H$308*$W$308</f>
        <v>0</v>
      </c>
      <c r="AR308">
        <f>$H$308*$X$308</f>
        <v>0</v>
      </c>
      <c r="AS308">
        <f>$H$308*$Y$308</f>
        <v>0</v>
      </c>
      <c r="AT308">
        <f>$H$308*$Z$308</f>
        <v>0</v>
      </c>
      <c r="AU308">
        <f>$H$308*$AA$308</f>
        <v>0</v>
      </c>
      <c r="AV308">
        <f>$H$308*$AB$308</f>
        <v>0</v>
      </c>
      <c r="AW308">
        <f>$H$308*$AC$308</f>
        <v>0</v>
      </c>
      <c r="AX308">
        <f>$H$308*$AD$308</f>
        <v>118.58</v>
      </c>
      <c r="AY308">
        <f>$H$308*$AE$308</f>
        <v>118.58</v>
      </c>
      <c r="AZ308">
        <f>$H$308*$AF$308</f>
        <v>118.58</v>
      </c>
    </row>
    <row r="309" spans="1:52" x14ac:dyDescent="0.25">
      <c r="A309">
        <v>357</v>
      </c>
      <c r="B309" t="s">
        <v>290</v>
      </c>
      <c r="C309" t="s">
        <v>438</v>
      </c>
      <c r="D309">
        <v>23.6</v>
      </c>
      <c r="E309">
        <v>61.83</v>
      </c>
      <c r="F309" t="s">
        <v>329</v>
      </c>
      <c r="G309">
        <v>2.62</v>
      </c>
      <c r="H309">
        <v>74.19</v>
      </c>
      <c r="I309" t="s">
        <v>439</v>
      </c>
      <c r="J309" t="s">
        <v>440</v>
      </c>
      <c r="K309" t="s">
        <v>654</v>
      </c>
      <c r="L309" t="s">
        <v>179</v>
      </c>
      <c r="M309" t="s">
        <v>290</v>
      </c>
      <c r="N309" t="s">
        <v>12</v>
      </c>
      <c r="O309" t="s">
        <v>14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290</v>
      </c>
      <c r="AH309" t="s">
        <v>12</v>
      </c>
      <c r="AI309" t="s">
        <v>14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0</v>
      </c>
      <c r="AN309">
        <f>$H$309*$T$309</f>
        <v>0</v>
      </c>
      <c r="AO309">
        <f>$H$309*$U$309</f>
        <v>0</v>
      </c>
      <c r="AP309">
        <f>$H$309*$V$309</f>
        <v>0</v>
      </c>
      <c r="AQ309">
        <f>$H$309*$W$309</f>
        <v>0</v>
      </c>
      <c r="AR309">
        <f>$H$309*$X$309</f>
        <v>0</v>
      </c>
      <c r="AS309">
        <f>$H$309*$Y$309</f>
        <v>0</v>
      </c>
      <c r="AT309">
        <f>$H$309*$Z$309</f>
        <v>0</v>
      </c>
      <c r="AU309">
        <f>$H$309*$AA$309</f>
        <v>74.19</v>
      </c>
      <c r="AV309">
        <f>$H$309*$AB$309</f>
        <v>74.19</v>
      </c>
      <c r="AW309">
        <f>$H$309*$AC$309</f>
        <v>74.19</v>
      </c>
      <c r="AX309">
        <f>$H$309*$AD$309</f>
        <v>74.19</v>
      </c>
      <c r="AY309">
        <f>$H$309*$AE$309</f>
        <v>74.19</v>
      </c>
      <c r="AZ309">
        <f>$H$309*$AF$309</f>
        <v>74.19</v>
      </c>
    </row>
    <row r="310" spans="1:52" x14ac:dyDescent="0.25">
      <c r="A310">
        <v>358</v>
      </c>
      <c r="B310" t="s">
        <v>290</v>
      </c>
      <c r="C310" t="s">
        <v>441</v>
      </c>
      <c r="D310">
        <v>212.4</v>
      </c>
      <c r="E310">
        <v>458.78</v>
      </c>
      <c r="F310" t="s">
        <v>349</v>
      </c>
      <c r="G310">
        <v>2.16</v>
      </c>
      <c r="H310">
        <v>550.54</v>
      </c>
      <c r="I310" t="s">
        <v>439</v>
      </c>
      <c r="J310" t="s">
        <v>442</v>
      </c>
      <c r="K310" t="s">
        <v>655</v>
      </c>
      <c r="L310" t="s">
        <v>179</v>
      </c>
      <c r="M310" t="s">
        <v>290</v>
      </c>
      <c r="N310" t="s">
        <v>12</v>
      </c>
      <c r="O310" t="s">
        <v>14</v>
      </c>
      <c r="P310">
        <v>0</v>
      </c>
      <c r="Q310">
        <v>0</v>
      </c>
      <c r="R310">
        <v>0</v>
      </c>
      <c r="S310">
        <v>1</v>
      </c>
      <c r="T310">
        <v>1</v>
      </c>
      <c r="U310">
        <v>1</v>
      </c>
      <c r="V310">
        <v>1</v>
      </c>
      <c r="W310">
        <v>1</v>
      </c>
      <c r="X310">
        <v>1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290</v>
      </c>
      <c r="AH310" t="s">
        <v>12</v>
      </c>
      <c r="AI310" t="s">
        <v>14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550.54</v>
      </c>
      <c r="AN310">
        <f>$H$310*$T$310</f>
        <v>550.54</v>
      </c>
      <c r="AO310">
        <f>$H$310*$U$310</f>
        <v>550.54</v>
      </c>
      <c r="AP310">
        <f>$H$310*$V$310</f>
        <v>550.54</v>
      </c>
      <c r="AQ310">
        <f>$H$310*$W$310</f>
        <v>550.54</v>
      </c>
      <c r="AR310">
        <f>$H$310*$X$310</f>
        <v>550.54</v>
      </c>
      <c r="AS310">
        <f>$H$310*$Y$310</f>
        <v>550.54</v>
      </c>
      <c r="AT310">
        <f>$H$310*$Z$310</f>
        <v>550.54</v>
      </c>
      <c r="AU310">
        <f>$H$310*$AA$310</f>
        <v>550.54</v>
      </c>
      <c r="AV310">
        <f>$H$310*$AB$310</f>
        <v>550.54</v>
      </c>
      <c r="AW310">
        <f>$H$310*$AC$310</f>
        <v>550.54</v>
      </c>
      <c r="AX310">
        <f>$H$310*$AD$310</f>
        <v>550.54</v>
      </c>
      <c r="AY310">
        <f>$H$310*$AE$310</f>
        <v>550.54</v>
      </c>
      <c r="AZ310">
        <f>$H$310*$AF$310</f>
        <v>550.54</v>
      </c>
    </row>
    <row r="311" spans="1:52" x14ac:dyDescent="0.25">
      <c r="A311">
        <v>359</v>
      </c>
      <c r="B311" t="s">
        <v>290</v>
      </c>
      <c r="C311" t="s">
        <v>443</v>
      </c>
      <c r="D311">
        <v>212.4</v>
      </c>
      <c r="E311">
        <v>133.81</v>
      </c>
      <c r="F311" t="s">
        <v>349</v>
      </c>
      <c r="G311">
        <v>0.63</v>
      </c>
      <c r="H311">
        <v>160.57</v>
      </c>
      <c r="I311" t="s">
        <v>330</v>
      </c>
      <c r="J311" t="s">
        <v>444</v>
      </c>
      <c r="K311" t="s">
        <v>656</v>
      </c>
      <c r="L311" t="s">
        <v>179</v>
      </c>
      <c r="M311" t="s">
        <v>290</v>
      </c>
      <c r="N311" t="s">
        <v>12</v>
      </c>
      <c r="O311" t="s">
        <v>14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1</v>
      </c>
      <c r="AE311">
        <v>1</v>
      </c>
      <c r="AF311">
        <v>1</v>
      </c>
      <c r="AG311" t="s">
        <v>290</v>
      </c>
      <c r="AH311" t="s">
        <v>12</v>
      </c>
      <c r="AI311" t="s">
        <v>14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0</v>
      </c>
      <c r="AN311">
        <f>$H$311*$T$311</f>
        <v>0</v>
      </c>
      <c r="AO311">
        <f>$H$311*$U$311</f>
        <v>0</v>
      </c>
      <c r="AP311">
        <f>$H$311*$V$311</f>
        <v>0</v>
      </c>
      <c r="AQ311">
        <f>$H$311*$W$311</f>
        <v>0</v>
      </c>
      <c r="AR311">
        <f>$H$311*$X$311</f>
        <v>0</v>
      </c>
      <c r="AS311">
        <f>$H$311*$Y$311</f>
        <v>0</v>
      </c>
      <c r="AT311">
        <f>$H$311*$Z$311</f>
        <v>0</v>
      </c>
      <c r="AU311">
        <f>$H$311*$AA$311</f>
        <v>0</v>
      </c>
      <c r="AV311">
        <f>$H$311*$AB$311</f>
        <v>0</v>
      </c>
      <c r="AW311">
        <f>$H$311*$AC$311</f>
        <v>0</v>
      </c>
      <c r="AX311">
        <f>$H$311*$AD$311</f>
        <v>160.57</v>
      </c>
      <c r="AY311">
        <f>$H$311*$AE$311</f>
        <v>160.57</v>
      </c>
      <c r="AZ311">
        <f>$H$311*$AF$311</f>
        <v>160.57</v>
      </c>
    </row>
    <row r="312" spans="1:52" x14ac:dyDescent="0.25">
      <c r="A312">
        <v>360</v>
      </c>
      <c r="B312" t="s">
        <v>290</v>
      </c>
      <c r="C312" t="s">
        <v>362</v>
      </c>
      <c r="D312">
        <v>265.5</v>
      </c>
      <c r="E312">
        <v>260.19</v>
      </c>
      <c r="F312" t="s">
        <v>349</v>
      </c>
      <c r="G312">
        <v>0.98</v>
      </c>
      <c r="H312">
        <v>312.23</v>
      </c>
      <c r="I312" t="s">
        <v>330</v>
      </c>
      <c r="J312" t="s">
        <v>363</v>
      </c>
      <c r="K312" t="s">
        <v>617</v>
      </c>
      <c r="L312" t="s">
        <v>179</v>
      </c>
      <c r="M312" t="s">
        <v>290</v>
      </c>
      <c r="N312" t="s">
        <v>12</v>
      </c>
      <c r="O312" t="s">
        <v>14</v>
      </c>
      <c r="P312">
        <v>0</v>
      </c>
      <c r="Q312">
        <v>0</v>
      </c>
      <c r="R312">
        <v>0</v>
      </c>
      <c r="S312">
        <v>0</v>
      </c>
      <c r="T312">
        <v>1</v>
      </c>
      <c r="U312">
        <v>1</v>
      </c>
      <c r="V312">
        <v>1</v>
      </c>
      <c r="W312">
        <v>1</v>
      </c>
      <c r="X312">
        <v>1</v>
      </c>
      <c r="Y312">
        <v>1</v>
      </c>
      <c r="Z312">
        <v>1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290</v>
      </c>
      <c r="AH312" t="s">
        <v>12</v>
      </c>
      <c r="AI312" t="s">
        <v>14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0</v>
      </c>
      <c r="AN312">
        <f>$H$312*$T$312</f>
        <v>312.23</v>
      </c>
      <c r="AO312">
        <f>$H$312*$U$312</f>
        <v>312.23</v>
      </c>
      <c r="AP312">
        <f>$H$312*$V$312</f>
        <v>312.23</v>
      </c>
      <c r="AQ312">
        <f>$H$312*$W$312</f>
        <v>312.23</v>
      </c>
      <c r="AR312">
        <f>$H$312*$X$312</f>
        <v>312.23</v>
      </c>
      <c r="AS312">
        <f>$H$312*$Y$312</f>
        <v>312.23</v>
      </c>
      <c r="AT312">
        <f>$H$312*$Z$312</f>
        <v>312.23</v>
      </c>
      <c r="AU312">
        <f>$H$312*$AA$312</f>
        <v>312.23</v>
      </c>
      <c r="AV312">
        <f>$H$312*$AB$312</f>
        <v>312.23</v>
      </c>
      <c r="AW312">
        <f>$H$312*$AC$312</f>
        <v>312.23</v>
      </c>
      <c r="AX312">
        <f>$H$312*$AD$312</f>
        <v>312.23</v>
      </c>
      <c r="AY312">
        <f>$H$312*$AE$312</f>
        <v>312.23</v>
      </c>
      <c r="AZ312">
        <f>$H$312*$AF$312</f>
        <v>312.23</v>
      </c>
    </row>
    <row r="313" spans="1:52" x14ac:dyDescent="0.25">
      <c r="A313">
        <v>361</v>
      </c>
      <c r="B313" t="s">
        <v>290</v>
      </c>
      <c r="C313" t="s">
        <v>445</v>
      </c>
      <c r="D313">
        <v>53.1</v>
      </c>
      <c r="E313">
        <v>199.66</v>
      </c>
      <c r="F313" t="s">
        <v>349</v>
      </c>
      <c r="G313">
        <v>3.76</v>
      </c>
      <c r="H313">
        <v>239.6</v>
      </c>
      <c r="I313" t="s">
        <v>446</v>
      </c>
      <c r="J313" t="s">
        <v>420</v>
      </c>
      <c r="K313" t="s">
        <v>657</v>
      </c>
      <c r="L313" t="s">
        <v>179</v>
      </c>
      <c r="M313" t="s">
        <v>290</v>
      </c>
      <c r="N313" t="s">
        <v>12</v>
      </c>
      <c r="O313" t="s">
        <v>14</v>
      </c>
      <c r="P313">
        <v>0</v>
      </c>
      <c r="Q313">
        <v>0</v>
      </c>
      <c r="R313">
        <v>0</v>
      </c>
      <c r="S313">
        <v>0.25</v>
      </c>
      <c r="T313">
        <v>0.25</v>
      </c>
      <c r="U313">
        <v>0.25</v>
      </c>
      <c r="V313">
        <v>0.25</v>
      </c>
      <c r="W313">
        <v>0.25</v>
      </c>
      <c r="X313">
        <v>0.5</v>
      </c>
      <c r="Y313">
        <v>0.5</v>
      </c>
      <c r="Z313">
        <v>0.5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290</v>
      </c>
      <c r="AH313" t="s">
        <v>12</v>
      </c>
      <c r="AI313" t="s">
        <v>14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59.9</v>
      </c>
      <c r="AN313">
        <f>$H$313*$T$313</f>
        <v>59.9</v>
      </c>
      <c r="AO313">
        <f>$H$313*$U$313</f>
        <v>59.9</v>
      </c>
      <c r="AP313">
        <f>$H$313*$V$313</f>
        <v>59.9</v>
      </c>
      <c r="AQ313">
        <f>$H$313*$W$313</f>
        <v>59.9</v>
      </c>
      <c r="AR313">
        <f>$H$313*$X$313</f>
        <v>119.8</v>
      </c>
      <c r="AS313">
        <f>$H$313*$Y$313</f>
        <v>119.8</v>
      </c>
      <c r="AT313">
        <f>$H$313*$Z$313</f>
        <v>119.8</v>
      </c>
      <c r="AU313">
        <f>$H$313*$AA$313</f>
        <v>239.6</v>
      </c>
      <c r="AV313">
        <f>$H$313*$AB$313</f>
        <v>239.6</v>
      </c>
      <c r="AW313">
        <f>$H$313*$AC$313</f>
        <v>239.6</v>
      </c>
      <c r="AX313">
        <f>$H$313*$AD$313</f>
        <v>239.6</v>
      </c>
      <c r="AY313">
        <f>$H$313*$AE$313</f>
        <v>239.6</v>
      </c>
      <c r="AZ313">
        <f>$H$313*$AF$313</f>
        <v>239.6</v>
      </c>
    </row>
    <row r="314" spans="1:52" x14ac:dyDescent="0.25">
      <c r="A314">
        <v>362</v>
      </c>
      <c r="B314" t="s">
        <v>290</v>
      </c>
      <c r="C314" t="s">
        <v>364</v>
      </c>
      <c r="D314">
        <v>531</v>
      </c>
      <c r="E314">
        <v>1784.16</v>
      </c>
      <c r="F314" t="s">
        <v>349</v>
      </c>
      <c r="G314">
        <v>3.36</v>
      </c>
      <c r="H314">
        <v>2141</v>
      </c>
      <c r="I314" t="s">
        <v>365</v>
      </c>
      <c r="J314" t="s">
        <v>366</v>
      </c>
      <c r="K314" t="s">
        <v>618</v>
      </c>
      <c r="L314" t="s">
        <v>179</v>
      </c>
      <c r="M314" t="s">
        <v>290</v>
      </c>
      <c r="N314" t="s">
        <v>12</v>
      </c>
      <c r="O314" t="s">
        <v>14</v>
      </c>
      <c r="P314">
        <v>0</v>
      </c>
      <c r="Q314">
        <v>0</v>
      </c>
      <c r="R314">
        <v>0</v>
      </c>
      <c r="S314">
        <v>0.25</v>
      </c>
      <c r="T314">
        <v>0.25</v>
      </c>
      <c r="U314">
        <v>0.25</v>
      </c>
      <c r="V314">
        <v>0.25</v>
      </c>
      <c r="W314">
        <v>0.5</v>
      </c>
      <c r="X314">
        <v>0.5</v>
      </c>
      <c r="Y314">
        <v>0.5</v>
      </c>
      <c r="Z314">
        <v>0.5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290</v>
      </c>
      <c r="AH314" t="s">
        <v>12</v>
      </c>
      <c r="AI314" t="s">
        <v>14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535.25</v>
      </c>
      <c r="AN314">
        <f>$H$314*$T$314</f>
        <v>535.25</v>
      </c>
      <c r="AO314">
        <f>$H$314*$U$314</f>
        <v>535.25</v>
      </c>
      <c r="AP314">
        <f>$H$314*$V$314</f>
        <v>535.25</v>
      </c>
      <c r="AQ314">
        <f>$H$314*$W$314</f>
        <v>1070.5</v>
      </c>
      <c r="AR314">
        <f>$H$314*$X$314</f>
        <v>1070.5</v>
      </c>
      <c r="AS314">
        <f>$H$314*$Y$314</f>
        <v>1070.5</v>
      </c>
      <c r="AT314">
        <f>$H$314*$Z$314</f>
        <v>1070.5</v>
      </c>
      <c r="AU314">
        <f>$H$314*$AA$314</f>
        <v>2141</v>
      </c>
      <c r="AV314">
        <f>$H$314*$AB$314</f>
        <v>2141</v>
      </c>
      <c r="AW314">
        <f>$H$314*$AC$314</f>
        <v>2141</v>
      </c>
      <c r="AX314">
        <f>$H$314*$AD$314</f>
        <v>2141</v>
      </c>
      <c r="AY314">
        <f>$H$314*$AE$314</f>
        <v>2141</v>
      </c>
      <c r="AZ314">
        <f>$H$314*$AF$314</f>
        <v>2141</v>
      </c>
    </row>
    <row r="315" spans="1:52" x14ac:dyDescent="0.25">
      <c r="A315">
        <v>363</v>
      </c>
      <c r="B315" t="s">
        <v>290</v>
      </c>
      <c r="C315" t="s">
        <v>527</v>
      </c>
      <c r="D315">
        <v>17.670000000000002</v>
      </c>
      <c r="E315">
        <v>144.54</v>
      </c>
      <c r="F315" t="s">
        <v>329</v>
      </c>
      <c r="G315">
        <v>8.18</v>
      </c>
      <c r="H315">
        <v>173.44</v>
      </c>
      <c r="I315" t="s">
        <v>333</v>
      </c>
      <c r="J315" t="s">
        <v>528</v>
      </c>
      <c r="K315" t="s">
        <v>696</v>
      </c>
      <c r="L315" t="s">
        <v>179</v>
      </c>
      <c r="M315" t="s">
        <v>290</v>
      </c>
      <c r="N315" t="s">
        <v>12</v>
      </c>
      <c r="O315" t="s">
        <v>14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290</v>
      </c>
      <c r="AH315" t="s">
        <v>12</v>
      </c>
      <c r="AI315" t="s">
        <v>14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0</v>
      </c>
      <c r="AN315">
        <f>$H$315*$T$315</f>
        <v>0</v>
      </c>
      <c r="AO315">
        <f>$H$315*$U$315</f>
        <v>0</v>
      </c>
      <c r="AP315">
        <f>$H$315*$V$315</f>
        <v>0</v>
      </c>
      <c r="AQ315">
        <f>$H$315*$W$315</f>
        <v>0</v>
      </c>
      <c r="AR315">
        <f>$H$315*$X$315</f>
        <v>0</v>
      </c>
      <c r="AS315">
        <f>$H$315*$Y$315</f>
        <v>0</v>
      </c>
      <c r="AT315">
        <f>$H$315*$Z$315</f>
        <v>0</v>
      </c>
      <c r="AU315">
        <f>$H$315*$AA$315</f>
        <v>173.44</v>
      </c>
      <c r="AV315">
        <f>$H$315*$AB$315</f>
        <v>173.44</v>
      </c>
      <c r="AW315">
        <f>$H$315*$AC$315</f>
        <v>173.44</v>
      </c>
      <c r="AX315">
        <f>$H$315*$AD$315</f>
        <v>173.44</v>
      </c>
      <c r="AY315">
        <f>$H$315*$AE$315</f>
        <v>173.44</v>
      </c>
      <c r="AZ315">
        <f>$H$315*$AF$315</f>
        <v>173.44</v>
      </c>
    </row>
    <row r="316" spans="1:52" x14ac:dyDescent="0.25">
      <c r="A316">
        <v>364</v>
      </c>
      <c r="B316" t="s">
        <v>290</v>
      </c>
      <c r="C316" t="s">
        <v>529</v>
      </c>
      <c r="D316">
        <v>35.33</v>
      </c>
      <c r="E316">
        <v>538.78</v>
      </c>
      <c r="F316" t="s">
        <v>329</v>
      </c>
      <c r="G316">
        <v>15.25</v>
      </c>
      <c r="H316">
        <v>646.54</v>
      </c>
      <c r="I316" t="s">
        <v>333</v>
      </c>
      <c r="J316" t="s">
        <v>530</v>
      </c>
      <c r="K316" t="s">
        <v>697</v>
      </c>
      <c r="L316" t="s">
        <v>179</v>
      </c>
      <c r="M316" t="s">
        <v>290</v>
      </c>
      <c r="N316" t="s">
        <v>12</v>
      </c>
      <c r="O316" t="s">
        <v>14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290</v>
      </c>
      <c r="AH316" t="s">
        <v>12</v>
      </c>
      <c r="AI316" t="s">
        <v>14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0</v>
      </c>
      <c r="AN316">
        <f>$H$316*$T$316</f>
        <v>0</v>
      </c>
      <c r="AO316">
        <f>$H$316*$U$316</f>
        <v>0</v>
      </c>
      <c r="AP316">
        <f>$H$316*$V$316</f>
        <v>0</v>
      </c>
      <c r="AQ316">
        <f>$H$316*$W$316</f>
        <v>0</v>
      </c>
      <c r="AR316">
        <f>$H$316*$X$316</f>
        <v>0</v>
      </c>
      <c r="AS316">
        <f>$H$316*$Y$316</f>
        <v>0</v>
      </c>
      <c r="AT316">
        <f>$H$316*$Z$316</f>
        <v>0</v>
      </c>
      <c r="AU316">
        <f>$H$316*$AA$316</f>
        <v>646.54</v>
      </c>
      <c r="AV316">
        <f>$H$316*$AB$316</f>
        <v>646.54</v>
      </c>
      <c r="AW316">
        <f>$H$316*$AC$316</f>
        <v>646.54</v>
      </c>
      <c r="AX316">
        <f>$H$316*$AD$316</f>
        <v>646.54</v>
      </c>
      <c r="AY316">
        <f>$H$316*$AE$316</f>
        <v>646.54</v>
      </c>
      <c r="AZ316">
        <f>$H$316*$AF$316</f>
        <v>646.54</v>
      </c>
    </row>
    <row r="317" spans="1:52" x14ac:dyDescent="0.25">
      <c r="A317">
        <v>366</v>
      </c>
      <c r="B317" t="s">
        <v>290</v>
      </c>
      <c r="C317" t="s">
        <v>447</v>
      </c>
      <c r="D317">
        <v>59</v>
      </c>
      <c r="E317">
        <v>61.36</v>
      </c>
      <c r="F317" t="s">
        <v>329</v>
      </c>
      <c r="G317">
        <v>1.04</v>
      </c>
      <c r="H317">
        <v>73.64</v>
      </c>
      <c r="I317" t="s">
        <v>330</v>
      </c>
      <c r="J317" t="s">
        <v>448</v>
      </c>
      <c r="K317" t="s">
        <v>658</v>
      </c>
      <c r="L317" t="s">
        <v>179</v>
      </c>
      <c r="M317" t="s">
        <v>290</v>
      </c>
      <c r="N317" t="s">
        <v>12</v>
      </c>
      <c r="O317" t="s">
        <v>14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290</v>
      </c>
      <c r="AH317" t="s">
        <v>12</v>
      </c>
      <c r="AI317" t="s">
        <v>14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0</v>
      </c>
      <c r="AN317">
        <f>$H$317*$T$317</f>
        <v>0</v>
      </c>
      <c r="AO317">
        <f>$H$317*$U$317</f>
        <v>0</v>
      </c>
      <c r="AP317">
        <f>$H$317*$V$317</f>
        <v>0</v>
      </c>
      <c r="AQ317">
        <f>$H$317*$W$317</f>
        <v>0</v>
      </c>
      <c r="AR317">
        <f>$H$317*$X$317</f>
        <v>0</v>
      </c>
      <c r="AS317">
        <f>$H$317*$Y$317</f>
        <v>0</v>
      </c>
      <c r="AT317">
        <f>$H$317*$Z$317</f>
        <v>0</v>
      </c>
      <c r="AU317">
        <f>$H$317*$AA$317</f>
        <v>73.64</v>
      </c>
      <c r="AV317">
        <f>$H$317*$AB$317</f>
        <v>73.64</v>
      </c>
      <c r="AW317">
        <f>$H$317*$AC$317</f>
        <v>73.64</v>
      </c>
      <c r="AX317">
        <f>$H$317*$AD$317</f>
        <v>73.64</v>
      </c>
      <c r="AY317">
        <f>$H$317*$AE$317</f>
        <v>73.64</v>
      </c>
      <c r="AZ317">
        <f>$H$317*$AF$317</f>
        <v>73.64</v>
      </c>
    </row>
    <row r="318" spans="1:52" x14ac:dyDescent="0.25">
      <c r="A318">
        <v>367</v>
      </c>
      <c r="B318" t="s">
        <v>290</v>
      </c>
      <c r="C318" t="s">
        <v>449</v>
      </c>
      <c r="D318">
        <v>59</v>
      </c>
      <c r="E318">
        <v>473.18</v>
      </c>
      <c r="F318" t="s">
        <v>329</v>
      </c>
      <c r="G318">
        <v>8.02</v>
      </c>
      <c r="H318">
        <v>567.82000000000005</v>
      </c>
      <c r="I318" t="s">
        <v>333</v>
      </c>
      <c r="J318" t="s">
        <v>450</v>
      </c>
      <c r="K318" t="s">
        <v>659</v>
      </c>
      <c r="L318" t="s">
        <v>179</v>
      </c>
      <c r="M318" t="s">
        <v>290</v>
      </c>
      <c r="N318" t="s">
        <v>12</v>
      </c>
      <c r="O318" t="s">
        <v>14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290</v>
      </c>
      <c r="AH318" t="s">
        <v>12</v>
      </c>
      <c r="AI318" t="s">
        <v>14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0</v>
      </c>
      <c r="AN318">
        <f>$H$318*$T$318</f>
        <v>0</v>
      </c>
      <c r="AO318">
        <f>$H$318*$U$318</f>
        <v>0</v>
      </c>
      <c r="AP318">
        <f>$H$318*$V$318</f>
        <v>0</v>
      </c>
      <c r="AQ318">
        <f>$H$318*$W$318</f>
        <v>0</v>
      </c>
      <c r="AR318">
        <f>$H$318*$X$318</f>
        <v>0</v>
      </c>
      <c r="AS318">
        <f>$H$318*$Y$318</f>
        <v>0</v>
      </c>
      <c r="AT318">
        <f>$H$318*$Z$318</f>
        <v>0</v>
      </c>
      <c r="AU318">
        <f>$H$318*$AA$318</f>
        <v>567.82000000000005</v>
      </c>
      <c r="AV318">
        <f>$H$318*$AB$318</f>
        <v>567.82000000000005</v>
      </c>
      <c r="AW318">
        <f>$H$318*$AC$318</f>
        <v>567.82000000000005</v>
      </c>
      <c r="AX318">
        <f>$H$318*$AD$318</f>
        <v>567.82000000000005</v>
      </c>
      <c r="AY318">
        <f>$H$318*$AE$318</f>
        <v>567.82000000000005</v>
      </c>
      <c r="AZ318">
        <f>$H$318*$AF$318</f>
        <v>567.82000000000005</v>
      </c>
    </row>
    <row r="319" spans="1:52" x14ac:dyDescent="0.25">
      <c r="A319">
        <v>368</v>
      </c>
      <c r="B319" t="s">
        <v>290</v>
      </c>
      <c r="C319" t="s">
        <v>455</v>
      </c>
      <c r="D319">
        <v>59</v>
      </c>
      <c r="E319">
        <v>89.09</v>
      </c>
      <c r="F319" t="s">
        <v>329</v>
      </c>
      <c r="G319">
        <v>1.51</v>
      </c>
      <c r="H319">
        <v>106.91</v>
      </c>
      <c r="I319" t="s">
        <v>330</v>
      </c>
      <c r="J319" t="s">
        <v>456</v>
      </c>
      <c r="K319" t="s">
        <v>662</v>
      </c>
      <c r="L319" t="s">
        <v>179</v>
      </c>
      <c r="M319" t="s">
        <v>290</v>
      </c>
      <c r="N319" t="s">
        <v>12</v>
      </c>
      <c r="O319" t="s">
        <v>14</v>
      </c>
      <c r="P319">
        <v>0</v>
      </c>
      <c r="Q319">
        <v>0</v>
      </c>
      <c r="R319">
        <v>0</v>
      </c>
      <c r="S319">
        <v>1</v>
      </c>
      <c r="T319">
        <v>1</v>
      </c>
      <c r="U319">
        <v>1</v>
      </c>
      <c r="V319">
        <v>1</v>
      </c>
      <c r="W319">
        <v>1</v>
      </c>
      <c r="X319">
        <v>1</v>
      </c>
      <c r="Y319">
        <v>1</v>
      </c>
      <c r="Z319">
        <v>1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290</v>
      </c>
      <c r="AH319" t="s">
        <v>12</v>
      </c>
      <c r="AI319" t="s">
        <v>14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106.91</v>
      </c>
      <c r="AN319">
        <f>$H$319*$T$319</f>
        <v>106.91</v>
      </c>
      <c r="AO319">
        <f>$H$319*$U$319</f>
        <v>106.91</v>
      </c>
      <c r="AP319">
        <f>$H$319*$V$319</f>
        <v>106.91</v>
      </c>
      <c r="AQ319">
        <f>$H$319*$W$319</f>
        <v>106.91</v>
      </c>
      <c r="AR319">
        <f>$H$319*$X$319</f>
        <v>106.91</v>
      </c>
      <c r="AS319">
        <f>$H$319*$Y$319</f>
        <v>106.91</v>
      </c>
      <c r="AT319">
        <f>$H$319*$Z$319</f>
        <v>106.91</v>
      </c>
      <c r="AU319">
        <f>$H$319*$AA$319</f>
        <v>106.91</v>
      </c>
      <c r="AV319">
        <f>$H$319*$AB$319</f>
        <v>106.91</v>
      </c>
      <c r="AW319">
        <f>$H$319*$AC$319</f>
        <v>106.91</v>
      </c>
      <c r="AX319">
        <f>$H$319*$AD$319</f>
        <v>106.91</v>
      </c>
      <c r="AY319">
        <f>$H$319*$AE$319</f>
        <v>106.91</v>
      </c>
      <c r="AZ319">
        <f>$H$319*$AF$319</f>
        <v>106.91</v>
      </c>
    </row>
    <row r="320" spans="1:52" x14ac:dyDescent="0.25">
      <c r="A320">
        <v>369</v>
      </c>
      <c r="B320" t="s">
        <v>290</v>
      </c>
      <c r="C320" t="s">
        <v>457</v>
      </c>
      <c r="D320">
        <v>59</v>
      </c>
      <c r="E320">
        <v>335.12</v>
      </c>
      <c r="F320" t="s">
        <v>329</v>
      </c>
      <c r="G320">
        <v>5.68</v>
      </c>
      <c r="H320">
        <v>402.14</v>
      </c>
      <c r="I320" t="s">
        <v>333</v>
      </c>
      <c r="J320" t="s">
        <v>458</v>
      </c>
      <c r="K320" t="s">
        <v>663</v>
      </c>
      <c r="L320" t="s">
        <v>179</v>
      </c>
      <c r="M320" t="s">
        <v>290</v>
      </c>
      <c r="N320" t="s">
        <v>12</v>
      </c>
      <c r="O320" t="s">
        <v>14</v>
      </c>
      <c r="P320">
        <v>0</v>
      </c>
      <c r="Q320">
        <v>0</v>
      </c>
      <c r="R320">
        <v>0</v>
      </c>
      <c r="S320">
        <v>1</v>
      </c>
      <c r="T320">
        <v>1</v>
      </c>
      <c r="U320">
        <v>1</v>
      </c>
      <c r="V320">
        <v>1</v>
      </c>
      <c r="W320">
        <v>1</v>
      </c>
      <c r="X320">
        <v>1</v>
      </c>
      <c r="Y320">
        <v>1</v>
      </c>
      <c r="Z320">
        <v>1</v>
      </c>
      <c r="AA320">
        <v>1</v>
      </c>
      <c r="AB320">
        <v>1</v>
      </c>
      <c r="AC320">
        <v>1</v>
      </c>
      <c r="AD320">
        <v>1</v>
      </c>
      <c r="AE320">
        <v>1</v>
      </c>
      <c r="AF320">
        <v>1</v>
      </c>
      <c r="AG320" t="s">
        <v>290</v>
      </c>
      <c r="AH320" t="s">
        <v>12</v>
      </c>
      <c r="AI320" t="s">
        <v>14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402.14</v>
      </c>
      <c r="AN320">
        <f>$H$320*$T$320</f>
        <v>402.14</v>
      </c>
      <c r="AO320">
        <f>$H$320*$U$320</f>
        <v>402.14</v>
      </c>
      <c r="AP320">
        <f>$H$320*$V$320</f>
        <v>402.14</v>
      </c>
      <c r="AQ320">
        <f>$H$320*$W$320</f>
        <v>402.14</v>
      </c>
      <c r="AR320">
        <f>$H$320*$X$320</f>
        <v>402.14</v>
      </c>
      <c r="AS320">
        <f>$H$320*$Y$320</f>
        <v>402.14</v>
      </c>
      <c r="AT320">
        <f>$H$320*$Z$320</f>
        <v>402.14</v>
      </c>
      <c r="AU320">
        <f>$H$320*$AA$320</f>
        <v>402.14</v>
      </c>
      <c r="AV320">
        <f>$H$320*$AB$320</f>
        <v>402.14</v>
      </c>
      <c r="AW320">
        <f>$H$320*$AC$320</f>
        <v>402.14</v>
      </c>
      <c r="AX320">
        <f>$H$320*$AD$320</f>
        <v>402.14</v>
      </c>
      <c r="AY320">
        <f>$H$320*$AE$320</f>
        <v>402.14</v>
      </c>
      <c r="AZ320">
        <f>$H$320*$AF$320</f>
        <v>402.14</v>
      </c>
    </row>
    <row r="321" spans="1:52" x14ac:dyDescent="0.25">
      <c r="A321">
        <v>370</v>
      </c>
      <c r="B321" t="s">
        <v>290</v>
      </c>
      <c r="C321" t="s">
        <v>364</v>
      </c>
      <c r="D321">
        <v>295.60000000000002</v>
      </c>
      <c r="E321">
        <v>993.22</v>
      </c>
      <c r="F321" t="s">
        <v>349</v>
      </c>
      <c r="G321">
        <v>3.36</v>
      </c>
      <c r="H321">
        <v>1191.8599999999999</v>
      </c>
      <c r="I321" t="s">
        <v>365</v>
      </c>
      <c r="J321" t="s">
        <v>366</v>
      </c>
      <c r="K321" t="s">
        <v>618</v>
      </c>
      <c r="L321" t="s">
        <v>179</v>
      </c>
      <c r="M321" t="s">
        <v>290</v>
      </c>
      <c r="N321" t="s">
        <v>12</v>
      </c>
      <c r="O321" t="s">
        <v>14</v>
      </c>
      <c r="P321">
        <v>0</v>
      </c>
      <c r="Q321">
        <v>0</v>
      </c>
      <c r="R321">
        <v>0</v>
      </c>
      <c r="S321">
        <v>0.25</v>
      </c>
      <c r="T321">
        <v>0.25</v>
      </c>
      <c r="U321">
        <v>0.25</v>
      </c>
      <c r="V321">
        <v>0.25</v>
      </c>
      <c r="W321">
        <v>0.5</v>
      </c>
      <c r="X321">
        <v>0.5</v>
      </c>
      <c r="Y321">
        <v>0.5</v>
      </c>
      <c r="Z321">
        <v>0.5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G321" t="s">
        <v>290</v>
      </c>
      <c r="AH321" t="s">
        <v>12</v>
      </c>
      <c r="AI321" t="s">
        <v>14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297.96499999999997</v>
      </c>
      <c r="AN321">
        <f>$H$321*$T$321</f>
        <v>297.96499999999997</v>
      </c>
      <c r="AO321">
        <f>$H$321*$U$321</f>
        <v>297.96499999999997</v>
      </c>
      <c r="AP321">
        <f>$H$321*$V$321</f>
        <v>297.96499999999997</v>
      </c>
      <c r="AQ321">
        <f>$H$321*$W$321</f>
        <v>595.92999999999995</v>
      </c>
      <c r="AR321">
        <f>$H$321*$X$321</f>
        <v>595.92999999999995</v>
      </c>
      <c r="AS321">
        <f>$H$321*$Y$321</f>
        <v>595.92999999999995</v>
      </c>
      <c r="AT321">
        <f>$H$321*$Z$321</f>
        <v>595.92999999999995</v>
      </c>
      <c r="AU321">
        <f>$H$321*$AA$321</f>
        <v>1191.8599999999999</v>
      </c>
      <c r="AV321">
        <f>$H$321*$AB$321</f>
        <v>1191.8599999999999</v>
      </c>
      <c r="AW321">
        <f>$H$321*$AC$321</f>
        <v>1191.8599999999999</v>
      </c>
      <c r="AX321">
        <f>$H$321*$AD$321</f>
        <v>1191.8599999999999</v>
      </c>
      <c r="AY321">
        <f>$H$321*$AE$321</f>
        <v>1191.8599999999999</v>
      </c>
      <c r="AZ321">
        <f>$H$321*$AF$321</f>
        <v>1191.8599999999999</v>
      </c>
    </row>
    <row r="322" spans="1:52" x14ac:dyDescent="0.25">
      <c r="A322">
        <v>371</v>
      </c>
      <c r="B322" t="s">
        <v>290</v>
      </c>
      <c r="C322" t="s">
        <v>443</v>
      </c>
      <c r="D322">
        <v>295.60000000000002</v>
      </c>
      <c r="E322">
        <v>186.23</v>
      </c>
      <c r="F322" t="s">
        <v>349</v>
      </c>
      <c r="G322">
        <v>0.63</v>
      </c>
      <c r="H322">
        <v>223.47</v>
      </c>
      <c r="I322" t="s">
        <v>330</v>
      </c>
      <c r="J322" t="s">
        <v>444</v>
      </c>
      <c r="K322" t="s">
        <v>656</v>
      </c>
      <c r="L322" t="s">
        <v>179</v>
      </c>
      <c r="M322" t="s">
        <v>290</v>
      </c>
      <c r="N322" t="s">
        <v>12</v>
      </c>
      <c r="O322" t="s">
        <v>14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1</v>
      </c>
      <c r="AE322">
        <v>1</v>
      </c>
      <c r="AF322">
        <v>1</v>
      </c>
      <c r="AG322" t="s">
        <v>290</v>
      </c>
      <c r="AH322" t="s">
        <v>12</v>
      </c>
      <c r="AI322" t="s">
        <v>14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0</v>
      </c>
      <c r="AO322">
        <f>$H$322*$U$322</f>
        <v>0</v>
      </c>
      <c r="AP322">
        <f>$H$322*$V$322</f>
        <v>0</v>
      </c>
      <c r="AQ322">
        <f>$H$322*$W$322</f>
        <v>0</v>
      </c>
      <c r="AR322">
        <f>$H$322*$X$322</f>
        <v>0</v>
      </c>
      <c r="AS322">
        <f>$H$322*$Y$322</f>
        <v>0</v>
      </c>
      <c r="AT322">
        <f>$H$322*$Z$322</f>
        <v>0</v>
      </c>
      <c r="AU322">
        <f>$H$322*$AA$322</f>
        <v>0</v>
      </c>
      <c r="AV322">
        <f>$H$322*$AB$322</f>
        <v>0</v>
      </c>
      <c r="AW322">
        <f>$H$322*$AC$322</f>
        <v>0</v>
      </c>
      <c r="AX322">
        <f>$H$322*$AD$322</f>
        <v>223.47</v>
      </c>
      <c r="AY322">
        <f>$H$322*$AE$322</f>
        <v>223.47</v>
      </c>
      <c r="AZ322">
        <f>$H$322*$AF$322</f>
        <v>223.47</v>
      </c>
    </row>
    <row r="323" spans="1:52" x14ac:dyDescent="0.25">
      <c r="A323">
        <v>372</v>
      </c>
      <c r="B323" t="s">
        <v>290</v>
      </c>
      <c r="C323" t="s">
        <v>459</v>
      </c>
      <c r="D323">
        <v>295.60000000000002</v>
      </c>
      <c r="E323">
        <v>203.96</v>
      </c>
      <c r="F323" t="s">
        <v>349</v>
      </c>
      <c r="G323">
        <v>0.69</v>
      </c>
      <c r="H323">
        <v>244.76</v>
      </c>
      <c r="I323" t="s">
        <v>330</v>
      </c>
      <c r="J323" t="s">
        <v>460</v>
      </c>
      <c r="K323" t="s">
        <v>664</v>
      </c>
      <c r="L323" t="s">
        <v>179</v>
      </c>
      <c r="M323" t="s">
        <v>290</v>
      </c>
      <c r="N323" t="s">
        <v>12</v>
      </c>
      <c r="O323" t="s">
        <v>14</v>
      </c>
      <c r="P323">
        <v>0</v>
      </c>
      <c r="Q323">
        <v>0</v>
      </c>
      <c r="R323">
        <v>0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290</v>
      </c>
      <c r="AH323" t="s">
        <v>12</v>
      </c>
      <c r="AI323" t="s">
        <v>14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244.76</v>
      </c>
      <c r="AN323">
        <f>$H$323*$T$323</f>
        <v>244.76</v>
      </c>
      <c r="AO323">
        <f>$H$323*$U$323</f>
        <v>244.76</v>
      </c>
      <c r="AP323">
        <f>$H$323*$V$323</f>
        <v>244.76</v>
      </c>
      <c r="AQ323">
        <f>$H$323*$W$323</f>
        <v>244.76</v>
      </c>
      <c r="AR323">
        <f>$H$323*$X$323</f>
        <v>244.76</v>
      </c>
      <c r="AS323">
        <f>$H$323*$Y$323</f>
        <v>244.76</v>
      </c>
      <c r="AT323">
        <f>$H$323*$Z$323</f>
        <v>244.76</v>
      </c>
      <c r="AU323">
        <f>$H$323*$AA$323</f>
        <v>244.76</v>
      </c>
      <c r="AV323">
        <f>$H$323*$AB$323</f>
        <v>244.76</v>
      </c>
      <c r="AW323">
        <f>$H$323*$AC$323</f>
        <v>244.76</v>
      </c>
      <c r="AX323">
        <f>$H$323*$AD$323</f>
        <v>244.76</v>
      </c>
      <c r="AY323">
        <f>$H$323*$AE$323</f>
        <v>244.76</v>
      </c>
      <c r="AZ323">
        <f>$H$323*$AF$323</f>
        <v>244.76</v>
      </c>
    </row>
    <row r="324" spans="1:52" x14ac:dyDescent="0.25">
      <c r="A324">
        <v>373</v>
      </c>
      <c r="B324" t="s">
        <v>290</v>
      </c>
      <c r="C324" t="s">
        <v>461</v>
      </c>
      <c r="D324">
        <v>41.81</v>
      </c>
      <c r="E324">
        <v>725.4</v>
      </c>
      <c r="F324" t="s">
        <v>349</v>
      </c>
      <c r="G324">
        <v>17.350000000000001</v>
      </c>
      <c r="H324">
        <v>870.48</v>
      </c>
      <c r="I324" t="s">
        <v>462</v>
      </c>
      <c r="J324" t="s">
        <v>463</v>
      </c>
      <c r="K324" t="s">
        <v>665</v>
      </c>
      <c r="L324" t="s">
        <v>179</v>
      </c>
      <c r="M324" t="s">
        <v>290</v>
      </c>
      <c r="N324" t="s">
        <v>12</v>
      </c>
      <c r="O324" t="s">
        <v>14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290</v>
      </c>
      <c r="AH324" t="s">
        <v>12</v>
      </c>
      <c r="AI324" t="s">
        <v>14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0</v>
      </c>
      <c r="AN324">
        <f>$H$324*$T$324</f>
        <v>0</v>
      </c>
      <c r="AO324">
        <f>$H$324*$U$324</f>
        <v>0</v>
      </c>
      <c r="AP324">
        <f>$H$324*$V$324</f>
        <v>0</v>
      </c>
      <c r="AQ324">
        <f>$H$324*$W$324</f>
        <v>0</v>
      </c>
      <c r="AR324">
        <f>$H$324*$X$324</f>
        <v>0</v>
      </c>
      <c r="AS324">
        <f>$H$324*$Y$324</f>
        <v>870.48</v>
      </c>
      <c r="AT324">
        <f>$H$324*$Z$324</f>
        <v>870.48</v>
      </c>
      <c r="AU324">
        <f>$H$324*$AA$324</f>
        <v>870.48</v>
      </c>
      <c r="AV324">
        <f>$H$324*$AB$324</f>
        <v>870.48</v>
      </c>
      <c r="AW324">
        <f>$H$324*$AC$324</f>
        <v>870.48</v>
      </c>
      <c r="AX324">
        <f>$H$324*$AD$324</f>
        <v>870.48</v>
      </c>
      <c r="AY324">
        <f>$H$324*$AE$324</f>
        <v>870.48</v>
      </c>
      <c r="AZ324">
        <f>$H$324*$AF$324</f>
        <v>870.48</v>
      </c>
    </row>
    <row r="325" spans="1:52" x14ac:dyDescent="0.25">
      <c r="A325">
        <v>374</v>
      </c>
      <c r="B325" t="s">
        <v>290</v>
      </c>
      <c r="C325" t="s">
        <v>464</v>
      </c>
      <c r="D325">
        <v>83.62</v>
      </c>
      <c r="E325">
        <v>299.36</v>
      </c>
      <c r="F325" t="s">
        <v>349</v>
      </c>
      <c r="G325">
        <v>3.58</v>
      </c>
      <c r="H325">
        <v>359.24</v>
      </c>
      <c r="I325" t="s">
        <v>465</v>
      </c>
      <c r="J325" t="s">
        <v>466</v>
      </c>
      <c r="K325" t="s">
        <v>666</v>
      </c>
      <c r="L325" t="s">
        <v>179</v>
      </c>
      <c r="M325" t="s">
        <v>290</v>
      </c>
      <c r="N325" t="s">
        <v>12</v>
      </c>
      <c r="O325" t="s">
        <v>14</v>
      </c>
      <c r="P325">
        <v>0</v>
      </c>
      <c r="Q325">
        <v>0</v>
      </c>
      <c r="R325">
        <v>0</v>
      </c>
      <c r="S325">
        <v>1</v>
      </c>
      <c r="T325">
        <v>1</v>
      </c>
      <c r="U325">
        <v>1</v>
      </c>
      <c r="V325">
        <v>1</v>
      </c>
      <c r="W325">
        <v>1</v>
      </c>
      <c r="X325">
        <v>1</v>
      </c>
      <c r="Y325">
        <v>1</v>
      </c>
      <c r="Z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290</v>
      </c>
      <c r="AH325" t="s">
        <v>12</v>
      </c>
      <c r="AI325" t="s">
        <v>14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359.24</v>
      </c>
      <c r="AN325">
        <f>$H$325*$T$325</f>
        <v>359.24</v>
      </c>
      <c r="AO325">
        <f>$H$325*$U$325</f>
        <v>359.24</v>
      </c>
      <c r="AP325">
        <f>$H$325*$V$325</f>
        <v>359.24</v>
      </c>
      <c r="AQ325">
        <f>$H$325*$W$325</f>
        <v>359.24</v>
      </c>
      <c r="AR325">
        <f>$H$325*$X$325</f>
        <v>359.24</v>
      </c>
      <c r="AS325">
        <f>$H$325*$Y$325</f>
        <v>359.24</v>
      </c>
      <c r="AT325">
        <f>$H$325*$Z$325</f>
        <v>359.24</v>
      </c>
      <c r="AU325">
        <f>$H$325*$AA$325</f>
        <v>359.24</v>
      </c>
      <c r="AV325">
        <f>$H$325*$AB$325</f>
        <v>359.24</v>
      </c>
      <c r="AW325">
        <f>$H$325*$AC$325</f>
        <v>359.24</v>
      </c>
      <c r="AX325">
        <f>$H$325*$AD$325</f>
        <v>359.24</v>
      </c>
      <c r="AY325">
        <f>$H$325*$AE$325</f>
        <v>359.24</v>
      </c>
      <c r="AZ325">
        <f>$H$325*$AF$325</f>
        <v>359.24</v>
      </c>
    </row>
    <row r="326" spans="1:52" x14ac:dyDescent="0.25">
      <c r="A326">
        <v>375</v>
      </c>
      <c r="B326" t="s">
        <v>290</v>
      </c>
      <c r="C326" t="s">
        <v>467</v>
      </c>
      <c r="D326">
        <v>83.62</v>
      </c>
      <c r="E326">
        <v>823.66</v>
      </c>
      <c r="F326" t="s">
        <v>349</v>
      </c>
      <c r="G326">
        <v>9.85</v>
      </c>
      <c r="H326">
        <v>988.4</v>
      </c>
      <c r="I326" t="s">
        <v>465</v>
      </c>
      <c r="J326" t="s">
        <v>372</v>
      </c>
      <c r="K326" t="s">
        <v>667</v>
      </c>
      <c r="L326" t="s">
        <v>179</v>
      </c>
      <c r="M326" t="s">
        <v>290</v>
      </c>
      <c r="N326" t="s">
        <v>12</v>
      </c>
      <c r="O326" t="s">
        <v>14</v>
      </c>
      <c r="P326">
        <v>0</v>
      </c>
      <c r="Q326">
        <v>0</v>
      </c>
      <c r="R326">
        <v>0</v>
      </c>
      <c r="S326">
        <v>1</v>
      </c>
      <c r="T326">
        <v>1</v>
      </c>
      <c r="U326">
        <v>1</v>
      </c>
      <c r="V326">
        <v>1</v>
      </c>
      <c r="W326">
        <v>1</v>
      </c>
      <c r="X326">
        <v>1</v>
      </c>
      <c r="Y326">
        <v>1</v>
      </c>
      <c r="Z326">
        <v>1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290</v>
      </c>
      <c r="AH326" t="s">
        <v>12</v>
      </c>
      <c r="AI326" t="s">
        <v>14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988.4</v>
      </c>
      <c r="AN326">
        <f>$H$326*$T$326</f>
        <v>988.4</v>
      </c>
      <c r="AO326">
        <f>$H$326*$U$326</f>
        <v>988.4</v>
      </c>
      <c r="AP326">
        <f>$H$326*$V$326</f>
        <v>988.4</v>
      </c>
      <c r="AQ326">
        <f>$H$326*$W$326</f>
        <v>988.4</v>
      </c>
      <c r="AR326">
        <f>$H$326*$X$326</f>
        <v>988.4</v>
      </c>
      <c r="AS326">
        <f>$H$326*$Y$326</f>
        <v>988.4</v>
      </c>
      <c r="AT326">
        <f>$H$326*$Z$326</f>
        <v>988.4</v>
      </c>
      <c r="AU326">
        <f>$H$326*$AA$326</f>
        <v>988.4</v>
      </c>
      <c r="AV326">
        <f>$H$326*$AB$326</f>
        <v>988.4</v>
      </c>
      <c r="AW326">
        <f>$H$326*$AC$326</f>
        <v>988.4</v>
      </c>
      <c r="AX326">
        <f>$H$326*$AD$326</f>
        <v>988.4</v>
      </c>
      <c r="AY326">
        <f>$H$326*$AE$326</f>
        <v>988.4</v>
      </c>
      <c r="AZ326">
        <f>$H$326*$AF$326</f>
        <v>988.4</v>
      </c>
    </row>
    <row r="327" spans="1:52" x14ac:dyDescent="0.25">
      <c r="A327">
        <v>376</v>
      </c>
      <c r="B327" t="s">
        <v>290</v>
      </c>
      <c r="C327" t="s">
        <v>468</v>
      </c>
      <c r="D327">
        <v>96.17</v>
      </c>
      <c r="E327">
        <v>98.09</v>
      </c>
      <c r="F327" t="s">
        <v>349</v>
      </c>
      <c r="G327">
        <v>1.02</v>
      </c>
      <c r="H327">
        <v>117.71</v>
      </c>
      <c r="I327" t="s">
        <v>469</v>
      </c>
      <c r="J327" t="s">
        <v>470</v>
      </c>
      <c r="K327" t="s">
        <v>668</v>
      </c>
      <c r="L327" t="s">
        <v>179</v>
      </c>
      <c r="M327" t="s">
        <v>290</v>
      </c>
      <c r="N327" t="s">
        <v>12</v>
      </c>
      <c r="O327" t="s">
        <v>14</v>
      </c>
      <c r="P327">
        <v>0</v>
      </c>
      <c r="Q327">
        <v>0</v>
      </c>
      <c r="R327">
        <v>0</v>
      </c>
      <c r="S327">
        <v>1</v>
      </c>
      <c r="T327">
        <v>1</v>
      </c>
      <c r="U327">
        <v>1</v>
      </c>
      <c r="V327">
        <v>1</v>
      </c>
      <c r="W327">
        <v>1</v>
      </c>
      <c r="X327">
        <v>1</v>
      </c>
      <c r="Y327">
        <v>1</v>
      </c>
      <c r="Z327">
        <v>1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290</v>
      </c>
      <c r="AH327" t="s">
        <v>12</v>
      </c>
      <c r="AI327" t="s">
        <v>14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117.71</v>
      </c>
      <c r="AN327">
        <f>$H$327*$T$327</f>
        <v>117.71</v>
      </c>
      <c r="AO327">
        <f>$H$327*$U$327</f>
        <v>117.71</v>
      </c>
      <c r="AP327">
        <f>$H$327*$V$327</f>
        <v>117.71</v>
      </c>
      <c r="AQ327">
        <f>$H$327*$W$327</f>
        <v>117.71</v>
      </c>
      <c r="AR327">
        <f>$H$327*$X$327</f>
        <v>117.71</v>
      </c>
      <c r="AS327">
        <f>$H$327*$Y$327</f>
        <v>117.71</v>
      </c>
      <c r="AT327">
        <f>$H$327*$Z$327</f>
        <v>117.71</v>
      </c>
      <c r="AU327">
        <f>$H$327*$AA$327</f>
        <v>117.71</v>
      </c>
      <c r="AV327">
        <f>$H$327*$AB$327</f>
        <v>117.71</v>
      </c>
      <c r="AW327">
        <f>$H$327*$AC$327</f>
        <v>117.71</v>
      </c>
      <c r="AX327">
        <f>$H$327*$AD$327</f>
        <v>117.71</v>
      </c>
      <c r="AY327">
        <f>$H$327*$AE$327</f>
        <v>117.71</v>
      </c>
      <c r="AZ327">
        <f>$H$327*$AF$327</f>
        <v>117.71</v>
      </c>
    </row>
    <row r="328" spans="1:52" x14ac:dyDescent="0.25">
      <c r="A328">
        <v>377</v>
      </c>
      <c r="B328" t="s">
        <v>290</v>
      </c>
      <c r="C328" t="s">
        <v>471</v>
      </c>
      <c r="D328">
        <v>96.17</v>
      </c>
      <c r="E328">
        <v>887.65</v>
      </c>
      <c r="F328" t="s">
        <v>349</v>
      </c>
      <c r="G328">
        <v>9.23</v>
      </c>
      <c r="H328">
        <v>1065.19</v>
      </c>
      <c r="I328" t="s">
        <v>469</v>
      </c>
      <c r="J328" t="s">
        <v>463</v>
      </c>
      <c r="K328" t="s">
        <v>669</v>
      </c>
      <c r="L328" t="s">
        <v>179</v>
      </c>
      <c r="M328" t="s">
        <v>290</v>
      </c>
      <c r="N328" t="s">
        <v>12</v>
      </c>
      <c r="O328" t="s">
        <v>14</v>
      </c>
      <c r="P328">
        <v>0</v>
      </c>
      <c r="Q328">
        <v>0</v>
      </c>
      <c r="R328">
        <v>0</v>
      </c>
      <c r="S328">
        <v>1</v>
      </c>
      <c r="T328">
        <v>1</v>
      </c>
      <c r="U328">
        <v>1</v>
      </c>
      <c r="V328">
        <v>1</v>
      </c>
      <c r="W328">
        <v>1</v>
      </c>
      <c r="X328">
        <v>1</v>
      </c>
      <c r="Y328">
        <v>1</v>
      </c>
      <c r="Z328">
        <v>1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290</v>
      </c>
      <c r="AH328" t="s">
        <v>12</v>
      </c>
      <c r="AI328" t="s">
        <v>14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1065.19</v>
      </c>
      <c r="AN328">
        <f>$H$328*$T$328</f>
        <v>1065.19</v>
      </c>
      <c r="AO328">
        <f>$H$328*$U$328</f>
        <v>1065.19</v>
      </c>
      <c r="AP328">
        <f>$H$328*$V$328</f>
        <v>1065.19</v>
      </c>
      <c r="AQ328">
        <f>$H$328*$W$328</f>
        <v>1065.19</v>
      </c>
      <c r="AR328">
        <f>$H$328*$X$328</f>
        <v>1065.19</v>
      </c>
      <c r="AS328">
        <f>$H$328*$Y$328</f>
        <v>1065.19</v>
      </c>
      <c r="AT328">
        <f>$H$328*$Z$328</f>
        <v>1065.19</v>
      </c>
      <c r="AU328">
        <f>$H$328*$AA$328</f>
        <v>1065.19</v>
      </c>
      <c r="AV328">
        <f>$H$328*$AB$328</f>
        <v>1065.19</v>
      </c>
      <c r="AW328">
        <f>$H$328*$AC$328</f>
        <v>1065.19</v>
      </c>
      <c r="AX328">
        <f>$H$328*$AD$328</f>
        <v>1065.19</v>
      </c>
      <c r="AY328">
        <f>$H$328*$AE$328</f>
        <v>1065.19</v>
      </c>
      <c r="AZ328">
        <f>$H$328*$AF$328</f>
        <v>1065.19</v>
      </c>
    </row>
    <row r="329" spans="1:52" x14ac:dyDescent="0.25">
      <c r="A329">
        <v>378</v>
      </c>
      <c r="B329" t="s">
        <v>4</v>
      </c>
      <c r="C329" t="s">
        <v>336</v>
      </c>
      <c r="D329">
        <v>1</v>
      </c>
      <c r="E329">
        <v>87.09</v>
      </c>
      <c r="F329" t="s">
        <v>335</v>
      </c>
      <c r="G329">
        <v>87.09</v>
      </c>
      <c r="H329">
        <v>104.51</v>
      </c>
      <c r="I329" t="s">
        <v>337</v>
      </c>
      <c r="J329" t="s">
        <v>338</v>
      </c>
      <c r="K329" t="s">
        <v>606</v>
      </c>
      <c r="L329" t="s">
        <v>179</v>
      </c>
      <c r="M329" t="s">
        <v>4</v>
      </c>
      <c r="N329" t="s">
        <v>12</v>
      </c>
      <c r="O329" t="s">
        <v>4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1</v>
      </c>
      <c r="AE329">
        <v>1</v>
      </c>
      <c r="AF329">
        <v>1</v>
      </c>
      <c r="AG329" t="s">
        <v>4</v>
      </c>
      <c r="AH329" t="s">
        <v>12</v>
      </c>
      <c r="AI329" t="s">
        <v>4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0</v>
      </c>
      <c r="AN329">
        <f>$H$329*$T$329</f>
        <v>0</v>
      </c>
      <c r="AO329">
        <f>$H$329*$U$329</f>
        <v>0</v>
      </c>
      <c r="AP329">
        <f>$H$329*$V$329</f>
        <v>0</v>
      </c>
      <c r="AQ329">
        <f>$H$329*$W$329</f>
        <v>0</v>
      </c>
      <c r="AR329">
        <f>$H$329*$X$329</f>
        <v>0</v>
      </c>
      <c r="AS329">
        <f>$H$329*$Y$329</f>
        <v>0</v>
      </c>
      <c r="AT329">
        <f>$H$329*$Z$329</f>
        <v>0</v>
      </c>
      <c r="AU329">
        <f>$H$329*$AA$329</f>
        <v>0</v>
      </c>
      <c r="AV329">
        <f>$H$329*$AB$329</f>
        <v>0</v>
      </c>
      <c r="AW329">
        <f>$H$329*$AC$329</f>
        <v>0</v>
      </c>
      <c r="AX329">
        <f>$H$329*$AD$329</f>
        <v>104.51</v>
      </c>
      <c r="AY329">
        <f>$H$329*$AE$329</f>
        <v>104.51</v>
      </c>
      <c r="AZ329">
        <f>$H$329*$AF$329</f>
        <v>104.51</v>
      </c>
    </row>
    <row r="330" spans="1:52" x14ac:dyDescent="0.25">
      <c r="A330">
        <v>379</v>
      </c>
      <c r="B330" t="s">
        <v>4</v>
      </c>
      <c r="C330" t="s">
        <v>358</v>
      </c>
      <c r="D330">
        <v>12</v>
      </c>
      <c r="E330">
        <v>53.28</v>
      </c>
      <c r="F330" t="s">
        <v>329</v>
      </c>
      <c r="G330">
        <v>4.4400000000000004</v>
      </c>
      <c r="H330">
        <v>63.94</v>
      </c>
      <c r="I330" t="s">
        <v>330</v>
      </c>
      <c r="J330" t="s">
        <v>359</v>
      </c>
      <c r="K330" t="s">
        <v>615</v>
      </c>
      <c r="L330" t="s">
        <v>179</v>
      </c>
      <c r="M330" t="s">
        <v>4</v>
      </c>
      <c r="N330" t="s">
        <v>12</v>
      </c>
      <c r="O330" t="s">
        <v>4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4</v>
      </c>
      <c r="AH330" t="s">
        <v>12</v>
      </c>
      <c r="AI330" t="s">
        <v>4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0</v>
      </c>
      <c r="AN330">
        <f>$H$330*$T$330</f>
        <v>0</v>
      </c>
      <c r="AO330">
        <f>$H$330*$U$330</f>
        <v>0</v>
      </c>
      <c r="AP330">
        <f>$H$330*$V$330</f>
        <v>0</v>
      </c>
      <c r="AQ330">
        <f>$H$330*$W$330</f>
        <v>0</v>
      </c>
      <c r="AR330">
        <f>$H$330*$X$330</f>
        <v>0</v>
      </c>
      <c r="AS330">
        <f>$H$330*$Y$330</f>
        <v>0</v>
      </c>
      <c r="AT330">
        <f>$H$330*$Z$330</f>
        <v>0</v>
      </c>
      <c r="AU330">
        <f>$H$330*$AA$330</f>
        <v>63.94</v>
      </c>
      <c r="AV330">
        <f>$H$330*$AB$330</f>
        <v>63.94</v>
      </c>
      <c r="AW330">
        <f>$H$330*$AC$330</f>
        <v>63.94</v>
      </c>
      <c r="AX330">
        <f>$H$330*$AD$330</f>
        <v>63.94</v>
      </c>
      <c r="AY330">
        <f>$H$330*$AE$330</f>
        <v>63.94</v>
      </c>
      <c r="AZ330">
        <f>$H$330*$AF$330</f>
        <v>63.94</v>
      </c>
    </row>
    <row r="331" spans="1:52" x14ac:dyDescent="0.25">
      <c r="A331">
        <v>380</v>
      </c>
      <c r="B331" t="s">
        <v>4</v>
      </c>
      <c r="C331" t="s">
        <v>472</v>
      </c>
      <c r="D331">
        <v>6</v>
      </c>
      <c r="E331">
        <v>64.56</v>
      </c>
      <c r="F331" t="s">
        <v>329</v>
      </c>
      <c r="G331">
        <v>10.76</v>
      </c>
      <c r="H331">
        <v>77.48</v>
      </c>
      <c r="I331" t="s">
        <v>333</v>
      </c>
      <c r="J331" t="s">
        <v>473</v>
      </c>
      <c r="K331" t="s">
        <v>670</v>
      </c>
      <c r="L331" t="s">
        <v>179</v>
      </c>
      <c r="M331" t="s">
        <v>4</v>
      </c>
      <c r="N331" t="s">
        <v>12</v>
      </c>
      <c r="O331" t="s">
        <v>4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1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4</v>
      </c>
      <c r="AH331" t="s">
        <v>12</v>
      </c>
      <c r="AI331" t="s">
        <v>4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0</v>
      </c>
      <c r="AN331">
        <f>$H$331*$T$331</f>
        <v>0</v>
      </c>
      <c r="AO331">
        <f>$H$331*$U$331</f>
        <v>0</v>
      </c>
      <c r="AP331">
        <f>$H$331*$V$331</f>
        <v>0</v>
      </c>
      <c r="AQ331">
        <f>$H$331*$W$331</f>
        <v>0</v>
      </c>
      <c r="AR331">
        <f>$H$331*$X$331</f>
        <v>0</v>
      </c>
      <c r="AS331">
        <f>$H$331*$Y$331</f>
        <v>0</v>
      </c>
      <c r="AT331">
        <f>$H$331*$Z$331</f>
        <v>77.48</v>
      </c>
      <c r="AU331">
        <f>$H$331*$AA$331</f>
        <v>77.48</v>
      </c>
      <c r="AV331">
        <f>$H$331*$AB$331</f>
        <v>77.48</v>
      </c>
      <c r="AW331">
        <f>$H$331*$AC$331</f>
        <v>77.48</v>
      </c>
      <c r="AX331">
        <f>$H$331*$AD$331</f>
        <v>77.48</v>
      </c>
      <c r="AY331">
        <f>$H$331*$AE$331</f>
        <v>77.48</v>
      </c>
      <c r="AZ331">
        <f>$H$331*$AF$331</f>
        <v>77.48</v>
      </c>
    </row>
    <row r="332" spans="1:52" x14ac:dyDescent="0.25">
      <c r="A332">
        <v>381</v>
      </c>
      <c r="B332" t="s">
        <v>4</v>
      </c>
      <c r="C332" t="s">
        <v>360</v>
      </c>
      <c r="D332">
        <v>6</v>
      </c>
      <c r="E332">
        <v>69.3</v>
      </c>
      <c r="F332" t="s">
        <v>329</v>
      </c>
      <c r="G332">
        <v>11.55</v>
      </c>
      <c r="H332">
        <v>83.16</v>
      </c>
      <c r="I332" t="s">
        <v>333</v>
      </c>
      <c r="J332" t="s">
        <v>361</v>
      </c>
      <c r="K332" t="s">
        <v>616</v>
      </c>
      <c r="L332" t="s">
        <v>179</v>
      </c>
      <c r="M332" t="s">
        <v>4</v>
      </c>
      <c r="N332" t="s">
        <v>12</v>
      </c>
      <c r="O332" t="s">
        <v>4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4</v>
      </c>
      <c r="AH332" t="s">
        <v>12</v>
      </c>
      <c r="AI332" t="s">
        <v>4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0</v>
      </c>
      <c r="AN332">
        <f>$H$332*$T$332</f>
        <v>0</v>
      </c>
      <c r="AO332">
        <f>$H$332*$U$332</f>
        <v>0</v>
      </c>
      <c r="AP332">
        <f>$H$332*$V$332</f>
        <v>0</v>
      </c>
      <c r="AQ332">
        <f>$H$332*$W$332</f>
        <v>0</v>
      </c>
      <c r="AR332">
        <f>$H$332*$X$332</f>
        <v>0</v>
      </c>
      <c r="AS332">
        <f>$H$332*$Y$332</f>
        <v>0</v>
      </c>
      <c r="AT332">
        <f>$H$332*$Z$332</f>
        <v>0</v>
      </c>
      <c r="AU332">
        <f>$H$332*$AA$332</f>
        <v>83.16</v>
      </c>
      <c r="AV332">
        <f>$H$332*$AB$332</f>
        <v>83.16</v>
      </c>
      <c r="AW332">
        <f>$H$332*$AC$332</f>
        <v>83.16</v>
      </c>
      <c r="AX332">
        <f>$H$332*$AD$332</f>
        <v>83.16</v>
      </c>
      <c r="AY332">
        <f>$H$332*$AE$332</f>
        <v>83.16</v>
      </c>
      <c r="AZ332">
        <f>$H$332*$AF$332</f>
        <v>83.16</v>
      </c>
    </row>
    <row r="333" spans="1:52" x14ac:dyDescent="0.25">
      <c r="A333">
        <v>382</v>
      </c>
      <c r="B333" t="s">
        <v>4</v>
      </c>
      <c r="C333" t="s">
        <v>431</v>
      </c>
      <c r="D333">
        <v>6</v>
      </c>
      <c r="E333">
        <v>28.5</v>
      </c>
      <c r="F333" t="s">
        <v>329</v>
      </c>
      <c r="G333">
        <v>4.75</v>
      </c>
      <c r="H333">
        <v>34.200000000000003</v>
      </c>
      <c r="I333" t="s">
        <v>333</v>
      </c>
      <c r="J333" t="s">
        <v>432</v>
      </c>
      <c r="K333" t="s">
        <v>650</v>
      </c>
      <c r="L333" t="s">
        <v>179</v>
      </c>
      <c r="M333" t="s">
        <v>4</v>
      </c>
      <c r="N333" t="s">
        <v>12</v>
      </c>
      <c r="O333" t="s">
        <v>4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1</v>
      </c>
      <c r="AD333">
        <v>1</v>
      </c>
      <c r="AE333">
        <v>1</v>
      </c>
      <c r="AF333">
        <v>1</v>
      </c>
      <c r="AG333" t="s">
        <v>4</v>
      </c>
      <c r="AH333" t="s">
        <v>12</v>
      </c>
      <c r="AI333" t="s">
        <v>4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0</v>
      </c>
      <c r="AN333">
        <f>$H$333*$T$333</f>
        <v>0</v>
      </c>
      <c r="AO333">
        <f>$H$333*$U$333</f>
        <v>0</v>
      </c>
      <c r="AP333">
        <f>$H$333*$V$333</f>
        <v>0</v>
      </c>
      <c r="AQ333">
        <f>$H$333*$W$333</f>
        <v>0</v>
      </c>
      <c r="AR333">
        <f>$H$333*$X$333</f>
        <v>0</v>
      </c>
      <c r="AS333">
        <f>$H$333*$Y$333</f>
        <v>0</v>
      </c>
      <c r="AT333">
        <f>$H$333*$Z$333</f>
        <v>0</v>
      </c>
      <c r="AU333">
        <f>$H$333*$AA$333</f>
        <v>0</v>
      </c>
      <c r="AV333">
        <f>$H$333*$AB$333</f>
        <v>0</v>
      </c>
      <c r="AW333">
        <f>$H$333*$AC$333</f>
        <v>34.200000000000003</v>
      </c>
      <c r="AX333">
        <f>$H$333*$AD$333</f>
        <v>34.200000000000003</v>
      </c>
      <c r="AY333">
        <f>$H$333*$AE$333</f>
        <v>34.200000000000003</v>
      </c>
      <c r="AZ333">
        <f>$H$333*$AF$333</f>
        <v>34.200000000000003</v>
      </c>
    </row>
    <row r="334" spans="1:52" x14ac:dyDescent="0.25">
      <c r="A334">
        <v>383</v>
      </c>
      <c r="B334" t="s">
        <v>4</v>
      </c>
      <c r="C334" t="s">
        <v>435</v>
      </c>
      <c r="D334">
        <v>8</v>
      </c>
      <c r="E334">
        <v>106.16</v>
      </c>
      <c r="F334" t="s">
        <v>335</v>
      </c>
      <c r="G334">
        <v>13.27</v>
      </c>
      <c r="H334">
        <v>127.4</v>
      </c>
      <c r="I334" t="s">
        <v>337</v>
      </c>
      <c r="J334" t="s">
        <v>436</v>
      </c>
      <c r="K334" t="s">
        <v>652</v>
      </c>
      <c r="L334" t="s">
        <v>179</v>
      </c>
      <c r="M334" t="s">
        <v>4</v>
      </c>
      <c r="N334" t="s">
        <v>12</v>
      </c>
      <c r="O334" t="s">
        <v>4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1</v>
      </c>
      <c r="Y334">
        <v>1</v>
      </c>
      <c r="Z334">
        <v>1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4</v>
      </c>
      <c r="AH334" t="s">
        <v>12</v>
      </c>
      <c r="AI334" t="s">
        <v>4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0</v>
      </c>
      <c r="AN334">
        <f>$H$334*$T$334</f>
        <v>0</v>
      </c>
      <c r="AO334">
        <f>$H$334*$U$334</f>
        <v>0</v>
      </c>
      <c r="AP334">
        <f>$H$334*$V$334</f>
        <v>0</v>
      </c>
      <c r="AQ334">
        <f>$H$334*$W$334</f>
        <v>0</v>
      </c>
      <c r="AR334">
        <f>$H$334*$X$334</f>
        <v>127.4</v>
      </c>
      <c r="AS334">
        <f>$H$334*$Y$334</f>
        <v>127.4</v>
      </c>
      <c r="AT334">
        <f>$H$334*$Z$334</f>
        <v>127.4</v>
      </c>
      <c r="AU334">
        <f>$H$334*$AA$334</f>
        <v>127.4</v>
      </c>
      <c r="AV334">
        <f>$H$334*$AB$334</f>
        <v>127.4</v>
      </c>
      <c r="AW334">
        <f>$H$334*$AC$334</f>
        <v>127.4</v>
      </c>
      <c r="AX334">
        <f>$H$334*$AD$334</f>
        <v>127.4</v>
      </c>
      <c r="AY334">
        <f>$H$334*$AE$334</f>
        <v>127.4</v>
      </c>
      <c r="AZ334">
        <f>$H$334*$AF$334</f>
        <v>127.4</v>
      </c>
    </row>
    <row r="335" spans="1:52" x14ac:dyDescent="0.25">
      <c r="A335">
        <v>384</v>
      </c>
      <c r="B335" t="s">
        <v>4</v>
      </c>
      <c r="C335" t="s">
        <v>437</v>
      </c>
      <c r="D335">
        <v>1</v>
      </c>
      <c r="E335">
        <v>98.82</v>
      </c>
      <c r="F335" t="s">
        <v>335</v>
      </c>
      <c r="G335">
        <v>98.82</v>
      </c>
      <c r="H335">
        <v>118.58</v>
      </c>
      <c r="I335" t="s">
        <v>340</v>
      </c>
      <c r="J335" t="s">
        <v>372</v>
      </c>
      <c r="K335" t="s">
        <v>653</v>
      </c>
      <c r="L335" t="s">
        <v>179</v>
      </c>
      <c r="M335" t="s">
        <v>4</v>
      </c>
      <c r="N335" t="s">
        <v>12</v>
      </c>
      <c r="O335" t="s">
        <v>4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1</v>
      </c>
      <c r="AE335">
        <v>1</v>
      </c>
      <c r="AF335">
        <v>1</v>
      </c>
      <c r="AG335" t="s">
        <v>4</v>
      </c>
      <c r="AH335" t="s">
        <v>12</v>
      </c>
      <c r="AI335" t="s">
        <v>4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0</v>
      </c>
      <c r="AN335">
        <f>$H$335*$T$335</f>
        <v>0</v>
      </c>
      <c r="AO335">
        <f>$H$335*$U$335</f>
        <v>0</v>
      </c>
      <c r="AP335">
        <f>$H$335*$V$335</f>
        <v>0</v>
      </c>
      <c r="AQ335">
        <f>$H$335*$W$335</f>
        <v>0</v>
      </c>
      <c r="AR335">
        <f>$H$335*$X$335</f>
        <v>0</v>
      </c>
      <c r="AS335">
        <f>$H$335*$Y$335</f>
        <v>0</v>
      </c>
      <c r="AT335">
        <f>$H$335*$Z$335</f>
        <v>0</v>
      </c>
      <c r="AU335">
        <f>$H$335*$AA$335</f>
        <v>0</v>
      </c>
      <c r="AV335">
        <f>$H$335*$AB$335</f>
        <v>0</v>
      </c>
      <c r="AW335">
        <f>$H$335*$AC$335</f>
        <v>0</v>
      </c>
      <c r="AX335">
        <f>$H$335*$AD$335</f>
        <v>118.58</v>
      </c>
      <c r="AY335">
        <f>$H$335*$AE$335</f>
        <v>118.58</v>
      </c>
      <c r="AZ335">
        <f>$H$335*$AF$335</f>
        <v>118.58</v>
      </c>
    </row>
    <row r="336" spans="1:52" x14ac:dyDescent="0.25">
      <c r="A336">
        <v>385</v>
      </c>
      <c r="B336" t="s">
        <v>4</v>
      </c>
      <c r="C336" t="s">
        <v>367</v>
      </c>
      <c r="D336">
        <v>1</v>
      </c>
      <c r="E336">
        <v>62.41</v>
      </c>
      <c r="F336" t="s">
        <v>335</v>
      </c>
      <c r="G336">
        <v>62.41</v>
      </c>
      <c r="H336">
        <v>74.89</v>
      </c>
      <c r="I336" t="s">
        <v>368</v>
      </c>
      <c r="J336" t="s">
        <v>369</v>
      </c>
      <c r="K336" t="s">
        <v>619</v>
      </c>
      <c r="L336" t="s">
        <v>179</v>
      </c>
      <c r="M336" t="s">
        <v>4</v>
      </c>
      <c r="N336" t="s">
        <v>12</v>
      </c>
      <c r="O336" t="s">
        <v>4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4</v>
      </c>
      <c r="AH336" t="s">
        <v>12</v>
      </c>
      <c r="AI336" t="s">
        <v>4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0</v>
      </c>
      <c r="AN336">
        <f>$H$336*$T$336</f>
        <v>0</v>
      </c>
      <c r="AO336">
        <f>$H$336*$U$336</f>
        <v>0</v>
      </c>
      <c r="AP336">
        <f>$H$336*$V$336</f>
        <v>0</v>
      </c>
      <c r="AQ336">
        <f>$H$336*$W$336</f>
        <v>0</v>
      </c>
      <c r="AR336">
        <f>$H$336*$X$336</f>
        <v>0</v>
      </c>
      <c r="AS336">
        <f>$H$336*$Y$336</f>
        <v>0</v>
      </c>
      <c r="AT336">
        <f>$H$336*$Z$336</f>
        <v>0</v>
      </c>
      <c r="AU336">
        <f>$H$336*$AA$336</f>
        <v>74.89</v>
      </c>
      <c r="AV336">
        <f>$H$336*$AB$336</f>
        <v>74.89</v>
      </c>
      <c r="AW336">
        <f>$H$336*$AC$336</f>
        <v>74.89</v>
      </c>
      <c r="AX336">
        <f>$H$336*$AD$336</f>
        <v>74.89</v>
      </c>
      <c r="AY336">
        <f>$H$336*$AE$336</f>
        <v>74.89</v>
      </c>
      <c r="AZ336">
        <f>$H$336*$AF$336</f>
        <v>74.89</v>
      </c>
    </row>
    <row r="337" spans="1:52" x14ac:dyDescent="0.25">
      <c r="A337">
        <v>386</v>
      </c>
      <c r="B337" t="s">
        <v>4</v>
      </c>
      <c r="C337" t="s">
        <v>531</v>
      </c>
      <c r="D337">
        <v>2</v>
      </c>
      <c r="E337">
        <v>110.04</v>
      </c>
      <c r="F337" t="s">
        <v>335</v>
      </c>
      <c r="G337">
        <v>55.02</v>
      </c>
      <c r="H337">
        <v>132.04</v>
      </c>
      <c r="I337" t="s">
        <v>330</v>
      </c>
      <c r="J337" t="s">
        <v>532</v>
      </c>
      <c r="K337" t="s">
        <v>698</v>
      </c>
      <c r="L337" t="s">
        <v>179</v>
      </c>
      <c r="M337" t="s">
        <v>4</v>
      </c>
      <c r="N337" t="s">
        <v>12</v>
      </c>
      <c r="O337" t="s">
        <v>4</v>
      </c>
      <c r="P337">
        <v>0</v>
      </c>
      <c r="Q337">
        <v>0</v>
      </c>
      <c r="R337">
        <v>0</v>
      </c>
      <c r="S337">
        <v>1</v>
      </c>
      <c r="T337">
        <v>1</v>
      </c>
      <c r="U337">
        <v>1</v>
      </c>
      <c r="V337">
        <v>1</v>
      </c>
      <c r="W337">
        <v>1</v>
      </c>
      <c r="X337">
        <v>1</v>
      </c>
      <c r="Y337">
        <v>1</v>
      </c>
      <c r="Z337">
        <v>1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4</v>
      </c>
      <c r="AH337" t="s">
        <v>12</v>
      </c>
      <c r="AI337" t="s">
        <v>4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132.04</v>
      </c>
      <c r="AN337">
        <f>$H$337*$T$337</f>
        <v>132.04</v>
      </c>
      <c r="AO337">
        <f>$H$337*$U$337</f>
        <v>132.04</v>
      </c>
      <c r="AP337">
        <f>$H$337*$V$337</f>
        <v>132.04</v>
      </c>
      <c r="AQ337">
        <f>$H$337*$W$337</f>
        <v>132.04</v>
      </c>
      <c r="AR337">
        <f>$H$337*$X$337</f>
        <v>132.04</v>
      </c>
      <c r="AS337">
        <f>$H$337*$Y$337</f>
        <v>132.04</v>
      </c>
      <c r="AT337">
        <f>$H$337*$Z$337</f>
        <v>132.04</v>
      </c>
      <c r="AU337">
        <f>$H$337*$AA$337</f>
        <v>132.04</v>
      </c>
      <c r="AV337">
        <f>$H$337*$AB$337</f>
        <v>132.04</v>
      </c>
      <c r="AW337">
        <f>$H$337*$AC$337</f>
        <v>132.04</v>
      </c>
      <c r="AX337">
        <f>$H$337*$AD$337</f>
        <v>132.04</v>
      </c>
      <c r="AY337">
        <f>$H$337*$AE$337</f>
        <v>132.04</v>
      </c>
      <c r="AZ337">
        <f>$H$337*$AF$337</f>
        <v>132.04</v>
      </c>
    </row>
    <row r="338" spans="1:52" x14ac:dyDescent="0.25">
      <c r="A338">
        <v>387</v>
      </c>
      <c r="B338" t="s">
        <v>4</v>
      </c>
      <c r="C338" t="s">
        <v>533</v>
      </c>
      <c r="D338">
        <v>1</v>
      </c>
      <c r="E338">
        <v>434.33</v>
      </c>
      <c r="F338" t="s">
        <v>335</v>
      </c>
      <c r="G338">
        <v>434.33</v>
      </c>
      <c r="H338">
        <v>521.19000000000005</v>
      </c>
      <c r="I338" t="s">
        <v>371</v>
      </c>
      <c r="J338" t="s">
        <v>534</v>
      </c>
      <c r="K338" t="s">
        <v>699</v>
      </c>
      <c r="L338" t="s">
        <v>179</v>
      </c>
      <c r="M338" t="s">
        <v>4</v>
      </c>
      <c r="N338" t="s">
        <v>12</v>
      </c>
      <c r="O338" t="s">
        <v>4</v>
      </c>
      <c r="P338">
        <v>0</v>
      </c>
      <c r="Q338">
        <v>0</v>
      </c>
      <c r="R338">
        <v>0</v>
      </c>
      <c r="S338">
        <v>0</v>
      </c>
      <c r="T338">
        <v>1</v>
      </c>
      <c r="U338">
        <v>1</v>
      </c>
      <c r="V338">
        <v>1</v>
      </c>
      <c r="W338">
        <v>1</v>
      </c>
      <c r="X338">
        <v>1</v>
      </c>
      <c r="Y338">
        <v>1</v>
      </c>
      <c r="Z338">
        <v>1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4</v>
      </c>
      <c r="AH338" t="s">
        <v>12</v>
      </c>
      <c r="AI338" t="s">
        <v>4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0</v>
      </c>
      <c r="AN338">
        <f>$H$338*$T$338</f>
        <v>521.19000000000005</v>
      </c>
      <c r="AO338">
        <f>$H$338*$U$338</f>
        <v>521.19000000000005</v>
      </c>
      <c r="AP338">
        <f>$H$338*$V$338</f>
        <v>521.19000000000005</v>
      </c>
      <c r="AQ338">
        <f>$H$338*$W$338</f>
        <v>521.19000000000005</v>
      </c>
      <c r="AR338">
        <f>$H$338*$X$338</f>
        <v>521.19000000000005</v>
      </c>
      <c r="AS338">
        <f>$H$338*$Y$338</f>
        <v>521.19000000000005</v>
      </c>
      <c r="AT338">
        <f>$H$338*$Z$338</f>
        <v>521.19000000000005</v>
      </c>
      <c r="AU338">
        <f>$H$338*$AA$338</f>
        <v>521.19000000000005</v>
      </c>
      <c r="AV338">
        <f>$H$338*$AB$338</f>
        <v>521.19000000000005</v>
      </c>
      <c r="AW338">
        <f>$H$338*$AC$338</f>
        <v>521.19000000000005</v>
      </c>
      <c r="AX338">
        <f>$H$338*$AD$338</f>
        <v>521.19000000000005</v>
      </c>
      <c r="AY338">
        <f>$H$338*$AE$338</f>
        <v>521.19000000000005</v>
      </c>
      <c r="AZ338">
        <f>$H$338*$AF$338</f>
        <v>521.19000000000005</v>
      </c>
    </row>
    <row r="339" spans="1:52" x14ac:dyDescent="0.25">
      <c r="A339">
        <v>388</v>
      </c>
      <c r="B339" t="s">
        <v>4</v>
      </c>
      <c r="C339" t="s">
        <v>375</v>
      </c>
      <c r="D339">
        <v>2</v>
      </c>
      <c r="E339">
        <v>77.86</v>
      </c>
      <c r="F339" t="s">
        <v>335</v>
      </c>
      <c r="G339">
        <v>38.93</v>
      </c>
      <c r="H339">
        <v>93.44</v>
      </c>
      <c r="I339" t="s">
        <v>330</v>
      </c>
      <c r="J339" t="s">
        <v>371</v>
      </c>
      <c r="K339" t="s">
        <v>622</v>
      </c>
      <c r="L339" t="s">
        <v>179</v>
      </c>
      <c r="M339" t="s">
        <v>4</v>
      </c>
      <c r="N339" t="s">
        <v>12</v>
      </c>
      <c r="O339" t="s">
        <v>4</v>
      </c>
      <c r="P339">
        <v>0</v>
      </c>
      <c r="Q339">
        <v>0</v>
      </c>
      <c r="R339">
        <v>0</v>
      </c>
      <c r="S339">
        <v>1</v>
      </c>
      <c r="T339">
        <v>1</v>
      </c>
      <c r="U339">
        <v>1</v>
      </c>
      <c r="V339">
        <v>1</v>
      </c>
      <c r="W339">
        <v>1</v>
      </c>
      <c r="X339">
        <v>1</v>
      </c>
      <c r="Y339">
        <v>1</v>
      </c>
      <c r="Z339">
        <v>1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4</v>
      </c>
      <c r="AH339" t="s">
        <v>12</v>
      </c>
      <c r="AI339" t="s">
        <v>4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93.44</v>
      </c>
      <c r="AN339">
        <f>$H$339*$T$339</f>
        <v>93.44</v>
      </c>
      <c r="AO339">
        <f>$H$339*$U$339</f>
        <v>93.44</v>
      </c>
      <c r="AP339">
        <f>$H$339*$V$339</f>
        <v>93.44</v>
      </c>
      <c r="AQ339">
        <f>$H$339*$W$339</f>
        <v>93.44</v>
      </c>
      <c r="AR339">
        <f>$H$339*$X$339</f>
        <v>93.44</v>
      </c>
      <c r="AS339">
        <f>$H$339*$Y$339</f>
        <v>93.44</v>
      </c>
      <c r="AT339">
        <f>$H$339*$Z$339</f>
        <v>93.44</v>
      </c>
      <c r="AU339">
        <f>$H$339*$AA$339</f>
        <v>93.44</v>
      </c>
      <c r="AV339">
        <f>$H$339*$AB$339</f>
        <v>93.44</v>
      </c>
      <c r="AW339">
        <f>$H$339*$AC$339</f>
        <v>93.44</v>
      </c>
      <c r="AX339">
        <f>$H$339*$AD$339</f>
        <v>93.44</v>
      </c>
      <c r="AY339">
        <f>$H$339*$AE$339</f>
        <v>93.44</v>
      </c>
      <c r="AZ339">
        <f>$H$339*$AF$339</f>
        <v>93.44</v>
      </c>
    </row>
    <row r="340" spans="1:52" x14ac:dyDescent="0.25">
      <c r="A340">
        <v>389</v>
      </c>
      <c r="B340" t="s">
        <v>4</v>
      </c>
      <c r="C340" t="s">
        <v>373</v>
      </c>
      <c r="D340">
        <v>2</v>
      </c>
      <c r="E340">
        <v>62.72</v>
      </c>
      <c r="F340" t="s">
        <v>335</v>
      </c>
      <c r="G340">
        <v>31.36</v>
      </c>
      <c r="H340">
        <v>75.260000000000005</v>
      </c>
      <c r="I340" t="s">
        <v>330</v>
      </c>
      <c r="J340" t="s">
        <v>374</v>
      </c>
      <c r="K340" t="s">
        <v>621</v>
      </c>
      <c r="L340" t="s">
        <v>179</v>
      </c>
      <c r="M340" t="s">
        <v>4</v>
      </c>
      <c r="N340" t="s">
        <v>12</v>
      </c>
      <c r="O340" t="s">
        <v>4</v>
      </c>
      <c r="P340">
        <v>0</v>
      </c>
      <c r="Q340">
        <v>0</v>
      </c>
      <c r="R340">
        <v>0</v>
      </c>
      <c r="S340">
        <v>1</v>
      </c>
      <c r="T340">
        <v>1</v>
      </c>
      <c r="U340">
        <v>1</v>
      </c>
      <c r="V340">
        <v>1</v>
      </c>
      <c r="W340">
        <v>1</v>
      </c>
      <c r="X340">
        <v>1</v>
      </c>
      <c r="Y340">
        <v>1</v>
      </c>
      <c r="Z340">
        <v>1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4</v>
      </c>
      <c r="AH340" t="s">
        <v>12</v>
      </c>
      <c r="AI340" t="s">
        <v>4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75.260000000000005</v>
      </c>
      <c r="AN340">
        <f>$H$340*$T$340</f>
        <v>75.260000000000005</v>
      </c>
      <c r="AO340">
        <f>$H$340*$U$340</f>
        <v>75.260000000000005</v>
      </c>
      <c r="AP340">
        <f>$H$340*$V$340</f>
        <v>75.260000000000005</v>
      </c>
      <c r="AQ340">
        <f>$H$340*$W$340</f>
        <v>75.260000000000005</v>
      </c>
      <c r="AR340">
        <f>$H$340*$X$340</f>
        <v>75.260000000000005</v>
      </c>
      <c r="AS340">
        <f>$H$340*$Y$340</f>
        <v>75.260000000000005</v>
      </c>
      <c r="AT340">
        <f>$H$340*$Z$340</f>
        <v>75.260000000000005</v>
      </c>
      <c r="AU340">
        <f>$H$340*$AA$340</f>
        <v>75.260000000000005</v>
      </c>
      <c r="AV340">
        <f>$H$340*$AB$340</f>
        <v>75.260000000000005</v>
      </c>
      <c r="AW340">
        <f>$H$340*$AC$340</f>
        <v>75.260000000000005</v>
      </c>
      <c r="AX340">
        <f>$H$340*$AD$340</f>
        <v>75.260000000000005</v>
      </c>
      <c r="AY340">
        <f>$H$340*$AE$340</f>
        <v>75.260000000000005</v>
      </c>
      <c r="AZ340">
        <f>$H$340*$AF$340</f>
        <v>75.260000000000005</v>
      </c>
    </row>
    <row r="341" spans="1:52" x14ac:dyDescent="0.25">
      <c r="A341">
        <v>390</v>
      </c>
      <c r="B341" t="s">
        <v>4</v>
      </c>
      <c r="C341" t="s">
        <v>370</v>
      </c>
      <c r="D341">
        <v>1</v>
      </c>
      <c r="E341">
        <v>366.18</v>
      </c>
      <c r="F341" t="s">
        <v>335</v>
      </c>
      <c r="G341">
        <v>366.18</v>
      </c>
      <c r="H341">
        <v>439.42</v>
      </c>
      <c r="I341" t="s">
        <v>371</v>
      </c>
      <c r="J341" t="s">
        <v>372</v>
      </c>
      <c r="K341" t="s">
        <v>620</v>
      </c>
      <c r="L341" t="s">
        <v>179</v>
      </c>
      <c r="M341" t="s">
        <v>4</v>
      </c>
      <c r="N341" t="s">
        <v>12</v>
      </c>
      <c r="O341" t="s">
        <v>4</v>
      </c>
      <c r="P341">
        <v>0</v>
      </c>
      <c r="Q341">
        <v>0</v>
      </c>
      <c r="R341">
        <v>0</v>
      </c>
      <c r="S341">
        <v>0</v>
      </c>
      <c r="T341">
        <v>1</v>
      </c>
      <c r="U341">
        <v>1</v>
      </c>
      <c r="V341">
        <v>1</v>
      </c>
      <c r="W341">
        <v>1</v>
      </c>
      <c r="X341">
        <v>1</v>
      </c>
      <c r="Y341">
        <v>1</v>
      </c>
      <c r="Z341">
        <v>1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 t="s">
        <v>4</v>
      </c>
      <c r="AH341" t="s">
        <v>12</v>
      </c>
      <c r="AI341" t="s">
        <v>4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0</v>
      </c>
      <c r="AN341">
        <f>$H$341*$T$341</f>
        <v>439.42</v>
      </c>
      <c r="AO341">
        <f>$H$341*$U$341</f>
        <v>439.42</v>
      </c>
      <c r="AP341">
        <f>$H$341*$V$341</f>
        <v>439.42</v>
      </c>
      <c r="AQ341">
        <f>$H$341*$W$341</f>
        <v>439.42</v>
      </c>
      <c r="AR341">
        <f>$H$341*$X$341</f>
        <v>439.42</v>
      </c>
      <c r="AS341">
        <f>$H$341*$Y$341</f>
        <v>439.42</v>
      </c>
      <c r="AT341">
        <f>$H$341*$Z$341</f>
        <v>439.42</v>
      </c>
      <c r="AU341">
        <f>$H$341*$AA$341</f>
        <v>439.42</v>
      </c>
      <c r="AV341">
        <f>$H$341*$AB$341</f>
        <v>439.42</v>
      </c>
      <c r="AW341">
        <f>$H$341*$AC$341</f>
        <v>439.42</v>
      </c>
      <c r="AX341">
        <f>$H$341*$AD$341</f>
        <v>439.42</v>
      </c>
      <c r="AY341">
        <f>$H$341*$AE$341</f>
        <v>439.42</v>
      </c>
      <c r="AZ341">
        <f>$H$341*$AF$341</f>
        <v>439.42</v>
      </c>
    </row>
    <row r="342" spans="1:52" x14ac:dyDescent="0.25">
      <c r="A342">
        <v>391</v>
      </c>
      <c r="B342" t="s">
        <v>4</v>
      </c>
      <c r="C342" t="s">
        <v>438</v>
      </c>
      <c r="D342">
        <v>15.73</v>
      </c>
      <c r="E342">
        <v>41.21</v>
      </c>
      <c r="F342" t="s">
        <v>329</v>
      </c>
      <c r="G342">
        <v>2.62</v>
      </c>
      <c r="H342">
        <v>49.45</v>
      </c>
      <c r="I342" t="s">
        <v>439</v>
      </c>
      <c r="J342" t="s">
        <v>440</v>
      </c>
      <c r="K342" t="s">
        <v>654</v>
      </c>
      <c r="L342" t="s">
        <v>179</v>
      </c>
      <c r="M342" t="s">
        <v>4</v>
      </c>
      <c r="N342" t="s">
        <v>12</v>
      </c>
      <c r="O342" t="s">
        <v>4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4</v>
      </c>
      <c r="AH342" t="s">
        <v>12</v>
      </c>
      <c r="AI342" t="s">
        <v>4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0</v>
      </c>
      <c r="AN342">
        <f>$H$342*$T$342</f>
        <v>0</v>
      </c>
      <c r="AO342">
        <f>$H$342*$U$342</f>
        <v>0</v>
      </c>
      <c r="AP342">
        <f>$H$342*$V$342</f>
        <v>0</v>
      </c>
      <c r="AQ342">
        <f>$H$342*$W$342</f>
        <v>0</v>
      </c>
      <c r="AR342">
        <f>$H$342*$X$342</f>
        <v>0</v>
      </c>
      <c r="AS342">
        <f>$H$342*$Y$342</f>
        <v>0</v>
      </c>
      <c r="AT342">
        <f>$H$342*$Z$342</f>
        <v>0</v>
      </c>
      <c r="AU342">
        <f>$H$342*$AA$342</f>
        <v>49.45</v>
      </c>
      <c r="AV342">
        <f>$H$342*$AB$342</f>
        <v>49.45</v>
      </c>
      <c r="AW342">
        <f>$H$342*$AC$342</f>
        <v>49.45</v>
      </c>
      <c r="AX342">
        <f>$H$342*$AD$342</f>
        <v>49.45</v>
      </c>
      <c r="AY342">
        <f>$H$342*$AE$342</f>
        <v>49.45</v>
      </c>
      <c r="AZ342">
        <f>$H$342*$AF$342</f>
        <v>49.45</v>
      </c>
    </row>
    <row r="343" spans="1:52" x14ac:dyDescent="0.25">
      <c r="A343">
        <v>392</v>
      </c>
      <c r="B343" t="s">
        <v>4</v>
      </c>
      <c r="C343" t="s">
        <v>441</v>
      </c>
      <c r="D343">
        <v>141.6</v>
      </c>
      <c r="E343">
        <v>305.86</v>
      </c>
      <c r="F343" t="s">
        <v>349</v>
      </c>
      <c r="G343">
        <v>2.16</v>
      </c>
      <c r="H343">
        <v>367.04</v>
      </c>
      <c r="I343" t="s">
        <v>439</v>
      </c>
      <c r="J343" t="s">
        <v>442</v>
      </c>
      <c r="K343" t="s">
        <v>655</v>
      </c>
      <c r="L343" t="s">
        <v>179</v>
      </c>
      <c r="M343" t="s">
        <v>4</v>
      </c>
      <c r="N343" t="s">
        <v>12</v>
      </c>
      <c r="O343" t="s">
        <v>4</v>
      </c>
      <c r="P343">
        <v>0</v>
      </c>
      <c r="Q343">
        <v>0</v>
      </c>
      <c r="R343">
        <v>0</v>
      </c>
      <c r="S343">
        <v>1</v>
      </c>
      <c r="T343">
        <v>1</v>
      </c>
      <c r="U343">
        <v>1</v>
      </c>
      <c r="V343">
        <v>1</v>
      </c>
      <c r="W343">
        <v>1</v>
      </c>
      <c r="X343">
        <v>1</v>
      </c>
      <c r="Y343">
        <v>1</v>
      </c>
      <c r="Z343">
        <v>1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4</v>
      </c>
      <c r="AH343" t="s">
        <v>12</v>
      </c>
      <c r="AI343" t="s">
        <v>4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367.04</v>
      </c>
      <c r="AN343">
        <f>$H$343*$T$343</f>
        <v>367.04</v>
      </c>
      <c r="AO343">
        <f>$H$343*$U$343</f>
        <v>367.04</v>
      </c>
      <c r="AP343">
        <f>$H$343*$V$343</f>
        <v>367.04</v>
      </c>
      <c r="AQ343">
        <f>$H$343*$W$343</f>
        <v>367.04</v>
      </c>
      <c r="AR343">
        <f>$H$343*$X$343</f>
        <v>367.04</v>
      </c>
      <c r="AS343">
        <f>$H$343*$Y$343</f>
        <v>367.04</v>
      </c>
      <c r="AT343">
        <f>$H$343*$Z$343</f>
        <v>367.04</v>
      </c>
      <c r="AU343">
        <f>$H$343*$AA$343</f>
        <v>367.04</v>
      </c>
      <c r="AV343">
        <f>$H$343*$AB$343</f>
        <v>367.04</v>
      </c>
      <c r="AW343">
        <f>$H$343*$AC$343</f>
        <v>367.04</v>
      </c>
      <c r="AX343">
        <f>$H$343*$AD$343</f>
        <v>367.04</v>
      </c>
      <c r="AY343">
        <f>$H$343*$AE$343</f>
        <v>367.04</v>
      </c>
      <c r="AZ343">
        <f>$H$343*$AF$343</f>
        <v>367.04</v>
      </c>
    </row>
    <row r="344" spans="1:52" x14ac:dyDescent="0.25">
      <c r="A344">
        <v>393</v>
      </c>
      <c r="B344" t="s">
        <v>4</v>
      </c>
      <c r="C344" t="s">
        <v>443</v>
      </c>
      <c r="D344">
        <v>141.6</v>
      </c>
      <c r="E344">
        <v>89.21</v>
      </c>
      <c r="F344" t="s">
        <v>349</v>
      </c>
      <c r="G344">
        <v>0.63</v>
      </c>
      <c r="H344">
        <v>107.05</v>
      </c>
      <c r="I344" t="s">
        <v>330</v>
      </c>
      <c r="J344" t="s">
        <v>444</v>
      </c>
      <c r="K344" t="s">
        <v>656</v>
      </c>
      <c r="L344" t="s">
        <v>179</v>
      </c>
      <c r="M344" t="s">
        <v>4</v>
      </c>
      <c r="N344" t="s">
        <v>12</v>
      </c>
      <c r="O344" t="s">
        <v>4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1</v>
      </c>
      <c r="AE344">
        <v>1</v>
      </c>
      <c r="AF344">
        <v>1</v>
      </c>
      <c r="AG344" t="s">
        <v>4</v>
      </c>
      <c r="AH344" t="s">
        <v>12</v>
      </c>
      <c r="AI344" t="s">
        <v>4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0</v>
      </c>
      <c r="AN344">
        <f>$H$344*$T$344</f>
        <v>0</v>
      </c>
      <c r="AO344">
        <f>$H$344*$U$344</f>
        <v>0</v>
      </c>
      <c r="AP344">
        <f>$H$344*$V$344</f>
        <v>0</v>
      </c>
      <c r="AQ344">
        <f>$H$344*$W$344</f>
        <v>0</v>
      </c>
      <c r="AR344">
        <f>$H$344*$X$344</f>
        <v>0</v>
      </c>
      <c r="AS344">
        <f>$H$344*$Y$344</f>
        <v>0</v>
      </c>
      <c r="AT344">
        <f>$H$344*$Z$344</f>
        <v>0</v>
      </c>
      <c r="AU344">
        <f>$H$344*$AA$344</f>
        <v>0</v>
      </c>
      <c r="AV344">
        <f>$H$344*$AB$344</f>
        <v>0</v>
      </c>
      <c r="AW344">
        <f>$H$344*$AC$344</f>
        <v>0</v>
      </c>
      <c r="AX344">
        <f>$H$344*$AD$344</f>
        <v>107.05</v>
      </c>
      <c r="AY344">
        <f>$H$344*$AE$344</f>
        <v>107.05</v>
      </c>
      <c r="AZ344">
        <f>$H$344*$AF$344</f>
        <v>107.05</v>
      </c>
    </row>
    <row r="345" spans="1:52" x14ac:dyDescent="0.25">
      <c r="A345">
        <v>394</v>
      </c>
      <c r="B345" t="s">
        <v>4</v>
      </c>
      <c r="C345" t="s">
        <v>362</v>
      </c>
      <c r="D345">
        <v>177</v>
      </c>
      <c r="E345">
        <v>173.46</v>
      </c>
      <c r="F345" t="s">
        <v>349</v>
      </c>
      <c r="G345">
        <v>0.98</v>
      </c>
      <c r="H345">
        <v>208.16</v>
      </c>
      <c r="I345" t="s">
        <v>330</v>
      </c>
      <c r="J345" t="s">
        <v>363</v>
      </c>
      <c r="K345" t="s">
        <v>617</v>
      </c>
      <c r="L345" t="s">
        <v>179</v>
      </c>
      <c r="M345" t="s">
        <v>4</v>
      </c>
      <c r="N345" t="s">
        <v>12</v>
      </c>
      <c r="O345" t="s">
        <v>4</v>
      </c>
      <c r="P345">
        <v>0</v>
      </c>
      <c r="Q345">
        <v>0</v>
      </c>
      <c r="R345">
        <v>0</v>
      </c>
      <c r="S345">
        <v>0</v>
      </c>
      <c r="T345">
        <v>1</v>
      </c>
      <c r="U345">
        <v>1</v>
      </c>
      <c r="V345">
        <v>1</v>
      </c>
      <c r="W345">
        <v>1</v>
      </c>
      <c r="X345">
        <v>1</v>
      </c>
      <c r="Y345">
        <v>1</v>
      </c>
      <c r="Z345">
        <v>1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4</v>
      </c>
      <c r="AH345" t="s">
        <v>12</v>
      </c>
      <c r="AI345" t="s">
        <v>4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0</v>
      </c>
      <c r="AN345">
        <f>$H$345*$T$345</f>
        <v>208.16</v>
      </c>
      <c r="AO345">
        <f>$H$345*$U$345</f>
        <v>208.16</v>
      </c>
      <c r="AP345">
        <f>$H$345*$V$345</f>
        <v>208.16</v>
      </c>
      <c r="AQ345">
        <f>$H$345*$W$345</f>
        <v>208.16</v>
      </c>
      <c r="AR345">
        <f>$H$345*$X$345</f>
        <v>208.16</v>
      </c>
      <c r="AS345">
        <f>$H$345*$Y$345</f>
        <v>208.16</v>
      </c>
      <c r="AT345">
        <f>$H$345*$Z$345</f>
        <v>208.16</v>
      </c>
      <c r="AU345">
        <f>$H$345*$AA$345</f>
        <v>208.16</v>
      </c>
      <c r="AV345">
        <f>$H$345*$AB$345</f>
        <v>208.16</v>
      </c>
      <c r="AW345">
        <f>$H$345*$AC$345</f>
        <v>208.16</v>
      </c>
      <c r="AX345">
        <f>$H$345*$AD$345</f>
        <v>208.16</v>
      </c>
      <c r="AY345">
        <f>$H$345*$AE$345</f>
        <v>208.16</v>
      </c>
      <c r="AZ345">
        <f>$H$345*$AF$345</f>
        <v>208.16</v>
      </c>
    </row>
    <row r="346" spans="1:52" x14ac:dyDescent="0.25">
      <c r="A346">
        <v>395</v>
      </c>
      <c r="B346" t="s">
        <v>4</v>
      </c>
      <c r="C346" t="s">
        <v>445</v>
      </c>
      <c r="D346">
        <v>35.4</v>
      </c>
      <c r="E346">
        <v>133.1</v>
      </c>
      <c r="F346" t="s">
        <v>349</v>
      </c>
      <c r="G346">
        <v>3.76</v>
      </c>
      <c r="H346">
        <v>159.72</v>
      </c>
      <c r="I346" t="s">
        <v>446</v>
      </c>
      <c r="J346" t="s">
        <v>420</v>
      </c>
      <c r="K346" t="s">
        <v>657</v>
      </c>
      <c r="L346" t="s">
        <v>179</v>
      </c>
      <c r="M346" t="s">
        <v>4</v>
      </c>
      <c r="N346" t="s">
        <v>12</v>
      </c>
      <c r="O346" t="s">
        <v>4</v>
      </c>
      <c r="P346">
        <v>0</v>
      </c>
      <c r="Q346">
        <v>0</v>
      </c>
      <c r="R346">
        <v>0</v>
      </c>
      <c r="S346">
        <v>0.25</v>
      </c>
      <c r="T346">
        <v>0.25</v>
      </c>
      <c r="U346">
        <v>0.25</v>
      </c>
      <c r="V346">
        <v>0.25</v>
      </c>
      <c r="W346">
        <v>0.25</v>
      </c>
      <c r="X346">
        <v>0.5</v>
      </c>
      <c r="Y346">
        <v>0.5</v>
      </c>
      <c r="Z346">
        <v>0.5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4</v>
      </c>
      <c r="AH346" t="s">
        <v>12</v>
      </c>
      <c r="AI346" t="s">
        <v>4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39.93</v>
      </c>
      <c r="AN346">
        <f>$H$346*$T$346</f>
        <v>39.93</v>
      </c>
      <c r="AO346">
        <f>$H$346*$U$346</f>
        <v>39.93</v>
      </c>
      <c r="AP346">
        <f>$H$346*$V$346</f>
        <v>39.93</v>
      </c>
      <c r="AQ346">
        <f>$H$346*$W$346</f>
        <v>39.93</v>
      </c>
      <c r="AR346">
        <f>$H$346*$X$346</f>
        <v>79.86</v>
      </c>
      <c r="AS346">
        <f>$H$346*$Y$346</f>
        <v>79.86</v>
      </c>
      <c r="AT346">
        <f>$H$346*$Z$346</f>
        <v>79.86</v>
      </c>
      <c r="AU346">
        <f>$H$346*$AA$346</f>
        <v>159.72</v>
      </c>
      <c r="AV346">
        <f>$H$346*$AB$346</f>
        <v>159.72</v>
      </c>
      <c r="AW346">
        <f>$H$346*$AC$346</f>
        <v>159.72</v>
      </c>
      <c r="AX346">
        <f>$H$346*$AD$346</f>
        <v>159.72</v>
      </c>
      <c r="AY346">
        <f>$H$346*$AE$346</f>
        <v>159.72</v>
      </c>
      <c r="AZ346">
        <f>$H$346*$AF$346</f>
        <v>159.72</v>
      </c>
    </row>
    <row r="347" spans="1:52" x14ac:dyDescent="0.25">
      <c r="A347">
        <v>396</v>
      </c>
      <c r="B347" t="s">
        <v>4</v>
      </c>
      <c r="C347" t="s">
        <v>364</v>
      </c>
      <c r="D347">
        <v>354</v>
      </c>
      <c r="E347">
        <v>1189.44</v>
      </c>
      <c r="F347" t="s">
        <v>349</v>
      </c>
      <c r="G347">
        <v>3.36</v>
      </c>
      <c r="H347">
        <v>1427.32</v>
      </c>
      <c r="I347" t="s">
        <v>365</v>
      </c>
      <c r="J347" t="s">
        <v>366</v>
      </c>
      <c r="K347" t="s">
        <v>618</v>
      </c>
      <c r="L347" t="s">
        <v>179</v>
      </c>
      <c r="M347" t="s">
        <v>4</v>
      </c>
      <c r="N347" t="s">
        <v>12</v>
      </c>
      <c r="O347" t="s">
        <v>4</v>
      </c>
      <c r="P347">
        <v>0</v>
      </c>
      <c r="Q347">
        <v>0</v>
      </c>
      <c r="R347">
        <v>0</v>
      </c>
      <c r="S347">
        <v>0.25</v>
      </c>
      <c r="T347">
        <v>0.25</v>
      </c>
      <c r="U347">
        <v>0.25</v>
      </c>
      <c r="V347">
        <v>0.25</v>
      </c>
      <c r="W347">
        <v>0.5</v>
      </c>
      <c r="X347">
        <v>0.5</v>
      </c>
      <c r="Y347">
        <v>0.5</v>
      </c>
      <c r="Z347">
        <v>0.5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4</v>
      </c>
      <c r="AH347" t="s">
        <v>12</v>
      </c>
      <c r="AI347" t="s">
        <v>4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356.83</v>
      </c>
      <c r="AN347">
        <f>$H$347*$T$347</f>
        <v>356.83</v>
      </c>
      <c r="AO347">
        <f>$H$347*$U$347</f>
        <v>356.83</v>
      </c>
      <c r="AP347">
        <f>$H$347*$V$347</f>
        <v>356.83</v>
      </c>
      <c r="AQ347">
        <f>$H$347*$W$347</f>
        <v>713.66</v>
      </c>
      <c r="AR347">
        <f>$H$347*$X$347</f>
        <v>713.66</v>
      </c>
      <c r="AS347">
        <f>$H$347*$Y$347</f>
        <v>713.66</v>
      </c>
      <c r="AT347">
        <f>$H$347*$Z$347</f>
        <v>713.66</v>
      </c>
      <c r="AU347">
        <f>$H$347*$AA$347</f>
        <v>1427.32</v>
      </c>
      <c r="AV347">
        <f>$H$347*$AB$347</f>
        <v>1427.32</v>
      </c>
      <c r="AW347">
        <f>$H$347*$AC$347</f>
        <v>1427.32</v>
      </c>
      <c r="AX347">
        <f>$H$347*$AD$347</f>
        <v>1427.32</v>
      </c>
      <c r="AY347">
        <f>$H$347*$AE$347</f>
        <v>1427.32</v>
      </c>
      <c r="AZ347">
        <f>$H$347*$AF$347</f>
        <v>1427.32</v>
      </c>
    </row>
    <row r="348" spans="1:52" x14ac:dyDescent="0.25">
      <c r="A348">
        <v>397</v>
      </c>
      <c r="B348" t="s">
        <v>4</v>
      </c>
      <c r="C348" t="s">
        <v>447</v>
      </c>
      <c r="D348">
        <v>39.33</v>
      </c>
      <c r="E348">
        <v>40.9</v>
      </c>
      <c r="F348" t="s">
        <v>329</v>
      </c>
      <c r="G348">
        <v>1.04</v>
      </c>
      <c r="H348">
        <v>49.08</v>
      </c>
      <c r="I348" t="s">
        <v>330</v>
      </c>
      <c r="J348" t="s">
        <v>448</v>
      </c>
      <c r="K348" t="s">
        <v>658</v>
      </c>
      <c r="L348" t="s">
        <v>179</v>
      </c>
      <c r="M348" t="s">
        <v>4</v>
      </c>
      <c r="N348" t="s">
        <v>12</v>
      </c>
      <c r="O348" t="s">
        <v>4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4</v>
      </c>
      <c r="AH348" t="s">
        <v>12</v>
      </c>
      <c r="AI348" t="s">
        <v>4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0</v>
      </c>
      <c r="AN348">
        <f>$H$348*$T$348</f>
        <v>0</v>
      </c>
      <c r="AO348">
        <f>$H$348*$U$348</f>
        <v>0</v>
      </c>
      <c r="AP348">
        <f>$H$348*$V$348</f>
        <v>0</v>
      </c>
      <c r="AQ348">
        <f>$H$348*$W$348</f>
        <v>0</v>
      </c>
      <c r="AR348">
        <f>$H$348*$X$348</f>
        <v>0</v>
      </c>
      <c r="AS348">
        <f>$H$348*$Y$348</f>
        <v>0</v>
      </c>
      <c r="AT348">
        <f>$H$348*$Z$348</f>
        <v>0</v>
      </c>
      <c r="AU348">
        <f>$H$348*$AA$348</f>
        <v>49.08</v>
      </c>
      <c r="AV348">
        <f>$H$348*$AB$348</f>
        <v>49.08</v>
      </c>
      <c r="AW348">
        <f>$H$348*$AC$348</f>
        <v>49.08</v>
      </c>
      <c r="AX348">
        <f>$H$348*$AD$348</f>
        <v>49.08</v>
      </c>
      <c r="AY348">
        <f>$H$348*$AE$348</f>
        <v>49.08</v>
      </c>
      <c r="AZ348">
        <f>$H$348*$AF$348</f>
        <v>49.08</v>
      </c>
    </row>
    <row r="349" spans="1:52" x14ac:dyDescent="0.25">
      <c r="A349">
        <v>398</v>
      </c>
      <c r="B349" t="s">
        <v>4</v>
      </c>
      <c r="C349" t="s">
        <v>449</v>
      </c>
      <c r="D349">
        <v>39.33</v>
      </c>
      <c r="E349">
        <v>315.43</v>
      </c>
      <c r="F349" t="s">
        <v>329</v>
      </c>
      <c r="G349">
        <v>8.02</v>
      </c>
      <c r="H349">
        <v>378.51</v>
      </c>
      <c r="I349" t="s">
        <v>333</v>
      </c>
      <c r="J349" t="s">
        <v>450</v>
      </c>
      <c r="K349" t="s">
        <v>659</v>
      </c>
      <c r="L349" t="s">
        <v>179</v>
      </c>
      <c r="M349" t="s">
        <v>4</v>
      </c>
      <c r="N349" t="s">
        <v>12</v>
      </c>
      <c r="O349" t="s">
        <v>4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4</v>
      </c>
      <c r="AH349" t="s">
        <v>12</v>
      </c>
      <c r="AI349" t="s">
        <v>4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0</v>
      </c>
      <c r="AN349">
        <f>$H$349*$T$349</f>
        <v>0</v>
      </c>
      <c r="AO349">
        <f>$H$349*$U$349</f>
        <v>0</v>
      </c>
      <c r="AP349">
        <f>$H$349*$V$349</f>
        <v>0</v>
      </c>
      <c r="AQ349">
        <f>$H$349*$W$349</f>
        <v>0</v>
      </c>
      <c r="AR349">
        <f>$H$349*$X$349</f>
        <v>0</v>
      </c>
      <c r="AS349">
        <f>$H$349*$Y$349</f>
        <v>0</v>
      </c>
      <c r="AT349">
        <f>$H$349*$Z$349</f>
        <v>0</v>
      </c>
      <c r="AU349">
        <f>$H$349*$AA$349</f>
        <v>378.51</v>
      </c>
      <c r="AV349">
        <f>$H$349*$AB$349</f>
        <v>378.51</v>
      </c>
      <c r="AW349">
        <f>$H$349*$AC$349</f>
        <v>378.51</v>
      </c>
      <c r="AX349">
        <f>$H$349*$AD$349</f>
        <v>378.51</v>
      </c>
      <c r="AY349">
        <f>$H$349*$AE$349</f>
        <v>378.51</v>
      </c>
      <c r="AZ349">
        <f>$H$349*$AF$349</f>
        <v>378.51</v>
      </c>
    </row>
    <row r="350" spans="1:52" x14ac:dyDescent="0.25">
      <c r="A350">
        <v>399</v>
      </c>
      <c r="B350" t="s">
        <v>4</v>
      </c>
      <c r="C350" t="s">
        <v>455</v>
      </c>
      <c r="D350">
        <v>39.33</v>
      </c>
      <c r="E350">
        <v>59.39</v>
      </c>
      <c r="F350" t="s">
        <v>329</v>
      </c>
      <c r="G350">
        <v>1.51</v>
      </c>
      <c r="H350">
        <v>71.27</v>
      </c>
      <c r="I350" t="s">
        <v>330</v>
      </c>
      <c r="J350" t="s">
        <v>456</v>
      </c>
      <c r="K350" t="s">
        <v>662</v>
      </c>
      <c r="L350" t="s">
        <v>179</v>
      </c>
      <c r="M350" t="s">
        <v>4</v>
      </c>
      <c r="N350" t="s">
        <v>12</v>
      </c>
      <c r="O350" t="s">
        <v>4</v>
      </c>
      <c r="P350">
        <v>0</v>
      </c>
      <c r="Q350">
        <v>0</v>
      </c>
      <c r="R350">
        <v>0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4</v>
      </c>
      <c r="AH350" t="s">
        <v>12</v>
      </c>
      <c r="AI350" t="s">
        <v>4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71.27</v>
      </c>
      <c r="AN350">
        <f>$H$350*$T$350</f>
        <v>71.27</v>
      </c>
      <c r="AO350">
        <f>$H$350*$U$350</f>
        <v>71.27</v>
      </c>
      <c r="AP350">
        <f>$H$350*$V$350</f>
        <v>71.27</v>
      </c>
      <c r="AQ350">
        <f>$H$350*$W$350</f>
        <v>71.27</v>
      </c>
      <c r="AR350">
        <f>$H$350*$X$350</f>
        <v>71.27</v>
      </c>
      <c r="AS350">
        <f>$H$350*$Y$350</f>
        <v>71.27</v>
      </c>
      <c r="AT350">
        <f>$H$350*$Z$350</f>
        <v>71.27</v>
      </c>
      <c r="AU350">
        <f>$H$350*$AA$350</f>
        <v>71.27</v>
      </c>
      <c r="AV350">
        <f>$H$350*$AB$350</f>
        <v>71.27</v>
      </c>
      <c r="AW350">
        <f>$H$350*$AC$350</f>
        <v>71.27</v>
      </c>
      <c r="AX350">
        <f>$H$350*$AD$350</f>
        <v>71.27</v>
      </c>
      <c r="AY350">
        <f>$H$350*$AE$350</f>
        <v>71.27</v>
      </c>
      <c r="AZ350">
        <f>$H$350*$AF$350</f>
        <v>71.27</v>
      </c>
    </row>
    <row r="351" spans="1:52" x14ac:dyDescent="0.25">
      <c r="A351">
        <v>400</v>
      </c>
      <c r="B351" t="s">
        <v>4</v>
      </c>
      <c r="C351" t="s">
        <v>457</v>
      </c>
      <c r="D351">
        <v>39.33</v>
      </c>
      <c r="E351">
        <v>223.39</v>
      </c>
      <c r="F351" t="s">
        <v>329</v>
      </c>
      <c r="G351">
        <v>5.68</v>
      </c>
      <c r="H351">
        <v>268.07</v>
      </c>
      <c r="I351" t="s">
        <v>333</v>
      </c>
      <c r="J351" t="s">
        <v>458</v>
      </c>
      <c r="K351" t="s">
        <v>663</v>
      </c>
      <c r="L351" t="s">
        <v>179</v>
      </c>
      <c r="M351" t="s">
        <v>4</v>
      </c>
      <c r="N351" t="s">
        <v>12</v>
      </c>
      <c r="O351" t="s">
        <v>4</v>
      </c>
      <c r="P351">
        <v>0</v>
      </c>
      <c r="Q351">
        <v>0</v>
      </c>
      <c r="R351">
        <v>0</v>
      </c>
      <c r="S351">
        <v>1</v>
      </c>
      <c r="T351">
        <v>1</v>
      </c>
      <c r="U351">
        <v>1</v>
      </c>
      <c r="V351">
        <v>1</v>
      </c>
      <c r="W351">
        <v>1</v>
      </c>
      <c r="X351">
        <v>1</v>
      </c>
      <c r="Y351">
        <v>1</v>
      </c>
      <c r="Z351">
        <v>1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4</v>
      </c>
      <c r="AH351" t="s">
        <v>12</v>
      </c>
      <c r="AI351" t="s">
        <v>4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268.07</v>
      </c>
      <c r="AN351">
        <f>$H$351*$T$351</f>
        <v>268.07</v>
      </c>
      <c r="AO351">
        <f>$H$351*$U$351</f>
        <v>268.07</v>
      </c>
      <c r="AP351">
        <f>$H$351*$V$351</f>
        <v>268.07</v>
      </c>
      <c r="AQ351">
        <f>$H$351*$W$351</f>
        <v>268.07</v>
      </c>
      <c r="AR351">
        <f>$H$351*$X$351</f>
        <v>268.07</v>
      </c>
      <c r="AS351">
        <f>$H$351*$Y$351</f>
        <v>268.07</v>
      </c>
      <c r="AT351">
        <f>$H$351*$Z$351</f>
        <v>268.07</v>
      </c>
      <c r="AU351">
        <f>$H$351*$AA$351</f>
        <v>268.07</v>
      </c>
      <c r="AV351">
        <f>$H$351*$AB$351</f>
        <v>268.07</v>
      </c>
      <c r="AW351">
        <f>$H$351*$AC$351</f>
        <v>268.07</v>
      </c>
      <c r="AX351">
        <f>$H$351*$AD$351</f>
        <v>268.07</v>
      </c>
      <c r="AY351">
        <f>$H$351*$AE$351</f>
        <v>268.07</v>
      </c>
      <c r="AZ351">
        <f>$H$351*$AF$351</f>
        <v>268.07</v>
      </c>
    </row>
    <row r="352" spans="1:52" x14ac:dyDescent="0.25">
      <c r="A352">
        <v>401</v>
      </c>
      <c r="B352" t="s">
        <v>4</v>
      </c>
      <c r="C352" t="s">
        <v>364</v>
      </c>
      <c r="D352">
        <v>136.72999999999999</v>
      </c>
      <c r="E352">
        <v>459.41</v>
      </c>
      <c r="F352" t="s">
        <v>349</v>
      </c>
      <c r="G352">
        <v>3.36</v>
      </c>
      <c r="H352">
        <v>551.29</v>
      </c>
      <c r="I352" t="s">
        <v>365</v>
      </c>
      <c r="J352" t="s">
        <v>366</v>
      </c>
      <c r="K352" t="s">
        <v>618</v>
      </c>
      <c r="L352" t="s">
        <v>179</v>
      </c>
      <c r="M352" t="s">
        <v>4</v>
      </c>
      <c r="N352" t="s">
        <v>12</v>
      </c>
      <c r="O352" t="s">
        <v>4</v>
      </c>
      <c r="P352">
        <v>0</v>
      </c>
      <c r="Q352">
        <v>0</v>
      </c>
      <c r="R352">
        <v>0</v>
      </c>
      <c r="S352">
        <v>0.25</v>
      </c>
      <c r="T352">
        <v>0.25</v>
      </c>
      <c r="U352">
        <v>0.25</v>
      </c>
      <c r="V352">
        <v>0.25</v>
      </c>
      <c r="W352">
        <v>0.5</v>
      </c>
      <c r="X352">
        <v>0.5</v>
      </c>
      <c r="Y352">
        <v>0.5</v>
      </c>
      <c r="Z352">
        <v>0.5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4</v>
      </c>
      <c r="AH352" t="s">
        <v>12</v>
      </c>
      <c r="AI352" t="s">
        <v>4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137.82249999999999</v>
      </c>
      <c r="AN352">
        <f>$H$352*$T$352</f>
        <v>137.82249999999999</v>
      </c>
      <c r="AO352">
        <f>$H$352*$U$352</f>
        <v>137.82249999999999</v>
      </c>
      <c r="AP352">
        <f>$H$352*$V$352</f>
        <v>137.82249999999999</v>
      </c>
      <c r="AQ352">
        <f>$H$352*$W$352</f>
        <v>275.64499999999998</v>
      </c>
      <c r="AR352">
        <f>$H$352*$X$352</f>
        <v>275.64499999999998</v>
      </c>
      <c r="AS352">
        <f>$H$352*$Y$352</f>
        <v>275.64499999999998</v>
      </c>
      <c r="AT352">
        <f>$H$352*$Z$352</f>
        <v>275.64499999999998</v>
      </c>
      <c r="AU352">
        <f>$H$352*$AA$352</f>
        <v>551.29</v>
      </c>
      <c r="AV352">
        <f>$H$352*$AB$352</f>
        <v>551.29</v>
      </c>
      <c r="AW352">
        <f>$H$352*$AC$352</f>
        <v>551.29</v>
      </c>
      <c r="AX352">
        <f>$H$352*$AD$352</f>
        <v>551.29</v>
      </c>
      <c r="AY352">
        <f>$H$352*$AE$352</f>
        <v>551.29</v>
      </c>
      <c r="AZ352">
        <f>$H$352*$AF$352</f>
        <v>551.29</v>
      </c>
    </row>
    <row r="353" spans="1:52" x14ac:dyDescent="0.25">
      <c r="A353">
        <v>402</v>
      </c>
      <c r="B353" t="s">
        <v>4</v>
      </c>
      <c r="C353" t="s">
        <v>443</v>
      </c>
      <c r="D353">
        <v>136.72999999999999</v>
      </c>
      <c r="E353">
        <v>86.14</v>
      </c>
      <c r="F353" t="s">
        <v>349</v>
      </c>
      <c r="G353">
        <v>0.63</v>
      </c>
      <c r="H353">
        <v>103.36</v>
      </c>
      <c r="I353" t="s">
        <v>330</v>
      </c>
      <c r="J353" t="s">
        <v>444</v>
      </c>
      <c r="K353" t="s">
        <v>656</v>
      </c>
      <c r="L353" t="s">
        <v>179</v>
      </c>
      <c r="M353" t="s">
        <v>4</v>
      </c>
      <c r="N353" t="s">
        <v>12</v>
      </c>
      <c r="O353" t="s">
        <v>4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1</v>
      </c>
      <c r="AE353">
        <v>1</v>
      </c>
      <c r="AF353">
        <v>1</v>
      </c>
      <c r="AG353" t="s">
        <v>4</v>
      </c>
      <c r="AH353" t="s">
        <v>12</v>
      </c>
      <c r="AI353" t="s">
        <v>4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0</v>
      </c>
      <c r="AN353">
        <f>$H$353*$T$353</f>
        <v>0</v>
      </c>
      <c r="AO353">
        <f>$H$353*$U$353</f>
        <v>0</v>
      </c>
      <c r="AP353">
        <f>$H$353*$V$353</f>
        <v>0</v>
      </c>
      <c r="AQ353">
        <f>$H$353*$W$353</f>
        <v>0</v>
      </c>
      <c r="AR353">
        <f>$H$353*$X$353</f>
        <v>0</v>
      </c>
      <c r="AS353">
        <f>$H$353*$Y$353</f>
        <v>0</v>
      </c>
      <c r="AT353">
        <f>$H$353*$Z$353</f>
        <v>0</v>
      </c>
      <c r="AU353">
        <f>$H$353*$AA$353</f>
        <v>0</v>
      </c>
      <c r="AV353">
        <f>$H$353*$AB$353</f>
        <v>0</v>
      </c>
      <c r="AW353">
        <f>$H$353*$AC$353</f>
        <v>0</v>
      </c>
      <c r="AX353">
        <f>$H$353*$AD$353</f>
        <v>103.36</v>
      </c>
      <c r="AY353">
        <f>$H$353*$AE$353</f>
        <v>103.36</v>
      </c>
      <c r="AZ353">
        <f>$H$353*$AF$353</f>
        <v>103.36</v>
      </c>
    </row>
    <row r="354" spans="1:52" x14ac:dyDescent="0.25">
      <c r="A354">
        <v>403</v>
      </c>
      <c r="B354" t="s">
        <v>4</v>
      </c>
      <c r="C354" t="s">
        <v>459</v>
      </c>
      <c r="D354">
        <v>136.72999999999999</v>
      </c>
      <c r="E354">
        <v>94.34</v>
      </c>
      <c r="F354" t="s">
        <v>349</v>
      </c>
      <c r="G354">
        <v>0.69</v>
      </c>
      <c r="H354">
        <v>113.2</v>
      </c>
      <c r="I354" t="s">
        <v>330</v>
      </c>
      <c r="J354" t="s">
        <v>460</v>
      </c>
      <c r="K354" t="s">
        <v>664</v>
      </c>
      <c r="L354" t="s">
        <v>179</v>
      </c>
      <c r="M354" t="s">
        <v>4</v>
      </c>
      <c r="N354" t="s">
        <v>12</v>
      </c>
      <c r="O354" t="s">
        <v>4</v>
      </c>
      <c r="P354">
        <v>0</v>
      </c>
      <c r="Q354">
        <v>0</v>
      </c>
      <c r="R354">
        <v>0</v>
      </c>
      <c r="S354">
        <v>1</v>
      </c>
      <c r="T354">
        <v>1</v>
      </c>
      <c r="U354">
        <v>1</v>
      </c>
      <c r="V354">
        <v>1</v>
      </c>
      <c r="W354">
        <v>1</v>
      </c>
      <c r="X354">
        <v>1</v>
      </c>
      <c r="Y354">
        <v>1</v>
      </c>
      <c r="Z354">
        <v>1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4</v>
      </c>
      <c r="AH354" t="s">
        <v>12</v>
      </c>
      <c r="AI354" t="s">
        <v>4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113.2</v>
      </c>
      <c r="AN354">
        <f>$H$354*$T$354</f>
        <v>113.2</v>
      </c>
      <c r="AO354">
        <f>$H$354*$U$354</f>
        <v>113.2</v>
      </c>
      <c r="AP354">
        <f>$H$354*$V$354</f>
        <v>113.2</v>
      </c>
      <c r="AQ354">
        <f>$H$354*$W$354</f>
        <v>113.2</v>
      </c>
      <c r="AR354">
        <f>$H$354*$X$354</f>
        <v>113.2</v>
      </c>
      <c r="AS354">
        <f>$H$354*$Y$354</f>
        <v>113.2</v>
      </c>
      <c r="AT354">
        <f>$H$354*$Z$354</f>
        <v>113.2</v>
      </c>
      <c r="AU354">
        <f>$H$354*$AA$354</f>
        <v>113.2</v>
      </c>
      <c r="AV354">
        <f>$H$354*$AB$354</f>
        <v>113.2</v>
      </c>
      <c r="AW354">
        <f>$H$354*$AC$354</f>
        <v>113.2</v>
      </c>
      <c r="AX354">
        <f>$H$354*$AD$354</f>
        <v>113.2</v>
      </c>
      <c r="AY354">
        <f>$H$354*$AE$354</f>
        <v>113.2</v>
      </c>
      <c r="AZ354">
        <f>$H$354*$AF$354</f>
        <v>113.2</v>
      </c>
    </row>
    <row r="355" spans="1:52" x14ac:dyDescent="0.25">
      <c r="A355">
        <v>404</v>
      </c>
      <c r="B355" t="s">
        <v>4</v>
      </c>
      <c r="C355" t="s">
        <v>461</v>
      </c>
      <c r="D355">
        <v>19.34</v>
      </c>
      <c r="E355">
        <v>335.55</v>
      </c>
      <c r="F355" t="s">
        <v>349</v>
      </c>
      <c r="G355">
        <v>17.350000000000001</v>
      </c>
      <c r="H355">
        <v>402.67</v>
      </c>
      <c r="I355" t="s">
        <v>462</v>
      </c>
      <c r="J355" t="s">
        <v>463</v>
      </c>
      <c r="K355" t="s">
        <v>665</v>
      </c>
      <c r="L355" t="s">
        <v>179</v>
      </c>
      <c r="M355" t="s">
        <v>4</v>
      </c>
      <c r="N355" t="s">
        <v>12</v>
      </c>
      <c r="O355" t="s">
        <v>4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1</v>
      </c>
      <c r="Z355">
        <v>1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4</v>
      </c>
      <c r="AH355" t="s">
        <v>12</v>
      </c>
      <c r="AI355" t="s">
        <v>4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0</v>
      </c>
      <c r="AN355">
        <f>$H$355*$T$355</f>
        <v>0</v>
      </c>
      <c r="AO355">
        <f>$H$355*$U$355</f>
        <v>0</v>
      </c>
      <c r="AP355">
        <f>$H$355*$V$355</f>
        <v>0</v>
      </c>
      <c r="AQ355">
        <f>$H$355*$W$355</f>
        <v>0</v>
      </c>
      <c r="AR355">
        <f>$H$355*$X$355</f>
        <v>0</v>
      </c>
      <c r="AS355">
        <f>$H$355*$Y$355</f>
        <v>402.67</v>
      </c>
      <c r="AT355">
        <f>$H$355*$Z$355</f>
        <v>402.67</v>
      </c>
      <c r="AU355">
        <f>$H$355*$AA$355</f>
        <v>402.67</v>
      </c>
      <c r="AV355">
        <f>$H$355*$AB$355</f>
        <v>402.67</v>
      </c>
      <c r="AW355">
        <f>$H$355*$AC$355</f>
        <v>402.67</v>
      </c>
      <c r="AX355">
        <f>$H$355*$AD$355</f>
        <v>402.67</v>
      </c>
      <c r="AY355">
        <f>$H$355*$AE$355</f>
        <v>402.67</v>
      </c>
      <c r="AZ355">
        <f>$H$355*$AF$355</f>
        <v>402.67</v>
      </c>
    </row>
    <row r="356" spans="1:52" x14ac:dyDescent="0.25">
      <c r="A356">
        <v>405</v>
      </c>
      <c r="B356" t="s">
        <v>4</v>
      </c>
      <c r="C356" t="s">
        <v>464</v>
      </c>
      <c r="D356">
        <v>38.68</v>
      </c>
      <c r="E356">
        <v>138.47</v>
      </c>
      <c r="F356" t="s">
        <v>349</v>
      </c>
      <c r="G356">
        <v>3.58</v>
      </c>
      <c r="H356">
        <v>166.17</v>
      </c>
      <c r="I356" t="s">
        <v>465</v>
      </c>
      <c r="J356" t="s">
        <v>466</v>
      </c>
      <c r="K356" t="s">
        <v>666</v>
      </c>
      <c r="L356" t="s">
        <v>179</v>
      </c>
      <c r="M356" t="s">
        <v>4</v>
      </c>
      <c r="N356" t="s">
        <v>12</v>
      </c>
      <c r="O356" t="s">
        <v>4</v>
      </c>
      <c r="P356">
        <v>0</v>
      </c>
      <c r="Q356">
        <v>0</v>
      </c>
      <c r="R356">
        <v>0</v>
      </c>
      <c r="S356">
        <v>1</v>
      </c>
      <c r="T356">
        <v>1</v>
      </c>
      <c r="U356">
        <v>1</v>
      </c>
      <c r="V356">
        <v>1</v>
      </c>
      <c r="W356">
        <v>1</v>
      </c>
      <c r="X356">
        <v>1</v>
      </c>
      <c r="Y356">
        <v>1</v>
      </c>
      <c r="Z356">
        <v>1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4</v>
      </c>
      <c r="AH356" t="s">
        <v>12</v>
      </c>
      <c r="AI356" t="s">
        <v>4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166.17</v>
      </c>
      <c r="AN356">
        <f>$H$356*$T$356</f>
        <v>166.17</v>
      </c>
      <c r="AO356">
        <f>$H$356*$U$356</f>
        <v>166.17</v>
      </c>
      <c r="AP356">
        <f>$H$356*$V$356</f>
        <v>166.17</v>
      </c>
      <c r="AQ356">
        <f>$H$356*$W$356</f>
        <v>166.17</v>
      </c>
      <c r="AR356">
        <f>$H$356*$X$356</f>
        <v>166.17</v>
      </c>
      <c r="AS356">
        <f>$H$356*$Y$356</f>
        <v>166.17</v>
      </c>
      <c r="AT356">
        <f>$H$356*$Z$356</f>
        <v>166.17</v>
      </c>
      <c r="AU356">
        <f>$H$356*$AA$356</f>
        <v>166.17</v>
      </c>
      <c r="AV356">
        <f>$H$356*$AB$356</f>
        <v>166.17</v>
      </c>
      <c r="AW356">
        <f>$H$356*$AC$356</f>
        <v>166.17</v>
      </c>
      <c r="AX356">
        <f>$H$356*$AD$356</f>
        <v>166.17</v>
      </c>
      <c r="AY356">
        <f>$H$356*$AE$356</f>
        <v>166.17</v>
      </c>
      <c r="AZ356">
        <f>$H$356*$AF$356</f>
        <v>166.17</v>
      </c>
    </row>
    <row r="357" spans="1:52" x14ac:dyDescent="0.25">
      <c r="A357">
        <v>406</v>
      </c>
      <c r="B357" t="s">
        <v>4</v>
      </c>
      <c r="C357" t="s">
        <v>467</v>
      </c>
      <c r="D357">
        <v>38.68</v>
      </c>
      <c r="E357">
        <v>381</v>
      </c>
      <c r="F357" t="s">
        <v>349</v>
      </c>
      <c r="G357">
        <v>9.85</v>
      </c>
      <c r="H357">
        <v>457.2</v>
      </c>
      <c r="I357" t="s">
        <v>465</v>
      </c>
      <c r="J357" t="s">
        <v>372</v>
      </c>
      <c r="K357" t="s">
        <v>667</v>
      </c>
      <c r="L357" t="s">
        <v>179</v>
      </c>
      <c r="M357" t="s">
        <v>4</v>
      </c>
      <c r="N357" t="s">
        <v>12</v>
      </c>
      <c r="O357" t="s">
        <v>4</v>
      </c>
      <c r="P357">
        <v>0</v>
      </c>
      <c r="Q357">
        <v>0</v>
      </c>
      <c r="R357">
        <v>0</v>
      </c>
      <c r="S357">
        <v>1</v>
      </c>
      <c r="T357">
        <v>1</v>
      </c>
      <c r="U357">
        <v>1</v>
      </c>
      <c r="V357">
        <v>1</v>
      </c>
      <c r="W357">
        <v>1</v>
      </c>
      <c r="X357">
        <v>1</v>
      </c>
      <c r="Y357">
        <v>1</v>
      </c>
      <c r="Z357">
        <v>1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4</v>
      </c>
      <c r="AH357" t="s">
        <v>12</v>
      </c>
      <c r="AI357" t="s">
        <v>4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457.2</v>
      </c>
      <c r="AN357">
        <f>$H$357*$T$357</f>
        <v>457.2</v>
      </c>
      <c r="AO357">
        <f>$H$357*$U$357</f>
        <v>457.2</v>
      </c>
      <c r="AP357">
        <f>$H$357*$V$357</f>
        <v>457.2</v>
      </c>
      <c r="AQ357">
        <f>$H$357*$W$357</f>
        <v>457.2</v>
      </c>
      <c r="AR357">
        <f>$H$357*$X$357</f>
        <v>457.2</v>
      </c>
      <c r="AS357">
        <f>$H$357*$Y$357</f>
        <v>457.2</v>
      </c>
      <c r="AT357">
        <f>$H$357*$Z$357</f>
        <v>457.2</v>
      </c>
      <c r="AU357">
        <f>$H$357*$AA$357</f>
        <v>457.2</v>
      </c>
      <c r="AV357">
        <f>$H$357*$AB$357</f>
        <v>457.2</v>
      </c>
      <c r="AW357">
        <f>$H$357*$AC$357</f>
        <v>457.2</v>
      </c>
      <c r="AX357">
        <f>$H$357*$AD$357</f>
        <v>457.2</v>
      </c>
      <c r="AY357">
        <f>$H$357*$AE$357</f>
        <v>457.2</v>
      </c>
      <c r="AZ357">
        <f>$H$357*$AF$357</f>
        <v>457.2</v>
      </c>
    </row>
    <row r="358" spans="1:52" x14ac:dyDescent="0.25">
      <c r="A358">
        <v>407</v>
      </c>
      <c r="B358" t="s">
        <v>4</v>
      </c>
      <c r="C358" t="s">
        <v>468</v>
      </c>
      <c r="D358">
        <v>44.48</v>
      </c>
      <c r="E358">
        <v>45.37</v>
      </c>
      <c r="F358" t="s">
        <v>349</v>
      </c>
      <c r="G358">
        <v>1.02</v>
      </c>
      <c r="H358">
        <v>54.45</v>
      </c>
      <c r="I358" t="s">
        <v>469</v>
      </c>
      <c r="J358" t="s">
        <v>470</v>
      </c>
      <c r="K358" t="s">
        <v>668</v>
      </c>
      <c r="L358" t="s">
        <v>179</v>
      </c>
      <c r="M358" t="s">
        <v>4</v>
      </c>
      <c r="N358" t="s">
        <v>12</v>
      </c>
      <c r="O358" t="s">
        <v>4</v>
      </c>
      <c r="P358">
        <v>0</v>
      </c>
      <c r="Q358">
        <v>0</v>
      </c>
      <c r="R358">
        <v>0</v>
      </c>
      <c r="S358">
        <v>1</v>
      </c>
      <c r="T358">
        <v>1</v>
      </c>
      <c r="U358">
        <v>1</v>
      </c>
      <c r="V358">
        <v>1</v>
      </c>
      <c r="W358">
        <v>1</v>
      </c>
      <c r="X358">
        <v>1</v>
      </c>
      <c r="Y358">
        <v>1</v>
      </c>
      <c r="Z358">
        <v>1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4</v>
      </c>
      <c r="AH358" t="s">
        <v>12</v>
      </c>
      <c r="AI358" t="s">
        <v>4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54.45</v>
      </c>
      <c r="AN358">
        <f>$H$358*$T$358</f>
        <v>54.45</v>
      </c>
      <c r="AO358">
        <f>$H$358*$U$358</f>
        <v>54.45</v>
      </c>
      <c r="AP358">
        <f>$H$358*$V$358</f>
        <v>54.45</v>
      </c>
      <c r="AQ358">
        <f>$H$358*$W$358</f>
        <v>54.45</v>
      </c>
      <c r="AR358">
        <f>$H$358*$X$358</f>
        <v>54.45</v>
      </c>
      <c r="AS358">
        <f>$H$358*$Y$358</f>
        <v>54.45</v>
      </c>
      <c r="AT358">
        <f>$H$358*$Z$358</f>
        <v>54.45</v>
      </c>
      <c r="AU358">
        <f>$H$358*$AA$358</f>
        <v>54.45</v>
      </c>
      <c r="AV358">
        <f>$H$358*$AB$358</f>
        <v>54.45</v>
      </c>
      <c r="AW358">
        <f>$H$358*$AC$358</f>
        <v>54.45</v>
      </c>
      <c r="AX358">
        <f>$H$358*$AD$358</f>
        <v>54.45</v>
      </c>
      <c r="AY358">
        <f>$H$358*$AE$358</f>
        <v>54.45</v>
      </c>
      <c r="AZ358">
        <f>$H$358*$AF$358</f>
        <v>54.45</v>
      </c>
    </row>
    <row r="359" spans="1:52" x14ac:dyDescent="0.25">
      <c r="A359">
        <v>408</v>
      </c>
      <c r="B359" t="s">
        <v>4</v>
      </c>
      <c r="C359" t="s">
        <v>471</v>
      </c>
      <c r="D359">
        <v>44.48</v>
      </c>
      <c r="E359">
        <v>410.55</v>
      </c>
      <c r="F359" t="s">
        <v>349</v>
      </c>
      <c r="G359">
        <v>9.23</v>
      </c>
      <c r="H359">
        <v>492.67</v>
      </c>
      <c r="I359" t="s">
        <v>469</v>
      </c>
      <c r="J359" t="s">
        <v>463</v>
      </c>
      <c r="K359" t="s">
        <v>669</v>
      </c>
      <c r="L359" t="s">
        <v>179</v>
      </c>
      <c r="M359" t="s">
        <v>4</v>
      </c>
      <c r="N359" t="s">
        <v>12</v>
      </c>
      <c r="O359" t="s">
        <v>4</v>
      </c>
      <c r="P359">
        <v>0</v>
      </c>
      <c r="Q359">
        <v>0</v>
      </c>
      <c r="R359">
        <v>0</v>
      </c>
      <c r="S359">
        <v>1</v>
      </c>
      <c r="T359">
        <v>1</v>
      </c>
      <c r="U359">
        <v>1</v>
      </c>
      <c r="V359">
        <v>1</v>
      </c>
      <c r="W359">
        <v>1</v>
      </c>
      <c r="X359">
        <v>1</v>
      </c>
      <c r="Y359">
        <v>1</v>
      </c>
      <c r="Z359">
        <v>1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4</v>
      </c>
      <c r="AH359" t="s">
        <v>12</v>
      </c>
      <c r="AI359" t="s">
        <v>4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492.67</v>
      </c>
      <c r="AN359">
        <f>$H$359*$T$359</f>
        <v>492.67</v>
      </c>
      <c r="AO359">
        <f>$H$359*$U$359</f>
        <v>492.67</v>
      </c>
      <c r="AP359">
        <f>$H$359*$V$359</f>
        <v>492.67</v>
      </c>
      <c r="AQ359">
        <f>$H$359*$W$359</f>
        <v>492.67</v>
      </c>
      <c r="AR359">
        <f>$H$359*$X$359</f>
        <v>492.67</v>
      </c>
      <c r="AS359">
        <f>$H$359*$Y$359</f>
        <v>492.67</v>
      </c>
      <c r="AT359">
        <f>$H$359*$Z$359</f>
        <v>492.67</v>
      </c>
      <c r="AU359">
        <f>$H$359*$AA$359</f>
        <v>492.67</v>
      </c>
      <c r="AV359">
        <f>$H$359*$AB$359</f>
        <v>492.67</v>
      </c>
      <c r="AW359">
        <f>$H$359*$AC$359</f>
        <v>492.67</v>
      </c>
      <c r="AX359">
        <f>$H$359*$AD$359</f>
        <v>492.67</v>
      </c>
      <c r="AY359">
        <f>$H$359*$AE$359</f>
        <v>492.67</v>
      </c>
      <c r="AZ359">
        <f>$H$359*$AF$359</f>
        <v>492.67</v>
      </c>
    </row>
    <row r="360" spans="1:52" x14ac:dyDescent="0.25">
      <c r="A360">
        <v>409</v>
      </c>
      <c r="B360" t="s">
        <v>5</v>
      </c>
      <c r="C360" t="s">
        <v>435</v>
      </c>
      <c r="D360">
        <v>5</v>
      </c>
      <c r="E360">
        <v>66.349999999999994</v>
      </c>
      <c r="F360" t="s">
        <v>335</v>
      </c>
      <c r="G360">
        <v>13.27</v>
      </c>
      <c r="H360">
        <v>79.63</v>
      </c>
      <c r="I360" t="s">
        <v>337</v>
      </c>
      <c r="J360" t="s">
        <v>436</v>
      </c>
      <c r="K360" t="s">
        <v>652</v>
      </c>
      <c r="L360" t="s">
        <v>179</v>
      </c>
      <c r="M360" t="s">
        <v>5</v>
      </c>
      <c r="N360" t="s">
        <v>12</v>
      </c>
      <c r="O360" t="s">
        <v>5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1</v>
      </c>
      <c r="Y360">
        <v>1</v>
      </c>
      <c r="Z360">
        <v>1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5</v>
      </c>
      <c r="AH360" t="s">
        <v>12</v>
      </c>
      <c r="AI360" t="s">
        <v>5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0</v>
      </c>
      <c r="AN360">
        <f>$H$360*$T$360</f>
        <v>0</v>
      </c>
      <c r="AO360">
        <f>$H$360*$U$360</f>
        <v>0</v>
      </c>
      <c r="AP360">
        <f>$H$360*$V$360</f>
        <v>0</v>
      </c>
      <c r="AQ360">
        <f>$H$360*$W$360</f>
        <v>0</v>
      </c>
      <c r="AR360">
        <f>$H$360*$X$360</f>
        <v>79.63</v>
      </c>
      <c r="AS360">
        <f>$H$360*$Y$360</f>
        <v>79.63</v>
      </c>
      <c r="AT360">
        <f>$H$360*$Z$360</f>
        <v>79.63</v>
      </c>
      <c r="AU360">
        <f>$H$360*$AA$360</f>
        <v>79.63</v>
      </c>
      <c r="AV360">
        <f>$H$360*$AB$360</f>
        <v>79.63</v>
      </c>
      <c r="AW360">
        <f>$H$360*$AC$360</f>
        <v>79.63</v>
      </c>
      <c r="AX360">
        <f>$H$360*$AD$360</f>
        <v>79.63</v>
      </c>
      <c r="AY360">
        <f>$H$360*$AE$360</f>
        <v>79.63</v>
      </c>
      <c r="AZ360">
        <f>$H$360*$AF$360</f>
        <v>79.63</v>
      </c>
    </row>
    <row r="361" spans="1:52" x14ac:dyDescent="0.25">
      <c r="A361">
        <v>410</v>
      </c>
      <c r="B361" t="s">
        <v>5</v>
      </c>
      <c r="C361" t="s">
        <v>535</v>
      </c>
      <c r="D361">
        <v>1</v>
      </c>
      <c r="E361">
        <v>63.51</v>
      </c>
      <c r="F361" t="s">
        <v>335</v>
      </c>
      <c r="G361">
        <v>63.51</v>
      </c>
      <c r="H361">
        <v>76.209999999999994</v>
      </c>
      <c r="I361" t="s">
        <v>340</v>
      </c>
      <c r="J361" t="s">
        <v>420</v>
      </c>
      <c r="K361" t="s">
        <v>700</v>
      </c>
      <c r="L361" t="s">
        <v>179</v>
      </c>
      <c r="M361" t="s">
        <v>5</v>
      </c>
      <c r="N361" t="s">
        <v>12</v>
      </c>
      <c r="O361" t="s">
        <v>5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1</v>
      </c>
      <c r="AE361">
        <v>1</v>
      </c>
      <c r="AF361">
        <v>1</v>
      </c>
      <c r="AG361" t="s">
        <v>5</v>
      </c>
      <c r="AH361" t="s">
        <v>12</v>
      </c>
      <c r="AI361" t="s">
        <v>5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0</v>
      </c>
      <c r="AN361">
        <f>$H$361*$T$361</f>
        <v>0</v>
      </c>
      <c r="AO361">
        <f>$H$361*$U$361</f>
        <v>0</v>
      </c>
      <c r="AP361">
        <f>$H$361*$V$361</f>
        <v>0</v>
      </c>
      <c r="AQ361">
        <f>$H$361*$W$361</f>
        <v>0</v>
      </c>
      <c r="AR361">
        <f>$H$361*$X$361</f>
        <v>0</v>
      </c>
      <c r="AS361">
        <f>$H$361*$Y$361</f>
        <v>0</v>
      </c>
      <c r="AT361">
        <f>$H$361*$Z$361</f>
        <v>0</v>
      </c>
      <c r="AU361">
        <f>$H$361*$AA$361</f>
        <v>0</v>
      </c>
      <c r="AV361">
        <f>$H$361*$AB$361</f>
        <v>0</v>
      </c>
      <c r="AW361">
        <f>$H$361*$AC$361</f>
        <v>0</v>
      </c>
      <c r="AX361">
        <f>$H$361*$AD$361</f>
        <v>76.209999999999994</v>
      </c>
      <c r="AY361">
        <f>$H$361*$AE$361</f>
        <v>76.209999999999994</v>
      </c>
      <c r="AZ361">
        <f>$H$361*$AF$361</f>
        <v>76.209999999999994</v>
      </c>
    </row>
    <row r="362" spans="1:52" x14ac:dyDescent="0.25">
      <c r="A362">
        <v>411</v>
      </c>
      <c r="B362" t="s">
        <v>5</v>
      </c>
      <c r="C362" t="s">
        <v>438</v>
      </c>
      <c r="D362">
        <v>15.73</v>
      </c>
      <c r="E362">
        <v>41.21</v>
      </c>
      <c r="F362" t="s">
        <v>329</v>
      </c>
      <c r="G362">
        <v>2.62</v>
      </c>
      <c r="H362">
        <v>49.45</v>
      </c>
      <c r="I362" t="s">
        <v>439</v>
      </c>
      <c r="J362" t="s">
        <v>440</v>
      </c>
      <c r="K362" t="s">
        <v>654</v>
      </c>
      <c r="L362" t="s">
        <v>179</v>
      </c>
      <c r="M362" t="s">
        <v>5</v>
      </c>
      <c r="N362" t="s">
        <v>12</v>
      </c>
      <c r="O362" t="s">
        <v>5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5</v>
      </c>
      <c r="AH362" t="s">
        <v>12</v>
      </c>
      <c r="AI362" t="s">
        <v>5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0</v>
      </c>
      <c r="AN362">
        <f>$H$362*$T$362</f>
        <v>0</v>
      </c>
      <c r="AO362">
        <f>$H$362*$U$362</f>
        <v>0</v>
      </c>
      <c r="AP362">
        <f>$H$362*$V$362</f>
        <v>0</v>
      </c>
      <c r="AQ362">
        <f>$H$362*$W$362</f>
        <v>0</v>
      </c>
      <c r="AR362">
        <f>$H$362*$X$362</f>
        <v>0</v>
      </c>
      <c r="AS362">
        <f>$H$362*$Y$362</f>
        <v>0</v>
      </c>
      <c r="AT362">
        <f>$H$362*$Z$362</f>
        <v>0</v>
      </c>
      <c r="AU362">
        <f>$H$362*$AA$362</f>
        <v>49.45</v>
      </c>
      <c r="AV362">
        <f>$H$362*$AB$362</f>
        <v>49.45</v>
      </c>
      <c r="AW362">
        <f>$H$362*$AC$362</f>
        <v>49.45</v>
      </c>
      <c r="AX362">
        <f>$H$362*$AD$362</f>
        <v>49.45</v>
      </c>
      <c r="AY362">
        <f>$H$362*$AE$362</f>
        <v>49.45</v>
      </c>
      <c r="AZ362">
        <f>$H$362*$AF$362</f>
        <v>49.45</v>
      </c>
    </row>
    <row r="363" spans="1:52" x14ac:dyDescent="0.25">
      <c r="A363">
        <v>412</v>
      </c>
      <c r="B363" t="s">
        <v>5</v>
      </c>
      <c r="C363" t="s">
        <v>441</v>
      </c>
      <c r="D363">
        <v>141.6</v>
      </c>
      <c r="E363">
        <v>305.86</v>
      </c>
      <c r="F363" t="s">
        <v>349</v>
      </c>
      <c r="G363">
        <v>2.16</v>
      </c>
      <c r="H363">
        <v>367.04</v>
      </c>
      <c r="I363" t="s">
        <v>439</v>
      </c>
      <c r="J363" t="s">
        <v>442</v>
      </c>
      <c r="K363" t="s">
        <v>655</v>
      </c>
      <c r="L363" t="s">
        <v>179</v>
      </c>
      <c r="M363" t="s">
        <v>5</v>
      </c>
      <c r="N363" t="s">
        <v>12</v>
      </c>
      <c r="O363" t="s">
        <v>5</v>
      </c>
      <c r="P363">
        <v>0</v>
      </c>
      <c r="Q363">
        <v>0</v>
      </c>
      <c r="R363">
        <v>0</v>
      </c>
      <c r="S363">
        <v>1</v>
      </c>
      <c r="T363">
        <v>1</v>
      </c>
      <c r="U363">
        <v>1</v>
      </c>
      <c r="V363">
        <v>1</v>
      </c>
      <c r="W363">
        <v>1</v>
      </c>
      <c r="X363">
        <v>1</v>
      </c>
      <c r="Y363">
        <v>1</v>
      </c>
      <c r="Z363">
        <v>1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5</v>
      </c>
      <c r="AH363" t="s">
        <v>12</v>
      </c>
      <c r="AI363" t="s">
        <v>5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367.04</v>
      </c>
      <c r="AN363">
        <f>$H$363*$T$363</f>
        <v>367.04</v>
      </c>
      <c r="AO363">
        <f>$H$363*$U$363</f>
        <v>367.04</v>
      </c>
      <c r="AP363">
        <f>$H$363*$V$363</f>
        <v>367.04</v>
      </c>
      <c r="AQ363">
        <f>$H$363*$W$363</f>
        <v>367.04</v>
      </c>
      <c r="AR363">
        <f>$H$363*$X$363</f>
        <v>367.04</v>
      </c>
      <c r="AS363">
        <f>$H$363*$Y$363</f>
        <v>367.04</v>
      </c>
      <c r="AT363">
        <f>$H$363*$Z$363</f>
        <v>367.04</v>
      </c>
      <c r="AU363">
        <f>$H$363*$AA$363</f>
        <v>367.04</v>
      </c>
      <c r="AV363">
        <f>$H$363*$AB$363</f>
        <v>367.04</v>
      </c>
      <c r="AW363">
        <f>$H$363*$AC$363</f>
        <v>367.04</v>
      </c>
      <c r="AX363">
        <f>$H$363*$AD$363</f>
        <v>367.04</v>
      </c>
      <c r="AY363">
        <f>$H$363*$AE$363</f>
        <v>367.04</v>
      </c>
      <c r="AZ363">
        <f>$H$363*$AF$363</f>
        <v>367.04</v>
      </c>
    </row>
    <row r="364" spans="1:52" x14ac:dyDescent="0.25">
      <c r="A364">
        <v>413</v>
      </c>
      <c r="B364" t="s">
        <v>5</v>
      </c>
      <c r="C364" t="s">
        <v>443</v>
      </c>
      <c r="D364">
        <v>141.6</v>
      </c>
      <c r="E364">
        <v>89.21</v>
      </c>
      <c r="F364" t="s">
        <v>349</v>
      </c>
      <c r="G364">
        <v>0.63</v>
      </c>
      <c r="H364">
        <v>107.05</v>
      </c>
      <c r="I364" t="s">
        <v>330</v>
      </c>
      <c r="J364" t="s">
        <v>444</v>
      </c>
      <c r="K364" t="s">
        <v>656</v>
      </c>
      <c r="L364" t="s">
        <v>179</v>
      </c>
      <c r="M364" t="s">
        <v>5</v>
      </c>
      <c r="N364" t="s">
        <v>12</v>
      </c>
      <c r="O364" t="s">
        <v>5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1</v>
      </c>
      <c r="AE364">
        <v>1</v>
      </c>
      <c r="AF364">
        <v>1</v>
      </c>
      <c r="AG364" t="s">
        <v>5</v>
      </c>
      <c r="AH364" t="s">
        <v>12</v>
      </c>
      <c r="AI364" t="s">
        <v>5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0</v>
      </c>
      <c r="AN364">
        <f>$H$364*$T$364</f>
        <v>0</v>
      </c>
      <c r="AO364">
        <f>$H$364*$U$364</f>
        <v>0</v>
      </c>
      <c r="AP364">
        <f>$H$364*$V$364</f>
        <v>0</v>
      </c>
      <c r="AQ364">
        <f>$H$364*$W$364</f>
        <v>0</v>
      </c>
      <c r="AR364">
        <f>$H$364*$X$364</f>
        <v>0</v>
      </c>
      <c r="AS364">
        <f>$H$364*$Y$364</f>
        <v>0</v>
      </c>
      <c r="AT364">
        <f>$H$364*$Z$364</f>
        <v>0</v>
      </c>
      <c r="AU364">
        <f>$H$364*$AA$364</f>
        <v>0</v>
      </c>
      <c r="AV364">
        <f>$H$364*$AB$364</f>
        <v>0</v>
      </c>
      <c r="AW364">
        <f>$H$364*$AC$364</f>
        <v>0</v>
      </c>
      <c r="AX364">
        <f>$H$364*$AD$364</f>
        <v>107.05</v>
      </c>
      <c r="AY364">
        <f>$H$364*$AE$364</f>
        <v>107.05</v>
      </c>
      <c r="AZ364">
        <f>$H$364*$AF$364</f>
        <v>107.05</v>
      </c>
    </row>
    <row r="365" spans="1:52" x14ac:dyDescent="0.25">
      <c r="A365">
        <v>414</v>
      </c>
      <c r="B365" t="s">
        <v>5</v>
      </c>
      <c r="C365" t="s">
        <v>362</v>
      </c>
      <c r="D365">
        <v>177</v>
      </c>
      <c r="E365">
        <v>173.46</v>
      </c>
      <c r="F365" t="s">
        <v>349</v>
      </c>
      <c r="G365">
        <v>0.98</v>
      </c>
      <c r="H365">
        <v>208.16</v>
      </c>
      <c r="I365" t="s">
        <v>330</v>
      </c>
      <c r="J365" t="s">
        <v>363</v>
      </c>
      <c r="K365" t="s">
        <v>617</v>
      </c>
      <c r="L365" t="s">
        <v>179</v>
      </c>
      <c r="M365" t="s">
        <v>5</v>
      </c>
      <c r="N365" t="s">
        <v>12</v>
      </c>
      <c r="O365" t="s">
        <v>5</v>
      </c>
      <c r="P365">
        <v>0</v>
      </c>
      <c r="Q365">
        <v>0</v>
      </c>
      <c r="R365">
        <v>0</v>
      </c>
      <c r="S365">
        <v>0</v>
      </c>
      <c r="T365">
        <v>1</v>
      </c>
      <c r="U365">
        <v>1</v>
      </c>
      <c r="V365">
        <v>1</v>
      </c>
      <c r="W365">
        <v>1</v>
      </c>
      <c r="X365">
        <v>1</v>
      </c>
      <c r="Y365">
        <v>1</v>
      </c>
      <c r="Z365">
        <v>1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5</v>
      </c>
      <c r="AH365" t="s">
        <v>12</v>
      </c>
      <c r="AI365" t="s">
        <v>5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0</v>
      </c>
      <c r="AN365">
        <f>$H$365*$T$365</f>
        <v>208.16</v>
      </c>
      <c r="AO365">
        <f>$H$365*$U$365</f>
        <v>208.16</v>
      </c>
      <c r="AP365">
        <f>$H$365*$V$365</f>
        <v>208.16</v>
      </c>
      <c r="AQ365">
        <f>$H$365*$W$365</f>
        <v>208.16</v>
      </c>
      <c r="AR365">
        <f>$H$365*$X$365</f>
        <v>208.16</v>
      </c>
      <c r="AS365">
        <f>$H$365*$Y$365</f>
        <v>208.16</v>
      </c>
      <c r="AT365">
        <f>$H$365*$Z$365</f>
        <v>208.16</v>
      </c>
      <c r="AU365">
        <f>$H$365*$AA$365</f>
        <v>208.16</v>
      </c>
      <c r="AV365">
        <f>$H$365*$AB$365</f>
        <v>208.16</v>
      </c>
      <c r="AW365">
        <f>$H$365*$AC$365</f>
        <v>208.16</v>
      </c>
      <c r="AX365">
        <f>$H$365*$AD$365</f>
        <v>208.16</v>
      </c>
      <c r="AY365">
        <f>$H$365*$AE$365</f>
        <v>208.16</v>
      </c>
      <c r="AZ365">
        <f>$H$365*$AF$365</f>
        <v>208.16</v>
      </c>
    </row>
    <row r="366" spans="1:52" x14ac:dyDescent="0.25">
      <c r="A366">
        <v>415</v>
      </c>
      <c r="B366" t="s">
        <v>5</v>
      </c>
      <c r="C366" t="s">
        <v>445</v>
      </c>
      <c r="D366">
        <v>35.4</v>
      </c>
      <c r="E366">
        <v>133.1</v>
      </c>
      <c r="F366" t="s">
        <v>349</v>
      </c>
      <c r="G366">
        <v>3.76</v>
      </c>
      <c r="H366">
        <v>159.72</v>
      </c>
      <c r="I366" t="s">
        <v>446</v>
      </c>
      <c r="J366" t="s">
        <v>420</v>
      </c>
      <c r="K366" t="s">
        <v>657</v>
      </c>
      <c r="L366" t="s">
        <v>179</v>
      </c>
      <c r="M366" t="s">
        <v>5</v>
      </c>
      <c r="N366" t="s">
        <v>12</v>
      </c>
      <c r="O366" t="s">
        <v>5</v>
      </c>
      <c r="P366">
        <v>0</v>
      </c>
      <c r="Q366">
        <v>0</v>
      </c>
      <c r="R366">
        <v>0</v>
      </c>
      <c r="S366">
        <v>0.25</v>
      </c>
      <c r="T366">
        <v>0.25</v>
      </c>
      <c r="U366">
        <v>0.25</v>
      </c>
      <c r="V366">
        <v>0.25</v>
      </c>
      <c r="W366">
        <v>0.25</v>
      </c>
      <c r="X366">
        <v>0.5</v>
      </c>
      <c r="Y366">
        <v>0.5</v>
      </c>
      <c r="Z366">
        <v>0.5</v>
      </c>
      <c r="AA366">
        <v>1</v>
      </c>
      <c r="AB366">
        <v>1</v>
      </c>
      <c r="AC366">
        <v>1</v>
      </c>
      <c r="AD366">
        <v>1</v>
      </c>
      <c r="AE366">
        <v>1</v>
      </c>
      <c r="AF366">
        <v>1</v>
      </c>
      <c r="AG366" t="s">
        <v>5</v>
      </c>
      <c r="AH366" t="s">
        <v>12</v>
      </c>
      <c r="AI366" t="s">
        <v>5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39.93</v>
      </c>
      <c r="AN366">
        <f>$H$366*$T$366</f>
        <v>39.93</v>
      </c>
      <c r="AO366">
        <f>$H$366*$U$366</f>
        <v>39.93</v>
      </c>
      <c r="AP366">
        <f>$H$366*$V$366</f>
        <v>39.93</v>
      </c>
      <c r="AQ366">
        <f>$H$366*$W$366</f>
        <v>39.93</v>
      </c>
      <c r="AR366">
        <f>$H$366*$X$366</f>
        <v>79.86</v>
      </c>
      <c r="AS366">
        <f>$H$366*$Y$366</f>
        <v>79.86</v>
      </c>
      <c r="AT366">
        <f>$H$366*$Z$366</f>
        <v>79.86</v>
      </c>
      <c r="AU366">
        <f>$H$366*$AA$366</f>
        <v>159.72</v>
      </c>
      <c r="AV366">
        <f>$H$366*$AB$366</f>
        <v>159.72</v>
      </c>
      <c r="AW366">
        <f>$H$366*$AC$366</f>
        <v>159.72</v>
      </c>
      <c r="AX366">
        <f>$H$366*$AD$366</f>
        <v>159.72</v>
      </c>
      <c r="AY366">
        <f>$H$366*$AE$366</f>
        <v>159.72</v>
      </c>
      <c r="AZ366">
        <f>$H$366*$AF$366</f>
        <v>159.72</v>
      </c>
    </row>
    <row r="367" spans="1:52" x14ac:dyDescent="0.25">
      <c r="A367">
        <v>416</v>
      </c>
      <c r="B367" t="s">
        <v>5</v>
      </c>
      <c r="C367" t="s">
        <v>364</v>
      </c>
      <c r="D367">
        <v>354</v>
      </c>
      <c r="E367">
        <v>1189.44</v>
      </c>
      <c r="F367" t="s">
        <v>349</v>
      </c>
      <c r="G367">
        <v>3.36</v>
      </c>
      <c r="H367">
        <v>1427.32</v>
      </c>
      <c r="I367" t="s">
        <v>365</v>
      </c>
      <c r="J367" t="s">
        <v>366</v>
      </c>
      <c r="K367" t="s">
        <v>618</v>
      </c>
      <c r="L367" t="s">
        <v>179</v>
      </c>
      <c r="M367" t="s">
        <v>5</v>
      </c>
      <c r="N367" t="s">
        <v>12</v>
      </c>
      <c r="O367" t="s">
        <v>5</v>
      </c>
      <c r="P367">
        <v>0</v>
      </c>
      <c r="Q367">
        <v>0</v>
      </c>
      <c r="R367">
        <v>0</v>
      </c>
      <c r="S367">
        <v>0.25</v>
      </c>
      <c r="T367">
        <v>0.25</v>
      </c>
      <c r="U367">
        <v>0.25</v>
      </c>
      <c r="V367">
        <v>0.25</v>
      </c>
      <c r="W367">
        <v>0.5</v>
      </c>
      <c r="X367">
        <v>0.5</v>
      </c>
      <c r="Y367">
        <v>0.5</v>
      </c>
      <c r="Z367">
        <v>0.5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 t="s">
        <v>5</v>
      </c>
      <c r="AH367" t="s">
        <v>12</v>
      </c>
      <c r="AI367" t="s">
        <v>5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356.83</v>
      </c>
      <c r="AN367">
        <f>$H$367*$T$367</f>
        <v>356.83</v>
      </c>
      <c r="AO367">
        <f>$H$367*$U$367</f>
        <v>356.83</v>
      </c>
      <c r="AP367">
        <f>$H$367*$V$367</f>
        <v>356.83</v>
      </c>
      <c r="AQ367">
        <f>$H$367*$W$367</f>
        <v>713.66</v>
      </c>
      <c r="AR367">
        <f>$H$367*$X$367</f>
        <v>713.66</v>
      </c>
      <c r="AS367">
        <f>$H$367*$Y$367</f>
        <v>713.66</v>
      </c>
      <c r="AT367">
        <f>$H$367*$Z$367</f>
        <v>713.66</v>
      </c>
      <c r="AU367">
        <f>$H$367*$AA$367</f>
        <v>1427.32</v>
      </c>
      <c r="AV367">
        <f>$H$367*$AB$367</f>
        <v>1427.32</v>
      </c>
      <c r="AW367">
        <f>$H$367*$AC$367</f>
        <v>1427.32</v>
      </c>
      <c r="AX367">
        <f>$H$367*$AD$367</f>
        <v>1427.32</v>
      </c>
      <c r="AY367">
        <f>$H$367*$AE$367</f>
        <v>1427.32</v>
      </c>
      <c r="AZ367">
        <f>$H$367*$AF$367</f>
        <v>1427.32</v>
      </c>
    </row>
    <row r="368" spans="1:52" x14ac:dyDescent="0.25">
      <c r="A368">
        <v>417</v>
      </c>
      <c r="B368" t="s">
        <v>5</v>
      </c>
      <c r="C368" t="s">
        <v>447</v>
      </c>
      <c r="D368">
        <v>39.33</v>
      </c>
      <c r="E368">
        <v>40.9</v>
      </c>
      <c r="F368" t="s">
        <v>329</v>
      </c>
      <c r="G368">
        <v>1.04</v>
      </c>
      <c r="H368">
        <v>49.08</v>
      </c>
      <c r="I368" t="s">
        <v>330</v>
      </c>
      <c r="J368" t="s">
        <v>448</v>
      </c>
      <c r="K368" t="s">
        <v>658</v>
      </c>
      <c r="L368" t="s">
        <v>179</v>
      </c>
      <c r="M368" t="s">
        <v>5</v>
      </c>
      <c r="N368" t="s">
        <v>12</v>
      </c>
      <c r="O368" t="s">
        <v>5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5</v>
      </c>
      <c r="AH368" t="s">
        <v>12</v>
      </c>
      <c r="AI368" t="s">
        <v>5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0</v>
      </c>
      <c r="AN368">
        <f>$H$368*$T$368</f>
        <v>0</v>
      </c>
      <c r="AO368">
        <f>$H$368*$U$368</f>
        <v>0</v>
      </c>
      <c r="AP368">
        <f>$H$368*$V$368</f>
        <v>0</v>
      </c>
      <c r="AQ368">
        <f>$H$368*$W$368</f>
        <v>0</v>
      </c>
      <c r="AR368">
        <f>$H$368*$X$368</f>
        <v>0</v>
      </c>
      <c r="AS368">
        <f>$H$368*$Y$368</f>
        <v>0</v>
      </c>
      <c r="AT368">
        <f>$H$368*$Z$368</f>
        <v>0</v>
      </c>
      <c r="AU368">
        <f>$H$368*$AA$368</f>
        <v>49.08</v>
      </c>
      <c r="AV368">
        <f>$H$368*$AB$368</f>
        <v>49.08</v>
      </c>
      <c r="AW368">
        <f>$H$368*$AC$368</f>
        <v>49.08</v>
      </c>
      <c r="AX368">
        <f>$H$368*$AD$368</f>
        <v>49.08</v>
      </c>
      <c r="AY368">
        <f>$H$368*$AE$368</f>
        <v>49.08</v>
      </c>
      <c r="AZ368">
        <f>$H$368*$AF$368</f>
        <v>49.08</v>
      </c>
    </row>
    <row r="369" spans="1:52" x14ac:dyDescent="0.25">
      <c r="A369">
        <v>418</v>
      </c>
      <c r="B369" t="s">
        <v>5</v>
      </c>
      <c r="C369" t="s">
        <v>449</v>
      </c>
      <c r="D369">
        <v>39.33</v>
      </c>
      <c r="E369">
        <v>315.43</v>
      </c>
      <c r="F369" t="s">
        <v>329</v>
      </c>
      <c r="G369">
        <v>8.02</v>
      </c>
      <c r="H369">
        <v>378.51</v>
      </c>
      <c r="I369" t="s">
        <v>333</v>
      </c>
      <c r="J369" t="s">
        <v>450</v>
      </c>
      <c r="K369" t="s">
        <v>659</v>
      </c>
      <c r="L369" t="s">
        <v>179</v>
      </c>
      <c r="M369" t="s">
        <v>5</v>
      </c>
      <c r="N369" t="s">
        <v>12</v>
      </c>
      <c r="O369" t="s">
        <v>5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1</v>
      </c>
      <c r="AB369">
        <v>1</v>
      </c>
      <c r="AC369">
        <v>1</v>
      </c>
      <c r="AD369">
        <v>1</v>
      </c>
      <c r="AE369">
        <v>1</v>
      </c>
      <c r="AF369">
        <v>1</v>
      </c>
      <c r="AG369" t="s">
        <v>5</v>
      </c>
      <c r="AH369" t="s">
        <v>12</v>
      </c>
      <c r="AI369" t="s">
        <v>5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0</v>
      </c>
      <c r="AN369">
        <f>$H$369*$T$369</f>
        <v>0</v>
      </c>
      <c r="AO369">
        <f>$H$369*$U$369</f>
        <v>0</v>
      </c>
      <c r="AP369">
        <f>$H$369*$V$369</f>
        <v>0</v>
      </c>
      <c r="AQ369">
        <f>$H$369*$W$369</f>
        <v>0</v>
      </c>
      <c r="AR369">
        <f>$H$369*$X$369</f>
        <v>0</v>
      </c>
      <c r="AS369">
        <f>$H$369*$Y$369</f>
        <v>0</v>
      </c>
      <c r="AT369">
        <f>$H$369*$Z$369</f>
        <v>0</v>
      </c>
      <c r="AU369">
        <f>$H$369*$AA$369</f>
        <v>378.51</v>
      </c>
      <c r="AV369">
        <f>$H$369*$AB$369</f>
        <v>378.51</v>
      </c>
      <c r="AW369">
        <f>$H$369*$AC$369</f>
        <v>378.51</v>
      </c>
      <c r="AX369">
        <f>$H$369*$AD$369</f>
        <v>378.51</v>
      </c>
      <c r="AY369">
        <f>$H$369*$AE$369</f>
        <v>378.51</v>
      </c>
      <c r="AZ369">
        <f>$H$369*$AF$369</f>
        <v>378.51</v>
      </c>
    </row>
    <row r="370" spans="1:52" x14ac:dyDescent="0.25">
      <c r="A370">
        <v>419</v>
      </c>
      <c r="B370" t="s">
        <v>5</v>
      </c>
      <c r="C370" t="s">
        <v>455</v>
      </c>
      <c r="D370">
        <v>39.33</v>
      </c>
      <c r="E370">
        <v>59.39</v>
      </c>
      <c r="F370" t="s">
        <v>329</v>
      </c>
      <c r="G370">
        <v>1.51</v>
      </c>
      <c r="H370">
        <v>71.27</v>
      </c>
      <c r="I370" t="s">
        <v>330</v>
      </c>
      <c r="J370" t="s">
        <v>456</v>
      </c>
      <c r="K370" t="s">
        <v>662</v>
      </c>
      <c r="L370" t="s">
        <v>179</v>
      </c>
      <c r="M370" t="s">
        <v>5</v>
      </c>
      <c r="N370" t="s">
        <v>12</v>
      </c>
      <c r="O370" t="s">
        <v>5</v>
      </c>
      <c r="P370">
        <v>0</v>
      </c>
      <c r="Q370">
        <v>0</v>
      </c>
      <c r="R370">
        <v>0</v>
      </c>
      <c r="S370">
        <v>1</v>
      </c>
      <c r="T370">
        <v>1</v>
      </c>
      <c r="U370">
        <v>1</v>
      </c>
      <c r="V370">
        <v>1</v>
      </c>
      <c r="W370">
        <v>1</v>
      </c>
      <c r="X370">
        <v>1</v>
      </c>
      <c r="Y370">
        <v>1</v>
      </c>
      <c r="Z370">
        <v>1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5</v>
      </c>
      <c r="AH370" t="s">
        <v>12</v>
      </c>
      <c r="AI370" t="s">
        <v>5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71.27</v>
      </c>
      <c r="AN370">
        <f>$H$370*$T$370</f>
        <v>71.27</v>
      </c>
      <c r="AO370">
        <f>$H$370*$U$370</f>
        <v>71.27</v>
      </c>
      <c r="AP370">
        <f>$H$370*$V$370</f>
        <v>71.27</v>
      </c>
      <c r="AQ370">
        <f>$H$370*$W$370</f>
        <v>71.27</v>
      </c>
      <c r="AR370">
        <f>$H$370*$X$370</f>
        <v>71.27</v>
      </c>
      <c r="AS370">
        <f>$H$370*$Y$370</f>
        <v>71.27</v>
      </c>
      <c r="AT370">
        <f>$H$370*$Z$370</f>
        <v>71.27</v>
      </c>
      <c r="AU370">
        <f>$H$370*$AA$370</f>
        <v>71.27</v>
      </c>
      <c r="AV370">
        <f>$H$370*$AB$370</f>
        <v>71.27</v>
      </c>
      <c r="AW370">
        <f>$H$370*$AC$370</f>
        <v>71.27</v>
      </c>
      <c r="AX370">
        <f>$H$370*$AD$370</f>
        <v>71.27</v>
      </c>
      <c r="AY370">
        <f>$H$370*$AE$370</f>
        <v>71.27</v>
      </c>
      <c r="AZ370">
        <f>$H$370*$AF$370</f>
        <v>71.27</v>
      </c>
    </row>
    <row r="371" spans="1:52" x14ac:dyDescent="0.25">
      <c r="A371">
        <v>420</v>
      </c>
      <c r="B371" t="s">
        <v>5</v>
      </c>
      <c r="C371" t="s">
        <v>457</v>
      </c>
      <c r="D371">
        <v>39.33</v>
      </c>
      <c r="E371">
        <v>223.39</v>
      </c>
      <c r="F371" t="s">
        <v>329</v>
      </c>
      <c r="G371">
        <v>5.68</v>
      </c>
      <c r="H371">
        <v>268.07</v>
      </c>
      <c r="I371" t="s">
        <v>333</v>
      </c>
      <c r="J371" t="s">
        <v>458</v>
      </c>
      <c r="K371" t="s">
        <v>663</v>
      </c>
      <c r="L371" t="s">
        <v>179</v>
      </c>
      <c r="M371" t="s">
        <v>5</v>
      </c>
      <c r="N371" t="s">
        <v>12</v>
      </c>
      <c r="O371" t="s">
        <v>5</v>
      </c>
      <c r="P371">
        <v>0</v>
      </c>
      <c r="Q371">
        <v>0</v>
      </c>
      <c r="R371">
        <v>0</v>
      </c>
      <c r="S371">
        <v>1</v>
      </c>
      <c r="T371">
        <v>1</v>
      </c>
      <c r="U371">
        <v>1</v>
      </c>
      <c r="V371">
        <v>1</v>
      </c>
      <c r="W371">
        <v>1</v>
      </c>
      <c r="X371">
        <v>1</v>
      </c>
      <c r="Y371">
        <v>1</v>
      </c>
      <c r="Z371">
        <v>1</v>
      </c>
      <c r="AA371">
        <v>1</v>
      </c>
      <c r="AB371">
        <v>1</v>
      </c>
      <c r="AC371">
        <v>1</v>
      </c>
      <c r="AD371">
        <v>1</v>
      </c>
      <c r="AE371">
        <v>1</v>
      </c>
      <c r="AF371">
        <v>1</v>
      </c>
      <c r="AG371" t="s">
        <v>5</v>
      </c>
      <c r="AH371" t="s">
        <v>12</v>
      </c>
      <c r="AI371" t="s">
        <v>5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268.07</v>
      </c>
      <c r="AN371">
        <f>$H$371*$T$371</f>
        <v>268.07</v>
      </c>
      <c r="AO371">
        <f>$H$371*$U$371</f>
        <v>268.07</v>
      </c>
      <c r="AP371">
        <f>$H$371*$V$371</f>
        <v>268.07</v>
      </c>
      <c r="AQ371">
        <f>$H$371*$W$371</f>
        <v>268.07</v>
      </c>
      <c r="AR371">
        <f>$H$371*$X$371</f>
        <v>268.07</v>
      </c>
      <c r="AS371">
        <f>$H$371*$Y$371</f>
        <v>268.07</v>
      </c>
      <c r="AT371">
        <f>$H$371*$Z$371</f>
        <v>268.07</v>
      </c>
      <c r="AU371">
        <f>$H$371*$AA$371</f>
        <v>268.07</v>
      </c>
      <c r="AV371">
        <f>$H$371*$AB$371</f>
        <v>268.07</v>
      </c>
      <c r="AW371">
        <f>$H$371*$AC$371</f>
        <v>268.07</v>
      </c>
      <c r="AX371">
        <f>$H$371*$AD$371</f>
        <v>268.07</v>
      </c>
      <c r="AY371">
        <f>$H$371*$AE$371</f>
        <v>268.07</v>
      </c>
      <c r="AZ371">
        <f>$H$371*$AF$371</f>
        <v>268.07</v>
      </c>
    </row>
    <row r="372" spans="1:52" x14ac:dyDescent="0.25">
      <c r="A372">
        <v>421</v>
      </c>
      <c r="B372" t="s">
        <v>5</v>
      </c>
      <c r="C372" t="s">
        <v>364</v>
      </c>
      <c r="D372">
        <v>136.72999999999999</v>
      </c>
      <c r="E372">
        <v>459.41</v>
      </c>
      <c r="F372" t="s">
        <v>349</v>
      </c>
      <c r="G372">
        <v>3.36</v>
      </c>
      <c r="H372">
        <v>551.29</v>
      </c>
      <c r="I372" t="s">
        <v>365</v>
      </c>
      <c r="J372" t="s">
        <v>366</v>
      </c>
      <c r="K372" t="s">
        <v>618</v>
      </c>
      <c r="L372" t="s">
        <v>179</v>
      </c>
      <c r="M372" t="s">
        <v>5</v>
      </c>
      <c r="N372" t="s">
        <v>12</v>
      </c>
      <c r="O372" t="s">
        <v>5</v>
      </c>
      <c r="P372">
        <v>0</v>
      </c>
      <c r="Q372">
        <v>0</v>
      </c>
      <c r="R372">
        <v>0</v>
      </c>
      <c r="S372">
        <v>0.25</v>
      </c>
      <c r="T372">
        <v>0.25</v>
      </c>
      <c r="U372">
        <v>0.25</v>
      </c>
      <c r="V372">
        <v>0.25</v>
      </c>
      <c r="W372">
        <v>0.5</v>
      </c>
      <c r="X372">
        <v>0.5</v>
      </c>
      <c r="Y372">
        <v>0.5</v>
      </c>
      <c r="Z372">
        <v>0.5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5</v>
      </c>
      <c r="AH372" t="s">
        <v>12</v>
      </c>
      <c r="AI372" t="s">
        <v>5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137.82249999999999</v>
      </c>
      <c r="AN372">
        <f>$H$372*$T$372</f>
        <v>137.82249999999999</v>
      </c>
      <c r="AO372">
        <f>$H$372*$U$372</f>
        <v>137.82249999999999</v>
      </c>
      <c r="AP372">
        <f>$H$372*$V$372</f>
        <v>137.82249999999999</v>
      </c>
      <c r="AQ372">
        <f>$H$372*$W$372</f>
        <v>275.64499999999998</v>
      </c>
      <c r="AR372">
        <f>$H$372*$X$372</f>
        <v>275.64499999999998</v>
      </c>
      <c r="AS372">
        <f>$H$372*$Y$372</f>
        <v>275.64499999999998</v>
      </c>
      <c r="AT372">
        <f>$H$372*$Z$372</f>
        <v>275.64499999999998</v>
      </c>
      <c r="AU372">
        <f>$H$372*$AA$372</f>
        <v>551.29</v>
      </c>
      <c r="AV372">
        <f>$H$372*$AB$372</f>
        <v>551.29</v>
      </c>
      <c r="AW372">
        <f>$H$372*$AC$372</f>
        <v>551.29</v>
      </c>
      <c r="AX372">
        <f>$H$372*$AD$372</f>
        <v>551.29</v>
      </c>
      <c r="AY372">
        <f>$H$372*$AE$372</f>
        <v>551.29</v>
      </c>
      <c r="AZ372">
        <f>$H$372*$AF$372</f>
        <v>551.29</v>
      </c>
    </row>
    <row r="373" spans="1:52" x14ac:dyDescent="0.25">
      <c r="A373">
        <v>422</v>
      </c>
      <c r="B373" t="s">
        <v>5</v>
      </c>
      <c r="C373" t="s">
        <v>443</v>
      </c>
      <c r="D373">
        <v>136.72999999999999</v>
      </c>
      <c r="E373">
        <v>86.14</v>
      </c>
      <c r="F373" t="s">
        <v>349</v>
      </c>
      <c r="G373">
        <v>0.63</v>
      </c>
      <c r="H373">
        <v>103.36</v>
      </c>
      <c r="I373" t="s">
        <v>330</v>
      </c>
      <c r="J373" t="s">
        <v>444</v>
      </c>
      <c r="K373" t="s">
        <v>656</v>
      </c>
      <c r="L373" t="s">
        <v>179</v>
      </c>
      <c r="M373" t="s">
        <v>5</v>
      </c>
      <c r="N373" t="s">
        <v>12</v>
      </c>
      <c r="O373" t="s">
        <v>5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1</v>
      </c>
      <c r="AE373">
        <v>1</v>
      </c>
      <c r="AF373">
        <v>1</v>
      </c>
      <c r="AG373" t="s">
        <v>5</v>
      </c>
      <c r="AH373" t="s">
        <v>12</v>
      </c>
      <c r="AI373" t="s">
        <v>5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0</v>
      </c>
      <c r="AN373">
        <f>$H$373*$T$373</f>
        <v>0</v>
      </c>
      <c r="AO373">
        <f>$H$373*$U$373</f>
        <v>0</v>
      </c>
      <c r="AP373">
        <f>$H$373*$V$373</f>
        <v>0</v>
      </c>
      <c r="AQ373">
        <f>$H$373*$W$373</f>
        <v>0</v>
      </c>
      <c r="AR373">
        <f>$H$373*$X$373</f>
        <v>0</v>
      </c>
      <c r="AS373">
        <f>$H$373*$Y$373</f>
        <v>0</v>
      </c>
      <c r="AT373">
        <f>$H$373*$Z$373</f>
        <v>0</v>
      </c>
      <c r="AU373">
        <f>$H$373*$AA$373</f>
        <v>0</v>
      </c>
      <c r="AV373">
        <f>$H$373*$AB$373</f>
        <v>0</v>
      </c>
      <c r="AW373">
        <f>$H$373*$AC$373</f>
        <v>0</v>
      </c>
      <c r="AX373">
        <f>$H$373*$AD$373</f>
        <v>103.36</v>
      </c>
      <c r="AY373">
        <f>$H$373*$AE$373</f>
        <v>103.36</v>
      </c>
      <c r="AZ373">
        <f>$H$373*$AF$373</f>
        <v>103.36</v>
      </c>
    </row>
    <row r="374" spans="1:52" x14ac:dyDescent="0.25">
      <c r="A374">
        <v>423</v>
      </c>
      <c r="B374" t="s">
        <v>5</v>
      </c>
      <c r="C374" t="s">
        <v>459</v>
      </c>
      <c r="D374">
        <v>136.72999999999999</v>
      </c>
      <c r="E374">
        <v>94.34</v>
      </c>
      <c r="F374" t="s">
        <v>349</v>
      </c>
      <c r="G374">
        <v>0.69</v>
      </c>
      <c r="H374">
        <v>113.2</v>
      </c>
      <c r="I374" t="s">
        <v>330</v>
      </c>
      <c r="J374" t="s">
        <v>460</v>
      </c>
      <c r="K374" t="s">
        <v>664</v>
      </c>
      <c r="L374" t="s">
        <v>179</v>
      </c>
      <c r="M374" t="s">
        <v>5</v>
      </c>
      <c r="N374" t="s">
        <v>12</v>
      </c>
      <c r="O374" t="s">
        <v>5</v>
      </c>
      <c r="P374">
        <v>0</v>
      </c>
      <c r="Q374">
        <v>0</v>
      </c>
      <c r="R374">
        <v>0</v>
      </c>
      <c r="S374">
        <v>1</v>
      </c>
      <c r="T374">
        <v>1</v>
      </c>
      <c r="U374">
        <v>1</v>
      </c>
      <c r="V374">
        <v>1</v>
      </c>
      <c r="W374">
        <v>1</v>
      </c>
      <c r="X374">
        <v>1</v>
      </c>
      <c r="Y374">
        <v>1</v>
      </c>
      <c r="Z374">
        <v>1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5</v>
      </c>
      <c r="AH374" t="s">
        <v>12</v>
      </c>
      <c r="AI374" t="s">
        <v>5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113.2</v>
      </c>
      <c r="AN374">
        <f>$H$374*$T$374</f>
        <v>113.2</v>
      </c>
      <c r="AO374">
        <f>$H$374*$U$374</f>
        <v>113.2</v>
      </c>
      <c r="AP374">
        <f>$H$374*$V$374</f>
        <v>113.2</v>
      </c>
      <c r="AQ374">
        <f>$H$374*$W$374</f>
        <v>113.2</v>
      </c>
      <c r="AR374">
        <f>$H$374*$X$374</f>
        <v>113.2</v>
      </c>
      <c r="AS374">
        <f>$H$374*$Y$374</f>
        <v>113.2</v>
      </c>
      <c r="AT374">
        <f>$H$374*$Z$374</f>
        <v>113.2</v>
      </c>
      <c r="AU374">
        <f>$H$374*$AA$374</f>
        <v>113.2</v>
      </c>
      <c r="AV374">
        <f>$H$374*$AB$374</f>
        <v>113.2</v>
      </c>
      <c r="AW374">
        <f>$H$374*$AC$374</f>
        <v>113.2</v>
      </c>
      <c r="AX374">
        <f>$H$374*$AD$374</f>
        <v>113.2</v>
      </c>
      <c r="AY374">
        <f>$H$374*$AE$374</f>
        <v>113.2</v>
      </c>
      <c r="AZ374">
        <f>$H$374*$AF$374</f>
        <v>113.2</v>
      </c>
    </row>
    <row r="375" spans="1:52" x14ac:dyDescent="0.25">
      <c r="A375">
        <v>424</v>
      </c>
      <c r="B375" t="s">
        <v>5</v>
      </c>
      <c r="C375" t="s">
        <v>461</v>
      </c>
      <c r="D375">
        <v>19.34</v>
      </c>
      <c r="E375">
        <v>335.55</v>
      </c>
      <c r="F375" t="s">
        <v>349</v>
      </c>
      <c r="G375">
        <v>17.350000000000001</v>
      </c>
      <c r="H375">
        <v>402.67</v>
      </c>
      <c r="I375" t="s">
        <v>462</v>
      </c>
      <c r="J375" t="s">
        <v>463</v>
      </c>
      <c r="K375" t="s">
        <v>665</v>
      </c>
      <c r="L375" t="s">
        <v>179</v>
      </c>
      <c r="M375" t="s">
        <v>5</v>
      </c>
      <c r="N375" t="s">
        <v>12</v>
      </c>
      <c r="O375" t="s">
        <v>5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1</v>
      </c>
      <c r="Z375">
        <v>1</v>
      </c>
      <c r="AA375">
        <v>1</v>
      </c>
      <c r="AB375">
        <v>1</v>
      </c>
      <c r="AC375">
        <v>1</v>
      </c>
      <c r="AD375">
        <v>1</v>
      </c>
      <c r="AE375">
        <v>1</v>
      </c>
      <c r="AF375">
        <v>1</v>
      </c>
      <c r="AG375" t="s">
        <v>5</v>
      </c>
      <c r="AH375" t="s">
        <v>12</v>
      </c>
      <c r="AI375" t="s">
        <v>5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0</v>
      </c>
      <c r="AN375">
        <f>$H$375*$T$375</f>
        <v>0</v>
      </c>
      <c r="AO375">
        <f>$H$375*$U$375</f>
        <v>0</v>
      </c>
      <c r="AP375">
        <f>$H$375*$V$375</f>
        <v>0</v>
      </c>
      <c r="AQ375">
        <f>$H$375*$W$375</f>
        <v>0</v>
      </c>
      <c r="AR375">
        <f>$H$375*$X$375</f>
        <v>0</v>
      </c>
      <c r="AS375">
        <f>$H$375*$Y$375</f>
        <v>402.67</v>
      </c>
      <c r="AT375">
        <f>$H$375*$Z$375</f>
        <v>402.67</v>
      </c>
      <c r="AU375">
        <f>$H$375*$AA$375</f>
        <v>402.67</v>
      </c>
      <c r="AV375">
        <f>$H$375*$AB$375</f>
        <v>402.67</v>
      </c>
      <c r="AW375">
        <f>$H$375*$AC$375</f>
        <v>402.67</v>
      </c>
      <c r="AX375">
        <f>$H$375*$AD$375</f>
        <v>402.67</v>
      </c>
      <c r="AY375">
        <f>$H$375*$AE$375</f>
        <v>402.67</v>
      </c>
      <c r="AZ375">
        <f>$H$375*$AF$375</f>
        <v>402.67</v>
      </c>
    </row>
    <row r="376" spans="1:52" x14ac:dyDescent="0.25">
      <c r="A376">
        <v>425</v>
      </c>
      <c r="B376" t="s">
        <v>5</v>
      </c>
      <c r="C376" t="s">
        <v>464</v>
      </c>
      <c r="D376">
        <v>38.68</v>
      </c>
      <c r="E376">
        <v>138.47</v>
      </c>
      <c r="F376" t="s">
        <v>349</v>
      </c>
      <c r="G376">
        <v>3.58</v>
      </c>
      <c r="H376">
        <v>166.17</v>
      </c>
      <c r="I376" t="s">
        <v>465</v>
      </c>
      <c r="J376" t="s">
        <v>466</v>
      </c>
      <c r="K376" t="s">
        <v>666</v>
      </c>
      <c r="L376" t="s">
        <v>179</v>
      </c>
      <c r="M376" t="s">
        <v>5</v>
      </c>
      <c r="N376" t="s">
        <v>12</v>
      </c>
      <c r="O376" t="s">
        <v>5</v>
      </c>
      <c r="P376">
        <v>0</v>
      </c>
      <c r="Q376">
        <v>0</v>
      </c>
      <c r="R376">
        <v>0</v>
      </c>
      <c r="S376">
        <v>1</v>
      </c>
      <c r="T376">
        <v>1</v>
      </c>
      <c r="U376">
        <v>1</v>
      </c>
      <c r="V376">
        <v>1</v>
      </c>
      <c r="W376">
        <v>1</v>
      </c>
      <c r="X376">
        <v>1</v>
      </c>
      <c r="Y376">
        <v>1</v>
      </c>
      <c r="Z376">
        <v>1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5</v>
      </c>
      <c r="AH376" t="s">
        <v>12</v>
      </c>
      <c r="AI376" t="s">
        <v>5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166.17</v>
      </c>
      <c r="AN376">
        <f>$H$376*$T$376</f>
        <v>166.17</v>
      </c>
      <c r="AO376">
        <f>$H$376*$U$376</f>
        <v>166.17</v>
      </c>
      <c r="AP376">
        <f>$H$376*$V$376</f>
        <v>166.17</v>
      </c>
      <c r="AQ376">
        <f>$H$376*$W$376</f>
        <v>166.17</v>
      </c>
      <c r="AR376">
        <f>$H$376*$X$376</f>
        <v>166.17</v>
      </c>
      <c r="AS376">
        <f>$H$376*$Y$376</f>
        <v>166.17</v>
      </c>
      <c r="AT376">
        <f>$H$376*$Z$376</f>
        <v>166.17</v>
      </c>
      <c r="AU376">
        <f>$H$376*$AA$376</f>
        <v>166.17</v>
      </c>
      <c r="AV376">
        <f>$H$376*$AB$376</f>
        <v>166.17</v>
      </c>
      <c r="AW376">
        <f>$H$376*$AC$376</f>
        <v>166.17</v>
      </c>
      <c r="AX376">
        <f>$H$376*$AD$376</f>
        <v>166.17</v>
      </c>
      <c r="AY376">
        <f>$H$376*$AE$376</f>
        <v>166.17</v>
      </c>
      <c r="AZ376">
        <f>$H$376*$AF$376</f>
        <v>166.17</v>
      </c>
    </row>
    <row r="377" spans="1:52" x14ac:dyDescent="0.25">
      <c r="A377">
        <v>426</v>
      </c>
      <c r="B377" t="s">
        <v>5</v>
      </c>
      <c r="C377" t="s">
        <v>467</v>
      </c>
      <c r="D377">
        <v>38.68</v>
      </c>
      <c r="E377">
        <v>381</v>
      </c>
      <c r="F377" t="s">
        <v>349</v>
      </c>
      <c r="G377">
        <v>9.85</v>
      </c>
      <c r="H377">
        <v>457.2</v>
      </c>
      <c r="I377" t="s">
        <v>465</v>
      </c>
      <c r="J377" t="s">
        <v>372</v>
      </c>
      <c r="K377" t="s">
        <v>667</v>
      </c>
      <c r="L377" t="s">
        <v>179</v>
      </c>
      <c r="M377" t="s">
        <v>5</v>
      </c>
      <c r="N377" t="s">
        <v>12</v>
      </c>
      <c r="O377" t="s">
        <v>5</v>
      </c>
      <c r="P377">
        <v>0</v>
      </c>
      <c r="Q377">
        <v>0</v>
      </c>
      <c r="R377">
        <v>0</v>
      </c>
      <c r="S377">
        <v>1</v>
      </c>
      <c r="T377">
        <v>1</v>
      </c>
      <c r="U377">
        <v>1</v>
      </c>
      <c r="V377">
        <v>1</v>
      </c>
      <c r="W377">
        <v>1</v>
      </c>
      <c r="X377">
        <v>1</v>
      </c>
      <c r="Y377">
        <v>1</v>
      </c>
      <c r="Z377">
        <v>1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 t="s">
        <v>5</v>
      </c>
      <c r="AH377" t="s">
        <v>12</v>
      </c>
      <c r="AI377" t="s">
        <v>5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457.2</v>
      </c>
      <c r="AN377">
        <f>$H$377*$T$377</f>
        <v>457.2</v>
      </c>
      <c r="AO377">
        <f>$H$377*$U$377</f>
        <v>457.2</v>
      </c>
      <c r="AP377">
        <f>$H$377*$V$377</f>
        <v>457.2</v>
      </c>
      <c r="AQ377">
        <f>$H$377*$W$377</f>
        <v>457.2</v>
      </c>
      <c r="AR377">
        <f>$H$377*$X$377</f>
        <v>457.2</v>
      </c>
      <c r="AS377">
        <f>$H$377*$Y$377</f>
        <v>457.2</v>
      </c>
      <c r="AT377">
        <f>$H$377*$Z$377</f>
        <v>457.2</v>
      </c>
      <c r="AU377">
        <f>$H$377*$AA$377</f>
        <v>457.2</v>
      </c>
      <c r="AV377">
        <f>$H$377*$AB$377</f>
        <v>457.2</v>
      </c>
      <c r="AW377">
        <f>$H$377*$AC$377</f>
        <v>457.2</v>
      </c>
      <c r="AX377">
        <f>$H$377*$AD$377</f>
        <v>457.2</v>
      </c>
      <c r="AY377">
        <f>$H$377*$AE$377</f>
        <v>457.2</v>
      </c>
      <c r="AZ377">
        <f>$H$377*$AF$377</f>
        <v>457.2</v>
      </c>
    </row>
    <row r="378" spans="1:52" x14ac:dyDescent="0.25">
      <c r="A378">
        <v>427</v>
      </c>
      <c r="B378" t="s">
        <v>5</v>
      </c>
      <c r="C378" t="s">
        <v>468</v>
      </c>
      <c r="D378">
        <v>44.48</v>
      </c>
      <c r="E378">
        <v>45.37</v>
      </c>
      <c r="F378" t="s">
        <v>349</v>
      </c>
      <c r="G378">
        <v>1.02</v>
      </c>
      <c r="H378">
        <v>54.45</v>
      </c>
      <c r="I378" t="s">
        <v>469</v>
      </c>
      <c r="J378" t="s">
        <v>470</v>
      </c>
      <c r="K378" t="s">
        <v>668</v>
      </c>
      <c r="L378" t="s">
        <v>179</v>
      </c>
      <c r="M378" t="s">
        <v>5</v>
      </c>
      <c r="N378" t="s">
        <v>12</v>
      </c>
      <c r="O378" t="s">
        <v>5</v>
      </c>
      <c r="P378">
        <v>0</v>
      </c>
      <c r="Q378">
        <v>0</v>
      </c>
      <c r="R378">
        <v>0</v>
      </c>
      <c r="S378">
        <v>1</v>
      </c>
      <c r="T378">
        <v>1</v>
      </c>
      <c r="U378">
        <v>1</v>
      </c>
      <c r="V378">
        <v>1</v>
      </c>
      <c r="W378">
        <v>1</v>
      </c>
      <c r="X378">
        <v>1</v>
      </c>
      <c r="Y378">
        <v>1</v>
      </c>
      <c r="Z378">
        <v>1</v>
      </c>
      <c r="AA378">
        <v>1</v>
      </c>
      <c r="AB378">
        <v>1</v>
      </c>
      <c r="AC378">
        <v>1</v>
      </c>
      <c r="AD378">
        <v>1</v>
      </c>
      <c r="AE378">
        <v>1</v>
      </c>
      <c r="AF378">
        <v>1</v>
      </c>
      <c r="AG378" t="s">
        <v>5</v>
      </c>
      <c r="AH378" t="s">
        <v>12</v>
      </c>
      <c r="AI378" t="s">
        <v>5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54.45</v>
      </c>
      <c r="AN378">
        <f>$H$378*$T$378</f>
        <v>54.45</v>
      </c>
      <c r="AO378">
        <f>$H$378*$U$378</f>
        <v>54.45</v>
      </c>
      <c r="AP378">
        <f>$H$378*$V$378</f>
        <v>54.45</v>
      </c>
      <c r="AQ378">
        <f>$H$378*$W$378</f>
        <v>54.45</v>
      </c>
      <c r="AR378">
        <f>$H$378*$X$378</f>
        <v>54.45</v>
      </c>
      <c r="AS378">
        <f>$H$378*$Y$378</f>
        <v>54.45</v>
      </c>
      <c r="AT378">
        <f>$H$378*$Z$378</f>
        <v>54.45</v>
      </c>
      <c r="AU378">
        <f>$H$378*$AA$378</f>
        <v>54.45</v>
      </c>
      <c r="AV378">
        <f>$H$378*$AB$378</f>
        <v>54.45</v>
      </c>
      <c r="AW378">
        <f>$H$378*$AC$378</f>
        <v>54.45</v>
      </c>
      <c r="AX378">
        <f>$H$378*$AD$378</f>
        <v>54.45</v>
      </c>
      <c r="AY378">
        <f>$H$378*$AE$378</f>
        <v>54.45</v>
      </c>
      <c r="AZ378">
        <f>$H$378*$AF$378</f>
        <v>54.45</v>
      </c>
    </row>
    <row r="379" spans="1:52" x14ac:dyDescent="0.25">
      <c r="A379">
        <v>428</v>
      </c>
      <c r="B379" t="s">
        <v>5</v>
      </c>
      <c r="C379" t="s">
        <v>471</v>
      </c>
      <c r="D379">
        <v>44.48</v>
      </c>
      <c r="E379">
        <v>410.55</v>
      </c>
      <c r="F379" t="s">
        <v>349</v>
      </c>
      <c r="G379">
        <v>9.23</v>
      </c>
      <c r="H379">
        <v>492.67</v>
      </c>
      <c r="I379" t="s">
        <v>469</v>
      </c>
      <c r="J379" t="s">
        <v>463</v>
      </c>
      <c r="K379" t="s">
        <v>669</v>
      </c>
      <c r="L379" t="s">
        <v>179</v>
      </c>
      <c r="M379" t="s">
        <v>5</v>
      </c>
      <c r="N379" t="s">
        <v>12</v>
      </c>
      <c r="O379" t="s">
        <v>5</v>
      </c>
      <c r="P379">
        <v>0</v>
      </c>
      <c r="Q379">
        <v>0</v>
      </c>
      <c r="R379">
        <v>0</v>
      </c>
      <c r="S379">
        <v>1</v>
      </c>
      <c r="T379">
        <v>1</v>
      </c>
      <c r="U379">
        <v>1</v>
      </c>
      <c r="V379">
        <v>1</v>
      </c>
      <c r="W379">
        <v>1</v>
      </c>
      <c r="X379">
        <v>1</v>
      </c>
      <c r="Y379">
        <v>1</v>
      </c>
      <c r="Z379">
        <v>1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5</v>
      </c>
      <c r="AH379" t="s">
        <v>12</v>
      </c>
      <c r="AI379" t="s">
        <v>5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492.67</v>
      </c>
      <c r="AN379">
        <f>$H$379*$T$379</f>
        <v>492.67</v>
      </c>
      <c r="AO379">
        <f>$H$379*$U$379</f>
        <v>492.67</v>
      </c>
      <c r="AP379">
        <f>$H$379*$V$379</f>
        <v>492.67</v>
      </c>
      <c r="AQ379">
        <f>$H$379*$W$379</f>
        <v>492.67</v>
      </c>
      <c r="AR379">
        <f>$H$379*$X$379</f>
        <v>492.67</v>
      </c>
      <c r="AS379">
        <f>$H$379*$Y$379</f>
        <v>492.67</v>
      </c>
      <c r="AT379">
        <f>$H$379*$Z$379</f>
        <v>492.67</v>
      </c>
      <c r="AU379">
        <f>$H$379*$AA$379</f>
        <v>492.67</v>
      </c>
      <c r="AV379">
        <f>$H$379*$AB$379</f>
        <v>492.67</v>
      </c>
      <c r="AW379">
        <f>$H$379*$AC$379</f>
        <v>492.67</v>
      </c>
      <c r="AX379">
        <f>$H$379*$AD$379</f>
        <v>492.67</v>
      </c>
      <c r="AY379">
        <f>$H$379*$AE$379</f>
        <v>492.67</v>
      </c>
      <c r="AZ379">
        <f>$H$379*$AF$379</f>
        <v>492.67</v>
      </c>
    </row>
    <row r="380" spans="1:52" x14ac:dyDescent="0.25">
      <c r="A380">
        <v>429</v>
      </c>
      <c r="B380" t="s">
        <v>292</v>
      </c>
      <c r="C380" t="s">
        <v>435</v>
      </c>
      <c r="D380">
        <v>11</v>
      </c>
      <c r="E380">
        <v>145.97</v>
      </c>
      <c r="F380" t="s">
        <v>335</v>
      </c>
      <c r="G380">
        <v>13.27</v>
      </c>
      <c r="H380">
        <v>175.17</v>
      </c>
      <c r="I380" t="s">
        <v>337</v>
      </c>
      <c r="J380" t="s">
        <v>436</v>
      </c>
      <c r="K380" t="s">
        <v>652</v>
      </c>
      <c r="L380" t="s">
        <v>179</v>
      </c>
      <c r="M380" t="s">
        <v>292</v>
      </c>
      <c r="N380" t="s">
        <v>12</v>
      </c>
      <c r="O380" t="s">
        <v>14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1</v>
      </c>
      <c r="Y380">
        <v>1</v>
      </c>
      <c r="Z380">
        <v>1</v>
      </c>
      <c r="AA380">
        <v>1</v>
      </c>
      <c r="AB380">
        <v>1</v>
      </c>
      <c r="AC380">
        <v>1</v>
      </c>
      <c r="AD380">
        <v>1</v>
      </c>
      <c r="AE380">
        <v>1</v>
      </c>
      <c r="AF380">
        <v>1</v>
      </c>
      <c r="AG380" t="s">
        <v>292</v>
      </c>
      <c r="AH380" t="s">
        <v>12</v>
      </c>
      <c r="AI380" t="s">
        <v>14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0</v>
      </c>
      <c r="AN380">
        <f>$H$380*$T$380</f>
        <v>0</v>
      </c>
      <c r="AO380">
        <f>$H$380*$U$380</f>
        <v>0</v>
      </c>
      <c r="AP380">
        <f>$H$380*$V$380</f>
        <v>0</v>
      </c>
      <c r="AQ380">
        <f>$H$380*$W$380</f>
        <v>0</v>
      </c>
      <c r="AR380">
        <f>$H$380*$X$380</f>
        <v>175.17</v>
      </c>
      <c r="AS380">
        <f>$H$380*$Y$380</f>
        <v>175.17</v>
      </c>
      <c r="AT380">
        <f>$H$380*$Z$380</f>
        <v>175.17</v>
      </c>
      <c r="AU380">
        <f>$H$380*$AA$380</f>
        <v>175.17</v>
      </c>
      <c r="AV380">
        <f>$H$380*$AB$380</f>
        <v>175.17</v>
      </c>
      <c r="AW380">
        <f>$H$380*$AC$380</f>
        <v>175.17</v>
      </c>
      <c r="AX380">
        <f>$H$380*$AD$380</f>
        <v>175.17</v>
      </c>
      <c r="AY380">
        <f>$H$380*$AE$380</f>
        <v>175.17</v>
      </c>
      <c r="AZ380">
        <f>$H$380*$AF$380</f>
        <v>175.17</v>
      </c>
    </row>
    <row r="381" spans="1:52" x14ac:dyDescent="0.25">
      <c r="A381">
        <v>430</v>
      </c>
      <c r="B381" t="s">
        <v>292</v>
      </c>
      <c r="C381" t="s">
        <v>437</v>
      </c>
      <c r="D381">
        <v>1</v>
      </c>
      <c r="E381">
        <v>98.82</v>
      </c>
      <c r="F381" t="s">
        <v>335</v>
      </c>
      <c r="G381">
        <v>98.82</v>
      </c>
      <c r="H381">
        <v>118.58</v>
      </c>
      <c r="I381" t="s">
        <v>340</v>
      </c>
      <c r="J381" t="s">
        <v>372</v>
      </c>
      <c r="K381" t="s">
        <v>653</v>
      </c>
      <c r="L381" t="s">
        <v>179</v>
      </c>
      <c r="M381" t="s">
        <v>292</v>
      </c>
      <c r="N381" t="s">
        <v>12</v>
      </c>
      <c r="O381" t="s">
        <v>14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1</v>
      </c>
      <c r="AE381">
        <v>1</v>
      </c>
      <c r="AF381">
        <v>1</v>
      </c>
      <c r="AG381" t="s">
        <v>292</v>
      </c>
      <c r="AH381" t="s">
        <v>12</v>
      </c>
      <c r="AI381" t="s">
        <v>14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0</v>
      </c>
      <c r="AN381">
        <f>$H$381*$T$381</f>
        <v>0</v>
      </c>
      <c r="AO381">
        <f>$H$381*$U$381</f>
        <v>0</v>
      </c>
      <c r="AP381">
        <f>$H$381*$V$381</f>
        <v>0</v>
      </c>
      <c r="AQ381">
        <f>$H$381*$W$381</f>
        <v>0</v>
      </c>
      <c r="AR381">
        <f>$H$381*$X$381</f>
        <v>0</v>
      </c>
      <c r="AS381">
        <f>$H$381*$Y$381</f>
        <v>0</v>
      </c>
      <c r="AT381">
        <f>$H$381*$Z$381</f>
        <v>0</v>
      </c>
      <c r="AU381">
        <f>$H$381*$AA$381</f>
        <v>0</v>
      </c>
      <c r="AV381">
        <f>$H$381*$AB$381</f>
        <v>0</v>
      </c>
      <c r="AW381">
        <f>$H$381*$AC$381</f>
        <v>0</v>
      </c>
      <c r="AX381">
        <f>$H$381*$AD$381</f>
        <v>118.58</v>
      </c>
      <c r="AY381">
        <f>$H$381*$AE$381</f>
        <v>118.58</v>
      </c>
      <c r="AZ381">
        <f>$H$381*$AF$381</f>
        <v>118.58</v>
      </c>
    </row>
    <row r="382" spans="1:52" x14ac:dyDescent="0.25">
      <c r="A382">
        <v>431</v>
      </c>
      <c r="B382" t="s">
        <v>292</v>
      </c>
      <c r="C382" t="s">
        <v>438</v>
      </c>
      <c r="D382">
        <v>26.73</v>
      </c>
      <c r="E382">
        <v>70.03</v>
      </c>
      <c r="F382" t="s">
        <v>329</v>
      </c>
      <c r="G382">
        <v>2.62</v>
      </c>
      <c r="H382">
        <v>84.03</v>
      </c>
      <c r="I382" t="s">
        <v>439</v>
      </c>
      <c r="J382" t="s">
        <v>440</v>
      </c>
      <c r="K382" t="s">
        <v>654</v>
      </c>
      <c r="L382" t="s">
        <v>179</v>
      </c>
      <c r="M382" t="s">
        <v>292</v>
      </c>
      <c r="N382" t="s">
        <v>12</v>
      </c>
      <c r="O382" t="s">
        <v>14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292</v>
      </c>
      <c r="AH382" t="s">
        <v>12</v>
      </c>
      <c r="AI382" t="s">
        <v>14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0</v>
      </c>
      <c r="AN382">
        <f>$H$382*$T$382</f>
        <v>0</v>
      </c>
      <c r="AO382">
        <f>$H$382*$U$382</f>
        <v>0</v>
      </c>
      <c r="AP382">
        <f>$H$382*$V$382</f>
        <v>0</v>
      </c>
      <c r="AQ382">
        <f>$H$382*$W$382</f>
        <v>0</v>
      </c>
      <c r="AR382">
        <f>$H$382*$X$382</f>
        <v>0</v>
      </c>
      <c r="AS382">
        <f>$H$382*$Y$382</f>
        <v>0</v>
      </c>
      <c r="AT382">
        <f>$H$382*$Z$382</f>
        <v>0</v>
      </c>
      <c r="AU382">
        <f>$H$382*$AA$382</f>
        <v>84.03</v>
      </c>
      <c r="AV382">
        <f>$H$382*$AB$382</f>
        <v>84.03</v>
      </c>
      <c r="AW382">
        <f>$H$382*$AC$382</f>
        <v>84.03</v>
      </c>
      <c r="AX382">
        <f>$H$382*$AD$382</f>
        <v>84.03</v>
      </c>
      <c r="AY382">
        <f>$H$382*$AE$382</f>
        <v>84.03</v>
      </c>
      <c r="AZ382">
        <f>$H$382*$AF$382</f>
        <v>84.03</v>
      </c>
    </row>
    <row r="383" spans="1:52" x14ac:dyDescent="0.25">
      <c r="A383">
        <v>432</v>
      </c>
      <c r="B383" t="s">
        <v>292</v>
      </c>
      <c r="C383" t="s">
        <v>441</v>
      </c>
      <c r="D383">
        <v>240.6</v>
      </c>
      <c r="E383">
        <v>519.70000000000005</v>
      </c>
      <c r="F383" t="s">
        <v>349</v>
      </c>
      <c r="G383">
        <v>2.16</v>
      </c>
      <c r="H383">
        <v>623.64</v>
      </c>
      <c r="I383" t="s">
        <v>439</v>
      </c>
      <c r="J383" t="s">
        <v>442</v>
      </c>
      <c r="K383" t="s">
        <v>655</v>
      </c>
      <c r="L383" t="s">
        <v>179</v>
      </c>
      <c r="M383" t="s">
        <v>292</v>
      </c>
      <c r="N383" t="s">
        <v>12</v>
      </c>
      <c r="O383" t="s">
        <v>14</v>
      </c>
      <c r="P383">
        <v>0</v>
      </c>
      <c r="Q383">
        <v>0</v>
      </c>
      <c r="R383">
        <v>0</v>
      </c>
      <c r="S383">
        <v>1</v>
      </c>
      <c r="T383">
        <v>1</v>
      </c>
      <c r="U383">
        <v>1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292</v>
      </c>
      <c r="AH383" t="s">
        <v>12</v>
      </c>
      <c r="AI383" t="s">
        <v>14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623.64</v>
      </c>
      <c r="AN383">
        <f>$H$383*$T$383</f>
        <v>623.64</v>
      </c>
      <c r="AO383">
        <f>$H$383*$U$383</f>
        <v>623.64</v>
      </c>
      <c r="AP383">
        <f>$H$383*$V$383</f>
        <v>623.64</v>
      </c>
      <c r="AQ383">
        <f>$H$383*$W$383</f>
        <v>623.64</v>
      </c>
      <c r="AR383">
        <f>$H$383*$X$383</f>
        <v>623.64</v>
      </c>
      <c r="AS383">
        <f>$H$383*$Y$383</f>
        <v>623.64</v>
      </c>
      <c r="AT383">
        <f>$H$383*$Z$383</f>
        <v>623.64</v>
      </c>
      <c r="AU383">
        <f>$H$383*$AA$383</f>
        <v>623.64</v>
      </c>
      <c r="AV383">
        <f>$H$383*$AB$383</f>
        <v>623.64</v>
      </c>
      <c r="AW383">
        <f>$H$383*$AC$383</f>
        <v>623.64</v>
      </c>
      <c r="AX383">
        <f>$H$383*$AD$383</f>
        <v>623.64</v>
      </c>
      <c r="AY383">
        <f>$H$383*$AE$383</f>
        <v>623.64</v>
      </c>
      <c r="AZ383">
        <f>$H$383*$AF$383</f>
        <v>623.64</v>
      </c>
    </row>
    <row r="384" spans="1:52" x14ac:dyDescent="0.25">
      <c r="A384">
        <v>433</v>
      </c>
      <c r="B384" t="s">
        <v>292</v>
      </c>
      <c r="C384" t="s">
        <v>443</v>
      </c>
      <c r="D384">
        <v>240.6</v>
      </c>
      <c r="E384">
        <v>151.58000000000001</v>
      </c>
      <c r="F384" t="s">
        <v>349</v>
      </c>
      <c r="G384">
        <v>0.63</v>
      </c>
      <c r="H384">
        <v>181.9</v>
      </c>
      <c r="I384" t="s">
        <v>330</v>
      </c>
      <c r="J384" t="s">
        <v>444</v>
      </c>
      <c r="K384" t="s">
        <v>656</v>
      </c>
      <c r="L384" t="s">
        <v>179</v>
      </c>
      <c r="M384" t="s">
        <v>292</v>
      </c>
      <c r="N384" t="s">
        <v>12</v>
      </c>
      <c r="O384" t="s">
        <v>14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1</v>
      </c>
      <c r="AE384">
        <v>1</v>
      </c>
      <c r="AF384">
        <v>1</v>
      </c>
      <c r="AG384" t="s">
        <v>292</v>
      </c>
      <c r="AH384" t="s">
        <v>12</v>
      </c>
      <c r="AI384" t="s">
        <v>14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0</v>
      </c>
      <c r="AN384">
        <f>$H$384*$T$384</f>
        <v>0</v>
      </c>
      <c r="AO384">
        <f>$H$384*$U$384</f>
        <v>0</v>
      </c>
      <c r="AP384">
        <f>$H$384*$V$384</f>
        <v>0</v>
      </c>
      <c r="AQ384">
        <f>$H$384*$W$384</f>
        <v>0</v>
      </c>
      <c r="AR384">
        <f>$H$384*$X$384</f>
        <v>0</v>
      </c>
      <c r="AS384">
        <f>$H$384*$Y$384</f>
        <v>0</v>
      </c>
      <c r="AT384">
        <f>$H$384*$Z$384</f>
        <v>0</v>
      </c>
      <c r="AU384">
        <f>$H$384*$AA$384</f>
        <v>0</v>
      </c>
      <c r="AV384">
        <f>$H$384*$AB$384</f>
        <v>0</v>
      </c>
      <c r="AW384">
        <f>$H$384*$AC$384</f>
        <v>0</v>
      </c>
      <c r="AX384">
        <f>$H$384*$AD$384</f>
        <v>181.9</v>
      </c>
      <c r="AY384">
        <f>$H$384*$AE$384</f>
        <v>181.9</v>
      </c>
      <c r="AZ384">
        <f>$H$384*$AF$384</f>
        <v>181.9</v>
      </c>
    </row>
    <row r="385" spans="1:52" x14ac:dyDescent="0.25">
      <c r="A385">
        <v>434</v>
      </c>
      <c r="B385" t="s">
        <v>292</v>
      </c>
      <c r="C385" t="s">
        <v>362</v>
      </c>
      <c r="D385">
        <v>300.75</v>
      </c>
      <c r="E385">
        <v>294.74</v>
      </c>
      <c r="F385" t="s">
        <v>349</v>
      </c>
      <c r="G385">
        <v>0.98</v>
      </c>
      <c r="H385">
        <v>353.68</v>
      </c>
      <c r="I385" t="s">
        <v>330</v>
      </c>
      <c r="J385" t="s">
        <v>363</v>
      </c>
      <c r="K385" t="s">
        <v>617</v>
      </c>
      <c r="L385" t="s">
        <v>179</v>
      </c>
      <c r="M385" t="s">
        <v>292</v>
      </c>
      <c r="N385" t="s">
        <v>12</v>
      </c>
      <c r="O385" t="s">
        <v>14</v>
      </c>
      <c r="P385">
        <v>0</v>
      </c>
      <c r="Q385">
        <v>0</v>
      </c>
      <c r="R385">
        <v>0</v>
      </c>
      <c r="S385">
        <v>0</v>
      </c>
      <c r="T385">
        <v>1</v>
      </c>
      <c r="U385">
        <v>1</v>
      </c>
      <c r="V385">
        <v>1</v>
      </c>
      <c r="W385">
        <v>1</v>
      </c>
      <c r="X385">
        <v>1</v>
      </c>
      <c r="Y385">
        <v>1</v>
      </c>
      <c r="Z385">
        <v>1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292</v>
      </c>
      <c r="AH385" t="s">
        <v>12</v>
      </c>
      <c r="AI385" t="s">
        <v>14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0</v>
      </c>
      <c r="AN385">
        <f>$H$385*$T$385</f>
        <v>353.68</v>
      </c>
      <c r="AO385">
        <f>$H$385*$U$385</f>
        <v>353.68</v>
      </c>
      <c r="AP385">
        <f>$H$385*$V$385</f>
        <v>353.68</v>
      </c>
      <c r="AQ385">
        <f>$H$385*$W$385</f>
        <v>353.68</v>
      </c>
      <c r="AR385">
        <f>$H$385*$X$385</f>
        <v>353.68</v>
      </c>
      <c r="AS385">
        <f>$H$385*$Y$385</f>
        <v>353.68</v>
      </c>
      <c r="AT385">
        <f>$H$385*$Z$385</f>
        <v>353.68</v>
      </c>
      <c r="AU385">
        <f>$H$385*$AA$385</f>
        <v>353.68</v>
      </c>
      <c r="AV385">
        <f>$H$385*$AB$385</f>
        <v>353.68</v>
      </c>
      <c r="AW385">
        <f>$H$385*$AC$385</f>
        <v>353.68</v>
      </c>
      <c r="AX385">
        <f>$H$385*$AD$385</f>
        <v>353.68</v>
      </c>
      <c r="AY385">
        <f>$H$385*$AE$385</f>
        <v>353.68</v>
      </c>
      <c r="AZ385">
        <f>$H$385*$AF$385</f>
        <v>353.68</v>
      </c>
    </row>
    <row r="386" spans="1:52" x14ac:dyDescent="0.25">
      <c r="A386">
        <v>435</v>
      </c>
      <c r="B386" t="s">
        <v>292</v>
      </c>
      <c r="C386" t="s">
        <v>445</v>
      </c>
      <c r="D386">
        <v>60.15</v>
      </c>
      <c r="E386">
        <v>226.16</v>
      </c>
      <c r="F386" t="s">
        <v>349</v>
      </c>
      <c r="G386">
        <v>3.76</v>
      </c>
      <c r="H386">
        <v>271.39999999999998</v>
      </c>
      <c r="I386" t="s">
        <v>446</v>
      </c>
      <c r="J386" t="s">
        <v>420</v>
      </c>
      <c r="K386" t="s">
        <v>657</v>
      </c>
      <c r="L386" t="s">
        <v>179</v>
      </c>
      <c r="M386" t="s">
        <v>292</v>
      </c>
      <c r="N386" t="s">
        <v>12</v>
      </c>
      <c r="O386" t="s">
        <v>14</v>
      </c>
      <c r="P386">
        <v>0</v>
      </c>
      <c r="Q386">
        <v>0</v>
      </c>
      <c r="R386">
        <v>0</v>
      </c>
      <c r="S386">
        <v>0.25</v>
      </c>
      <c r="T386">
        <v>0.25</v>
      </c>
      <c r="U386">
        <v>0.25</v>
      </c>
      <c r="V386">
        <v>0.25</v>
      </c>
      <c r="W386">
        <v>0.25</v>
      </c>
      <c r="X386">
        <v>0.5</v>
      </c>
      <c r="Y386">
        <v>0.5</v>
      </c>
      <c r="Z386">
        <v>0.5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292</v>
      </c>
      <c r="AH386" t="s">
        <v>12</v>
      </c>
      <c r="AI386" t="s">
        <v>14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67.849999999999994</v>
      </c>
      <c r="AN386">
        <f>$H$386*$T$386</f>
        <v>67.849999999999994</v>
      </c>
      <c r="AO386">
        <f>$H$386*$U$386</f>
        <v>67.849999999999994</v>
      </c>
      <c r="AP386">
        <f>$H$386*$V$386</f>
        <v>67.849999999999994</v>
      </c>
      <c r="AQ386">
        <f>$H$386*$W$386</f>
        <v>67.849999999999994</v>
      </c>
      <c r="AR386">
        <f>$H$386*$X$386</f>
        <v>135.69999999999999</v>
      </c>
      <c r="AS386">
        <f>$H$386*$Y$386</f>
        <v>135.69999999999999</v>
      </c>
      <c r="AT386">
        <f>$H$386*$Z$386</f>
        <v>135.69999999999999</v>
      </c>
      <c r="AU386">
        <f>$H$386*$AA$386</f>
        <v>271.39999999999998</v>
      </c>
      <c r="AV386">
        <f>$H$386*$AB$386</f>
        <v>271.39999999999998</v>
      </c>
      <c r="AW386">
        <f>$H$386*$AC$386</f>
        <v>271.39999999999998</v>
      </c>
      <c r="AX386">
        <f>$H$386*$AD$386</f>
        <v>271.39999999999998</v>
      </c>
      <c r="AY386">
        <f>$H$386*$AE$386</f>
        <v>271.39999999999998</v>
      </c>
      <c r="AZ386">
        <f>$H$386*$AF$386</f>
        <v>271.39999999999998</v>
      </c>
    </row>
    <row r="387" spans="1:52" x14ac:dyDescent="0.25">
      <c r="A387">
        <v>436</v>
      </c>
      <c r="B387" t="s">
        <v>292</v>
      </c>
      <c r="C387" t="s">
        <v>364</v>
      </c>
      <c r="D387">
        <v>601.5</v>
      </c>
      <c r="E387">
        <v>2021.04</v>
      </c>
      <c r="F387" t="s">
        <v>349</v>
      </c>
      <c r="G387">
        <v>3.36</v>
      </c>
      <c r="H387">
        <v>2425.2399999999998</v>
      </c>
      <c r="I387" t="s">
        <v>365</v>
      </c>
      <c r="J387" t="s">
        <v>366</v>
      </c>
      <c r="K387" t="s">
        <v>618</v>
      </c>
      <c r="L387" t="s">
        <v>179</v>
      </c>
      <c r="M387" t="s">
        <v>292</v>
      </c>
      <c r="N387" t="s">
        <v>12</v>
      </c>
      <c r="O387" t="s">
        <v>14</v>
      </c>
      <c r="P387">
        <v>0</v>
      </c>
      <c r="Q387">
        <v>0</v>
      </c>
      <c r="R387">
        <v>0</v>
      </c>
      <c r="S387">
        <v>0.25</v>
      </c>
      <c r="T387">
        <v>0.25</v>
      </c>
      <c r="U387">
        <v>0.25</v>
      </c>
      <c r="V387">
        <v>0.25</v>
      </c>
      <c r="W387">
        <v>0.5</v>
      </c>
      <c r="X387">
        <v>0.5</v>
      </c>
      <c r="Y387">
        <v>0.5</v>
      </c>
      <c r="Z387">
        <v>0.5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292</v>
      </c>
      <c r="AH387" t="s">
        <v>12</v>
      </c>
      <c r="AI387" t="s">
        <v>14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606.30999999999995</v>
      </c>
      <c r="AN387">
        <f>$H$387*$T$387</f>
        <v>606.30999999999995</v>
      </c>
      <c r="AO387">
        <f>$H$387*$U$387</f>
        <v>606.30999999999995</v>
      </c>
      <c r="AP387">
        <f>$H$387*$V$387</f>
        <v>606.30999999999995</v>
      </c>
      <c r="AQ387">
        <f>$H$387*$W$387</f>
        <v>1212.6199999999999</v>
      </c>
      <c r="AR387">
        <f>$H$387*$X$387</f>
        <v>1212.6199999999999</v>
      </c>
      <c r="AS387">
        <f>$H$387*$Y$387</f>
        <v>1212.6199999999999</v>
      </c>
      <c r="AT387">
        <f>$H$387*$Z$387</f>
        <v>1212.6199999999999</v>
      </c>
      <c r="AU387">
        <f>$H$387*$AA$387</f>
        <v>2425.2399999999998</v>
      </c>
      <c r="AV387">
        <f>$H$387*$AB$387</f>
        <v>2425.2399999999998</v>
      </c>
      <c r="AW387">
        <f>$H$387*$AC$387</f>
        <v>2425.2399999999998</v>
      </c>
      <c r="AX387">
        <f>$H$387*$AD$387</f>
        <v>2425.2399999999998</v>
      </c>
      <c r="AY387">
        <f>$H$387*$AE$387</f>
        <v>2425.2399999999998</v>
      </c>
      <c r="AZ387">
        <f>$H$387*$AF$387</f>
        <v>2425.2399999999998</v>
      </c>
    </row>
    <row r="388" spans="1:52" x14ac:dyDescent="0.25">
      <c r="A388">
        <v>437</v>
      </c>
      <c r="B388" t="s">
        <v>292</v>
      </c>
      <c r="C388" t="s">
        <v>527</v>
      </c>
      <c r="D388">
        <v>19.670000000000002</v>
      </c>
      <c r="E388">
        <v>160.9</v>
      </c>
      <c r="F388" t="s">
        <v>329</v>
      </c>
      <c r="G388">
        <v>8.18</v>
      </c>
      <c r="H388">
        <v>193.08</v>
      </c>
      <c r="I388" t="s">
        <v>333</v>
      </c>
      <c r="J388" t="s">
        <v>528</v>
      </c>
      <c r="K388" t="s">
        <v>696</v>
      </c>
      <c r="L388" t="s">
        <v>179</v>
      </c>
      <c r="M388" t="s">
        <v>292</v>
      </c>
      <c r="N388" t="s">
        <v>12</v>
      </c>
      <c r="O388" t="s">
        <v>14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292</v>
      </c>
      <c r="AH388" t="s">
        <v>12</v>
      </c>
      <c r="AI388" t="s">
        <v>14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0</v>
      </c>
      <c r="AN388">
        <f>$H$388*$T$388</f>
        <v>0</v>
      </c>
      <c r="AO388">
        <f>$H$388*$U$388</f>
        <v>0</v>
      </c>
      <c r="AP388">
        <f>$H$388*$V$388</f>
        <v>0</v>
      </c>
      <c r="AQ388">
        <f>$H$388*$W$388</f>
        <v>0</v>
      </c>
      <c r="AR388">
        <f>$H$388*$X$388</f>
        <v>0</v>
      </c>
      <c r="AS388">
        <f>$H$388*$Y$388</f>
        <v>0</v>
      </c>
      <c r="AT388">
        <f>$H$388*$Z$388</f>
        <v>0</v>
      </c>
      <c r="AU388">
        <f>$H$388*$AA$388</f>
        <v>193.08</v>
      </c>
      <c r="AV388">
        <f>$H$388*$AB$388</f>
        <v>193.08</v>
      </c>
      <c r="AW388">
        <f>$H$388*$AC$388</f>
        <v>193.08</v>
      </c>
      <c r="AX388">
        <f>$H$388*$AD$388</f>
        <v>193.08</v>
      </c>
      <c r="AY388">
        <f>$H$388*$AE$388</f>
        <v>193.08</v>
      </c>
      <c r="AZ388">
        <f>$H$388*$AF$388</f>
        <v>193.08</v>
      </c>
    </row>
    <row r="389" spans="1:52" x14ac:dyDescent="0.25">
      <c r="A389">
        <v>438</v>
      </c>
      <c r="B389" t="s">
        <v>292</v>
      </c>
      <c r="C389" t="s">
        <v>529</v>
      </c>
      <c r="D389">
        <v>39.33</v>
      </c>
      <c r="E389">
        <v>599.78</v>
      </c>
      <c r="F389" t="s">
        <v>329</v>
      </c>
      <c r="G389">
        <v>15.25</v>
      </c>
      <c r="H389">
        <v>719.74</v>
      </c>
      <c r="I389" t="s">
        <v>333</v>
      </c>
      <c r="J389" t="s">
        <v>530</v>
      </c>
      <c r="K389" t="s">
        <v>697</v>
      </c>
      <c r="L389" t="s">
        <v>179</v>
      </c>
      <c r="M389" t="s">
        <v>292</v>
      </c>
      <c r="N389" t="s">
        <v>12</v>
      </c>
      <c r="O389" t="s">
        <v>14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1</v>
      </c>
      <c r="AB389">
        <v>1</v>
      </c>
      <c r="AC389">
        <v>1</v>
      </c>
      <c r="AD389">
        <v>1</v>
      </c>
      <c r="AE389">
        <v>1</v>
      </c>
      <c r="AF389">
        <v>1</v>
      </c>
      <c r="AG389" t="s">
        <v>292</v>
      </c>
      <c r="AH389" t="s">
        <v>12</v>
      </c>
      <c r="AI389" t="s">
        <v>14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0</v>
      </c>
      <c r="AN389">
        <f>$H$389*$T$389</f>
        <v>0</v>
      </c>
      <c r="AO389">
        <f>$H$389*$U$389</f>
        <v>0</v>
      </c>
      <c r="AP389">
        <f>$H$389*$V$389</f>
        <v>0</v>
      </c>
      <c r="AQ389">
        <f>$H$389*$W$389</f>
        <v>0</v>
      </c>
      <c r="AR389">
        <f>$H$389*$X$389</f>
        <v>0</v>
      </c>
      <c r="AS389">
        <f>$H$389*$Y$389</f>
        <v>0</v>
      </c>
      <c r="AT389">
        <f>$H$389*$Z$389</f>
        <v>0</v>
      </c>
      <c r="AU389">
        <f>$H$389*$AA$389</f>
        <v>719.74</v>
      </c>
      <c r="AV389">
        <f>$H$389*$AB$389</f>
        <v>719.74</v>
      </c>
      <c r="AW389">
        <f>$H$389*$AC$389</f>
        <v>719.74</v>
      </c>
      <c r="AX389">
        <f>$H$389*$AD$389</f>
        <v>719.74</v>
      </c>
      <c r="AY389">
        <f>$H$389*$AE$389</f>
        <v>719.74</v>
      </c>
      <c r="AZ389">
        <f>$H$389*$AF$389</f>
        <v>719.74</v>
      </c>
    </row>
    <row r="390" spans="1:52" x14ac:dyDescent="0.25">
      <c r="A390">
        <v>440</v>
      </c>
      <c r="B390" t="s">
        <v>292</v>
      </c>
      <c r="C390" t="s">
        <v>447</v>
      </c>
      <c r="D390">
        <v>66.83</v>
      </c>
      <c r="E390">
        <v>69.5</v>
      </c>
      <c r="F390" t="s">
        <v>329</v>
      </c>
      <c r="G390">
        <v>1.04</v>
      </c>
      <c r="H390">
        <v>83.4</v>
      </c>
      <c r="I390" t="s">
        <v>330</v>
      </c>
      <c r="J390" t="s">
        <v>448</v>
      </c>
      <c r="K390" t="s">
        <v>658</v>
      </c>
      <c r="L390" t="s">
        <v>179</v>
      </c>
      <c r="M390" t="s">
        <v>292</v>
      </c>
      <c r="N390" t="s">
        <v>12</v>
      </c>
      <c r="O390" t="s">
        <v>14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292</v>
      </c>
      <c r="AH390" t="s">
        <v>12</v>
      </c>
      <c r="AI390" t="s">
        <v>14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0</v>
      </c>
      <c r="AN390">
        <f>$H$390*$T$390</f>
        <v>0</v>
      </c>
      <c r="AO390">
        <f>$H$390*$U$390</f>
        <v>0</v>
      </c>
      <c r="AP390">
        <f>$H$390*$V$390</f>
        <v>0</v>
      </c>
      <c r="AQ390">
        <f>$H$390*$W$390</f>
        <v>0</v>
      </c>
      <c r="AR390">
        <f>$H$390*$X$390</f>
        <v>0</v>
      </c>
      <c r="AS390">
        <f>$H$390*$Y$390</f>
        <v>0</v>
      </c>
      <c r="AT390">
        <f>$H$390*$Z$390</f>
        <v>0</v>
      </c>
      <c r="AU390">
        <f>$H$390*$AA$390</f>
        <v>83.4</v>
      </c>
      <c r="AV390">
        <f>$H$390*$AB$390</f>
        <v>83.4</v>
      </c>
      <c r="AW390">
        <f>$H$390*$AC$390</f>
        <v>83.4</v>
      </c>
      <c r="AX390">
        <f>$H$390*$AD$390</f>
        <v>83.4</v>
      </c>
      <c r="AY390">
        <f>$H$390*$AE$390</f>
        <v>83.4</v>
      </c>
      <c r="AZ390">
        <f>$H$390*$AF$390</f>
        <v>83.4</v>
      </c>
    </row>
    <row r="391" spans="1:52" x14ac:dyDescent="0.25">
      <c r="A391">
        <v>441</v>
      </c>
      <c r="B391" t="s">
        <v>292</v>
      </c>
      <c r="C391" t="s">
        <v>449</v>
      </c>
      <c r="D391">
        <v>66.83</v>
      </c>
      <c r="E391">
        <v>535.98</v>
      </c>
      <c r="F391" t="s">
        <v>329</v>
      </c>
      <c r="G391">
        <v>8.02</v>
      </c>
      <c r="H391">
        <v>643.17999999999995</v>
      </c>
      <c r="I391" t="s">
        <v>333</v>
      </c>
      <c r="J391" t="s">
        <v>450</v>
      </c>
      <c r="K391" t="s">
        <v>659</v>
      </c>
      <c r="L391" t="s">
        <v>179</v>
      </c>
      <c r="M391" t="s">
        <v>292</v>
      </c>
      <c r="N391" t="s">
        <v>12</v>
      </c>
      <c r="O391" t="s">
        <v>14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292</v>
      </c>
      <c r="AH391" t="s">
        <v>12</v>
      </c>
      <c r="AI391" t="s">
        <v>14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0</v>
      </c>
      <c r="AN391">
        <f>$H$391*$T$391</f>
        <v>0</v>
      </c>
      <c r="AO391">
        <f>$H$391*$U$391</f>
        <v>0</v>
      </c>
      <c r="AP391">
        <f>$H$391*$V$391</f>
        <v>0</v>
      </c>
      <c r="AQ391">
        <f>$H$391*$W$391</f>
        <v>0</v>
      </c>
      <c r="AR391">
        <f>$H$391*$X$391</f>
        <v>0</v>
      </c>
      <c r="AS391">
        <f>$H$391*$Y$391</f>
        <v>0</v>
      </c>
      <c r="AT391">
        <f>$H$391*$Z$391</f>
        <v>0</v>
      </c>
      <c r="AU391">
        <f>$H$391*$AA$391</f>
        <v>643.17999999999995</v>
      </c>
      <c r="AV391">
        <f>$H$391*$AB$391</f>
        <v>643.17999999999995</v>
      </c>
      <c r="AW391">
        <f>$H$391*$AC$391</f>
        <v>643.17999999999995</v>
      </c>
      <c r="AX391">
        <f>$H$391*$AD$391</f>
        <v>643.17999999999995</v>
      </c>
      <c r="AY391">
        <f>$H$391*$AE$391</f>
        <v>643.17999999999995</v>
      </c>
      <c r="AZ391">
        <f>$H$391*$AF$391</f>
        <v>643.17999999999995</v>
      </c>
    </row>
    <row r="392" spans="1:52" x14ac:dyDescent="0.25">
      <c r="A392">
        <v>442</v>
      </c>
      <c r="B392" t="s">
        <v>292</v>
      </c>
      <c r="C392" t="s">
        <v>455</v>
      </c>
      <c r="D392">
        <v>66.83</v>
      </c>
      <c r="E392">
        <v>100.91</v>
      </c>
      <c r="F392" t="s">
        <v>329</v>
      </c>
      <c r="G392">
        <v>1.51</v>
      </c>
      <c r="H392">
        <v>121.09</v>
      </c>
      <c r="I392" t="s">
        <v>330</v>
      </c>
      <c r="J392" t="s">
        <v>456</v>
      </c>
      <c r="K392" t="s">
        <v>662</v>
      </c>
      <c r="L392" t="s">
        <v>179</v>
      </c>
      <c r="M392" t="s">
        <v>292</v>
      </c>
      <c r="N392" t="s">
        <v>12</v>
      </c>
      <c r="O392" t="s">
        <v>14</v>
      </c>
      <c r="P392">
        <v>0</v>
      </c>
      <c r="Q392">
        <v>0</v>
      </c>
      <c r="R392">
        <v>0</v>
      </c>
      <c r="S392">
        <v>1</v>
      </c>
      <c r="T392">
        <v>1</v>
      </c>
      <c r="U392">
        <v>1</v>
      </c>
      <c r="V392">
        <v>1</v>
      </c>
      <c r="W392">
        <v>1</v>
      </c>
      <c r="X392">
        <v>1</v>
      </c>
      <c r="Y392">
        <v>1</v>
      </c>
      <c r="Z392">
        <v>1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292</v>
      </c>
      <c r="AH392" t="s">
        <v>12</v>
      </c>
      <c r="AI392" t="s">
        <v>14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121.09</v>
      </c>
      <c r="AN392">
        <f>$H$392*$T$392</f>
        <v>121.09</v>
      </c>
      <c r="AO392">
        <f>$H$392*$U$392</f>
        <v>121.09</v>
      </c>
      <c r="AP392">
        <f>$H$392*$V$392</f>
        <v>121.09</v>
      </c>
      <c r="AQ392">
        <f>$H$392*$W$392</f>
        <v>121.09</v>
      </c>
      <c r="AR392">
        <f>$H$392*$X$392</f>
        <v>121.09</v>
      </c>
      <c r="AS392">
        <f>$H$392*$Y$392</f>
        <v>121.09</v>
      </c>
      <c r="AT392">
        <f>$H$392*$Z$392</f>
        <v>121.09</v>
      </c>
      <c r="AU392">
        <f>$H$392*$AA$392</f>
        <v>121.09</v>
      </c>
      <c r="AV392">
        <f>$H$392*$AB$392</f>
        <v>121.09</v>
      </c>
      <c r="AW392">
        <f>$H$392*$AC$392</f>
        <v>121.09</v>
      </c>
      <c r="AX392">
        <f>$H$392*$AD$392</f>
        <v>121.09</v>
      </c>
      <c r="AY392">
        <f>$H$392*$AE$392</f>
        <v>121.09</v>
      </c>
      <c r="AZ392">
        <f>$H$392*$AF$392</f>
        <v>121.09</v>
      </c>
    </row>
    <row r="393" spans="1:52" x14ac:dyDescent="0.25">
      <c r="A393">
        <v>443</v>
      </c>
      <c r="B393" t="s">
        <v>292</v>
      </c>
      <c r="C393" t="s">
        <v>457</v>
      </c>
      <c r="D393">
        <v>66.83</v>
      </c>
      <c r="E393">
        <v>379.59</v>
      </c>
      <c r="F393" t="s">
        <v>329</v>
      </c>
      <c r="G393">
        <v>5.68</v>
      </c>
      <c r="H393">
        <v>455.51</v>
      </c>
      <c r="I393" t="s">
        <v>333</v>
      </c>
      <c r="J393" t="s">
        <v>458</v>
      </c>
      <c r="K393" t="s">
        <v>663</v>
      </c>
      <c r="L393" t="s">
        <v>179</v>
      </c>
      <c r="M393" t="s">
        <v>292</v>
      </c>
      <c r="N393" t="s">
        <v>12</v>
      </c>
      <c r="O393" t="s">
        <v>14</v>
      </c>
      <c r="P393">
        <v>0</v>
      </c>
      <c r="Q393">
        <v>0</v>
      </c>
      <c r="R393">
        <v>0</v>
      </c>
      <c r="S393">
        <v>1</v>
      </c>
      <c r="T393">
        <v>1</v>
      </c>
      <c r="U393">
        <v>1</v>
      </c>
      <c r="V393">
        <v>1</v>
      </c>
      <c r="W393">
        <v>1</v>
      </c>
      <c r="X393">
        <v>1</v>
      </c>
      <c r="Y393">
        <v>1</v>
      </c>
      <c r="Z393">
        <v>1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292</v>
      </c>
      <c r="AH393" t="s">
        <v>12</v>
      </c>
      <c r="AI393" t="s">
        <v>14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455.51</v>
      </c>
      <c r="AN393">
        <f>$H$393*$T$393</f>
        <v>455.51</v>
      </c>
      <c r="AO393">
        <f>$H$393*$U$393</f>
        <v>455.51</v>
      </c>
      <c r="AP393">
        <f>$H$393*$V$393</f>
        <v>455.51</v>
      </c>
      <c r="AQ393">
        <f>$H$393*$W$393</f>
        <v>455.51</v>
      </c>
      <c r="AR393">
        <f>$H$393*$X$393</f>
        <v>455.51</v>
      </c>
      <c r="AS393">
        <f>$H$393*$Y$393</f>
        <v>455.51</v>
      </c>
      <c r="AT393">
        <f>$H$393*$Z$393</f>
        <v>455.51</v>
      </c>
      <c r="AU393">
        <f>$H$393*$AA$393</f>
        <v>455.51</v>
      </c>
      <c r="AV393">
        <f>$H$393*$AB$393</f>
        <v>455.51</v>
      </c>
      <c r="AW393">
        <f>$H$393*$AC$393</f>
        <v>455.51</v>
      </c>
      <c r="AX393">
        <f>$H$393*$AD$393</f>
        <v>455.51</v>
      </c>
      <c r="AY393">
        <f>$H$393*$AE$393</f>
        <v>455.51</v>
      </c>
      <c r="AZ393">
        <f>$H$393*$AF$393</f>
        <v>455.51</v>
      </c>
    </row>
    <row r="394" spans="1:52" x14ac:dyDescent="0.25">
      <c r="A394">
        <v>444</v>
      </c>
      <c r="B394" t="s">
        <v>292</v>
      </c>
      <c r="C394" t="s">
        <v>364</v>
      </c>
      <c r="D394">
        <v>382.37</v>
      </c>
      <c r="E394">
        <v>1284.76</v>
      </c>
      <c r="F394" t="s">
        <v>349</v>
      </c>
      <c r="G394">
        <v>3.36</v>
      </c>
      <c r="H394">
        <v>1541.72</v>
      </c>
      <c r="I394" t="s">
        <v>365</v>
      </c>
      <c r="J394" t="s">
        <v>366</v>
      </c>
      <c r="K394" t="s">
        <v>618</v>
      </c>
      <c r="L394" t="s">
        <v>179</v>
      </c>
      <c r="M394" t="s">
        <v>292</v>
      </c>
      <c r="N394" t="s">
        <v>12</v>
      </c>
      <c r="O394" t="s">
        <v>14</v>
      </c>
      <c r="P394">
        <v>0</v>
      </c>
      <c r="Q394">
        <v>0</v>
      </c>
      <c r="R394">
        <v>0</v>
      </c>
      <c r="S394">
        <v>0.25</v>
      </c>
      <c r="T394">
        <v>0.25</v>
      </c>
      <c r="U394">
        <v>0.25</v>
      </c>
      <c r="V394">
        <v>0.25</v>
      </c>
      <c r="W394">
        <v>0.5</v>
      </c>
      <c r="X394">
        <v>0.5</v>
      </c>
      <c r="Y394">
        <v>0.5</v>
      </c>
      <c r="Z394">
        <v>0.5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292</v>
      </c>
      <c r="AH394" t="s">
        <v>12</v>
      </c>
      <c r="AI394" t="s">
        <v>14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385.43</v>
      </c>
      <c r="AN394">
        <f>$H$394*$T$394</f>
        <v>385.43</v>
      </c>
      <c r="AO394">
        <f>$H$394*$U$394</f>
        <v>385.43</v>
      </c>
      <c r="AP394">
        <f>$H$394*$V$394</f>
        <v>385.43</v>
      </c>
      <c r="AQ394">
        <f>$H$394*$W$394</f>
        <v>770.86</v>
      </c>
      <c r="AR394">
        <f>$H$394*$X$394</f>
        <v>770.86</v>
      </c>
      <c r="AS394">
        <f>$H$394*$Y$394</f>
        <v>770.86</v>
      </c>
      <c r="AT394">
        <f>$H$394*$Z$394</f>
        <v>770.86</v>
      </c>
      <c r="AU394">
        <f>$H$394*$AA$394</f>
        <v>1541.72</v>
      </c>
      <c r="AV394">
        <f>$H$394*$AB$394</f>
        <v>1541.72</v>
      </c>
      <c r="AW394">
        <f>$H$394*$AC$394</f>
        <v>1541.72</v>
      </c>
      <c r="AX394">
        <f>$H$394*$AD$394</f>
        <v>1541.72</v>
      </c>
      <c r="AY394">
        <f>$H$394*$AE$394</f>
        <v>1541.72</v>
      </c>
      <c r="AZ394">
        <f>$H$394*$AF$394</f>
        <v>1541.72</v>
      </c>
    </row>
    <row r="395" spans="1:52" x14ac:dyDescent="0.25">
      <c r="A395">
        <v>445</v>
      </c>
      <c r="B395" t="s">
        <v>292</v>
      </c>
      <c r="C395" t="s">
        <v>443</v>
      </c>
      <c r="D395">
        <v>382.37</v>
      </c>
      <c r="E395">
        <v>240.89</v>
      </c>
      <c r="F395" t="s">
        <v>349</v>
      </c>
      <c r="G395">
        <v>0.63</v>
      </c>
      <c r="H395">
        <v>289.07</v>
      </c>
      <c r="I395" t="s">
        <v>330</v>
      </c>
      <c r="J395" t="s">
        <v>444</v>
      </c>
      <c r="K395" t="s">
        <v>656</v>
      </c>
      <c r="L395" t="s">
        <v>179</v>
      </c>
      <c r="M395" t="s">
        <v>292</v>
      </c>
      <c r="N395" t="s">
        <v>12</v>
      </c>
      <c r="O395" t="s">
        <v>14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1</v>
      </c>
      <c r="AE395">
        <v>1</v>
      </c>
      <c r="AF395">
        <v>1</v>
      </c>
      <c r="AG395" t="s">
        <v>292</v>
      </c>
      <c r="AH395" t="s">
        <v>12</v>
      </c>
      <c r="AI395" t="s">
        <v>14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0</v>
      </c>
      <c r="AN395">
        <f>$H$395*$T$395</f>
        <v>0</v>
      </c>
      <c r="AO395">
        <f>$H$395*$U$395</f>
        <v>0</v>
      </c>
      <c r="AP395">
        <f>$H$395*$V$395</f>
        <v>0</v>
      </c>
      <c r="AQ395">
        <f>$H$395*$W$395</f>
        <v>0</v>
      </c>
      <c r="AR395">
        <f>$H$395*$X$395</f>
        <v>0</v>
      </c>
      <c r="AS395">
        <f>$H$395*$Y$395</f>
        <v>0</v>
      </c>
      <c r="AT395">
        <f>$H$395*$Z$395</f>
        <v>0</v>
      </c>
      <c r="AU395">
        <f>$H$395*$AA$395</f>
        <v>0</v>
      </c>
      <c r="AV395">
        <f>$H$395*$AB$395</f>
        <v>0</v>
      </c>
      <c r="AW395">
        <f>$H$395*$AC$395</f>
        <v>0</v>
      </c>
      <c r="AX395">
        <f>$H$395*$AD$395</f>
        <v>289.07</v>
      </c>
      <c r="AY395">
        <f>$H$395*$AE$395</f>
        <v>289.07</v>
      </c>
      <c r="AZ395">
        <f>$H$395*$AF$395</f>
        <v>289.07</v>
      </c>
    </row>
    <row r="396" spans="1:52" x14ac:dyDescent="0.25">
      <c r="A396">
        <v>446</v>
      </c>
      <c r="B396" t="s">
        <v>292</v>
      </c>
      <c r="C396" t="s">
        <v>459</v>
      </c>
      <c r="D396">
        <v>382.37</v>
      </c>
      <c r="E396">
        <v>263.83999999999997</v>
      </c>
      <c r="F396" t="s">
        <v>349</v>
      </c>
      <c r="G396">
        <v>0.69</v>
      </c>
      <c r="H396">
        <v>316.60000000000002</v>
      </c>
      <c r="I396" t="s">
        <v>330</v>
      </c>
      <c r="J396" t="s">
        <v>460</v>
      </c>
      <c r="K396" t="s">
        <v>664</v>
      </c>
      <c r="L396" t="s">
        <v>179</v>
      </c>
      <c r="M396" t="s">
        <v>292</v>
      </c>
      <c r="N396" t="s">
        <v>12</v>
      </c>
      <c r="O396" t="s">
        <v>14</v>
      </c>
      <c r="P396">
        <v>0</v>
      </c>
      <c r="Q396">
        <v>0</v>
      </c>
      <c r="R396">
        <v>0</v>
      </c>
      <c r="S396">
        <v>1</v>
      </c>
      <c r="T396">
        <v>1</v>
      </c>
      <c r="U396">
        <v>1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292</v>
      </c>
      <c r="AH396" t="s">
        <v>12</v>
      </c>
      <c r="AI396" t="s">
        <v>14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316.60000000000002</v>
      </c>
      <c r="AN396">
        <f>$H$396*$T$396</f>
        <v>316.60000000000002</v>
      </c>
      <c r="AO396">
        <f>$H$396*$U$396</f>
        <v>316.60000000000002</v>
      </c>
      <c r="AP396">
        <f>$H$396*$V$396</f>
        <v>316.60000000000002</v>
      </c>
      <c r="AQ396">
        <f>$H$396*$W$396</f>
        <v>316.60000000000002</v>
      </c>
      <c r="AR396">
        <f>$H$396*$X$396</f>
        <v>316.60000000000002</v>
      </c>
      <c r="AS396">
        <f>$H$396*$Y$396</f>
        <v>316.60000000000002</v>
      </c>
      <c r="AT396">
        <f>$H$396*$Z$396</f>
        <v>316.60000000000002</v>
      </c>
      <c r="AU396">
        <f>$H$396*$AA$396</f>
        <v>316.60000000000002</v>
      </c>
      <c r="AV396">
        <f>$H$396*$AB$396</f>
        <v>316.60000000000002</v>
      </c>
      <c r="AW396">
        <f>$H$396*$AC$396</f>
        <v>316.60000000000002</v>
      </c>
      <c r="AX396">
        <f>$H$396*$AD$396</f>
        <v>316.60000000000002</v>
      </c>
      <c r="AY396">
        <f>$H$396*$AE$396</f>
        <v>316.60000000000002</v>
      </c>
      <c r="AZ396">
        <f>$H$396*$AF$396</f>
        <v>316.60000000000002</v>
      </c>
    </row>
    <row r="397" spans="1:52" x14ac:dyDescent="0.25">
      <c r="A397">
        <v>447</v>
      </c>
      <c r="B397" t="s">
        <v>292</v>
      </c>
      <c r="C397" t="s">
        <v>461</v>
      </c>
      <c r="D397">
        <v>54.08</v>
      </c>
      <c r="E397">
        <v>938.29</v>
      </c>
      <c r="F397" t="s">
        <v>349</v>
      </c>
      <c r="G397">
        <v>17.350000000000001</v>
      </c>
      <c r="H397">
        <v>1125.95</v>
      </c>
      <c r="I397" t="s">
        <v>462</v>
      </c>
      <c r="J397" t="s">
        <v>463</v>
      </c>
      <c r="K397" t="s">
        <v>665</v>
      </c>
      <c r="L397" t="s">
        <v>179</v>
      </c>
      <c r="M397" t="s">
        <v>292</v>
      </c>
      <c r="N397" t="s">
        <v>12</v>
      </c>
      <c r="O397" t="s">
        <v>14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1</v>
      </c>
      <c r="Z397">
        <v>1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292</v>
      </c>
      <c r="AH397" t="s">
        <v>12</v>
      </c>
      <c r="AI397" t="s">
        <v>14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0</v>
      </c>
      <c r="AN397">
        <f>$H$397*$T$397</f>
        <v>0</v>
      </c>
      <c r="AO397">
        <f>$H$397*$U$397</f>
        <v>0</v>
      </c>
      <c r="AP397">
        <f>$H$397*$V$397</f>
        <v>0</v>
      </c>
      <c r="AQ397">
        <f>$H$397*$W$397</f>
        <v>0</v>
      </c>
      <c r="AR397">
        <f>$H$397*$X$397</f>
        <v>0</v>
      </c>
      <c r="AS397">
        <f>$H$397*$Y$397</f>
        <v>1125.95</v>
      </c>
      <c r="AT397">
        <f>$H$397*$Z$397</f>
        <v>1125.95</v>
      </c>
      <c r="AU397">
        <f>$H$397*$AA$397</f>
        <v>1125.95</v>
      </c>
      <c r="AV397">
        <f>$H$397*$AB$397</f>
        <v>1125.95</v>
      </c>
      <c r="AW397">
        <f>$H$397*$AC$397</f>
        <v>1125.95</v>
      </c>
      <c r="AX397">
        <f>$H$397*$AD$397</f>
        <v>1125.95</v>
      </c>
      <c r="AY397">
        <f>$H$397*$AE$397</f>
        <v>1125.95</v>
      </c>
      <c r="AZ397">
        <f>$H$397*$AF$397</f>
        <v>1125.95</v>
      </c>
    </row>
    <row r="398" spans="1:52" x14ac:dyDescent="0.25">
      <c r="A398">
        <v>448</v>
      </c>
      <c r="B398" t="s">
        <v>292</v>
      </c>
      <c r="C398" t="s">
        <v>464</v>
      </c>
      <c r="D398">
        <v>108.17</v>
      </c>
      <c r="E398">
        <v>387.25</v>
      </c>
      <c r="F398" t="s">
        <v>349</v>
      </c>
      <c r="G398">
        <v>3.58</v>
      </c>
      <c r="H398">
        <v>464.71</v>
      </c>
      <c r="I398" t="s">
        <v>465</v>
      </c>
      <c r="J398" t="s">
        <v>466</v>
      </c>
      <c r="K398" t="s">
        <v>666</v>
      </c>
      <c r="L398" t="s">
        <v>179</v>
      </c>
      <c r="M398" t="s">
        <v>292</v>
      </c>
      <c r="N398" t="s">
        <v>12</v>
      </c>
      <c r="O398" t="s">
        <v>14</v>
      </c>
      <c r="P398">
        <v>0</v>
      </c>
      <c r="Q398">
        <v>0</v>
      </c>
      <c r="R398">
        <v>0</v>
      </c>
      <c r="S398">
        <v>1</v>
      </c>
      <c r="T398">
        <v>1</v>
      </c>
      <c r="U398">
        <v>1</v>
      </c>
      <c r="V398">
        <v>1</v>
      </c>
      <c r="W398">
        <v>1</v>
      </c>
      <c r="X398">
        <v>1</v>
      </c>
      <c r="Y398">
        <v>1</v>
      </c>
      <c r="Z398">
        <v>1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292</v>
      </c>
      <c r="AH398" t="s">
        <v>12</v>
      </c>
      <c r="AI398" t="s">
        <v>14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464.71</v>
      </c>
      <c r="AN398">
        <f>$H$398*$T$398</f>
        <v>464.71</v>
      </c>
      <c r="AO398">
        <f>$H$398*$U$398</f>
        <v>464.71</v>
      </c>
      <c r="AP398">
        <f>$H$398*$V$398</f>
        <v>464.71</v>
      </c>
      <c r="AQ398">
        <f>$H$398*$W$398</f>
        <v>464.71</v>
      </c>
      <c r="AR398">
        <f>$H$398*$X$398</f>
        <v>464.71</v>
      </c>
      <c r="AS398">
        <f>$H$398*$Y$398</f>
        <v>464.71</v>
      </c>
      <c r="AT398">
        <f>$H$398*$Z$398</f>
        <v>464.71</v>
      </c>
      <c r="AU398">
        <f>$H$398*$AA$398</f>
        <v>464.71</v>
      </c>
      <c r="AV398">
        <f>$H$398*$AB$398</f>
        <v>464.71</v>
      </c>
      <c r="AW398">
        <f>$H$398*$AC$398</f>
        <v>464.71</v>
      </c>
      <c r="AX398">
        <f>$H$398*$AD$398</f>
        <v>464.71</v>
      </c>
      <c r="AY398">
        <f>$H$398*$AE$398</f>
        <v>464.71</v>
      </c>
      <c r="AZ398">
        <f>$H$398*$AF$398</f>
        <v>464.71</v>
      </c>
    </row>
    <row r="399" spans="1:52" x14ac:dyDescent="0.25">
      <c r="A399">
        <v>449</v>
      </c>
      <c r="B399" t="s">
        <v>292</v>
      </c>
      <c r="C399" t="s">
        <v>467</v>
      </c>
      <c r="D399">
        <v>108.17</v>
      </c>
      <c r="E399">
        <v>1065.47</v>
      </c>
      <c r="F399" t="s">
        <v>349</v>
      </c>
      <c r="G399">
        <v>9.85</v>
      </c>
      <c r="H399">
        <v>1278.57</v>
      </c>
      <c r="I399" t="s">
        <v>465</v>
      </c>
      <c r="J399" t="s">
        <v>372</v>
      </c>
      <c r="K399" t="s">
        <v>667</v>
      </c>
      <c r="L399" t="s">
        <v>179</v>
      </c>
      <c r="M399" t="s">
        <v>292</v>
      </c>
      <c r="N399" t="s">
        <v>12</v>
      </c>
      <c r="O399" t="s">
        <v>14</v>
      </c>
      <c r="P399">
        <v>0</v>
      </c>
      <c r="Q399">
        <v>0</v>
      </c>
      <c r="R399">
        <v>0</v>
      </c>
      <c r="S399">
        <v>1</v>
      </c>
      <c r="T399">
        <v>1</v>
      </c>
      <c r="U399">
        <v>1</v>
      </c>
      <c r="V399">
        <v>1</v>
      </c>
      <c r="W399">
        <v>1</v>
      </c>
      <c r="X399">
        <v>1</v>
      </c>
      <c r="Y399">
        <v>1</v>
      </c>
      <c r="Z399">
        <v>1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292</v>
      </c>
      <c r="AH399" t="s">
        <v>12</v>
      </c>
      <c r="AI399" t="s">
        <v>14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1278.57</v>
      </c>
      <c r="AN399">
        <f>$H$399*$T$399</f>
        <v>1278.57</v>
      </c>
      <c r="AO399">
        <f>$H$399*$U$399</f>
        <v>1278.57</v>
      </c>
      <c r="AP399">
        <f>$H$399*$V$399</f>
        <v>1278.57</v>
      </c>
      <c r="AQ399">
        <f>$H$399*$W$399</f>
        <v>1278.57</v>
      </c>
      <c r="AR399">
        <f>$H$399*$X$399</f>
        <v>1278.57</v>
      </c>
      <c r="AS399">
        <f>$H$399*$Y$399</f>
        <v>1278.57</v>
      </c>
      <c r="AT399">
        <f>$H$399*$Z$399</f>
        <v>1278.57</v>
      </c>
      <c r="AU399">
        <f>$H$399*$AA$399</f>
        <v>1278.57</v>
      </c>
      <c r="AV399">
        <f>$H$399*$AB$399</f>
        <v>1278.57</v>
      </c>
      <c r="AW399">
        <f>$H$399*$AC$399</f>
        <v>1278.57</v>
      </c>
      <c r="AX399">
        <f>$H$399*$AD$399</f>
        <v>1278.57</v>
      </c>
      <c r="AY399">
        <f>$H$399*$AE$399</f>
        <v>1278.57</v>
      </c>
      <c r="AZ399">
        <f>$H$399*$AF$399</f>
        <v>1278.57</v>
      </c>
    </row>
    <row r="400" spans="1:52" x14ac:dyDescent="0.25">
      <c r="A400">
        <v>450</v>
      </c>
      <c r="B400" t="s">
        <v>292</v>
      </c>
      <c r="C400" t="s">
        <v>468</v>
      </c>
      <c r="D400">
        <v>124.39</v>
      </c>
      <c r="E400">
        <v>126.88</v>
      </c>
      <c r="F400" t="s">
        <v>349</v>
      </c>
      <c r="G400">
        <v>1.02</v>
      </c>
      <c r="H400">
        <v>152.26</v>
      </c>
      <c r="I400" t="s">
        <v>469</v>
      </c>
      <c r="J400" t="s">
        <v>470</v>
      </c>
      <c r="K400" t="s">
        <v>668</v>
      </c>
      <c r="L400" t="s">
        <v>179</v>
      </c>
      <c r="M400" t="s">
        <v>292</v>
      </c>
      <c r="N400" t="s">
        <v>12</v>
      </c>
      <c r="O400" t="s">
        <v>14</v>
      </c>
      <c r="P400">
        <v>0</v>
      </c>
      <c r="Q400">
        <v>0</v>
      </c>
      <c r="R400">
        <v>0</v>
      </c>
      <c r="S400">
        <v>1</v>
      </c>
      <c r="T400">
        <v>1</v>
      </c>
      <c r="U400">
        <v>1</v>
      </c>
      <c r="V400">
        <v>1</v>
      </c>
      <c r="W400">
        <v>1</v>
      </c>
      <c r="X400">
        <v>1</v>
      </c>
      <c r="Y400">
        <v>1</v>
      </c>
      <c r="Z400">
        <v>1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292</v>
      </c>
      <c r="AH400" t="s">
        <v>12</v>
      </c>
      <c r="AI400" t="s">
        <v>14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152.26</v>
      </c>
      <c r="AN400">
        <f>$H$400*$T$400</f>
        <v>152.26</v>
      </c>
      <c r="AO400">
        <f>$H$400*$U$400</f>
        <v>152.26</v>
      </c>
      <c r="AP400">
        <f>$H$400*$V$400</f>
        <v>152.26</v>
      </c>
      <c r="AQ400">
        <f>$H$400*$W$400</f>
        <v>152.26</v>
      </c>
      <c r="AR400">
        <f>$H$400*$X$400</f>
        <v>152.26</v>
      </c>
      <c r="AS400">
        <f>$H$400*$Y$400</f>
        <v>152.26</v>
      </c>
      <c r="AT400">
        <f>$H$400*$Z$400</f>
        <v>152.26</v>
      </c>
      <c r="AU400">
        <f>$H$400*$AA$400</f>
        <v>152.26</v>
      </c>
      <c r="AV400">
        <f>$H$400*$AB$400</f>
        <v>152.26</v>
      </c>
      <c r="AW400">
        <f>$H$400*$AC$400</f>
        <v>152.26</v>
      </c>
      <c r="AX400">
        <f>$H$400*$AD$400</f>
        <v>152.26</v>
      </c>
      <c r="AY400">
        <f>$H$400*$AE$400</f>
        <v>152.26</v>
      </c>
      <c r="AZ400">
        <f>$H$400*$AF$400</f>
        <v>152.26</v>
      </c>
    </row>
    <row r="401" spans="1:52" x14ac:dyDescent="0.25">
      <c r="A401">
        <v>451</v>
      </c>
      <c r="B401" t="s">
        <v>292</v>
      </c>
      <c r="C401" t="s">
        <v>471</v>
      </c>
      <c r="D401">
        <v>124.39</v>
      </c>
      <c r="E401">
        <v>1148.1199999999999</v>
      </c>
      <c r="F401" t="s">
        <v>349</v>
      </c>
      <c r="G401">
        <v>9.23</v>
      </c>
      <c r="H401">
        <v>1377.74</v>
      </c>
      <c r="I401" t="s">
        <v>469</v>
      </c>
      <c r="J401" t="s">
        <v>463</v>
      </c>
      <c r="K401" t="s">
        <v>669</v>
      </c>
      <c r="L401" t="s">
        <v>179</v>
      </c>
      <c r="M401" t="s">
        <v>292</v>
      </c>
      <c r="N401" t="s">
        <v>12</v>
      </c>
      <c r="O401" t="s">
        <v>14</v>
      </c>
      <c r="P401">
        <v>0</v>
      </c>
      <c r="Q401">
        <v>0</v>
      </c>
      <c r="R401">
        <v>0</v>
      </c>
      <c r="S401">
        <v>1</v>
      </c>
      <c r="T401">
        <v>1</v>
      </c>
      <c r="U401">
        <v>1</v>
      </c>
      <c r="V401">
        <v>1</v>
      </c>
      <c r="W401">
        <v>1</v>
      </c>
      <c r="X401">
        <v>1</v>
      </c>
      <c r="Y401">
        <v>1</v>
      </c>
      <c r="Z401">
        <v>1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 t="s">
        <v>292</v>
      </c>
      <c r="AH401" t="s">
        <v>12</v>
      </c>
      <c r="AI401" t="s">
        <v>14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1377.74</v>
      </c>
      <c r="AN401">
        <f>$H$401*$T$401</f>
        <v>1377.74</v>
      </c>
      <c r="AO401">
        <f>$H$401*$U$401</f>
        <v>1377.74</v>
      </c>
      <c r="AP401">
        <f>$H$401*$V$401</f>
        <v>1377.74</v>
      </c>
      <c r="AQ401">
        <f>$H$401*$W$401</f>
        <v>1377.74</v>
      </c>
      <c r="AR401">
        <f>$H$401*$X$401</f>
        <v>1377.74</v>
      </c>
      <c r="AS401">
        <f>$H$401*$Y$401</f>
        <v>1377.74</v>
      </c>
      <c r="AT401">
        <f>$H$401*$Z$401</f>
        <v>1377.74</v>
      </c>
      <c r="AU401">
        <f>$H$401*$AA$401</f>
        <v>1377.74</v>
      </c>
      <c r="AV401">
        <f>$H$401*$AB$401</f>
        <v>1377.74</v>
      </c>
      <c r="AW401">
        <f>$H$401*$AC$401</f>
        <v>1377.74</v>
      </c>
      <c r="AX401">
        <f>$H$401*$AD$401</f>
        <v>1377.74</v>
      </c>
      <c r="AY401">
        <f>$H$401*$AE$401</f>
        <v>1377.74</v>
      </c>
      <c r="AZ401">
        <f>$H$401*$AF$401</f>
        <v>1377.74</v>
      </c>
    </row>
    <row r="402" spans="1:52" x14ac:dyDescent="0.25">
      <c r="A402">
        <v>452</v>
      </c>
      <c r="B402" t="s">
        <v>6</v>
      </c>
      <c r="C402" t="s">
        <v>336</v>
      </c>
      <c r="D402">
        <v>1</v>
      </c>
      <c r="E402">
        <v>87.09</v>
      </c>
      <c r="F402" t="s">
        <v>335</v>
      </c>
      <c r="G402">
        <v>87.09</v>
      </c>
      <c r="H402">
        <v>104.51</v>
      </c>
      <c r="I402" t="s">
        <v>337</v>
      </c>
      <c r="J402" t="s">
        <v>338</v>
      </c>
      <c r="K402" t="s">
        <v>606</v>
      </c>
      <c r="L402" t="s">
        <v>179</v>
      </c>
      <c r="M402" t="s">
        <v>6</v>
      </c>
      <c r="N402" t="s">
        <v>12</v>
      </c>
      <c r="O402" t="s">
        <v>6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1</v>
      </c>
      <c r="AE402">
        <v>1</v>
      </c>
      <c r="AF402">
        <v>1</v>
      </c>
      <c r="AG402" t="s">
        <v>6</v>
      </c>
      <c r="AH402" t="s">
        <v>12</v>
      </c>
      <c r="AI402" t="s">
        <v>6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0</v>
      </c>
      <c r="AN402">
        <f>$H$402*$T$402</f>
        <v>0</v>
      </c>
      <c r="AO402">
        <f>$H$402*$U$402</f>
        <v>0</v>
      </c>
      <c r="AP402">
        <f>$H$402*$V$402</f>
        <v>0</v>
      </c>
      <c r="AQ402">
        <f>$H$402*$W$402</f>
        <v>0</v>
      </c>
      <c r="AR402">
        <f>$H$402*$X$402</f>
        <v>0</v>
      </c>
      <c r="AS402">
        <f>$H$402*$Y$402</f>
        <v>0</v>
      </c>
      <c r="AT402">
        <f>$H$402*$Z$402</f>
        <v>0</v>
      </c>
      <c r="AU402">
        <f>$H$402*$AA$402</f>
        <v>0</v>
      </c>
      <c r="AV402">
        <f>$H$402*$AB$402</f>
        <v>0</v>
      </c>
      <c r="AW402">
        <f>$H$402*$AC$402</f>
        <v>0</v>
      </c>
      <c r="AX402">
        <f>$H$402*$AD$402</f>
        <v>104.51</v>
      </c>
      <c r="AY402">
        <f>$H$402*$AE$402</f>
        <v>104.51</v>
      </c>
      <c r="AZ402">
        <f>$H$402*$AF$402</f>
        <v>104.51</v>
      </c>
    </row>
    <row r="403" spans="1:52" x14ac:dyDescent="0.25">
      <c r="A403">
        <v>453</v>
      </c>
      <c r="B403" t="s">
        <v>6</v>
      </c>
      <c r="C403" t="s">
        <v>435</v>
      </c>
      <c r="D403">
        <v>3</v>
      </c>
      <c r="E403">
        <v>39.81</v>
      </c>
      <c r="F403" t="s">
        <v>335</v>
      </c>
      <c r="G403">
        <v>13.27</v>
      </c>
      <c r="H403">
        <v>47.77</v>
      </c>
      <c r="I403" t="s">
        <v>337</v>
      </c>
      <c r="J403" t="s">
        <v>436</v>
      </c>
      <c r="K403" t="s">
        <v>652</v>
      </c>
      <c r="L403" t="s">
        <v>179</v>
      </c>
      <c r="M403" t="s">
        <v>6</v>
      </c>
      <c r="N403" t="s">
        <v>12</v>
      </c>
      <c r="O403" t="s">
        <v>6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1</v>
      </c>
      <c r="Y403">
        <v>1</v>
      </c>
      <c r="Z403">
        <v>1</v>
      </c>
      <c r="AA403">
        <v>1</v>
      </c>
      <c r="AB403">
        <v>1</v>
      </c>
      <c r="AC403">
        <v>1</v>
      </c>
      <c r="AD403">
        <v>1</v>
      </c>
      <c r="AE403">
        <v>1</v>
      </c>
      <c r="AF403">
        <v>1</v>
      </c>
      <c r="AG403" t="s">
        <v>6</v>
      </c>
      <c r="AH403" t="s">
        <v>12</v>
      </c>
      <c r="AI403" t="s">
        <v>6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0</v>
      </c>
      <c r="AN403">
        <f>$H$403*$T$403</f>
        <v>0</v>
      </c>
      <c r="AO403">
        <f>$H$403*$U$403</f>
        <v>0</v>
      </c>
      <c r="AP403">
        <f>$H$403*$V$403</f>
        <v>0</v>
      </c>
      <c r="AQ403">
        <f>$H$403*$W$403</f>
        <v>0</v>
      </c>
      <c r="AR403">
        <f>$H$403*$X$403</f>
        <v>47.77</v>
      </c>
      <c r="AS403">
        <f>$H$403*$Y$403</f>
        <v>47.77</v>
      </c>
      <c r="AT403">
        <f>$H$403*$Z$403</f>
        <v>47.77</v>
      </c>
      <c r="AU403">
        <f>$H$403*$AA$403</f>
        <v>47.77</v>
      </c>
      <c r="AV403">
        <f>$H$403*$AB$403</f>
        <v>47.77</v>
      </c>
      <c r="AW403">
        <f>$H$403*$AC$403</f>
        <v>47.77</v>
      </c>
      <c r="AX403">
        <f>$H$403*$AD$403</f>
        <v>47.77</v>
      </c>
      <c r="AY403">
        <f>$H$403*$AE$403</f>
        <v>47.77</v>
      </c>
      <c r="AZ403">
        <f>$H$403*$AF$403</f>
        <v>47.77</v>
      </c>
    </row>
    <row r="404" spans="1:52" x14ac:dyDescent="0.25">
      <c r="A404">
        <v>454</v>
      </c>
      <c r="B404" t="s">
        <v>6</v>
      </c>
      <c r="C404" t="s">
        <v>437</v>
      </c>
      <c r="D404">
        <v>1</v>
      </c>
      <c r="E404">
        <v>98.82</v>
      </c>
      <c r="F404" t="s">
        <v>335</v>
      </c>
      <c r="G404">
        <v>98.82</v>
      </c>
      <c r="H404">
        <v>118.58</v>
      </c>
      <c r="I404" t="s">
        <v>340</v>
      </c>
      <c r="J404" t="s">
        <v>372</v>
      </c>
      <c r="K404" t="s">
        <v>653</v>
      </c>
      <c r="L404" t="s">
        <v>179</v>
      </c>
      <c r="M404" t="s">
        <v>6</v>
      </c>
      <c r="N404" t="s">
        <v>12</v>
      </c>
      <c r="O404" t="s">
        <v>6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1</v>
      </c>
      <c r="AE404">
        <v>1</v>
      </c>
      <c r="AF404">
        <v>1</v>
      </c>
      <c r="AG404" t="s">
        <v>6</v>
      </c>
      <c r="AH404" t="s">
        <v>12</v>
      </c>
      <c r="AI404" t="s">
        <v>6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0</v>
      </c>
      <c r="AN404">
        <f>$H$404*$T$404</f>
        <v>0</v>
      </c>
      <c r="AO404">
        <f>$H$404*$U$404</f>
        <v>0</v>
      </c>
      <c r="AP404">
        <f>$H$404*$V$404</f>
        <v>0</v>
      </c>
      <c r="AQ404">
        <f>$H$404*$W$404</f>
        <v>0</v>
      </c>
      <c r="AR404">
        <f>$H$404*$X$404</f>
        <v>0</v>
      </c>
      <c r="AS404">
        <f>$H$404*$Y$404</f>
        <v>0</v>
      </c>
      <c r="AT404">
        <f>$H$404*$Z$404</f>
        <v>0</v>
      </c>
      <c r="AU404">
        <f>$H$404*$AA$404</f>
        <v>0</v>
      </c>
      <c r="AV404">
        <f>$H$404*$AB$404</f>
        <v>0</v>
      </c>
      <c r="AW404">
        <f>$H$404*$AC$404</f>
        <v>0</v>
      </c>
      <c r="AX404">
        <f>$H$404*$AD$404</f>
        <v>118.58</v>
      </c>
      <c r="AY404">
        <f>$H$404*$AE$404</f>
        <v>118.58</v>
      </c>
      <c r="AZ404">
        <f>$H$404*$AF$404</f>
        <v>118.58</v>
      </c>
    </row>
    <row r="405" spans="1:52" x14ac:dyDescent="0.25">
      <c r="A405">
        <v>455</v>
      </c>
      <c r="B405" t="s">
        <v>6</v>
      </c>
      <c r="C405" t="s">
        <v>438</v>
      </c>
      <c r="D405">
        <v>14.93</v>
      </c>
      <c r="E405">
        <v>39.119999999999997</v>
      </c>
      <c r="F405" t="s">
        <v>329</v>
      </c>
      <c r="G405">
        <v>2.62</v>
      </c>
      <c r="H405">
        <v>46.94</v>
      </c>
      <c r="I405" t="s">
        <v>439</v>
      </c>
      <c r="J405" t="s">
        <v>440</v>
      </c>
      <c r="K405" t="s">
        <v>654</v>
      </c>
      <c r="L405" t="s">
        <v>179</v>
      </c>
      <c r="M405" t="s">
        <v>6</v>
      </c>
      <c r="N405" t="s">
        <v>12</v>
      </c>
      <c r="O405" t="s">
        <v>6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6</v>
      </c>
      <c r="AH405" t="s">
        <v>12</v>
      </c>
      <c r="AI405" t="s">
        <v>6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0</v>
      </c>
      <c r="AN405">
        <f>$H$405*$T$405</f>
        <v>0</v>
      </c>
      <c r="AO405">
        <f>$H$405*$U$405</f>
        <v>0</v>
      </c>
      <c r="AP405">
        <f>$H$405*$V$405</f>
        <v>0</v>
      </c>
      <c r="AQ405">
        <f>$H$405*$W$405</f>
        <v>0</v>
      </c>
      <c r="AR405">
        <f>$H$405*$X$405</f>
        <v>0</v>
      </c>
      <c r="AS405">
        <f>$H$405*$Y$405</f>
        <v>0</v>
      </c>
      <c r="AT405">
        <f>$H$405*$Z$405</f>
        <v>0</v>
      </c>
      <c r="AU405">
        <f>$H$405*$AA$405</f>
        <v>46.94</v>
      </c>
      <c r="AV405">
        <f>$H$405*$AB$405</f>
        <v>46.94</v>
      </c>
      <c r="AW405">
        <f>$H$405*$AC$405</f>
        <v>46.94</v>
      </c>
      <c r="AX405">
        <f>$H$405*$AD$405</f>
        <v>46.94</v>
      </c>
      <c r="AY405">
        <f>$H$405*$AE$405</f>
        <v>46.94</v>
      </c>
      <c r="AZ405">
        <f>$H$405*$AF$405</f>
        <v>46.94</v>
      </c>
    </row>
    <row r="406" spans="1:52" x14ac:dyDescent="0.25">
      <c r="A406">
        <v>456</v>
      </c>
      <c r="B406" t="s">
        <v>6</v>
      </c>
      <c r="C406" t="s">
        <v>441</v>
      </c>
      <c r="D406">
        <v>134.4</v>
      </c>
      <c r="E406">
        <v>290.3</v>
      </c>
      <c r="F406" t="s">
        <v>349</v>
      </c>
      <c r="G406">
        <v>2.16</v>
      </c>
      <c r="H406">
        <v>348.36</v>
      </c>
      <c r="I406" t="s">
        <v>439</v>
      </c>
      <c r="J406" t="s">
        <v>442</v>
      </c>
      <c r="K406" t="s">
        <v>655</v>
      </c>
      <c r="L406" t="s">
        <v>179</v>
      </c>
      <c r="M406" t="s">
        <v>6</v>
      </c>
      <c r="N406" t="s">
        <v>12</v>
      </c>
      <c r="O406" t="s">
        <v>6</v>
      </c>
      <c r="P406">
        <v>0</v>
      </c>
      <c r="Q406">
        <v>0</v>
      </c>
      <c r="R406">
        <v>0</v>
      </c>
      <c r="S406">
        <v>1</v>
      </c>
      <c r="T406">
        <v>1</v>
      </c>
      <c r="U406">
        <v>1</v>
      </c>
      <c r="V406">
        <v>1</v>
      </c>
      <c r="W406">
        <v>1</v>
      </c>
      <c r="X406">
        <v>1</v>
      </c>
      <c r="Y406">
        <v>1</v>
      </c>
      <c r="Z406">
        <v>1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 t="s">
        <v>6</v>
      </c>
      <c r="AH406" t="s">
        <v>12</v>
      </c>
      <c r="AI406" t="s">
        <v>6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348.36</v>
      </c>
      <c r="AN406">
        <f>$H$406*$T$406</f>
        <v>348.36</v>
      </c>
      <c r="AO406">
        <f>$H$406*$U$406</f>
        <v>348.36</v>
      </c>
      <c r="AP406">
        <f>$H$406*$V$406</f>
        <v>348.36</v>
      </c>
      <c r="AQ406">
        <f>$H$406*$W$406</f>
        <v>348.36</v>
      </c>
      <c r="AR406">
        <f>$H$406*$X$406</f>
        <v>348.36</v>
      </c>
      <c r="AS406">
        <f>$H$406*$Y$406</f>
        <v>348.36</v>
      </c>
      <c r="AT406">
        <f>$H$406*$Z$406</f>
        <v>348.36</v>
      </c>
      <c r="AU406">
        <f>$H$406*$AA$406</f>
        <v>348.36</v>
      </c>
      <c r="AV406">
        <f>$H$406*$AB$406</f>
        <v>348.36</v>
      </c>
      <c r="AW406">
        <f>$H$406*$AC$406</f>
        <v>348.36</v>
      </c>
      <c r="AX406">
        <f>$H$406*$AD$406</f>
        <v>348.36</v>
      </c>
      <c r="AY406">
        <f>$H$406*$AE$406</f>
        <v>348.36</v>
      </c>
      <c r="AZ406">
        <f>$H$406*$AF$406</f>
        <v>348.36</v>
      </c>
    </row>
    <row r="407" spans="1:52" x14ac:dyDescent="0.25">
      <c r="A407">
        <v>457</v>
      </c>
      <c r="B407" t="s">
        <v>6</v>
      </c>
      <c r="C407" t="s">
        <v>443</v>
      </c>
      <c r="D407">
        <v>134.4</v>
      </c>
      <c r="E407">
        <v>84.67</v>
      </c>
      <c r="F407" t="s">
        <v>349</v>
      </c>
      <c r="G407">
        <v>0.63</v>
      </c>
      <c r="H407">
        <v>101.61</v>
      </c>
      <c r="I407" t="s">
        <v>330</v>
      </c>
      <c r="J407" t="s">
        <v>444</v>
      </c>
      <c r="K407" t="s">
        <v>656</v>
      </c>
      <c r="L407" t="s">
        <v>179</v>
      </c>
      <c r="M407" t="s">
        <v>6</v>
      </c>
      <c r="N407" t="s">
        <v>12</v>
      </c>
      <c r="O407" t="s">
        <v>6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1</v>
      </c>
      <c r="AE407">
        <v>1</v>
      </c>
      <c r="AF407">
        <v>1</v>
      </c>
      <c r="AG407" t="s">
        <v>6</v>
      </c>
      <c r="AH407" t="s">
        <v>12</v>
      </c>
      <c r="AI407" t="s">
        <v>6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0</v>
      </c>
      <c r="AN407">
        <f>$H$407*$T$407</f>
        <v>0</v>
      </c>
      <c r="AO407">
        <f>$H$407*$U$407</f>
        <v>0</v>
      </c>
      <c r="AP407">
        <f>$H$407*$V$407</f>
        <v>0</v>
      </c>
      <c r="AQ407">
        <f>$H$407*$W$407</f>
        <v>0</v>
      </c>
      <c r="AR407">
        <f>$H$407*$X$407</f>
        <v>0</v>
      </c>
      <c r="AS407">
        <f>$H$407*$Y$407</f>
        <v>0</v>
      </c>
      <c r="AT407">
        <f>$H$407*$Z$407</f>
        <v>0</v>
      </c>
      <c r="AU407">
        <f>$H$407*$AA$407</f>
        <v>0</v>
      </c>
      <c r="AV407">
        <f>$H$407*$AB$407</f>
        <v>0</v>
      </c>
      <c r="AW407">
        <f>$H$407*$AC$407</f>
        <v>0</v>
      </c>
      <c r="AX407">
        <f>$H$407*$AD$407</f>
        <v>101.61</v>
      </c>
      <c r="AY407">
        <f>$H$407*$AE$407</f>
        <v>101.61</v>
      </c>
      <c r="AZ407">
        <f>$H$407*$AF$407</f>
        <v>101.61</v>
      </c>
    </row>
    <row r="408" spans="1:52" x14ac:dyDescent="0.25">
      <c r="A408">
        <v>458</v>
      </c>
      <c r="B408" t="s">
        <v>6</v>
      </c>
      <c r="C408" t="s">
        <v>362</v>
      </c>
      <c r="D408">
        <v>168</v>
      </c>
      <c r="E408">
        <v>164.64</v>
      </c>
      <c r="F408" t="s">
        <v>349</v>
      </c>
      <c r="G408">
        <v>0.98</v>
      </c>
      <c r="H408">
        <v>197.56</v>
      </c>
      <c r="I408" t="s">
        <v>330</v>
      </c>
      <c r="J408" t="s">
        <v>363</v>
      </c>
      <c r="K408" t="s">
        <v>617</v>
      </c>
      <c r="L408" t="s">
        <v>179</v>
      </c>
      <c r="M408" t="s">
        <v>6</v>
      </c>
      <c r="N408" t="s">
        <v>12</v>
      </c>
      <c r="O408" t="s">
        <v>6</v>
      </c>
      <c r="P408">
        <v>0</v>
      </c>
      <c r="Q408">
        <v>0</v>
      </c>
      <c r="R408">
        <v>0</v>
      </c>
      <c r="S408">
        <v>0</v>
      </c>
      <c r="T408">
        <v>1</v>
      </c>
      <c r="U408">
        <v>1</v>
      </c>
      <c r="V408">
        <v>1</v>
      </c>
      <c r="W408">
        <v>1</v>
      </c>
      <c r="X408">
        <v>1</v>
      </c>
      <c r="Y408">
        <v>1</v>
      </c>
      <c r="Z408">
        <v>1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6</v>
      </c>
      <c r="AH408" t="s">
        <v>12</v>
      </c>
      <c r="AI408" t="s">
        <v>6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0</v>
      </c>
      <c r="AN408">
        <f>$H$408*$T$408</f>
        <v>197.56</v>
      </c>
      <c r="AO408">
        <f>$H$408*$U$408</f>
        <v>197.56</v>
      </c>
      <c r="AP408">
        <f>$H$408*$V$408</f>
        <v>197.56</v>
      </c>
      <c r="AQ408">
        <f>$H$408*$W$408</f>
        <v>197.56</v>
      </c>
      <c r="AR408">
        <f>$H$408*$X$408</f>
        <v>197.56</v>
      </c>
      <c r="AS408">
        <f>$H$408*$Y$408</f>
        <v>197.56</v>
      </c>
      <c r="AT408">
        <f>$H$408*$Z$408</f>
        <v>197.56</v>
      </c>
      <c r="AU408">
        <f>$H$408*$AA$408</f>
        <v>197.56</v>
      </c>
      <c r="AV408">
        <f>$H$408*$AB$408</f>
        <v>197.56</v>
      </c>
      <c r="AW408">
        <f>$H$408*$AC$408</f>
        <v>197.56</v>
      </c>
      <c r="AX408">
        <f>$H$408*$AD$408</f>
        <v>197.56</v>
      </c>
      <c r="AY408">
        <f>$H$408*$AE$408</f>
        <v>197.56</v>
      </c>
      <c r="AZ408">
        <f>$H$408*$AF$408</f>
        <v>197.56</v>
      </c>
    </row>
    <row r="409" spans="1:52" x14ac:dyDescent="0.25">
      <c r="A409">
        <v>459</v>
      </c>
      <c r="B409" t="s">
        <v>6</v>
      </c>
      <c r="C409" t="s">
        <v>445</v>
      </c>
      <c r="D409">
        <v>33.6</v>
      </c>
      <c r="E409">
        <v>126.34</v>
      </c>
      <c r="F409" t="s">
        <v>349</v>
      </c>
      <c r="G409">
        <v>3.76</v>
      </c>
      <c r="H409">
        <v>151.6</v>
      </c>
      <c r="I409" t="s">
        <v>446</v>
      </c>
      <c r="J409" t="s">
        <v>420</v>
      </c>
      <c r="K409" t="s">
        <v>657</v>
      </c>
      <c r="L409" t="s">
        <v>179</v>
      </c>
      <c r="M409" t="s">
        <v>6</v>
      </c>
      <c r="N409" t="s">
        <v>12</v>
      </c>
      <c r="O409" t="s">
        <v>6</v>
      </c>
      <c r="P409">
        <v>0</v>
      </c>
      <c r="Q409">
        <v>0</v>
      </c>
      <c r="R409">
        <v>0</v>
      </c>
      <c r="S409">
        <v>0.25</v>
      </c>
      <c r="T409">
        <v>0.25</v>
      </c>
      <c r="U409">
        <v>0.25</v>
      </c>
      <c r="V409">
        <v>0.25</v>
      </c>
      <c r="W409">
        <v>0.25</v>
      </c>
      <c r="X409">
        <v>0.5</v>
      </c>
      <c r="Y409">
        <v>0.5</v>
      </c>
      <c r="Z409">
        <v>0.5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6</v>
      </c>
      <c r="AH409" t="s">
        <v>12</v>
      </c>
      <c r="AI409" t="s">
        <v>6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37.9</v>
      </c>
      <c r="AN409">
        <f>$H$409*$T$409</f>
        <v>37.9</v>
      </c>
      <c r="AO409">
        <f>$H$409*$U$409</f>
        <v>37.9</v>
      </c>
      <c r="AP409">
        <f>$H$409*$V$409</f>
        <v>37.9</v>
      </c>
      <c r="AQ409">
        <f>$H$409*$W$409</f>
        <v>37.9</v>
      </c>
      <c r="AR409">
        <f>$H$409*$X$409</f>
        <v>75.8</v>
      </c>
      <c r="AS409">
        <f>$H$409*$Y$409</f>
        <v>75.8</v>
      </c>
      <c r="AT409">
        <f>$H$409*$Z$409</f>
        <v>75.8</v>
      </c>
      <c r="AU409">
        <f>$H$409*$AA$409</f>
        <v>151.6</v>
      </c>
      <c r="AV409">
        <f>$H$409*$AB$409</f>
        <v>151.6</v>
      </c>
      <c r="AW409">
        <f>$H$409*$AC$409</f>
        <v>151.6</v>
      </c>
      <c r="AX409">
        <f>$H$409*$AD$409</f>
        <v>151.6</v>
      </c>
      <c r="AY409">
        <f>$H$409*$AE$409</f>
        <v>151.6</v>
      </c>
      <c r="AZ409">
        <f>$H$409*$AF$409</f>
        <v>151.6</v>
      </c>
    </row>
    <row r="410" spans="1:52" x14ac:dyDescent="0.25">
      <c r="A410">
        <v>460</v>
      </c>
      <c r="B410" t="s">
        <v>6</v>
      </c>
      <c r="C410" t="s">
        <v>364</v>
      </c>
      <c r="D410">
        <v>336</v>
      </c>
      <c r="E410">
        <v>1128.96</v>
      </c>
      <c r="F410" t="s">
        <v>349</v>
      </c>
      <c r="G410">
        <v>3.36</v>
      </c>
      <c r="H410">
        <v>1354.76</v>
      </c>
      <c r="I410" t="s">
        <v>365</v>
      </c>
      <c r="J410" t="s">
        <v>366</v>
      </c>
      <c r="K410" t="s">
        <v>618</v>
      </c>
      <c r="L410" t="s">
        <v>179</v>
      </c>
      <c r="M410" t="s">
        <v>6</v>
      </c>
      <c r="N410" t="s">
        <v>12</v>
      </c>
      <c r="O410" t="s">
        <v>6</v>
      </c>
      <c r="P410">
        <v>0</v>
      </c>
      <c r="Q410">
        <v>0</v>
      </c>
      <c r="R410">
        <v>0</v>
      </c>
      <c r="S410">
        <v>0.25</v>
      </c>
      <c r="T410">
        <v>0.25</v>
      </c>
      <c r="U410">
        <v>0.25</v>
      </c>
      <c r="V410">
        <v>0.25</v>
      </c>
      <c r="W410">
        <v>0.5</v>
      </c>
      <c r="X410">
        <v>0.5</v>
      </c>
      <c r="Y410">
        <v>0.5</v>
      </c>
      <c r="Z410">
        <v>0.5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6</v>
      </c>
      <c r="AH410" t="s">
        <v>12</v>
      </c>
      <c r="AI410" t="s">
        <v>6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338.69</v>
      </c>
      <c r="AN410">
        <f>$H$410*$T$410</f>
        <v>338.69</v>
      </c>
      <c r="AO410">
        <f>$H$410*$U$410</f>
        <v>338.69</v>
      </c>
      <c r="AP410">
        <f>$H$410*$V$410</f>
        <v>338.69</v>
      </c>
      <c r="AQ410">
        <f>$H$410*$W$410</f>
        <v>677.38</v>
      </c>
      <c r="AR410">
        <f>$H$410*$X$410</f>
        <v>677.38</v>
      </c>
      <c r="AS410">
        <f>$H$410*$Y$410</f>
        <v>677.38</v>
      </c>
      <c r="AT410">
        <f>$H$410*$Z$410</f>
        <v>677.38</v>
      </c>
      <c r="AU410">
        <f>$H$410*$AA$410</f>
        <v>1354.76</v>
      </c>
      <c r="AV410">
        <f>$H$410*$AB$410</f>
        <v>1354.76</v>
      </c>
      <c r="AW410">
        <f>$H$410*$AC$410</f>
        <v>1354.76</v>
      </c>
      <c r="AX410">
        <f>$H$410*$AD$410</f>
        <v>1354.76</v>
      </c>
      <c r="AY410">
        <f>$H$410*$AE$410</f>
        <v>1354.76</v>
      </c>
      <c r="AZ410">
        <f>$H$410*$AF$410</f>
        <v>1354.76</v>
      </c>
    </row>
    <row r="411" spans="1:52" x14ac:dyDescent="0.25">
      <c r="A411">
        <v>461</v>
      </c>
      <c r="B411" t="s">
        <v>6</v>
      </c>
      <c r="C411" t="s">
        <v>447</v>
      </c>
      <c r="D411">
        <v>37.33</v>
      </c>
      <c r="E411">
        <v>38.82</v>
      </c>
      <c r="F411" t="s">
        <v>329</v>
      </c>
      <c r="G411">
        <v>1.04</v>
      </c>
      <c r="H411">
        <v>46.58</v>
      </c>
      <c r="I411" t="s">
        <v>330</v>
      </c>
      <c r="J411" t="s">
        <v>448</v>
      </c>
      <c r="K411" t="s">
        <v>658</v>
      </c>
      <c r="L411" t="s">
        <v>179</v>
      </c>
      <c r="M411" t="s">
        <v>6</v>
      </c>
      <c r="N411" t="s">
        <v>12</v>
      </c>
      <c r="O411" t="s">
        <v>6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 t="s">
        <v>6</v>
      </c>
      <c r="AH411" t="s">
        <v>12</v>
      </c>
      <c r="AI411" t="s">
        <v>6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0</v>
      </c>
      <c r="AN411">
        <f>$H$411*$T$411</f>
        <v>0</v>
      </c>
      <c r="AO411">
        <f>$H$411*$U$411</f>
        <v>0</v>
      </c>
      <c r="AP411">
        <f>$H$411*$V$411</f>
        <v>0</v>
      </c>
      <c r="AQ411">
        <f>$H$411*$W$411</f>
        <v>0</v>
      </c>
      <c r="AR411">
        <f>$H$411*$X$411</f>
        <v>0</v>
      </c>
      <c r="AS411">
        <f>$H$411*$Y$411</f>
        <v>0</v>
      </c>
      <c r="AT411">
        <f>$H$411*$Z$411</f>
        <v>0</v>
      </c>
      <c r="AU411">
        <f>$H$411*$AA$411</f>
        <v>46.58</v>
      </c>
      <c r="AV411">
        <f>$H$411*$AB$411</f>
        <v>46.58</v>
      </c>
      <c r="AW411">
        <f>$H$411*$AC$411</f>
        <v>46.58</v>
      </c>
      <c r="AX411">
        <f>$H$411*$AD$411</f>
        <v>46.58</v>
      </c>
      <c r="AY411">
        <f>$H$411*$AE$411</f>
        <v>46.58</v>
      </c>
      <c r="AZ411">
        <f>$H$411*$AF$411</f>
        <v>46.58</v>
      </c>
    </row>
    <row r="412" spans="1:52" x14ac:dyDescent="0.25">
      <c r="A412">
        <v>462</v>
      </c>
      <c r="B412" t="s">
        <v>6</v>
      </c>
      <c r="C412" t="s">
        <v>449</v>
      </c>
      <c r="D412">
        <v>37.33</v>
      </c>
      <c r="E412">
        <v>299.39</v>
      </c>
      <c r="F412" t="s">
        <v>329</v>
      </c>
      <c r="G412">
        <v>8.02</v>
      </c>
      <c r="H412">
        <v>359.27</v>
      </c>
      <c r="I412" t="s">
        <v>333</v>
      </c>
      <c r="J412" t="s">
        <v>450</v>
      </c>
      <c r="K412" t="s">
        <v>659</v>
      </c>
      <c r="L412" t="s">
        <v>179</v>
      </c>
      <c r="M412" t="s">
        <v>6</v>
      </c>
      <c r="N412" t="s">
        <v>12</v>
      </c>
      <c r="O412" t="s">
        <v>6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6</v>
      </c>
      <c r="AH412" t="s">
        <v>12</v>
      </c>
      <c r="AI412" t="s">
        <v>6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0</v>
      </c>
      <c r="AN412">
        <f>$H$412*$T$412</f>
        <v>0</v>
      </c>
      <c r="AO412">
        <f>$H$412*$U$412</f>
        <v>0</v>
      </c>
      <c r="AP412">
        <f>$H$412*$V$412</f>
        <v>0</v>
      </c>
      <c r="AQ412">
        <f>$H$412*$W$412</f>
        <v>0</v>
      </c>
      <c r="AR412">
        <f>$H$412*$X$412</f>
        <v>0</v>
      </c>
      <c r="AS412">
        <f>$H$412*$Y$412</f>
        <v>0</v>
      </c>
      <c r="AT412">
        <f>$H$412*$Z$412</f>
        <v>0</v>
      </c>
      <c r="AU412">
        <f>$H$412*$AA$412</f>
        <v>359.27</v>
      </c>
      <c r="AV412">
        <f>$H$412*$AB$412</f>
        <v>359.27</v>
      </c>
      <c r="AW412">
        <f>$H$412*$AC$412</f>
        <v>359.27</v>
      </c>
      <c r="AX412">
        <f>$H$412*$AD$412</f>
        <v>359.27</v>
      </c>
      <c r="AY412">
        <f>$H$412*$AE$412</f>
        <v>359.27</v>
      </c>
      <c r="AZ412">
        <f>$H$412*$AF$412</f>
        <v>359.27</v>
      </c>
    </row>
    <row r="413" spans="1:52" x14ac:dyDescent="0.25">
      <c r="A413">
        <v>463</v>
      </c>
      <c r="B413" t="s">
        <v>6</v>
      </c>
      <c r="C413" t="s">
        <v>455</v>
      </c>
      <c r="D413">
        <v>37.33</v>
      </c>
      <c r="E413">
        <v>56.37</v>
      </c>
      <c r="F413" t="s">
        <v>329</v>
      </c>
      <c r="G413">
        <v>1.51</v>
      </c>
      <c r="H413">
        <v>67.650000000000006</v>
      </c>
      <c r="I413" t="s">
        <v>330</v>
      </c>
      <c r="J413" t="s">
        <v>456</v>
      </c>
      <c r="K413" t="s">
        <v>662</v>
      </c>
      <c r="L413" t="s">
        <v>179</v>
      </c>
      <c r="M413" t="s">
        <v>6</v>
      </c>
      <c r="N413" t="s">
        <v>12</v>
      </c>
      <c r="O413" t="s">
        <v>6</v>
      </c>
      <c r="P413">
        <v>0</v>
      </c>
      <c r="Q413">
        <v>0</v>
      </c>
      <c r="R413">
        <v>0</v>
      </c>
      <c r="S413">
        <v>1</v>
      </c>
      <c r="T413">
        <v>1</v>
      </c>
      <c r="U413">
        <v>1</v>
      </c>
      <c r="V413">
        <v>1</v>
      </c>
      <c r="W413">
        <v>1</v>
      </c>
      <c r="X413">
        <v>1</v>
      </c>
      <c r="Y413">
        <v>1</v>
      </c>
      <c r="Z413">
        <v>1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6</v>
      </c>
      <c r="AH413" t="s">
        <v>12</v>
      </c>
      <c r="AI413" t="s">
        <v>6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67.650000000000006</v>
      </c>
      <c r="AN413">
        <f>$H$413*$T$413</f>
        <v>67.650000000000006</v>
      </c>
      <c r="AO413">
        <f>$H$413*$U$413</f>
        <v>67.650000000000006</v>
      </c>
      <c r="AP413">
        <f>$H$413*$V$413</f>
        <v>67.650000000000006</v>
      </c>
      <c r="AQ413">
        <f>$H$413*$W$413</f>
        <v>67.650000000000006</v>
      </c>
      <c r="AR413">
        <f>$H$413*$X$413</f>
        <v>67.650000000000006</v>
      </c>
      <c r="AS413">
        <f>$H$413*$Y$413</f>
        <v>67.650000000000006</v>
      </c>
      <c r="AT413">
        <f>$H$413*$Z$413</f>
        <v>67.650000000000006</v>
      </c>
      <c r="AU413">
        <f>$H$413*$AA$413</f>
        <v>67.650000000000006</v>
      </c>
      <c r="AV413">
        <f>$H$413*$AB$413</f>
        <v>67.650000000000006</v>
      </c>
      <c r="AW413">
        <f>$H$413*$AC$413</f>
        <v>67.650000000000006</v>
      </c>
      <c r="AX413">
        <f>$H$413*$AD$413</f>
        <v>67.650000000000006</v>
      </c>
      <c r="AY413">
        <f>$H$413*$AE$413</f>
        <v>67.650000000000006</v>
      </c>
      <c r="AZ413">
        <f>$H$413*$AF$413</f>
        <v>67.650000000000006</v>
      </c>
    </row>
    <row r="414" spans="1:52" x14ac:dyDescent="0.25">
      <c r="A414">
        <v>464</v>
      </c>
      <c r="B414" t="s">
        <v>6</v>
      </c>
      <c r="C414" t="s">
        <v>457</v>
      </c>
      <c r="D414">
        <v>37.33</v>
      </c>
      <c r="E414">
        <v>212.03</v>
      </c>
      <c r="F414" t="s">
        <v>329</v>
      </c>
      <c r="G414">
        <v>5.68</v>
      </c>
      <c r="H414">
        <v>254.43</v>
      </c>
      <c r="I414" t="s">
        <v>333</v>
      </c>
      <c r="J414" t="s">
        <v>458</v>
      </c>
      <c r="K414" t="s">
        <v>663</v>
      </c>
      <c r="L414" t="s">
        <v>179</v>
      </c>
      <c r="M414" t="s">
        <v>6</v>
      </c>
      <c r="N414" t="s">
        <v>12</v>
      </c>
      <c r="O414" t="s">
        <v>6</v>
      </c>
      <c r="P414">
        <v>0</v>
      </c>
      <c r="Q414">
        <v>0</v>
      </c>
      <c r="R414">
        <v>0</v>
      </c>
      <c r="S414">
        <v>1</v>
      </c>
      <c r="T414">
        <v>1</v>
      </c>
      <c r="U414">
        <v>1</v>
      </c>
      <c r="V414">
        <v>1</v>
      </c>
      <c r="W414">
        <v>1</v>
      </c>
      <c r="X414">
        <v>1</v>
      </c>
      <c r="Y414">
        <v>1</v>
      </c>
      <c r="Z414">
        <v>1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6</v>
      </c>
      <c r="AH414" t="s">
        <v>12</v>
      </c>
      <c r="AI414" t="s">
        <v>6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254.43</v>
      </c>
      <c r="AN414">
        <f>$H$414*$T$414</f>
        <v>254.43</v>
      </c>
      <c r="AO414">
        <f>$H$414*$U$414</f>
        <v>254.43</v>
      </c>
      <c r="AP414">
        <f>$H$414*$V$414</f>
        <v>254.43</v>
      </c>
      <c r="AQ414">
        <f>$H$414*$W$414</f>
        <v>254.43</v>
      </c>
      <c r="AR414">
        <f>$H$414*$X$414</f>
        <v>254.43</v>
      </c>
      <c r="AS414">
        <f>$H$414*$Y$414</f>
        <v>254.43</v>
      </c>
      <c r="AT414">
        <f>$H$414*$Z$414</f>
        <v>254.43</v>
      </c>
      <c r="AU414">
        <f>$H$414*$AA$414</f>
        <v>254.43</v>
      </c>
      <c r="AV414">
        <f>$H$414*$AB$414</f>
        <v>254.43</v>
      </c>
      <c r="AW414">
        <f>$H$414*$AC$414</f>
        <v>254.43</v>
      </c>
      <c r="AX414">
        <f>$H$414*$AD$414</f>
        <v>254.43</v>
      </c>
      <c r="AY414">
        <f>$H$414*$AE$414</f>
        <v>254.43</v>
      </c>
      <c r="AZ414">
        <f>$H$414*$AF$414</f>
        <v>254.43</v>
      </c>
    </row>
    <row r="415" spans="1:52" x14ac:dyDescent="0.25">
      <c r="A415">
        <v>465</v>
      </c>
      <c r="B415" t="s">
        <v>6</v>
      </c>
      <c r="C415" t="s">
        <v>364</v>
      </c>
      <c r="D415">
        <v>57.77</v>
      </c>
      <c r="E415">
        <v>194.11</v>
      </c>
      <c r="F415" t="s">
        <v>349</v>
      </c>
      <c r="G415">
        <v>3.36</v>
      </c>
      <c r="H415">
        <v>232.93</v>
      </c>
      <c r="I415" t="s">
        <v>365</v>
      </c>
      <c r="J415" t="s">
        <v>366</v>
      </c>
      <c r="K415" t="s">
        <v>618</v>
      </c>
      <c r="L415" t="s">
        <v>179</v>
      </c>
      <c r="M415" t="s">
        <v>6</v>
      </c>
      <c r="N415" t="s">
        <v>12</v>
      </c>
      <c r="O415" t="s">
        <v>6</v>
      </c>
      <c r="P415">
        <v>0</v>
      </c>
      <c r="Q415">
        <v>0</v>
      </c>
      <c r="R415">
        <v>0</v>
      </c>
      <c r="S415">
        <v>0.25</v>
      </c>
      <c r="T415">
        <v>0.25</v>
      </c>
      <c r="U415">
        <v>0.25</v>
      </c>
      <c r="V415">
        <v>0.25</v>
      </c>
      <c r="W415">
        <v>0.5</v>
      </c>
      <c r="X415">
        <v>0.5</v>
      </c>
      <c r="Y415">
        <v>0.5</v>
      </c>
      <c r="Z415">
        <v>0.5</v>
      </c>
      <c r="AA415">
        <v>1</v>
      </c>
      <c r="AB415">
        <v>1</v>
      </c>
      <c r="AC415">
        <v>1</v>
      </c>
      <c r="AD415">
        <v>1</v>
      </c>
      <c r="AE415">
        <v>1</v>
      </c>
      <c r="AF415">
        <v>1</v>
      </c>
      <c r="AG415" t="s">
        <v>6</v>
      </c>
      <c r="AH415" t="s">
        <v>12</v>
      </c>
      <c r="AI415" t="s">
        <v>6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58.232500000000002</v>
      </c>
      <c r="AN415">
        <f>$H$415*$T$415</f>
        <v>58.232500000000002</v>
      </c>
      <c r="AO415">
        <f>$H$415*$U$415</f>
        <v>58.232500000000002</v>
      </c>
      <c r="AP415">
        <f>$H$415*$V$415</f>
        <v>58.232500000000002</v>
      </c>
      <c r="AQ415">
        <f>$H$415*$W$415</f>
        <v>116.465</v>
      </c>
      <c r="AR415">
        <f>$H$415*$X$415</f>
        <v>116.465</v>
      </c>
      <c r="AS415">
        <f>$H$415*$Y$415</f>
        <v>116.465</v>
      </c>
      <c r="AT415">
        <f>$H$415*$Z$415</f>
        <v>116.465</v>
      </c>
      <c r="AU415">
        <f>$H$415*$AA$415</f>
        <v>232.93</v>
      </c>
      <c r="AV415">
        <f>$H$415*$AB$415</f>
        <v>232.93</v>
      </c>
      <c r="AW415">
        <f>$H$415*$AC$415</f>
        <v>232.93</v>
      </c>
      <c r="AX415">
        <f>$H$415*$AD$415</f>
        <v>232.93</v>
      </c>
      <c r="AY415">
        <f>$H$415*$AE$415</f>
        <v>232.93</v>
      </c>
      <c r="AZ415">
        <f>$H$415*$AF$415</f>
        <v>232.93</v>
      </c>
    </row>
    <row r="416" spans="1:52" x14ac:dyDescent="0.25">
      <c r="A416">
        <v>466</v>
      </c>
      <c r="B416" t="s">
        <v>6</v>
      </c>
      <c r="C416" t="s">
        <v>443</v>
      </c>
      <c r="D416">
        <v>57.77</v>
      </c>
      <c r="E416">
        <v>36.4</v>
      </c>
      <c r="F416" t="s">
        <v>349</v>
      </c>
      <c r="G416">
        <v>0.63</v>
      </c>
      <c r="H416">
        <v>43.68</v>
      </c>
      <c r="I416" t="s">
        <v>330</v>
      </c>
      <c r="J416" t="s">
        <v>444</v>
      </c>
      <c r="K416" t="s">
        <v>656</v>
      </c>
      <c r="L416" t="s">
        <v>179</v>
      </c>
      <c r="M416" t="s">
        <v>6</v>
      </c>
      <c r="N416" t="s">
        <v>12</v>
      </c>
      <c r="O416" t="s">
        <v>6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1</v>
      </c>
      <c r="AE416">
        <v>1</v>
      </c>
      <c r="AF416">
        <v>1</v>
      </c>
      <c r="AG416" t="s">
        <v>6</v>
      </c>
      <c r="AH416" t="s">
        <v>12</v>
      </c>
      <c r="AI416" t="s">
        <v>6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0</v>
      </c>
      <c r="AN416">
        <f>$H$416*$T$416</f>
        <v>0</v>
      </c>
      <c r="AO416">
        <f>$H$416*$U$416</f>
        <v>0</v>
      </c>
      <c r="AP416">
        <f>$H$416*$V$416</f>
        <v>0</v>
      </c>
      <c r="AQ416">
        <f>$H$416*$W$416</f>
        <v>0</v>
      </c>
      <c r="AR416">
        <f>$H$416*$X$416</f>
        <v>0</v>
      </c>
      <c r="AS416">
        <f>$H$416*$Y$416</f>
        <v>0</v>
      </c>
      <c r="AT416">
        <f>$H$416*$Z$416</f>
        <v>0</v>
      </c>
      <c r="AU416">
        <f>$H$416*$AA$416</f>
        <v>0</v>
      </c>
      <c r="AV416">
        <f>$H$416*$AB$416</f>
        <v>0</v>
      </c>
      <c r="AW416">
        <f>$H$416*$AC$416</f>
        <v>0</v>
      </c>
      <c r="AX416">
        <f>$H$416*$AD$416</f>
        <v>43.68</v>
      </c>
      <c r="AY416">
        <f>$H$416*$AE$416</f>
        <v>43.68</v>
      </c>
      <c r="AZ416">
        <f>$H$416*$AF$416</f>
        <v>43.68</v>
      </c>
    </row>
    <row r="417" spans="1:52" x14ac:dyDescent="0.25">
      <c r="A417">
        <v>467</v>
      </c>
      <c r="B417" t="s">
        <v>6</v>
      </c>
      <c r="C417" t="s">
        <v>459</v>
      </c>
      <c r="D417">
        <v>57.77</v>
      </c>
      <c r="E417">
        <v>39.86</v>
      </c>
      <c r="F417" t="s">
        <v>349</v>
      </c>
      <c r="G417">
        <v>0.69</v>
      </c>
      <c r="H417">
        <v>47.84</v>
      </c>
      <c r="I417" t="s">
        <v>330</v>
      </c>
      <c r="J417" t="s">
        <v>460</v>
      </c>
      <c r="K417" t="s">
        <v>664</v>
      </c>
      <c r="L417" t="s">
        <v>179</v>
      </c>
      <c r="M417" t="s">
        <v>6</v>
      </c>
      <c r="N417" t="s">
        <v>12</v>
      </c>
      <c r="O417" t="s">
        <v>6</v>
      </c>
      <c r="P417">
        <v>0</v>
      </c>
      <c r="Q417">
        <v>0</v>
      </c>
      <c r="R417">
        <v>0</v>
      </c>
      <c r="S417">
        <v>1</v>
      </c>
      <c r="T417">
        <v>1</v>
      </c>
      <c r="U417">
        <v>1</v>
      </c>
      <c r="V417">
        <v>1</v>
      </c>
      <c r="W417">
        <v>1</v>
      </c>
      <c r="X417">
        <v>1</v>
      </c>
      <c r="Y417">
        <v>1</v>
      </c>
      <c r="Z417">
        <v>1</v>
      </c>
      <c r="AA417">
        <v>1</v>
      </c>
      <c r="AB417">
        <v>1</v>
      </c>
      <c r="AC417">
        <v>1</v>
      </c>
      <c r="AD417">
        <v>1</v>
      </c>
      <c r="AE417">
        <v>1</v>
      </c>
      <c r="AF417">
        <v>1</v>
      </c>
      <c r="AG417" t="s">
        <v>6</v>
      </c>
      <c r="AH417" t="s">
        <v>12</v>
      </c>
      <c r="AI417" t="s">
        <v>6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47.84</v>
      </c>
      <c r="AN417">
        <f>$H$417*$T$417</f>
        <v>47.84</v>
      </c>
      <c r="AO417">
        <f>$H$417*$U$417</f>
        <v>47.84</v>
      </c>
      <c r="AP417">
        <f>$H$417*$V$417</f>
        <v>47.84</v>
      </c>
      <c r="AQ417">
        <f>$H$417*$W$417</f>
        <v>47.84</v>
      </c>
      <c r="AR417">
        <f>$H$417*$X$417</f>
        <v>47.84</v>
      </c>
      <c r="AS417">
        <f>$H$417*$Y$417</f>
        <v>47.84</v>
      </c>
      <c r="AT417">
        <f>$H$417*$Z$417</f>
        <v>47.84</v>
      </c>
      <c r="AU417">
        <f>$H$417*$AA$417</f>
        <v>47.84</v>
      </c>
      <c r="AV417">
        <f>$H$417*$AB$417</f>
        <v>47.84</v>
      </c>
      <c r="AW417">
        <f>$H$417*$AC$417</f>
        <v>47.84</v>
      </c>
      <c r="AX417">
        <f>$H$417*$AD$417</f>
        <v>47.84</v>
      </c>
      <c r="AY417">
        <f>$H$417*$AE$417</f>
        <v>47.84</v>
      </c>
      <c r="AZ417">
        <f>$H$417*$AF$417</f>
        <v>47.84</v>
      </c>
    </row>
    <row r="418" spans="1:52" x14ac:dyDescent="0.25">
      <c r="A418">
        <v>468</v>
      </c>
      <c r="B418" t="s">
        <v>6</v>
      </c>
      <c r="C418" t="s">
        <v>461</v>
      </c>
      <c r="D418">
        <v>11.55</v>
      </c>
      <c r="E418">
        <v>200.39</v>
      </c>
      <c r="F418" t="s">
        <v>349</v>
      </c>
      <c r="G418">
        <v>17.350000000000001</v>
      </c>
      <c r="H418">
        <v>240.47</v>
      </c>
      <c r="I418" t="s">
        <v>462</v>
      </c>
      <c r="J418" t="s">
        <v>463</v>
      </c>
      <c r="K418" t="s">
        <v>665</v>
      </c>
      <c r="L418" t="s">
        <v>179</v>
      </c>
      <c r="M418" t="s">
        <v>6</v>
      </c>
      <c r="N418" t="s">
        <v>12</v>
      </c>
      <c r="O418" t="s">
        <v>6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1</v>
      </c>
      <c r="Z418">
        <v>1</v>
      </c>
      <c r="AA418">
        <v>1</v>
      </c>
      <c r="AB418">
        <v>1</v>
      </c>
      <c r="AC418">
        <v>1</v>
      </c>
      <c r="AD418">
        <v>1</v>
      </c>
      <c r="AE418">
        <v>1</v>
      </c>
      <c r="AF418">
        <v>1</v>
      </c>
      <c r="AG418" t="s">
        <v>6</v>
      </c>
      <c r="AH418" t="s">
        <v>12</v>
      </c>
      <c r="AI418" t="s">
        <v>6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0</v>
      </c>
      <c r="AN418">
        <f>$H$418*$T$418</f>
        <v>0</v>
      </c>
      <c r="AO418">
        <f>$H$418*$U$418</f>
        <v>0</v>
      </c>
      <c r="AP418">
        <f>$H$418*$V$418</f>
        <v>0</v>
      </c>
      <c r="AQ418">
        <f>$H$418*$W$418</f>
        <v>0</v>
      </c>
      <c r="AR418">
        <f>$H$418*$X$418</f>
        <v>0</v>
      </c>
      <c r="AS418">
        <f>$H$418*$Y$418</f>
        <v>240.47</v>
      </c>
      <c r="AT418">
        <f>$H$418*$Z$418</f>
        <v>240.47</v>
      </c>
      <c r="AU418">
        <f>$H$418*$AA$418</f>
        <v>240.47</v>
      </c>
      <c r="AV418">
        <f>$H$418*$AB$418</f>
        <v>240.47</v>
      </c>
      <c r="AW418">
        <f>$H$418*$AC$418</f>
        <v>240.47</v>
      </c>
      <c r="AX418">
        <f>$H$418*$AD$418</f>
        <v>240.47</v>
      </c>
      <c r="AY418">
        <f>$H$418*$AE$418</f>
        <v>240.47</v>
      </c>
      <c r="AZ418">
        <f>$H$418*$AF$418</f>
        <v>240.47</v>
      </c>
    </row>
    <row r="419" spans="1:52" x14ac:dyDescent="0.25">
      <c r="A419">
        <v>469</v>
      </c>
      <c r="B419" t="s">
        <v>6</v>
      </c>
      <c r="C419" t="s">
        <v>464</v>
      </c>
      <c r="D419">
        <v>23.11</v>
      </c>
      <c r="E419">
        <v>82.73</v>
      </c>
      <c r="F419" t="s">
        <v>349</v>
      </c>
      <c r="G419">
        <v>3.58</v>
      </c>
      <c r="H419">
        <v>99.27</v>
      </c>
      <c r="I419" t="s">
        <v>465</v>
      </c>
      <c r="J419" t="s">
        <v>466</v>
      </c>
      <c r="K419" t="s">
        <v>666</v>
      </c>
      <c r="L419" t="s">
        <v>179</v>
      </c>
      <c r="M419" t="s">
        <v>6</v>
      </c>
      <c r="N419" t="s">
        <v>12</v>
      </c>
      <c r="O419" t="s">
        <v>6</v>
      </c>
      <c r="P419">
        <v>0</v>
      </c>
      <c r="Q419">
        <v>0</v>
      </c>
      <c r="R419">
        <v>0</v>
      </c>
      <c r="S419">
        <v>1</v>
      </c>
      <c r="T419">
        <v>1</v>
      </c>
      <c r="U419">
        <v>1</v>
      </c>
      <c r="V419">
        <v>1</v>
      </c>
      <c r="W419">
        <v>1</v>
      </c>
      <c r="X419">
        <v>1</v>
      </c>
      <c r="Y419">
        <v>1</v>
      </c>
      <c r="Z419">
        <v>1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6</v>
      </c>
      <c r="AH419" t="s">
        <v>12</v>
      </c>
      <c r="AI419" t="s">
        <v>6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99.27</v>
      </c>
      <c r="AN419">
        <f>$H$419*$T$419</f>
        <v>99.27</v>
      </c>
      <c r="AO419">
        <f>$H$419*$U$419</f>
        <v>99.27</v>
      </c>
      <c r="AP419">
        <f>$H$419*$V$419</f>
        <v>99.27</v>
      </c>
      <c r="AQ419">
        <f>$H$419*$W$419</f>
        <v>99.27</v>
      </c>
      <c r="AR419">
        <f>$H$419*$X$419</f>
        <v>99.27</v>
      </c>
      <c r="AS419">
        <f>$H$419*$Y$419</f>
        <v>99.27</v>
      </c>
      <c r="AT419">
        <f>$H$419*$Z$419</f>
        <v>99.27</v>
      </c>
      <c r="AU419">
        <f>$H$419*$AA$419</f>
        <v>99.27</v>
      </c>
      <c r="AV419">
        <f>$H$419*$AB$419</f>
        <v>99.27</v>
      </c>
      <c r="AW419">
        <f>$H$419*$AC$419</f>
        <v>99.27</v>
      </c>
      <c r="AX419">
        <f>$H$419*$AD$419</f>
        <v>99.27</v>
      </c>
      <c r="AY419">
        <f>$H$419*$AE$419</f>
        <v>99.27</v>
      </c>
      <c r="AZ419">
        <f>$H$419*$AF$419</f>
        <v>99.27</v>
      </c>
    </row>
    <row r="420" spans="1:52" x14ac:dyDescent="0.25">
      <c r="A420">
        <v>470</v>
      </c>
      <c r="B420" t="s">
        <v>6</v>
      </c>
      <c r="C420" t="s">
        <v>467</v>
      </c>
      <c r="D420">
        <v>23.11</v>
      </c>
      <c r="E420">
        <v>227.63</v>
      </c>
      <c r="F420" t="s">
        <v>349</v>
      </c>
      <c r="G420">
        <v>9.85</v>
      </c>
      <c r="H420">
        <v>273.14999999999998</v>
      </c>
      <c r="I420" t="s">
        <v>465</v>
      </c>
      <c r="J420" t="s">
        <v>372</v>
      </c>
      <c r="K420" t="s">
        <v>667</v>
      </c>
      <c r="L420" t="s">
        <v>179</v>
      </c>
      <c r="M420" t="s">
        <v>6</v>
      </c>
      <c r="N420" t="s">
        <v>12</v>
      </c>
      <c r="O420" t="s">
        <v>6</v>
      </c>
      <c r="P420">
        <v>0</v>
      </c>
      <c r="Q420">
        <v>0</v>
      </c>
      <c r="R420">
        <v>0</v>
      </c>
      <c r="S420">
        <v>1</v>
      </c>
      <c r="T420">
        <v>1</v>
      </c>
      <c r="U420">
        <v>1</v>
      </c>
      <c r="V420">
        <v>1</v>
      </c>
      <c r="W420">
        <v>1</v>
      </c>
      <c r="X420">
        <v>1</v>
      </c>
      <c r="Y420">
        <v>1</v>
      </c>
      <c r="Z420">
        <v>1</v>
      </c>
      <c r="AA420">
        <v>1</v>
      </c>
      <c r="AB420">
        <v>1</v>
      </c>
      <c r="AC420">
        <v>1</v>
      </c>
      <c r="AD420">
        <v>1</v>
      </c>
      <c r="AE420">
        <v>1</v>
      </c>
      <c r="AF420">
        <v>1</v>
      </c>
      <c r="AG420" t="s">
        <v>6</v>
      </c>
      <c r="AH420" t="s">
        <v>12</v>
      </c>
      <c r="AI420" t="s">
        <v>6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273.14999999999998</v>
      </c>
      <c r="AN420">
        <f>$H$420*$T$420</f>
        <v>273.14999999999998</v>
      </c>
      <c r="AO420">
        <f>$H$420*$U$420</f>
        <v>273.14999999999998</v>
      </c>
      <c r="AP420">
        <f>$H$420*$V$420</f>
        <v>273.14999999999998</v>
      </c>
      <c r="AQ420">
        <f>$H$420*$W$420</f>
        <v>273.14999999999998</v>
      </c>
      <c r="AR420">
        <f>$H$420*$X$420</f>
        <v>273.14999999999998</v>
      </c>
      <c r="AS420">
        <f>$H$420*$Y$420</f>
        <v>273.14999999999998</v>
      </c>
      <c r="AT420">
        <f>$H$420*$Z$420</f>
        <v>273.14999999999998</v>
      </c>
      <c r="AU420">
        <f>$H$420*$AA$420</f>
        <v>273.14999999999998</v>
      </c>
      <c r="AV420">
        <f>$H$420*$AB$420</f>
        <v>273.14999999999998</v>
      </c>
      <c r="AW420">
        <f>$H$420*$AC$420</f>
        <v>273.14999999999998</v>
      </c>
      <c r="AX420">
        <f>$H$420*$AD$420</f>
        <v>273.14999999999998</v>
      </c>
      <c r="AY420">
        <f>$H$420*$AE$420</f>
        <v>273.14999999999998</v>
      </c>
      <c r="AZ420">
        <f>$H$420*$AF$420</f>
        <v>273.14999999999998</v>
      </c>
    </row>
    <row r="421" spans="1:52" x14ac:dyDescent="0.25">
      <c r="A421">
        <v>471</v>
      </c>
      <c r="B421" t="s">
        <v>6</v>
      </c>
      <c r="C421" t="s">
        <v>468</v>
      </c>
      <c r="D421">
        <v>26.57</v>
      </c>
      <c r="E421">
        <v>27.1</v>
      </c>
      <c r="F421" t="s">
        <v>349</v>
      </c>
      <c r="G421">
        <v>1.02</v>
      </c>
      <c r="H421">
        <v>32.520000000000003</v>
      </c>
      <c r="I421" t="s">
        <v>469</v>
      </c>
      <c r="J421" t="s">
        <v>470</v>
      </c>
      <c r="K421" t="s">
        <v>668</v>
      </c>
      <c r="L421" t="s">
        <v>179</v>
      </c>
      <c r="M421" t="s">
        <v>6</v>
      </c>
      <c r="N421" t="s">
        <v>12</v>
      </c>
      <c r="O421" t="s">
        <v>6</v>
      </c>
      <c r="P421">
        <v>0</v>
      </c>
      <c r="Q421">
        <v>0</v>
      </c>
      <c r="R421">
        <v>0</v>
      </c>
      <c r="S421">
        <v>1</v>
      </c>
      <c r="T421">
        <v>1</v>
      </c>
      <c r="U421">
        <v>1</v>
      </c>
      <c r="V421">
        <v>1</v>
      </c>
      <c r="W421">
        <v>1</v>
      </c>
      <c r="X421">
        <v>1</v>
      </c>
      <c r="Y421">
        <v>1</v>
      </c>
      <c r="Z421">
        <v>1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 t="s">
        <v>6</v>
      </c>
      <c r="AH421" t="s">
        <v>12</v>
      </c>
      <c r="AI421" t="s">
        <v>6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32.520000000000003</v>
      </c>
      <c r="AN421">
        <f>$H$421*$T$421</f>
        <v>32.520000000000003</v>
      </c>
      <c r="AO421">
        <f>$H$421*$U$421</f>
        <v>32.520000000000003</v>
      </c>
      <c r="AP421">
        <f>$H$421*$V$421</f>
        <v>32.520000000000003</v>
      </c>
      <c r="AQ421">
        <f>$H$421*$W$421</f>
        <v>32.520000000000003</v>
      </c>
      <c r="AR421">
        <f>$H$421*$X$421</f>
        <v>32.520000000000003</v>
      </c>
      <c r="AS421">
        <f>$H$421*$Y$421</f>
        <v>32.520000000000003</v>
      </c>
      <c r="AT421">
        <f>$H$421*$Z$421</f>
        <v>32.520000000000003</v>
      </c>
      <c r="AU421">
        <f>$H$421*$AA$421</f>
        <v>32.520000000000003</v>
      </c>
      <c r="AV421">
        <f>$H$421*$AB$421</f>
        <v>32.520000000000003</v>
      </c>
      <c r="AW421">
        <f>$H$421*$AC$421</f>
        <v>32.520000000000003</v>
      </c>
      <c r="AX421">
        <f>$H$421*$AD$421</f>
        <v>32.520000000000003</v>
      </c>
      <c r="AY421">
        <f>$H$421*$AE$421</f>
        <v>32.520000000000003</v>
      </c>
      <c r="AZ421">
        <f>$H$421*$AF$421</f>
        <v>32.520000000000003</v>
      </c>
    </row>
    <row r="422" spans="1:52" x14ac:dyDescent="0.25">
      <c r="A422">
        <v>472</v>
      </c>
      <c r="B422" t="s">
        <v>6</v>
      </c>
      <c r="C422" t="s">
        <v>471</v>
      </c>
      <c r="D422">
        <v>26.57</v>
      </c>
      <c r="E422">
        <v>245.24</v>
      </c>
      <c r="F422" t="s">
        <v>349</v>
      </c>
      <c r="G422">
        <v>9.23</v>
      </c>
      <c r="H422">
        <v>294.27999999999997</v>
      </c>
      <c r="I422" t="s">
        <v>469</v>
      </c>
      <c r="J422" t="s">
        <v>463</v>
      </c>
      <c r="K422" t="s">
        <v>669</v>
      </c>
      <c r="L422" t="s">
        <v>179</v>
      </c>
      <c r="M422" t="s">
        <v>6</v>
      </c>
      <c r="N422" t="s">
        <v>12</v>
      </c>
      <c r="O422" t="s">
        <v>6</v>
      </c>
      <c r="P422">
        <v>0</v>
      </c>
      <c r="Q422">
        <v>0</v>
      </c>
      <c r="R422">
        <v>0</v>
      </c>
      <c r="S422">
        <v>1</v>
      </c>
      <c r="T422">
        <v>1</v>
      </c>
      <c r="U422">
        <v>1</v>
      </c>
      <c r="V422">
        <v>1</v>
      </c>
      <c r="W422">
        <v>1</v>
      </c>
      <c r="X422">
        <v>1</v>
      </c>
      <c r="Y422">
        <v>1</v>
      </c>
      <c r="Z422">
        <v>1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 t="s">
        <v>6</v>
      </c>
      <c r="AH422" t="s">
        <v>12</v>
      </c>
      <c r="AI422" t="s">
        <v>6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294.27999999999997</v>
      </c>
      <c r="AN422">
        <f>$H$422*$T$422</f>
        <v>294.27999999999997</v>
      </c>
      <c r="AO422">
        <f>$H$422*$U$422</f>
        <v>294.27999999999997</v>
      </c>
      <c r="AP422">
        <f>$H$422*$V$422</f>
        <v>294.27999999999997</v>
      </c>
      <c r="AQ422">
        <f>$H$422*$W$422</f>
        <v>294.27999999999997</v>
      </c>
      <c r="AR422">
        <f>$H$422*$X$422</f>
        <v>294.27999999999997</v>
      </c>
      <c r="AS422">
        <f>$H$422*$Y$422</f>
        <v>294.27999999999997</v>
      </c>
      <c r="AT422">
        <f>$H$422*$Z$422</f>
        <v>294.27999999999997</v>
      </c>
      <c r="AU422">
        <f>$H$422*$AA$422</f>
        <v>294.27999999999997</v>
      </c>
      <c r="AV422">
        <f>$H$422*$AB$422</f>
        <v>294.27999999999997</v>
      </c>
      <c r="AW422">
        <f>$H$422*$AC$422</f>
        <v>294.27999999999997</v>
      </c>
      <c r="AX422">
        <f>$H$422*$AD$422</f>
        <v>294.27999999999997</v>
      </c>
      <c r="AY422">
        <f>$H$422*$AE$422</f>
        <v>294.27999999999997</v>
      </c>
      <c r="AZ422">
        <f>$H$422*$AF$422</f>
        <v>294.27999999999997</v>
      </c>
    </row>
    <row r="423" spans="1:52" x14ac:dyDescent="0.25">
      <c r="A423">
        <v>473</v>
      </c>
      <c r="B423" t="s">
        <v>296</v>
      </c>
      <c r="C423" t="s">
        <v>435</v>
      </c>
      <c r="D423">
        <v>5</v>
      </c>
      <c r="E423">
        <v>66.349999999999994</v>
      </c>
      <c r="F423" t="s">
        <v>335</v>
      </c>
      <c r="G423">
        <v>13.27</v>
      </c>
      <c r="H423">
        <v>79.63</v>
      </c>
      <c r="I423" t="s">
        <v>337</v>
      </c>
      <c r="J423" t="s">
        <v>436</v>
      </c>
      <c r="K423" t="s">
        <v>652</v>
      </c>
      <c r="L423" t="s">
        <v>179</v>
      </c>
      <c r="M423" t="s">
        <v>296</v>
      </c>
      <c r="N423" t="s">
        <v>12</v>
      </c>
      <c r="O423" t="s">
        <v>297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1</v>
      </c>
      <c r="Y423">
        <v>1</v>
      </c>
      <c r="Z423">
        <v>1</v>
      </c>
      <c r="AA423">
        <v>1</v>
      </c>
      <c r="AB423">
        <v>1</v>
      </c>
      <c r="AC423">
        <v>1</v>
      </c>
      <c r="AD423">
        <v>1</v>
      </c>
      <c r="AE423">
        <v>1</v>
      </c>
      <c r="AF423">
        <v>1</v>
      </c>
      <c r="AG423" t="s">
        <v>296</v>
      </c>
      <c r="AH423" t="s">
        <v>12</v>
      </c>
      <c r="AI423" t="s">
        <v>297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0</v>
      </c>
      <c r="AN423">
        <f>$H$423*$T$423</f>
        <v>0</v>
      </c>
      <c r="AO423">
        <f>$H$423*$U$423</f>
        <v>0</v>
      </c>
      <c r="AP423">
        <f>$H$423*$V$423</f>
        <v>0</v>
      </c>
      <c r="AQ423">
        <f>$H$423*$W$423</f>
        <v>0</v>
      </c>
      <c r="AR423">
        <f>$H$423*$X$423</f>
        <v>79.63</v>
      </c>
      <c r="AS423">
        <f>$H$423*$Y$423</f>
        <v>79.63</v>
      </c>
      <c r="AT423">
        <f>$H$423*$Z$423</f>
        <v>79.63</v>
      </c>
      <c r="AU423">
        <f>$H$423*$AA$423</f>
        <v>79.63</v>
      </c>
      <c r="AV423">
        <f>$H$423*$AB$423</f>
        <v>79.63</v>
      </c>
      <c r="AW423">
        <f>$H$423*$AC$423</f>
        <v>79.63</v>
      </c>
      <c r="AX423">
        <f>$H$423*$AD$423</f>
        <v>79.63</v>
      </c>
      <c r="AY423">
        <f>$H$423*$AE$423</f>
        <v>79.63</v>
      </c>
      <c r="AZ423">
        <f>$H$423*$AF$423</f>
        <v>79.63</v>
      </c>
    </row>
    <row r="424" spans="1:52" x14ac:dyDescent="0.25">
      <c r="A424">
        <v>474</v>
      </c>
      <c r="B424" t="s">
        <v>296</v>
      </c>
      <c r="C424" t="s">
        <v>437</v>
      </c>
      <c r="D424">
        <v>1</v>
      </c>
      <c r="E424">
        <v>98.82</v>
      </c>
      <c r="F424" t="s">
        <v>335</v>
      </c>
      <c r="G424">
        <v>98.82</v>
      </c>
      <c r="H424">
        <v>118.58</v>
      </c>
      <c r="I424" t="s">
        <v>340</v>
      </c>
      <c r="J424" t="s">
        <v>372</v>
      </c>
      <c r="K424" t="s">
        <v>653</v>
      </c>
      <c r="L424" t="s">
        <v>179</v>
      </c>
      <c r="M424" t="s">
        <v>296</v>
      </c>
      <c r="N424" t="s">
        <v>12</v>
      </c>
      <c r="O424" t="s">
        <v>297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1</v>
      </c>
      <c r="AE424">
        <v>1</v>
      </c>
      <c r="AF424">
        <v>1</v>
      </c>
      <c r="AG424" t="s">
        <v>296</v>
      </c>
      <c r="AH424" t="s">
        <v>12</v>
      </c>
      <c r="AI424" t="s">
        <v>297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0</v>
      </c>
      <c r="AN424">
        <f>$H$424*$T$424</f>
        <v>0</v>
      </c>
      <c r="AO424">
        <f>$H$424*$U$424</f>
        <v>0</v>
      </c>
      <c r="AP424">
        <f>$H$424*$V$424</f>
        <v>0</v>
      </c>
      <c r="AQ424">
        <f>$H$424*$W$424</f>
        <v>0</v>
      </c>
      <c r="AR424">
        <f>$H$424*$X$424</f>
        <v>0</v>
      </c>
      <c r="AS424">
        <f>$H$424*$Y$424</f>
        <v>0</v>
      </c>
      <c r="AT424">
        <f>$H$424*$Z$424</f>
        <v>0</v>
      </c>
      <c r="AU424">
        <f>$H$424*$AA$424</f>
        <v>0</v>
      </c>
      <c r="AV424">
        <f>$H$424*$AB$424</f>
        <v>0</v>
      </c>
      <c r="AW424">
        <f>$H$424*$AC$424</f>
        <v>0</v>
      </c>
      <c r="AX424">
        <f>$H$424*$AD$424</f>
        <v>118.58</v>
      </c>
      <c r="AY424">
        <f>$H$424*$AE$424</f>
        <v>118.58</v>
      </c>
      <c r="AZ424">
        <f>$H$424*$AF$424</f>
        <v>118.58</v>
      </c>
    </row>
    <row r="425" spans="1:52" x14ac:dyDescent="0.25">
      <c r="A425">
        <v>475</v>
      </c>
      <c r="B425" t="s">
        <v>296</v>
      </c>
      <c r="C425" t="s">
        <v>438</v>
      </c>
      <c r="D425">
        <v>23.6</v>
      </c>
      <c r="E425">
        <v>61.83</v>
      </c>
      <c r="F425" t="s">
        <v>329</v>
      </c>
      <c r="G425">
        <v>2.62</v>
      </c>
      <c r="H425">
        <v>74.19</v>
      </c>
      <c r="I425" t="s">
        <v>439</v>
      </c>
      <c r="J425" t="s">
        <v>440</v>
      </c>
      <c r="K425" t="s">
        <v>654</v>
      </c>
      <c r="L425" t="s">
        <v>179</v>
      </c>
      <c r="M425" t="s">
        <v>296</v>
      </c>
      <c r="N425" t="s">
        <v>12</v>
      </c>
      <c r="O425" t="s">
        <v>297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1</v>
      </c>
      <c r="AB425">
        <v>1</v>
      </c>
      <c r="AC425">
        <v>1</v>
      </c>
      <c r="AD425">
        <v>1</v>
      </c>
      <c r="AE425">
        <v>1</v>
      </c>
      <c r="AF425">
        <v>1</v>
      </c>
      <c r="AG425" t="s">
        <v>296</v>
      </c>
      <c r="AH425" t="s">
        <v>12</v>
      </c>
      <c r="AI425" t="s">
        <v>297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0</v>
      </c>
      <c r="AN425">
        <f>$H$425*$T$425</f>
        <v>0</v>
      </c>
      <c r="AO425">
        <f>$H$425*$U$425</f>
        <v>0</v>
      </c>
      <c r="AP425">
        <f>$H$425*$V$425</f>
        <v>0</v>
      </c>
      <c r="AQ425">
        <f>$H$425*$W$425</f>
        <v>0</v>
      </c>
      <c r="AR425">
        <f>$H$425*$X$425</f>
        <v>0</v>
      </c>
      <c r="AS425">
        <f>$H$425*$Y$425</f>
        <v>0</v>
      </c>
      <c r="AT425">
        <f>$H$425*$Z$425</f>
        <v>0</v>
      </c>
      <c r="AU425">
        <f>$H$425*$AA$425</f>
        <v>74.19</v>
      </c>
      <c r="AV425">
        <f>$H$425*$AB$425</f>
        <v>74.19</v>
      </c>
      <c r="AW425">
        <f>$H$425*$AC$425</f>
        <v>74.19</v>
      </c>
      <c r="AX425">
        <f>$H$425*$AD$425</f>
        <v>74.19</v>
      </c>
      <c r="AY425">
        <f>$H$425*$AE$425</f>
        <v>74.19</v>
      </c>
      <c r="AZ425">
        <f>$H$425*$AF$425</f>
        <v>74.19</v>
      </c>
    </row>
    <row r="426" spans="1:52" x14ac:dyDescent="0.25">
      <c r="A426">
        <v>476</v>
      </c>
      <c r="B426" t="s">
        <v>296</v>
      </c>
      <c r="C426" t="s">
        <v>441</v>
      </c>
      <c r="D426">
        <v>212.4</v>
      </c>
      <c r="E426">
        <v>458.78</v>
      </c>
      <c r="F426" t="s">
        <v>349</v>
      </c>
      <c r="G426">
        <v>2.16</v>
      </c>
      <c r="H426">
        <v>550.54</v>
      </c>
      <c r="I426" t="s">
        <v>439</v>
      </c>
      <c r="J426" t="s">
        <v>442</v>
      </c>
      <c r="K426" t="s">
        <v>655</v>
      </c>
      <c r="L426" t="s">
        <v>179</v>
      </c>
      <c r="M426" t="s">
        <v>296</v>
      </c>
      <c r="N426" t="s">
        <v>12</v>
      </c>
      <c r="O426" t="s">
        <v>297</v>
      </c>
      <c r="P426">
        <v>0</v>
      </c>
      <c r="Q426">
        <v>0</v>
      </c>
      <c r="R426">
        <v>0</v>
      </c>
      <c r="S426">
        <v>1</v>
      </c>
      <c r="T426">
        <v>1</v>
      </c>
      <c r="U426">
        <v>1</v>
      </c>
      <c r="V426">
        <v>1</v>
      </c>
      <c r="W426">
        <v>1</v>
      </c>
      <c r="X426">
        <v>1</v>
      </c>
      <c r="Y426">
        <v>1</v>
      </c>
      <c r="Z426">
        <v>1</v>
      </c>
      <c r="AA426">
        <v>1</v>
      </c>
      <c r="AB426">
        <v>1</v>
      </c>
      <c r="AC426">
        <v>1</v>
      </c>
      <c r="AD426">
        <v>1</v>
      </c>
      <c r="AE426">
        <v>1</v>
      </c>
      <c r="AF426">
        <v>1</v>
      </c>
      <c r="AG426" t="s">
        <v>296</v>
      </c>
      <c r="AH426" t="s">
        <v>12</v>
      </c>
      <c r="AI426" t="s">
        <v>297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550.54</v>
      </c>
      <c r="AN426">
        <f>$H$426*$T$426</f>
        <v>550.54</v>
      </c>
      <c r="AO426">
        <f>$H$426*$U$426</f>
        <v>550.54</v>
      </c>
      <c r="AP426">
        <f>$H$426*$V$426</f>
        <v>550.54</v>
      </c>
      <c r="AQ426">
        <f>$H$426*$W$426</f>
        <v>550.54</v>
      </c>
      <c r="AR426">
        <f>$H$426*$X$426</f>
        <v>550.54</v>
      </c>
      <c r="AS426">
        <f>$H$426*$Y$426</f>
        <v>550.54</v>
      </c>
      <c r="AT426">
        <f>$H$426*$Z$426</f>
        <v>550.54</v>
      </c>
      <c r="AU426">
        <f>$H$426*$AA$426</f>
        <v>550.54</v>
      </c>
      <c r="AV426">
        <f>$H$426*$AB$426</f>
        <v>550.54</v>
      </c>
      <c r="AW426">
        <f>$H$426*$AC$426</f>
        <v>550.54</v>
      </c>
      <c r="AX426">
        <f>$H$426*$AD$426</f>
        <v>550.54</v>
      </c>
      <c r="AY426">
        <f>$H$426*$AE$426</f>
        <v>550.54</v>
      </c>
      <c r="AZ426">
        <f>$H$426*$AF$426</f>
        <v>550.54</v>
      </c>
    </row>
    <row r="427" spans="1:52" x14ac:dyDescent="0.25">
      <c r="A427">
        <v>477</v>
      </c>
      <c r="B427" t="s">
        <v>296</v>
      </c>
      <c r="C427" t="s">
        <v>443</v>
      </c>
      <c r="D427">
        <v>212.4</v>
      </c>
      <c r="E427">
        <v>133.81</v>
      </c>
      <c r="F427" t="s">
        <v>349</v>
      </c>
      <c r="G427">
        <v>0.63</v>
      </c>
      <c r="H427">
        <v>160.57</v>
      </c>
      <c r="I427" t="s">
        <v>330</v>
      </c>
      <c r="J427" t="s">
        <v>444</v>
      </c>
      <c r="K427" t="s">
        <v>656</v>
      </c>
      <c r="L427" t="s">
        <v>179</v>
      </c>
      <c r="M427" t="s">
        <v>296</v>
      </c>
      <c r="N427" t="s">
        <v>12</v>
      </c>
      <c r="O427" t="s">
        <v>297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1</v>
      </c>
      <c r="AE427">
        <v>1</v>
      </c>
      <c r="AF427">
        <v>1</v>
      </c>
      <c r="AG427" t="s">
        <v>296</v>
      </c>
      <c r="AH427" t="s">
        <v>12</v>
      </c>
      <c r="AI427" t="s">
        <v>297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0</v>
      </c>
      <c r="AN427">
        <f>$H$427*$T$427</f>
        <v>0</v>
      </c>
      <c r="AO427">
        <f>$H$427*$U$427</f>
        <v>0</v>
      </c>
      <c r="AP427">
        <f>$H$427*$V$427</f>
        <v>0</v>
      </c>
      <c r="AQ427">
        <f>$H$427*$W$427</f>
        <v>0</v>
      </c>
      <c r="AR427">
        <f>$H$427*$X$427</f>
        <v>0</v>
      </c>
      <c r="AS427">
        <f>$H$427*$Y$427</f>
        <v>0</v>
      </c>
      <c r="AT427">
        <f>$H$427*$Z$427</f>
        <v>0</v>
      </c>
      <c r="AU427">
        <f>$H$427*$AA$427</f>
        <v>0</v>
      </c>
      <c r="AV427">
        <f>$H$427*$AB$427</f>
        <v>0</v>
      </c>
      <c r="AW427">
        <f>$H$427*$AC$427</f>
        <v>0</v>
      </c>
      <c r="AX427">
        <f>$H$427*$AD$427</f>
        <v>160.57</v>
      </c>
      <c r="AY427">
        <f>$H$427*$AE$427</f>
        <v>160.57</v>
      </c>
      <c r="AZ427">
        <f>$H$427*$AF$427</f>
        <v>160.57</v>
      </c>
    </row>
    <row r="428" spans="1:52" x14ac:dyDescent="0.25">
      <c r="A428">
        <v>478</v>
      </c>
      <c r="B428" t="s">
        <v>296</v>
      </c>
      <c r="C428" t="s">
        <v>362</v>
      </c>
      <c r="D428">
        <v>265.5</v>
      </c>
      <c r="E428">
        <v>260.19</v>
      </c>
      <c r="F428" t="s">
        <v>349</v>
      </c>
      <c r="G428">
        <v>0.98</v>
      </c>
      <c r="H428">
        <v>312.23</v>
      </c>
      <c r="I428" t="s">
        <v>330</v>
      </c>
      <c r="J428" t="s">
        <v>363</v>
      </c>
      <c r="K428" t="s">
        <v>617</v>
      </c>
      <c r="L428" t="s">
        <v>179</v>
      </c>
      <c r="M428" t="s">
        <v>296</v>
      </c>
      <c r="N428" t="s">
        <v>12</v>
      </c>
      <c r="O428" t="s">
        <v>297</v>
      </c>
      <c r="P428">
        <v>0</v>
      </c>
      <c r="Q428">
        <v>0</v>
      </c>
      <c r="R428">
        <v>0</v>
      </c>
      <c r="S428">
        <v>0</v>
      </c>
      <c r="T428">
        <v>1</v>
      </c>
      <c r="U428">
        <v>1</v>
      </c>
      <c r="V428">
        <v>1</v>
      </c>
      <c r="W428">
        <v>1</v>
      </c>
      <c r="X428">
        <v>1</v>
      </c>
      <c r="Y428">
        <v>1</v>
      </c>
      <c r="Z428">
        <v>1</v>
      </c>
      <c r="AA428">
        <v>1</v>
      </c>
      <c r="AB428">
        <v>1</v>
      </c>
      <c r="AC428">
        <v>1</v>
      </c>
      <c r="AD428">
        <v>1</v>
      </c>
      <c r="AE428">
        <v>1</v>
      </c>
      <c r="AF428">
        <v>1</v>
      </c>
      <c r="AG428" t="s">
        <v>296</v>
      </c>
      <c r="AH428" t="s">
        <v>12</v>
      </c>
      <c r="AI428" t="s">
        <v>297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0</v>
      </c>
      <c r="AN428">
        <f>$H$428*$T$428</f>
        <v>312.23</v>
      </c>
      <c r="AO428">
        <f>$H$428*$U$428</f>
        <v>312.23</v>
      </c>
      <c r="AP428">
        <f>$H$428*$V$428</f>
        <v>312.23</v>
      </c>
      <c r="AQ428">
        <f>$H$428*$W$428</f>
        <v>312.23</v>
      </c>
      <c r="AR428">
        <f>$H$428*$X$428</f>
        <v>312.23</v>
      </c>
      <c r="AS428">
        <f>$H$428*$Y$428</f>
        <v>312.23</v>
      </c>
      <c r="AT428">
        <f>$H$428*$Z$428</f>
        <v>312.23</v>
      </c>
      <c r="AU428">
        <f>$H$428*$AA$428</f>
        <v>312.23</v>
      </c>
      <c r="AV428">
        <f>$H$428*$AB$428</f>
        <v>312.23</v>
      </c>
      <c r="AW428">
        <f>$H$428*$AC$428</f>
        <v>312.23</v>
      </c>
      <c r="AX428">
        <f>$H$428*$AD$428</f>
        <v>312.23</v>
      </c>
      <c r="AY428">
        <f>$H$428*$AE$428</f>
        <v>312.23</v>
      </c>
      <c r="AZ428">
        <f>$H$428*$AF$428</f>
        <v>312.23</v>
      </c>
    </row>
    <row r="429" spans="1:52" x14ac:dyDescent="0.25">
      <c r="A429">
        <v>479</v>
      </c>
      <c r="B429" t="s">
        <v>296</v>
      </c>
      <c r="C429" t="s">
        <v>445</v>
      </c>
      <c r="D429">
        <v>53.1</v>
      </c>
      <c r="E429">
        <v>199.66</v>
      </c>
      <c r="F429" t="s">
        <v>349</v>
      </c>
      <c r="G429">
        <v>3.76</v>
      </c>
      <c r="H429">
        <v>239.6</v>
      </c>
      <c r="I429" t="s">
        <v>446</v>
      </c>
      <c r="J429" t="s">
        <v>420</v>
      </c>
      <c r="K429" t="s">
        <v>657</v>
      </c>
      <c r="L429" t="s">
        <v>179</v>
      </c>
      <c r="M429" t="s">
        <v>296</v>
      </c>
      <c r="N429" t="s">
        <v>12</v>
      </c>
      <c r="O429" t="s">
        <v>297</v>
      </c>
      <c r="P429">
        <v>0</v>
      </c>
      <c r="Q429">
        <v>0</v>
      </c>
      <c r="R429">
        <v>0</v>
      </c>
      <c r="S429">
        <v>0.25</v>
      </c>
      <c r="T429">
        <v>0.25</v>
      </c>
      <c r="U429">
        <v>0.25</v>
      </c>
      <c r="V429">
        <v>0.25</v>
      </c>
      <c r="W429">
        <v>0.25</v>
      </c>
      <c r="X429">
        <v>0.5</v>
      </c>
      <c r="Y429">
        <v>0.5</v>
      </c>
      <c r="Z429">
        <v>0.5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 t="s">
        <v>296</v>
      </c>
      <c r="AH429" t="s">
        <v>12</v>
      </c>
      <c r="AI429" t="s">
        <v>297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59.9</v>
      </c>
      <c r="AN429">
        <f>$H$429*$T$429</f>
        <v>59.9</v>
      </c>
      <c r="AO429">
        <f>$H$429*$U$429</f>
        <v>59.9</v>
      </c>
      <c r="AP429">
        <f>$H$429*$V$429</f>
        <v>59.9</v>
      </c>
      <c r="AQ429">
        <f>$H$429*$W$429</f>
        <v>59.9</v>
      </c>
      <c r="AR429">
        <f>$H$429*$X$429</f>
        <v>119.8</v>
      </c>
      <c r="AS429">
        <f>$H$429*$Y$429</f>
        <v>119.8</v>
      </c>
      <c r="AT429">
        <f>$H$429*$Z$429</f>
        <v>119.8</v>
      </c>
      <c r="AU429">
        <f>$H$429*$AA$429</f>
        <v>239.6</v>
      </c>
      <c r="AV429">
        <f>$H$429*$AB$429</f>
        <v>239.6</v>
      </c>
      <c r="AW429">
        <f>$H$429*$AC$429</f>
        <v>239.6</v>
      </c>
      <c r="AX429">
        <f>$H$429*$AD$429</f>
        <v>239.6</v>
      </c>
      <c r="AY429">
        <f>$H$429*$AE$429</f>
        <v>239.6</v>
      </c>
      <c r="AZ429">
        <f>$H$429*$AF$429</f>
        <v>239.6</v>
      </c>
    </row>
    <row r="430" spans="1:52" x14ac:dyDescent="0.25">
      <c r="A430">
        <v>480</v>
      </c>
      <c r="B430" t="s">
        <v>296</v>
      </c>
      <c r="C430" t="s">
        <v>364</v>
      </c>
      <c r="D430">
        <v>531</v>
      </c>
      <c r="E430">
        <v>1784.16</v>
      </c>
      <c r="F430" t="s">
        <v>349</v>
      </c>
      <c r="G430">
        <v>3.36</v>
      </c>
      <c r="H430">
        <v>2141</v>
      </c>
      <c r="I430" t="s">
        <v>365</v>
      </c>
      <c r="J430" t="s">
        <v>366</v>
      </c>
      <c r="K430" t="s">
        <v>618</v>
      </c>
      <c r="L430" t="s">
        <v>179</v>
      </c>
      <c r="M430" t="s">
        <v>296</v>
      </c>
      <c r="N430" t="s">
        <v>12</v>
      </c>
      <c r="O430" t="s">
        <v>297</v>
      </c>
      <c r="P430">
        <v>0</v>
      </c>
      <c r="Q430">
        <v>0</v>
      </c>
      <c r="R430">
        <v>0</v>
      </c>
      <c r="S430">
        <v>0.25</v>
      </c>
      <c r="T430">
        <v>0.25</v>
      </c>
      <c r="U430">
        <v>0.25</v>
      </c>
      <c r="V430">
        <v>0.25</v>
      </c>
      <c r="W430">
        <v>0.5</v>
      </c>
      <c r="X430">
        <v>0.5</v>
      </c>
      <c r="Y430">
        <v>0.5</v>
      </c>
      <c r="Z430">
        <v>0.5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296</v>
      </c>
      <c r="AH430" t="s">
        <v>12</v>
      </c>
      <c r="AI430" t="s">
        <v>297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535.25</v>
      </c>
      <c r="AN430">
        <f>$H$430*$T$430</f>
        <v>535.25</v>
      </c>
      <c r="AO430">
        <f>$H$430*$U$430</f>
        <v>535.25</v>
      </c>
      <c r="AP430">
        <f>$H$430*$V$430</f>
        <v>535.25</v>
      </c>
      <c r="AQ430">
        <f>$H$430*$W$430</f>
        <v>1070.5</v>
      </c>
      <c r="AR430">
        <f>$H$430*$X$430</f>
        <v>1070.5</v>
      </c>
      <c r="AS430">
        <f>$H$430*$Y$430</f>
        <v>1070.5</v>
      </c>
      <c r="AT430">
        <f>$H$430*$Z$430</f>
        <v>1070.5</v>
      </c>
      <c r="AU430">
        <f>$H$430*$AA$430</f>
        <v>2141</v>
      </c>
      <c r="AV430">
        <f>$H$430*$AB$430</f>
        <v>2141</v>
      </c>
      <c r="AW430">
        <f>$H$430*$AC$430</f>
        <v>2141</v>
      </c>
      <c r="AX430">
        <f>$H$430*$AD$430</f>
        <v>2141</v>
      </c>
      <c r="AY430">
        <f>$H$430*$AE$430</f>
        <v>2141</v>
      </c>
      <c r="AZ430">
        <f>$H$430*$AF$430</f>
        <v>2141</v>
      </c>
    </row>
    <row r="431" spans="1:52" x14ac:dyDescent="0.25">
      <c r="A431">
        <v>481</v>
      </c>
      <c r="B431" t="s">
        <v>296</v>
      </c>
      <c r="C431" t="s">
        <v>447</v>
      </c>
      <c r="D431">
        <v>59</v>
      </c>
      <c r="E431">
        <v>61.36</v>
      </c>
      <c r="F431" t="s">
        <v>329</v>
      </c>
      <c r="G431">
        <v>1.04</v>
      </c>
      <c r="H431">
        <v>73.64</v>
      </c>
      <c r="I431" t="s">
        <v>330</v>
      </c>
      <c r="J431" t="s">
        <v>448</v>
      </c>
      <c r="K431" t="s">
        <v>658</v>
      </c>
      <c r="L431" t="s">
        <v>179</v>
      </c>
      <c r="M431" t="s">
        <v>296</v>
      </c>
      <c r="N431" t="s">
        <v>12</v>
      </c>
      <c r="O431" t="s">
        <v>297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1</v>
      </c>
      <c r="AB431">
        <v>1</v>
      </c>
      <c r="AC431">
        <v>1</v>
      </c>
      <c r="AD431">
        <v>1</v>
      </c>
      <c r="AE431">
        <v>1</v>
      </c>
      <c r="AF431">
        <v>1</v>
      </c>
      <c r="AG431" t="s">
        <v>296</v>
      </c>
      <c r="AH431" t="s">
        <v>12</v>
      </c>
      <c r="AI431" t="s">
        <v>297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0</v>
      </c>
      <c r="AN431">
        <f>$H$431*$T$431</f>
        <v>0</v>
      </c>
      <c r="AO431">
        <f>$H$431*$U$431</f>
        <v>0</v>
      </c>
      <c r="AP431">
        <f>$H$431*$V$431</f>
        <v>0</v>
      </c>
      <c r="AQ431">
        <f>$H$431*$W$431</f>
        <v>0</v>
      </c>
      <c r="AR431">
        <f>$H$431*$X$431</f>
        <v>0</v>
      </c>
      <c r="AS431">
        <f>$H$431*$Y$431</f>
        <v>0</v>
      </c>
      <c r="AT431">
        <f>$H$431*$Z$431</f>
        <v>0</v>
      </c>
      <c r="AU431">
        <f>$H$431*$AA$431</f>
        <v>73.64</v>
      </c>
      <c r="AV431">
        <f>$H$431*$AB$431</f>
        <v>73.64</v>
      </c>
      <c r="AW431">
        <f>$H$431*$AC$431</f>
        <v>73.64</v>
      </c>
      <c r="AX431">
        <f>$H$431*$AD$431</f>
        <v>73.64</v>
      </c>
      <c r="AY431">
        <f>$H$431*$AE$431</f>
        <v>73.64</v>
      </c>
      <c r="AZ431">
        <f>$H$431*$AF$431</f>
        <v>73.64</v>
      </c>
    </row>
    <row r="432" spans="1:52" x14ac:dyDescent="0.25">
      <c r="A432">
        <v>482</v>
      </c>
      <c r="B432" t="s">
        <v>296</v>
      </c>
      <c r="C432" t="s">
        <v>449</v>
      </c>
      <c r="D432">
        <v>59</v>
      </c>
      <c r="E432">
        <v>473.18</v>
      </c>
      <c r="F432" t="s">
        <v>329</v>
      </c>
      <c r="G432">
        <v>8.02</v>
      </c>
      <c r="H432">
        <v>567.82000000000005</v>
      </c>
      <c r="I432" t="s">
        <v>333</v>
      </c>
      <c r="J432" t="s">
        <v>450</v>
      </c>
      <c r="K432" t="s">
        <v>659</v>
      </c>
      <c r="L432" t="s">
        <v>179</v>
      </c>
      <c r="M432" t="s">
        <v>296</v>
      </c>
      <c r="N432" t="s">
        <v>12</v>
      </c>
      <c r="O432" t="s">
        <v>297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1</v>
      </c>
      <c r="AB432">
        <v>1</v>
      </c>
      <c r="AC432">
        <v>1</v>
      </c>
      <c r="AD432">
        <v>1</v>
      </c>
      <c r="AE432">
        <v>1</v>
      </c>
      <c r="AF432">
        <v>1</v>
      </c>
      <c r="AG432" t="s">
        <v>296</v>
      </c>
      <c r="AH432" t="s">
        <v>12</v>
      </c>
      <c r="AI432" t="s">
        <v>297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0</v>
      </c>
      <c r="AN432">
        <f>$H$432*$T$432</f>
        <v>0</v>
      </c>
      <c r="AO432">
        <f>$H$432*$U$432</f>
        <v>0</v>
      </c>
      <c r="AP432">
        <f>$H$432*$V$432</f>
        <v>0</v>
      </c>
      <c r="AQ432">
        <f>$H$432*$W$432</f>
        <v>0</v>
      </c>
      <c r="AR432">
        <f>$H$432*$X$432</f>
        <v>0</v>
      </c>
      <c r="AS432">
        <f>$H$432*$Y$432</f>
        <v>0</v>
      </c>
      <c r="AT432">
        <f>$H$432*$Z$432</f>
        <v>0</v>
      </c>
      <c r="AU432">
        <f>$H$432*$AA$432</f>
        <v>567.82000000000005</v>
      </c>
      <c r="AV432">
        <f>$H$432*$AB$432</f>
        <v>567.82000000000005</v>
      </c>
      <c r="AW432">
        <f>$H$432*$AC$432</f>
        <v>567.82000000000005</v>
      </c>
      <c r="AX432">
        <f>$H$432*$AD$432</f>
        <v>567.82000000000005</v>
      </c>
      <c r="AY432">
        <f>$H$432*$AE$432</f>
        <v>567.82000000000005</v>
      </c>
      <c r="AZ432">
        <f>$H$432*$AF$432</f>
        <v>567.82000000000005</v>
      </c>
    </row>
    <row r="433" spans="1:52" x14ac:dyDescent="0.25">
      <c r="A433">
        <v>483</v>
      </c>
      <c r="B433" t="s">
        <v>296</v>
      </c>
      <c r="C433" t="s">
        <v>451</v>
      </c>
      <c r="D433">
        <v>28</v>
      </c>
      <c r="E433">
        <v>890.68</v>
      </c>
      <c r="F433" t="s">
        <v>329</v>
      </c>
      <c r="G433">
        <v>31.81</v>
      </c>
      <c r="H433">
        <v>1068.82</v>
      </c>
      <c r="I433" t="s">
        <v>333</v>
      </c>
      <c r="J433" t="s">
        <v>452</v>
      </c>
      <c r="K433" t="s">
        <v>660</v>
      </c>
      <c r="L433" t="s">
        <v>179</v>
      </c>
      <c r="M433" t="s">
        <v>296</v>
      </c>
      <c r="N433" t="s">
        <v>12</v>
      </c>
      <c r="O433" t="s">
        <v>297</v>
      </c>
      <c r="P433">
        <v>0</v>
      </c>
      <c r="Q433">
        <v>0</v>
      </c>
      <c r="R433">
        <v>0</v>
      </c>
      <c r="S433">
        <v>0</v>
      </c>
      <c r="T433">
        <v>1</v>
      </c>
      <c r="U433">
        <v>1</v>
      </c>
      <c r="V433">
        <v>1</v>
      </c>
      <c r="W433">
        <v>1</v>
      </c>
      <c r="X433">
        <v>1</v>
      </c>
      <c r="Y433">
        <v>1</v>
      </c>
      <c r="Z433">
        <v>1</v>
      </c>
      <c r="AA433">
        <v>1</v>
      </c>
      <c r="AB433">
        <v>1</v>
      </c>
      <c r="AC433">
        <v>1</v>
      </c>
      <c r="AD433">
        <v>1</v>
      </c>
      <c r="AE433">
        <v>1</v>
      </c>
      <c r="AF433">
        <v>1</v>
      </c>
      <c r="AG433" t="s">
        <v>296</v>
      </c>
      <c r="AH433" t="s">
        <v>12</v>
      </c>
      <c r="AI433" t="s">
        <v>297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0</v>
      </c>
      <c r="AN433">
        <f>$H$433*$T$433</f>
        <v>1068.82</v>
      </c>
      <c r="AO433">
        <f>$H$433*$U$433</f>
        <v>1068.82</v>
      </c>
      <c r="AP433">
        <f>$H$433*$V$433</f>
        <v>1068.82</v>
      </c>
      <c r="AQ433">
        <f>$H$433*$W$433</f>
        <v>1068.82</v>
      </c>
      <c r="AR433">
        <f>$H$433*$X$433</f>
        <v>1068.82</v>
      </c>
      <c r="AS433">
        <f>$H$433*$Y$433</f>
        <v>1068.82</v>
      </c>
      <c r="AT433">
        <f>$H$433*$Z$433</f>
        <v>1068.82</v>
      </c>
      <c r="AU433">
        <f>$H$433*$AA$433</f>
        <v>1068.82</v>
      </c>
      <c r="AV433">
        <f>$H$433*$AB$433</f>
        <v>1068.82</v>
      </c>
      <c r="AW433">
        <f>$H$433*$AC$433</f>
        <v>1068.82</v>
      </c>
      <c r="AX433">
        <f>$H$433*$AD$433</f>
        <v>1068.82</v>
      </c>
      <c r="AY433">
        <f>$H$433*$AE$433</f>
        <v>1068.82</v>
      </c>
      <c r="AZ433">
        <f>$H$433*$AF$433</f>
        <v>1068.82</v>
      </c>
    </row>
    <row r="434" spans="1:52" x14ac:dyDescent="0.25">
      <c r="A434">
        <v>484</v>
      </c>
      <c r="B434" t="s">
        <v>296</v>
      </c>
      <c r="C434" t="s">
        <v>453</v>
      </c>
      <c r="D434">
        <v>8</v>
      </c>
      <c r="E434">
        <v>476.8</v>
      </c>
      <c r="F434" t="s">
        <v>329</v>
      </c>
      <c r="G434">
        <v>59.6</v>
      </c>
      <c r="H434">
        <v>572.16</v>
      </c>
      <c r="I434" t="s">
        <v>333</v>
      </c>
      <c r="J434" t="s">
        <v>454</v>
      </c>
      <c r="K434" t="s">
        <v>661</v>
      </c>
      <c r="L434" t="s">
        <v>179</v>
      </c>
      <c r="M434" t="s">
        <v>296</v>
      </c>
      <c r="N434" t="s">
        <v>12</v>
      </c>
      <c r="O434" t="s">
        <v>297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1</v>
      </c>
      <c r="AE434">
        <v>1</v>
      </c>
      <c r="AF434">
        <v>1</v>
      </c>
      <c r="AG434" t="s">
        <v>296</v>
      </c>
      <c r="AH434" t="s">
        <v>12</v>
      </c>
      <c r="AI434" t="s">
        <v>297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0</v>
      </c>
      <c r="AN434">
        <f>$H$434*$T$434</f>
        <v>0</v>
      </c>
      <c r="AO434">
        <f>$H$434*$U$434</f>
        <v>0</v>
      </c>
      <c r="AP434">
        <f>$H$434*$V$434</f>
        <v>0</v>
      </c>
      <c r="AQ434">
        <f>$H$434*$W$434</f>
        <v>0</v>
      </c>
      <c r="AR434">
        <f>$H$434*$X$434</f>
        <v>0</v>
      </c>
      <c r="AS434">
        <f>$H$434*$Y$434</f>
        <v>0</v>
      </c>
      <c r="AT434">
        <f>$H$434*$Z$434</f>
        <v>0</v>
      </c>
      <c r="AU434">
        <f>$H$434*$AA$434</f>
        <v>0</v>
      </c>
      <c r="AV434">
        <f>$H$434*$AB$434</f>
        <v>0</v>
      </c>
      <c r="AW434">
        <f>$H$434*$AC$434</f>
        <v>0</v>
      </c>
      <c r="AX434">
        <f>$H$434*$AD$434</f>
        <v>572.16</v>
      </c>
      <c r="AY434">
        <f>$H$434*$AE$434</f>
        <v>572.16</v>
      </c>
      <c r="AZ434">
        <f>$H$434*$AF$434</f>
        <v>572.16</v>
      </c>
    </row>
    <row r="435" spans="1:52" x14ac:dyDescent="0.25">
      <c r="A435">
        <v>485</v>
      </c>
      <c r="B435" t="s">
        <v>296</v>
      </c>
      <c r="C435" t="s">
        <v>455</v>
      </c>
      <c r="D435">
        <v>59</v>
      </c>
      <c r="E435">
        <v>89.09</v>
      </c>
      <c r="F435" t="s">
        <v>329</v>
      </c>
      <c r="G435">
        <v>1.51</v>
      </c>
      <c r="H435">
        <v>106.91</v>
      </c>
      <c r="I435" t="s">
        <v>330</v>
      </c>
      <c r="J435" t="s">
        <v>456</v>
      </c>
      <c r="K435" t="s">
        <v>662</v>
      </c>
      <c r="L435" t="s">
        <v>179</v>
      </c>
      <c r="M435" t="s">
        <v>296</v>
      </c>
      <c r="N435" t="s">
        <v>12</v>
      </c>
      <c r="O435" t="s">
        <v>297</v>
      </c>
      <c r="P435">
        <v>0</v>
      </c>
      <c r="Q435">
        <v>0</v>
      </c>
      <c r="R435">
        <v>0</v>
      </c>
      <c r="S435">
        <v>1</v>
      </c>
      <c r="T435">
        <v>1</v>
      </c>
      <c r="U435">
        <v>1</v>
      </c>
      <c r="V435">
        <v>1</v>
      </c>
      <c r="W435">
        <v>1</v>
      </c>
      <c r="X435">
        <v>1</v>
      </c>
      <c r="Y435">
        <v>1</v>
      </c>
      <c r="Z435">
        <v>1</v>
      </c>
      <c r="AA435">
        <v>1</v>
      </c>
      <c r="AB435">
        <v>1</v>
      </c>
      <c r="AC435">
        <v>1</v>
      </c>
      <c r="AD435">
        <v>1</v>
      </c>
      <c r="AE435">
        <v>1</v>
      </c>
      <c r="AF435">
        <v>1</v>
      </c>
      <c r="AG435" t="s">
        <v>296</v>
      </c>
      <c r="AH435" t="s">
        <v>12</v>
      </c>
      <c r="AI435" t="s">
        <v>297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106.91</v>
      </c>
      <c r="AN435">
        <f>$H$435*$T$435</f>
        <v>106.91</v>
      </c>
      <c r="AO435">
        <f>$H$435*$U$435</f>
        <v>106.91</v>
      </c>
      <c r="AP435">
        <f>$H$435*$V$435</f>
        <v>106.91</v>
      </c>
      <c r="AQ435">
        <f>$H$435*$W$435</f>
        <v>106.91</v>
      </c>
      <c r="AR435">
        <f>$H$435*$X$435</f>
        <v>106.91</v>
      </c>
      <c r="AS435">
        <f>$H$435*$Y$435</f>
        <v>106.91</v>
      </c>
      <c r="AT435">
        <f>$H$435*$Z$435</f>
        <v>106.91</v>
      </c>
      <c r="AU435">
        <f>$H$435*$AA$435</f>
        <v>106.91</v>
      </c>
      <c r="AV435">
        <f>$H$435*$AB$435</f>
        <v>106.91</v>
      </c>
      <c r="AW435">
        <f>$H$435*$AC$435</f>
        <v>106.91</v>
      </c>
      <c r="AX435">
        <f>$H$435*$AD$435</f>
        <v>106.91</v>
      </c>
      <c r="AY435">
        <f>$H$435*$AE$435</f>
        <v>106.91</v>
      </c>
      <c r="AZ435">
        <f>$H$435*$AF$435</f>
        <v>106.91</v>
      </c>
    </row>
    <row r="436" spans="1:52" x14ac:dyDescent="0.25">
      <c r="A436">
        <v>486</v>
      </c>
      <c r="B436" t="s">
        <v>296</v>
      </c>
      <c r="C436" t="s">
        <v>457</v>
      </c>
      <c r="D436">
        <v>59</v>
      </c>
      <c r="E436">
        <v>335.12</v>
      </c>
      <c r="F436" t="s">
        <v>329</v>
      </c>
      <c r="G436">
        <v>5.68</v>
      </c>
      <c r="H436">
        <v>402.14</v>
      </c>
      <c r="I436" t="s">
        <v>333</v>
      </c>
      <c r="J436" t="s">
        <v>458</v>
      </c>
      <c r="K436" t="s">
        <v>663</v>
      </c>
      <c r="L436" t="s">
        <v>179</v>
      </c>
      <c r="M436" t="s">
        <v>296</v>
      </c>
      <c r="N436" t="s">
        <v>12</v>
      </c>
      <c r="O436" t="s">
        <v>297</v>
      </c>
      <c r="P436">
        <v>0</v>
      </c>
      <c r="Q436">
        <v>0</v>
      </c>
      <c r="R436">
        <v>0</v>
      </c>
      <c r="S436">
        <v>1</v>
      </c>
      <c r="T436">
        <v>1</v>
      </c>
      <c r="U436">
        <v>1</v>
      </c>
      <c r="V436">
        <v>1</v>
      </c>
      <c r="W436">
        <v>1</v>
      </c>
      <c r="X436">
        <v>1</v>
      </c>
      <c r="Y436">
        <v>1</v>
      </c>
      <c r="Z436">
        <v>1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296</v>
      </c>
      <c r="AH436" t="s">
        <v>12</v>
      </c>
      <c r="AI436" t="s">
        <v>297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402.14</v>
      </c>
      <c r="AN436">
        <f>$H$436*$T$436</f>
        <v>402.14</v>
      </c>
      <c r="AO436">
        <f>$H$436*$U$436</f>
        <v>402.14</v>
      </c>
      <c r="AP436">
        <f>$H$436*$V$436</f>
        <v>402.14</v>
      </c>
      <c r="AQ436">
        <f>$H$436*$W$436</f>
        <v>402.14</v>
      </c>
      <c r="AR436">
        <f>$H$436*$X$436</f>
        <v>402.14</v>
      </c>
      <c r="AS436">
        <f>$H$436*$Y$436</f>
        <v>402.14</v>
      </c>
      <c r="AT436">
        <f>$H$436*$Z$436</f>
        <v>402.14</v>
      </c>
      <c r="AU436">
        <f>$H$436*$AA$436</f>
        <v>402.14</v>
      </c>
      <c r="AV436">
        <f>$H$436*$AB$436</f>
        <v>402.14</v>
      </c>
      <c r="AW436">
        <f>$H$436*$AC$436</f>
        <v>402.14</v>
      </c>
      <c r="AX436">
        <f>$H$436*$AD$436</f>
        <v>402.14</v>
      </c>
      <c r="AY436">
        <f>$H$436*$AE$436</f>
        <v>402.14</v>
      </c>
      <c r="AZ436">
        <f>$H$436*$AF$436</f>
        <v>402.14</v>
      </c>
    </row>
    <row r="437" spans="1:52" x14ac:dyDescent="0.25">
      <c r="A437">
        <v>487</v>
      </c>
      <c r="B437" t="s">
        <v>296</v>
      </c>
      <c r="C437" t="s">
        <v>364</v>
      </c>
      <c r="D437">
        <v>295.60000000000002</v>
      </c>
      <c r="E437">
        <v>993.22</v>
      </c>
      <c r="F437" t="s">
        <v>349</v>
      </c>
      <c r="G437">
        <v>3.36</v>
      </c>
      <c r="H437">
        <v>1191.8599999999999</v>
      </c>
      <c r="I437" t="s">
        <v>365</v>
      </c>
      <c r="J437" t="s">
        <v>366</v>
      </c>
      <c r="K437" t="s">
        <v>618</v>
      </c>
      <c r="L437" t="s">
        <v>179</v>
      </c>
      <c r="M437" t="s">
        <v>296</v>
      </c>
      <c r="N437" t="s">
        <v>12</v>
      </c>
      <c r="O437" t="s">
        <v>297</v>
      </c>
      <c r="P437">
        <v>0</v>
      </c>
      <c r="Q437">
        <v>0</v>
      </c>
      <c r="R437">
        <v>0</v>
      </c>
      <c r="S437">
        <v>0.25</v>
      </c>
      <c r="T437">
        <v>0.25</v>
      </c>
      <c r="U437">
        <v>0.25</v>
      </c>
      <c r="V437">
        <v>0.25</v>
      </c>
      <c r="W437">
        <v>0.5</v>
      </c>
      <c r="X437">
        <v>0.5</v>
      </c>
      <c r="Y437">
        <v>0.5</v>
      </c>
      <c r="Z437">
        <v>0.5</v>
      </c>
      <c r="AA437">
        <v>1</v>
      </c>
      <c r="AB437">
        <v>1</v>
      </c>
      <c r="AC437">
        <v>1</v>
      </c>
      <c r="AD437">
        <v>1</v>
      </c>
      <c r="AE437">
        <v>1</v>
      </c>
      <c r="AF437">
        <v>1</v>
      </c>
      <c r="AG437" t="s">
        <v>296</v>
      </c>
      <c r="AH437" t="s">
        <v>12</v>
      </c>
      <c r="AI437" t="s">
        <v>297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297.96499999999997</v>
      </c>
      <c r="AN437">
        <f>$H$437*$T$437</f>
        <v>297.96499999999997</v>
      </c>
      <c r="AO437">
        <f>$H$437*$U$437</f>
        <v>297.96499999999997</v>
      </c>
      <c r="AP437">
        <f>$H$437*$V$437</f>
        <v>297.96499999999997</v>
      </c>
      <c r="AQ437">
        <f>$H$437*$W$437</f>
        <v>595.92999999999995</v>
      </c>
      <c r="AR437">
        <f>$H$437*$X$437</f>
        <v>595.92999999999995</v>
      </c>
      <c r="AS437">
        <f>$H$437*$Y$437</f>
        <v>595.92999999999995</v>
      </c>
      <c r="AT437">
        <f>$H$437*$Z$437</f>
        <v>595.92999999999995</v>
      </c>
      <c r="AU437">
        <f>$H$437*$AA$437</f>
        <v>1191.8599999999999</v>
      </c>
      <c r="AV437">
        <f>$H$437*$AB$437</f>
        <v>1191.8599999999999</v>
      </c>
      <c r="AW437">
        <f>$H$437*$AC$437</f>
        <v>1191.8599999999999</v>
      </c>
      <c r="AX437">
        <f>$H$437*$AD$437</f>
        <v>1191.8599999999999</v>
      </c>
      <c r="AY437">
        <f>$H$437*$AE$437</f>
        <v>1191.8599999999999</v>
      </c>
      <c r="AZ437">
        <f>$H$437*$AF$437</f>
        <v>1191.8599999999999</v>
      </c>
    </row>
    <row r="438" spans="1:52" x14ac:dyDescent="0.25">
      <c r="A438">
        <v>488</v>
      </c>
      <c r="B438" t="s">
        <v>296</v>
      </c>
      <c r="C438" t="s">
        <v>443</v>
      </c>
      <c r="D438">
        <v>295.60000000000002</v>
      </c>
      <c r="E438">
        <v>186.23</v>
      </c>
      <c r="F438" t="s">
        <v>349</v>
      </c>
      <c r="G438">
        <v>0.63</v>
      </c>
      <c r="H438">
        <v>223.47</v>
      </c>
      <c r="I438" t="s">
        <v>330</v>
      </c>
      <c r="J438" t="s">
        <v>444</v>
      </c>
      <c r="K438" t="s">
        <v>656</v>
      </c>
      <c r="L438" t="s">
        <v>179</v>
      </c>
      <c r="M438" t="s">
        <v>296</v>
      </c>
      <c r="N438" t="s">
        <v>12</v>
      </c>
      <c r="O438" t="s">
        <v>297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1</v>
      </c>
      <c r="AE438">
        <v>1</v>
      </c>
      <c r="AF438">
        <v>1</v>
      </c>
      <c r="AG438" t="s">
        <v>296</v>
      </c>
      <c r="AH438" t="s">
        <v>12</v>
      </c>
      <c r="AI438" t="s">
        <v>297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0</v>
      </c>
      <c r="AN438">
        <f>$H$438*$T$438</f>
        <v>0</v>
      </c>
      <c r="AO438">
        <f>$H$438*$U$438</f>
        <v>0</v>
      </c>
      <c r="AP438">
        <f>$H$438*$V$438</f>
        <v>0</v>
      </c>
      <c r="AQ438">
        <f>$H$438*$W$438</f>
        <v>0</v>
      </c>
      <c r="AR438">
        <f>$H$438*$X$438</f>
        <v>0</v>
      </c>
      <c r="AS438">
        <f>$H$438*$Y$438</f>
        <v>0</v>
      </c>
      <c r="AT438">
        <f>$H$438*$Z$438</f>
        <v>0</v>
      </c>
      <c r="AU438">
        <f>$H$438*$AA$438</f>
        <v>0</v>
      </c>
      <c r="AV438">
        <f>$H$438*$AB$438</f>
        <v>0</v>
      </c>
      <c r="AW438">
        <f>$H$438*$AC$438</f>
        <v>0</v>
      </c>
      <c r="AX438">
        <f>$H$438*$AD$438</f>
        <v>223.47</v>
      </c>
      <c r="AY438">
        <f>$H$438*$AE$438</f>
        <v>223.47</v>
      </c>
      <c r="AZ438">
        <f>$H$438*$AF$438</f>
        <v>223.47</v>
      </c>
    </row>
    <row r="439" spans="1:52" x14ac:dyDescent="0.25">
      <c r="A439">
        <v>489</v>
      </c>
      <c r="B439" t="s">
        <v>296</v>
      </c>
      <c r="C439" t="s">
        <v>459</v>
      </c>
      <c r="D439">
        <v>295.60000000000002</v>
      </c>
      <c r="E439">
        <v>203.96</v>
      </c>
      <c r="F439" t="s">
        <v>349</v>
      </c>
      <c r="G439">
        <v>0.69</v>
      </c>
      <c r="H439">
        <v>244.76</v>
      </c>
      <c r="I439" t="s">
        <v>330</v>
      </c>
      <c r="J439" t="s">
        <v>460</v>
      </c>
      <c r="K439" t="s">
        <v>664</v>
      </c>
      <c r="L439" t="s">
        <v>179</v>
      </c>
      <c r="M439" t="s">
        <v>296</v>
      </c>
      <c r="N439" t="s">
        <v>12</v>
      </c>
      <c r="O439" t="s">
        <v>297</v>
      </c>
      <c r="P439">
        <v>0</v>
      </c>
      <c r="Q439">
        <v>0</v>
      </c>
      <c r="R439">
        <v>0</v>
      </c>
      <c r="S439">
        <v>1</v>
      </c>
      <c r="T439">
        <v>1</v>
      </c>
      <c r="U439">
        <v>1</v>
      </c>
      <c r="V439">
        <v>1</v>
      </c>
      <c r="W439">
        <v>1</v>
      </c>
      <c r="X439">
        <v>1</v>
      </c>
      <c r="Y439">
        <v>1</v>
      </c>
      <c r="Z439">
        <v>1</v>
      </c>
      <c r="AA439">
        <v>1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296</v>
      </c>
      <c r="AH439" t="s">
        <v>12</v>
      </c>
      <c r="AI439" t="s">
        <v>297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244.76</v>
      </c>
      <c r="AN439">
        <f>$H$439*$T$439</f>
        <v>244.76</v>
      </c>
      <c r="AO439">
        <f>$H$439*$U$439</f>
        <v>244.76</v>
      </c>
      <c r="AP439">
        <f>$H$439*$V$439</f>
        <v>244.76</v>
      </c>
      <c r="AQ439">
        <f>$H$439*$W$439</f>
        <v>244.76</v>
      </c>
      <c r="AR439">
        <f>$H$439*$X$439</f>
        <v>244.76</v>
      </c>
      <c r="AS439">
        <f>$H$439*$Y$439</f>
        <v>244.76</v>
      </c>
      <c r="AT439">
        <f>$H$439*$Z$439</f>
        <v>244.76</v>
      </c>
      <c r="AU439">
        <f>$H$439*$AA$439</f>
        <v>244.76</v>
      </c>
      <c r="AV439">
        <f>$H$439*$AB$439</f>
        <v>244.76</v>
      </c>
      <c r="AW439">
        <f>$H$439*$AC$439</f>
        <v>244.76</v>
      </c>
      <c r="AX439">
        <f>$H$439*$AD$439</f>
        <v>244.76</v>
      </c>
      <c r="AY439">
        <f>$H$439*$AE$439</f>
        <v>244.76</v>
      </c>
      <c r="AZ439">
        <f>$H$439*$AF$439</f>
        <v>244.76</v>
      </c>
    </row>
    <row r="440" spans="1:52" x14ac:dyDescent="0.25">
      <c r="A440">
        <v>490</v>
      </c>
      <c r="B440" t="s">
        <v>296</v>
      </c>
      <c r="C440" t="s">
        <v>461</v>
      </c>
      <c r="D440">
        <v>41.81</v>
      </c>
      <c r="E440">
        <v>725.4</v>
      </c>
      <c r="F440" t="s">
        <v>349</v>
      </c>
      <c r="G440">
        <v>17.350000000000001</v>
      </c>
      <c r="H440">
        <v>870.48</v>
      </c>
      <c r="I440" t="s">
        <v>462</v>
      </c>
      <c r="J440" t="s">
        <v>463</v>
      </c>
      <c r="K440" t="s">
        <v>665</v>
      </c>
      <c r="L440" t="s">
        <v>179</v>
      </c>
      <c r="M440" t="s">
        <v>296</v>
      </c>
      <c r="N440" t="s">
        <v>12</v>
      </c>
      <c r="O440" t="s">
        <v>297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1</v>
      </c>
      <c r="Z440">
        <v>1</v>
      </c>
      <c r="AA440">
        <v>1</v>
      </c>
      <c r="AB440">
        <v>1</v>
      </c>
      <c r="AC440">
        <v>1</v>
      </c>
      <c r="AD440">
        <v>1</v>
      </c>
      <c r="AE440">
        <v>1</v>
      </c>
      <c r="AF440">
        <v>1</v>
      </c>
      <c r="AG440" t="s">
        <v>296</v>
      </c>
      <c r="AH440" t="s">
        <v>12</v>
      </c>
      <c r="AI440" t="s">
        <v>297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0</v>
      </c>
      <c r="AN440">
        <f>$H$440*$T$440</f>
        <v>0</v>
      </c>
      <c r="AO440">
        <f>$H$440*$U$440</f>
        <v>0</v>
      </c>
      <c r="AP440">
        <f>$H$440*$V$440</f>
        <v>0</v>
      </c>
      <c r="AQ440">
        <f>$H$440*$W$440</f>
        <v>0</v>
      </c>
      <c r="AR440">
        <f>$H$440*$X$440</f>
        <v>0</v>
      </c>
      <c r="AS440">
        <f>$H$440*$Y$440</f>
        <v>870.48</v>
      </c>
      <c r="AT440">
        <f>$H$440*$Z$440</f>
        <v>870.48</v>
      </c>
      <c r="AU440">
        <f>$H$440*$AA$440</f>
        <v>870.48</v>
      </c>
      <c r="AV440">
        <f>$H$440*$AB$440</f>
        <v>870.48</v>
      </c>
      <c r="AW440">
        <f>$H$440*$AC$440</f>
        <v>870.48</v>
      </c>
      <c r="AX440">
        <f>$H$440*$AD$440</f>
        <v>870.48</v>
      </c>
      <c r="AY440">
        <f>$H$440*$AE$440</f>
        <v>870.48</v>
      </c>
      <c r="AZ440">
        <f>$H$440*$AF$440</f>
        <v>870.48</v>
      </c>
    </row>
    <row r="441" spans="1:52" x14ac:dyDescent="0.25">
      <c r="A441">
        <v>491</v>
      </c>
      <c r="B441" t="s">
        <v>296</v>
      </c>
      <c r="C441" t="s">
        <v>464</v>
      </c>
      <c r="D441">
        <v>83.62</v>
      </c>
      <c r="E441">
        <v>299.36</v>
      </c>
      <c r="F441" t="s">
        <v>349</v>
      </c>
      <c r="G441">
        <v>3.58</v>
      </c>
      <c r="H441">
        <v>359.24</v>
      </c>
      <c r="I441" t="s">
        <v>465</v>
      </c>
      <c r="J441" t="s">
        <v>466</v>
      </c>
      <c r="K441" t="s">
        <v>666</v>
      </c>
      <c r="L441" t="s">
        <v>179</v>
      </c>
      <c r="M441" t="s">
        <v>296</v>
      </c>
      <c r="N441" t="s">
        <v>12</v>
      </c>
      <c r="O441" t="s">
        <v>297</v>
      </c>
      <c r="P441">
        <v>0</v>
      </c>
      <c r="Q441">
        <v>0</v>
      </c>
      <c r="R441">
        <v>0</v>
      </c>
      <c r="S441">
        <v>1</v>
      </c>
      <c r="T441">
        <v>1</v>
      </c>
      <c r="U441">
        <v>1</v>
      </c>
      <c r="V441">
        <v>1</v>
      </c>
      <c r="W441">
        <v>1</v>
      </c>
      <c r="X441">
        <v>1</v>
      </c>
      <c r="Y441">
        <v>1</v>
      </c>
      <c r="Z441">
        <v>1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 t="s">
        <v>296</v>
      </c>
      <c r="AH441" t="s">
        <v>12</v>
      </c>
      <c r="AI441" t="s">
        <v>297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359.24</v>
      </c>
      <c r="AN441">
        <f>$H$441*$T$441</f>
        <v>359.24</v>
      </c>
      <c r="AO441">
        <f>$H$441*$U$441</f>
        <v>359.24</v>
      </c>
      <c r="AP441">
        <f>$H$441*$V$441</f>
        <v>359.24</v>
      </c>
      <c r="AQ441">
        <f>$H$441*$W$441</f>
        <v>359.24</v>
      </c>
      <c r="AR441">
        <f>$H$441*$X$441</f>
        <v>359.24</v>
      </c>
      <c r="AS441">
        <f>$H$441*$Y$441</f>
        <v>359.24</v>
      </c>
      <c r="AT441">
        <f>$H$441*$Z$441</f>
        <v>359.24</v>
      </c>
      <c r="AU441">
        <f>$H$441*$AA$441</f>
        <v>359.24</v>
      </c>
      <c r="AV441">
        <f>$H$441*$AB$441</f>
        <v>359.24</v>
      </c>
      <c r="AW441">
        <f>$H$441*$AC$441</f>
        <v>359.24</v>
      </c>
      <c r="AX441">
        <f>$H$441*$AD$441</f>
        <v>359.24</v>
      </c>
      <c r="AY441">
        <f>$H$441*$AE$441</f>
        <v>359.24</v>
      </c>
      <c r="AZ441">
        <f>$H$441*$AF$441</f>
        <v>359.24</v>
      </c>
    </row>
    <row r="442" spans="1:52" x14ac:dyDescent="0.25">
      <c r="A442">
        <v>492</v>
      </c>
      <c r="B442" t="s">
        <v>296</v>
      </c>
      <c r="C442" t="s">
        <v>467</v>
      </c>
      <c r="D442">
        <v>83.62</v>
      </c>
      <c r="E442">
        <v>823.66</v>
      </c>
      <c r="F442" t="s">
        <v>349</v>
      </c>
      <c r="G442">
        <v>9.85</v>
      </c>
      <c r="H442">
        <v>988.4</v>
      </c>
      <c r="I442" t="s">
        <v>465</v>
      </c>
      <c r="J442" t="s">
        <v>372</v>
      </c>
      <c r="K442" t="s">
        <v>667</v>
      </c>
      <c r="L442" t="s">
        <v>179</v>
      </c>
      <c r="M442" t="s">
        <v>296</v>
      </c>
      <c r="N442" t="s">
        <v>12</v>
      </c>
      <c r="O442" t="s">
        <v>297</v>
      </c>
      <c r="P442">
        <v>0</v>
      </c>
      <c r="Q442">
        <v>0</v>
      </c>
      <c r="R442">
        <v>0</v>
      </c>
      <c r="S442">
        <v>1</v>
      </c>
      <c r="T442">
        <v>1</v>
      </c>
      <c r="U442">
        <v>1</v>
      </c>
      <c r="V442">
        <v>1</v>
      </c>
      <c r="W442">
        <v>1</v>
      </c>
      <c r="X442">
        <v>1</v>
      </c>
      <c r="Y442">
        <v>1</v>
      </c>
      <c r="Z442">
        <v>1</v>
      </c>
      <c r="AA442">
        <v>1</v>
      </c>
      <c r="AB442">
        <v>1</v>
      </c>
      <c r="AC442">
        <v>1</v>
      </c>
      <c r="AD442">
        <v>1</v>
      </c>
      <c r="AE442">
        <v>1</v>
      </c>
      <c r="AF442">
        <v>1</v>
      </c>
      <c r="AG442" t="s">
        <v>296</v>
      </c>
      <c r="AH442" t="s">
        <v>12</v>
      </c>
      <c r="AI442" t="s">
        <v>297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988.4</v>
      </c>
      <c r="AN442">
        <f>$H$442*$T$442</f>
        <v>988.4</v>
      </c>
      <c r="AO442">
        <f>$H$442*$U$442</f>
        <v>988.4</v>
      </c>
      <c r="AP442">
        <f>$H$442*$V$442</f>
        <v>988.4</v>
      </c>
      <c r="AQ442">
        <f>$H$442*$W$442</f>
        <v>988.4</v>
      </c>
      <c r="AR442">
        <f>$H$442*$X$442</f>
        <v>988.4</v>
      </c>
      <c r="AS442">
        <f>$H$442*$Y$442</f>
        <v>988.4</v>
      </c>
      <c r="AT442">
        <f>$H$442*$Z$442</f>
        <v>988.4</v>
      </c>
      <c r="AU442">
        <f>$H$442*$AA$442</f>
        <v>988.4</v>
      </c>
      <c r="AV442">
        <f>$H$442*$AB$442</f>
        <v>988.4</v>
      </c>
      <c r="AW442">
        <f>$H$442*$AC$442</f>
        <v>988.4</v>
      </c>
      <c r="AX442">
        <f>$H$442*$AD$442</f>
        <v>988.4</v>
      </c>
      <c r="AY442">
        <f>$H$442*$AE$442</f>
        <v>988.4</v>
      </c>
      <c r="AZ442">
        <f>$H$442*$AF$442</f>
        <v>988.4</v>
      </c>
    </row>
    <row r="443" spans="1:52" x14ac:dyDescent="0.25">
      <c r="A443">
        <v>493</v>
      </c>
      <c r="B443" t="s">
        <v>296</v>
      </c>
      <c r="C443" t="s">
        <v>468</v>
      </c>
      <c r="D443">
        <v>96.17</v>
      </c>
      <c r="E443">
        <v>98.09</v>
      </c>
      <c r="F443" t="s">
        <v>349</v>
      </c>
      <c r="G443">
        <v>1.02</v>
      </c>
      <c r="H443">
        <v>117.71</v>
      </c>
      <c r="I443" t="s">
        <v>469</v>
      </c>
      <c r="J443" t="s">
        <v>470</v>
      </c>
      <c r="K443" t="s">
        <v>668</v>
      </c>
      <c r="L443" t="s">
        <v>179</v>
      </c>
      <c r="M443" t="s">
        <v>296</v>
      </c>
      <c r="N443" t="s">
        <v>12</v>
      </c>
      <c r="O443" t="s">
        <v>297</v>
      </c>
      <c r="P443">
        <v>0</v>
      </c>
      <c r="Q443">
        <v>0</v>
      </c>
      <c r="R443">
        <v>0</v>
      </c>
      <c r="S443">
        <v>1</v>
      </c>
      <c r="T443">
        <v>1</v>
      </c>
      <c r="U443">
        <v>1</v>
      </c>
      <c r="V443">
        <v>1</v>
      </c>
      <c r="W443">
        <v>1</v>
      </c>
      <c r="X443">
        <v>1</v>
      </c>
      <c r="Y443">
        <v>1</v>
      </c>
      <c r="Z443">
        <v>1</v>
      </c>
      <c r="AA443">
        <v>1</v>
      </c>
      <c r="AB443">
        <v>1</v>
      </c>
      <c r="AC443">
        <v>1</v>
      </c>
      <c r="AD443">
        <v>1</v>
      </c>
      <c r="AE443">
        <v>1</v>
      </c>
      <c r="AF443">
        <v>1</v>
      </c>
      <c r="AG443" t="s">
        <v>296</v>
      </c>
      <c r="AH443" t="s">
        <v>12</v>
      </c>
      <c r="AI443" t="s">
        <v>297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117.71</v>
      </c>
      <c r="AN443">
        <f>$H$443*$T$443</f>
        <v>117.71</v>
      </c>
      <c r="AO443">
        <f>$H$443*$U$443</f>
        <v>117.71</v>
      </c>
      <c r="AP443">
        <f>$H$443*$V$443</f>
        <v>117.71</v>
      </c>
      <c r="AQ443">
        <f>$H$443*$W$443</f>
        <v>117.71</v>
      </c>
      <c r="AR443">
        <f>$H$443*$X$443</f>
        <v>117.71</v>
      </c>
      <c r="AS443">
        <f>$H$443*$Y$443</f>
        <v>117.71</v>
      </c>
      <c r="AT443">
        <f>$H$443*$Z$443</f>
        <v>117.71</v>
      </c>
      <c r="AU443">
        <f>$H$443*$AA$443</f>
        <v>117.71</v>
      </c>
      <c r="AV443">
        <f>$H$443*$AB$443</f>
        <v>117.71</v>
      </c>
      <c r="AW443">
        <f>$H$443*$AC$443</f>
        <v>117.71</v>
      </c>
      <c r="AX443">
        <f>$H$443*$AD$443</f>
        <v>117.71</v>
      </c>
      <c r="AY443">
        <f>$H$443*$AE$443</f>
        <v>117.71</v>
      </c>
      <c r="AZ443">
        <f>$H$443*$AF$443</f>
        <v>117.71</v>
      </c>
    </row>
    <row r="444" spans="1:52" x14ac:dyDescent="0.25">
      <c r="A444">
        <v>494</v>
      </c>
      <c r="B444" t="s">
        <v>296</v>
      </c>
      <c r="C444" t="s">
        <v>471</v>
      </c>
      <c r="D444">
        <v>96.17</v>
      </c>
      <c r="E444">
        <v>887.65</v>
      </c>
      <c r="F444" t="s">
        <v>349</v>
      </c>
      <c r="G444">
        <v>9.23</v>
      </c>
      <c r="H444">
        <v>1065.19</v>
      </c>
      <c r="I444" t="s">
        <v>469</v>
      </c>
      <c r="J444" t="s">
        <v>463</v>
      </c>
      <c r="K444" t="s">
        <v>669</v>
      </c>
      <c r="L444" t="s">
        <v>179</v>
      </c>
      <c r="M444" t="s">
        <v>296</v>
      </c>
      <c r="N444" t="s">
        <v>12</v>
      </c>
      <c r="O444" t="s">
        <v>297</v>
      </c>
      <c r="P444">
        <v>0</v>
      </c>
      <c r="Q444">
        <v>0</v>
      </c>
      <c r="R444">
        <v>0</v>
      </c>
      <c r="S444">
        <v>1</v>
      </c>
      <c r="T444">
        <v>1</v>
      </c>
      <c r="U444">
        <v>1</v>
      </c>
      <c r="V444">
        <v>1</v>
      </c>
      <c r="W444">
        <v>1</v>
      </c>
      <c r="X444">
        <v>1</v>
      </c>
      <c r="Y444">
        <v>1</v>
      </c>
      <c r="Z444">
        <v>1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296</v>
      </c>
      <c r="AH444" t="s">
        <v>12</v>
      </c>
      <c r="AI444" t="s">
        <v>297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1065.19</v>
      </c>
      <c r="AN444">
        <f>$H$444*$T$444</f>
        <v>1065.19</v>
      </c>
      <c r="AO444">
        <f>$H$444*$U$444</f>
        <v>1065.19</v>
      </c>
      <c r="AP444">
        <f>$H$444*$V$444</f>
        <v>1065.19</v>
      </c>
      <c r="AQ444">
        <f>$H$444*$W$444</f>
        <v>1065.19</v>
      </c>
      <c r="AR444">
        <f>$H$444*$X$444</f>
        <v>1065.19</v>
      </c>
      <c r="AS444">
        <f>$H$444*$Y$444</f>
        <v>1065.19</v>
      </c>
      <c r="AT444">
        <f>$H$444*$Z$444</f>
        <v>1065.19</v>
      </c>
      <c r="AU444">
        <f>$H$444*$AA$444</f>
        <v>1065.19</v>
      </c>
      <c r="AV444">
        <f>$H$444*$AB$444</f>
        <v>1065.19</v>
      </c>
      <c r="AW444">
        <f>$H$444*$AC$444</f>
        <v>1065.19</v>
      </c>
      <c r="AX444">
        <f>$H$444*$AD$444</f>
        <v>1065.19</v>
      </c>
      <c r="AY444">
        <f>$H$444*$AE$444</f>
        <v>1065.19</v>
      </c>
      <c r="AZ444">
        <f>$H$444*$AF$444</f>
        <v>1065.19</v>
      </c>
    </row>
    <row r="445" spans="1:52" x14ac:dyDescent="0.25">
      <c r="A445">
        <v>495</v>
      </c>
      <c r="B445" t="s">
        <v>536</v>
      </c>
      <c r="C445" t="s">
        <v>537</v>
      </c>
      <c r="D445">
        <v>1</v>
      </c>
      <c r="E445">
        <v>83.35</v>
      </c>
      <c r="F445" t="s">
        <v>335</v>
      </c>
      <c r="G445">
        <v>83.35</v>
      </c>
      <c r="H445">
        <v>100.03</v>
      </c>
      <c r="I445" t="s">
        <v>340</v>
      </c>
      <c r="J445" t="s">
        <v>538</v>
      </c>
      <c r="K445" t="s">
        <v>701</v>
      </c>
      <c r="L445" t="s">
        <v>179</v>
      </c>
      <c r="M445" t="s">
        <v>630</v>
      </c>
      <c r="N445" t="s">
        <v>12</v>
      </c>
      <c r="O445" t="s">
        <v>68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1</v>
      </c>
      <c r="AE445">
        <v>1</v>
      </c>
      <c r="AF445">
        <v>1</v>
      </c>
      <c r="AG445" t="s">
        <v>630</v>
      </c>
      <c r="AH445" t="s">
        <v>12</v>
      </c>
      <c r="AI445" t="s">
        <v>68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0</v>
      </c>
      <c r="AN445">
        <f>$H$445*$T$445</f>
        <v>0</v>
      </c>
      <c r="AO445">
        <f>$H$445*$U$445</f>
        <v>0</v>
      </c>
      <c r="AP445">
        <f>$H$445*$V$445</f>
        <v>0</v>
      </c>
      <c r="AQ445">
        <f>$H$445*$W$445</f>
        <v>0</v>
      </c>
      <c r="AR445">
        <f>$H$445*$X$445</f>
        <v>0</v>
      </c>
      <c r="AS445">
        <f>$H$445*$Y$445</f>
        <v>0</v>
      </c>
      <c r="AT445">
        <f>$H$445*$Z$445</f>
        <v>0</v>
      </c>
      <c r="AU445">
        <f>$H$445*$AA$445</f>
        <v>0</v>
      </c>
      <c r="AV445">
        <f>$H$445*$AB$445</f>
        <v>0</v>
      </c>
      <c r="AW445">
        <f>$H$445*$AC$445</f>
        <v>0</v>
      </c>
      <c r="AX445">
        <f>$H$445*$AD$445</f>
        <v>100.03</v>
      </c>
      <c r="AY445">
        <f>$H$445*$AE$445</f>
        <v>100.03</v>
      </c>
      <c r="AZ445">
        <f>$H$445*$AF$445</f>
        <v>100.03</v>
      </c>
    </row>
    <row r="446" spans="1:52" x14ac:dyDescent="0.25">
      <c r="A446">
        <v>496</v>
      </c>
      <c r="B446" t="s">
        <v>536</v>
      </c>
      <c r="C446" t="s">
        <v>435</v>
      </c>
      <c r="D446">
        <v>1</v>
      </c>
      <c r="E446">
        <v>13.27</v>
      </c>
      <c r="F446" t="s">
        <v>335</v>
      </c>
      <c r="G446">
        <v>13.27</v>
      </c>
      <c r="H446">
        <v>15.93</v>
      </c>
      <c r="I446" t="s">
        <v>337</v>
      </c>
      <c r="J446" t="s">
        <v>436</v>
      </c>
      <c r="K446" t="s">
        <v>652</v>
      </c>
      <c r="L446" t="s">
        <v>179</v>
      </c>
      <c r="M446" t="s">
        <v>630</v>
      </c>
      <c r="N446" t="s">
        <v>12</v>
      </c>
      <c r="O446" t="s">
        <v>68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1</v>
      </c>
      <c r="Y446">
        <v>1</v>
      </c>
      <c r="Z446">
        <v>1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630</v>
      </c>
      <c r="AH446" t="s">
        <v>12</v>
      </c>
      <c r="AI446" t="s">
        <v>68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0</v>
      </c>
      <c r="AN446">
        <f>$H$446*$T$446</f>
        <v>0</v>
      </c>
      <c r="AO446">
        <f>$H$446*$U$446</f>
        <v>0</v>
      </c>
      <c r="AP446">
        <f>$H$446*$V$446</f>
        <v>0</v>
      </c>
      <c r="AQ446">
        <f>$H$446*$W$446</f>
        <v>0</v>
      </c>
      <c r="AR446">
        <f>$H$446*$X$446</f>
        <v>15.93</v>
      </c>
      <c r="AS446">
        <f>$H$446*$Y$446</f>
        <v>15.93</v>
      </c>
      <c r="AT446">
        <f>$H$446*$Z$446</f>
        <v>15.93</v>
      </c>
      <c r="AU446">
        <f>$H$446*$AA$446</f>
        <v>15.93</v>
      </c>
      <c r="AV446">
        <f>$H$446*$AB$446</f>
        <v>15.93</v>
      </c>
      <c r="AW446">
        <f>$H$446*$AC$446</f>
        <v>15.93</v>
      </c>
      <c r="AX446">
        <f>$H$446*$AD$446</f>
        <v>15.93</v>
      </c>
      <c r="AY446">
        <f>$H$446*$AE$446</f>
        <v>15.93</v>
      </c>
      <c r="AZ446">
        <f>$H$446*$AF$446</f>
        <v>15.93</v>
      </c>
    </row>
    <row r="447" spans="1:52" x14ac:dyDescent="0.25">
      <c r="A447">
        <v>497</v>
      </c>
      <c r="B447" t="s">
        <v>536</v>
      </c>
      <c r="C447" t="s">
        <v>507</v>
      </c>
      <c r="D447">
        <v>1</v>
      </c>
      <c r="E447">
        <v>37</v>
      </c>
      <c r="F447" t="s">
        <v>335</v>
      </c>
      <c r="G447">
        <v>37</v>
      </c>
      <c r="H447">
        <v>44.4</v>
      </c>
      <c r="I447" t="s">
        <v>337</v>
      </c>
      <c r="J447" t="s">
        <v>508</v>
      </c>
      <c r="K447" t="s">
        <v>686</v>
      </c>
      <c r="L447" t="s">
        <v>179</v>
      </c>
      <c r="M447" t="s">
        <v>630</v>
      </c>
      <c r="N447" t="s">
        <v>12</v>
      </c>
      <c r="O447" t="s">
        <v>68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0.6</v>
      </c>
      <c r="Y447">
        <v>0.6</v>
      </c>
      <c r="Z447">
        <v>0.6</v>
      </c>
      <c r="AA447">
        <v>0.6</v>
      </c>
      <c r="AB447">
        <v>0.6</v>
      </c>
      <c r="AC447">
        <v>0.6</v>
      </c>
      <c r="AD447">
        <v>1</v>
      </c>
      <c r="AE447">
        <v>1</v>
      </c>
      <c r="AF447">
        <v>1</v>
      </c>
      <c r="AG447" t="s">
        <v>630</v>
      </c>
      <c r="AH447" t="s">
        <v>12</v>
      </c>
      <c r="AI447" t="s">
        <v>68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0</v>
      </c>
      <c r="AN447">
        <f>$H$447*$T$447</f>
        <v>0</v>
      </c>
      <c r="AO447">
        <f>$H$447*$U$447</f>
        <v>0</v>
      </c>
      <c r="AP447">
        <f>$H$447*$V$447</f>
        <v>0</v>
      </c>
      <c r="AQ447">
        <f>$H$447*$W$447</f>
        <v>0</v>
      </c>
      <c r="AR447">
        <f>$H$447*$X$447</f>
        <v>26.639999999999997</v>
      </c>
      <c r="AS447">
        <f>$H$447*$Y$447</f>
        <v>26.639999999999997</v>
      </c>
      <c r="AT447">
        <f>$H$447*$Z$447</f>
        <v>26.639999999999997</v>
      </c>
      <c r="AU447">
        <f>$H$447*$AA$447</f>
        <v>26.639999999999997</v>
      </c>
      <c r="AV447">
        <f>$H$447*$AB$447</f>
        <v>26.639999999999997</v>
      </c>
      <c r="AW447">
        <f>$H$447*$AC$447</f>
        <v>26.639999999999997</v>
      </c>
      <c r="AX447">
        <f>$H$447*$AD$447</f>
        <v>44.4</v>
      </c>
      <c r="AY447">
        <f>$H$447*$AE$447</f>
        <v>44.4</v>
      </c>
      <c r="AZ447">
        <f>$H$447*$AF$447</f>
        <v>44.4</v>
      </c>
    </row>
    <row r="448" spans="1:52" x14ac:dyDescent="0.25">
      <c r="A448">
        <v>516</v>
      </c>
      <c r="B448" t="s">
        <v>305</v>
      </c>
      <c r="C448" t="s">
        <v>435</v>
      </c>
      <c r="D448">
        <v>5</v>
      </c>
      <c r="E448">
        <v>66.349999999999994</v>
      </c>
      <c r="F448" t="s">
        <v>335</v>
      </c>
      <c r="G448">
        <v>13.27</v>
      </c>
      <c r="H448">
        <v>79.63</v>
      </c>
      <c r="I448" t="s">
        <v>337</v>
      </c>
      <c r="J448" t="s">
        <v>436</v>
      </c>
      <c r="K448" t="s">
        <v>652</v>
      </c>
      <c r="L448" t="s">
        <v>179</v>
      </c>
      <c r="M448" t="s">
        <v>305</v>
      </c>
      <c r="N448" t="s">
        <v>11</v>
      </c>
      <c r="O448" t="s">
        <v>5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1</v>
      </c>
      <c r="Y448">
        <v>1</v>
      </c>
      <c r="Z448">
        <v>1</v>
      </c>
      <c r="AA448">
        <v>1</v>
      </c>
      <c r="AB448">
        <v>1</v>
      </c>
      <c r="AC448">
        <v>1</v>
      </c>
      <c r="AD448">
        <v>1</v>
      </c>
      <c r="AE448">
        <v>1</v>
      </c>
      <c r="AF448">
        <v>1</v>
      </c>
      <c r="AG448" t="s">
        <v>305</v>
      </c>
      <c r="AH448" t="s">
        <v>11</v>
      </c>
      <c r="AI448" t="s">
        <v>5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0</v>
      </c>
      <c r="AN448">
        <f>$H$448*$T$448</f>
        <v>0</v>
      </c>
      <c r="AO448">
        <f>$H$448*$U$448</f>
        <v>0</v>
      </c>
      <c r="AP448">
        <f>$H$448*$V$448</f>
        <v>0</v>
      </c>
      <c r="AQ448">
        <f>$H$448*$W$448</f>
        <v>0</v>
      </c>
      <c r="AR448">
        <f>$H$448*$X$448</f>
        <v>79.63</v>
      </c>
      <c r="AS448">
        <f>$H$448*$Y$448</f>
        <v>79.63</v>
      </c>
      <c r="AT448">
        <f>$H$448*$Z$448</f>
        <v>79.63</v>
      </c>
      <c r="AU448">
        <f>$H$448*$AA$448</f>
        <v>79.63</v>
      </c>
      <c r="AV448">
        <f>$H$448*$AB$448</f>
        <v>79.63</v>
      </c>
      <c r="AW448">
        <f>$H$448*$AC$448</f>
        <v>79.63</v>
      </c>
      <c r="AX448">
        <f>$H$448*$AD$448</f>
        <v>79.63</v>
      </c>
      <c r="AY448">
        <f>$H$448*$AE$448</f>
        <v>79.63</v>
      </c>
      <c r="AZ448">
        <f>$H$448*$AF$448</f>
        <v>79.63</v>
      </c>
    </row>
    <row r="449" spans="1:52" x14ac:dyDescent="0.25">
      <c r="A449">
        <v>517</v>
      </c>
      <c r="B449" t="s">
        <v>305</v>
      </c>
      <c r="C449" t="s">
        <v>535</v>
      </c>
      <c r="D449">
        <v>1</v>
      </c>
      <c r="E449">
        <v>63.51</v>
      </c>
      <c r="F449" t="s">
        <v>335</v>
      </c>
      <c r="G449">
        <v>63.51</v>
      </c>
      <c r="H449">
        <v>76.209999999999994</v>
      </c>
      <c r="I449" t="s">
        <v>340</v>
      </c>
      <c r="J449" t="s">
        <v>420</v>
      </c>
      <c r="K449" t="s">
        <v>700</v>
      </c>
      <c r="L449" t="s">
        <v>179</v>
      </c>
      <c r="M449" t="s">
        <v>305</v>
      </c>
      <c r="N449" t="s">
        <v>11</v>
      </c>
      <c r="O449" t="s">
        <v>5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1</v>
      </c>
      <c r="AE449">
        <v>1</v>
      </c>
      <c r="AF449">
        <v>1</v>
      </c>
      <c r="AG449" t="s">
        <v>305</v>
      </c>
      <c r="AH449" t="s">
        <v>11</v>
      </c>
      <c r="AI449" t="s">
        <v>5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0</v>
      </c>
      <c r="AN449">
        <f>$H$449*$T$449</f>
        <v>0</v>
      </c>
      <c r="AO449">
        <f>$H$449*$U$449</f>
        <v>0</v>
      </c>
      <c r="AP449">
        <f>$H$449*$V$449</f>
        <v>0</v>
      </c>
      <c r="AQ449">
        <f>$H$449*$W$449</f>
        <v>0</v>
      </c>
      <c r="AR449">
        <f>$H$449*$X$449</f>
        <v>0</v>
      </c>
      <c r="AS449">
        <f>$H$449*$Y$449</f>
        <v>0</v>
      </c>
      <c r="AT449">
        <f>$H$449*$Z$449</f>
        <v>0</v>
      </c>
      <c r="AU449">
        <f>$H$449*$AA$449</f>
        <v>0</v>
      </c>
      <c r="AV449">
        <f>$H$449*$AB$449</f>
        <v>0</v>
      </c>
      <c r="AW449">
        <f>$H$449*$AC$449</f>
        <v>0</v>
      </c>
      <c r="AX449">
        <f>$H$449*$AD$449</f>
        <v>76.209999999999994</v>
      </c>
      <c r="AY449">
        <f>$H$449*$AE$449</f>
        <v>76.209999999999994</v>
      </c>
      <c r="AZ449">
        <f>$H$449*$AF$449</f>
        <v>76.209999999999994</v>
      </c>
    </row>
    <row r="450" spans="1:52" x14ac:dyDescent="0.25">
      <c r="A450">
        <v>518</v>
      </c>
      <c r="B450" t="s">
        <v>305</v>
      </c>
      <c r="C450" t="s">
        <v>438</v>
      </c>
      <c r="D450">
        <v>15.73</v>
      </c>
      <c r="E450">
        <v>41.21</v>
      </c>
      <c r="F450" t="s">
        <v>329</v>
      </c>
      <c r="G450">
        <v>2.62</v>
      </c>
      <c r="H450">
        <v>49.45</v>
      </c>
      <c r="I450" t="s">
        <v>439</v>
      </c>
      <c r="J450" t="s">
        <v>440</v>
      </c>
      <c r="K450" t="s">
        <v>654</v>
      </c>
      <c r="L450" t="s">
        <v>179</v>
      </c>
      <c r="M450" t="s">
        <v>305</v>
      </c>
      <c r="N450" t="s">
        <v>11</v>
      </c>
      <c r="O450" t="s">
        <v>5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305</v>
      </c>
      <c r="AH450" t="s">
        <v>11</v>
      </c>
      <c r="AI450" t="s">
        <v>5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0</v>
      </c>
      <c r="AN450">
        <f>$H$450*$T$450</f>
        <v>0</v>
      </c>
      <c r="AO450">
        <f>$H$450*$U$450</f>
        <v>0</v>
      </c>
      <c r="AP450">
        <f>$H$450*$V$450</f>
        <v>0</v>
      </c>
      <c r="AQ450">
        <f>$H$450*$W$450</f>
        <v>0</v>
      </c>
      <c r="AR450">
        <f>$H$450*$X$450</f>
        <v>0</v>
      </c>
      <c r="AS450">
        <f>$H$450*$Y$450</f>
        <v>0</v>
      </c>
      <c r="AT450">
        <f>$H$450*$Z$450</f>
        <v>0</v>
      </c>
      <c r="AU450">
        <f>$H$450*$AA$450</f>
        <v>49.45</v>
      </c>
      <c r="AV450">
        <f>$H$450*$AB$450</f>
        <v>49.45</v>
      </c>
      <c r="AW450">
        <f>$H$450*$AC$450</f>
        <v>49.45</v>
      </c>
      <c r="AX450">
        <f>$H$450*$AD$450</f>
        <v>49.45</v>
      </c>
      <c r="AY450">
        <f>$H$450*$AE$450</f>
        <v>49.45</v>
      </c>
      <c r="AZ450">
        <f>$H$450*$AF$450</f>
        <v>49.45</v>
      </c>
    </row>
    <row r="451" spans="1:52" x14ac:dyDescent="0.25">
      <c r="A451">
        <v>519</v>
      </c>
      <c r="B451" t="s">
        <v>305</v>
      </c>
      <c r="C451" t="s">
        <v>441</v>
      </c>
      <c r="D451">
        <v>141.6</v>
      </c>
      <c r="E451">
        <v>305.86</v>
      </c>
      <c r="F451" t="s">
        <v>349</v>
      </c>
      <c r="G451">
        <v>2.16</v>
      </c>
      <c r="H451">
        <v>367.04</v>
      </c>
      <c r="I451" t="s">
        <v>439</v>
      </c>
      <c r="J451" t="s">
        <v>442</v>
      </c>
      <c r="K451" t="s">
        <v>655</v>
      </c>
      <c r="L451" t="s">
        <v>179</v>
      </c>
      <c r="M451" t="s">
        <v>305</v>
      </c>
      <c r="N451" t="s">
        <v>11</v>
      </c>
      <c r="O451" t="s">
        <v>5</v>
      </c>
      <c r="P451">
        <v>0</v>
      </c>
      <c r="Q451">
        <v>0</v>
      </c>
      <c r="R451">
        <v>0</v>
      </c>
      <c r="S451">
        <v>1</v>
      </c>
      <c r="T451">
        <v>1</v>
      </c>
      <c r="U451">
        <v>1</v>
      </c>
      <c r="V451">
        <v>1</v>
      </c>
      <c r="W451">
        <v>1</v>
      </c>
      <c r="X451">
        <v>1</v>
      </c>
      <c r="Y451">
        <v>1</v>
      </c>
      <c r="Z451">
        <v>1</v>
      </c>
      <c r="AA451">
        <v>1</v>
      </c>
      <c r="AB451">
        <v>1</v>
      </c>
      <c r="AC451">
        <v>1</v>
      </c>
      <c r="AD451">
        <v>1</v>
      </c>
      <c r="AE451">
        <v>1</v>
      </c>
      <c r="AF451">
        <v>1</v>
      </c>
      <c r="AG451" t="s">
        <v>305</v>
      </c>
      <c r="AH451" t="s">
        <v>11</v>
      </c>
      <c r="AI451" t="s">
        <v>5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367.04</v>
      </c>
      <c r="AN451">
        <f>$H$451*$T$451</f>
        <v>367.04</v>
      </c>
      <c r="AO451">
        <f>$H$451*$U$451</f>
        <v>367.04</v>
      </c>
      <c r="AP451">
        <f>$H$451*$V$451</f>
        <v>367.04</v>
      </c>
      <c r="AQ451">
        <f>$H$451*$W$451</f>
        <v>367.04</v>
      </c>
      <c r="AR451">
        <f>$H$451*$X$451</f>
        <v>367.04</v>
      </c>
      <c r="AS451">
        <f>$H$451*$Y$451</f>
        <v>367.04</v>
      </c>
      <c r="AT451">
        <f>$H$451*$Z$451</f>
        <v>367.04</v>
      </c>
      <c r="AU451">
        <f>$H$451*$AA$451</f>
        <v>367.04</v>
      </c>
      <c r="AV451">
        <f>$H$451*$AB$451</f>
        <v>367.04</v>
      </c>
      <c r="AW451">
        <f>$H$451*$AC$451</f>
        <v>367.04</v>
      </c>
      <c r="AX451">
        <f>$H$451*$AD$451</f>
        <v>367.04</v>
      </c>
      <c r="AY451">
        <f>$H$451*$AE$451</f>
        <v>367.04</v>
      </c>
      <c r="AZ451">
        <f>$H$451*$AF$451</f>
        <v>367.04</v>
      </c>
    </row>
    <row r="452" spans="1:52" x14ac:dyDescent="0.25">
      <c r="A452">
        <v>520</v>
      </c>
      <c r="B452" t="s">
        <v>305</v>
      </c>
      <c r="C452" t="s">
        <v>443</v>
      </c>
      <c r="D452">
        <v>141.6</v>
      </c>
      <c r="E452">
        <v>89.21</v>
      </c>
      <c r="F452" t="s">
        <v>349</v>
      </c>
      <c r="G452">
        <v>0.63</v>
      </c>
      <c r="H452">
        <v>107.05</v>
      </c>
      <c r="I452" t="s">
        <v>330</v>
      </c>
      <c r="J452" t="s">
        <v>444</v>
      </c>
      <c r="K452" t="s">
        <v>656</v>
      </c>
      <c r="L452" t="s">
        <v>179</v>
      </c>
      <c r="M452" t="s">
        <v>305</v>
      </c>
      <c r="N452" t="s">
        <v>11</v>
      </c>
      <c r="O452" t="s">
        <v>5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1</v>
      </c>
      <c r="AE452">
        <v>1</v>
      </c>
      <c r="AF452">
        <v>1</v>
      </c>
      <c r="AG452" t="s">
        <v>305</v>
      </c>
      <c r="AH452" t="s">
        <v>11</v>
      </c>
      <c r="AI452" t="s">
        <v>5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0</v>
      </c>
      <c r="AN452">
        <f>$H$452*$T$452</f>
        <v>0</v>
      </c>
      <c r="AO452">
        <f>$H$452*$U$452</f>
        <v>0</v>
      </c>
      <c r="AP452">
        <f>$H$452*$V$452</f>
        <v>0</v>
      </c>
      <c r="AQ452">
        <f>$H$452*$W$452</f>
        <v>0</v>
      </c>
      <c r="AR452">
        <f>$H$452*$X$452</f>
        <v>0</v>
      </c>
      <c r="AS452">
        <f>$H$452*$Y$452</f>
        <v>0</v>
      </c>
      <c r="AT452">
        <f>$H$452*$Z$452</f>
        <v>0</v>
      </c>
      <c r="AU452">
        <f>$H$452*$AA$452</f>
        <v>0</v>
      </c>
      <c r="AV452">
        <f>$H$452*$AB$452</f>
        <v>0</v>
      </c>
      <c r="AW452">
        <f>$H$452*$AC$452</f>
        <v>0</v>
      </c>
      <c r="AX452">
        <f>$H$452*$AD$452</f>
        <v>107.05</v>
      </c>
      <c r="AY452">
        <f>$H$452*$AE$452</f>
        <v>107.05</v>
      </c>
      <c r="AZ452">
        <f>$H$452*$AF$452</f>
        <v>107.05</v>
      </c>
    </row>
    <row r="453" spans="1:52" x14ac:dyDescent="0.25">
      <c r="A453">
        <v>521</v>
      </c>
      <c r="B453" t="s">
        <v>305</v>
      </c>
      <c r="C453" t="s">
        <v>362</v>
      </c>
      <c r="D453">
        <v>177</v>
      </c>
      <c r="E453">
        <v>173.46</v>
      </c>
      <c r="F453" t="s">
        <v>349</v>
      </c>
      <c r="G453">
        <v>0.98</v>
      </c>
      <c r="H453">
        <v>208.16</v>
      </c>
      <c r="I453" t="s">
        <v>330</v>
      </c>
      <c r="J453" t="s">
        <v>363</v>
      </c>
      <c r="K453" t="s">
        <v>617</v>
      </c>
      <c r="L453" t="s">
        <v>179</v>
      </c>
      <c r="M453" t="s">
        <v>305</v>
      </c>
      <c r="N453" t="s">
        <v>11</v>
      </c>
      <c r="O453" t="s">
        <v>5</v>
      </c>
      <c r="P453">
        <v>0</v>
      </c>
      <c r="Q453">
        <v>0</v>
      </c>
      <c r="R453">
        <v>0</v>
      </c>
      <c r="S453">
        <v>0</v>
      </c>
      <c r="T453">
        <v>1</v>
      </c>
      <c r="U453">
        <v>1</v>
      </c>
      <c r="V453">
        <v>1</v>
      </c>
      <c r="W453">
        <v>1</v>
      </c>
      <c r="X453">
        <v>1</v>
      </c>
      <c r="Y453">
        <v>1</v>
      </c>
      <c r="Z453">
        <v>1</v>
      </c>
      <c r="AA453">
        <v>1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305</v>
      </c>
      <c r="AH453" t="s">
        <v>11</v>
      </c>
      <c r="AI453" t="s">
        <v>5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0</v>
      </c>
      <c r="AN453">
        <f>$H$453*$T$453</f>
        <v>208.16</v>
      </c>
      <c r="AO453">
        <f>$H$453*$U$453</f>
        <v>208.16</v>
      </c>
      <c r="AP453">
        <f>$H$453*$V$453</f>
        <v>208.16</v>
      </c>
      <c r="AQ453">
        <f>$H$453*$W$453</f>
        <v>208.16</v>
      </c>
      <c r="AR453">
        <f>$H$453*$X$453</f>
        <v>208.16</v>
      </c>
      <c r="AS453">
        <f>$H$453*$Y$453</f>
        <v>208.16</v>
      </c>
      <c r="AT453">
        <f>$H$453*$Z$453</f>
        <v>208.16</v>
      </c>
      <c r="AU453">
        <f>$H$453*$AA$453</f>
        <v>208.16</v>
      </c>
      <c r="AV453">
        <f>$H$453*$AB$453</f>
        <v>208.16</v>
      </c>
      <c r="AW453">
        <f>$H$453*$AC$453</f>
        <v>208.16</v>
      </c>
      <c r="AX453">
        <f>$H$453*$AD$453</f>
        <v>208.16</v>
      </c>
      <c r="AY453">
        <f>$H$453*$AE$453</f>
        <v>208.16</v>
      </c>
      <c r="AZ453">
        <f>$H$453*$AF$453</f>
        <v>208.16</v>
      </c>
    </row>
    <row r="454" spans="1:52" x14ac:dyDescent="0.25">
      <c r="A454">
        <v>522</v>
      </c>
      <c r="B454" t="s">
        <v>305</v>
      </c>
      <c r="C454" t="s">
        <v>445</v>
      </c>
      <c r="D454">
        <v>35.4</v>
      </c>
      <c r="E454">
        <v>133.1</v>
      </c>
      <c r="F454" t="s">
        <v>349</v>
      </c>
      <c r="G454">
        <v>3.76</v>
      </c>
      <c r="H454">
        <v>159.72</v>
      </c>
      <c r="I454" t="s">
        <v>446</v>
      </c>
      <c r="J454" t="s">
        <v>420</v>
      </c>
      <c r="K454" t="s">
        <v>657</v>
      </c>
      <c r="L454" t="s">
        <v>179</v>
      </c>
      <c r="M454" t="s">
        <v>305</v>
      </c>
      <c r="N454" t="s">
        <v>11</v>
      </c>
      <c r="O454" t="s">
        <v>5</v>
      </c>
      <c r="P454">
        <v>0</v>
      </c>
      <c r="Q454">
        <v>0</v>
      </c>
      <c r="R454">
        <v>0</v>
      </c>
      <c r="S454">
        <v>0.25</v>
      </c>
      <c r="T454">
        <v>0.25</v>
      </c>
      <c r="U454">
        <v>0.25</v>
      </c>
      <c r="V454">
        <v>0.25</v>
      </c>
      <c r="W454">
        <v>0.25</v>
      </c>
      <c r="X454">
        <v>0.5</v>
      </c>
      <c r="Y454">
        <v>0.5</v>
      </c>
      <c r="Z454">
        <v>0.5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305</v>
      </c>
      <c r="AH454" t="s">
        <v>11</v>
      </c>
      <c r="AI454" t="s">
        <v>5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39.93</v>
      </c>
      <c r="AN454">
        <f>$H$454*$T$454</f>
        <v>39.93</v>
      </c>
      <c r="AO454">
        <f>$H$454*$U$454</f>
        <v>39.93</v>
      </c>
      <c r="AP454">
        <f>$H$454*$V$454</f>
        <v>39.93</v>
      </c>
      <c r="AQ454">
        <f>$H$454*$W$454</f>
        <v>39.93</v>
      </c>
      <c r="AR454">
        <f>$H$454*$X$454</f>
        <v>79.86</v>
      </c>
      <c r="AS454">
        <f>$H$454*$Y$454</f>
        <v>79.86</v>
      </c>
      <c r="AT454">
        <f>$H$454*$Z$454</f>
        <v>79.86</v>
      </c>
      <c r="AU454">
        <f>$H$454*$AA$454</f>
        <v>159.72</v>
      </c>
      <c r="AV454">
        <f>$H$454*$AB$454</f>
        <v>159.72</v>
      </c>
      <c r="AW454">
        <f>$H$454*$AC$454</f>
        <v>159.72</v>
      </c>
      <c r="AX454">
        <f>$H$454*$AD$454</f>
        <v>159.72</v>
      </c>
      <c r="AY454">
        <f>$H$454*$AE$454</f>
        <v>159.72</v>
      </c>
      <c r="AZ454">
        <f>$H$454*$AF$454</f>
        <v>159.72</v>
      </c>
    </row>
    <row r="455" spans="1:52" x14ac:dyDescent="0.25">
      <c r="A455">
        <v>523</v>
      </c>
      <c r="B455" t="s">
        <v>305</v>
      </c>
      <c r="C455" t="s">
        <v>364</v>
      </c>
      <c r="D455">
        <v>354</v>
      </c>
      <c r="E455">
        <v>1189.44</v>
      </c>
      <c r="F455" t="s">
        <v>349</v>
      </c>
      <c r="G455">
        <v>3.36</v>
      </c>
      <c r="H455">
        <v>1427.32</v>
      </c>
      <c r="I455" t="s">
        <v>365</v>
      </c>
      <c r="J455" t="s">
        <v>366</v>
      </c>
      <c r="K455" t="s">
        <v>618</v>
      </c>
      <c r="L455" t="s">
        <v>179</v>
      </c>
      <c r="M455" t="s">
        <v>305</v>
      </c>
      <c r="N455" t="s">
        <v>11</v>
      </c>
      <c r="O455" t="s">
        <v>5</v>
      </c>
      <c r="P455">
        <v>0</v>
      </c>
      <c r="Q455">
        <v>0</v>
      </c>
      <c r="R455">
        <v>0</v>
      </c>
      <c r="S455">
        <v>0.25</v>
      </c>
      <c r="T455">
        <v>0.25</v>
      </c>
      <c r="U455">
        <v>0.25</v>
      </c>
      <c r="V455">
        <v>0.25</v>
      </c>
      <c r="W455">
        <v>0.5</v>
      </c>
      <c r="X455">
        <v>0.5</v>
      </c>
      <c r="Y455">
        <v>0.5</v>
      </c>
      <c r="Z455">
        <v>0.5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305</v>
      </c>
      <c r="AH455" t="s">
        <v>11</v>
      </c>
      <c r="AI455" t="s">
        <v>5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356.83</v>
      </c>
      <c r="AN455">
        <f>$H$455*$T$455</f>
        <v>356.83</v>
      </c>
      <c r="AO455">
        <f>$H$455*$U$455</f>
        <v>356.83</v>
      </c>
      <c r="AP455">
        <f>$H$455*$V$455</f>
        <v>356.83</v>
      </c>
      <c r="AQ455">
        <f>$H$455*$W$455</f>
        <v>713.66</v>
      </c>
      <c r="AR455">
        <f>$H$455*$X$455</f>
        <v>713.66</v>
      </c>
      <c r="AS455">
        <f>$H$455*$Y$455</f>
        <v>713.66</v>
      </c>
      <c r="AT455">
        <f>$H$455*$Z$455</f>
        <v>713.66</v>
      </c>
      <c r="AU455">
        <f>$H$455*$AA$455</f>
        <v>1427.32</v>
      </c>
      <c r="AV455">
        <f>$H$455*$AB$455</f>
        <v>1427.32</v>
      </c>
      <c r="AW455">
        <f>$H$455*$AC$455</f>
        <v>1427.32</v>
      </c>
      <c r="AX455">
        <f>$H$455*$AD$455</f>
        <v>1427.32</v>
      </c>
      <c r="AY455">
        <f>$H$455*$AE$455</f>
        <v>1427.32</v>
      </c>
      <c r="AZ455">
        <f>$H$455*$AF$455</f>
        <v>1427.32</v>
      </c>
    </row>
    <row r="456" spans="1:52" x14ac:dyDescent="0.25">
      <c r="A456">
        <v>524</v>
      </c>
      <c r="B456" t="s">
        <v>305</v>
      </c>
      <c r="C456" t="s">
        <v>447</v>
      </c>
      <c r="D456">
        <v>39.33</v>
      </c>
      <c r="E456">
        <v>40.9</v>
      </c>
      <c r="F456" t="s">
        <v>329</v>
      </c>
      <c r="G456">
        <v>1.04</v>
      </c>
      <c r="H456">
        <v>49.08</v>
      </c>
      <c r="I456" t="s">
        <v>330</v>
      </c>
      <c r="J456" t="s">
        <v>448</v>
      </c>
      <c r="K456" t="s">
        <v>658</v>
      </c>
      <c r="L456" t="s">
        <v>179</v>
      </c>
      <c r="M456" t="s">
        <v>305</v>
      </c>
      <c r="N456" t="s">
        <v>11</v>
      </c>
      <c r="O456" t="s">
        <v>5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305</v>
      </c>
      <c r="AH456" t="s">
        <v>11</v>
      </c>
      <c r="AI456" t="s">
        <v>5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0</v>
      </c>
      <c r="AN456">
        <f>$H$456*$T$456</f>
        <v>0</v>
      </c>
      <c r="AO456">
        <f>$H$456*$U$456</f>
        <v>0</v>
      </c>
      <c r="AP456">
        <f>$H$456*$V$456</f>
        <v>0</v>
      </c>
      <c r="AQ456">
        <f>$H$456*$W$456</f>
        <v>0</v>
      </c>
      <c r="AR456">
        <f>$H$456*$X$456</f>
        <v>0</v>
      </c>
      <c r="AS456">
        <f>$H$456*$Y$456</f>
        <v>0</v>
      </c>
      <c r="AT456">
        <f>$H$456*$Z$456</f>
        <v>0</v>
      </c>
      <c r="AU456">
        <f>$H$456*$AA$456</f>
        <v>49.08</v>
      </c>
      <c r="AV456">
        <f>$H$456*$AB$456</f>
        <v>49.08</v>
      </c>
      <c r="AW456">
        <f>$H$456*$AC$456</f>
        <v>49.08</v>
      </c>
      <c r="AX456">
        <f>$H$456*$AD$456</f>
        <v>49.08</v>
      </c>
      <c r="AY456">
        <f>$H$456*$AE$456</f>
        <v>49.08</v>
      </c>
      <c r="AZ456">
        <f>$H$456*$AF$456</f>
        <v>49.08</v>
      </c>
    </row>
    <row r="457" spans="1:52" x14ac:dyDescent="0.25">
      <c r="A457">
        <v>525</v>
      </c>
      <c r="B457" t="s">
        <v>305</v>
      </c>
      <c r="C457" t="s">
        <v>449</v>
      </c>
      <c r="D457">
        <v>39.33</v>
      </c>
      <c r="E457">
        <v>315.43</v>
      </c>
      <c r="F457" t="s">
        <v>329</v>
      </c>
      <c r="G457">
        <v>8.02</v>
      </c>
      <c r="H457">
        <v>378.51</v>
      </c>
      <c r="I457" t="s">
        <v>333</v>
      </c>
      <c r="J457" t="s">
        <v>450</v>
      </c>
      <c r="K457" t="s">
        <v>659</v>
      </c>
      <c r="L457" t="s">
        <v>179</v>
      </c>
      <c r="M457" t="s">
        <v>305</v>
      </c>
      <c r="N457" t="s">
        <v>11</v>
      </c>
      <c r="O457" t="s">
        <v>5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1</v>
      </c>
      <c r="AB457">
        <v>1</v>
      </c>
      <c r="AC457">
        <v>1</v>
      </c>
      <c r="AD457">
        <v>1</v>
      </c>
      <c r="AE457">
        <v>1</v>
      </c>
      <c r="AF457">
        <v>1</v>
      </c>
      <c r="AG457" t="s">
        <v>305</v>
      </c>
      <c r="AH457" t="s">
        <v>11</v>
      </c>
      <c r="AI457" t="s">
        <v>5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0</v>
      </c>
      <c r="AN457">
        <f>$H$457*$T$457</f>
        <v>0</v>
      </c>
      <c r="AO457">
        <f>$H$457*$U$457</f>
        <v>0</v>
      </c>
      <c r="AP457">
        <f>$H$457*$V$457</f>
        <v>0</v>
      </c>
      <c r="AQ457">
        <f>$H$457*$W$457</f>
        <v>0</v>
      </c>
      <c r="AR457">
        <f>$H$457*$X$457</f>
        <v>0</v>
      </c>
      <c r="AS457">
        <f>$H$457*$Y$457</f>
        <v>0</v>
      </c>
      <c r="AT457">
        <f>$H$457*$Z$457</f>
        <v>0</v>
      </c>
      <c r="AU457">
        <f>$H$457*$AA$457</f>
        <v>378.51</v>
      </c>
      <c r="AV457">
        <f>$H$457*$AB$457</f>
        <v>378.51</v>
      </c>
      <c r="AW457">
        <f>$H$457*$AC$457</f>
        <v>378.51</v>
      </c>
      <c r="AX457">
        <f>$H$457*$AD$457</f>
        <v>378.51</v>
      </c>
      <c r="AY457">
        <f>$H$457*$AE$457</f>
        <v>378.51</v>
      </c>
      <c r="AZ457">
        <f>$H$457*$AF$457</f>
        <v>378.51</v>
      </c>
    </row>
    <row r="458" spans="1:52" x14ac:dyDescent="0.25">
      <c r="A458">
        <v>526</v>
      </c>
      <c r="B458" t="s">
        <v>305</v>
      </c>
      <c r="C458" t="s">
        <v>455</v>
      </c>
      <c r="D458">
        <v>39.33</v>
      </c>
      <c r="E458">
        <v>59.39</v>
      </c>
      <c r="F458" t="s">
        <v>329</v>
      </c>
      <c r="G458">
        <v>1.51</v>
      </c>
      <c r="H458">
        <v>71.27</v>
      </c>
      <c r="I458" t="s">
        <v>330</v>
      </c>
      <c r="J458" t="s">
        <v>456</v>
      </c>
      <c r="K458" t="s">
        <v>662</v>
      </c>
      <c r="L458" t="s">
        <v>179</v>
      </c>
      <c r="M458" t="s">
        <v>305</v>
      </c>
      <c r="N458" t="s">
        <v>11</v>
      </c>
      <c r="O458" t="s">
        <v>5</v>
      </c>
      <c r="P458">
        <v>0</v>
      </c>
      <c r="Q458">
        <v>0</v>
      </c>
      <c r="R458">
        <v>0</v>
      </c>
      <c r="S458">
        <v>1</v>
      </c>
      <c r="T458">
        <v>1</v>
      </c>
      <c r="U458">
        <v>1</v>
      </c>
      <c r="V458">
        <v>1</v>
      </c>
      <c r="W458">
        <v>1</v>
      </c>
      <c r="X458">
        <v>1</v>
      </c>
      <c r="Y458">
        <v>1</v>
      </c>
      <c r="Z458">
        <v>1</v>
      </c>
      <c r="AA458">
        <v>1</v>
      </c>
      <c r="AB458">
        <v>1</v>
      </c>
      <c r="AC458">
        <v>1</v>
      </c>
      <c r="AD458">
        <v>1</v>
      </c>
      <c r="AE458">
        <v>1</v>
      </c>
      <c r="AF458">
        <v>1</v>
      </c>
      <c r="AG458" t="s">
        <v>305</v>
      </c>
      <c r="AH458" t="s">
        <v>11</v>
      </c>
      <c r="AI458" t="s">
        <v>5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71.27</v>
      </c>
      <c r="AN458">
        <f>$H$458*$T$458</f>
        <v>71.27</v>
      </c>
      <c r="AO458">
        <f>$H$458*$U$458</f>
        <v>71.27</v>
      </c>
      <c r="AP458">
        <f>$H$458*$V$458</f>
        <v>71.27</v>
      </c>
      <c r="AQ458">
        <f>$H$458*$W$458</f>
        <v>71.27</v>
      </c>
      <c r="AR458">
        <f>$H$458*$X$458</f>
        <v>71.27</v>
      </c>
      <c r="AS458">
        <f>$H$458*$Y$458</f>
        <v>71.27</v>
      </c>
      <c r="AT458">
        <f>$H$458*$Z$458</f>
        <v>71.27</v>
      </c>
      <c r="AU458">
        <f>$H$458*$AA$458</f>
        <v>71.27</v>
      </c>
      <c r="AV458">
        <f>$H$458*$AB$458</f>
        <v>71.27</v>
      </c>
      <c r="AW458">
        <f>$H$458*$AC$458</f>
        <v>71.27</v>
      </c>
      <c r="AX458">
        <f>$H$458*$AD$458</f>
        <v>71.27</v>
      </c>
      <c r="AY458">
        <f>$H$458*$AE$458</f>
        <v>71.27</v>
      </c>
      <c r="AZ458">
        <f>$H$458*$AF$458</f>
        <v>71.27</v>
      </c>
    </row>
    <row r="459" spans="1:52" x14ac:dyDescent="0.25">
      <c r="A459">
        <v>527</v>
      </c>
      <c r="B459" t="s">
        <v>305</v>
      </c>
      <c r="C459" t="s">
        <v>457</v>
      </c>
      <c r="D459">
        <v>39.33</v>
      </c>
      <c r="E459">
        <v>223.39</v>
      </c>
      <c r="F459" t="s">
        <v>329</v>
      </c>
      <c r="G459">
        <v>5.68</v>
      </c>
      <c r="H459">
        <v>268.07</v>
      </c>
      <c r="I459" t="s">
        <v>333</v>
      </c>
      <c r="J459" t="s">
        <v>458</v>
      </c>
      <c r="K459" t="s">
        <v>663</v>
      </c>
      <c r="L459" t="s">
        <v>179</v>
      </c>
      <c r="M459" t="s">
        <v>305</v>
      </c>
      <c r="N459" t="s">
        <v>11</v>
      </c>
      <c r="O459" t="s">
        <v>5</v>
      </c>
      <c r="P459">
        <v>0</v>
      </c>
      <c r="Q459">
        <v>0</v>
      </c>
      <c r="R459">
        <v>0</v>
      </c>
      <c r="S459">
        <v>1</v>
      </c>
      <c r="T459">
        <v>1</v>
      </c>
      <c r="U459">
        <v>1</v>
      </c>
      <c r="V459">
        <v>1</v>
      </c>
      <c r="W459">
        <v>1</v>
      </c>
      <c r="X459">
        <v>1</v>
      </c>
      <c r="Y459">
        <v>1</v>
      </c>
      <c r="Z459">
        <v>1</v>
      </c>
      <c r="AA459">
        <v>1</v>
      </c>
      <c r="AB459">
        <v>1</v>
      </c>
      <c r="AC459">
        <v>1</v>
      </c>
      <c r="AD459">
        <v>1</v>
      </c>
      <c r="AE459">
        <v>1</v>
      </c>
      <c r="AF459">
        <v>1</v>
      </c>
      <c r="AG459" t="s">
        <v>305</v>
      </c>
      <c r="AH459" t="s">
        <v>11</v>
      </c>
      <c r="AI459" t="s">
        <v>5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268.07</v>
      </c>
      <c r="AN459">
        <f>$H$459*$T$459</f>
        <v>268.07</v>
      </c>
      <c r="AO459">
        <f>$H$459*$U$459</f>
        <v>268.07</v>
      </c>
      <c r="AP459">
        <f>$H$459*$V$459</f>
        <v>268.07</v>
      </c>
      <c r="AQ459">
        <f>$H$459*$W$459</f>
        <v>268.07</v>
      </c>
      <c r="AR459">
        <f>$H$459*$X$459</f>
        <v>268.07</v>
      </c>
      <c r="AS459">
        <f>$H$459*$Y$459</f>
        <v>268.07</v>
      </c>
      <c r="AT459">
        <f>$H$459*$Z$459</f>
        <v>268.07</v>
      </c>
      <c r="AU459">
        <f>$H$459*$AA$459</f>
        <v>268.07</v>
      </c>
      <c r="AV459">
        <f>$H$459*$AB$459</f>
        <v>268.07</v>
      </c>
      <c r="AW459">
        <f>$H$459*$AC$459</f>
        <v>268.07</v>
      </c>
      <c r="AX459">
        <f>$H$459*$AD$459</f>
        <v>268.07</v>
      </c>
      <c r="AY459">
        <f>$H$459*$AE$459</f>
        <v>268.07</v>
      </c>
      <c r="AZ459">
        <f>$H$459*$AF$459</f>
        <v>268.07</v>
      </c>
    </row>
    <row r="460" spans="1:52" x14ac:dyDescent="0.25">
      <c r="A460">
        <v>528</v>
      </c>
      <c r="B460" t="s">
        <v>305</v>
      </c>
      <c r="C460" t="s">
        <v>364</v>
      </c>
      <c r="D460">
        <v>96.69</v>
      </c>
      <c r="E460">
        <v>324.88</v>
      </c>
      <c r="F460" t="s">
        <v>349</v>
      </c>
      <c r="G460">
        <v>3.36</v>
      </c>
      <c r="H460">
        <v>389.86</v>
      </c>
      <c r="I460" t="s">
        <v>365</v>
      </c>
      <c r="J460" t="s">
        <v>366</v>
      </c>
      <c r="K460" t="s">
        <v>618</v>
      </c>
      <c r="L460" t="s">
        <v>179</v>
      </c>
      <c r="M460" t="s">
        <v>305</v>
      </c>
      <c r="N460" t="s">
        <v>11</v>
      </c>
      <c r="O460" t="s">
        <v>5</v>
      </c>
      <c r="P460">
        <v>0</v>
      </c>
      <c r="Q460">
        <v>0</v>
      </c>
      <c r="R460">
        <v>0</v>
      </c>
      <c r="S460">
        <v>0.25</v>
      </c>
      <c r="T460">
        <v>0.25</v>
      </c>
      <c r="U460">
        <v>0.25</v>
      </c>
      <c r="V460">
        <v>0.25</v>
      </c>
      <c r="W460">
        <v>0.5</v>
      </c>
      <c r="X460">
        <v>0.5</v>
      </c>
      <c r="Y460">
        <v>0.5</v>
      </c>
      <c r="Z460">
        <v>0.5</v>
      </c>
      <c r="AA460">
        <v>1</v>
      </c>
      <c r="AB460">
        <v>1</v>
      </c>
      <c r="AC460">
        <v>1</v>
      </c>
      <c r="AD460">
        <v>1</v>
      </c>
      <c r="AE460">
        <v>1</v>
      </c>
      <c r="AF460">
        <v>1</v>
      </c>
      <c r="AG460" t="s">
        <v>305</v>
      </c>
      <c r="AH460" t="s">
        <v>11</v>
      </c>
      <c r="AI460" t="s">
        <v>5</v>
      </c>
      <c r="AJ460">
        <f>$H$460*$P$460</f>
        <v>0</v>
      </c>
      <c r="AK460">
        <f>$H$460*$Q$460</f>
        <v>0</v>
      </c>
      <c r="AL460">
        <f>$H$460*$R$460</f>
        <v>0</v>
      </c>
      <c r="AM460">
        <f>$H$460*$S$460</f>
        <v>97.465000000000003</v>
      </c>
      <c r="AN460">
        <f>$H$460*$T$460</f>
        <v>97.465000000000003</v>
      </c>
      <c r="AO460">
        <f>$H$460*$U$460</f>
        <v>97.465000000000003</v>
      </c>
      <c r="AP460">
        <f>$H$460*$V$460</f>
        <v>97.465000000000003</v>
      </c>
      <c r="AQ460">
        <f>$H$460*$W$460</f>
        <v>194.93</v>
      </c>
      <c r="AR460">
        <f>$H$460*$X$460</f>
        <v>194.93</v>
      </c>
      <c r="AS460">
        <f>$H$460*$Y$460</f>
        <v>194.93</v>
      </c>
      <c r="AT460">
        <f>$H$460*$Z$460</f>
        <v>194.93</v>
      </c>
      <c r="AU460">
        <f>$H$460*$AA$460</f>
        <v>389.86</v>
      </c>
      <c r="AV460">
        <f>$H$460*$AB$460</f>
        <v>389.86</v>
      </c>
      <c r="AW460">
        <f>$H$460*$AC$460</f>
        <v>389.86</v>
      </c>
      <c r="AX460">
        <f>$H$460*$AD$460</f>
        <v>389.86</v>
      </c>
      <c r="AY460">
        <f>$H$460*$AE$460</f>
        <v>389.86</v>
      </c>
      <c r="AZ460">
        <f>$H$460*$AF$460</f>
        <v>389.86</v>
      </c>
    </row>
    <row r="461" spans="1:52" x14ac:dyDescent="0.25">
      <c r="A461">
        <v>529</v>
      </c>
      <c r="B461" t="s">
        <v>305</v>
      </c>
      <c r="C461" t="s">
        <v>443</v>
      </c>
      <c r="D461">
        <v>96.69</v>
      </c>
      <c r="E461">
        <v>60.91</v>
      </c>
      <c r="F461" t="s">
        <v>349</v>
      </c>
      <c r="G461">
        <v>0.63</v>
      </c>
      <c r="H461">
        <v>73.09</v>
      </c>
      <c r="I461" t="s">
        <v>330</v>
      </c>
      <c r="J461" t="s">
        <v>444</v>
      </c>
      <c r="K461" t="s">
        <v>656</v>
      </c>
      <c r="L461" t="s">
        <v>179</v>
      </c>
      <c r="M461" t="s">
        <v>305</v>
      </c>
      <c r="N461" t="s">
        <v>11</v>
      </c>
      <c r="O461" t="s">
        <v>5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1</v>
      </c>
      <c r="AE461">
        <v>1</v>
      </c>
      <c r="AF461">
        <v>1</v>
      </c>
      <c r="AG461" t="s">
        <v>305</v>
      </c>
      <c r="AH461" t="s">
        <v>11</v>
      </c>
      <c r="AI461" t="s">
        <v>5</v>
      </c>
      <c r="AJ461">
        <f>$H$461*$P$461</f>
        <v>0</v>
      </c>
      <c r="AK461">
        <f>$H$461*$Q$461</f>
        <v>0</v>
      </c>
      <c r="AL461">
        <f>$H$461*$R$461</f>
        <v>0</v>
      </c>
      <c r="AM461">
        <f>$H$461*$S$461</f>
        <v>0</v>
      </c>
      <c r="AN461">
        <f>$H$461*$T$461</f>
        <v>0</v>
      </c>
      <c r="AO461">
        <f>$H$461*$U$461</f>
        <v>0</v>
      </c>
      <c r="AP461">
        <f>$H$461*$V$461</f>
        <v>0</v>
      </c>
      <c r="AQ461">
        <f>$H$461*$W$461</f>
        <v>0</v>
      </c>
      <c r="AR461">
        <f>$H$461*$X$461</f>
        <v>0</v>
      </c>
      <c r="AS461">
        <f>$H$461*$Y$461</f>
        <v>0</v>
      </c>
      <c r="AT461">
        <f>$H$461*$Z$461</f>
        <v>0</v>
      </c>
      <c r="AU461">
        <f>$H$461*$AA$461</f>
        <v>0</v>
      </c>
      <c r="AV461">
        <f>$H$461*$AB$461</f>
        <v>0</v>
      </c>
      <c r="AW461">
        <f>$H$461*$AC$461</f>
        <v>0</v>
      </c>
      <c r="AX461">
        <f>$H$461*$AD$461</f>
        <v>73.09</v>
      </c>
      <c r="AY461">
        <f>$H$461*$AE$461</f>
        <v>73.09</v>
      </c>
      <c r="AZ461">
        <f>$H$461*$AF$461</f>
        <v>73.09</v>
      </c>
    </row>
    <row r="462" spans="1:52" x14ac:dyDescent="0.25">
      <c r="A462">
        <v>530</v>
      </c>
      <c r="B462" t="s">
        <v>305</v>
      </c>
      <c r="C462" t="s">
        <v>459</v>
      </c>
      <c r="D462">
        <v>96.69</v>
      </c>
      <c r="E462">
        <v>66.72</v>
      </c>
      <c r="F462" t="s">
        <v>349</v>
      </c>
      <c r="G462">
        <v>0.69</v>
      </c>
      <c r="H462">
        <v>80.06</v>
      </c>
      <c r="I462" t="s">
        <v>330</v>
      </c>
      <c r="J462" t="s">
        <v>460</v>
      </c>
      <c r="K462" t="s">
        <v>664</v>
      </c>
      <c r="L462" t="s">
        <v>179</v>
      </c>
      <c r="M462" t="s">
        <v>305</v>
      </c>
      <c r="N462" t="s">
        <v>11</v>
      </c>
      <c r="O462" t="s">
        <v>5</v>
      </c>
      <c r="P462">
        <v>0</v>
      </c>
      <c r="Q462">
        <v>0</v>
      </c>
      <c r="R462">
        <v>0</v>
      </c>
      <c r="S462">
        <v>1</v>
      </c>
      <c r="T462">
        <v>1</v>
      </c>
      <c r="U462">
        <v>1</v>
      </c>
      <c r="V462">
        <v>1</v>
      </c>
      <c r="W462">
        <v>1</v>
      </c>
      <c r="X462">
        <v>1</v>
      </c>
      <c r="Y462">
        <v>1</v>
      </c>
      <c r="Z462">
        <v>1</v>
      </c>
      <c r="AA462">
        <v>1</v>
      </c>
      <c r="AB462">
        <v>1</v>
      </c>
      <c r="AC462">
        <v>1</v>
      </c>
      <c r="AD462">
        <v>1</v>
      </c>
      <c r="AE462">
        <v>1</v>
      </c>
      <c r="AF462">
        <v>1</v>
      </c>
      <c r="AG462" t="s">
        <v>305</v>
      </c>
      <c r="AH462" t="s">
        <v>11</v>
      </c>
      <c r="AI462" t="s">
        <v>5</v>
      </c>
      <c r="AJ462">
        <f>$H$462*$P$462</f>
        <v>0</v>
      </c>
      <c r="AK462">
        <f>$H$462*$Q$462</f>
        <v>0</v>
      </c>
      <c r="AL462">
        <f>$H$462*$R$462</f>
        <v>0</v>
      </c>
      <c r="AM462">
        <f>$H$462*$S$462</f>
        <v>80.06</v>
      </c>
      <c r="AN462">
        <f>$H$462*$T$462</f>
        <v>80.06</v>
      </c>
      <c r="AO462">
        <f>$H$462*$U$462</f>
        <v>80.06</v>
      </c>
      <c r="AP462">
        <f>$H$462*$V$462</f>
        <v>80.06</v>
      </c>
      <c r="AQ462">
        <f>$H$462*$W$462</f>
        <v>80.06</v>
      </c>
      <c r="AR462">
        <f>$H$462*$X$462</f>
        <v>80.06</v>
      </c>
      <c r="AS462">
        <f>$H$462*$Y$462</f>
        <v>80.06</v>
      </c>
      <c r="AT462">
        <f>$H$462*$Z$462</f>
        <v>80.06</v>
      </c>
      <c r="AU462">
        <f>$H$462*$AA$462</f>
        <v>80.06</v>
      </c>
      <c r="AV462">
        <f>$H$462*$AB$462</f>
        <v>80.06</v>
      </c>
      <c r="AW462">
        <f>$H$462*$AC$462</f>
        <v>80.06</v>
      </c>
      <c r="AX462">
        <f>$H$462*$AD$462</f>
        <v>80.06</v>
      </c>
      <c r="AY462">
        <f>$H$462*$AE$462</f>
        <v>80.06</v>
      </c>
      <c r="AZ462">
        <f>$H$462*$AF$462</f>
        <v>80.06</v>
      </c>
    </row>
    <row r="463" spans="1:52" x14ac:dyDescent="0.25">
      <c r="A463">
        <v>531</v>
      </c>
      <c r="B463" t="s">
        <v>305</v>
      </c>
      <c r="C463" t="s">
        <v>461</v>
      </c>
      <c r="D463">
        <v>19.34</v>
      </c>
      <c r="E463">
        <v>335.55</v>
      </c>
      <c r="F463" t="s">
        <v>349</v>
      </c>
      <c r="G463">
        <v>17.350000000000001</v>
      </c>
      <c r="H463">
        <v>402.67</v>
      </c>
      <c r="I463" t="s">
        <v>462</v>
      </c>
      <c r="J463" t="s">
        <v>463</v>
      </c>
      <c r="K463" t="s">
        <v>665</v>
      </c>
      <c r="L463" t="s">
        <v>179</v>
      </c>
      <c r="M463" t="s">
        <v>305</v>
      </c>
      <c r="N463" t="s">
        <v>11</v>
      </c>
      <c r="O463" t="s">
        <v>5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1</v>
      </c>
      <c r="Z463">
        <v>1</v>
      </c>
      <c r="AA463">
        <v>1</v>
      </c>
      <c r="AB463">
        <v>1</v>
      </c>
      <c r="AC463">
        <v>1</v>
      </c>
      <c r="AD463">
        <v>1</v>
      </c>
      <c r="AE463">
        <v>1</v>
      </c>
      <c r="AF463">
        <v>1</v>
      </c>
      <c r="AG463" t="s">
        <v>305</v>
      </c>
      <c r="AH463" t="s">
        <v>11</v>
      </c>
      <c r="AI463" t="s">
        <v>5</v>
      </c>
      <c r="AJ463">
        <f>$H$463*$P$463</f>
        <v>0</v>
      </c>
      <c r="AK463">
        <f>$H$463*$Q$463</f>
        <v>0</v>
      </c>
      <c r="AL463">
        <f>$H$463*$R$463</f>
        <v>0</v>
      </c>
      <c r="AM463">
        <f>$H$463*$S$463</f>
        <v>0</v>
      </c>
      <c r="AN463">
        <f>$H$463*$T$463</f>
        <v>0</v>
      </c>
      <c r="AO463">
        <f>$H$463*$U$463</f>
        <v>0</v>
      </c>
      <c r="AP463">
        <f>$H$463*$V$463</f>
        <v>0</v>
      </c>
      <c r="AQ463">
        <f>$H$463*$W$463</f>
        <v>0</v>
      </c>
      <c r="AR463">
        <f>$H$463*$X$463</f>
        <v>0</v>
      </c>
      <c r="AS463">
        <f>$H$463*$Y$463</f>
        <v>402.67</v>
      </c>
      <c r="AT463">
        <f>$H$463*$Z$463</f>
        <v>402.67</v>
      </c>
      <c r="AU463">
        <f>$H$463*$AA$463</f>
        <v>402.67</v>
      </c>
      <c r="AV463">
        <f>$H$463*$AB$463</f>
        <v>402.67</v>
      </c>
      <c r="AW463">
        <f>$H$463*$AC$463</f>
        <v>402.67</v>
      </c>
      <c r="AX463">
        <f>$H$463*$AD$463</f>
        <v>402.67</v>
      </c>
      <c r="AY463">
        <f>$H$463*$AE$463</f>
        <v>402.67</v>
      </c>
      <c r="AZ463">
        <f>$H$463*$AF$463</f>
        <v>402.67</v>
      </c>
    </row>
    <row r="464" spans="1:52" x14ac:dyDescent="0.25">
      <c r="A464">
        <v>532</v>
      </c>
      <c r="B464" t="s">
        <v>305</v>
      </c>
      <c r="C464" t="s">
        <v>464</v>
      </c>
      <c r="D464">
        <v>38.68</v>
      </c>
      <c r="E464">
        <v>138.47</v>
      </c>
      <c r="F464" t="s">
        <v>349</v>
      </c>
      <c r="G464">
        <v>3.58</v>
      </c>
      <c r="H464">
        <v>166.17</v>
      </c>
      <c r="I464" t="s">
        <v>465</v>
      </c>
      <c r="J464" t="s">
        <v>466</v>
      </c>
      <c r="K464" t="s">
        <v>666</v>
      </c>
      <c r="L464" t="s">
        <v>179</v>
      </c>
      <c r="M464" t="s">
        <v>305</v>
      </c>
      <c r="N464" t="s">
        <v>11</v>
      </c>
      <c r="O464" t="s">
        <v>5</v>
      </c>
      <c r="P464">
        <v>0</v>
      </c>
      <c r="Q464">
        <v>0</v>
      </c>
      <c r="R464">
        <v>0</v>
      </c>
      <c r="S464">
        <v>1</v>
      </c>
      <c r="T464">
        <v>1</v>
      </c>
      <c r="U464">
        <v>1</v>
      </c>
      <c r="V464">
        <v>1</v>
      </c>
      <c r="W464">
        <v>1</v>
      </c>
      <c r="X464">
        <v>1</v>
      </c>
      <c r="Y464">
        <v>1</v>
      </c>
      <c r="Z464">
        <v>1</v>
      </c>
      <c r="AA464">
        <v>1</v>
      </c>
      <c r="AB464">
        <v>1</v>
      </c>
      <c r="AC464">
        <v>1</v>
      </c>
      <c r="AD464">
        <v>1</v>
      </c>
      <c r="AE464">
        <v>1</v>
      </c>
      <c r="AF464">
        <v>1</v>
      </c>
      <c r="AG464" t="s">
        <v>305</v>
      </c>
      <c r="AH464" t="s">
        <v>11</v>
      </c>
      <c r="AI464" t="s">
        <v>5</v>
      </c>
      <c r="AJ464">
        <f>$H$464*$P$464</f>
        <v>0</v>
      </c>
      <c r="AK464">
        <f>$H$464*$Q$464</f>
        <v>0</v>
      </c>
      <c r="AL464">
        <f>$H$464*$R$464</f>
        <v>0</v>
      </c>
      <c r="AM464">
        <f>$H$464*$S$464</f>
        <v>166.17</v>
      </c>
      <c r="AN464">
        <f>$H$464*$T$464</f>
        <v>166.17</v>
      </c>
      <c r="AO464">
        <f>$H$464*$U$464</f>
        <v>166.17</v>
      </c>
      <c r="AP464">
        <f>$H$464*$V$464</f>
        <v>166.17</v>
      </c>
      <c r="AQ464">
        <f>$H$464*$W$464</f>
        <v>166.17</v>
      </c>
      <c r="AR464">
        <f>$H$464*$X$464</f>
        <v>166.17</v>
      </c>
      <c r="AS464">
        <f>$H$464*$Y$464</f>
        <v>166.17</v>
      </c>
      <c r="AT464">
        <f>$H$464*$Z$464</f>
        <v>166.17</v>
      </c>
      <c r="AU464">
        <f>$H$464*$AA$464</f>
        <v>166.17</v>
      </c>
      <c r="AV464">
        <f>$H$464*$AB$464</f>
        <v>166.17</v>
      </c>
      <c r="AW464">
        <f>$H$464*$AC$464</f>
        <v>166.17</v>
      </c>
      <c r="AX464">
        <f>$H$464*$AD$464</f>
        <v>166.17</v>
      </c>
      <c r="AY464">
        <f>$H$464*$AE$464</f>
        <v>166.17</v>
      </c>
      <c r="AZ464">
        <f>$H$464*$AF$464</f>
        <v>166.17</v>
      </c>
    </row>
    <row r="465" spans="1:52" x14ac:dyDescent="0.25">
      <c r="A465">
        <v>533</v>
      </c>
      <c r="B465" t="s">
        <v>305</v>
      </c>
      <c r="C465" t="s">
        <v>467</v>
      </c>
      <c r="D465">
        <v>38.68</v>
      </c>
      <c r="E465">
        <v>381</v>
      </c>
      <c r="F465" t="s">
        <v>349</v>
      </c>
      <c r="G465">
        <v>9.85</v>
      </c>
      <c r="H465">
        <v>457.2</v>
      </c>
      <c r="I465" t="s">
        <v>465</v>
      </c>
      <c r="J465" t="s">
        <v>372</v>
      </c>
      <c r="K465" t="s">
        <v>667</v>
      </c>
      <c r="L465" t="s">
        <v>179</v>
      </c>
      <c r="M465" t="s">
        <v>305</v>
      </c>
      <c r="N465" t="s">
        <v>11</v>
      </c>
      <c r="O465" t="s">
        <v>5</v>
      </c>
      <c r="P465">
        <v>0</v>
      </c>
      <c r="Q465">
        <v>0</v>
      </c>
      <c r="R465">
        <v>0</v>
      </c>
      <c r="S465">
        <v>1</v>
      </c>
      <c r="T465">
        <v>1</v>
      </c>
      <c r="U465">
        <v>1</v>
      </c>
      <c r="V465">
        <v>1</v>
      </c>
      <c r="W465">
        <v>1</v>
      </c>
      <c r="X465">
        <v>1</v>
      </c>
      <c r="Y465">
        <v>1</v>
      </c>
      <c r="Z465">
        <v>1</v>
      </c>
      <c r="AA465">
        <v>1</v>
      </c>
      <c r="AB465">
        <v>1</v>
      </c>
      <c r="AC465">
        <v>1</v>
      </c>
      <c r="AD465">
        <v>1</v>
      </c>
      <c r="AE465">
        <v>1</v>
      </c>
      <c r="AF465">
        <v>1</v>
      </c>
      <c r="AG465" t="s">
        <v>305</v>
      </c>
      <c r="AH465" t="s">
        <v>11</v>
      </c>
      <c r="AI465" t="s">
        <v>5</v>
      </c>
      <c r="AJ465">
        <f>$H$465*$P$465</f>
        <v>0</v>
      </c>
      <c r="AK465">
        <f>$H$465*$Q$465</f>
        <v>0</v>
      </c>
      <c r="AL465">
        <f>$H$465*$R$465</f>
        <v>0</v>
      </c>
      <c r="AM465">
        <f>$H$465*$S$465</f>
        <v>457.2</v>
      </c>
      <c r="AN465">
        <f>$H$465*$T$465</f>
        <v>457.2</v>
      </c>
      <c r="AO465">
        <f>$H$465*$U$465</f>
        <v>457.2</v>
      </c>
      <c r="AP465">
        <f>$H$465*$V$465</f>
        <v>457.2</v>
      </c>
      <c r="AQ465">
        <f>$H$465*$W$465</f>
        <v>457.2</v>
      </c>
      <c r="AR465">
        <f>$H$465*$X$465</f>
        <v>457.2</v>
      </c>
      <c r="AS465">
        <f>$H$465*$Y$465</f>
        <v>457.2</v>
      </c>
      <c r="AT465">
        <f>$H$465*$Z$465</f>
        <v>457.2</v>
      </c>
      <c r="AU465">
        <f>$H$465*$AA$465</f>
        <v>457.2</v>
      </c>
      <c r="AV465">
        <f>$H$465*$AB$465</f>
        <v>457.2</v>
      </c>
      <c r="AW465">
        <f>$H$465*$AC$465</f>
        <v>457.2</v>
      </c>
      <c r="AX465">
        <f>$H$465*$AD$465</f>
        <v>457.2</v>
      </c>
      <c r="AY465">
        <f>$H$465*$AE$465</f>
        <v>457.2</v>
      </c>
      <c r="AZ465">
        <f>$H$465*$AF$465</f>
        <v>457.2</v>
      </c>
    </row>
    <row r="466" spans="1:52" x14ac:dyDescent="0.25">
      <c r="A466">
        <v>534</v>
      </c>
      <c r="B466" t="s">
        <v>305</v>
      </c>
      <c r="C466" t="s">
        <v>468</v>
      </c>
      <c r="D466">
        <v>44.48</v>
      </c>
      <c r="E466">
        <v>45.37</v>
      </c>
      <c r="F466" t="s">
        <v>349</v>
      </c>
      <c r="G466">
        <v>1.02</v>
      </c>
      <c r="H466">
        <v>54.45</v>
      </c>
      <c r="I466" t="s">
        <v>469</v>
      </c>
      <c r="J466" t="s">
        <v>470</v>
      </c>
      <c r="K466" t="s">
        <v>668</v>
      </c>
      <c r="L466" t="s">
        <v>179</v>
      </c>
      <c r="M466" t="s">
        <v>305</v>
      </c>
      <c r="N466" t="s">
        <v>11</v>
      </c>
      <c r="O466" t="s">
        <v>5</v>
      </c>
      <c r="P466">
        <v>0</v>
      </c>
      <c r="Q466">
        <v>0</v>
      </c>
      <c r="R466">
        <v>0</v>
      </c>
      <c r="S466">
        <v>1</v>
      </c>
      <c r="T466">
        <v>1</v>
      </c>
      <c r="U466">
        <v>1</v>
      </c>
      <c r="V466">
        <v>1</v>
      </c>
      <c r="W466">
        <v>1</v>
      </c>
      <c r="X466">
        <v>1</v>
      </c>
      <c r="Y466">
        <v>1</v>
      </c>
      <c r="Z466">
        <v>1</v>
      </c>
      <c r="AA466">
        <v>1</v>
      </c>
      <c r="AB466">
        <v>1</v>
      </c>
      <c r="AC466">
        <v>1</v>
      </c>
      <c r="AD466">
        <v>1</v>
      </c>
      <c r="AE466">
        <v>1</v>
      </c>
      <c r="AF466">
        <v>1</v>
      </c>
      <c r="AG466" t="s">
        <v>305</v>
      </c>
      <c r="AH466" t="s">
        <v>11</v>
      </c>
      <c r="AI466" t="s">
        <v>5</v>
      </c>
      <c r="AJ466">
        <f>$H$466*$P$466</f>
        <v>0</v>
      </c>
      <c r="AK466">
        <f>$H$466*$Q$466</f>
        <v>0</v>
      </c>
      <c r="AL466">
        <f>$H$466*$R$466</f>
        <v>0</v>
      </c>
      <c r="AM466">
        <f>$H$466*$S$466</f>
        <v>54.45</v>
      </c>
      <c r="AN466">
        <f>$H$466*$T$466</f>
        <v>54.45</v>
      </c>
      <c r="AO466">
        <f>$H$466*$U$466</f>
        <v>54.45</v>
      </c>
      <c r="AP466">
        <f>$H$466*$V$466</f>
        <v>54.45</v>
      </c>
      <c r="AQ466">
        <f>$H$466*$W$466</f>
        <v>54.45</v>
      </c>
      <c r="AR466">
        <f>$H$466*$X$466</f>
        <v>54.45</v>
      </c>
      <c r="AS466">
        <f>$H$466*$Y$466</f>
        <v>54.45</v>
      </c>
      <c r="AT466">
        <f>$H$466*$Z$466</f>
        <v>54.45</v>
      </c>
      <c r="AU466">
        <f>$H$466*$AA$466</f>
        <v>54.45</v>
      </c>
      <c r="AV466">
        <f>$H$466*$AB$466</f>
        <v>54.45</v>
      </c>
      <c r="AW466">
        <f>$H$466*$AC$466</f>
        <v>54.45</v>
      </c>
      <c r="AX466">
        <f>$H$466*$AD$466</f>
        <v>54.45</v>
      </c>
      <c r="AY466">
        <f>$H$466*$AE$466</f>
        <v>54.45</v>
      </c>
      <c r="AZ466">
        <f>$H$466*$AF$466</f>
        <v>54.45</v>
      </c>
    </row>
    <row r="467" spans="1:52" x14ac:dyDescent="0.25">
      <c r="A467">
        <v>535</v>
      </c>
      <c r="B467" t="s">
        <v>305</v>
      </c>
      <c r="C467" t="s">
        <v>471</v>
      </c>
      <c r="D467">
        <v>44.48</v>
      </c>
      <c r="E467">
        <v>410.55</v>
      </c>
      <c r="F467" t="s">
        <v>349</v>
      </c>
      <c r="G467">
        <v>9.23</v>
      </c>
      <c r="H467">
        <v>492.67</v>
      </c>
      <c r="I467" t="s">
        <v>469</v>
      </c>
      <c r="J467" t="s">
        <v>463</v>
      </c>
      <c r="K467" t="s">
        <v>669</v>
      </c>
      <c r="L467" t="s">
        <v>179</v>
      </c>
      <c r="M467" t="s">
        <v>305</v>
      </c>
      <c r="N467" t="s">
        <v>11</v>
      </c>
      <c r="O467" t="s">
        <v>5</v>
      </c>
      <c r="P467">
        <v>0</v>
      </c>
      <c r="Q467">
        <v>0</v>
      </c>
      <c r="R467">
        <v>0</v>
      </c>
      <c r="S467">
        <v>1</v>
      </c>
      <c r="T467">
        <v>1</v>
      </c>
      <c r="U467">
        <v>1</v>
      </c>
      <c r="V467">
        <v>1</v>
      </c>
      <c r="W467">
        <v>1</v>
      </c>
      <c r="X467">
        <v>1</v>
      </c>
      <c r="Y467">
        <v>1</v>
      </c>
      <c r="Z467">
        <v>1</v>
      </c>
      <c r="AA467">
        <v>1</v>
      </c>
      <c r="AB467">
        <v>1</v>
      </c>
      <c r="AC467">
        <v>1</v>
      </c>
      <c r="AD467">
        <v>1</v>
      </c>
      <c r="AE467">
        <v>1</v>
      </c>
      <c r="AF467">
        <v>1</v>
      </c>
      <c r="AG467" t="s">
        <v>305</v>
      </c>
      <c r="AH467" t="s">
        <v>11</v>
      </c>
      <c r="AI467" t="s">
        <v>5</v>
      </c>
      <c r="AJ467">
        <f>$H$467*$P$467</f>
        <v>0</v>
      </c>
      <c r="AK467">
        <f>$H$467*$Q$467</f>
        <v>0</v>
      </c>
      <c r="AL467">
        <f>$H$467*$R$467</f>
        <v>0</v>
      </c>
      <c r="AM467">
        <f>$H$467*$S$467</f>
        <v>492.67</v>
      </c>
      <c r="AN467">
        <f>$H$467*$T$467</f>
        <v>492.67</v>
      </c>
      <c r="AO467">
        <f>$H$467*$U$467</f>
        <v>492.67</v>
      </c>
      <c r="AP467">
        <f>$H$467*$V$467</f>
        <v>492.67</v>
      </c>
      <c r="AQ467">
        <f>$H$467*$W$467</f>
        <v>492.67</v>
      </c>
      <c r="AR467">
        <f>$H$467*$X$467</f>
        <v>492.67</v>
      </c>
      <c r="AS467">
        <f>$H$467*$Y$467</f>
        <v>492.67</v>
      </c>
      <c r="AT467">
        <f>$H$467*$Z$467</f>
        <v>492.67</v>
      </c>
      <c r="AU467">
        <f>$H$467*$AA$467</f>
        <v>492.67</v>
      </c>
      <c r="AV467">
        <f>$H$467*$AB$467</f>
        <v>492.67</v>
      </c>
      <c r="AW467">
        <f>$H$467*$AC$467</f>
        <v>492.67</v>
      </c>
      <c r="AX467">
        <f>$H$467*$AD$467</f>
        <v>492.67</v>
      </c>
      <c r="AY467">
        <f>$H$467*$AE$467</f>
        <v>492.67</v>
      </c>
      <c r="AZ467">
        <f>$H$467*$AF$467</f>
        <v>492.67</v>
      </c>
    </row>
    <row r="468" spans="1:52" x14ac:dyDescent="0.25">
      <c r="A468">
        <v>536</v>
      </c>
      <c r="B468" t="s">
        <v>271</v>
      </c>
      <c r="C468" t="s">
        <v>435</v>
      </c>
      <c r="D468">
        <v>2</v>
      </c>
      <c r="E468">
        <v>26.54</v>
      </c>
      <c r="F468" t="s">
        <v>335</v>
      </c>
      <c r="G468">
        <v>13.27</v>
      </c>
      <c r="H468">
        <v>31.84</v>
      </c>
      <c r="I468" t="s">
        <v>337</v>
      </c>
      <c r="J468" t="s">
        <v>436</v>
      </c>
      <c r="K468" t="s">
        <v>652</v>
      </c>
      <c r="L468" t="s">
        <v>179</v>
      </c>
      <c r="M468" t="s">
        <v>271</v>
      </c>
      <c r="N468" t="s">
        <v>12</v>
      </c>
      <c r="O468" t="s">
        <v>272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1</v>
      </c>
      <c r="Y468">
        <v>1</v>
      </c>
      <c r="Z468">
        <v>1</v>
      </c>
      <c r="AA468">
        <v>1</v>
      </c>
      <c r="AB468">
        <v>1</v>
      </c>
      <c r="AC468">
        <v>1</v>
      </c>
      <c r="AD468">
        <v>1</v>
      </c>
      <c r="AE468">
        <v>1</v>
      </c>
      <c r="AF468">
        <v>1</v>
      </c>
      <c r="AG468" t="s">
        <v>271</v>
      </c>
      <c r="AH468" t="s">
        <v>12</v>
      </c>
      <c r="AI468" t="s">
        <v>272</v>
      </c>
      <c r="AJ468">
        <f>$H$468*$P$468</f>
        <v>0</v>
      </c>
      <c r="AK468">
        <f>$H$468*$Q$468</f>
        <v>0</v>
      </c>
      <c r="AL468">
        <f>$H$468*$R$468</f>
        <v>0</v>
      </c>
      <c r="AM468">
        <f>$H$468*$S$468</f>
        <v>0</v>
      </c>
      <c r="AN468">
        <f>$H$468*$T$468</f>
        <v>0</v>
      </c>
      <c r="AO468">
        <f>$H$468*$U$468</f>
        <v>0</v>
      </c>
      <c r="AP468">
        <f>$H$468*$V$468</f>
        <v>0</v>
      </c>
      <c r="AQ468">
        <f>$H$468*$W$468</f>
        <v>0</v>
      </c>
      <c r="AR468">
        <f>$H$468*$X$468</f>
        <v>31.84</v>
      </c>
      <c r="AS468">
        <f>$H$468*$Y$468</f>
        <v>31.84</v>
      </c>
      <c r="AT468">
        <f>$H$468*$Z$468</f>
        <v>31.84</v>
      </c>
      <c r="AU468">
        <f>$H$468*$AA$468</f>
        <v>31.84</v>
      </c>
      <c r="AV468">
        <f>$H$468*$AB$468</f>
        <v>31.84</v>
      </c>
      <c r="AW468">
        <f>$H$468*$AC$468</f>
        <v>31.84</v>
      </c>
      <c r="AX468">
        <f>$H$468*$AD$468</f>
        <v>31.84</v>
      </c>
      <c r="AY468">
        <f>$H$468*$AE$468</f>
        <v>31.84</v>
      </c>
      <c r="AZ468">
        <f>$H$468*$AF$468</f>
        <v>31.84</v>
      </c>
    </row>
    <row r="469" spans="1:52" x14ac:dyDescent="0.25">
      <c r="A469">
        <v>537</v>
      </c>
      <c r="B469" t="s">
        <v>271</v>
      </c>
      <c r="C469" t="s">
        <v>507</v>
      </c>
      <c r="D469">
        <v>1</v>
      </c>
      <c r="E469">
        <v>37</v>
      </c>
      <c r="F469" t="s">
        <v>335</v>
      </c>
      <c r="G469">
        <v>37</v>
      </c>
      <c r="H469">
        <v>44.4</v>
      </c>
      <c r="I469" t="s">
        <v>337</v>
      </c>
      <c r="J469" t="s">
        <v>508</v>
      </c>
      <c r="K469" t="s">
        <v>686</v>
      </c>
      <c r="L469" t="s">
        <v>179</v>
      </c>
      <c r="M469" t="s">
        <v>271</v>
      </c>
      <c r="N469" t="s">
        <v>12</v>
      </c>
      <c r="O469" t="s">
        <v>272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0.6</v>
      </c>
      <c r="Y469">
        <v>0.6</v>
      </c>
      <c r="Z469">
        <v>0.6</v>
      </c>
      <c r="AA469">
        <v>0.6</v>
      </c>
      <c r="AB469">
        <v>0.6</v>
      </c>
      <c r="AC469">
        <v>0.6</v>
      </c>
      <c r="AD469">
        <v>1</v>
      </c>
      <c r="AE469">
        <v>1</v>
      </c>
      <c r="AF469">
        <v>1</v>
      </c>
      <c r="AG469" t="s">
        <v>271</v>
      </c>
      <c r="AH469" t="s">
        <v>12</v>
      </c>
      <c r="AI469" t="s">
        <v>272</v>
      </c>
      <c r="AJ469">
        <f>$H$469*$P$469</f>
        <v>0</v>
      </c>
      <c r="AK469">
        <f>$H$469*$Q$469</f>
        <v>0</v>
      </c>
      <c r="AL469">
        <f>$H$469*$R$469</f>
        <v>0</v>
      </c>
      <c r="AM469">
        <f>$H$469*$S$469</f>
        <v>0</v>
      </c>
      <c r="AN469">
        <f>$H$469*$T$469</f>
        <v>0</v>
      </c>
      <c r="AO469">
        <f>$H$469*$U$469</f>
        <v>0</v>
      </c>
      <c r="AP469">
        <f>$H$469*$V$469</f>
        <v>0</v>
      </c>
      <c r="AQ469">
        <f>$H$469*$W$469</f>
        <v>0</v>
      </c>
      <c r="AR469">
        <f>$H$469*$X$469</f>
        <v>26.639999999999997</v>
      </c>
      <c r="AS469">
        <f>$H$469*$Y$469</f>
        <v>26.639999999999997</v>
      </c>
      <c r="AT469">
        <f>$H$469*$Z$469</f>
        <v>26.639999999999997</v>
      </c>
      <c r="AU469">
        <f>$H$469*$AA$469</f>
        <v>26.639999999999997</v>
      </c>
      <c r="AV469">
        <f>$H$469*$AB$469</f>
        <v>26.639999999999997</v>
      </c>
      <c r="AW469">
        <f>$H$469*$AC$469</f>
        <v>26.639999999999997</v>
      </c>
      <c r="AX469">
        <f>$H$469*$AD$469</f>
        <v>44.4</v>
      </c>
      <c r="AY469">
        <f>$H$469*$AE$469</f>
        <v>44.4</v>
      </c>
      <c r="AZ469">
        <f>$H$469*$AF$469</f>
        <v>44.4</v>
      </c>
    </row>
    <row r="470" spans="1:52" x14ac:dyDescent="0.25">
      <c r="A470">
        <v>538</v>
      </c>
      <c r="B470" t="s">
        <v>271</v>
      </c>
      <c r="C470" t="s">
        <v>482</v>
      </c>
      <c r="D470">
        <v>1</v>
      </c>
      <c r="E470">
        <v>45.87</v>
      </c>
      <c r="F470" t="s">
        <v>335</v>
      </c>
      <c r="G470">
        <v>45.87</v>
      </c>
      <c r="H470">
        <v>55.05</v>
      </c>
      <c r="I470" t="s">
        <v>368</v>
      </c>
      <c r="J470" t="s">
        <v>483</v>
      </c>
      <c r="K470" t="s">
        <v>674</v>
      </c>
      <c r="L470" t="s">
        <v>179</v>
      </c>
      <c r="M470" t="s">
        <v>271</v>
      </c>
      <c r="N470" t="s">
        <v>12</v>
      </c>
      <c r="O470" t="s">
        <v>272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1</v>
      </c>
      <c r="AB470">
        <v>1</v>
      </c>
      <c r="AC470">
        <v>1</v>
      </c>
      <c r="AD470">
        <v>1</v>
      </c>
      <c r="AE470">
        <v>1</v>
      </c>
      <c r="AF470">
        <v>1</v>
      </c>
      <c r="AG470" t="s">
        <v>271</v>
      </c>
      <c r="AH470" t="s">
        <v>12</v>
      </c>
      <c r="AI470" t="s">
        <v>272</v>
      </c>
      <c r="AJ470">
        <f>$H$470*$P$470</f>
        <v>0</v>
      </c>
      <c r="AK470">
        <f>$H$470*$Q$470</f>
        <v>0</v>
      </c>
      <c r="AL470">
        <f>$H$470*$R$470</f>
        <v>0</v>
      </c>
      <c r="AM470">
        <f>$H$470*$S$470</f>
        <v>0</v>
      </c>
      <c r="AN470">
        <f>$H$470*$T$470</f>
        <v>0</v>
      </c>
      <c r="AO470">
        <f>$H$470*$U$470</f>
        <v>0</v>
      </c>
      <c r="AP470">
        <f>$H$470*$V$470</f>
        <v>0</v>
      </c>
      <c r="AQ470">
        <f>$H$470*$W$470</f>
        <v>0</v>
      </c>
      <c r="AR470">
        <f>$H$470*$X$470</f>
        <v>0</v>
      </c>
      <c r="AS470">
        <f>$H$470*$Y$470</f>
        <v>0</v>
      </c>
      <c r="AT470">
        <f>$H$470*$Z$470</f>
        <v>0</v>
      </c>
      <c r="AU470">
        <f>$H$470*$AA$470</f>
        <v>55.05</v>
      </c>
      <c r="AV470">
        <f>$H$470*$AB$470</f>
        <v>55.05</v>
      </c>
      <c r="AW470">
        <f>$H$470*$AC$470</f>
        <v>55.05</v>
      </c>
      <c r="AX470">
        <f>$H$470*$AD$470</f>
        <v>55.05</v>
      </c>
      <c r="AY470">
        <f>$H$470*$AE$470</f>
        <v>55.05</v>
      </c>
      <c r="AZ470">
        <f>$H$470*$AF$470</f>
        <v>55.05</v>
      </c>
    </row>
    <row r="471" spans="1:52" x14ac:dyDescent="0.25">
      <c r="A471">
        <v>539</v>
      </c>
      <c r="B471" t="s">
        <v>271</v>
      </c>
      <c r="C471" t="s">
        <v>358</v>
      </c>
      <c r="D471">
        <v>15</v>
      </c>
      <c r="E471">
        <v>66.599999999999994</v>
      </c>
      <c r="F471" t="s">
        <v>329</v>
      </c>
      <c r="G471">
        <v>4.4400000000000004</v>
      </c>
      <c r="H471">
        <v>79.92</v>
      </c>
      <c r="I471" t="s">
        <v>330</v>
      </c>
      <c r="J471" t="s">
        <v>359</v>
      </c>
      <c r="K471" t="s">
        <v>615</v>
      </c>
      <c r="L471" t="s">
        <v>179</v>
      </c>
      <c r="M471" t="s">
        <v>271</v>
      </c>
      <c r="N471" t="s">
        <v>12</v>
      </c>
      <c r="O471" t="s">
        <v>272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1</v>
      </c>
      <c r="AB471">
        <v>1</v>
      </c>
      <c r="AC471">
        <v>1</v>
      </c>
      <c r="AD471">
        <v>1</v>
      </c>
      <c r="AE471">
        <v>1</v>
      </c>
      <c r="AF471">
        <v>1</v>
      </c>
      <c r="AG471" t="s">
        <v>271</v>
      </c>
      <c r="AH471" t="s">
        <v>12</v>
      </c>
      <c r="AI471" t="s">
        <v>272</v>
      </c>
      <c r="AJ471">
        <f>$H$471*$P$471</f>
        <v>0</v>
      </c>
      <c r="AK471">
        <f>$H$471*$Q$471</f>
        <v>0</v>
      </c>
      <c r="AL471">
        <f>$H$471*$R$471</f>
        <v>0</v>
      </c>
      <c r="AM471">
        <f>$H$471*$S$471</f>
        <v>0</v>
      </c>
      <c r="AN471">
        <f>$H$471*$T$471</f>
        <v>0</v>
      </c>
      <c r="AO471">
        <f>$H$471*$U$471</f>
        <v>0</v>
      </c>
      <c r="AP471">
        <f>$H$471*$V$471</f>
        <v>0</v>
      </c>
      <c r="AQ471">
        <f>$H$471*$W$471</f>
        <v>0</v>
      </c>
      <c r="AR471">
        <f>$H$471*$X$471</f>
        <v>0</v>
      </c>
      <c r="AS471">
        <f>$H$471*$Y$471</f>
        <v>0</v>
      </c>
      <c r="AT471">
        <f>$H$471*$Z$471</f>
        <v>0</v>
      </c>
      <c r="AU471">
        <f>$H$471*$AA$471</f>
        <v>79.92</v>
      </c>
      <c r="AV471">
        <f>$H$471*$AB$471</f>
        <v>79.92</v>
      </c>
      <c r="AW471">
        <f>$H$471*$AC$471</f>
        <v>79.92</v>
      </c>
      <c r="AX471">
        <f>$H$471*$AD$471</f>
        <v>79.92</v>
      </c>
      <c r="AY471">
        <f>$H$471*$AE$471</f>
        <v>79.92</v>
      </c>
      <c r="AZ471">
        <f>$H$471*$AF$471</f>
        <v>79.92</v>
      </c>
    </row>
    <row r="472" spans="1:52" x14ac:dyDescent="0.25">
      <c r="A472">
        <v>540</v>
      </c>
      <c r="B472" t="s">
        <v>271</v>
      </c>
      <c r="C472" t="s">
        <v>360</v>
      </c>
      <c r="D472">
        <v>15</v>
      </c>
      <c r="E472">
        <v>173.25</v>
      </c>
      <c r="F472" t="s">
        <v>329</v>
      </c>
      <c r="G472">
        <v>11.55</v>
      </c>
      <c r="H472">
        <v>207.91</v>
      </c>
      <c r="I472" t="s">
        <v>333</v>
      </c>
      <c r="J472" t="s">
        <v>361</v>
      </c>
      <c r="K472" t="s">
        <v>616</v>
      </c>
      <c r="L472" t="s">
        <v>179</v>
      </c>
      <c r="M472" t="s">
        <v>271</v>
      </c>
      <c r="N472" t="s">
        <v>12</v>
      </c>
      <c r="O472" t="s">
        <v>272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1</v>
      </c>
      <c r="AB472">
        <v>1</v>
      </c>
      <c r="AC472">
        <v>1</v>
      </c>
      <c r="AD472">
        <v>1</v>
      </c>
      <c r="AE472">
        <v>1</v>
      </c>
      <c r="AF472">
        <v>1</v>
      </c>
      <c r="AG472" t="s">
        <v>271</v>
      </c>
      <c r="AH472" t="s">
        <v>12</v>
      </c>
      <c r="AI472" t="s">
        <v>272</v>
      </c>
      <c r="AJ472">
        <f>$H$472*$P$472</f>
        <v>0</v>
      </c>
      <c r="AK472">
        <f>$H$472*$Q$472</f>
        <v>0</v>
      </c>
      <c r="AL472">
        <f>$H$472*$R$472</f>
        <v>0</v>
      </c>
      <c r="AM472">
        <f>$H$472*$S$472</f>
        <v>0</v>
      </c>
      <c r="AN472">
        <f>$H$472*$T$472</f>
        <v>0</v>
      </c>
      <c r="AO472">
        <f>$H$472*$U$472</f>
        <v>0</v>
      </c>
      <c r="AP472">
        <f>$H$472*$V$472</f>
        <v>0</v>
      </c>
      <c r="AQ472">
        <f>$H$472*$W$472</f>
        <v>0</v>
      </c>
      <c r="AR472">
        <f>$H$472*$X$472</f>
        <v>0</v>
      </c>
      <c r="AS472">
        <f>$H$472*$Y$472</f>
        <v>0</v>
      </c>
      <c r="AT472">
        <f>$H$472*$Z$472</f>
        <v>0</v>
      </c>
      <c r="AU472">
        <f>$H$472*$AA$472</f>
        <v>207.91</v>
      </c>
      <c r="AV472">
        <f>$H$472*$AB$472</f>
        <v>207.91</v>
      </c>
      <c r="AW472">
        <f>$H$472*$AC$472</f>
        <v>207.91</v>
      </c>
      <c r="AX472">
        <f>$H$472*$AD$472</f>
        <v>207.91</v>
      </c>
      <c r="AY472">
        <f>$H$472*$AE$472</f>
        <v>207.91</v>
      </c>
      <c r="AZ472">
        <f>$H$472*$AF$472</f>
        <v>207.91</v>
      </c>
    </row>
    <row r="473" spans="1:52" x14ac:dyDescent="0.25">
      <c r="A473">
        <v>541</v>
      </c>
      <c r="B473" t="s">
        <v>271</v>
      </c>
      <c r="C473" t="s">
        <v>484</v>
      </c>
      <c r="D473">
        <v>1</v>
      </c>
      <c r="E473">
        <v>43.19</v>
      </c>
      <c r="F473" t="s">
        <v>335</v>
      </c>
      <c r="G473">
        <v>43.19</v>
      </c>
      <c r="H473">
        <v>51.83</v>
      </c>
      <c r="I473" t="s">
        <v>368</v>
      </c>
      <c r="J473" t="s">
        <v>485</v>
      </c>
      <c r="K473" t="s">
        <v>675</v>
      </c>
      <c r="L473" t="s">
        <v>179</v>
      </c>
      <c r="M473" t="s">
        <v>271</v>
      </c>
      <c r="N473" t="s">
        <v>12</v>
      </c>
      <c r="O473" t="s">
        <v>272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1</v>
      </c>
      <c r="AB473">
        <v>1</v>
      </c>
      <c r="AC473">
        <v>1</v>
      </c>
      <c r="AD473">
        <v>1</v>
      </c>
      <c r="AE473">
        <v>1</v>
      </c>
      <c r="AF473">
        <v>1</v>
      </c>
      <c r="AG473" t="s">
        <v>271</v>
      </c>
      <c r="AH473" t="s">
        <v>12</v>
      </c>
      <c r="AI473" t="s">
        <v>272</v>
      </c>
      <c r="AJ473">
        <f>$H$473*$P$473</f>
        <v>0</v>
      </c>
      <c r="AK473">
        <f>$H$473*$Q$473</f>
        <v>0</v>
      </c>
      <c r="AL473">
        <f>$H$473*$R$473</f>
        <v>0</v>
      </c>
      <c r="AM473">
        <f>$H$473*$S$473</f>
        <v>0</v>
      </c>
      <c r="AN473">
        <f>$H$473*$T$473</f>
        <v>0</v>
      </c>
      <c r="AO473">
        <f>$H$473*$U$473</f>
        <v>0</v>
      </c>
      <c r="AP473">
        <f>$H$473*$V$473</f>
        <v>0</v>
      </c>
      <c r="AQ473">
        <f>$H$473*$W$473</f>
        <v>0</v>
      </c>
      <c r="AR473">
        <f>$H$473*$X$473</f>
        <v>0</v>
      </c>
      <c r="AS473">
        <f>$H$473*$Y$473</f>
        <v>0</v>
      </c>
      <c r="AT473">
        <f>$H$473*$Z$473</f>
        <v>0</v>
      </c>
      <c r="AU473">
        <f>$H$473*$AA$473</f>
        <v>51.83</v>
      </c>
      <c r="AV473">
        <f>$H$473*$AB$473</f>
        <v>51.83</v>
      </c>
      <c r="AW473">
        <f>$H$473*$AC$473</f>
        <v>51.83</v>
      </c>
      <c r="AX473">
        <f>$H$473*$AD$473</f>
        <v>51.83</v>
      </c>
      <c r="AY473">
        <f>$H$473*$AE$473</f>
        <v>51.83</v>
      </c>
      <c r="AZ473">
        <f>$H$473*$AF$473</f>
        <v>51.83</v>
      </c>
    </row>
    <row r="474" spans="1:52" x14ac:dyDescent="0.25">
      <c r="A474">
        <v>542</v>
      </c>
      <c r="B474" t="s">
        <v>271</v>
      </c>
      <c r="C474" t="s">
        <v>486</v>
      </c>
      <c r="D474">
        <v>6</v>
      </c>
      <c r="E474">
        <v>112.38</v>
      </c>
      <c r="F474" t="s">
        <v>349</v>
      </c>
      <c r="G474">
        <v>18.73</v>
      </c>
      <c r="H474">
        <v>134.86000000000001</v>
      </c>
      <c r="I474" t="s">
        <v>487</v>
      </c>
      <c r="J474" t="s">
        <v>420</v>
      </c>
      <c r="K474" t="s">
        <v>676</v>
      </c>
      <c r="L474" t="s">
        <v>179</v>
      </c>
      <c r="M474" t="s">
        <v>271</v>
      </c>
      <c r="N474" t="s">
        <v>12</v>
      </c>
      <c r="O474" t="s">
        <v>272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1</v>
      </c>
      <c r="AB474">
        <v>1</v>
      </c>
      <c r="AC474">
        <v>1</v>
      </c>
      <c r="AD474">
        <v>1</v>
      </c>
      <c r="AE474">
        <v>1</v>
      </c>
      <c r="AF474">
        <v>1</v>
      </c>
      <c r="AG474" t="s">
        <v>271</v>
      </c>
      <c r="AH474" t="s">
        <v>12</v>
      </c>
      <c r="AI474" t="s">
        <v>272</v>
      </c>
      <c r="AJ474">
        <f>$H$474*$P$474</f>
        <v>0</v>
      </c>
      <c r="AK474">
        <f>$H$474*$Q$474</f>
        <v>0</v>
      </c>
      <c r="AL474">
        <f>$H$474*$R$474</f>
        <v>0</v>
      </c>
      <c r="AM474">
        <f>$H$474*$S$474</f>
        <v>0</v>
      </c>
      <c r="AN474">
        <f>$H$474*$T$474</f>
        <v>0</v>
      </c>
      <c r="AO474">
        <f>$H$474*$U$474</f>
        <v>0</v>
      </c>
      <c r="AP474">
        <f>$H$474*$V$474</f>
        <v>0</v>
      </c>
      <c r="AQ474">
        <f>$H$474*$W$474</f>
        <v>0</v>
      </c>
      <c r="AR474">
        <f>$H$474*$X$474</f>
        <v>0</v>
      </c>
      <c r="AS474">
        <f>$H$474*$Y$474</f>
        <v>0</v>
      </c>
      <c r="AT474">
        <f>$H$474*$Z$474</f>
        <v>0</v>
      </c>
      <c r="AU474">
        <f>$H$474*$AA$474</f>
        <v>134.86000000000001</v>
      </c>
      <c r="AV474">
        <f>$H$474*$AB$474</f>
        <v>134.86000000000001</v>
      </c>
      <c r="AW474">
        <f>$H$474*$AC$474</f>
        <v>134.86000000000001</v>
      </c>
      <c r="AX474">
        <f>$H$474*$AD$474</f>
        <v>134.86000000000001</v>
      </c>
      <c r="AY474">
        <f>$H$474*$AE$474</f>
        <v>134.86000000000001</v>
      </c>
      <c r="AZ474">
        <f>$H$474*$AF$474</f>
        <v>134.86000000000001</v>
      </c>
    </row>
    <row r="475" spans="1:52" x14ac:dyDescent="0.25">
      <c r="A475">
        <v>543</v>
      </c>
      <c r="B475" t="s">
        <v>271</v>
      </c>
      <c r="C475" t="s">
        <v>488</v>
      </c>
      <c r="D475">
        <v>1</v>
      </c>
      <c r="E475">
        <v>290.16000000000003</v>
      </c>
      <c r="F475" t="s">
        <v>335</v>
      </c>
      <c r="G475">
        <v>290.16000000000003</v>
      </c>
      <c r="H475">
        <v>348.2</v>
      </c>
      <c r="I475" t="s">
        <v>489</v>
      </c>
      <c r="J475" t="s">
        <v>490</v>
      </c>
      <c r="K475" t="s">
        <v>677</v>
      </c>
      <c r="L475" t="s">
        <v>179</v>
      </c>
      <c r="M475" t="s">
        <v>271</v>
      </c>
      <c r="N475" t="s">
        <v>12</v>
      </c>
      <c r="O475" t="s">
        <v>272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1</v>
      </c>
      <c r="AC475">
        <v>1</v>
      </c>
      <c r="AD475">
        <v>1</v>
      </c>
      <c r="AE475">
        <v>1</v>
      </c>
      <c r="AF475">
        <v>1</v>
      </c>
      <c r="AG475" t="s">
        <v>271</v>
      </c>
      <c r="AH475" t="s">
        <v>12</v>
      </c>
      <c r="AI475" t="s">
        <v>272</v>
      </c>
      <c r="AJ475">
        <f>$H$475*$P$475</f>
        <v>0</v>
      </c>
      <c r="AK475">
        <f>$H$475*$Q$475</f>
        <v>0</v>
      </c>
      <c r="AL475">
        <f>$H$475*$R$475</f>
        <v>0</v>
      </c>
      <c r="AM475">
        <f>$H$475*$S$475</f>
        <v>0</v>
      </c>
      <c r="AN475">
        <f>$H$475*$T$475</f>
        <v>0</v>
      </c>
      <c r="AO475">
        <f>$H$475*$U$475</f>
        <v>0</v>
      </c>
      <c r="AP475">
        <f>$H$475*$V$475</f>
        <v>0</v>
      </c>
      <c r="AQ475">
        <f>$H$475*$W$475</f>
        <v>0</v>
      </c>
      <c r="AR475">
        <f>$H$475*$X$475</f>
        <v>0</v>
      </c>
      <c r="AS475">
        <f>$H$475*$Y$475</f>
        <v>0</v>
      </c>
      <c r="AT475">
        <f>$H$475*$Z$475</f>
        <v>0</v>
      </c>
      <c r="AU475">
        <f>$H$475*$AA$475</f>
        <v>0</v>
      </c>
      <c r="AV475">
        <f>$H$475*$AB$475</f>
        <v>348.2</v>
      </c>
      <c r="AW475">
        <f>$H$475*$AC$475</f>
        <v>348.2</v>
      </c>
      <c r="AX475">
        <f>$H$475*$AD$475</f>
        <v>348.2</v>
      </c>
      <c r="AY475">
        <f>$H$475*$AE$475</f>
        <v>348.2</v>
      </c>
      <c r="AZ475">
        <f>$H$475*$AF$475</f>
        <v>348.2</v>
      </c>
    </row>
    <row r="476" spans="1:52" x14ac:dyDescent="0.25">
      <c r="A476">
        <v>544</v>
      </c>
      <c r="B476" t="s">
        <v>271</v>
      </c>
      <c r="C476" t="s">
        <v>354</v>
      </c>
      <c r="D476">
        <v>0.75</v>
      </c>
      <c r="E476">
        <v>491.8</v>
      </c>
      <c r="F476" t="s">
        <v>335</v>
      </c>
      <c r="G476">
        <v>655.73</v>
      </c>
      <c r="H476">
        <v>590.16</v>
      </c>
      <c r="I476" t="s">
        <v>353</v>
      </c>
      <c r="J476" t="s">
        <v>355</v>
      </c>
      <c r="K476" t="s">
        <v>612</v>
      </c>
      <c r="L476" t="s">
        <v>179</v>
      </c>
      <c r="M476" t="s">
        <v>271</v>
      </c>
      <c r="N476" t="s">
        <v>12</v>
      </c>
      <c r="O476" t="s">
        <v>272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1</v>
      </c>
      <c r="Z476">
        <v>1</v>
      </c>
      <c r="AA476">
        <v>1</v>
      </c>
      <c r="AB476">
        <v>1</v>
      </c>
      <c r="AC476">
        <v>1</v>
      </c>
      <c r="AD476">
        <v>1</v>
      </c>
      <c r="AE476">
        <v>1</v>
      </c>
      <c r="AF476">
        <v>1</v>
      </c>
      <c r="AG476" t="s">
        <v>271</v>
      </c>
      <c r="AH476" t="s">
        <v>12</v>
      </c>
      <c r="AI476" t="s">
        <v>272</v>
      </c>
      <c r="AJ476">
        <f>$H$476*$P$476</f>
        <v>0</v>
      </c>
      <c r="AK476">
        <f>$H$476*$Q$476</f>
        <v>0</v>
      </c>
      <c r="AL476">
        <f>$H$476*$R$476</f>
        <v>0</v>
      </c>
      <c r="AM476">
        <f>$H$476*$S$476</f>
        <v>0</v>
      </c>
      <c r="AN476">
        <f>$H$476*$T$476</f>
        <v>0</v>
      </c>
      <c r="AO476">
        <f>$H$476*$U$476</f>
        <v>0</v>
      </c>
      <c r="AP476">
        <f>$H$476*$V$476</f>
        <v>0</v>
      </c>
      <c r="AQ476">
        <f>$H$476*$W$476</f>
        <v>0</v>
      </c>
      <c r="AR476">
        <f>$H$476*$X$476</f>
        <v>0</v>
      </c>
      <c r="AS476">
        <f>$H$476*$Y$476</f>
        <v>590.16</v>
      </c>
      <c r="AT476">
        <f>$H$476*$Z$476</f>
        <v>590.16</v>
      </c>
      <c r="AU476">
        <f>$H$476*$AA$476</f>
        <v>590.16</v>
      </c>
      <c r="AV476">
        <f>$H$476*$AB$476</f>
        <v>590.16</v>
      </c>
      <c r="AW476">
        <f>$H$476*$AC$476</f>
        <v>590.16</v>
      </c>
      <c r="AX476">
        <f>$H$476*$AD$476</f>
        <v>590.16</v>
      </c>
      <c r="AY476">
        <f>$H$476*$AE$476</f>
        <v>590.16</v>
      </c>
      <c r="AZ476">
        <f>$H$476*$AF$476</f>
        <v>590.16</v>
      </c>
    </row>
    <row r="477" spans="1:52" x14ac:dyDescent="0.25">
      <c r="A477">
        <v>545</v>
      </c>
      <c r="B477" t="s">
        <v>271</v>
      </c>
      <c r="C477" t="s">
        <v>354</v>
      </c>
      <c r="D477">
        <v>0.25</v>
      </c>
      <c r="E477">
        <v>163.93</v>
      </c>
      <c r="F477" t="s">
        <v>335</v>
      </c>
      <c r="G477">
        <v>655.73</v>
      </c>
      <c r="H477">
        <v>196.71</v>
      </c>
      <c r="I477" t="s">
        <v>353</v>
      </c>
      <c r="J477" t="s">
        <v>355</v>
      </c>
      <c r="K477" t="s">
        <v>612</v>
      </c>
      <c r="L477" t="s">
        <v>179</v>
      </c>
      <c r="M477" t="s">
        <v>271</v>
      </c>
      <c r="N477" t="s">
        <v>12</v>
      </c>
      <c r="O477" t="s">
        <v>272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1</v>
      </c>
      <c r="Z477">
        <v>1</v>
      </c>
      <c r="AA477">
        <v>1</v>
      </c>
      <c r="AB477">
        <v>1</v>
      </c>
      <c r="AC477">
        <v>1</v>
      </c>
      <c r="AD477">
        <v>1</v>
      </c>
      <c r="AE477">
        <v>1</v>
      </c>
      <c r="AF477">
        <v>1</v>
      </c>
      <c r="AG477" t="s">
        <v>271</v>
      </c>
      <c r="AH477" t="s">
        <v>12</v>
      </c>
      <c r="AI477" t="s">
        <v>272</v>
      </c>
      <c r="AJ477">
        <f>$H$477*$P$477</f>
        <v>0</v>
      </c>
      <c r="AK477">
        <f>$H$477*$Q$477</f>
        <v>0</v>
      </c>
      <c r="AL477">
        <f>$H$477*$R$477</f>
        <v>0</v>
      </c>
      <c r="AM477">
        <f>$H$477*$S$477</f>
        <v>0</v>
      </c>
      <c r="AN477">
        <f>$H$477*$T$477</f>
        <v>0</v>
      </c>
      <c r="AO477">
        <f>$H$477*$U$477</f>
        <v>0</v>
      </c>
      <c r="AP477">
        <f>$H$477*$V$477</f>
        <v>0</v>
      </c>
      <c r="AQ477">
        <f>$H$477*$W$477</f>
        <v>0</v>
      </c>
      <c r="AR477">
        <f>$H$477*$X$477</f>
        <v>0</v>
      </c>
      <c r="AS477">
        <f>$H$477*$Y$477</f>
        <v>196.71</v>
      </c>
      <c r="AT477">
        <f>$H$477*$Z$477</f>
        <v>196.71</v>
      </c>
      <c r="AU477">
        <f>$H$477*$AA$477</f>
        <v>196.71</v>
      </c>
      <c r="AV477">
        <f>$H$477*$AB$477</f>
        <v>196.71</v>
      </c>
      <c r="AW477">
        <f>$H$477*$AC$477</f>
        <v>196.71</v>
      </c>
      <c r="AX477">
        <f>$H$477*$AD$477</f>
        <v>196.71</v>
      </c>
      <c r="AY477">
        <f>$H$477*$AE$477</f>
        <v>196.71</v>
      </c>
      <c r="AZ477">
        <f>$H$477*$AF$477</f>
        <v>196.71</v>
      </c>
    </row>
    <row r="478" spans="1:52" x14ac:dyDescent="0.25">
      <c r="A478">
        <v>546</v>
      </c>
      <c r="B478" t="s">
        <v>271</v>
      </c>
      <c r="C478" t="s">
        <v>491</v>
      </c>
      <c r="D478">
        <v>1</v>
      </c>
      <c r="E478">
        <v>78.69</v>
      </c>
      <c r="F478" t="s">
        <v>335</v>
      </c>
      <c r="G478">
        <v>78.69</v>
      </c>
      <c r="H478">
        <v>94.43</v>
      </c>
      <c r="I478" t="s">
        <v>353</v>
      </c>
      <c r="J478" t="s">
        <v>492</v>
      </c>
      <c r="K478" t="s">
        <v>678</v>
      </c>
      <c r="L478" t="s">
        <v>179</v>
      </c>
      <c r="M478" t="s">
        <v>271</v>
      </c>
      <c r="N478" t="s">
        <v>12</v>
      </c>
      <c r="O478" t="s">
        <v>272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1</v>
      </c>
      <c r="Z478">
        <v>1</v>
      </c>
      <c r="AA478">
        <v>1</v>
      </c>
      <c r="AB478">
        <v>1</v>
      </c>
      <c r="AC478">
        <v>1</v>
      </c>
      <c r="AD478">
        <v>1</v>
      </c>
      <c r="AE478">
        <v>1</v>
      </c>
      <c r="AF478">
        <v>1</v>
      </c>
      <c r="AG478" t="s">
        <v>271</v>
      </c>
      <c r="AH478" t="s">
        <v>12</v>
      </c>
      <c r="AI478" t="s">
        <v>272</v>
      </c>
      <c r="AJ478">
        <f>$H$478*$P$478</f>
        <v>0</v>
      </c>
      <c r="AK478">
        <f>$H$478*$Q$478</f>
        <v>0</v>
      </c>
      <c r="AL478">
        <f>$H$478*$R$478</f>
        <v>0</v>
      </c>
      <c r="AM478">
        <f>$H$478*$S$478</f>
        <v>0</v>
      </c>
      <c r="AN478">
        <f>$H$478*$T$478</f>
        <v>0</v>
      </c>
      <c r="AO478">
        <f>$H$478*$U$478</f>
        <v>0</v>
      </c>
      <c r="AP478">
        <f>$H$478*$V$478</f>
        <v>0</v>
      </c>
      <c r="AQ478">
        <f>$H$478*$W$478</f>
        <v>0</v>
      </c>
      <c r="AR478">
        <f>$H$478*$X$478</f>
        <v>0</v>
      </c>
      <c r="AS478">
        <f>$H$478*$Y$478</f>
        <v>94.43</v>
      </c>
      <c r="AT478">
        <f>$H$478*$Z$478</f>
        <v>94.43</v>
      </c>
      <c r="AU478">
        <f>$H$478*$AA$478</f>
        <v>94.43</v>
      </c>
      <c r="AV478">
        <f>$H$478*$AB$478</f>
        <v>94.43</v>
      </c>
      <c r="AW478">
        <f>$H$478*$AC$478</f>
        <v>94.43</v>
      </c>
      <c r="AX478">
        <f>$H$478*$AD$478</f>
        <v>94.43</v>
      </c>
      <c r="AY478">
        <f>$H$478*$AE$478</f>
        <v>94.43</v>
      </c>
      <c r="AZ478">
        <f>$H$478*$AF$478</f>
        <v>94.43</v>
      </c>
    </row>
    <row r="479" spans="1:52" x14ac:dyDescent="0.25">
      <c r="A479">
        <v>547</v>
      </c>
      <c r="B479" t="s">
        <v>271</v>
      </c>
      <c r="C479" t="s">
        <v>493</v>
      </c>
      <c r="D479">
        <v>1</v>
      </c>
      <c r="E479">
        <v>743.17</v>
      </c>
      <c r="F479" t="s">
        <v>335</v>
      </c>
      <c r="G479">
        <v>743.17</v>
      </c>
      <c r="H479">
        <v>891.81</v>
      </c>
      <c r="I479" t="s">
        <v>353</v>
      </c>
      <c r="J479" t="s">
        <v>494</v>
      </c>
      <c r="K479" t="s">
        <v>679</v>
      </c>
      <c r="L479" t="s">
        <v>179</v>
      </c>
      <c r="M479" t="s">
        <v>271</v>
      </c>
      <c r="N479" t="s">
        <v>12</v>
      </c>
      <c r="O479" t="s">
        <v>272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1</v>
      </c>
      <c r="Z479">
        <v>1</v>
      </c>
      <c r="AA479">
        <v>1</v>
      </c>
      <c r="AB479">
        <v>1</v>
      </c>
      <c r="AC479">
        <v>1</v>
      </c>
      <c r="AD479">
        <v>1</v>
      </c>
      <c r="AE479">
        <v>1</v>
      </c>
      <c r="AF479">
        <v>1</v>
      </c>
      <c r="AG479" t="s">
        <v>271</v>
      </c>
      <c r="AH479" t="s">
        <v>12</v>
      </c>
      <c r="AI479" t="s">
        <v>272</v>
      </c>
      <c r="AJ479">
        <f>$H$479*$P$479</f>
        <v>0</v>
      </c>
      <c r="AK479">
        <f>$H$479*$Q$479</f>
        <v>0</v>
      </c>
      <c r="AL479">
        <f>$H$479*$R$479</f>
        <v>0</v>
      </c>
      <c r="AM479">
        <f>$H$479*$S$479</f>
        <v>0</v>
      </c>
      <c r="AN479">
        <f>$H$479*$T$479</f>
        <v>0</v>
      </c>
      <c r="AO479">
        <f>$H$479*$U$479</f>
        <v>0</v>
      </c>
      <c r="AP479">
        <f>$H$479*$V$479</f>
        <v>0</v>
      </c>
      <c r="AQ479">
        <f>$H$479*$W$479</f>
        <v>0</v>
      </c>
      <c r="AR479">
        <f>$H$479*$X$479</f>
        <v>0</v>
      </c>
      <c r="AS479">
        <f>$H$479*$Y$479</f>
        <v>891.81</v>
      </c>
      <c r="AT479">
        <f>$H$479*$Z$479</f>
        <v>891.81</v>
      </c>
      <c r="AU479">
        <f>$H$479*$AA$479</f>
        <v>891.81</v>
      </c>
      <c r="AV479">
        <f>$H$479*$AB$479</f>
        <v>891.81</v>
      </c>
      <c r="AW479">
        <f>$H$479*$AC$479</f>
        <v>891.81</v>
      </c>
      <c r="AX479">
        <f>$H$479*$AD$479</f>
        <v>891.81</v>
      </c>
      <c r="AY479">
        <f>$H$479*$AE$479</f>
        <v>891.81</v>
      </c>
      <c r="AZ479">
        <f>$H$479*$AF$479</f>
        <v>891.81</v>
      </c>
    </row>
    <row r="480" spans="1:52" x14ac:dyDescent="0.25">
      <c r="A480">
        <v>548</v>
      </c>
      <c r="B480" t="s">
        <v>271</v>
      </c>
      <c r="C480" t="s">
        <v>501</v>
      </c>
      <c r="D480">
        <v>10</v>
      </c>
      <c r="E480">
        <v>65.7</v>
      </c>
      <c r="F480" t="s">
        <v>329</v>
      </c>
      <c r="G480">
        <v>6.57</v>
      </c>
      <c r="H480">
        <v>78.84</v>
      </c>
      <c r="I480" t="s">
        <v>343</v>
      </c>
      <c r="J480" t="s">
        <v>502</v>
      </c>
      <c r="K480" t="s">
        <v>683</v>
      </c>
      <c r="L480" t="s">
        <v>179</v>
      </c>
      <c r="M480" t="s">
        <v>271</v>
      </c>
      <c r="N480" t="s">
        <v>12</v>
      </c>
      <c r="O480" t="s">
        <v>272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1</v>
      </c>
      <c r="AE480">
        <v>1</v>
      </c>
      <c r="AF480">
        <v>1</v>
      </c>
      <c r="AG480" t="s">
        <v>271</v>
      </c>
      <c r="AH480" t="s">
        <v>12</v>
      </c>
      <c r="AI480" t="s">
        <v>272</v>
      </c>
      <c r="AJ480">
        <f>$H$480*$P$480</f>
        <v>0</v>
      </c>
      <c r="AK480">
        <f>$H$480*$Q$480</f>
        <v>0</v>
      </c>
      <c r="AL480">
        <f>$H$480*$R$480</f>
        <v>0</v>
      </c>
      <c r="AM480">
        <f>$H$480*$S$480</f>
        <v>0</v>
      </c>
      <c r="AN480">
        <f>$H$480*$T$480</f>
        <v>0</v>
      </c>
      <c r="AO480">
        <f>$H$480*$U$480</f>
        <v>0</v>
      </c>
      <c r="AP480">
        <f>$H$480*$V$480</f>
        <v>0</v>
      </c>
      <c r="AQ480">
        <f>$H$480*$W$480</f>
        <v>0</v>
      </c>
      <c r="AR480">
        <f>$H$480*$X$480</f>
        <v>0</v>
      </c>
      <c r="AS480">
        <f>$H$480*$Y$480</f>
        <v>0</v>
      </c>
      <c r="AT480">
        <f>$H$480*$Z$480</f>
        <v>0</v>
      </c>
      <c r="AU480">
        <f>$H$480*$AA$480</f>
        <v>0</v>
      </c>
      <c r="AV480">
        <f>$H$480*$AB$480</f>
        <v>0</v>
      </c>
      <c r="AW480">
        <f>$H$480*$AC$480</f>
        <v>0</v>
      </c>
      <c r="AX480">
        <f>$H$480*$AD$480</f>
        <v>78.84</v>
      </c>
      <c r="AY480">
        <f>$H$480*$AE$480</f>
        <v>78.84</v>
      </c>
      <c r="AZ480">
        <f>$H$480*$AF$480</f>
        <v>78.84</v>
      </c>
    </row>
    <row r="481" spans="1:52" x14ac:dyDescent="0.25">
      <c r="A481">
        <v>549</v>
      </c>
      <c r="B481" t="s">
        <v>271</v>
      </c>
      <c r="C481" t="s">
        <v>503</v>
      </c>
      <c r="D481">
        <v>1</v>
      </c>
      <c r="E481">
        <v>197.02</v>
      </c>
      <c r="F481" t="s">
        <v>335</v>
      </c>
      <c r="G481">
        <v>197.02</v>
      </c>
      <c r="H481">
        <v>236.42</v>
      </c>
      <c r="I481" t="s">
        <v>343</v>
      </c>
      <c r="J481" t="s">
        <v>504</v>
      </c>
      <c r="K481" t="s">
        <v>684</v>
      </c>
      <c r="L481" t="s">
        <v>179</v>
      </c>
      <c r="M481" t="s">
        <v>271</v>
      </c>
      <c r="N481" t="s">
        <v>12</v>
      </c>
      <c r="O481" t="s">
        <v>272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1</v>
      </c>
      <c r="AE481">
        <v>1</v>
      </c>
      <c r="AF481">
        <v>1</v>
      </c>
      <c r="AG481" t="s">
        <v>271</v>
      </c>
      <c r="AH481" t="s">
        <v>12</v>
      </c>
      <c r="AI481" t="s">
        <v>272</v>
      </c>
      <c r="AJ481">
        <f>$H$481*$P$481</f>
        <v>0</v>
      </c>
      <c r="AK481">
        <f>$H$481*$Q$481</f>
        <v>0</v>
      </c>
      <c r="AL481">
        <f>$H$481*$R$481</f>
        <v>0</v>
      </c>
      <c r="AM481">
        <f>$H$481*$S$481</f>
        <v>0</v>
      </c>
      <c r="AN481">
        <f>$H$481*$T$481</f>
        <v>0</v>
      </c>
      <c r="AO481">
        <f>$H$481*$U$481</f>
        <v>0</v>
      </c>
      <c r="AP481">
        <f>$H$481*$V$481</f>
        <v>0</v>
      </c>
      <c r="AQ481">
        <f>$H$481*$W$481</f>
        <v>0</v>
      </c>
      <c r="AR481">
        <f>$H$481*$X$481</f>
        <v>0</v>
      </c>
      <c r="AS481">
        <f>$H$481*$Y$481</f>
        <v>0</v>
      </c>
      <c r="AT481">
        <f>$H$481*$Z$481</f>
        <v>0</v>
      </c>
      <c r="AU481">
        <f>$H$481*$AA$481</f>
        <v>0</v>
      </c>
      <c r="AV481">
        <f>$H$481*$AB$481</f>
        <v>0</v>
      </c>
      <c r="AW481">
        <f>$H$481*$AC$481</f>
        <v>0</v>
      </c>
      <c r="AX481">
        <f>$H$481*$AD$481</f>
        <v>236.42</v>
      </c>
      <c r="AY481">
        <f>$H$481*$AE$481</f>
        <v>236.42</v>
      </c>
      <c r="AZ481">
        <f>$H$481*$AF$481</f>
        <v>236.42</v>
      </c>
    </row>
    <row r="482" spans="1:52" x14ac:dyDescent="0.25">
      <c r="A482">
        <v>550</v>
      </c>
      <c r="B482" t="s">
        <v>271</v>
      </c>
      <c r="C482" t="s">
        <v>539</v>
      </c>
      <c r="D482">
        <v>1</v>
      </c>
      <c r="E482">
        <v>136.65</v>
      </c>
      <c r="F482" t="s">
        <v>335</v>
      </c>
      <c r="G482">
        <v>136.65</v>
      </c>
      <c r="H482">
        <v>163.99</v>
      </c>
      <c r="I482" t="s">
        <v>340</v>
      </c>
      <c r="J482" t="s">
        <v>540</v>
      </c>
      <c r="K482" t="s">
        <v>702</v>
      </c>
      <c r="L482" t="s">
        <v>179</v>
      </c>
      <c r="M482" t="s">
        <v>271</v>
      </c>
      <c r="N482" t="s">
        <v>12</v>
      </c>
      <c r="O482" t="s">
        <v>272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1</v>
      </c>
      <c r="AE482">
        <v>1</v>
      </c>
      <c r="AF482">
        <v>1</v>
      </c>
      <c r="AG482" t="s">
        <v>271</v>
      </c>
      <c r="AH482" t="s">
        <v>12</v>
      </c>
      <c r="AI482" t="s">
        <v>272</v>
      </c>
      <c r="AJ482">
        <f>$H$482*$P$482</f>
        <v>0</v>
      </c>
      <c r="AK482">
        <f>$H$482*$Q$482</f>
        <v>0</v>
      </c>
      <c r="AL482">
        <f>$H$482*$R$482</f>
        <v>0</v>
      </c>
      <c r="AM482">
        <f>$H$482*$S$482</f>
        <v>0</v>
      </c>
      <c r="AN482">
        <f>$H$482*$T$482</f>
        <v>0</v>
      </c>
      <c r="AO482">
        <f>$H$482*$U$482</f>
        <v>0</v>
      </c>
      <c r="AP482">
        <f>$H$482*$V$482</f>
        <v>0</v>
      </c>
      <c r="AQ482">
        <f>$H$482*$W$482</f>
        <v>0</v>
      </c>
      <c r="AR482">
        <f>$H$482*$X$482</f>
        <v>0</v>
      </c>
      <c r="AS482">
        <f>$H$482*$Y$482</f>
        <v>0</v>
      </c>
      <c r="AT482">
        <f>$H$482*$Z$482</f>
        <v>0</v>
      </c>
      <c r="AU482">
        <f>$H$482*$AA$482</f>
        <v>0</v>
      </c>
      <c r="AV482">
        <f>$H$482*$AB$482</f>
        <v>0</v>
      </c>
      <c r="AW482">
        <f>$H$482*$AC$482</f>
        <v>0</v>
      </c>
      <c r="AX482">
        <f>$H$482*$AD$482</f>
        <v>163.99</v>
      </c>
      <c r="AY482">
        <f>$H$482*$AE$482</f>
        <v>163.99</v>
      </c>
      <c r="AZ482">
        <f>$H$482*$AF$482</f>
        <v>163.99</v>
      </c>
    </row>
    <row r="483" spans="1:52" x14ac:dyDescent="0.25">
      <c r="A483">
        <v>551</v>
      </c>
      <c r="B483" t="s">
        <v>271</v>
      </c>
      <c r="C483" t="s">
        <v>367</v>
      </c>
      <c r="D483">
        <v>1</v>
      </c>
      <c r="E483">
        <v>62.41</v>
      </c>
      <c r="F483" t="s">
        <v>335</v>
      </c>
      <c r="G483">
        <v>62.41</v>
      </c>
      <c r="H483">
        <v>74.89</v>
      </c>
      <c r="I483" t="s">
        <v>368</v>
      </c>
      <c r="J483" t="s">
        <v>369</v>
      </c>
      <c r="K483" t="s">
        <v>619</v>
      </c>
      <c r="L483" t="s">
        <v>179</v>
      </c>
      <c r="M483" t="s">
        <v>271</v>
      </c>
      <c r="N483" t="s">
        <v>12</v>
      </c>
      <c r="O483" t="s">
        <v>272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1</v>
      </c>
      <c r="AB483">
        <v>1</v>
      </c>
      <c r="AC483">
        <v>1</v>
      </c>
      <c r="AD483">
        <v>1</v>
      </c>
      <c r="AE483">
        <v>1</v>
      </c>
      <c r="AF483">
        <v>1</v>
      </c>
      <c r="AG483" t="s">
        <v>271</v>
      </c>
      <c r="AH483" t="s">
        <v>12</v>
      </c>
      <c r="AI483" t="s">
        <v>272</v>
      </c>
      <c r="AJ483">
        <f>$H$483*$P$483</f>
        <v>0</v>
      </c>
      <c r="AK483">
        <f>$H$483*$Q$483</f>
        <v>0</v>
      </c>
      <c r="AL483">
        <f>$H$483*$R$483</f>
        <v>0</v>
      </c>
      <c r="AM483">
        <f>$H$483*$S$483</f>
        <v>0</v>
      </c>
      <c r="AN483">
        <f>$H$483*$T$483</f>
        <v>0</v>
      </c>
      <c r="AO483">
        <f>$H$483*$U$483</f>
        <v>0</v>
      </c>
      <c r="AP483">
        <f>$H$483*$V$483</f>
        <v>0</v>
      </c>
      <c r="AQ483">
        <f>$H$483*$W$483</f>
        <v>0</v>
      </c>
      <c r="AR483">
        <f>$H$483*$X$483</f>
        <v>0</v>
      </c>
      <c r="AS483">
        <f>$H$483*$Y$483</f>
        <v>0</v>
      </c>
      <c r="AT483">
        <f>$H$483*$Z$483</f>
        <v>0</v>
      </c>
      <c r="AU483">
        <f>$H$483*$AA$483</f>
        <v>74.89</v>
      </c>
      <c r="AV483">
        <f>$H$483*$AB$483</f>
        <v>74.89</v>
      </c>
      <c r="AW483">
        <f>$H$483*$AC$483</f>
        <v>74.89</v>
      </c>
      <c r="AX483">
        <f>$H$483*$AD$483</f>
        <v>74.89</v>
      </c>
      <c r="AY483">
        <f>$H$483*$AE$483</f>
        <v>74.89</v>
      </c>
      <c r="AZ483">
        <f>$H$483*$AF$483</f>
        <v>74.89</v>
      </c>
    </row>
    <row r="484" spans="1:52" x14ac:dyDescent="0.25">
      <c r="A484">
        <v>552</v>
      </c>
      <c r="B484" t="s">
        <v>271</v>
      </c>
      <c r="C484" t="s">
        <v>375</v>
      </c>
      <c r="D484">
        <v>2</v>
      </c>
      <c r="E484">
        <v>77.86</v>
      </c>
      <c r="F484" t="s">
        <v>335</v>
      </c>
      <c r="G484">
        <v>38.93</v>
      </c>
      <c r="H484">
        <v>93.44</v>
      </c>
      <c r="I484" t="s">
        <v>330</v>
      </c>
      <c r="J484" t="s">
        <v>371</v>
      </c>
      <c r="K484" t="s">
        <v>622</v>
      </c>
      <c r="L484" t="s">
        <v>179</v>
      </c>
      <c r="M484" t="s">
        <v>271</v>
      </c>
      <c r="N484" t="s">
        <v>12</v>
      </c>
      <c r="O484" t="s">
        <v>272</v>
      </c>
      <c r="P484">
        <v>0</v>
      </c>
      <c r="Q484">
        <v>0</v>
      </c>
      <c r="R484">
        <v>0</v>
      </c>
      <c r="S484">
        <v>1</v>
      </c>
      <c r="T484">
        <v>1</v>
      </c>
      <c r="U484">
        <v>1</v>
      </c>
      <c r="V484">
        <v>1</v>
      </c>
      <c r="W484">
        <v>1</v>
      </c>
      <c r="X484">
        <v>1</v>
      </c>
      <c r="Y484">
        <v>1</v>
      </c>
      <c r="Z484">
        <v>1</v>
      </c>
      <c r="AA484">
        <v>1</v>
      </c>
      <c r="AB484">
        <v>1</v>
      </c>
      <c r="AC484">
        <v>1</v>
      </c>
      <c r="AD484">
        <v>1</v>
      </c>
      <c r="AE484">
        <v>1</v>
      </c>
      <c r="AF484">
        <v>1</v>
      </c>
      <c r="AG484" t="s">
        <v>271</v>
      </c>
      <c r="AH484" t="s">
        <v>12</v>
      </c>
      <c r="AI484" t="s">
        <v>272</v>
      </c>
      <c r="AJ484">
        <f>$H$484*$P$484</f>
        <v>0</v>
      </c>
      <c r="AK484">
        <f>$H$484*$Q$484</f>
        <v>0</v>
      </c>
      <c r="AL484">
        <f>$H$484*$R$484</f>
        <v>0</v>
      </c>
      <c r="AM484">
        <f>$H$484*$S$484</f>
        <v>93.44</v>
      </c>
      <c r="AN484">
        <f>$H$484*$T$484</f>
        <v>93.44</v>
      </c>
      <c r="AO484">
        <f>$H$484*$U$484</f>
        <v>93.44</v>
      </c>
      <c r="AP484">
        <f>$H$484*$V$484</f>
        <v>93.44</v>
      </c>
      <c r="AQ484">
        <f>$H$484*$W$484</f>
        <v>93.44</v>
      </c>
      <c r="AR484">
        <f>$H$484*$X$484</f>
        <v>93.44</v>
      </c>
      <c r="AS484">
        <f>$H$484*$Y$484</f>
        <v>93.44</v>
      </c>
      <c r="AT484">
        <f>$H$484*$Z$484</f>
        <v>93.44</v>
      </c>
      <c r="AU484">
        <f>$H$484*$AA$484</f>
        <v>93.44</v>
      </c>
      <c r="AV484">
        <f>$H$484*$AB$484</f>
        <v>93.44</v>
      </c>
      <c r="AW484">
        <f>$H$484*$AC$484</f>
        <v>93.44</v>
      </c>
      <c r="AX484">
        <f>$H$484*$AD$484</f>
        <v>93.44</v>
      </c>
      <c r="AY484">
        <f>$H$484*$AE$484</f>
        <v>93.44</v>
      </c>
      <c r="AZ484">
        <f>$H$484*$AF$484</f>
        <v>93.44</v>
      </c>
    </row>
    <row r="485" spans="1:52" x14ac:dyDescent="0.25">
      <c r="A485">
        <v>553</v>
      </c>
      <c r="B485" t="s">
        <v>271</v>
      </c>
      <c r="C485" t="s">
        <v>373</v>
      </c>
      <c r="D485">
        <v>2</v>
      </c>
      <c r="E485">
        <v>62.72</v>
      </c>
      <c r="F485" t="s">
        <v>335</v>
      </c>
      <c r="G485">
        <v>31.36</v>
      </c>
      <c r="H485">
        <v>75.260000000000005</v>
      </c>
      <c r="I485" t="s">
        <v>330</v>
      </c>
      <c r="J485" t="s">
        <v>374</v>
      </c>
      <c r="K485" t="s">
        <v>621</v>
      </c>
      <c r="L485" t="s">
        <v>179</v>
      </c>
      <c r="M485" t="s">
        <v>271</v>
      </c>
      <c r="N485" t="s">
        <v>12</v>
      </c>
      <c r="O485" t="s">
        <v>272</v>
      </c>
      <c r="P485">
        <v>0</v>
      </c>
      <c r="Q485">
        <v>0</v>
      </c>
      <c r="R485">
        <v>0</v>
      </c>
      <c r="S485">
        <v>1</v>
      </c>
      <c r="T485">
        <v>1</v>
      </c>
      <c r="U485">
        <v>1</v>
      </c>
      <c r="V485">
        <v>1</v>
      </c>
      <c r="W485">
        <v>1</v>
      </c>
      <c r="X485">
        <v>1</v>
      </c>
      <c r="Y485">
        <v>1</v>
      </c>
      <c r="Z485">
        <v>1</v>
      </c>
      <c r="AA485">
        <v>1</v>
      </c>
      <c r="AB485">
        <v>1</v>
      </c>
      <c r="AC485">
        <v>1</v>
      </c>
      <c r="AD485">
        <v>1</v>
      </c>
      <c r="AE485">
        <v>1</v>
      </c>
      <c r="AF485">
        <v>1</v>
      </c>
      <c r="AG485" t="s">
        <v>271</v>
      </c>
      <c r="AH485" t="s">
        <v>12</v>
      </c>
      <c r="AI485" t="s">
        <v>272</v>
      </c>
      <c r="AJ485">
        <f>$H$485*$P$485</f>
        <v>0</v>
      </c>
      <c r="AK485">
        <f>$H$485*$Q$485</f>
        <v>0</v>
      </c>
      <c r="AL485">
        <f>$H$485*$R$485</f>
        <v>0</v>
      </c>
      <c r="AM485">
        <f>$H$485*$S$485</f>
        <v>75.260000000000005</v>
      </c>
      <c r="AN485">
        <f>$H$485*$T$485</f>
        <v>75.260000000000005</v>
      </c>
      <c r="AO485">
        <f>$H$485*$U$485</f>
        <v>75.260000000000005</v>
      </c>
      <c r="AP485">
        <f>$H$485*$V$485</f>
        <v>75.260000000000005</v>
      </c>
      <c r="AQ485">
        <f>$H$485*$W$485</f>
        <v>75.260000000000005</v>
      </c>
      <c r="AR485">
        <f>$H$485*$X$485</f>
        <v>75.260000000000005</v>
      </c>
      <c r="AS485">
        <f>$H$485*$Y$485</f>
        <v>75.260000000000005</v>
      </c>
      <c r="AT485">
        <f>$H$485*$Z$485</f>
        <v>75.260000000000005</v>
      </c>
      <c r="AU485">
        <f>$H$485*$AA$485</f>
        <v>75.260000000000005</v>
      </c>
      <c r="AV485">
        <f>$H$485*$AB$485</f>
        <v>75.260000000000005</v>
      </c>
      <c r="AW485">
        <f>$H$485*$AC$485</f>
        <v>75.260000000000005</v>
      </c>
      <c r="AX485">
        <f>$H$485*$AD$485</f>
        <v>75.260000000000005</v>
      </c>
      <c r="AY485">
        <f>$H$485*$AE$485</f>
        <v>75.260000000000005</v>
      </c>
      <c r="AZ485">
        <f>$H$485*$AF$485</f>
        <v>75.260000000000005</v>
      </c>
    </row>
    <row r="486" spans="1:52" x14ac:dyDescent="0.25">
      <c r="A486">
        <v>554</v>
      </c>
      <c r="B486" t="s">
        <v>271</v>
      </c>
      <c r="C486" t="s">
        <v>370</v>
      </c>
      <c r="D486">
        <v>1</v>
      </c>
      <c r="E486">
        <v>366.18</v>
      </c>
      <c r="F486" t="s">
        <v>335</v>
      </c>
      <c r="G486">
        <v>366.18</v>
      </c>
      <c r="H486">
        <v>439.42</v>
      </c>
      <c r="I486" t="s">
        <v>371</v>
      </c>
      <c r="J486" t="s">
        <v>372</v>
      </c>
      <c r="K486" t="s">
        <v>620</v>
      </c>
      <c r="L486" t="s">
        <v>179</v>
      </c>
      <c r="M486" t="s">
        <v>271</v>
      </c>
      <c r="N486" t="s">
        <v>12</v>
      </c>
      <c r="O486" t="s">
        <v>272</v>
      </c>
      <c r="P486">
        <v>0</v>
      </c>
      <c r="Q486">
        <v>0</v>
      </c>
      <c r="R486">
        <v>0</v>
      </c>
      <c r="S486">
        <v>0</v>
      </c>
      <c r="T486">
        <v>1</v>
      </c>
      <c r="U486">
        <v>1</v>
      </c>
      <c r="V486">
        <v>1</v>
      </c>
      <c r="W486">
        <v>1</v>
      </c>
      <c r="X486">
        <v>1</v>
      </c>
      <c r="Y486">
        <v>1</v>
      </c>
      <c r="Z486">
        <v>1</v>
      </c>
      <c r="AA486">
        <v>1</v>
      </c>
      <c r="AB486">
        <v>1</v>
      </c>
      <c r="AC486">
        <v>1</v>
      </c>
      <c r="AD486">
        <v>1</v>
      </c>
      <c r="AE486">
        <v>1</v>
      </c>
      <c r="AF486">
        <v>1</v>
      </c>
      <c r="AG486" t="s">
        <v>271</v>
      </c>
      <c r="AH486" t="s">
        <v>12</v>
      </c>
      <c r="AI486" t="s">
        <v>272</v>
      </c>
      <c r="AJ486">
        <f>$H$486*$P$486</f>
        <v>0</v>
      </c>
      <c r="AK486">
        <f>$H$486*$Q$486</f>
        <v>0</v>
      </c>
      <c r="AL486">
        <f>$H$486*$R$486</f>
        <v>0</v>
      </c>
      <c r="AM486">
        <f>$H$486*$S$486</f>
        <v>0</v>
      </c>
      <c r="AN486">
        <f>$H$486*$T$486</f>
        <v>439.42</v>
      </c>
      <c r="AO486">
        <f>$H$486*$U$486</f>
        <v>439.42</v>
      </c>
      <c r="AP486">
        <f>$H$486*$V$486</f>
        <v>439.42</v>
      </c>
      <c r="AQ486">
        <f>$H$486*$W$486</f>
        <v>439.42</v>
      </c>
      <c r="AR486">
        <f>$H$486*$X$486</f>
        <v>439.42</v>
      </c>
      <c r="AS486">
        <f>$H$486*$Y$486</f>
        <v>439.42</v>
      </c>
      <c r="AT486">
        <f>$H$486*$Z$486</f>
        <v>439.42</v>
      </c>
      <c r="AU486">
        <f>$H$486*$AA$486</f>
        <v>439.42</v>
      </c>
      <c r="AV486">
        <f>$H$486*$AB$486</f>
        <v>439.42</v>
      </c>
      <c r="AW486">
        <f>$H$486*$AC$486</f>
        <v>439.42</v>
      </c>
      <c r="AX486">
        <f>$H$486*$AD$486</f>
        <v>439.42</v>
      </c>
      <c r="AY486">
        <f>$H$486*$AE$486</f>
        <v>439.42</v>
      </c>
      <c r="AZ486">
        <f>$H$486*$AF$486</f>
        <v>439.42</v>
      </c>
    </row>
    <row r="487" spans="1:52" x14ac:dyDescent="0.25">
      <c r="A487">
        <v>555</v>
      </c>
      <c r="B487" t="s">
        <v>271</v>
      </c>
      <c r="C487" t="s">
        <v>509</v>
      </c>
      <c r="D487">
        <v>3</v>
      </c>
      <c r="E487">
        <v>957.81</v>
      </c>
      <c r="F487" t="s">
        <v>329</v>
      </c>
      <c r="G487">
        <v>319.27</v>
      </c>
      <c r="H487">
        <v>1149.3699999999999</v>
      </c>
      <c r="I487" t="s">
        <v>489</v>
      </c>
      <c r="J487" t="s">
        <v>510</v>
      </c>
      <c r="K487" t="s">
        <v>687</v>
      </c>
      <c r="L487" t="s">
        <v>179</v>
      </c>
      <c r="M487" t="s">
        <v>271</v>
      </c>
      <c r="N487" t="s">
        <v>12</v>
      </c>
      <c r="O487" t="s">
        <v>272</v>
      </c>
      <c r="P487">
        <v>0</v>
      </c>
      <c r="Q487">
        <v>0</v>
      </c>
      <c r="R487">
        <v>0</v>
      </c>
      <c r="S487">
        <v>0</v>
      </c>
      <c r="T487">
        <v>1</v>
      </c>
      <c r="U487">
        <v>1</v>
      </c>
      <c r="V487">
        <v>1</v>
      </c>
      <c r="W487">
        <v>1</v>
      </c>
      <c r="X487">
        <v>1</v>
      </c>
      <c r="Y487">
        <v>1</v>
      </c>
      <c r="Z487">
        <v>1</v>
      </c>
      <c r="AA487">
        <v>1</v>
      </c>
      <c r="AB487">
        <v>1</v>
      </c>
      <c r="AC487">
        <v>1</v>
      </c>
      <c r="AD487">
        <v>1</v>
      </c>
      <c r="AE487">
        <v>1</v>
      </c>
      <c r="AF487">
        <v>1</v>
      </c>
      <c r="AG487" t="s">
        <v>271</v>
      </c>
      <c r="AH487" t="s">
        <v>12</v>
      </c>
      <c r="AI487" t="s">
        <v>272</v>
      </c>
      <c r="AJ487">
        <f>$H$487*$P$487</f>
        <v>0</v>
      </c>
      <c r="AK487">
        <f>$H$487*$Q$487</f>
        <v>0</v>
      </c>
      <c r="AL487">
        <f>$H$487*$R$487</f>
        <v>0</v>
      </c>
      <c r="AM487">
        <f>$H$487*$S$487</f>
        <v>0</v>
      </c>
      <c r="AN487">
        <f>$H$487*$T$487</f>
        <v>1149.3699999999999</v>
      </c>
      <c r="AO487">
        <f>$H$487*$U$487</f>
        <v>1149.3699999999999</v>
      </c>
      <c r="AP487">
        <f>$H$487*$V$487</f>
        <v>1149.3699999999999</v>
      </c>
      <c r="AQ487">
        <f>$H$487*$W$487</f>
        <v>1149.3699999999999</v>
      </c>
      <c r="AR487">
        <f>$H$487*$X$487</f>
        <v>1149.3699999999999</v>
      </c>
      <c r="AS487">
        <f>$H$487*$Y$487</f>
        <v>1149.3699999999999</v>
      </c>
      <c r="AT487">
        <f>$H$487*$Z$487</f>
        <v>1149.3699999999999</v>
      </c>
      <c r="AU487">
        <f>$H$487*$AA$487</f>
        <v>1149.3699999999999</v>
      </c>
      <c r="AV487">
        <f>$H$487*$AB$487</f>
        <v>1149.3699999999999</v>
      </c>
      <c r="AW487">
        <f>$H$487*$AC$487</f>
        <v>1149.3699999999999</v>
      </c>
      <c r="AX487">
        <f>$H$487*$AD$487</f>
        <v>1149.3699999999999</v>
      </c>
      <c r="AY487">
        <f>$H$487*$AE$487</f>
        <v>1149.3699999999999</v>
      </c>
      <c r="AZ487">
        <f>$H$487*$AF$487</f>
        <v>1149.3699999999999</v>
      </c>
    </row>
    <row r="488" spans="1:52" x14ac:dyDescent="0.25">
      <c r="A488">
        <v>556</v>
      </c>
      <c r="B488" t="s">
        <v>271</v>
      </c>
      <c r="C488" t="s">
        <v>511</v>
      </c>
      <c r="D488">
        <v>6</v>
      </c>
      <c r="E488">
        <v>581.94000000000005</v>
      </c>
      <c r="F488" t="s">
        <v>349</v>
      </c>
      <c r="G488">
        <v>96.99</v>
      </c>
      <c r="H488">
        <v>698.32</v>
      </c>
      <c r="I488" t="s">
        <v>489</v>
      </c>
      <c r="J488" t="s">
        <v>512</v>
      </c>
      <c r="K488" t="s">
        <v>688</v>
      </c>
      <c r="L488" t="s">
        <v>179</v>
      </c>
      <c r="M488" t="s">
        <v>271</v>
      </c>
      <c r="N488" t="s">
        <v>12</v>
      </c>
      <c r="O488" t="s">
        <v>272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1</v>
      </c>
      <c r="AA488">
        <v>1</v>
      </c>
      <c r="AB488">
        <v>1</v>
      </c>
      <c r="AC488">
        <v>1</v>
      </c>
      <c r="AD488">
        <v>1</v>
      </c>
      <c r="AE488">
        <v>1</v>
      </c>
      <c r="AF488">
        <v>1</v>
      </c>
      <c r="AG488" t="s">
        <v>271</v>
      </c>
      <c r="AH488" t="s">
        <v>12</v>
      </c>
      <c r="AI488" t="s">
        <v>272</v>
      </c>
      <c r="AJ488">
        <f>$H$488*$P$488</f>
        <v>0</v>
      </c>
      <c r="AK488">
        <f>$H$488*$Q$488</f>
        <v>0</v>
      </c>
      <c r="AL488">
        <f>$H$488*$R$488</f>
        <v>0</v>
      </c>
      <c r="AM488">
        <f>$H$488*$S$488</f>
        <v>0</v>
      </c>
      <c r="AN488">
        <f>$H$488*$T$488</f>
        <v>0</v>
      </c>
      <c r="AO488">
        <f>$H$488*$U$488</f>
        <v>0</v>
      </c>
      <c r="AP488">
        <f>$H$488*$V$488</f>
        <v>0</v>
      </c>
      <c r="AQ488">
        <f>$H$488*$W$488</f>
        <v>0</v>
      </c>
      <c r="AR488">
        <f>$H$488*$X$488</f>
        <v>0</v>
      </c>
      <c r="AS488">
        <f>$H$488*$Y$488</f>
        <v>0</v>
      </c>
      <c r="AT488">
        <f>$H$488*$Z$488</f>
        <v>698.32</v>
      </c>
      <c r="AU488">
        <f>$H$488*$AA$488</f>
        <v>698.32</v>
      </c>
      <c r="AV488">
        <f>$H$488*$AB$488</f>
        <v>698.32</v>
      </c>
      <c r="AW488">
        <f>$H$488*$AC$488</f>
        <v>698.32</v>
      </c>
      <c r="AX488">
        <f>$H$488*$AD$488</f>
        <v>698.32</v>
      </c>
      <c r="AY488">
        <f>$H$488*$AE$488</f>
        <v>698.32</v>
      </c>
      <c r="AZ488">
        <f>$H$488*$AF$488</f>
        <v>698.32</v>
      </c>
    </row>
    <row r="489" spans="1:52" x14ac:dyDescent="0.25">
      <c r="A489">
        <v>557</v>
      </c>
      <c r="B489" t="s">
        <v>271</v>
      </c>
      <c r="C489" t="s">
        <v>513</v>
      </c>
      <c r="D489">
        <v>1</v>
      </c>
      <c r="E489">
        <v>305.94</v>
      </c>
      <c r="F489" t="s">
        <v>335</v>
      </c>
      <c r="G489">
        <v>305.94</v>
      </c>
      <c r="H489">
        <v>367.12</v>
      </c>
      <c r="I489" t="s">
        <v>353</v>
      </c>
      <c r="J489" t="s">
        <v>514</v>
      </c>
      <c r="K489" t="s">
        <v>689</v>
      </c>
      <c r="L489" t="s">
        <v>179</v>
      </c>
      <c r="M489" t="s">
        <v>271</v>
      </c>
      <c r="N489" t="s">
        <v>12</v>
      </c>
      <c r="O489" t="s">
        <v>272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1</v>
      </c>
      <c r="AB489">
        <v>1</v>
      </c>
      <c r="AC489">
        <v>1</v>
      </c>
      <c r="AD489">
        <v>1</v>
      </c>
      <c r="AE489">
        <v>1</v>
      </c>
      <c r="AF489">
        <v>1</v>
      </c>
      <c r="AG489" t="s">
        <v>271</v>
      </c>
      <c r="AH489" t="s">
        <v>12</v>
      </c>
      <c r="AI489" t="s">
        <v>272</v>
      </c>
      <c r="AJ489">
        <f>$H$489*$P$489</f>
        <v>0</v>
      </c>
      <c r="AK489">
        <f>$H$489*$Q$489</f>
        <v>0</v>
      </c>
      <c r="AL489">
        <f>$H$489*$R$489</f>
        <v>0</v>
      </c>
      <c r="AM489">
        <f>$H$489*$S$489</f>
        <v>0</v>
      </c>
      <c r="AN489">
        <f>$H$489*$T$489</f>
        <v>0</v>
      </c>
      <c r="AO489">
        <f>$H$489*$U$489</f>
        <v>0</v>
      </c>
      <c r="AP489">
        <f>$H$489*$V$489</f>
        <v>0</v>
      </c>
      <c r="AQ489">
        <f>$H$489*$W$489</f>
        <v>0</v>
      </c>
      <c r="AR489">
        <f>$H$489*$X$489</f>
        <v>0</v>
      </c>
      <c r="AS489">
        <f>$H$489*$Y$489</f>
        <v>0</v>
      </c>
      <c r="AT489">
        <f>$H$489*$Z$489</f>
        <v>0</v>
      </c>
      <c r="AU489">
        <f>$H$489*$AA$489</f>
        <v>367.12</v>
      </c>
      <c r="AV489">
        <f>$H$489*$AB$489</f>
        <v>367.12</v>
      </c>
      <c r="AW489">
        <f>$H$489*$AC$489</f>
        <v>367.12</v>
      </c>
      <c r="AX489">
        <f>$H$489*$AD$489</f>
        <v>367.12</v>
      </c>
      <c r="AY489">
        <f>$H$489*$AE$489</f>
        <v>367.12</v>
      </c>
      <c r="AZ489">
        <f>$H$489*$AF$489</f>
        <v>367.12</v>
      </c>
    </row>
    <row r="490" spans="1:52" x14ac:dyDescent="0.25">
      <c r="A490">
        <v>558</v>
      </c>
      <c r="B490" t="s">
        <v>271</v>
      </c>
      <c r="C490" t="s">
        <v>354</v>
      </c>
      <c r="D490">
        <v>0.75</v>
      </c>
      <c r="E490">
        <v>491.8</v>
      </c>
      <c r="F490" t="s">
        <v>335</v>
      </c>
      <c r="G490">
        <v>655.73</v>
      </c>
      <c r="H490">
        <v>590.16</v>
      </c>
      <c r="I490" t="s">
        <v>353</v>
      </c>
      <c r="J490" t="s">
        <v>355</v>
      </c>
      <c r="K490" t="s">
        <v>612</v>
      </c>
      <c r="L490" t="s">
        <v>179</v>
      </c>
      <c r="M490" t="s">
        <v>271</v>
      </c>
      <c r="N490" t="s">
        <v>12</v>
      </c>
      <c r="O490" t="s">
        <v>272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1</v>
      </c>
      <c r="Z490">
        <v>1</v>
      </c>
      <c r="AA490">
        <v>1</v>
      </c>
      <c r="AB490">
        <v>1</v>
      </c>
      <c r="AC490">
        <v>1</v>
      </c>
      <c r="AD490">
        <v>1</v>
      </c>
      <c r="AE490">
        <v>1</v>
      </c>
      <c r="AF490">
        <v>1</v>
      </c>
      <c r="AG490" t="s">
        <v>271</v>
      </c>
      <c r="AH490" t="s">
        <v>12</v>
      </c>
      <c r="AI490" t="s">
        <v>272</v>
      </c>
      <c r="AJ490">
        <f>$H$490*$P$490</f>
        <v>0</v>
      </c>
      <c r="AK490">
        <f>$H$490*$Q$490</f>
        <v>0</v>
      </c>
      <c r="AL490">
        <f>$H$490*$R$490</f>
        <v>0</v>
      </c>
      <c r="AM490">
        <f>$H$490*$S$490</f>
        <v>0</v>
      </c>
      <c r="AN490">
        <f>$H$490*$T$490</f>
        <v>0</v>
      </c>
      <c r="AO490">
        <f>$H$490*$U$490</f>
        <v>0</v>
      </c>
      <c r="AP490">
        <f>$H$490*$V$490</f>
        <v>0</v>
      </c>
      <c r="AQ490">
        <f>$H$490*$W$490</f>
        <v>0</v>
      </c>
      <c r="AR490">
        <f>$H$490*$X$490</f>
        <v>0</v>
      </c>
      <c r="AS490">
        <f>$H$490*$Y$490</f>
        <v>590.16</v>
      </c>
      <c r="AT490">
        <f>$H$490*$Z$490</f>
        <v>590.16</v>
      </c>
      <c r="AU490">
        <f>$H$490*$AA$490</f>
        <v>590.16</v>
      </c>
      <c r="AV490">
        <f>$H$490*$AB$490</f>
        <v>590.16</v>
      </c>
      <c r="AW490">
        <f>$H$490*$AC$490</f>
        <v>590.16</v>
      </c>
      <c r="AX490">
        <f>$H$490*$AD$490</f>
        <v>590.16</v>
      </c>
      <c r="AY490">
        <f>$H$490*$AE$490</f>
        <v>590.16</v>
      </c>
      <c r="AZ490">
        <f>$H$490*$AF$490</f>
        <v>590.16</v>
      </c>
    </row>
    <row r="491" spans="1:52" x14ac:dyDescent="0.25">
      <c r="A491">
        <v>559</v>
      </c>
      <c r="B491" t="s">
        <v>271</v>
      </c>
      <c r="C491" t="s">
        <v>354</v>
      </c>
      <c r="D491">
        <v>0.25</v>
      </c>
      <c r="E491">
        <v>163.93</v>
      </c>
      <c r="F491" t="s">
        <v>335</v>
      </c>
      <c r="G491">
        <v>655.73</v>
      </c>
      <c r="H491">
        <v>196.71</v>
      </c>
      <c r="I491" t="s">
        <v>353</v>
      </c>
      <c r="J491" t="s">
        <v>355</v>
      </c>
      <c r="K491" t="s">
        <v>612</v>
      </c>
      <c r="L491" t="s">
        <v>179</v>
      </c>
      <c r="M491" t="s">
        <v>271</v>
      </c>
      <c r="N491" t="s">
        <v>12</v>
      </c>
      <c r="O491" t="s">
        <v>272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1</v>
      </c>
      <c r="Z491">
        <v>1</v>
      </c>
      <c r="AA491">
        <v>1</v>
      </c>
      <c r="AB491">
        <v>1</v>
      </c>
      <c r="AC491">
        <v>1</v>
      </c>
      <c r="AD491">
        <v>1</v>
      </c>
      <c r="AE491">
        <v>1</v>
      </c>
      <c r="AF491">
        <v>1</v>
      </c>
      <c r="AG491" t="s">
        <v>271</v>
      </c>
      <c r="AH491" t="s">
        <v>12</v>
      </c>
      <c r="AI491" t="s">
        <v>272</v>
      </c>
      <c r="AJ491">
        <f>$H$491*$P$491</f>
        <v>0</v>
      </c>
      <c r="AK491">
        <f>$H$491*$Q$491</f>
        <v>0</v>
      </c>
      <c r="AL491">
        <f>$H$491*$R$491</f>
        <v>0</v>
      </c>
      <c r="AM491">
        <f>$H$491*$S$491</f>
        <v>0</v>
      </c>
      <c r="AN491">
        <f>$H$491*$T$491</f>
        <v>0</v>
      </c>
      <c r="AO491">
        <f>$H$491*$U$491</f>
        <v>0</v>
      </c>
      <c r="AP491">
        <f>$H$491*$V$491</f>
        <v>0</v>
      </c>
      <c r="AQ491">
        <f>$H$491*$W$491</f>
        <v>0</v>
      </c>
      <c r="AR491">
        <f>$H$491*$X$491</f>
        <v>0</v>
      </c>
      <c r="AS491">
        <f>$H$491*$Y$491</f>
        <v>196.71</v>
      </c>
      <c r="AT491">
        <f>$H$491*$Z$491</f>
        <v>196.71</v>
      </c>
      <c r="AU491">
        <f>$H$491*$AA$491</f>
        <v>196.71</v>
      </c>
      <c r="AV491">
        <f>$H$491*$AB$491</f>
        <v>196.71</v>
      </c>
      <c r="AW491">
        <f>$H$491*$AC$491</f>
        <v>196.71</v>
      </c>
      <c r="AX491">
        <f>$H$491*$AD$491</f>
        <v>196.71</v>
      </c>
      <c r="AY491">
        <f>$H$491*$AE$491</f>
        <v>196.71</v>
      </c>
      <c r="AZ491">
        <f>$H$491*$AF$491</f>
        <v>196.71</v>
      </c>
    </row>
    <row r="492" spans="1:52" x14ac:dyDescent="0.25">
      <c r="A492">
        <v>560</v>
      </c>
      <c r="B492" t="s">
        <v>271</v>
      </c>
      <c r="C492" t="s">
        <v>515</v>
      </c>
      <c r="D492">
        <v>1</v>
      </c>
      <c r="E492">
        <v>406.64</v>
      </c>
      <c r="F492" t="s">
        <v>335</v>
      </c>
      <c r="G492">
        <v>406.64</v>
      </c>
      <c r="H492">
        <v>487.96</v>
      </c>
      <c r="I492" t="s">
        <v>353</v>
      </c>
      <c r="J492" t="s">
        <v>516</v>
      </c>
      <c r="K492" t="s">
        <v>690</v>
      </c>
      <c r="L492" t="s">
        <v>179</v>
      </c>
      <c r="M492" t="s">
        <v>271</v>
      </c>
      <c r="N492" t="s">
        <v>12</v>
      </c>
      <c r="O492" t="s">
        <v>272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1</v>
      </c>
      <c r="AB492">
        <v>1</v>
      </c>
      <c r="AC492">
        <v>1</v>
      </c>
      <c r="AD492">
        <v>1</v>
      </c>
      <c r="AE492">
        <v>1</v>
      </c>
      <c r="AF492">
        <v>1</v>
      </c>
      <c r="AG492" t="s">
        <v>271</v>
      </c>
      <c r="AH492" t="s">
        <v>12</v>
      </c>
      <c r="AI492" t="s">
        <v>272</v>
      </c>
      <c r="AJ492">
        <f>$H$492*$P$492</f>
        <v>0</v>
      </c>
      <c r="AK492">
        <f>$H$492*$Q$492</f>
        <v>0</v>
      </c>
      <c r="AL492">
        <f>$H$492*$R$492</f>
        <v>0</v>
      </c>
      <c r="AM492">
        <f>$H$492*$S$492</f>
        <v>0</v>
      </c>
      <c r="AN492">
        <f>$H$492*$T$492</f>
        <v>0</v>
      </c>
      <c r="AO492">
        <f>$H$492*$U$492</f>
        <v>0</v>
      </c>
      <c r="AP492">
        <f>$H$492*$V$492</f>
        <v>0</v>
      </c>
      <c r="AQ492">
        <f>$H$492*$W$492</f>
        <v>0</v>
      </c>
      <c r="AR492">
        <f>$H$492*$X$492</f>
        <v>0</v>
      </c>
      <c r="AS492">
        <f>$H$492*$Y$492</f>
        <v>0</v>
      </c>
      <c r="AT492">
        <f>$H$492*$Z$492</f>
        <v>0</v>
      </c>
      <c r="AU492">
        <f>$H$492*$AA$492</f>
        <v>487.96</v>
      </c>
      <c r="AV492">
        <f>$H$492*$AB$492</f>
        <v>487.96</v>
      </c>
      <c r="AW492">
        <f>$H$492*$AC$492</f>
        <v>487.96</v>
      </c>
      <c r="AX492">
        <f>$H$492*$AD$492</f>
        <v>487.96</v>
      </c>
      <c r="AY492">
        <f>$H$492*$AE$492</f>
        <v>487.96</v>
      </c>
      <c r="AZ492">
        <f>$H$492*$AF$492</f>
        <v>487.96</v>
      </c>
    </row>
    <row r="493" spans="1:52" x14ac:dyDescent="0.25">
      <c r="A493">
        <v>561</v>
      </c>
      <c r="B493" t="s">
        <v>271</v>
      </c>
      <c r="C493" t="s">
        <v>438</v>
      </c>
      <c r="D493">
        <v>7.87</v>
      </c>
      <c r="E493">
        <v>20.62</v>
      </c>
      <c r="F493" t="s">
        <v>329</v>
      </c>
      <c r="G493">
        <v>2.62</v>
      </c>
      <c r="H493">
        <v>24.74</v>
      </c>
      <c r="I493" t="s">
        <v>439</v>
      </c>
      <c r="J493" t="s">
        <v>440</v>
      </c>
      <c r="K493" t="s">
        <v>654</v>
      </c>
      <c r="L493" t="s">
        <v>179</v>
      </c>
      <c r="M493" t="s">
        <v>271</v>
      </c>
      <c r="N493" t="s">
        <v>12</v>
      </c>
      <c r="O493" t="s">
        <v>272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1</v>
      </c>
      <c r="AB493">
        <v>1</v>
      </c>
      <c r="AC493">
        <v>1</v>
      </c>
      <c r="AD493">
        <v>1</v>
      </c>
      <c r="AE493">
        <v>1</v>
      </c>
      <c r="AF493">
        <v>1</v>
      </c>
      <c r="AG493" t="s">
        <v>271</v>
      </c>
      <c r="AH493" t="s">
        <v>12</v>
      </c>
      <c r="AI493" t="s">
        <v>272</v>
      </c>
      <c r="AJ493">
        <f>$H$493*$P$493</f>
        <v>0</v>
      </c>
      <c r="AK493">
        <f>$H$493*$Q$493</f>
        <v>0</v>
      </c>
      <c r="AL493">
        <f>$H$493*$R$493</f>
        <v>0</v>
      </c>
      <c r="AM493">
        <f>$H$493*$S$493</f>
        <v>0</v>
      </c>
      <c r="AN493">
        <f>$H$493*$T$493</f>
        <v>0</v>
      </c>
      <c r="AO493">
        <f>$H$493*$U$493</f>
        <v>0</v>
      </c>
      <c r="AP493">
        <f>$H$493*$V$493</f>
        <v>0</v>
      </c>
      <c r="AQ493">
        <f>$H$493*$W$493</f>
        <v>0</v>
      </c>
      <c r="AR493">
        <f>$H$493*$X$493</f>
        <v>0</v>
      </c>
      <c r="AS493">
        <f>$H$493*$Y$493</f>
        <v>0</v>
      </c>
      <c r="AT493">
        <f>$H$493*$Z$493</f>
        <v>0</v>
      </c>
      <c r="AU493">
        <f>$H$493*$AA$493</f>
        <v>24.74</v>
      </c>
      <c r="AV493">
        <f>$H$493*$AB$493</f>
        <v>24.74</v>
      </c>
      <c r="AW493">
        <f>$H$493*$AC$493</f>
        <v>24.74</v>
      </c>
      <c r="AX493">
        <f>$H$493*$AD$493</f>
        <v>24.74</v>
      </c>
      <c r="AY493">
        <f>$H$493*$AE$493</f>
        <v>24.74</v>
      </c>
      <c r="AZ493">
        <f>$H$493*$AF$493</f>
        <v>24.74</v>
      </c>
    </row>
    <row r="494" spans="1:52" x14ac:dyDescent="0.25">
      <c r="A494">
        <v>562</v>
      </c>
      <c r="B494" t="s">
        <v>271</v>
      </c>
      <c r="C494" t="s">
        <v>441</v>
      </c>
      <c r="D494">
        <v>70.8</v>
      </c>
      <c r="E494">
        <v>152.93</v>
      </c>
      <c r="F494" t="s">
        <v>349</v>
      </c>
      <c r="G494">
        <v>2.16</v>
      </c>
      <c r="H494">
        <v>183.51</v>
      </c>
      <c r="I494" t="s">
        <v>439</v>
      </c>
      <c r="J494" t="s">
        <v>442</v>
      </c>
      <c r="K494" t="s">
        <v>655</v>
      </c>
      <c r="L494" t="s">
        <v>179</v>
      </c>
      <c r="M494" t="s">
        <v>271</v>
      </c>
      <c r="N494" t="s">
        <v>12</v>
      </c>
      <c r="O494" t="s">
        <v>272</v>
      </c>
      <c r="P494">
        <v>0</v>
      </c>
      <c r="Q494">
        <v>0</v>
      </c>
      <c r="R494">
        <v>0</v>
      </c>
      <c r="S494">
        <v>1</v>
      </c>
      <c r="T494">
        <v>1</v>
      </c>
      <c r="U494">
        <v>1</v>
      </c>
      <c r="V494">
        <v>1</v>
      </c>
      <c r="W494">
        <v>1</v>
      </c>
      <c r="X494">
        <v>1</v>
      </c>
      <c r="Y494">
        <v>1</v>
      </c>
      <c r="Z494">
        <v>1</v>
      </c>
      <c r="AA494">
        <v>1</v>
      </c>
      <c r="AB494">
        <v>1</v>
      </c>
      <c r="AC494">
        <v>1</v>
      </c>
      <c r="AD494">
        <v>1</v>
      </c>
      <c r="AE494">
        <v>1</v>
      </c>
      <c r="AF494">
        <v>1</v>
      </c>
      <c r="AG494" t="s">
        <v>271</v>
      </c>
      <c r="AH494" t="s">
        <v>12</v>
      </c>
      <c r="AI494" t="s">
        <v>272</v>
      </c>
      <c r="AJ494">
        <f>$H$494*$P$494</f>
        <v>0</v>
      </c>
      <c r="AK494">
        <f>$H$494*$Q$494</f>
        <v>0</v>
      </c>
      <c r="AL494">
        <f>$H$494*$R$494</f>
        <v>0</v>
      </c>
      <c r="AM494">
        <f>$H$494*$S$494</f>
        <v>183.51</v>
      </c>
      <c r="AN494">
        <f>$H$494*$T$494</f>
        <v>183.51</v>
      </c>
      <c r="AO494">
        <f>$H$494*$U$494</f>
        <v>183.51</v>
      </c>
      <c r="AP494">
        <f>$H$494*$V$494</f>
        <v>183.51</v>
      </c>
      <c r="AQ494">
        <f>$H$494*$W$494</f>
        <v>183.51</v>
      </c>
      <c r="AR494">
        <f>$H$494*$X$494</f>
        <v>183.51</v>
      </c>
      <c r="AS494">
        <f>$H$494*$Y$494</f>
        <v>183.51</v>
      </c>
      <c r="AT494">
        <f>$H$494*$Z$494</f>
        <v>183.51</v>
      </c>
      <c r="AU494">
        <f>$H$494*$AA$494</f>
        <v>183.51</v>
      </c>
      <c r="AV494">
        <f>$H$494*$AB$494</f>
        <v>183.51</v>
      </c>
      <c r="AW494">
        <f>$H$494*$AC$494</f>
        <v>183.51</v>
      </c>
      <c r="AX494">
        <f>$H$494*$AD$494</f>
        <v>183.51</v>
      </c>
      <c r="AY494">
        <f>$H$494*$AE$494</f>
        <v>183.51</v>
      </c>
      <c r="AZ494">
        <f>$H$494*$AF$494</f>
        <v>183.51</v>
      </c>
    </row>
    <row r="495" spans="1:52" x14ac:dyDescent="0.25">
      <c r="A495">
        <v>563</v>
      </c>
      <c r="B495" t="s">
        <v>271</v>
      </c>
      <c r="C495" t="s">
        <v>443</v>
      </c>
      <c r="D495">
        <v>70.8</v>
      </c>
      <c r="E495">
        <v>44.6</v>
      </c>
      <c r="F495" t="s">
        <v>349</v>
      </c>
      <c r="G495">
        <v>0.63</v>
      </c>
      <c r="H495">
        <v>53.52</v>
      </c>
      <c r="I495" t="s">
        <v>330</v>
      </c>
      <c r="J495" t="s">
        <v>444</v>
      </c>
      <c r="K495" t="s">
        <v>656</v>
      </c>
      <c r="L495" t="s">
        <v>179</v>
      </c>
      <c r="M495" t="s">
        <v>271</v>
      </c>
      <c r="N495" t="s">
        <v>12</v>
      </c>
      <c r="O495" t="s">
        <v>272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1</v>
      </c>
      <c r="AE495">
        <v>1</v>
      </c>
      <c r="AF495">
        <v>1</v>
      </c>
      <c r="AG495" t="s">
        <v>271</v>
      </c>
      <c r="AH495" t="s">
        <v>12</v>
      </c>
      <c r="AI495" t="s">
        <v>272</v>
      </c>
      <c r="AJ495">
        <f>$H$495*$P$495</f>
        <v>0</v>
      </c>
      <c r="AK495">
        <f>$H$495*$Q$495</f>
        <v>0</v>
      </c>
      <c r="AL495">
        <f>$H$495*$R$495</f>
        <v>0</v>
      </c>
      <c r="AM495">
        <f>$H$495*$S$495</f>
        <v>0</v>
      </c>
      <c r="AN495">
        <f>$H$495*$T$495</f>
        <v>0</v>
      </c>
      <c r="AO495">
        <f>$H$495*$U$495</f>
        <v>0</v>
      </c>
      <c r="AP495">
        <f>$H$495*$V$495</f>
        <v>0</v>
      </c>
      <c r="AQ495">
        <f>$H$495*$W$495</f>
        <v>0</v>
      </c>
      <c r="AR495">
        <f>$H$495*$X$495</f>
        <v>0</v>
      </c>
      <c r="AS495">
        <f>$H$495*$Y$495</f>
        <v>0</v>
      </c>
      <c r="AT495">
        <f>$H$495*$Z$495</f>
        <v>0</v>
      </c>
      <c r="AU495">
        <f>$H$495*$AA$495</f>
        <v>0</v>
      </c>
      <c r="AV495">
        <f>$H$495*$AB$495</f>
        <v>0</v>
      </c>
      <c r="AW495">
        <f>$H$495*$AC$495</f>
        <v>0</v>
      </c>
      <c r="AX495">
        <f>$H$495*$AD$495</f>
        <v>53.52</v>
      </c>
      <c r="AY495">
        <f>$H$495*$AE$495</f>
        <v>53.52</v>
      </c>
      <c r="AZ495">
        <f>$H$495*$AF$495</f>
        <v>53.52</v>
      </c>
    </row>
    <row r="496" spans="1:52" x14ac:dyDescent="0.25">
      <c r="A496">
        <v>564</v>
      </c>
      <c r="B496" t="s">
        <v>271</v>
      </c>
      <c r="C496" t="s">
        <v>362</v>
      </c>
      <c r="D496">
        <v>88.5</v>
      </c>
      <c r="E496">
        <v>86.73</v>
      </c>
      <c r="F496" t="s">
        <v>349</v>
      </c>
      <c r="G496">
        <v>0.98</v>
      </c>
      <c r="H496">
        <v>104.07</v>
      </c>
      <c r="I496" t="s">
        <v>330</v>
      </c>
      <c r="J496" t="s">
        <v>363</v>
      </c>
      <c r="K496" t="s">
        <v>617</v>
      </c>
      <c r="L496" t="s">
        <v>179</v>
      </c>
      <c r="M496" t="s">
        <v>271</v>
      </c>
      <c r="N496" t="s">
        <v>12</v>
      </c>
      <c r="O496" t="s">
        <v>272</v>
      </c>
      <c r="P496">
        <v>0</v>
      </c>
      <c r="Q496">
        <v>0</v>
      </c>
      <c r="R496">
        <v>0</v>
      </c>
      <c r="S496">
        <v>0</v>
      </c>
      <c r="T496">
        <v>1</v>
      </c>
      <c r="U496">
        <v>1</v>
      </c>
      <c r="V496">
        <v>1</v>
      </c>
      <c r="W496">
        <v>1</v>
      </c>
      <c r="X496">
        <v>1</v>
      </c>
      <c r="Y496">
        <v>1</v>
      </c>
      <c r="Z496">
        <v>1</v>
      </c>
      <c r="AA496">
        <v>1</v>
      </c>
      <c r="AB496">
        <v>1</v>
      </c>
      <c r="AC496">
        <v>1</v>
      </c>
      <c r="AD496">
        <v>1</v>
      </c>
      <c r="AE496">
        <v>1</v>
      </c>
      <c r="AF496">
        <v>1</v>
      </c>
      <c r="AG496" t="s">
        <v>271</v>
      </c>
      <c r="AH496" t="s">
        <v>12</v>
      </c>
      <c r="AI496" t="s">
        <v>272</v>
      </c>
      <c r="AJ496">
        <f>$H$496*$P$496</f>
        <v>0</v>
      </c>
      <c r="AK496">
        <f>$H$496*$Q$496</f>
        <v>0</v>
      </c>
      <c r="AL496">
        <f>$H$496*$R$496</f>
        <v>0</v>
      </c>
      <c r="AM496">
        <f>$H$496*$S$496</f>
        <v>0</v>
      </c>
      <c r="AN496">
        <f>$H$496*$T$496</f>
        <v>104.07</v>
      </c>
      <c r="AO496">
        <f>$H$496*$U$496</f>
        <v>104.07</v>
      </c>
      <c r="AP496">
        <f>$H$496*$V$496</f>
        <v>104.07</v>
      </c>
      <c r="AQ496">
        <f>$H$496*$W$496</f>
        <v>104.07</v>
      </c>
      <c r="AR496">
        <f>$H$496*$X$496</f>
        <v>104.07</v>
      </c>
      <c r="AS496">
        <f>$H$496*$Y$496</f>
        <v>104.07</v>
      </c>
      <c r="AT496">
        <f>$H$496*$Z$496</f>
        <v>104.07</v>
      </c>
      <c r="AU496">
        <f>$H$496*$AA$496</f>
        <v>104.07</v>
      </c>
      <c r="AV496">
        <f>$H$496*$AB$496</f>
        <v>104.07</v>
      </c>
      <c r="AW496">
        <f>$H$496*$AC$496</f>
        <v>104.07</v>
      </c>
      <c r="AX496">
        <f>$H$496*$AD$496</f>
        <v>104.07</v>
      </c>
      <c r="AY496">
        <f>$H$496*$AE$496</f>
        <v>104.07</v>
      </c>
      <c r="AZ496">
        <f>$H$496*$AF$496</f>
        <v>104.07</v>
      </c>
    </row>
    <row r="497" spans="1:52" x14ac:dyDescent="0.25">
      <c r="A497">
        <v>565</v>
      </c>
      <c r="B497" t="s">
        <v>271</v>
      </c>
      <c r="C497" t="s">
        <v>445</v>
      </c>
      <c r="D497">
        <v>17.7</v>
      </c>
      <c r="E497">
        <v>66.55</v>
      </c>
      <c r="F497" t="s">
        <v>349</v>
      </c>
      <c r="G497">
        <v>3.76</v>
      </c>
      <c r="H497">
        <v>79.87</v>
      </c>
      <c r="I497" t="s">
        <v>446</v>
      </c>
      <c r="J497" t="s">
        <v>420</v>
      </c>
      <c r="K497" t="s">
        <v>657</v>
      </c>
      <c r="L497" t="s">
        <v>179</v>
      </c>
      <c r="M497" t="s">
        <v>271</v>
      </c>
      <c r="N497" t="s">
        <v>12</v>
      </c>
      <c r="O497" t="s">
        <v>272</v>
      </c>
      <c r="P497">
        <v>0</v>
      </c>
      <c r="Q497">
        <v>0</v>
      </c>
      <c r="R497">
        <v>0</v>
      </c>
      <c r="S497">
        <v>0.25</v>
      </c>
      <c r="T497">
        <v>0.25</v>
      </c>
      <c r="U497">
        <v>0.25</v>
      </c>
      <c r="V497">
        <v>0.25</v>
      </c>
      <c r="W497">
        <v>0.25</v>
      </c>
      <c r="X497">
        <v>0.5</v>
      </c>
      <c r="Y497">
        <v>0.5</v>
      </c>
      <c r="Z497">
        <v>0.5</v>
      </c>
      <c r="AA497">
        <v>1</v>
      </c>
      <c r="AB497">
        <v>1</v>
      </c>
      <c r="AC497">
        <v>1</v>
      </c>
      <c r="AD497">
        <v>1</v>
      </c>
      <c r="AE497">
        <v>1</v>
      </c>
      <c r="AF497">
        <v>1</v>
      </c>
      <c r="AG497" t="s">
        <v>271</v>
      </c>
      <c r="AH497" t="s">
        <v>12</v>
      </c>
      <c r="AI497" t="s">
        <v>272</v>
      </c>
      <c r="AJ497">
        <f>$H$497*$P$497</f>
        <v>0</v>
      </c>
      <c r="AK497">
        <f>$H$497*$Q$497</f>
        <v>0</v>
      </c>
      <c r="AL497">
        <f>$H$497*$R$497</f>
        <v>0</v>
      </c>
      <c r="AM497">
        <f>$H$497*$S$497</f>
        <v>19.967500000000001</v>
      </c>
      <c r="AN497">
        <f>$H$497*$T$497</f>
        <v>19.967500000000001</v>
      </c>
      <c r="AO497">
        <f>$H$497*$U$497</f>
        <v>19.967500000000001</v>
      </c>
      <c r="AP497">
        <f>$H$497*$V$497</f>
        <v>19.967500000000001</v>
      </c>
      <c r="AQ497">
        <f>$H$497*$W$497</f>
        <v>19.967500000000001</v>
      </c>
      <c r="AR497">
        <f>$H$497*$X$497</f>
        <v>39.935000000000002</v>
      </c>
      <c r="AS497">
        <f>$H$497*$Y$497</f>
        <v>39.935000000000002</v>
      </c>
      <c r="AT497">
        <f>$H$497*$Z$497</f>
        <v>39.935000000000002</v>
      </c>
      <c r="AU497">
        <f>$H$497*$AA$497</f>
        <v>79.87</v>
      </c>
      <c r="AV497">
        <f>$H$497*$AB$497</f>
        <v>79.87</v>
      </c>
      <c r="AW497">
        <f>$H$497*$AC$497</f>
        <v>79.87</v>
      </c>
      <c r="AX497">
        <f>$H$497*$AD$497</f>
        <v>79.87</v>
      </c>
      <c r="AY497">
        <f>$H$497*$AE$497</f>
        <v>79.87</v>
      </c>
      <c r="AZ497">
        <f>$H$497*$AF$497</f>
        <v>79.87</v>
      </c>
    </row>
    <row r="498" spans="1:52" x14ac:dyDescent="0.25">
      <c r="A498">
        <v>566</v>
      </c>
      <c r="B498" t="s">
        <v>271</v>
      </c>
      <c r="C498" t="s">
        <v>364</v>
      </c>
      <c r="D498">
        <v>177</v>
      </c>
      <c r="E498">
        <v>594.72</v>
      </c>
      <c r="F498" t="s">
        <v>349</v>
      </c>
      <c r="G498">
        <v>3.36</v>
      </c>
      <c r="H498">
        <v>713.66</v>
      </c>
      <c r="I498" t="s">
        <v>365</v>
      </c>
      <c r="J498" t="s">
        <v>366</v>
      </c>
      <c r="K498" t="s">
        <v>618</v>
      </c>
      <c r="L498" t="s">
        <v>179</v>
      </c>
      <c r="M498" t="s">
        <v>271</v>
      </c>
      <c r="N498" t="s">
        <v>12</v>
      </c>
      <c r="O498" t="s">
        <v>272</v>
      </c>
      <c r="P498">
        <v>0</v>
      </c>
      <c r="Q498">
        <v>0</v>
      </c>
      <c r="R498">
        <v>0</v>
      </c>
      <c r="S498">
        <v>0.25</v>
      </c>
      <c r="T498">
        <v>0.25</v>
      </c>
      <c r="U498">
        <v>0.25</v>
      </c>
      <c r="V498">
        <v>0.25</v>
      </c>
      <c r="W498">
        <v>0.5</v>
      </c>
      <c r="X498">
        <v>0.5</v>
      </c>
      <c r="Y498">
        <v>0.5</v>
      </c>
      <c r="Z498">
        <v>0.5</v>
      </c>
      <c r="AA498">
        <v>1</v>
      </c>
      <c r="AB498">
        <v>1</v>
      </c>
      <c r="AC498">
        <v>1</v>
      </c>
      <c r="AD498">
        <v>1</v>
      </c>
      <c r="AE498">
        <v>1</v>
      </c>
      <c r="AF498">
        <v>1</v>
      </c>
      <c r="AG498" t="s">
        <v>271</v>
      </c>
      <c r="AH498" t="s">
        <v>12</v>
      </c>
      <c r="AI498" t="s">
        <v>272</v>
      </c>
      <c r="AJ498">
        <f>$H$498*$P$498</f>
        <v>0</v>
      </c>
      <c r="AK498">
        <f>$H$498*$Q$498</f>
        <v>0</v>
      </c>
      <c r="AL498">
        <f>$H$498*$R$498</f>
        <v>0</v>
      </c>
      <c r="AM498">
        <f>$H$498*$S$498</f>
        <v>178.41499999999999</v>
      </c>
      <c r="AN498">
        <f>$H$498*$T$498</f>
        <v>178.41499999999999</v>
      </c>
      <c r="AO498">
        <f>$H$498*$U$498</f>
        <v>178.41499999999999</v>
      </c>
      <c r="AP498">
        <f>$H$498*$V$498</f>
        <v>178.41499999999999</v>
      </c>
      <c r="AQ498">
        <f>$H$498*$W$498</f>
        <v>356.83</v>
      </c>
      <c r="AR498">
        <f>$H$498*$X$498</f>
        <v>356.83</v>
      </c>
      <c r="AS498">
        <f>$H$498*$Y$498</f>
        <v>356.83</v>
      </c>
      <c r="AT498">
        <f>$H$498*$Z$498</f>
        <v>356.83</v>
      </c>
      <c r="AU498">
        <f>$H$498*$AA$498</f>
        <v>713.66</v>
      </c>
      <c r="AV498">
        <f>$H$498*$AB$498</f>
        <v>713.66</v>
      </c>
      <c r="AW498">
        <f>$H$498*$AC$498</f>
        <v>713.66</v>
      </c>
      <c r="AX498">
        <f>$H$498*$AD$498</f>
        <v>713.66</v>
      </c>
      <c r="AY498">
        <f>$H$498*$AE$498</f>
        <v>713.66</v>
      </c>
      <c r="AZ498">
        <f>$H$498*$AF$498</f>
        <v>713.66</v>
      </c>
    </row>
    <row r="499" spans="1:52" x14ac:dyDescent="0.25">
      <c r="A499">
        <v>567</v>
      </c>
      <c r="B499" t="s">
        <v>271</v>
      </c>
      <c r="C499" t="s">
        <v>455</v>
      </c>
      <c r="D499">
        <v>19.670000000000002</v>
      </c>
      <c r="E499">
        <v>29.7</v>
      </c>
      <c r="F499" t="s">
        <v>329</v>
      </c>
      <c r="G499">
        <v>1.51</v>
      </c>
      <c r="H499">
        <v>35.64</v>
      </c>
      <c r="I499" t="s">
        <v>330</v>
      </c>
      <c r="J499" t="s">
        <v>456</v>
      </c>
      <c r="K499" t="s">
        <v>662</v>
      </c>
      <c r="L499" t="s">
        <v>179</v>
      </c>
      <c r="M499" t="s">
        <v>271</v>
      </c>
      <c r="N499" t="s">
        <v>12</v>
      </c>
      <c r="O499" t="s">
        <v>272</v>
      </c>
      <c r="P499">
        <v>0</v>
      </c>
      <c r="Q499">
        <v>0</v>
      </c>
      <c r="R499">
        <v>0</v>
      </c>
      <c r="S499">
        <v>1</v>
      </c>
      <c r="T499">
        <v>1</v>
      </c>
      <c r="U499">
        <v>1</v>
      </c>
      <c r="V499">
        <v>1</v>
      </c>
      <c r="W499">
        <v>1</v>
      </c>
      <c r="X499">
        <v>1</v>
      </c>
      <c r="Y499">
        <v>1</v>
      </c>
      <c r="Z499">
        <v>1</v>
      </c>
      <c r="AA499">
        <v>1</v>
      </c>
      <c r="AB499">
        <v>1</v>
      </c>
      <c r="AC499">
        <v>1</v>
      </c>
      <c r="AD499">
        <v>1</v>
      </c>
      <c r="AE499">
        <v>1</v>
      </c>
      <c r="AF499">
        <v>1</v>
      </c>
      <c r="AG499" t="s">
        <v>271</v>
      </c>
      <c r="AH499" t="s">
        <v>12</v>
      </c>
      <c r="AI499" t="s">
        <v>272</v>
      </c>
      <c r="AJ499">
        <f>$H$499*$P$499</f>
        <v>0</v>
      </c>
      <c r="AK499">
        <f>$H$499*$Q$499</f>
        <v>0</v>
      </c>
      <c r="AL499">
        <f>$H$499*$R$499</f>
        <v>0</v>
      </c>
      <c r="AM499">
        <f>$H$499*$S$499</f>
        <v>35.64</v>
      </c>
      <c r="AN499">
        <f>$H$499*$T$499</f>
        <v>35.64</v>
      </c>
      <c r="AO499">
        <f>$H$499*$U$499</f>
        <v>35.64</v>
      </c>
      <c r="AP499">
        <f>$H$499*$V$499</f>
        <v>35.64</v>
      </c>
      <c r="AQ499">
        <f>$H$499*$W$499</f>
        <v>35.64</v>
      </c>
      <c r="AR499">
        <f>$H$499*$X$499</f>
        <v>35.64</v>
      </c>
      <c r="AS499">
        <f>$H$499*$Y$499</f>
        <v>35.64</v>
      </c>
      <c r="AT499">
        <f>$H$499*$Z$499</f>
        <v>35.64</v>
      </c>
      <c r="AU499">
        <f>$H$499*$AA$499</f>
        <v>35.64</v>
      </c>
      <c r="AV499">
        <f>$H$499*$AB$499</f>
        <v>35.64</v>
      </c>
      <c r="AW499">
        <f>$H$499*$AC$499</f>
        <v>35.64</v>
      </c>
      <c r="AX499">
        <f>$H$499*$AD$499</f>
        <v>35.64</v>
      </c>
      <c r="AY499">
        <f>$H$499*$AE$499</f>
        <v>35.64</v>
      </c>
      <c r="AZ499">
        <f>$H$499*$AF$499</f>
        <v>35.64</v>
      </c>
    </row>
    <row r="500" spans="1:52" x14ac:dyDescent="0.25">
      <c r="A500">
        <v>568</v>
      </c>
      <c r="B500" t="s">
        <v>271</v>
      </c>
      <c r="C500" t="s">
        <v>457</v>
      </c>
      <c r="D500">
        <v>19.670000000000002</v>
      </c>
      <c r="E500">
        <v>111.73</v>
      </c>
      <c r="F500" t="s">
        <v>329</v>
      </c>
      <c r="G500">
        <v>5.68</v>
      </c>
      <c r="H500">
        <v>134.07</v>
      </c>
      <c r="I500" t="s">
        <v>333</v>
      </c>
      <c r="J500" t="s">
        <v>458</v>
      </c>
      <c r="K500" t="s">
        <v>663</v>
      </c>
      <c r="L500" t="s">
        <v>179</v>
      </c>
      <c r="M500" t="s">
        <v>271</v>
      </c>
      <c r="N500" t="s">
        <v>12</v>
      </c>
      <c r="O500" t="s">
        <v>272</v>
      </c>
      <c r="P500">
        <v>0</v>
      </c>
      <c r="Q500">
        <v>0</v>
      </c>
      <c r="R500">
        <v>0</v>
      </c>
      <c r="S500">
        <v>1</v>
      </c>
      <c r="T500">
        <v>1</v>
      </c>
      <c r="U500">
        <v>1</v>
      </c>
      <c r="V500">
        <v>1</v>
      </c>
      <c r="W500">
        <v>1</v>
      </c>
      <c r="X500">
        <v>1</v>
      </c>
      <c r="Y500">
        <v>1</v>
      </c>
      <c r="Z500">
        <v>1</v>
      </c>
      <c r="AA500">
        <v>1</v>
      </c>
      <c r="AB500">
        <v>1</v>
      </c>
      <c r="AC500">
        <v>1</v>
      </c>
      <c r="AD500">
        <v>1</v>
      </c>
      <c r="AE500">
        <v>1</v>
      </c>
      <c r="AF500">
        <v>1</v>
      </c>
      <c r="AG500" t="s">
        <v>271</v>
      </c>
      <c r="AH500" t="s">
        <v>12</v>
      </c>
      <c r="AI500" t="s">
        <v>272</v>
      </c>
      <c r="AJ500">
        <f>$H$500*$P$500</f>
        <v>0</v>
      </c>
      <c r="AK500">
        <f>$H$500*$Q$500</f>
        <v>0</v>
      </c>
      <c r="AL500">
        <f>$H$500*$R$500</f>
        <v>0</v>
      </c>
      <c r="AM500">
        <f>$H$500*$S$500</f>
        <v>134.07</v>
      </c>
      <c r="AN500">
        <f>$H$500*$T$500</f>
        <v>134.07</v>
      </c>
      <c r="AO500">
        <f>$H$500*$U$500</f>
        <v>134.07</v>
      </c>
      <c r="AP500">
        <f>$H$500*$V$500</f>
        <v>134.07</v>
      </c>
      <c r="AQ500">
        <f>$H$500*$W$500</f>
        <v>134.07</v>
      </c>
      <c r="AR500">
        <f>$H$500*$X$500</f>
        <v>134.07</v>
      </c>
      <c r="AS500">
        <f>$H$500*$Y$500</f>
        <v>134.07</v>
      </c>
      <c r="AT500">
        <f>$H$500*$Z$500</f>
        <v>134.07</v>
      </c>
      <c r="AU500">
        <f>$H$500*$AA$500</f>
        <v>134.07</v>
      </c>
      <c r="AV500">
        <f>$H$500*$AB$500</f>
        <v>134.07</v>
      </c>
      <c r="AW500">
        <f>$H$500*$AC$500</f>
        <v>134.07</v>
      </c>
      <c r="AX500">
        <f>$H$500*$AD$500</f>
        <v>134.07</v>
      </c>
      <c r="AY500">
        <f>$H$500*$AE$500</f>
        <v>134.07</v>
      </c>
      <c r="AZ500">
        <f>$H$500*$AF$500</f>
        <v>134.07</v>
      </c>
    </row>
    <row r="501" spans="1:52" x14ac:dyDescent="0.25">
      <c r="A501">
        <v>569</v>
      </c>
      <c r="B501" t="s">
        <v>271</v>
      </c>
      <c r="C501" t="s">
        <v>364</v>
      </c>
      <c r="D501">
        <v>24.17</v>
      </c>
      <c r="E501">
        <v>81.209999999999994</v>
      </c>
      <c r="F501" t="s">
        <v>349</v>
      </c>
      <c r="G501">
        <v>3.36</v>
      </c>
      <c r="H501">
        <v>97.45</v>
      </c>
      <c r="I501" t="s">
        <v>365</v>
      </c>
      <c r="J501" t="s">
        <v>366</v>
      </c>
      <c r="K501" t="s">
        <v>618</v>
      </c>
      <c r="L501" t="s">
        <v>179</v>
      </c>
      <c r="M501" t="s">
        <v>271</v>
      </c>
      <c r="N501" t="s">
        <v>12</v>
      </c>
      <c r="O501" t="s">
        <v>272</v>
      </c>
      <c r="P501">
        <v>0</v>
      </c>
      <c r="Q501">
        <v>0</v>
      </c>
      <c r="R501">
        <v>0</v>
      </c>
      <c r="S501">
        <v>0.25</v>
      </c>
      <c r="T501">
        <v>0.25</v>
      </c>
      <c r="U501">
        <v>0.25</v>
      </c>
      <c r="V501">
        <v>0.25</v>
      </c>
      <c r="W501">
        <v>0.5</v>
      </c>
      <c r="X501">
        <v>0.5</v>
      </c>
      <c r="Y501">
        <v>0.5</v>
      </c>
      <c r="Z501">
        <v>0.5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 t="s">
        <v>271</v>
      </c>
      <c r="AH501" t="s">
        <v>12</v>
      </c>
      <c r="AI501" t="s">
        <v>272</v>
      </c>
      <c r="AJ501">
        <f>$H$501*$P$501</f>
        <v>0</v>
      </c>
      <c r="AK501">
        <f>$H$501*$Q$501</f>
        <v>0</v>
      </c>
      <c r="AL501">
        <f>$H$501*$R$501</f>
        <v>0</v>
      </c>
      <c r="AM501">
        <f>$H$501*$S$501</f>
        <v>24.362500000000001</v>
      </c>
      <c r="AN501">
        <f>$H$501*$T$501</f>
        <v>24.362500000000001</v>
      </c>
      <c r="AO501">
        <f>$H$501*$U$501</f>
        <v>24.362500000000001</v>
      </c>
      <c r="AP501">
        <f>$H$501*$V$501</f>
        <v>24.362500000000001</v>
      </c>
      <c r="AQ501">
        <f>$H$501*$W$501</f>
        <v>48.725000000000001</v>
      </c>
      <c r="AR501">
        <f>$H$501*$X$501</f>
        <v>48.725000000000001</v>
      </c>
      <c r="AS501">
        <f>$H$501*$Y$501</f>
        <v>48.725000000000001</v>
      </c>
      <c r="AT501">
        <f>$H$501*$Z$501</f>
        <v>48.725000000000001</v>
      </c>
      <c r="AU501">
        <f>$H$501*$AA$501</f>
        <v>97.45</v>
      </c>
      <c r="AV501">
        <f>$H$501*$AB$501</f>
        <v>97.45</v>
      </c>
      <c r="AW501">
        <f>$H$501*$AC$501</f>
        <v>97.45</v>
      </c>
      <c r="AX501">
        <f>$H$501*$AD$501</f>
        <v>97.45</v>
      </c>
      <c r="AY501">
        <f>$H$501*$AE$501</f>
        <v>97.45</v>
      </c>
      <c r="AZ501">
        <f>$H$501*$AF$501</f>
        <v>97.45</v>
      </c>
    </row>
    <row r="502" spans="1:52" x14ac:dyDescent="0.25">
      <c r="A502">
        <v>570</v>
      </c>
      <c r="B502" t="s">
        <v>271</v>
      </c>
      <c r="C502" t="s">
        <v>443</v>
      </c>
      <c r="D502">
        <v>24.17</v>
      </c>
      <c r="E502">
        <v>15.23</v>
      </c>
      <c r="F502" t="s">
        <v>349</v>
      </c>
      <c r="G502">
        <v>0.63</v>
      </c>
      <c r="H502">
        <v>18.27</v>
      </c>
      <c r="I502" t="s">
        <v>330</v>
      </c>
      <c r="J502" t="s">
        <v>444</v>
      </c>
      <c r="K502" t="s">
        <v>656</v>
      </c>
      <c r="L502" t="s">
        <v>179</v>
      </c>
      <c r="M502" t="s">
        <v>271</v>
      </c>
      <c r="N502" t="s">
        <v>12</v>
      </c>
      <c r="O502" t="s">
        <v>272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1</v>
      </c>
      <c r="AE502">
        <v>1</v>
      </c>
      <c r="AF502">
        <v>1</v>
      </c>
      <c r="AG502" t="s">
        <v>271</v>
      </c>
      <c r="AH502" t="s">
        <v>12</v>
      </c>
      <c r="AI502" t="s">
        <v>272</v>
      </c>
      <c r="AJ502">
        <f>$H$502*$P$502</f>
        <v>0</v>
      </c>
      <c r="AK502">
        <f>$H$502*$Q$502</f>
        <v>0</v>
      </c>
      <c r="AL502">
        <f>$H$502*$R$502</f>
        <v>0</v>
      </c>
      <c r="AM502">
        <f>$H$502*$S$502</f>
        <v>0</v>
      </c>
      <c r="AN502">
        <f>$H$502*$T$502</f>
        <v>0</v>
      </c>
      <c r="AO502">
        <f>$H$502*$U$502</f>
        <v>0</v>
      </c>
      <c r="AP502">
        <f>$H$502*$V$502</f>
        <v>0</v>
      </c>
      <c r="AQ502">
        <f>$H$502*$W$502</f>
        <v>0</v>
      </c>
      <c r="AR502">
        <f>$H$502*$X$502</f>
        <v>0</v>
      </c>
      <c r="AS502">
        <f>$H$502*$Y$502</f>
        <v>0</v>
      </c>
      <c r="AT502">
        <f>$H$502*$Z$502</f>
        <v>0</v>
      </c>
      <c r="AU502">
        <f>$H$502*$AA$502</f>
        <v>0</v>
      </c>
      <c r="AV502">
        <f>$H$502*$AB$502</f>
        <v>0</v>
      </c>
      <c r="AW502">
        <f>$H$502*$AC$502</f>
        <v>0</v>
      </c>
      <c r="AX502">
        <f>$H$502*$AD$502</f>
        <v>18.27</v>
      </c>
      <c r="AY502">
        <f>$H$502*$AE$502</f>
        <v>18.27</v>
      </c>
      <c r="AZ502">
        <f>$H$502*$AF$502</f>
        <v>18.27</v>
      </c>
    </row>
    <row r="503" spans="1:52" x14ac:dyDescent="0.25">
      <c r="A503">
        <v>571</v>
      </c>
      <c r="B503" t="s">
        <v>271</v>
      </c>
      <c r="C503" t="s">
        <v>459</v>
      </c>
      <c r="D503">
        <v>24.17</v>
      </c>
      <c r="E503">
        <v>16.68</v>
      </c>
      <c r="F503" t="s">
        <v>349</v>
      </c>
      <c r="G503">
        <v>0.69</v>
      </c>
      <c r="H503">
        <v>20.02</v>
      </c>
      <c r="I503" t="s">
        <v>330</v>
      </c>
      <c r="J503" t="s">
        <v>460</v>
      </c>
      <c r="K503" t="s">
        <v>664</v>
      </c>
      <c r="L503" t="s">
        <v>179</v>
      </c>
      <c r="M503" t="s">
        <v>271</v>
      </c>
      <c r="N503" t="s">
        <v>12</v>
      </c>
      <c r="O503" t="s">
        <v>272</v>
      </c>
      <c r="P503">
        <v>0</v>
      </c>
      <c r="Q503">
        <v>0</v>
      </c>
      <c r="R503">
        <v>0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 t="s">
        <v>271</v>
      </c>
      <c r="AH503" t="s">
        <v>12</v>
      </c>
      <c r="AI503" t="s">
        <v>272</v>
      </c>
      <c r="AJ503">
        <f>$H$503*$P$503</f>
        <v>0</v>
      </c>
      <c r="AK503">
        <f>$H$503*$Q$503</f>
        <v>0</v>
      </c>
      <c r="AL503">
        <f>$H$503*$R$503</f>
        <v>0</v>
      </c>
      <c r="AM503">
        <f>$H$503*$S$503</f>
        <v>20.02</v>
      </c>
      <c r="AN503">
        <f>$H$503*$T$503</f>
        <v>20.02</v>
      </c>
      <c r="AO503">
        <f>$H$503*$U$503</f>
        <v>20.02</v>
      </c>
      <c r="AP503">
        <f>$H$503*$V$503</f>
        <v>20.02</v>
      </c>
      <c r="AQ503">
        <f>$H$503*$W$503</f>
        <v>20.02</v>
      </c>
      <c r="AR503">
        <f>$H$503*$X$503</f>
        <v>20.02</v>
      </c>
      <c r="AS503">
        <f>$H$503*$Y$503</f>
        <v>20.02</v>
      </c>
      <c r="AT503">
        <f>$H$503*$Z$503</f>
        <v>20.02</v>
      </c>
      <c r="AU503">
        <f>$H$503*$AA$503</f>
        <v>20.02</v>
      </c>
      <c r="AV503">
        <f>$H$503*$AB$503</f>
        <v>20.02</v>
      </c>
      <c r="AW503">
        <f>$H$503*$AC$503</f>
        <v>20.02</v>
      </c>
      <c r="AX503">
        <f>$H$503*$AD$503</f>
        <v>20.02</v>
      </c>
      <c r="AY503">
        <f>$H$503*$AE$503</f>
        <v>20.02</v>
      </c>
      <c r="AZ503">
        <f>$H$503*$AF$503</f>
        <v>20.02</v>
      </c>
    </row>
    <row r="504" spans="1:52" x14ac:dyDescent="0.25">
      <c r="A504">
        <v>572</v>
      </c>
      <c r="B504" t="s">
        <v>271</v>
      </c>
      <c r="C504" t="s">
        <v>461</v>
      </c>
      <c r="D504">
        <v>4.83</v>
      </c>
      <c r="E504">
        <v>83.8</v>
      </c>
      <c r="F504" t="s">
        <v>349</v>
      </c>
      <c r="G504">
        <v>17.350000000000001</v>
      </c>
      <c r="H504">
        <v>100.56</v>
      </c>
      <c r="I504" t="s">
        <v>462</v>
      </c>
      <c r="J504" t="s">
        <v>463</v>
      </c>
      <c r="K504" t="s">
        <v>665</v>
      </c>
      <c r="L504" t="s">
        <v>179</v>
      </c>
      <c r="M504" t="s">
        <v>271</v>
      </c>
      <c r="N504" t="s">
        <v>12</v>
      </c>
      <c r="O504" t="s">
        <v>272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 t="s">
        <v>271</v>
      </c>
      <c r="AH504" t="s">
        <v>12</v>
      </c>
      <c r="AI504" t="s">
        <v>272</v>
      </c>
      <c r="AJ504">
        <f>$H$504*$P$504</f>
        <v>0</v>
      </c>
      <c r="AK504">
        <f>$H$504*$Q$504</f>
        <v>0</v>
      </c>
      <c r="AL504">
        <f>$H$504*$R$504</f>
        <v>0</v>
      </c>
      <c r="AM504">
        <f>$H$504*$S$504</f>
        <v>0</v>
      </c>
      <c r="AN504">
        <f>$H$504*$T$504</f>
        <v>0</v>
      </c>
      <c r="AO504">
        <f>$H$504*$U$504</f>
        <v>0</v>
      </c>
      <c r="AP504">
        <f>$H$504*$V$504</f>
        <v>0</v>
      </c>
      <c r="AQ504">
        <f>$H$504*$W$504</f>
        <v>0</v>
      </c>
      <c r="AR504">
        <f>$H$504*$X$504</f>
        <v>0</v>
      </c>
      <c r="AS504">
        <f>$H$504*$Y$504</f>
        <v>100.56</v>
      </c>
      <c r="AT504">
        <f>$H$504*$Z$504</f>
        <v>100.56</v>
      </c>
      <c r="AU504">
        <f>$H$504*$AA$504</f>
        <v>100.56</v>
      </c>
      <c r="AV504">
        <f>$H$504*$AB$504</f>
        <v>100.56</v>
      </c>
      <c r="AW504">
        <f>$H$504*$AC$504</f>
        <v>100.56</v>
      </c>
      <c r="AX504">
        <f>$H$504*$AD$504</f>
        <v>100.56</v>
      </c>
      <c r="AY504">
        <f>$H$504*$AE$504</f>
        <v>100.56</v>
      </c>
      <c r="AZ504">
        <f>$H$504*$AF$504</f>
        <v>100.56</v>
      </c>
    </row>
    <row r="505" spans="1:52" x14ac:dyDescent="0.25">
      <c r="A505">
        <v>573</v>
      </c>
      <c r="B505" t="s">
        <v>271</v>
      </c>
      <c r="C505" t="s">
        <v>464</v>
      </c>
      <c r="D505">
        <v>9.67</v>
      </c>
      <c r="E505">
        <v>34.619999999999997</v>
      </c>
      <c r="F505" t="s">
        <v>349</v>
      </c>
      <c r="G505">
        <v>3.58</v>
      </c>
      <c r="H505">
        <v>41.54</v>
      </c>
      <c r="I505" t="s">
        <v>465</v>
      </c>
      <c r="J505" t="s">
        <v>466</v>
      </c>
      <c r="K505" t="s">
        <v>666</v>
      </c>
      <c r="L505" t="s">
        <v>179</v>
      </c>
      <c r="M505" t="s">
        <v>271</v>
      </c>
      <c r="N505" t="s">
        <v>12</v>
      </c>
      <c r="O505" t="s">
        <v>272</v>
      </c>
      <c r="P505">
        <v>0</v>
      </c>
      <c r="Q505">
        <v>0</v>
      </c>
      <c r="R505">
        <v>0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 t="s">
        <v>271</v>
      </c>
      <c r="AH505" t="s">
        <v>12</v>
      </c>
      <c r="AI505" t="s">
        <v>272</v>
      </c>
      <c r="AJ505">
        <f>$H$505*$P$505</f>
        <v>0</v>
      </c>
      <c r="AK505">
        <f>$H$505*$Q$505</f>
        <v>0</v>
      </c>
      <c r="AL505">
        <f>$H$505*$R$505</f>
        <v>0</v>
      </c>
      <c r="AM505">
        <f>$H$505*$S$505</f>
        <v>41.54</v>
      </c>
      <c r="AN505">
        <f>$H$505*$T$505</f>
        <v>41.54</v>
      </c>
      <c r="AO505">
        <f>$H$505*$U$505</f>
        <v>41.54</v>
      </c>
      <c r="AP505">
        <f>$H$505*$V$505</f>
        <v>41.54</v>
      </c>
      <c r="AQ505">
        <f>$H$505*$W$505</f>
        <v>41.54</v>
      </c>
      <c r="AR505">
        <f>$H$505*$X$505</f>
        <v>41.54</v>
      </c>
      <c r="AS505">
        <f>$H$505*$Y$505</f>
        <v>41.54</v>
      </c>
      <c r="AT505">
        <f>$H$505*$Z$505</f>
        <v>41.54</v>
      </c>
      <c r="AU505">
        <f>$H$505*$AA$505</f>
        <v>41.54</v>
      </c>
      <c r="AV505">
        <f>$H$505*$AB$505</f>
        <v>41.54</v>
      </c>
      <c r="AW505">
        <f>$H$505*$AC$505</f>
        <v>41.54</v>
      </c>
      <c r="AX505">
        <f>$H$505*$AD$505</f>
        <v>41.54</v>
      </c>
      <c r="AY505">
        <f>$H$505*$AE$505</f>
        <v>41.54</v>
      </c>
      <c r="AZ505">
        <f>$H$505*$AF$505</f>
        <v>41.54</v>
      </c>
    </row>
    <row r="506" spans="1:52" x14ac:dyDescent="0.25">
      <c r="A506">
        <v>574</v>
      </c>
      <c r="B506" t="s">
        <v>271</v>
      </c>
      <c r="C506" t="s">
        <v>467</v>
      </c>
      <c r="D506">
        <v>9.67</v>
      </c>
      <c r="E506">
        <v>95.25</v>
      </c>
      <c r="F506" t="s">
        <v>349</v>
      </c>
      <c r="G506">
        <v>9.85</v>
      </c>
      <c r="H506">
        <v>114.31</v>
      </c>
      <c r="I506" t="s">
        <v>465</v>
      </c>
      <c r="J506" t="s">
        <v>372</v>
      </c>
      <c r="K506" t="s">
        <v>667</v>
      </c>
      <c r="L506" t="s">
        <v>179</v>
      </c>
      <c r="M506" t="s">
        <v>271</v>
      </c>
      <c r="N506" t="s">
        <v>12</v>
      </c>
      <c r="O506" t="s">
        <v>272</v>
      </c>
      <c r="P506">
        <v>0</v>
      </c>
      <c r="Q506">
        <v>0</v>
      </c>
      <c r="R506">
        <v>0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 t="s">
        <v>271</v>
      </c>
      <c r="AH506" t="s">
        <v>12</v>
      </c>
      <c r="AI506" t="s">
        <v>272</v>
      </c>
      <c r="AJ506">
        <f>$H$506*$P$506</f>
        <v>0</v>
      </c>
      <c r="AK506">
        <f>$H$506*$Q$506</f>
        <v>0</v>
      </c>
      <c r="AL506">
        <f>$H$506*$R$506</f>
        <v>0</v>
      </c>
      <c r="AM506">
        <f>$H$506*$S$506</f>
        <v>114.31</v>
      </c>
      <c r="AN506">
        <f>$H$506*$T$506</f>
        <v>114.31</v>
      </c>
      <c r="AO506">
        <f>$H$506*$U$506</f>
        <v>114.31</v>
      </c>
      <c r="AP506">
        <f>$H$506*$V$506</f>
        <v>114.31</v>
      </c>
      <c r="AQ506">
        <f>$H$506*$W$506</f>
        <v>114.31</v>
      </c>
      <c r="AR506">
        <f>$H$506*$X$506</f>
        <v>114.31</v>
      </c>
      <c r="AS506">
        <f>$H$506*$Y$506</f>
        <v>114.31</v>
      </c>
      <c r="AT506">
        <f>$H$506*$Z$506</f>
        <v>114.31</v>
      </c>
      <c r="AU506">
        <f>$H$506*$AA$506</f>
        <v>114.31</v>
      </c>
      <c r="AV506">
        <f>$H$506*$AB$506</f>
        <v>114.31</v>
      </c>
      <c r="AW506">
        <f>$H$506*$AC$506</f>
        <v>114.31</v>
      </c>
      <c r="AX506">
        <f>$H$506*$AD$506</f>
        <v>114.31</v>
      </c>
      <c r="AY506">
        <f>$H$506*$AE$506</f>
        <v>114.31</v>
      </c>
      <c r="AZ506">
        <f>$H$506*$AF$506</f>
        <v>114.31</v>
      </c>
    </row>
    <row r="507" spans="1:52" x14ac:dyDescent="0.25">
      <c r="A507">
        <v>575</v>
      </c>
      <c r="B507" t="s">
        <v>271</v>
      </c>
      <c r="C507" t="s">
        <v>468</v>
      </c>
      <c r="D507">
        <v>11.12</v>
      </c>
      <c r="E507">
        <v>11.34</v>
      </c>
      <c r="F507" t="s">
        <v>349</v>
      </c>
      <c r="G507">
        <v>1.02</v>
      </c>
      <c r="H507">
        <v>13.6</v>
      </c>
      <c r="I507" t="s">
        <v>469</v>
      </c>
      <c r="J507" t="s">
        <v>470</v>
      </c>
      <c r="K507" t="s">
        <v>668</v>
      </c>
      <c r="L507" t="s">
        <v>179</v>
      </c>
      <c r="M507" t="s">
        <v>271</v>
      </c>
      <c r="N507" t="s">
        <v>12</v>
      </c>
      <c r="O507" t="s">
        <v>272</v>
      </c>
      <c r="P507">
        <v>0</v>
      </c>
      <c r="Q507">
        <v>0</v>
      </c>
      <c r="R507">
        <v>0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 t="s">
        <v>271</v>
      </c>
      <c r="AH507" t="s">
        <v>12</v>
      </c>
      <c r="AI507" t="s">
        <v>272</v>
      </c>
      <c r="AJ507">
        <f>$H$507*$P$507</f>
        <v>0</v>
      </c>
      <c r="AK507">
        <f>$H$507*$Q$507</f>
        <v>0</v>
      </c>
      <c r="AL507">
        <f>$H$507*$R$507</f>
        <v>0</v>
      </c>
      <c r="AM507">
        <f>$H$507*$S$507</f>
        <v>13.6</v>
      </c>
      <c r="AN507">
        <f>$H$507*$T$507</f>
        <v>13.6</v>
      </c>
      <c r="AO507">
        <f>$H$507*$U$507</f>
        <v>13.6</v>
      </c>
      <c r="AP507">
        <f>$H$507*$V$507</f>
        <v>13.6</v>
      </c>
      <c r="AQ507">
        <f>$H$507*$W$507</f>
        <v>13.6</v>
      </c>
      <c r="AR507">
        <f>$H$507*$X$507</f>
        <v>13.6</v>
      </c>
      <c r="AS507">
        <f>$H$507*$Y$507</f>
        <v>13.6</v>
      </c>
      <c r="AT507">
        <f>$H$507*$Z$507</f>
        <v>13.6</v>
      </c>
      <c r="AU507">
        <f>$H$507*$AA$507</f>
        <v>13.6</v>
      </c>
      <c r="AV507">
        <f>$H$507*$AB$507</f>
        <v>13.6</v>
      </c>
      <c r="AW507">
        <f>$H$507*$AC$507</f>
        <v>13.6</v>
      </c>
      <c r="AX507">
        <f>$H$507*$AD$507</f>
        <v>13.6</v>
      </c>
      <c r="AY507">
        <f>$H$507*$AE$507</f>
        <v>13.6</v>
      </c>
      <c r="AZ507">
        <f>$H$507*$AF$507</f>
        <v>13.6</v>
      </c>
    </row>
    <row r="508" spans="1:52" x14ac:dyDescent="0.25">
      <c r="A508">
        <v>576</v>
      </c>
      <c r="B508" t="s">
        <v>271</v>
      </c>
      <c r="C508" t="s">
        <v>471</v>
      </c>
      <c r="D508">
        <v>11.12</v>
      </c>
      <c r="E508">
        <v>102.64</v>
      </c>
      <c r="F508" t="s">
        <v>349</v>
      </c>
      <c r="G508">
        <v>9.23</v>
      </c>
      <c r="H508">
        <v>123.16</v>
      </c>
      <c r="I508" t="s">
        <v>469</v>
      </c>
      <c r="J508" t="s">
        <v>463</v>
      </c>
      <c r="K508" t="s">
        <v>669</v>
      </c>
      <c r="L508" t="s">
        <v>179</v>
      </c>
      <c r="M508" t="s">
        <v>271</v>
      </c>
      <c r="N508" t="s">
        <v>12</v>
      </c>
      <c r="O508" t="s">
        <v>272</v>
      </c>
      <c r="P508">
        <v>0</v>
      </c>
      <c r="Q508">
        <v>0</v>
      </c>
      <c r="R508">
        <v>0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 t="s">
        <v>271</v>
      </c>
      <c r="AH508" t="s">
        <v>12</v>
      </c>
      <c r="AI508" t="s">
        <v>272</v>
      </c>
      <c r="AJ508">
        <f>$H$508*$P$508</f>
        <v>0</v>
      </c>
      <c r="AK508">
        <f>$H$508*$Q$508</f>
        <v>0</v>
      </c>
      <c r="AL508">
        <f>$H$508*$R$508</f>
        <v>0</v>
      </c>
      <c r="AM508">
        <f>$H$508*$S$508</f>
        <v>123.16</v>
      </c>
      <c r="AN508">
        <f>$H$508*$T$508</f>
        <v>123.16</v>
      </c>
      <c r="AO508">
        <f>$H$508*$U$508</f>
        <v>123.16</v>
      </c>
      <c r="AP508">
        <f>$H$508*$V$508</f>
        <v>123.16</v>
      </c>
      <c r="AQ508">
        <f>$H$508*$W$508</f>
        <v>123.16</v>
      </c>
      <c r="AR508">
        <f>$H$508*$X$508</f>
        <v>123.16</v>
      </c>
      <c r="AS508">
        <f>$H$508*$Y$508</f>
        <v>123.16</v>
      </c>
      <c r="AT508">
        <f>$H$508*$Z$508</f>
        <v>123.16</v>
      </c>
      <c r="AU508">
        <f>$H$508*$AA$508</f>
        <v>123.16</v>
      </c>
      <c r="AV508">
        <f>$H$508*$AB$508</f>
        <v>123.16</v>
      </c>
      <c r="AW508">
        <f>$H$508*$AC$508</f>
        <v>123.16</v>
      </c>
      <c r="AX508">
        <f>$H$508*$AD$508</f>
        <v>123.16</v>
      </c>
      <c r="AY508">
        <f>$H$508*$AE$508</f>
        <v>123.16</v>
      </c>
      <c r="AZ508">
        <f>$H$508*$AF$508</f>
        <v>123.16</v>
      </c>
    </row>
    <row r="509" spans="1:52" x14ac:dyDescent="0.25">
      <c r="A509">
        <v>577</v>
      </c>
      <c r="B509" t="s">
        <v>167</v>
      </c>
      <c r="C509" t="s">
        <v>541</v>
      </c>
      <c r="D509">
        <v>1</v>
      </c>
      <c r="E509">
        <v>212.06</v>
      </c>
      <c r="F509" t="s">
        <v>335</v>
      </c>
      <c r="G509">
        <v>212.06</v>
      </c>
      <c r="H509">
        <v>254.48</v>
      </c>
      <c r="I509" t="s">
        <v>353</v>
      </c>
      <c r="J509" t="s">
        <v>542</v>
      </c>
      <c r="K509" t="s">
        <v>703</v>
      </c>
      <c r="L509" t="s">
        <v>179</v>
      </c>
      <c r="M509" t="s">
        <v>167</v>
      </c>
      <c r="N509" t="s">
        <v>12</v>
      </c>
      <c r="O509" t="s">
        <v>300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 t="s">
        <v>167</v>
      </c>
      <c r="AH509" t="s">
        <v>12</v>
      </c>
      <c r="AI509" t="s">
        <v>300</v>
      </c>
      <c r="AJ509">
        <f>$H$509*$P$509</f>
        <v>0</v>
      </c>
      <c r="AK509">
        <f>$H$509*$Q$509</f>
        <v>0</v>
      </c>
      <c r="AL509">
        <f>$H$509*$R$509</f>
        <v>0</v>
      </c>
      <c r="AM509">
        <f>$H$509*$S$509</f>
        <v>0</v>
      </c>
      <c r="AN509">
        <f>$H$509*$T$509</f>
        <v>0</v>
      </c>
      <c r="AO509">
        <f>$H$509*$U$509</f>
        <v>0</v>
      </c>
      <c r="AP509">
        <f>$H$509*$V$509</f>
        <v>0</v>
      </c>
      <c r="AQ509">
        <f>$H$509*$W$509</f>
        <v>0</v>
      </c>
      <c r="AR509">
        <f>$H$509*$X$509</f>
        <v>0</v>
      </c>
      <c r="AS509">
        <f>$H$509*$Y$509</f>
        <v>254.48</v>
      </c>
      <c r="AT509">
        <f>$H$509*$Z$509</f>
        <v>254.48</v>
      </c>
      <c r="AU509">
        <f>$H$509*$AA$509</f>
        <v>254.48</v>
      </c>
      <c r="AV509">
        <f>$H$509*$AB$509</f>
        <v>254.48</v>
      </c>
      <c r="AW509">
        <f>$H$509*$AC$509</f>
        <v>254.48</v>
      </c>
      <c r="AX509">
        <f>$H$509*$AD$509</f>
        <v>254.48</v>
      </c>
      <c r="AY509">
        <f>$H$509*$AE$509</f>
        <v>254.48</v>
      </c>
      <c r="AZ509">
        <f>$H$509*$AF$509</f>
        <v>254.48</v>
      </c>
    </row>
    <row r="510" spans="1:52" x14ac:dyDescent="0.25">
      <c r="A510">
        <v>578</v>
      </c>
      <c r="B510" t="s">
        <v>167</v>
      </c>
      <c r="C510" t="s">
        <v>543</v>
      </c>
      <c r="D510">
        <v>1</v>
      </c>
      <c r="E510">
        <v>33.1</v>
      </c>
      <c r="F510" t="s">
        <v>335</v>
      </c>
      <c r="G510">
        <v>33.1</v>
      </c>
      <c r="H510">
        <v>39.72</v>
      </c>
      <c r="I510" t="s">
        <v>337</v>
      </c>
      <c r="J510" t="s">
        <v>544</v>
      </c>
      <c r="K510" t="s">
        <v>704</v>
      </c>
      <c r="L510" t="s">
        <v>179</v>
      </c>
      <c r="M510" t="s">
        <v>167</v>
      </c>
      <c r="N510" t="s">
        <v>12</v>
      </c>
      <c r="O510" t="s">
        <v>300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 t="s">
        <v>167</v>
      </c>
      <c r="AH510" t="s">
        <v>12</v>
      </c>
      <c r="AI510" t="s">
        <v>300</v>
      </c>
      <c r="AJ510">
        <f>$H$510*$P$510</f>
        <v>0</v>
      </c>
      <c r="AK510">
        <f>$H$510*$Q$510</f>
        <v>0</v>
      </c>
      <c r="AL510">
        <f>$H$510*$R$510</f>
        <v>0</v>
      </c>
      <c r="AM510">
        <f>$H$510*$S$510</f>
        <v>0</v>
      </c>
      <c r="AN510">
        <f>$H$510*$T$510</f>
        <v>0</v>
      </c>
      <c r="AO510">
        <f>$H$510*$U$510</f>
        <v>0</v>
      </c>
      <c r="AP510">
        <f>$H$510*$V$510</f>
        <v>39.72</v>
      </c>
      <c r="AQ510">
        <f>$H$510*$W$510</f>
        <v>39.72</v>
      </c>
      <c r="AR510">
        <f>$H$510*$X$510</f>
        <v>39.72</v>
      </c>
      <c r="AS510">
        <f>$H$510*$Y$510</f>
        <v>39.72</v>
      </c>
      <c r="AT510">
        <f>$H$510*$Z$510</f>
        <v>39.72</v>
      </c>
      <c r="AU510">
        <f>$H$510*$AA$510</f>
        <v>39.72</v>
      </c>
      <c r="AV510">
        <f>$H$510*$AB$510</f>
        <v>39.72</v>
      </c>
      <c r="AW510">
        <f>$H$510*$AC$510</f>
        <v>39.72</v>
      </c>
      <c r="AX510">
        <f>$H$510*$AD$510</f>
        <v>39.72</v>
      </c>
      <c r="AY510">
        <f>$H$510*$AE$510</f>
        <v>39.72</v>
      </c>
      <c r="AZ510">
        <f>$H$510*$AF$510</f>
        <v>39.72</v>
      </c>
    </row>
    <row r="511" spans="1:52" x14ac:dyDescent="0.25">
      <c r="A511">
        <v>579</v>
      </c>
      <c r="B511" t="s">
        <v>167</v>
      </c>
      <c r="C511" t="s">
        <v>507</v>
      </c>
      <c r="D511">
        <v>1</v>
      </c>
      <c r="E511">
        <v>37</v>
      </c>
      <c r="F511" t="s">
        <v>335</v>
      </c>
      <c r="G511">
        <v>37</v>
      </c>
      <c r="H511">
        <v>44.4</v>
      </c>
      <c r="I511" t="s">
        <v>337</v>
      </c>
      <c r="J511" t="s">
        <v>508</v>
      </c>
      <c r="K511" t="s">
        <v>686</v>
      </c>
      <c r="L511" t="s">
        <v>179</v>
      </c>
      <c r="M511" t="s">
        <v>167</v>
      </c>
      <c r="N511" t="s">
        <v>12</v>
      </c>
      <c r="O511" t="s">
        <v>300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0.6</v>
      </c>
      <c r="Y511">
        <v>0.6</v>
      </c>
      <c r="Z511">
        <v>0.6</v>
      </c>
      <c r="AA511">
        <v>0.6</v>
      </c>
      <c r="AB511">
        <v>0.6</v>
      </c>
      <c r="AC511">
        <v>0.6</v>
      </c>
      <c r="AD511">
        <v>1</v>
      </c>
      <c r="AE511">
        <v>1</v>
      </c>
      <c r="AF511">
        <v>1</v>
      </c>
      <c r="AG511" t="s">
        <v>167</v>
      </c>
      <c r="AH511" t="s">
        <v>12</v>
      </c>
      <c r="AI511" t="s">
        <v>300</v>
      </c>
      <c r="AJ511">
        <f>$H$511*$P$511</f>
        <v>0</v>
      </c>
      <c r="AK511">
        <f>$H$511*$Q$511</f>
        <v>0</v>
      </c>
      <c r="AL511">
        <f>$H$511*$R$511</f>
        <v>0</v>
      </c>
      <c r="AM511">
        <f>$H$511*$S$511</f>
        <v>0</v>
      </c>
      <c r="AN511">
        <f>$H$511*$T$511</f>
        <v>0</v>
      </c>
      <c r="AO511">
        <f>$H$511*$U$511</f>
        <v>0</v>
      </c>
      <c r="AP511">
        <f>$H$511*$V$511</f>
        <v>0</v>
      </c>
      <c r="AQ511">
        <f>$H$511*$W$511</f>
        <v>0</v>
      </c>
      <c r="AR511">
        <f>$H$511*$X$511</f>
        <v>26.639999999999997</v>
      </c>
      <c r="AS511">
        <f>$H$511*$Y$511</f>
        <v>26.639999999999997</v>
      </c>
      <c r="AT511">
        <f>$H$511*$Z$511</f>
        <v>26.639999999999997</v>
      </c>
      <c r="AU511">
        <f>$H$511*$AA$511</f>
        <v>26.639999999999997</v>
      </c>
      <c r="AV511">
        <f>$H$511*$AB$511</f>
        <v>26.639999999999997</v>
      </c>
      <c r="AW511">
        <f>$H$511*$AC$511</f>
        <v>26.639999999999997</v>
      </c>
      <c r="AX511">
        <f>$H$511*$AD$511</f>
        <v>44.4</v>
      </c>
      <c r="AY511">
        <f>$H$511*$AE$511</f>
        <v>44.4</v>
      </c>
      <c r="AZ511">
        <f>$H$511*$AF$511</f>
        <v>44.4</v>
      </c>
    </row>
    <row r="512" spans="1:52" x14ac:dyDescent="0.25">
      <c r="A512">
        <v>580</v>
      </c>
      <c r="B512" t="s">
        <v>167</v>
      </c>
      <c r="C512" t="s">
        <v>435</v>
      </c>
      <c r="D512">
        <v>1</v>
      </c>
      <c r="E512">
        <v>13.27</v>
      </c>
      <c r="F512" t="s">
        <v>335</v>
      </c>
      <c r="G512">
        <v>13.27</v>
      </c>
      <c r="H512">
        <v>15.93</v>
      </c>
      <c r="I512" t="s">
        <v>337</v>
      </c>
      <c r="J512" t="s">
        <v>436</v>
      </c>
      <c r="K512" t="s">
        <v>652</v>
      </c>
      <c r="L512" t="s">
        <v>179</v>
      </c>
      <c r="M512" t="s">
        <v>167</v>
      </c>
      <c r="N512" t="s">
        <v>12</v>
      </c>
      <c r="O512" t="s">
        <v>300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1</v>
      </c>
      <c r="Y512">
        <v>1</v>
      </c>
      <c r="Z512">
        <v>1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 t="s">
        <v>167</v>
      </c>
      <c r="AH512" t="s">
        <v>12</v>
      </c>
      <c r="AI512" t="s">
        <v>300</v>
      </c>
      <c r="AJ512">
        <f>$H$512*$P$512</f>
        <v>0</v>
      </c>
      <c r="AK512">
        <f>$H$512*$Q$512</f>
        <v>0</v>
      </c>
      <c r="AL512">
        <f>$H$512*$R$512</f>
        <v>0</v>
      </c>
      <c r="AM512">
        <f>$H$512*$S$512</f>
        <v>0</v>
      </c>
      <c r="AN512">
        <f>$H$512*$T$512</f>
        <v>0</v>
      </c>
      <c r="AO512">
        <f>$H$512*$U$512</f>
        <v>0</v>
      </c>
      <c r="AP512">
        <f>$H$512*$V$512</f>
        <v>0</v>
      </c>
      <c r="AQ512">
        <f>$H$512*$W$512</f>
        <v>0</v>
      </c>
      <c r="AR512">
        <f>$H$512*$X$512</f>
        <v>15.93</v>
      </c>
      <c r="AS512">
        <f>$H$512*$Y$512</f>
        <v>15.93</v>
      </c>
      <c r="AT512">
        <f>$H$512*$Z$512</f>
        <v>15.93</v>
      </c>
      <c r="AU512">
        <f>$H$512*$AA$512</f>
        <v>15.93</v>
      </c>
      <c r="AV512">
        <f>$H$512*$AB$512</f>
        <v>15.93</v>
      </c>
      <c r="AW512">
        <f>$H$512*$AC$512</f>
        <v>15.93</v>
      </c>
      <c r="AX512">
        <f>$H$512*$AD$512</f>
        <v>15.93</v>
      </c>
      <c r="AY512">
        <f>$H$512*$AE$512</f>
        <v>15.93</v>
      </c>
      <c r="AZ512">
        <f>$H$512*$AF$512</f>
        <v>15.93</v>
      </c>
    </row>
    <row r="513" spans="1:52" x14ac:dyDescent="0.25">
      <c r="A513">
        <v>581</v>
      </c>
      <c r="B513" t="s">
        <v>167</v>
      </c>
      <c r="C513" t="s">
        <v>354</v>
      </c>
      <c r="D513">
        <v>1</v>
      </c>
      <c r="E513">
        <v>655.73</v>
      </c>
      <c r="F513" t="s">
        <v>335</v>
      </c>
      <c r="G513">
        <v>655.73</v>
      </c>
      <c r="H513">
        <v>786.87</v>
      </c>
      <c r="I513" t="s">
        <v>353</v>
      </c>
      <c r="J513" t="s">
        <v>355</v>
      </c>
      <c r="K513" t="s">
        <v>612</v>
      </c>
      <c r="L513" t="s">
        <v>179</v>
      </c>
      <c r="M513" t="s">
        <v>167</v>
      </c>
      <c r="N513" t="s">
        <v>12</v>
      </c>
      <c r="O513" t="s">
        <v>300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 t="s">
        <v>167</v>
      </c>
      <c r="AH513" t="s">
        <v>12</v>
      </c>
      <c r="AI513" t="s">
        <v>300</v>
      </c>
      <c r="AJ513">
        <f>$H$513*$P$513</f>
        <v>0</v>
      </c>
      <c r="AK513">
        <f>$H$513*$Q$513</f>
        <v>0</v>
      </c>
      <c r="AL513">
        <f>$H$513*$R$513</f>
        <v>0</v>
      </c>
      <c r="AM513">
        <f>$H$513*$S$513</f>
        <v>0</v>
      </c>
      <c r="AN513">
        <f>$H$513*$T$513</f>
        <v>0</v>
      </c>
      <c r="AO513">
        <f>$H$513*$U$513</f>
        <v>0</v>
      </c>
      <c r="AP513">
        <f>$H$513*$V$513</f>
        <v>0</v>
      </c>
      <c r="AQ513">
        <f>$H$513*$W$513</f>
        <v>0</v>
      </c>
      <c r="AR513">
        <f>$H$513*$X$513</f>
        <v>0</v>
      </c>
      <c r="AS513">
        <f>$H$513*$Y$513</f>
        <v>786.87</v>
      </c>
      <c r="AT513">
        <f>$H$513*$Z$513</f>
        <v>786.87</v>
      </c>
      <c r="AU513">
        <f>$H$513*$AA$513</f>
        <v>786.87</v>
      </c>
      <c r="AV513">
        <f>$H$513*$AB$513</f>
        <v>786.87</v>
      </c>
      <c r="AW513">
        <f>$H$513*$AC$513</f>
        <v>786.87</v>
      </c>
      <c r="AX513">
        <f>$H$513*$AD$513</f>
        <v>786.87</v>
      </c>
      <c r="AY513">
        <f>$H$513*$AE$513</f>
        <v>786.87</v>
      </c>
      <c r="AZ513">
        <f>$H$513*$AF$513</f>
        <v>786.87</v>
      </c>
    </row>
    <row r="514" spans="1:52" x14ac:dyDescent="0.25">
      <c r="A514">
        <v>582</v>
      </c>
      <c r="B514" t="s">
        <v>167</v>
      </c>
      <c r="C514" t="s">
        <v>437</v>
      </c>
      <c r="D514">
        <v>1</v>
      </c>
      <c r="E514">
        <v>98.82</v>
      </c>
      <c r="F514" t="s">
        <v>335</v>
      </c>
      <c r="G514">
        <v>98.82</v>
      </c>
      <c r="H514">
        <v>118.58</v>
      </c>
      <c r="I514" t="s">
        <v>340</v>
      </c>
      <c r="J514" t="s">
        <v>372</v>
      </c>
      <c r="K514" t="s">
        <v>653</v>
      </c>
      <c r="L514" t="s">
        <v>179</v>
      </c>
      <c r="M514" t="s">
        <v>167</v>
      </c>
      <c r="N514" t="s">
        <v>12</v>
      </c>
      <c r="O514" t="s">
        <v>300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1</v>
      </c>
      <c r="AE514">
        <v>1</v>
      </c>
      <c r="AF514">
        <v>1</v>
      </c>
      <c r="AG514" t="s">
        <v>167</v>
      </c>
      <c r="AH514" t="s">
        <v>12</v>
      </c>
      <c r="AI514" t="s">
        <v>300</v>
      </c>
      <c r="AJ514">
        <f>$H$514*$P$514</f>
        <v>0</v>
      </c>
      <c r="AK514">
        <f>$H$514*$Q$514</f>
        <v>0</v>
      </c>
      <c r="AL514">
        <f>$H$514*$R$514</f>
        <v>0</v>
      </c>
      <c r="AM514">
        <f>$H$514*$S$514</f>
        <v>0</v>
      </c>
      <c r="AN514">
        <f>$H$514*$T$514</f>
        <v>0</v>
      </c>
      <c r="AO514">
        <f>$H$514*$U$514</f>
        <v>0</v>
      </c>
      <c r="AP514">
        <f>$H$514*$V$514</f>
        <v>0</v>
      </c>
      <c r="AQ514">
        <f>$H$514*$W$514</f>
        <v>0</v>
      </c>
      <c r="AR514">
        <f>$H$514*$X$514</f>
        <v>0</v>
      </c>
      <c r="AS514">
        <f>$H$514*$Y$514</f>
        <v>0</v>
      </c>
      <c r="AT514">
        <f>$H$514*$Z$514</f>
        <v>0</v>
      </c>
      <c r="AU514">
        <f>$H$514*$AA$514</f>
        <v>0</v>
      </c>
      <c r="AV514">
        <f>$H$514*$AB$514</f>
        <v>0</v>
      </c>
      <c r="AW514">
        <f>$H$514*$AC$514</f>
        <v>0</v>
      </c>
      <c r="AX514">
        <f>$H$514*$AD$514</f>
        <v>118.58</v>
      </c>
      <c r="AY514">
        <f>$H$514*$AE$514</f>
        <v>118.58</v>
      </c>
      <c r="AZ514">
        <f>$H$514*$AF$514</f>
        <v>118.58</v>
      </c>
    </row>
    <row r="515" spans="1:52" x14ac:dyDescent="0.25">
      <c r="A515">
        <v>583</v>
      </c>
      <c r="B515" t="s">
        <v>167</v>
      </c>
      <c r="C515" t="s">
        <v>367</v>
      </c>
      <c r="D515">
        <v>1</v>
      </c>
      <c r="E515">
        <v>62.41</v>
      </c>
      <c r="F515" t="s">
        <v>335</v>
      </c>
      <c r="G515">
        <v>62.41</v>
      </c>
      <c r="H515">
        <v>74.89</v>
      </c>
      <c r="I515" t="s">
        <v>368</v>
      </c>
      <c r="J515" t="s">
        <v>369</v>
      </c>
      <c r="K515" t="s">
        <v>619</v>
      </c>
      <c r="L515" t="s">
        <v>179</v>
      </c>
      <c r="M515" t="s">
        <v>167</v>
      </c>
      <c r="N515" t="s">
        <v>12</v>
      </c>
      <c r="O515" t="s">
        <v>300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1</v>
      </c>
      <c r="AB515">
        <v>1</v>
      </c>
      <c r="AC515">
        <v>1</v>
      </c>
      <c r="AD515">
        <v>1</v>
      </c>
      <c r="AE515">
        <v>1</v>
      </c>
      <c r="AF515">
        <v>1</v>
      </c>
      <c r="AG515" t="s">
        <v>167</v>
      </c>
      <c r="AH515" t="s">
        <v>12</v>
      </c>
      <c r="AI515" t="s">
        <v>300</v>
      </c>
      <c r="AJ515">
        <f>$H$515*$P$515</f>
        <v>0</v>
      </c>
      <c r="AK515">
        <f>$H$515*$Q$515</f>
        <v>0</v>
      </c>
      <c r="AL515">
        <f>$H$515*$R$515</f>
        <v>0</v>
      </c>
      <c r="AM515">
        <f>$H$515*$S$515</f>
        <v>0</v>
      </c>
      <c r="AN515">
        <f>$H$515*$T$515</f>
        <v>0</v>
      </c>
      <c r="AO515">
        <f>$H$515*$U$515</f>
        <v>0</v>
      </c>
      <c r="AP515">
        <f>$H$515*$V$515</f>
        <v>0</v>
      </c>
      <c r="AQ515">
        <f>$H$515*$W$515</f>
        <v>0</v>
      </c>
      <c r="AR515">
        <f>$H$515*$X$515</f>
        <v>0</v>
      </c>
      <c r="AS515">
        <f>$H$515*$Y$515</f>
        <v>0</v>
      </c>
      <c r="AT515">
        <f>$H$515*$Z$515</f>
        <v>0</v>
      </c>
      <c r="AU515">
        <f>$H$515*$AA$515</f>
        <v>74.89</v>
      </c>
      <c r="AV515">
        <f>$H$515*$AB$515</f>
        <v>74.89</v>
      </c>
      <c r="AW515">
        <f>$H$515*$AC$515</f>
        <v>74.89</v>
      </c>
      <c r="AX515">
        <f>$H$515*$AD$515</f>
        <v>74.89</v>
      </c>
      <c r="AY515">
        <f>$H$515*$AE$515</f>
        <v>74.89</v>
      </c>
      <c r="AZ515">
        <f>$H$515*$AF$515</f>
        <v>74.89</v>
      </c>
    </row>
    <row r="516" spans="1:52" x14ac:dyDescent="0.25">
      <c r="A516">
        <v>584</v>
      </c>
      <c r="B516" t="s">
        <v>167</v>
      </c>
      <c r="C516" t="s">
        <v>375</v>
      </c>
      <c r="D516">
        <v>2</v>
      </c>
      <c r="E516">
        <v>77.86</v>
      </c>
      <c r="F516" t="s">
        <v>335</v>
      </c>
      <c r="G516">
        <v>38.93</v>
      </c>
      <c r="H516">
        <v>93.44</v>
      </c>
      <c r="I516" t="s">
        <v>330</v>
      </c>
      <c r="J516" t="s">
        <v>371</v>
      </c>
      <c r="K516" t="s">
        <v>622</v>
      </c>
      <c r="L516" t="s">
        <v>179</v>
      </c>
      <c r="M516" t="s">
        <v>167</v>
      </c>
      <c r="N516" t="s">
        <v>12</v>
      </c>
      <c r="O516" t="s">
        <v>300</v>
      </c>
      <c r="P516">
        <v>0</v>
      </c>
      <c r="Q516">
        <v>0</v>
      </c>
      <c r="R516">
        <v>0</v>
      </c>
      <c r="S516">
        <v>1</v>
      </c>
      <c r="T516">
        <v>1</v>
      </c>
      <c r="U516">
        <v>1</v>
      </c>
      <c r="V516">
        <v>1</v>
      </c>
      <c r="W516">
        <v>1</v>
      </c>
      <c r="X516">
        <v>1</v>
      </c>
      <c r="Y516">
        <v>1</v>
      </c>
      <c r="Z516">
        <v>1</v>
      </c>
      <c r="AA516">
        <v>1</v>
      </c>
      <c r="AB516">
        <v>1</v>
      </c>
      <c r="AC516">
        <v>1</v>
      </c>
      <c r="AD516">
        <v>1</v>
      </c>
      <c r="AE516">
        <v>1</v>
      </c>
      <c r="AF516">
        <v>1</v>
      </c>
      <c r="AG516" t="s">
        <v>167</v>
      </c>
      <c r="AH516" t="s">
        <v>12</v>
      </c>
      <c r="AI516" t="s">
        <v>300</v>
      </c>
      <c r="AJ516">
        <f>$H$516*$P$516</f>
        <v>0</v>
      </c>
      <c r="AK516">
        <f>$H$516*$Q$516</f>
        <v>0</v>
      </c>
      <c r="AL516">
        <f>$H$516*$R$516</f>
        <v>0</v>
      </c>
      <c r="AM516">
        <f>$H$516*$S$516</f>
        <v>93.44</v>
      </c>
      <c r="AN516">
        <f>$H$516*$T$516</f>
        <v>93.44</v>
      </c>
      <c r="AO516">
        <f>$H$516*$U$516</f>
        <v>93.44</v>
      </c>
      <c r="AP516">
        <f>$H$516*$V$516</f>
        <v>93.44</v>
      </c>
      <c r="AQ516">
        <f>$H$516*$W$516</f>
        <v>93.44</v>
      </c>
      <c r="AR516">
        <f>$H$516*$X$516</f>
        <v>93.44</v>
      </c>
      <c r="AS516">
        <f>$H$516*$Y$516</f>
        <v>93.44</v>
      </c>
      <c r="AT516">
        <f>$H$516*$Z$516</f>
        <v>93.44</v>
      </c>
      <c r="AU516">
        <f>$H$516*$AA$516</f>
        <v>93.44</v>
      </c>
      <c r="AV516">
        <f>$H$516*$AB$516</f>
        <v>93.44</v>
      </c>
      <c r="AW516">
        <f>$H$516*$AC$516</f>
        <v>93.44</v>
      </c>
      <c r="AX516">
        <f>$H$516*$AD$516</f>
        <v>93.44</v>
      </c>
      <c r="AY516">
        <f>$H$516*$AE$516</f>
        <v>93.44</v>
      </c>
      <c r="AZ516">
        <f>$H$516*$AF$516</f>
        <v>93.44</v>
      </c>
    </row>
    <row r="517" spans="1:52" x14ac:dyDescent="0.25">
      <c r="A517">
        <v>585</v>
      </c>
      <c r="B517" t="s">
        <v>167</v>
      </c>
      <c r="C517" t="s">
        <v>373</v>
      </c>
      <c r="D517">
        <v>2</v>
      </c>
      <c r="E517">
        <v>62.72</v>
      </c>
      <c r="F517" t="s">
        <v>335</v>
      </c>
      <c r="G517">
        <v>31.36</v>
      </c>
      <c r="H517">
        <v>75.260000000000005</v>
      </c>
      <c r="I517" t="s">
        <v>330</v>
      </c>
      <c r="J517" t="s">
        <v>374</v>
      </c>
      <c r="K517" t="s">
        <v>621</v>
      </c>
      <c r="L517" t="s">
        <v>179</v>
      </c>
      <c r="M517" t="s">
        <v>167</v>
      </c>
      <c r="N517" t="s">
        <v>12</v>
      </c>
      <c r="O517" t="s">
        <v>300</v>
      </c>
      <c r="P517">
        <v>0</v>
      </c>
      <c r="Q517">
        <v>0</v>
      </c>
      <c r="R517">
        <v>0</v>
      </c>
      <c r="S517">
        <v>1</v>
      </c>
      <c r="T517">
        <v>1</v>
      </c>
      <c r="U517">
        <v>1</v>
      </c>
      <c r="V517">
        <v>1</v>
      </c>
      <c r="W517">
        <v>1</v>
      </c>
      <c r="X517">
        <v>1</v>
      </c>
      <c r="Y517">
        <v>1</v>
      </c>
      <c r="Z517">
        <v>1</v>
      </c>
      <c r="AA517">
        <v>1</v>
      </c>
      <c r="AB517">
        <v>1</v>
      </c>
      <c r="AC517">
        <v>1</v>
      </c>
      <c r="AD517">
        <v>1</v>
      </c>
      <c r="AE517">
        <v>1</v>
      </c>
      <c r="AF517">
        <v>1</v>
      </c>
      <c r="AG517" t="s">
        <v>167</v>
      </c>
      <c r="AH517" t="s">
        <v>12</v>
      </c>
      <c r="AI517" t="s">
        <v>300</v>
      </c>
      <c r="AJ517">
        <f>$H$517*$P$517</f>
        <v>0</v>
      </c>
      <c r="AK517">
        <f>$H$517*$Q$517</f>
        <v>0</v>
      </c>
      <c r="AL517">
        <f>$H$517*$R$517</f>
        <v>0</v>
      </c>
      <c r="AM517">
        <f>$H$517*$S$517</f>
        <v>75.260000000000005</v>
      </c>
      <c r="AN517">
        <f>$H$517*$T$517</f>
        <v>75.260000000000005</v>
      </c>
      <c r="AO517">
        <f>$H$517*$U$517</f>
        <v>75.260000000000005</v>
      </c>
      <c r="AP517">
        <f>$H$517*$V$517</f>
        <v>75.260000000000005</v>
      </c>
      <c r="AQ517">
        <f>$H$517*$W$517</f>
        <v>75.260000000000005</v>
      </c>
      <c r="AR517">
        <f>$H$517*$X$517</f>
        <v>75.260000000000005</v>
      </c>
      <c r="AS517">
        <f>$H$517*$Y$517</f>
        <v>75.260000000000005</v>
      </c>
      <c r="AT517">
        <f>$H$517*$Z$517</f>
        <v>75.260000000000005</v>
      </c>
      <c r="AU517">
        <f>$H$517*$AA$517</f>
        <v>75.260000000000005</v>
      </c>
      <c r="AV517">
        <f>$H$517*$AB$517</f>
        <v>75.260000000000005</v>
      </c>
      <c r="AW517">
        <f>$H$517*$AC$517</f>
        <v>75.260000000000005</v>
      </c>
      <c r="AX517">
        <f>$H$517*$AD$517</f>
        <v>75.260000000000005</v>
      </c>
      <c r="AY517">
        <f>$H$517*$AE$517</f>
        <v>75.260000000000005</v>
      </c>
      <c r="AZ517">
        <f>$H$517*$AF$517</f>
        <v>75.260000000000005</v>
      </c>
    </row>
    <row r="518" spans="1:52" x14ac:dyDescent="0.25">
      <c r="A518">
        <v>586</v>
      </c>
      <c r="B518" t="s">
        <v>167</v>
      </c>
      <c r="C518" t="s">
        <v>370</v>
      </c>
      <c r="D518">
        <v>1</v>
      </c>
      <c r="E518">
        <v>366.18</v>
      </c>
      <c r="F518" t="s">
        <v>335</v>
      </c>
      <c r="G518">
        <v>366.18</v>
      </c>
      <c r="H518">
        <v>439.42</v>
      </c>
      <c r="I518" t="s">
        <v>371</v>
      </c>
      <c r="J518" t="s">
        <v>372</v>
      </c>
      <c r="K518" t="s">
        <v>620</v>
      </c>
      <c r="L518" t="s">
        <v>179</v>
      </c>
      <c r="M518" t="s">
        <v>167</v>
      </c>
      <c r="N518" t="s">
        <v>12</v>
      </c>
      <c r="O518" t="s">
        <v>300</v>
      </c>
      <c r="P518">
        <v>0</v>
      </c>
      <c r="Q518">
        <v>0</v>
      </c>
      <c r="R518">
        <v>0</v>
      </c>
      <c r="S518">
        <v>0</v>
      </c>
      <c r="T518">
        <v>1</v>
      </c>
      <c r="U518">
        <v>1</v>
      </c>
      <c r="V518">
        <v>1</v>
      </c>
      <c r="W518">
        <v>1</v>
      </c>
      <c r="X518">
        <v>1</v>
      </c>
      <c r="Y518">
        <v>1</v>
      </c>
      <c r="Z518">
        <v>1</v>
      </c>
      <c r="AA518">
        <v>1</v>
      </c>
      <c r="AB518">
        <v>1</v>
      </c>
      <c r="AC518">
        <v>1</v>
      </c>
      <c r="AD518">
        <v>1</v>
      </c>
      <c r="AE518">
        <v>1</v>
      </c>
      <c r="AF518">
        <v>1</v>
      </c>
      <c r="AG518" t="s">
        <v>167</v>
      </c>
      <c r="AH518" t="s">
        <v>12</v>
      </c>
      <c r="AI518" t="s">
        <v>300</v>
      </c>
      <c r="AJ518">
        <f>$H$518*$P$518</f>
        <v>0</v>
      </c>
      <c r="AK518">
        <f>$H$518*$Q$518</f>
        <v>0</v>
      </c>
      <c r="AL518">
        <f>$H$518*$R$518</f>
        <v>0</v>
      </c>
      <c r="AM518">
        <f>$H$518*$S$518</f>
        <v>0</v>
      </c>
      <c r="AN518">
        <f>$H$518*$T$518</f>
        <v>439.42</v>
      </c>
      <c r="AO518">
        <f>$H$518*$U$518</f>
        <v>439.42</v>
      </c>
      <c r="AP518">
        <f>$H$518*$V$518</f>
        <v>439.42</v>
      </c>
      <c r="AQ518">
        <f>$H$518*$W$518</f>
        <v>439.42</v>
      </c>
      <c r="AR518">
        <f>$H$518*$X$518</f>
        <v>439.42</v>
      </c>
      <c r="AS518">
        <f>$H$518*$Y$518</f>
        <v>439.42</v>
      </c>
      <c r="AT518">
        <f>$H$518*$Z$518</f>
        <v>439.42</v>
      </c>
      <c r="AU518">
        <f>$H$518*$AA$518</f>
        <v>439.42</v>
      </c>
      <c r="AV518">
        <f>$H$518*$AB$518</f>
        <v>439.42</v>
      </c>
      <c r="AW518">
        <f>$H$518*$AC$518</f>
        <v>439.42</v>
      </c>
      <c r="AX518">
        <f>$H$518*$AD$518</f>
        <v>439.42</v>
      </c>
      <c r="AY518">
        <f>$H$518*$AE$518</f>
        <v>439.42</v>
      </c>
      <c r="AZ518">
        <f>$H$518*$AF$518</f>
        <v>439.42</v>
      </c>
    </row>
    <row r="519" spans="1:52" x14ac:dyDescent="0.25">
      <c r="A519">
        <v>587</v>
      </c>
      <c r="B519" t="s">
        <v>167</v>
      </c>
      <c r="C519" t="s">
        <v>545</v>
      </c>
      <c r="D519">
        <v>5</v>
      </c>
      <c r="E519">
        <v>1141.2</v>
      </c>
      <c r="F519" t="s">
        <v>329</v>
      </c>
      <c r="G519">
        <v>228.24</v>
      </c>
      <c r="H519">
        <v>1369.44</v>
      </c>
      <c r="I519" t="s">
        <v>489</v>
      </c>
      <c r="J519" t="s">
        <v>546</v>
      </c>
      <c r="K519" t="s">
        <v>705</v>
      </c>
      <c r="L519" t="s">
        <v>179</v>
      </c>
      <c r="M519" t="s">
        <v>167</v>
      </c>
      <c r="N519" t="s">
        <v>12</v>
      </c>
      <c r="O519" t="s">
        <v>300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1</v>
      </c>
      <c r="AC519">
        <v>1</v>
      </c>
      <c r="AD519">
        <v>1</v>
      </c>
      <c r="AE519">
        <v>1</v>
      </c>
      <c r="AF519">
        <v>1</v>
      </c>
      <c r="AG519" t="s">
        <v>167</v>
      </c>
      <c r="AH519" t="s">
        <v>12</v>
      </c>
      <c r="AI519" t="s">
        <v>300</v>
      </c>
      <c r="AJ519">
        <f>$H$519*$P$519</f>
        <v>0</v>
      </c>
      <c r="AK519">
        <f>$H$519*$Q$519</f>
        <v>0</v>
      </c>
      <c r="AL519">
        <f>$H$519*$R$519</f>
        <v>0</v>
      </c>
      <c r="AM519">
        <f>$H$519*$S$519</f>
        <v>0</v>
      </c>
      <c r="AN519">
        <f>$H$519*$T$519</f>
        <v>0</v>
      </c>
      <c r="AO519">
        <f>$H$519*$U$519</f>
        <v>0</v>
      </c>
      <c r="AP519">
        <f>$H$519*$V$519</f>
        <v>0</v>
      </c>
      <c r="AQ519">
        <f>$H$519*$W$519</f>
        <v>0</v>
      </c>
      <c r="AR519">
        <f>$H$519*$X$519</f>
        <v>0</v>
      </c>
      <c r="AS519">
        <f>$H$519*$Y$519</f>
        <v>0</v>
      </c>
      <c r="AT519">
        <f>$H$519*$Z$519</f>
        <v>0</v>
      </c>
      <c r="AU519">
        <f>$H$519*$AA$519</f>
        <v>0</v>
      </c>
      <c r="AV519">
        <f>$H$519*$AB$519</f>
        <v>1369.44</v>
      </c>
      <c r="AW519">
        <f>$H$519*$AC$519</f>
        <v>1369.44</v>
      </c>
      <c r="AX519">
        <f>$H$519*$AD$519</f>
        <v>1369.44</v>
      </c>
      <c r="AY519">
        <f>$H$519*$AE$519</f>
        <v>1369.44</v>
      </c>
      <c r="AZ519">
        <f>$H$519*$AF$519</f>
        <v>1369.44</v>
      </c>
    </row>
    <row r="520" spans="1:52" x14ac:dyDescent="0.25">
      <c r="A520">
        <v>588</v>
      </c>
      <c r="B520" t="s">
        <v>167</v>
      </c>
      <c r="C520" t="s">
        <v>438</v>
      </c>
      <c r="D520">
        <v>14.13</v>
      </c>
      <c r="E520">
        <v>37.020000000000003</v>
      </c>
      <c r="F520" t="s">
        <v>329</v>
      </c>
      <c r="G520">
        <v>2.62</v>
      </c>
      <c r="H520">
        <v>44.42</v>
      </c>
      <c r="I520" t="s">
        <v>439</v>
      </c>
      <c r="J520" t="s">
        <v>440</v>
      </c>
      <c r="K520" t="s">
        <v>654</v>
      </c>
      <c r="L520" t="s">
        <v>179</v>
      </c>
      <c r="M520" t="s">
        <v>167</v>
      </c>
      <c r="N520" t="s">
        <v>12</v>
      </c>
      <c r="O520" t="s">
        <v>300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1</v>
      </c>
      <c r="AB520">
        <v>1</v>
      </c>
      <c r="AC520">
        <v>1</v>
      </c>
      <c r="AD520">
        <v>1</v>
      </c>
      <c r="AE520">
        <v>1</v>
      </c>
      <c r="AF520">
        <v>1</v>
      </c>
      <c r="AG520" t="s">
        <v>167</v>
      </c>
      <c r="AH520" t="s">
        <v>12</v>
      </c>
      <c r="AI520" t="s">
        <v>300</v>
      </c>
      <c r="AJ520">
        <f>$H$520*$P$520</f>
        <v>0</v>
      </c>
      <c r="AK520">
        <f>$H$520*$Q$520</f>
        <v>0</v>
      </c>
      <c r="AL520">
        <f>$H$520*$R$520</f>
        <v>0</v>
      </c>
      <c r="AM520">
        <f>$H$520*$S$520</f>
        <v>0</v>
      </c>
      <c r="AN520">
        <f>$H$520*$T$520</f>
        <v>0</v>
      </c>
      <c r="AO520">
        <f>$H$520*$U$520</f>
        <v>0</v>
      </c>
      <c r="AP520">
        <f>$H$520*$V$520</f>
        <v>0</v>
      </c>
      <c r="AQ520">
        <f>$H$520*$W$520</f>
        <v>0</v>
      </c>
      <c r="AR520">
        <f>$H$520*$X$520</f>
        <v>0</v>
      </c>
      <c r="AS520">
        <f>$H$520*$Y$520</f>
        <v>0</v>
      </c>
      <c r="AT520">
        <f>$H$520*$Z$520</f>
        <v>0</v>
      </c>
      <c r="AU520">
        <f>$H$520*$AA$520</f>
        <v>44.42</v>
      </c>
      <c r="AV520">
        <f>$H$520*$AB$520</f>
        <v>44.42</v>
      </c>
      <c r="AW520">
        <f>$H$520*$AC$520</f>
        <v>44.42</v>
      </c>
      <c r="AX520">
        <f>$H$520*$AD$520</f>
        <v>44.42</v>
      </c>
      <c r="AY520">
        <f>$H$520*$AE$520</f>
        <v>44.42</v>
      </c>
      <c r="AZ520">
        <f>$H$520*$AF$520</f>
        <v>44.42</v>
      </c>
    </row>
    <row r="521" spans="1:52" x14ac:dyDescent="0.25">
      <c r="A521">
        <v>589</v>
      </c>
      <c r="B521" t="s">
        <v>167</v>
      </c>
      <c r="C521" t="s">
        <v>441</v>
      </c>
      <c r="D521">
        <v>127.2</v>
      </c>
      <c r="E521">
        <v>274.75</v>
      </c>
      <c r="F521" t="s">
        <v>349</v>
      </c>
      <c r="G521">
        <v>2.16</v>
      </c>
      <c r="H521">
        <v>329.71</v>
      </c>
      <c r="I521" t="s">
        <v>439</v>
      </c>
      <c r="J521" t="s">
        <v>442</v>
      </c>
      <c r="K521" t="s">
        <v>655</v>
      </c>
      <c r="L521" t="s">
        <v>179</v>
      </c>
      <c r="M521" t="s">
        <v>167</v>
      </c>
      <c r="N521" t="s">
        <v>12</v>
      </c>
      <c r="O521" t="s">
        <v>300</v>
      </c>
      <c r="P521">
        <v>0</v>
      </c>
      <c r="Q521">
        <v>0</v>
      </c>
      <c r="R521">
        <v>0</v>
      </c>
      <c r="S521">
        <v>1</v>
      </c>
      <c r="T521">
        <v>1</v>
      </c>
      <c r="U521">
        <v>1</v>
      </c>
      <c r="V521">
        <v>1</v>
      </c>
      <c r="W521">
        <v>1</v>
      </c>
      <c r="X521">
        <v>1</v>
      </c>
      <c r="Y521">
        <v>1</v>
      </c>
      <c r="Z521">
        <v>1</v>
      </c>
      <c r="AA521">
        <v>1</v>
      </c>
      <c r="AB521">
        <v>1</v>
      </c>
      <c r="AC521">
        <v>1</v>
      </c>
      <c r="AD521">
        <v>1</v>
      </c>
      <c r="AE521">
        <v>1</v>
      </c>
      <c r="AF521">
        <v>1</v>
      </c>
      <c r="AG521" t="s">
        <v>167</v>
      </c>
      <c r="AH521" t="s">
        <v>12</v>
      </c>
      <c r="AI521" t="s">
        <v>300</v>
      </c>
      <c r="AJ521">
        <f>$H$521*$P$521</f>
        <v>0</v>
      </c>
      <c r="AK521">
        <f>$H$521*$Q$521</f>
        <v>0</v>
      </c>
      <c r="AL521">
        <f>$H$521*$R$521</f>
        <v>0</v>
      </c>
      <c r="AM521">
        <f>$H$521*$S$521</f>
        <v>329.71</v>
      </c>
      <c r="AN521">
        <f>$H$521*$T$521</f>
        <v>329.71</v>
      </c>
      <c r="AO521">
        <f>$H$521*$U$521</f>
        <v>329.71</v>
      </c>
      <c r="AP521">
        <f>$H$521*$V$521</f>
        <v>329.71</v>
      </c>
      <c r="AQ521">
        <f>$H$521*$W$521</f>
        <v>329.71</v>
      </c>
      <c r="AR521">
        <f>$H$521*$X$521</f>
        <v>329.71</v>
      </c>
      <c r="AS521">
        <f>$H$521*$Y$521</f>
        <v>329.71</v>
      </c>
      <c r="AT521">
        <f>$H$521*$Z$521</f>
        <v>329.71</v>
      </c>
      <c r="AU521">
        <f>$H$521*$AA$521</f>
        <v>329.71</v>
      </c>
      <c r="AV521">
        <f>$H$521*$AB$521</f>
        <v>329.71</v>
      </c>
      <c r="AW521">
        <f>$H$521*$AC$521</f>
        <v>329.71</v>
      </c>
      <c r="AX521">
        <f>$H$521*$AD$521</f>
        <v>329.71</v>
      </c>
      <c r="AY521">
        <f>$H$521*$AE$521</f>
        <v>329.71</v>
      </c>
      <c r="AZ521">
        <f>$H$521*$AF$521</f>
        <v>329.71</v>
      </c>
    </row>
    <row r="522" spans="1:52" x14ac:dyDescent="0.25">
      <c r="A522">
        <v>590</v>
      </c>
      <c r="B522" t="s">
        <v>167</v>
      </c>
      <c r="C522" t="s">
        <v>443</v>
      </c>
      <c r="D522">
        <v>127.2</v>
      </c>
      <c r="E522">
        <v>80.14</v>
      </c>
      <c r="F522" t="s">
        <v>349</v>
      </c>
      <c r="G522">
        <v>0.63</v>
      </c>
      <c r="H522">
        <v>96.16</v>
      </c>
      <c r="I522" t="s">
        <v>330</v>
      </c>
      <c r="J522" t="s">
        <v>444</v>
      </c>
      <c r="K522" t="s">
        <v>656</v>
      </c>
      <c r="L522" t="s">
        <v>179</v>
      </c>
      <c r="M522" t="s">
        <v>167</v>
      </c>
      <c r="N522" t="s">
        <v>12</v>
      </c>
      <c r="O522" t="s">
        <v>300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1</v>
      </c>
      <c r="AE522">
        <v>1</v>
      </c>
      <c r="AF522">
        <v>1</v>
      </c>
      <c r="AG522" t="s">
        <v>167</v>
      </c>
      <c r="AH522" t="s">
        <v>12</v>
      </c>
      <c r="AI522" t="s">
        <v>300</v>
      </c>
      <c r="AJ522">
        <f>$H$522*$P$522</f>
        <v>0</v>
      </c>
      <c r="AK522">
        <f>$H$522*$Q$522</f>
        <v>0</v>
      </c>
      <c r="AL522">
        <f>$H$522*$R$522</f>
        <v>0</v>
      </c>
      <c r="AM522">
        <f>$H$522*$S$522</f>
        <v>0</v>
      </c>
      <c r="AN522">
        <f>$H$522*$T$522</f>
        <v>0</v>
      </c>
      <c r="AO522">
        <f>$H$522*$U$522</f>
        <v>0</v>
      </c>
      <c r="AP522">
        <f>$H$522*$V$522</f>
        <v>0</v>
      </c>
      <c r="AQ522">
        <f>$H$522*$W$522</f>
        <v>0</v>
      </c>
      <c r="AR522">
        <f>$H$522*$X$522</f>
        <v>0</v>
      </c>
      <c r="AS522">
        <f>$H$522*$Y$522</f>
        <v>0</v>
      </c>
      <c r="AT522">
        <f>$H$522*$Z$522</f>
        <v>0</v>
      </c>
      <c r="AU522">
        <f>$H$522*$AA$522</f>
        <v>0</v>
      </c>
      <c r="AV522">
        <f>$H$522*$AB$522</f>
        <v>0</v>
      </c>
      <c r="AW522">
        <f>$H$522*$AC$522</f>
        <v>0</v>
      </c>
      <c r="AX522">
        <f>$H$522*$AD$522</f>
        <v>96.16</v>
      </c>
      <c r="AY522">
        <f>$H$522*$AE$522</f>
        <v>96.16</v>
      </c>
      <c r="AZ522">
        <f>$H$522*$AF$522</f>
        <v>96.16</v>
      </c>
    </row>
    <row r="523" spans="1:52" x14ac:dyDescent="0.25">
      <c r="A523">
        <v>591</v>
      </c>
      <c r="B523" t="s">
        <v>167</v>
      </c>
      <c r="C523" t="s">
        <v>362</v>
      </c>
      <c r="D523">
        <v>159</v>
      </c>
      <c r="E523">
        <v>155.82</v>
      </c>
      <c r="F523" t="s">
        <v>349</v>
      </c>
      <c r="G523">
        <v>0.98</v>
      </c>
      <c r="H523">
        <v>186.98</v>
      </c>
      <c r="I523" t="s">
        <v>330</v>
      </c>
      <c r="J523" t="s">
        <v>363</v>
      </c>
      <c r="K523" t="s">
        <v>617</v>
      </c>
      <c r="L523" t="s">
        <v>179</v>
      </c>
      <c r="M523" t="s">
        <v>167</v>
      </c>
      <c r="N523" t="s">
        <v>12</v>
      </c>
      <c r="O523" t="s">
        <v>300</v>
      </c>
      <c r="P523">
        <v>0</v>
      </c>
      <c r="Q523">
        <v>0</v>
      </c>
      <c r="R523">
        <v>0</v>
      </c>
      <c r="S523">
        <v>0</v>
      </c>
      <c r="T523">
        <v>1</v>
      </c>
      <c r="U523">
        <v>1</v>
      </c>
      <c r="V523">
        <v>1</v>
      </c>
      <c r="W523">
        <v>1</v>
      </c>
      <c r="X523">
        <v>1</v>
      </c>
      <c r="Y523">
        <v>1</v>
      </c>
      <c r="Z523">
        <v>1</v>
      </c>
      <c r="AA523">
        <v>1</v>
      </c>
      <c r="AB523">
        <v>1</v>
      </c>
      <c r="AC523">
        <v>1</v>
      </c>
      <c r="AD523">
        <v>1</v>
      </c>
      <c r="AE523">
        <v>1</v>
      </c>
      <c r="AF523">
        <v>1</v>
      </c>
      <c r="AG523" t="s">
        <v>167</v>
      </c>
      <c r="AH523" t="s">
        <v>12</v>
      </c>
      <c r="AI523" t="s">
        <v>300</v>
      </c>
      <c r="AJ523">
        <f>$H$523*$P$523</f>
        <v>0</v>
      </c>
      <c r="AK523">
        <f>$H$523*$Q$523</f>
        <v>0</v>
      </c>
      <c r="AL523">
        <f>$H$523*$R$523</f>
        <v>0</v>
      </c>
      <c r="AM523">
        <f>$H$523*$S$523</f>
        <v>0</v>
      </c>
      <c r="AN523">
        <f>$H$523*$T$523</f>
        <v>186.98</v>
      </c>
      <c r="AO523">
        <f>$H$523*$U$523</f>
        <v>186.98</v>
      </c>
      <c r="AP523">
        <f>$H$523*$V$523</f>
        <v>186.98</v>
      </c>
      <c r="AQ523">
        <f>$H$523*$W$523</f>
        <v>186.98</v>
      </c>
      <c r="AR523">
        <f>$H$523*$X$523</f>
        <v>186.98</v>
      </c>
      <c r="AS523">
        <f>$H$523*$Y$523</f>
        <v>186.98</v>
      </c>
      <c r="AT523">
        <f>$H$523*$Z$523</f>
        <v>186.98</v>
      </c>
      <c r="AU523">
        <f>$H$523*$AA$523</f>
        <v>186.98</v>
      </c>
      <c r="AV523">
        <f>$H$523*$AB$523</f>
        <v>186.98</v>
      </c>
      <c r="AW523">
        <f>$H$523*$AC$523</f>
        <v>186.98</v>
      </c>
      <c r="AX523">
        <f>$H$523*$AD$523</f>
        <v>186.98</v>
      </c>
      <c r="AY523">
        <f>$H$523*$AE$523</f>
        <v>186.98</v>
      </c>
      <c r="AZ523">
        <f>$H$523*$AF$523</f>
        <v>186.98</v>
      </c>
    </row>
    <row r="524" spans="1:52" x14ac:dyDescent="0.25">
      <c r="A524">
        <v>592</v>
      </c>
      <c r="B524" t="s">
        <v>167</v>
      </c>
      <c r="C524" t="s">
        <v>445</v>
      </c>
      <c r="D524">
        <v>31.8</v>
      </c>
      <c r="E524">
        <v>119.57</v>
      </c>
      <c r="F524" t="s">
        <v>349</v>
      </c>
      <c r="G524">
        <v>3.76</v>
      </c>
      <c r="H524">
        <v>143.49</v>
      </c>
      <c r="I524" t="s">
        <v>446</v>
      </c>
      <c r="J524" t="s">
        <v>420</v>
      </c>
      <c r="K524" t="s">
        <v>657</v>
      </c>
      <c r="L524" t="s">
        <v>179</v>
      </c>
      <c r="M524" t="s">
        <v>167</v>
      </c>
      <c r="N524" t="s">
        <v>12</v>
      </c>
      <c r="O524" t="s">
        <v>300</v>
      </c>
      <c r="P524">
        <v>0</v>
      </c>
      <c r="Q524">
        <v>0</v>
      </c>
      <c r="R524">
        <v>0</v>
      </c>
      <c r="S524">
        <v>0.25</v>
      </c>
      <c r="T524">
        <v>0.25</v>
      </c>
      <c r="U524">
        <v>0.25</v>
      </c>
      <c r="V524">
        <v>0.25</v>
      </c>
      <c r="W524">
        <v>0.25</v>
      </c>
      <c r="X524">
        <v>0.5</v>
      </c>
      <c r="Y524">
        <v>0.5</v>
      </c>
      <c r="Z524">
        <v>0.5</v>
      </c>
      <c r="AA524">
        <v>1</v>
      </c>
      <c r="AB524">
        <v>1</v>
      </c>
      <c r="AC524">
        <v>1</v>
      </c>
      <c r="AD524">
        <v>1</v>
      </c>
      <c r="AE524">
        <v>1</v>
      </c>
      <c r="AF524">
        <v>1</v>
      </c>
      <c r="AG524" t="s">
        <v>167</v>
      </c>
      <c r="AH524" t="s">
        <v>12</v>
      </c>
      <c r="AI524" t="s">
        <v>300</v>
      </c>
      <c r="AJ524">
        <f>$H$524*$P$524</f>
        <v>0</v>
      </c>
      <c r="AK524">
        <f>$H$524*$Q$524</f>
        <v>0</v>
      </c>
      <c r="AL524">
        <f>$H$524*$R$524</f>
        <v>0</v>
      </c>
      <c r="AM524">
        <f>$H$524*$S$524</f>
        <v>35.872500000000002</v>
      </c>
      <c r="AN524">
        <f>$H$524*$T$524</f>
        <v>35.872500000000002</v>
      </c>
      <c r="AO524">
        <f>$H$524*$U$524</f>
        <v>35.872500000000002</v>
      </c>
      <c r="AP524">
        <f>$H$524*$V$524</f>
        <v>35.872500000000002</v>
      </c>
      <c r="AQ524">
        <f>$H$524*$W$524</f>
        <v>35.872500000000002</v>
      </c>
      <c r="AR524">
        <f>$H$524*$X$524</f>
        <v>71.745000000000005</v>
      </c>
      <c r="AS524">
        <f>$H$524*$Y$524</f>
        <v>71.745000000000005</v>
      </c>
      <c r="AT524">
        <f>$H$524*$Z$524</f>
        <v>71.745000000000005</v>
      </c>
      <c r="AU524">
        <f>$H$524*$AA$524</f>
        <v>143.49</v>
      </c>
      <c r="AV524">
        <f>$H$524*$AB$524</f>
        <v>143.49</v>
      </c>
      <c r="AW524">
        <f>$H$524*$AC$524</f>
        <v>143.49</v>
      </c>
      <c r="AX524">
        <f>$H$524*$AD$524</f>
        <v>143.49</v>
      </c>
      <c r="AY524">
        <f>$H$524*$AE$524</f>
        <v>143.49</v>
      </c>
      <c r="AZ524">
        <f>$H$524*$AF$524</f>
        <v>143.49</v>
      </c>
    </row>
    <row r="525" spans="1:52" x14ac:dyDescent="0.25">
      <c r="A525">
        <v>593</v>
      </c>
      <c r="B525" t="s">
        <v>167</v>
      </c>
      <c r="C525" t="s">
        <v>364</v>
      </c>
      <c r="D525">
        <v>318</v>
      </c>
      <c r="E525">
        <v>1068.48</v>
      </c>
      <c r="F525" t="s">
        <v>349</v>
      </c>
      <c r="G525">
        <v>3.36</v>
      </c>
      <c r="H525">
        <v>1282.18</v>
      </c>
      <c r="I525" t="s">
        <v>365</v>
      </c>
      <c r="J525" t="s">
        <v>366</v>
      </c>
      <c r="K525" t="s">
        <v>618</v>
      </c>
      <c r="L525" t="s">
        <v>179</v>
      </c>
      <c r="M525" t="s">
        <v>167</v>
      </c>
      <c r="N525" t="s">
        <v>12</v>
      </c>
      <c r="O525" t="s">
        <v>300</v>
      </c>
      <c r="P525">
        <v>0</v>
      </c>
      <c r="Q525">
        <v>0</v>
      </c>
      <c r="R525">
        <v>0</v>
      </c>
      <c r="S525">
        <v>0.25</v>
      </c>
      <c r="T525">
        <v>0.25</v>
      </c>
      <c r="U525">
        <v>0.25</v>
      </c>
      <c r="V525">
        <v>0.25</v>
      </c>
      <c r="W525">
        <v>0.5</v>
      </c>
      <c r="X525">
        <v>0.5</v>
      </c>
      <c r="Y525">
        <v>0.5</v>
      </c>
      <c r="Z525">
        <v>0.5</v>
      </c>
      <c r="AA525">
        <v>1</v>
      </c>
      <c r="AB525">
        <v>1</v>
      </c>
      <c r="AC525">
        <v>1</v>
      </c>
      <c r="AD525">
        <v>1</v>
      </c>
      <c r="AE525">
        <v>1</v>
      </c>
      <c r="AF525">
        <v>1</v>
      </c>
      <c r="AG525" t="s">
        <v>167</v>
      </c>
      <c r="AH525" t="s">
        <v>12</v>
      </c>
      <c r="AI525" t="s">
        <v>300</v>
      </c>
      <c r="AJ525">
        <f>$H$525*$P$525</f>
        <v>0</v>
      </c>
      <c r="AK525">
        <f>$H$525*$Q$525</f>
        <v>0</v>
      </c>
      <c r="AL525">
        <f>$H$525*$R$525</f>
        <v>0</v>
      </c>
      <c r="AM525">
        <f>$H$525*$S$525</f>
        <v>320.54500000000002</v>
      </c>
      <c r="AN525">
        <f>$H$525*$T$525</f>
        <v>320.54500000000002</v>
      </c>
      <c r="AO525">
        <f>$H$525*$U$525</f>
        <v>320.54500000000002</v>
      </c>
      <c r="AP525">
        <f>$H$525*$V$525</f>
        <v>320.54500000000002</v>
      </c>
      <c r="AQ525">
        <f>$H$525*$W$525</f>
        <v>641.09</v>
      </c>
      <c r="AR525">
        <f>$H$525*$X$525</f>
        <v>641.09</v>
      </c>
      <c r="AS525">
        <f>$H$525*$Y$525</f>
        <v>641.09</v>
      </c>
      <c r="AT525">
        <f>$H$525*$Z$525</f>
        <v>641.09</v>
      </c>
      <c r="AU525">
        <f>$H$525*$AA$525</f>
        <v>1282.18</v>
      </c>
      <c r="AV525">
        <f>$H$525*$AB$525</f>
        <v>1282.18</v>
      </c>
      <c r="AW525">
        <f>$H$525*$AC$525</f>
        <v>1282.18</v>
      </c>
      <c r="AX525">
        <f>$H$525*$AD$525</f>
        <v>1282.18</v>
      </c>
      <c r="AY525">
        <f>$H$525*$AE$525</f>
        <v>1282.18</v>
      </c>
      <c r="AZ525">
        <f>$H$525*$AF$525</f>
        <v>1282.18</v>
      </c>
    </row>
    <row r="526" spans="1:52" x14ac:dyDescent="0.25">
      <c r="A526">
        <v>594</v>
      </c>
      <c r="B526" t="s">
        <v>167</v>
      </c>
      <c r="C526" t="s">
        <v>455</v>
      </c>
      <c r="D526">
        <v>35.33</v>
      </c>
      <c r="E526">
        <v>53.35</v>
      </c>
      <c r="F526" t="s">
        <v>329</v>
      </c>
      <c r="G526">
        <v>1.51</v>
      </c>
      <c r="H526">
        <v>64.03</v>
      </c>
      <c r="I526" t="s">
        <v>330</v>
      </c>
      <c r="J526" t="s">
        <v>456</v>
      </c>
      <c r="K526" t="s">
        <v>662</v>
      </c>
      <c r="L526" t="s">
        <v>179</v>
      </c>
      <c r="M526" t="s">
        <v>167</v>
      </c>
      <c r="N526" t="s">
        <v>12</v>
      </c>
      <c r="O526" t="s">
        <v>300</v>
      </c>
      <c r="P526">
        <v>0</v>
      </c>
      <c r="Q526">
        <v>0</v>
      </c>
      <c r="R526">
        <v>0</v>
      </c>
      <c r="S526">
        <v>1</v>
      </c>
      <c r="T526">
        <v>1</v>
      </c>
      <c r="U526">
        <v>1</v>
      </c>
      <c r="V526">
        <v>1</v>
      </c>
      <c r="W526">
        <v>1</v>
      </c>
      <c r="X526">
        <v>1</v>
      </c>
      <c r="Y526">
        <v>1</v>
      </c>
      <c r="Z526">
        <v>1</v>
      </c>
      <c r="AA526">
        <v>1</v>
      </c>
      <c r="AB526">
        <v>1</v>
      </c>
      <c r="AC526">
        <v>1</v>
      </c>
      <c r="AD526">
        <v>1</v>
      </c>
      <c r="AE526">
        <v>1</v>
      </c>
      <c r="AF526">
        <v>1</v>
      </c>
      <c r="AG526" t="s">
        <v>167</v>
      </c>
      <c r="AH526" t="s">
        <v>12</v>
      </c>
      <c r="AI526" t="s">
        <v>300</v>
      </c>
      <c r="AJ526">
        <f>$H$526*$P$526</f>
        <v>0</v>
      </c>
      <c r="AK526">
        <f>$H$526*$Q$526</f>
        <v>0</v>
      </c>
      <c r="AL526">
        <f>$H$526*$R$526</f>
        <v>0</v>
      </c>
      <c r="AM526">
        <f>$H$526*$S$526</f>
        <v>64.03</v>
      </c>
      <c r="AN526">
        <f>$H$526*$T$526</f>
        <v>64.03</v>
      </c>
      <c r="AO526">
        <f>$H$526*$U$526</f>
        <v>64.03</v>
      </c>
      <c r="AP526">
        <f>$H$526*$V$526</f>
        <v>64.03</v>
      </c>
      <c r="AQ526">
        <f>$H$526*$W$526</f>
        <v>64.03</v>
      </c>
      <c r="AR526">
        <f>$H$526*$X$526</f>
        <v>64.03</v>
      </c>
      <c r="AS526">
        <f>$H$526*$Y$526</f>
        <v>64.03</v>
      </c>
      <c r="AT526">
        <f>$H$526*$Z$526</f>
        <v>64.03</v>
      </c>
      <c r="AU526">
        <f>$H$526*$AA$526</f>
        <v>64.03</v>
      </c>
      <c r="AV526">
        <f>$H$526*$AB$526</f>
        <v>64.03</v>
      </c>
      <c r="AW526">
        <f>$H$526*$AC$526</f>
        <v>64.03</v>
      </c>
      <c r="AX526">
        <f>$H$526*$AD$526</f>
        <v>64.03</v>
      </c>
      <c r="AY526">
        <f>$H$526*$AE$526</f>
        <v>64.03</v>
      </c>
      <c r="AZ526">
        <f>$H$526*$AF$526</f>
        <v>64.03</v>
      </c>
    </row>
    <row r="527" spans="1:52" x14ac:dyDescent="0.25">
      <c r="A527">
        <v>595</v>
      </c>
      <c r="B527" t="s">
        <v>167</v>
      </c>
      <c r="C527" t="s">
        <v>457</v>
      </c>
      <c r="D527">
        <v>35.33</v>
      </c>
      <c r="E527">
        <v>200.67</v>
      </c>
      <c r="F527" t="s">
        <v>329</v>
      </c>
      <c r="G527">
        <v>5.68</v>
      </c>
      <c r="H527">
        <v>240.81</v>
      </c>
      <c r="I527" t="s">
        <v>333</v>
      </c>
      <c r="J527" t="s">
        <v>458</v>
      </c>
      <c r="K527" t="s">
        <v>663</v>
      </c>
      <c r="L527" t="s">
        <v>179</v>
      </c>
      <c r="M527" t="s">
        <v>167</v>
      </c>
      <c r="N527" t="s">
        <v>12</v>
      </c>
      <c r="O527" t="s">
        <v>300</v>
      </c>
      <c r="P527">
        <v>0</v>
      </c>
      <c r="Q527">
        <v>0</v>
      </c>
      <c r="R527">
        <v>0</v>
      </c>
      <c r="S527">
        <v>1</v>
      </c>
      <c r="T527">
        <v>1</v>
      </c>
      <c r="U527">
        <v>1</v>
      </c>
      <c r="V527">
        <v>1</v>
      </c>
      <c r="W527">
        <v>1</v>
      </c>
      <c r="X527">
        <v>1</v>
      </c>
      <c r="Y527">
        <v>1</v>
      </c>
      <c r="Z527">
        <v>1</v>
      </c>
      <c r="AA527">
        <v>1</v>
      </c>
      <c r="AB527">
        <v>1</v>
      </c>
      <c r="AC527">
        <v>1</v>
      </c>
      <c r="AD527">
        <v>1</v>
      </c>
      <c r="AE527">
        <v>1</v>
      </c>
      <c r="AF527">
        <v>1</v>
      </c>
      <c r="AG527" t="s">
        <v>167</v>
      </c>
      <c r="AH527" t="s">
        <v>12</v>
      </c>
      <c r="AI527" t="s">
        <v>300</v>
      </c>
      <c r="AJ527">
        <f>$H$527*$P$527</f>
        <v>0</v>
      </c>
      <c r="AK527">
        <f>$H$527*$Q$527</f>
        <v>0</v>
      </c>
      <c r="AL527">
        <f>$H$527*$R$527</f>
        <v>0</v>
      </c>
      <c r="AM527">
        <f>$H$527*$S$527</f>
        <v>240.81</v>
      </c>
      <c r="AN527">
        <f>$H$527*$T$527</f>
        <v>240.81</v>
      </c>
      <c r="AO527">
        <f>$H$527*$U$527</f>
        <v>240.81</v>
      </c>
      <c r="AP527">
        <f>$H$527*$V$527</f>
        <v>240.81</v>
      </c>
      <c r="AQ527">
        <f>$H$527*$W$527</f>
        <v>240.81</v>
      </c>
      <c r="AR527">
        <f>$H$527*$X$527</f>
        <v>240.81</v>
      </c>
      <c r="AS527">
        <f>$H$527*$Y$527</f>
        <v>240.81</v>
      </c>
      <c r="AT527">
        <f>$H$527*$Z$527</f>
        <v>240.81</v>
      </c>
      <c r="AU527">
        <f>$H$527*$AA$527</f>
        <v>240.81</v>
      </c>
      <c r="AV527">
        <f>$H$527*$AB$527</f>
        <v>240.81</v>
      </c>
      <c r="AW527">
        <f>$H$527*$AC$527</f>
        <v>240.81</v>
      </c>
      <c r="AX527">
        <f>$H$527*$AD$527</f>
        <v>240.81</v>
      </c>
      <c r="AY527">
        <f>$H$527*$AE$527</f>
        <v>240.81</v>
      </c>
      <c r="AZ527">
        <f>$H$527*$AF$527</f>
        <v>240.81</v>
      </c>
    </row>
    <row r="528" spans="1:52" x14ac:dyDescent="0.25">
      <c r="A528">
        <v>596</v>
      </c>
      <c r="B528" t="s">
        <v>167</v>
      </c>
      <c r="C528" t="s">
        <v>364</v>
      </c>
      <c r="D528">
        <v>77.03</v>
      </c>
      <c r="E528">
        <v>258.82</v>
      </c>
      <c r="F528" t="s">
        <v>349</v>
      </c>
      <c r="G528">
        <v>3.36</v>
      </c>
      <c r="H528">
        <v>310.58</v>
      </c>
      <c r="I528" t="s">
        <v>365</v>
      </c>
      <c r="J528" t="s">
        <v>366</v>
      </c>
      <c r="K528" t="s">
        <v>618</v>
      </c>
      <c r="L528" t="s">
        <v>179</v>
      </c>
      <c r="M528" t="s">
        <v>167</v>
      </c>
      <c r="N528" t="s">
        <v>12</v>
      </c>
      <c r="O528" t="s">
        <v>300</v>
      </c>
      <c r="P528">
        <v>0</v>
      </c>
      <c r="Q528">
        <v>0</v>
      </c>
      <c r="R528">
        <v>0</v>
      </c>
      <c r="S528">
        <v>0.25</v>
      </c>
      <c r="T528">
        <v>0.25</v>
      </c>
      <c r="U528">
        <v>0.25</v>
      </c>
      <c r="V528">
        <v>0.25</v>
      </c>
      <c r="W528">
        <v>0.5</v>
      </c>
      <c r="X528">
        <v>0.5</v>
      </c>
      <c r="Y528">
        <v>0.5</v>
      </c>
      <c r="Z528">
        <v>0.5</v>
      </c>
      <c r="AA528">
        <v>1</v>
      </c>
      <c r="AB528">
        <v>1</v>
      </c>
      <c r="AC528">
        <v>1</v>
      </c>
      <c r="AD528">
        <v>1</v>
      </c>
      <c r="AE528">
        <v>1</v>
      </c>
      <c r="AF528">
        <v>1</v>
      </c>
      <c r="AG528" t="s">
        <v>167</v>
      </c>
      <c r="AH528" t="s">
        <v>12</v>
      </c>
      <c r="AI528" t="s">
        <v>300</v>
      </c>
      <c r="AJ528">
        <f>$H$528*$P$528</f>
        <v>0</v>
      </c>
      <c r="AK528">
        <f>$H$528*$Q$528</f>
        <v>0</v>
      </c>
      <c r="AL528">
        <f>$H$528*$R$528</f>
        <v>0</v>
      </c>
      <c r="AM528">
        <f>$H$528*$S$528</f>
        <v>77.644999999999996</v>
      </c>
      <c r="AN528">
        <f>$H$528*$T$528</f>
        <v>77.644999999999996</v>
      </c>
      <c r="AO528">
        <f>$H$528*$U$528</f>
        <v>77.644999999999996</v>
      </c>
      <c r="AP528">
        <f>$H$528*$V$528</f>
        <v>77.644999999999996</v>
      </c>
      <c r="AQ528">
        <f>$H$528*$W$528</f>
        <v>155.29</v>
      </c>
      <c r="AR528">
        <f>$H$528*$X$528</f>
        <v>155.29</v>
      </c>
      <c r="AS528">
        <f>$H$528*$Y$528</f>
        <v>155.29</v>
      </c>
      <c r="AT528">
        <f>$H$528*$Z$528</f>
        <v>155.29</v>
      </c>
      <c r="AU528">
        <f>$H$528*$AA$528</f>
        <v>310.58</v>
      </c>
      <c r="AV528">
        <f>$H$528*$AB$528</f>
        <v>310.58</v>
      </c>
      <c r="AW528">
        <f>$H$528*$AC$528</f>
        <v>310.58</v>
      </c>
      <c r="AX528">
        <f>$H$528*$AD$528</f>
        <v>310.58</v>
      </c>
      <c r="AY528">
        <f>$H$528*$AE$528</f>
        <v>310.58</v>
      </c>
      <c r="AZ528">
        <f>$H$528*$AF$528</f>
        <v>310.58</v>
      </c>
    </row>
    <row r="529" spans="1:52" x14ac:dyDescent="0.25">
      <c r="A529">
        <v>597</v>
      </c>
      <c r="B529" t="s">
        <v>167</v>
      </c>
      <c r="C529" t="s">
        <v>443</v>
      </c>
      <c r="D529">
        <v>77.03</v>
      </c>
      <c r="E529">
        <v>48.53</v>
      </c>
      <c r="F529" t="s">
        <v>349</v>
      </c>
      <c r="G529">
        <v>0.63</v>
      </c>
      <c r="H529">
        <v>58.23</v>
      </c>
      <c r="I529" t="s">
        <v>330</v>
      </c>
      <c r="J529" t="s">
        <v>444</v>
      </c>
      <c r="K529" t="s">
        <v>656</v>
      </c>
      <c r="L529" t="s">
        <v>179</v>
      </c>
      <c r="M529" t="s">
        <v>167</v>
      </c>
      <c r="N529" t="s">
        <v>12</v>
      </c>
      <c r="O529" t="s">
        <v>300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1</v>
      </c>
      <c r="AE529">
        <v>1</v>
      </c>
      <c r="AF529">
        <v>1</v>
      </c>
      <c r="AG529" t="s">
        <v>167</v>
      </c>
      <c r="AH529" t="s">
        <v>12</v>
      </c>
      <c r="AI529" t="s">
        <v>300</v>
      </c>
      <c r="AJ529">
        <f>$H$529*$P$529</f>
        <v>0</v>
      </c>
      <c r="AK529">
        <f>$H$529*$Q$529</f>
        <v>0</v>
      </c>
      <c r="AL529">
        <f>$H$529*$R$529</f>
        <v>0</v>
      </c>
      <c r="AM529">
        <f>$H$529*$S$529</f>
        <v>0</v>
      </c>
      <c r="AN529">
        <f>$H$529*$T$529</f>
        <v>0</v>
      </c>
      <c r="AO529">
        <f>$H$529*$U$529</f>
        <v>0</v>
      </c>
      <c r="AP529">
        <f>$H$529*$V$529</f>
        <v>0</v>
      </c>
      <c r="AQ529">
        <f>$H$529*$W$529</f>
        <v>0</v>
      </c>
      <c r="AR529">
        <f>$H$529*$X$529</f>
        <v>0</v>
      </c>
      <c r="AS529">
        <f>$H$529*$Y$529</f>
        <v>0</v>
      </c>
      <c r="AT529">
        <f>$H$529*$Z$529</f>
        <v>0</v>
      </c>
      <c r="AU529">
        <f>$H$529*$AA$529</f>
        <v>0</v>
      </c>
      <c r="AV529">
        <f>$H$529*$AB$529</f>
        <v>0</v>
      </c>
      <c r="AW529">
        <f>$H$529*$AC$529</f>
        <v>0</v>
      </c>
      <c r="AX529">
        <f>$H$529*$AD$529</f>
        <v>58.23</v>
      </c>
      <c r="AY529">
        <f>$H$529*$AE$529</f>
        <v>58.23</v>
      </c>
      <c r="AZ529">
        <f>$H$529*$AF$529</f>
        <v>58.23</v>
      </c>
    </row>
    <row r="530" spans="1:52" x14ac:dyDescent="0.25">
      <c r="A530">
        <v>598</v>
      </c>
      <c r="B530" t="s">
        <v>167</v>
      </c>
      <c r="C530" t="s">
        <v>459</v>
      </c>
      <c r="D530">
        <v>77.03</v>
      </c>
      <c r="E530">
        <v>53.15</v>
      </c>
      <c r="F530" t="s">
        <v>349</v>
      </c>
      <c r="G530">
        <v>0.69</v>
      </c>
      <c r="H530">
        <v>63.79</v>
      </c>
      <c r="I530" t="s">
        <v>330</v>
      </c>
      <c r="J530" t="s">
        <v>460</v>
      </c>
      <c r="K530" t="s">
        <v>664</v>
      </c>
      <c r="L530" t="s">
        <v>179</v>
      </c>
      <c r="M530" t="s">
        <v>167</v>
      </c>
      <c r="N530" t="s">
        <v>12</v>
      </c>
      <c r="O530" t="s">
        <v>300</v>
      </c>
      <c r="P530">
        <v>0</v>
      </c>
      <c r="Q530">
        <v>0</v>
      </c>
      <c r="R530">
        <v>0</v>
      </c>
      <c r="S530">
        <v>1</v>
      </c>
      <c r="T530">
        <v>1</v>
      </c>
      <c r="U530">
        <v>1</v>
      </c>
      <c r="V530">
        <v>1</v>
      </c>
      <c r="W530">
        <v>1</v>
      </c>
      <c r="X530">
        <v>1</v>
      </c>
      <c r="Y530">
        <v>1</v>
      </c>
      <c r="Z530">
        <v>1</v>
      </c>
      <c r="AA530">
        <v>1</v>
      </c>
      <c r="AB530">
        <v>1</v>
      </c>
      <c r="AC530">
        <v>1</v>
      </c>
      <c r="AD530">
        <v>1</v>
      </c>
      <c r="AE530">
        <v>1</v>
      </c>
      <c r="AF530">
        <v>1</v>
      </c>
      <c r="AG530" t="s">
        <v>167</v>
      </c>
      <c r="AH530" t="s">
        <v>12</v>
      </c>
      <c r="AI530" t="s">
        <v>300</v>
      </c>
      <c r="AJ530">
        <f>$H$530*$P$530</f>
        <v>0</v>
      </c>
      <c r="AK530">
        <f>$H$530*$Q$530</f>
        <v>0</v>
      </c>
      <c r="AL530">
        <f>$H$530*$R$530</f>
        <v>0</v>
      </c>
      <c r="AM530">
        <f>$H$530*$S$530</f>
        <v>63.79</v>
      </c>
      <c r="AN530">
        <f>$H$530*$T$530</f>
        <v>63.79</v>
      </c>
      <c r="AO530">
        <f>$H$530*$U$530</f>
        <v>63.79</v>
      </c>
      <c r="AP530">
        <f>$H$530*$V$530</f>
        <v>63.79</v>
      </c>
      <c r="AQ530">
        <f>$H$530*$W$530</f>
        <v>63.79</v>
      </c>
      <c r="AR530">
        <f>$H$530*$X$530</f>
        <v>63.79</v>
      </c>
      <c r="AS530">
        <f>$H$530*$Y$530</f>
        <v>63.79</v>
      </c>
      <c r="AT530">
        <f>$H$530*$Z$530</f>
        <v>63.79</v>
      </c>
      <c r="AU530">
        <f>$H$530*$AA$530</f>
        <v>63.79</v>
      </c>
      <c r="AV530">
        <f>$H$530*$AB$530</f>
        <v>63.79</v>
      </c>
      <c r="AW530">
        <f>$H$530*$AC$530</f>
        <v>63.79</v>
      </c>
      <c r="AX530">
        <f>$H$530*$AD$530</f>
        <v>63.79</v>
      </c>
      <c r="AY530">
        <f>$H$530*$AE$530</f>
        <v>63.79</v>
      </c>
      <c r="AZ530">
        <f>$H$530*$AF$530</f>
        <v>63.79</v>
      </c>
    </row>
    <row r="531" spans="1:52" x14ac:dyDescent="0.25">
      <c r="A531">
        <v>599</v>
      </c>
      <c r="B531" t="s">
        <v>167</v>
      </c>
      <c r="C531" t="s">
        <v>461</v>
      </c>
      <c r="D531">
        <v>15.41</v>
      </c>
      <c r="E531">
        <v>267.36</v>
      </c>
      <c r="F531" t="s">
        <v>349</v>
      </c>
      <c r="G531">
        <v>17.350000000000001</v>
      </c>
      <c r="H531">
        <v>320.83999999999997</v>
      </c>
      <c r="I531" t="s">
        <v>462</v>
      </c>
      <c r="J531" t="s">
        <v>463</v>
      </c>
      <c r="K531" t="s">
        <v>665</v>
      </c>
      <c r="L531" t="s">
        <v>179</v>
      </c>
      <c r="M531" t="s">
        <v>167</v>
      </c>
      <c r="N531" t="s">
        <v>12</v>
      </c>
      <c r="O531" t="s">
        <v>300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1</v>
      </c>
      <c r="Z531">
        <v>1</v>
      </c>
      <c r="AA531">
        <v>1</v>
      </c>
      <c r="AB531">
        <v>1</v>
      </c>
      <c r="AC531">
        <v>1</v>
      </c>
      <c r="AD531">
        <v>1</v>
      </c>
      <c r="AE531">
        <v>1</v>
      </c>
      <c r="AF531">
        <v>1</v>
      </c>
      <c r="AG531" t="s">
        <v>167</v>
      </c>
      <c r="AH531" t="s">
        <v>12</v>
      </c>
      <c r="AI531" t="s">
        <v>300</v>
      </c>
      <c r="AJ531">
        <f>$H$531*$P$531</f>
        <v>0</v>
      </c>
      <c r="AK531">
        <f>$H$531*$Q$531</f>
        <v>0</v>
      </c>
      <c r="AL531">
        <f>$H$531*$R$531</f>
        <v>0</v>
      </c>
      <c r="AM531">
        <f>$H$531*$S$531</f>
        <v>0</v>
      </c>
      <c r="AN531">
        <f>$H$531*$T$531</f>
        <v>0</v>
      </c>
      <c r="AO531">
        <f>$H$531*$U$531</f>
        <v>0</v>
      </c>
      <c r="AP531">
        <f>$H$531*$V$531</f>
        <v>0</v>
      </c>
      <c r="AQ531">
        <f>$H$531*$W$531</f>
        <v>0</v>
      </c>
      <c r="AR531">
        <f>$H$531*$X$531</f>
        <v>0</v>
      </c>
      <c r="AS531">
        <f>$H$531*$Y$531</f>
        <v>320.83999999999997</v>
      </c>
      <c r="AT531">
        <f>$H$531*$Z$531</f>
        <v>320.83999999999997</v>
      </c>
      <c r="AU531">
        <f>$H$531*$AA$531</f>
        <v>320.83999999999997</v>
      </c>
      <c r="AV531">
        <f>$H$531*$AB$531</f>
        <v>320.83999999999997</v>
      </c>
      <c r="AW531">
        <f>$H$531*$AC$531</f>
        <v>320.83999999999997</v>
      </c>
      <c r="AX531">
        <f>$H$531*$AD$531</f>
        <v>320.83999999999997</v>
      </c>
      <c r="AY531">
        <f>$H$531*$AE$531</f>
        <v>320.83999999999997</v>
      </c>
      <c r="AZ531">
        <f>$H$531*$AF$531</f>
        <v>320.83999999999997</v>
      </c>
    </row>
    <row r="532" spans="1:52" x14ac:dyDescent="0.25">
      <c r="A532">
        <v>600</v>
      </c>
      <c r="B532" t="s">
        <v>167</v>
      </c>
      <c r="C532" t="s">
        <v>464</v>
      </c>
      <c r="D532">
        <v>30.81</v>
      </c>
      <c r="E532">
        <v>110.3</v>
      </c>
      <c r="F532" t="s">
        <v>349</v>
      </c>
      <c r="G532">
        <v>3.58</v>
      </c>
      <c r="H532">
        <v>132.36000000000001</v>
      </c>
      <c r="I532" t="s">
        <v>465</v>
      </c>
      <c r="J532" t="s">
        <v>466</v>
      </c>
      <c r="K532" t="s">
        <v>666</v>
      </c>
      <c r="L532" t="s">
        <v>179</v>
      </c>
      <c r="M532" t="s">
        <v>167</v>
      </c>
      <c r="N532" t="s">
        <v>12</v>
      </c>
      <c r="O532" t="s">
        <v>300</v>
      </c>
      <c r="P532">
        <v>0</v>
      </c>
      <c r="Q532">
        <v>0</v>
      </c>
      <c r="R532">
        <v>0</v>
      </c>
      <c r="S532">
        <v>1</v>
      </c>
      <c r="T532">
        <v>1</v>
      </c>
      <c r="U532">
        <v>1</v>
      </c>
      <c r="V532">
        <v>1</v>
      </c>
      <c r="W532">
        <v>1</v>
      </c>
      <c r="X532">
        <v>1</v>
      </c>
      <c r="Y532">
        <v>1</v>
      </c>
      <c r="Z532">
        <v>1</v>
      </c>
      <c r="AA532">
        <v>1</v>
      </c>
      <c r="AB532">
        <v>1</v>
      </c>
      <c r="AC532">
        <v>1</v>
      </c>
      <c r="AD532">
        <v>1</v>
      </c>
      <c r="AE532">
        <v>1</v>
      </c>
      <c r="AF532">
        <v>1</v>
      </c>
      <c r="AG532" t="s">
        <v>167</v>
      </c>
      <c r="AH532" t="s">
        <v>12</v>
      </c>
      <c r="AI532" t="s">
        <v>300</v>
      </c>
      <c r="AJ532">
        <f>$H$532*$P$532</f>
        <v>0</v>
      </c>
      <c r="AK532">
        <f>$H$532*$Q$532</f>
        <v>0</v>
      </c>
      <c r="AL532">
        <f>$H$532*$R$532</f>
        <v>0</v>
      </c>
      <c r="AM532">
        <f>$H$532*$S$532</f>
        <v>132.36000000000001</v>
      </c>
      <c r="AN532">
        <f>$H$532*$T$532</f>
        <v>132.36000000000001</v>
      </c>
      <c r="AO532">
        <f>$H$532*$U$532</f>
        <v>132.36000000000001</v>
      </c>
      <c r="AP532">
        <f>$H$532*$V$532</f>
        <v>132.36000000000001</v>
      </c>
      <c r="AQ532">
        <f>$H$532*$W$532</f>
        <v>132.36000000000001</v>
      </c>
      <c r="AR532">
        <f>$H$532*$X$532</f>
        <v>132.36000000000001</v>
      </c>
      <c r="AS532">
        <f>$H$532*$Y$532</f>
        <v>132.36000000000001</v>
      </c>
      <c r="AT532">
        <f>$H$532*$Z$532</f>
        <v>132.36000000000001</v>
      </c>
      <c r="AU532">
        <f>$H$532*$AA$532</f>
        <v>132.36000000000001</v>
      </c>
      <c r="AV532">
        <f>$H$532*$AB$532</f>
        <v>132.36000000000001</v>
      </c>
      <c r="AW532">
        <f>$H$532*$AC$532</f>
        <v>132.36000000000001</v>
      </c>
      <c r="AX532">
        <f>$H$532*$AD$532</f>
        <v>132.36000000000001</v>
      </c>
      <c r="AY532">
        <f>$H$532*$AE$532</f>
        <v>132.36000000000001</v>
      </c>
      <c r="AZ532">
        <f>$H$532*$AF$532</f>
        <v>132.36000000000001</v>
      </c>
    </row>
    <row r="533" spans="1:52" x14ac:dyDescent="0.25">
      <c r="A533">
        <v>601</v>
      </c>
      <c r="B533" t="s">
        <v>167</v>
      </c>
      <c r="C533" t="s">
        <v>467</v>
      </c>
      <c r="D533">
        <v>30.81</v>
      </c>
      <c r="E533">
        <v>303.48</v>
      </c>
      <c r="F533" t="s">
        <v>349</v>
      </c>
      <c r="G533">
        <v>9.85</v>
      </c>
      <c r="H533">
        <v>364.18</v>
      </c>
      <c r="I533" t="s">
        <v>465</v>
      </c>
      <c r="J533" t="s">
        <v>372</v>
      </c>
      <c r="K533" t="s">
        <v>667</v>
      </c>
      <c r="L533" t="s">
        <v>179</v>
      </c>
      <c r="M533" t="s">
        <v>167</v>
      </c>
      <c r="N533" t="s">
        <v>12</v>
      </c>
      <c r="O533" t="s">
        <v>300</v>
      </c>
      <c r="P533">
        <v>0</v>
      </c>
      <c r="Q533">
        <v>0</v>
      </c>
      <c r="R533">
        <v>0</v>
      </c>
      <c r="S533">
        <v>1</v>
      </c>
      <c r="T533">
        <v>1</v>
      </c>
      <c r="U533">
        <v>1</v>
      </c>
      <c r="V533">
        <v>1</v>
      </c>
      <c r="W533">
        <v>1</v>
      </c>
      <c r="X533">
        <v>1</v>
      </c>
      <c r="Y533">
        <v>1</v>
      </c>
      <c r="Z533">
        <v>1</v>
      </c>
      <c r="AA533">
        <v>1</v>
      </c>
      <c r="AB533">
        <v>1</v>
      </c>
      <c r="AC533">
        <v>1</v>
      </c>
      <c r="AD533">
        <v>1</v>
      </c>
      <c r="AE533">
        <v>1</v>
      </c>
      <c r="AF533">
        <v>1</v>
      </c>
      <c r="AG533" t="s">
        <v>167</v>
      </c>
      <c r="AH533" t="s">
        <v>12</v>
      </c>
      <c r="AI533" t="s">
        <v>300</v>
      </c>
      <c r="AJ533">
        <f>$H$533*$P$533</f>
        <v>0</v>
      </c>
      <c r="AK533">
        <f>$H$533*$Q$533</f>
        <v>0</v>
      </c>
      <c r="AL533">
        <f>$H$533*$R$533</f>
        <v>0</v>
      </c>
      <c r="AM533">
        <f>$H$533*$S$533</f>
        <v>364.18</v>
      </c>
      <c r="AN533">
        <f>$H$533*$T$533</f>
        <v>364.18</v>
      </c>
      <c r="AO533">
        <f>$H$533*$U$533</f>
        <v>364.18</v>
      </c>
      <c r="AP533">
        <f>$H$533*$V$533</f>
        <v>364.18</v>
      </c>
      <c r="AQ533">
        <f>$H$533*$W$533</f>
        <v>364.18</v>
      </c>
      <c r="AR533">
        <f>$H$533*$X$533</f>
        <v>364.18</v>
      </c>
      <c r="AS533">
        <f>$H$533*$Y$533</f>
        <v>364.18</v>
      </c>
      <c r="AT533">
        <f>$H$533*$Z$533</f>
        <v>364.18</v>
      </c>
      <c r="AU533">
        <f>$H$533*$AA$533</f>
        <v>364.18</v>
      </c>
      <c r="AV533">
        <f>$H$533*$AB$533</f>
        <v>364.18</v>
      </c>
      <c r="AW533">
        <f>$H$533*$AC$533</f>
        <v>364.18</v>
      </c>
      <c r="AX533">
        <f>$H$533*$AD$533</f>
        <v>364.18</v>
      </c>
      <c r="AY533">
        <f>$H$533*$AE$533</f>
        <v>364.18</v>
      </c>
      <c r="AZ533">
        <f>$H$533*$AF$533</f>
        <v>364.18</v>
      </c>
    </row>
    <row r="534" spans="1:52" x14ac:dyDescent="0.25">
      <c r="A534">
        <v>602</v>
      </c>
      <c r="B534" t="s">
        <v>167</v>
      </c>
      <c r="C534" t="s">
        <v>468</v>
      </c>
      <c r="D534">
        <v>35.43</v>
      </c>
      <c r="E534">
        <v>36.14</v>
      </c>
      <c r="F534" t="s">
        <v>349</v>
      </c>
      <c r="G534">
        <v>1.02</v>
      </c>
      <c r="H534">
        <v>43.36</v>
      </c>
      <c r="I534" t="s">
        <v>469</v>
      </c>
      <c r="J534" t="s">
        <v>470</v>
      </c>
      <c r="K534" t="s">
        <v>668</v>
      </c>
      <c r="L534" t="s">
        <v>179</v>
      </c>
      <c r="M534" t="s">
        <v>167</v>
      </c>
      <c r="N534" t="s">
        <v>12</v>
      </c>
      <c r="O534" t="s">
        <v>300</v>
      </c>
      <c r="P534">
        <v>0</v>
      </c>
      <c r="Q534">
        <v>0</v>
      </c>
      <c r="R534">
        <v>0</v>
      </c>
      <c r="S534">
        <v>1</v>
      </c>
      <c r="T534">
        <v>1</v>
      </c>
      <c r="U534">
        <v>1</v>
      </c>
      <c r="V534">
        <v>1</v>
      </c>
      <c r="W534">
        <v>1</v>
      </c>
      <c r="X534">
        <v>1</v>
      </c>
      <c r="Y534">
        <v>1</v>
      </c>
      <c r="Z534">
        <v>1</v>
      </c>
      <c r="AA534">
        <v>1</v>
      </c>
      <c r="AB534">
        <v>1</v>
      </c>
      <c r="AC534">
        <v>1</v>
      </c>
      <c r="AD534">
        <v>1</v>
      </c>
      <c r="AE534">
        <v>1</v>
      </c>
      <c r="AF534">
        <v>1</v>
      </c>
      <c r="AG534" t="s">
        <v>167</v>
      </c>
      <c r="AH534" t="s">
        <v>12</v>
      </c>
      <c r="AI534" t="s">
        <v>300</v>
      </c>
      <c r="AJ534">
        <f>$H$534*$P$534</f>
        <v>0</v>
      </c>
      <c r="AK534">
        <f>$H$534*$Q$534</f>
        <v>0</v>
      </c>
      <c r="AL534">
        <f>$H$534*$R$534</f>
        <v>0</v>
      </c>
      <c r="AM534">
        <f>$H$534*$S$534</f>
        <v>43.36</v>
      </c>
      <c r="AN534">
        <f>$H$534*$T$534</f>
        <v>43.36</v>
      </c>
      <c r="AO534">
        <f>$H$534*$U$534</f>
        <v>43.36</v>
      </c>
      <c r="AP534">
        <f>$H$534*$V$534</f>
        <v>43.36</v>
      </c>
      <c r="AQ534">
        <f>$H$534*$W$534</f>
        <v>43.36</v>
      </c>
      <c r="AR534">
        <f>$H$534*$X$534</f>
        <v>43.36</v>
      </c>
      <c r="AS534">
        <f>$H$534*$Y$534</f>
        <v>43.36</v>
      </c>
      <c r="AT534">
        <f>$H$534*$Z$534</f>
        <v>43.36</v>
      </c>
      <c r="AU534">
        <f>$H$534*$AA$534</f>
        <v>43.36</v>
      </c>
      <c r="AV534">
        <f>$H$534*$AB$534</f>
        <v>43.36</v>
      </c>
      <c r="AW534">
        <f>$H$534*$AC$534</f>
        <v>43.36</v>
      </c>
      <c r="AX534">
        <f>$H$534*$AD$534</f>
        <v>43.36</v>
      </c>
      <c r="AY534">
        <f>$H$534*$AE$534</f>
        <v>43.36</v>
      </c>
      <c r="AZ534">
        <f>$H$534*$AF$534</f>
        <v>43.36</v>
      </c>
    </row>
    <row r="535" spans="1:52" x14ac:dyDescent="0.25">
      <c r="A535">
        <v>603</v>
      </c>
      <c r="B535" t="s">
        <v>167</v>
      </c>
      <c r="C535" t="s">
        <v>471</v>
      </c>
      <c r="D535">
        <v>35.43</v>
      </c>
      <c r="E535">
        <v>327.02</v>
      </c>
      <c r="F535" t="s">
        <v>349</v>
      </c>
      <c r="G535">
        <v>9.23</v>
      </c>
      <c r="H535">
        <v>392.42</v>
      </c>
      <c r="I535" t="s">
        <v>469</v>
      </c>
      <c r="J535" t="s">
        <v>463</v>
      </c>
      <c r="K535" t="s">
        <v>669</v>
      </c>
      <c r="L535" t="s">
        <v>179</v>
      </c>
      <c r="M535" t="s">
        <v>167</v>
      </c>
      <c r="N535" t="s">
        <v>12</v>
      </c>
      <c r="O535" t="s">
        <v>300</v>
      </c>
      <c r="P535">
        <v>0</v>
      </c>
      <c r="Q535">
        <v>0</v>
      </c>
      <c r="R535">
        <v>0</v>
      </c>
      <c r="S535">
        <v>1</v>
      </c>
      <c r="T535">
        <v>1</v>
      </c>
      <c r="U535">
        <v>1</v>
      </c>
      <c r="V535">
        <v>1</v>
      </c>
      <c r="W535">
        <v>1</v>
      </c>
      <c r="X535">
        <v>1</v>
      </c>
      <c r="Y535">
        <v>1</v>
      </c>
      <c r="Z535">
        <v>1</v>
      </c>
      <c r="AA535">
        <v>1</v>
      </c>
      <c r="AB535">
        <v>1</v>
      </c>
      <c r="AC535">
        <v>1</v>
      </c>
      <c r="AD535">
        <v>1</v>
      </c>
      <c r="AE535">
        <v>1</v>
      </c>
      <c r="AF535">
        <v>1</v>
      </c>
      <c r="AG535" t="s">
        <v>167</v>
      </c>
      <c r="AH535" t="s">
        <v>12</v>
      </c>
      <c r="AI535" t="s">
        <v>300</v>
      </c>
      <c r="AJ535">
        <f>$H$535*$P$535</f>
        <v>0</v>
      </c>
      <c r="AK535">
        <f>$H$535*$Q$535</f>
        <v>0</v>
      </c>
      <c r="AL535">
        <f>$H$535*$R$535</f>
        <v>0</v>
      </c>
      <c r="AM535">
        <f>$H$535*$S$535</f>
        <v>392.42</v>
      </c>
      <c r="AN535">
        <f>$H$535*$T$535</f>
        <v>392.42</v>
      </c>
      <c r="AO535">
        <f>$H$535*$U$535</f>
        <v>392.42</v>
      </c>
      <c r="AP535">
        <f>$H$535*$V$535</f>
        <v>392.42</v>
      </c>
      <c r="AQ535">
        <f>$H$535*$W$535</f>
        <v>392.42</v>
      </c>
      <c r="AR535">
        <f>$H$535*$X$535</f>
        <v>392.42</v>
      </c>
      <c r="AS535">
        <f>$H$535*$Y$535</f>
        <v>392.42</v>
      </c>
      <c r="AT535">
        <f>$H$535*$Z$535</f>
        <v>392.42</v>
      </c>
      <c r="AU535">
        <f>$H$535*$AA$535</f>
        <v>392.42</v>
      </c>
      <c r="AV535">
        <f>$H$535*$AB$535</f>
        <v>392.42</v>
      </c>
      <c r="AW535">
        <f>$H$535*$AC$535</f>
        <v>392.42</v>
      </c>
      <c r="AX535">
        <f>$H$535*$AD$535</f>
        <v>392.42</v>
      </c>
      <c r="AY535">
        <f>$H$535*$AE$535</f>
        <v>392.42</v>
      </c>
      <c r="AZ535">
        <f>$H$535*$AF$535</f>
        <v>392.42</v>
      </c>
    </row>
    <row r="536" spans="1:52" x14ac:dyDescent="0.25">
      <c r="A536">
        <v>604</v>
      </c>
      <c r="B536" t="s">
        <v>307</v>
      </c>
      <c r="C536" t="s">
        <v>435</v>
      </c>
      <c r="D536">
        <v>6</v>
      </c>
      <c r="E536">
        <v>79.62</v>
      </c>
      <c r="F536" t="s">
        <v>335</v>
      </c>
      <c r="G536">
        <v>13.27</v>
      </c>
      <c r="H536">
        <v>95.54</v>
      </c>
      <c r="I536" t="s">
        <v>337</v>
      </c>
      <c r="J536" t="s">
        <v>436</v>
      </c>
      <c r="K536" t="s">
        <v>652</v>
      </c>
      <c r="L536" t="s">
        <v>179</v>
      </c>
      <c r="M536" t="s">
        <v>307</v>
      </c>
      <c r="N536" t="s">
        <v>12</v>
      </c>
      <c r="O536" t="s">
        <v>15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1</v>
      </c>
      <c r="Y536">
        <v>1</v>
      </c>
      <c r="Z536">
        <v>1</v>
      </c>
      <c r="AA536">
        <v>1</v>
      </c>
      <c r="AB536">
        <v>1</v>
      </c>
      <c r="AC536">
        <v>1</v>
      </c>
      <c r="AD536">
        <v>1</v>
      </c>
      <c r="AE536">
        <v>1</v>
      </c>
      <c r="AF536">
        <v>1</v>
      </c>
      <c r="AG536" t="s">
        <v>307</v>
      </c>
      <c r="AH536" t="s">
        <v>12</v>
      </c>
      <c r="AI536" t="s">
        <v>15</v>
      </c>
      <c r="AJ536">
        <f>$H$536*$P$536</f>
        <v>0</v>
      </c>
      <c r="AK536">
        <f>$H$536*$Q$536</f>
        <v>0</v>
      </c>
      <c r="AL536">
        <f>$H$536*$R$536</f>
        <v>0</v>
      </c>
      <c r="AM536">
        <f>$H$536*$S$536</f>
        <v>0</v>
      </c>
      <c r="AN536">
        <f>$H$536*$T$536</f>
        <v>0</v>
      </c>
      <c r="AO536">
        <f>$H$536*$U$536</f>
        <v>0</v>
      </c>
      <c r="AP536">
        <f>$H$536*$V$536</f>
        <v>0</v>
      </c>
      <c r="AQ536">
        <f>$H$536*$W$536</f>
        <v>0</v>
      </c>
      <c r="AR536">
        <f>$H$536*$X$536</f>
        <v>95.54</v>
      </c>
      <c r="AS536">
        <f>$H$536*$Y$536</f>
        <v>95.54</v>
      </c>
      <c r="AT536">
        <f>$H$536*$Z$536</f>
        <v>95.54</v>
      </c>
      <c r="AU536">
        <f>$H$536*$AA$536</f>
        <v>95.54</v>
      </c>
      <c r="AV536">
        <f>$H$536*$AB$536</f>
        <v>95.54</v>
      </c>
      <c r="AW536">
        <f>$H$536*$AC$536</f>
        <v>95.54</v>
      </c>
      <c r="AX536">
        <f>$H$536*$AD$536</f>
        <v>95.54</v>
      </c>
      <c r="AY536">
        <f>$H$536*$AE$536</f>
        <v>95.54</v>
      </c>
      <c r="AZ536">
        <f>$H$536*$AF$536</f>
        <v>95.54</v>
      </c>
    </row>
    <row r="537" spans="1:52" x14ac:dyDescent="0.25">
      <c r="A537">
        <v>605</v>
      </c>
      <c r="B537" t="s">
        <v>307</v>
      </c>
      <c r="C537" t="s">
        <v>358</v>
      </c>
      <c r="D537">
        <v>52</v>
      </c>
      <c r="E537">
        <v>230.88</v>
      </c>
      <c r="F537" t="s">
        <v>329</v>
      </c>
      <c r="G537">
        <v>4.4400000000000004</v>
      </c>
      <c r="H537">
        <v>277.06</v>
      </c>
      <c r="I537" t="s">
        <v>330</v>
      </c>
      <c r="J537" t="s">
        <v>359</v>
      </c>
      <c r="K537" t="s">
        <v>615</v>
      </c>
      <c r="L537" t="s">
        <v>179</v>
      </c>
      <c r="M537" t="s">
        <v>307</v>
      </c>
      <c r="N537" t="s">
        <v>12</v>
      </c>
      <c r="O537" t="s">
        <v>15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1</v>
      </c>
      <c r="AB537">
        <v>1</v>
      </c>
      <c r="AC537">
        <v>1</v>
      </c>
      <c r="AD537">
        <v>1</v>
      </c>
      <c r="AE537">
        <v>1</v>
      </c>
      <c r="AF537">
        <v>1</v>
      </c>
      <c r="AG537" t="s">
        <v>307</v>
      </c>
      <c r="AH537" t="s">
        <v>12</v>
      </c>
      <c r="AI537" t="s">
        <v>15</v>
      </c>
      <c r="AJ537">
        <f>$H$537*$P$537</f>
        <v>0</v>
      </c>
      <c r="AK537">
        <f>$H$537*$Q$537</f>
        <v>0</v>
      </c>
      <c r="AL537">
        <f>$H$537*$R$537</f>
        <v>0</v>
      </c>
      <c r="AM537">
        <f>$H$537*$S$537</f>
        <v>0</v>
      </c>
      <c r="AN537">
        <f>$H$537*$T$537</f>
        <v>0</v>
      </c>
      <c r="AO537">
        <f>$H$537*$U$537</f>
        <v>0</v>
      </c>
      <c r="AP537">
        <f>$H$537*$V$537</f>
        <v>0</v>
      </c>
      <c r="AQ537">
        <f>$H$537*$W$537</f>
        <v>0</v>
      </c>
      <c r="AR537">
        <f>$H$537*$X$537</f>
        <v>0</v>
      </c>
      <c r="AS537">
        <f>$H$537*$Y$537</f>
        <v>0</v>
      </c>
      <c r="AT537">
        <f>$H$537*$Z$537</f>
        <v>0</v>
      </c>
      <c r="AU537">
        <f>$H$537*$AA$537</f>
        <v>277.06</v>
      </c>
      <c r="AV537">
        <f>$H$537*$AB$537</f>
        <v>277.06</v>
      </c>
      <c r="AW537">
        <f>$H$537*$AC$537</f>
        <v>277.06</v>
      </c>
      <c r="AX537">
        <f>$H$537*$AD$537</f>
        <v>277.06</v>
      </c>
      <c r="AY537">
        <f>$H$537*$AE$537</f>
        <v>277.06</v>
      </c>
      <c r="AZ537">
        <f>$H$537*$AF$537</f>
        <v>277.06</v>
      </c>
    </row>
    <row r="538" spans="1:52" x14ac:dyDescent="0.25">
      <c r="A538">
        <v>606</v>
      </c>
      <c r="B538" t="s">
        <v>307</v>
      </c>
      <c r="C538" t="s">
        <v>360</v>
      </c>
      <c r="D538">
        <v>26</v>
      </c>
      <c r="E538">
        <v>300.3</v>
      </c>
      <c r="F538" t="s">
        <v>329</v>
      </c>
      <c r="G538">
        <v>11.55</v>
      </c>
      <c r="H538">
        <v>360.36</v>
      </c>
      <c r="I538" t="s">
        <v>333</v>
      </c>
      <c r="J538" t="s">
        <v>361</v>
      </c>
      <c r="K538" t="s">
        <v>616</v>
      </c>
      <c r="L538" t="s">
        <v>179</v>
      </c>
      <c r="M538" t="s">
        <v>307</v>
      </c>
      <c r="N538" t="s">
        <v>12</v>
      </c>
      <c r="O538" t="s">
        <v>15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1</v>
      </c>
      <c r="AB538">
        <v>1</v>
      </c>
      <c r="AC538">
        <v>1</v>
      </c>
      <c r="AD538">
        <v>1</v>
      </c>
      <c r="AE538">
        <v>1</v>
      </c>
      <c r="AF538">
        <v>1</v>
      </c>
      <c r="AG538" t="s">
        <v>307</v>
      </c>
      <c r="AH538" t="s">
        <v>12</v>
      </c>
      <c r="AI538" t="s">
        <v>15</v>
      </c>
      <c r="AJ538">
        <f>$H$538*$P$538</f>
        <v>0</v>
      </c>
      <c r="AK538">
        <f>$H$538*$Q$538</f>
        <v>0</v>
      </c>
      <c r="AL538">
        <f>$H$538*$R$538</f>
        <v>0</v>
      </c>
      <c r="AM538">
        <f>$H$538*$S$538</f>
        <v>0</v>
      </c>
      <c r="AN538">
        <f>$H$538*$T$538</f>
        <v>0</v>
      </c>
      <c r="AO538">
        <f>$H$538*$U$538</f>
        <v>0</v>
      </c>
      <c r="AP538">
        <f>$H$538*$V$538</f>
        <v>0</v>
      </c>
      <c r="AQ538">
        <f>$H$538*$W$538</f>
        <v>0</v>
      </c>
      <c r="AR538">
        <f>$H$538*$X$538</f>
        <v>0</v>
      </c>
      <c r="AS538">
        <f>$H$538*$Y$538</f>
        <v>0</v>
      </c>
      <c r="AT538">
        <f>$H$538*$Z$538</f>
        <v>0</v>
      </c>
      <c r="AU538">
        <f>$H$538*$AA$538</f>
        <v>360.36</v>
      </c>
      <c r="AV538">
        <f>$H$538*$AB$538</f>
        <v>360.36</v>
      </c>
      <c r="AW538">
        <f>$H$538*$AC$538</f>
        <v>360.36</v>
      </c>
      <c r="AX538">
        <f>$H$538*$AD$538</f>
        <v>360.36</v>
      </c>
      <c r="AY538">
        <f>$H$538*$AE$538</f>
        <v>360.36</v>
      </c>
      <c r="AZ538">
        <f>$H$538*$AF$538</f>
        <v>360.36</v>
      </c>
    </row>
    <row r="539" spans="1:52" x14ac:dyDescent="0.25">
      <c r="A539">
        <v>607</v>
      </c>
      <c r="B539" t="s">
        <v>307</v>
      </c>
      <c r="C539" t="s">
        <v>472</v>
      </c>
      <c r="D539">
        <v>26</v>
      </c>
      <c r="E539">
        <v>279.76</v>
      </c>
      <c r="F539" t="s">
        <v>329</v>
      </c>
      <c r="G539">
        <v>10.76</v>
      </c>
      <c r="H539">
        <v>335.72</v>
      </c>
      <c r="I539" t="s">
        <v>333</v>
      </c>
      <c r="J539" t="s">
        <v>473</v>
      </c>
      <c r="K539" t="s">
        <v>670</v>
      </c>
      <c r="L539" t="s">
        <v>179</v>
      </c>
      <c r="M539" t="s">
        <v>307</v>
      </c>
      <c r="N539" t="s">
        <v>12</v>
      </c>
      <c r="O539" t="s">
        <v>15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1</v>
      </c>
      <c r="AA539">
        <v>1</v>
      </c>
      <c r="AB539">
        <v>1</v>
      </c>
      <c r="AC539">
        <v>1</v>
      </c>
      <c r="AD539">
        <v>1</v>
      </c>
      <c r="AE539">
        <v>1</v>
      </c>
      <c r="AF539">
        <v>1</v>
      </c>
      <c r="AG539" t="s">
        <v>307</v>
      </c>
      <c r="AH539" t="s">
        <v>12</v>
      </c>
      <c r="AI539" t="s">
        <v>15</v>
      </c>
      <c r="AJ539">
        <f>$H$539*$P$539</f>
        <v>0</v>
      </c>
      <c r="AK539">
        <f>$H$539*$Q$539</f>
        <v>0</v>
      </c>
      <c r="AL539">
        <f>$H$539*$R$539</f>
        <v>0</v>
      </c>
      <c r="AM539">
        <f>$H$539*$S$539</f>
        <v>0</v>
      </c>
      <c r="AN539">
        <f>$H$539*$T$539</f>
        <v>0</v>
      </c>
      <c r="AO539">
        <f>$H$539*$U$539</f>
        <v>0</v>
      </c>
      <c r="AP539">
        <f>$H$539*$V$539</f>
        <v>0</v>
      </c>
      <c r="AQ539">
        <f>$H$539*$W$539</f>
        <v>0</v>
      </c>
      <c r="AR539">
        <f>$H$539*$X$539</f>
        <v>0</v>
      </c>
      <c r="AS539">
        <f>$H$539*$Y$539</f>
        <v>0</v>
      </c>
      <c r="AT539">
        <f>$H$539*$Z$539</f>
        <v>335.72</v>
      </c>
      <c r="AU539">
        <f>$H$539*$AA$539</f>
        <v>335.72</v>
      </c>
      <c r="AV539">
        <f>$H$539*$AB$539</f>
        <v>335.72</v>
      </c>
      <c r="AW539">
        <f>$H$539*$AC$539</f>
        <v>335.72</v>
      </c>
      <c r="AX539">
        <f>$H$539*$AD$539</f>
        <v>335.72</v>
      </c>
      <c r="AY539">
        <f>$H$539*$AE$539</f>
        <v>335.72</v>
      </c>
      <c r="AZ539">
        <f>$H$539*$AF$539</f>
        <v>335.72</v>
      </c>
    </row>
    <row r="540" spans="1:52" x14ac:dyDescent="0.25">
      <c r="A540">
        <v>608</v>
      </c>
      <c r="B540" t="s">
        <v>307</v>
      </c>
      <c r="C540" t="s">
        <v>437</v>
      </c>
      <c r="D540">
        <v>1</v>
      </c>
      <c r="E540">
        <v>98.82</v>
      </c>
      <c r="F540" t="s">
        <v>335</v>
      </c>
      <c r="G540">
        <v>98.82</v>
      </c>
      <c r="H540">
        <v>118.58</v>
      </c>
      <c r="I540" t="s">
        <v>340</v>
      </c>
      <c r="J540" t="s">
        <v>372</v>
      </c>
      <c r="K540" t="s">
        <v>653</v>
      </c>
      <c r="L540" t="s">
        <v>179</v>
      </c>
      <c r="M540" t="s">
        <v>307</v>
      </c>
      <c r="N540" t="s">
        <v>12</v>
      </c>
      <c r="O540" t="s">
        <v>15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1</v>
      </c>
      <c r="AE540">
        <v>1</v>
      </c>
      <c r="AF540">
        <v>1</v>
      </c>
      <c r="AG540" t="s">
        <v>307</v>
      </c>
      <c r="AH540" t="s">
        <v>12</v>
      </c>
      <c r="AI540" t="s">
        <v>15</v>
      </c>
      <c r="AJ540">
        <f>$H$540*$P$540</f>
        <v>0</v>
      </c>
      <c r="AK540">
        <f>$H$540*$Q$540</f>
        <v>0</v>
      </c>
      <c r="AL540">
        <f>$H$540*$R$540</f>
        <v>0</v>
      </c>
      <c r="AM540">
        <f>$H$540*$S$540</f>
        <v>0</v>
      </c>
      <c r="AN540">
        <f>$H$540*$T$540</f>
        <v>0</v>
      </c>
      <c r="AO540">
        <f>$H$540*$U$540</f>
        <v>0</v>
      </c>
      <c r="AP540">
        <f>$H$540*$V$540</f>
        <v>0</v>
      </c>
      <c r="AQ540">
        <f>$H$540*$W$540</f>
        <v>0</v>
      </c>
      <c r="AR540">
        <f>$H$540*$X$540</f>
        <v>0</v>
      </c>
      <c r="AS540">
        <f>$H$540*$Y$540</f>
        <v>0</v>
      </c>
      <c r="AT540">
        <f>$H$540*$Z$540</f>
        <v>0</v>
      </c>
      <c r="AU540">
        <f>$H$540*$AA$540</f>
        <v>0</v>
      </c>
      <c r="AV540">
        <f>$H$540*$AB$540</f>
        <v>0</v>
      </c>
      <c r="AW540">
        <f>$H$540*$AC$540</f>
        <v>0</v>
      </c>
      <c r="AX540">
        <f>$H$540*$AD$540</f>
        <v>118.58</v>
      </c>
      <c r="AY540">
        <f>$H$540*$AE$540</f>
        <v>118.58</v>
      </c>
      <c r="AZ540">
        <f>$H$540*$AF$540</f>
        <v>118.58</v>
      </c>
    </row>
    <row r="541" spans="1:52" x14ac:dyDescent="0.25">
      <c r="A541">
        <v>609</v>
      </c>
      <c r="B541" t="s">
        <v>307</v>
      </c>
      <c r="C541" t="s">
        <v>367</v>
      </c>
      <c r="D541">
        <v>1</v>
      </c>
      <c r="E541">
        <v>62.41</v>
      </c>
      <c r="F541" t="s">
        <v>335</v>
      </c>
      <c r="G541">
        <v>62.41</v>
      </c>
      <c r="H541">
        <v>74.89</v>
      </c>
      <c r="I541" t="s">
        <v>368</v>
      </c>
      <c r="J541" t="s">
        <v>369</v>
      </c>
      <c r="K541" t="s">
        <v>619</v>
      </c>
      <c r="L541" t="s">
        <v>179</v>
      </c>
      <c r="M541" t="s">
        <v>307</v>
      </c>
      <c r="N541" t="s">
        <v>12</v>
      </c>
      <c r="O541" t="s">
        <v>15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1</v>
      </c>
      <c r="AB541">
        <v>1</v>
      </c>
      <c r="AC541">
        <v>1</v>
      </c>
      <c r="AD541">
        <v>1</v>
      </c>
      <c r="AE541">
        <v>1</v>
      </c>
      <c r="AF541">
        <v>1</v>
      </c>
      <c r="AG541" t="s">
        <v>307</v>
      </c>
      <c r="AH541" t="s">
        <v>12</v>
      </c>
      <c r="AI541" t="s">
        <v>15</v>
      </c>
      <c r="AJ541">
        <f>$H$541*$P$541</f>
        <v>0</v>
      </c>
      <c r="AK541">
        <f>$H$541*$Q$541</f>
        <v>0</v>
      </c>
      <c r="AL541">
        <f>$H$541*$R$541</f>
        <v>0</v>
      </c>
      <c r="AM541">
        <f>$H$541*$S$541</f>
        <v>0</v>
      </c>
      <c r="AN541">
        <f>$H$541*$T$541</f>
        <v>0</v>
      </c>
      <c r="AO541">
        <f>$H$541*$U$541</f>
        <v>0</v>
      </c>
      <c r="AP541">
        <f>$H$541*$V$541</f>
        <v>0</v>
      </c>
      <c r="AQ541">
        <f>$H$541*$W$541</f>
        <v>0</v>
      </c>
      <c r="AR541">
        <f>$H$541*$X$541</f>
        <v>0</v>
      </c>
      <c r="AS541">
        <f>$H$541*$Y$541</f>
        <v>0</v>
      </c>
      <c r="AT541">
        <f>$H$541*$Z$541</f>
        <v>0</v>
      </c>
      <c r="AU541">
        <f>$H$541*$AA$541</f>
        <v>74.89</v>
      </c>
      <c r="AV541">
        <f>$H$541*$AB$541</f>
        <v>74.89</v>
      </c>
      <c r="AW541">
        <f>$H$541*$AC$541</f>
        <v>74.89</v>
      </c>
      <c r="AX541">
        <f>$H$541*$AD$541</f>
        <v>74.89</v>
      </c>
      <c r="AY541">
        <f>$H$541*$AE$541</f>
        <v>74.89</v>
      </c>
      <c r="AZ541">
        <f>$H$541*$AF$541</f>
        <v>74.89</v>
      </c>
    </row>
    <row r="542" spans="1:52" x14ac:dyDescent="0.25">
      <c r="A542">
        <v>610</v>
      </c>
      <c r="B542" t="s">
        <v>307</v>
      </c>
      <c r="C542" t="s">
        <v>375</v>
      </c>
      <c r="D542">
        <v>2</v>
      </c>
      <c r="E542">
        <v>77.86</v>
      </c>
      <c r="F542" t="s">
        <v>335</v>
      </c>
      <c r="G542">
        <v>38.93</v>
      </c>
      <c r="H542">
        <v>93.44</v>
      </c>
      <c r="I542" t="s">
        <v>330</v>
      </c>
      <c r="J542" t="s">
        <v>371</v>
      </c>
      <c r="K542" t="s">
        <v>622</v>
      </c>
      <c r="L542" t="s">
        <v>179</v>
      </c>
      <c r="M542" t="s">
        <v>307</v>
      </c>
      <c r="N542" t="s">
        <v>12</v>
      </c>
      <c r="O542" t="s">
        <v>15</v>
      </c>
      <c r="P542">
        <v>0</v>
      </c>
      <c r="Q542">
        <v>0</v>
      </c>
      <c r="R542">
        <v>0</v>
      </c>
      <c r="S542">
        <v>1</v>
      </c>
      <c r="T542">
        <v>1</v>
      </c>
      <c r="U542">
        <v>1</v>
      </c>
      <c r="V542">
        <v>1</v>
      </c>
      <c r="W542">
        <v>1</v>
      </c>
      <c r="X542">
        <v>1</v>
      </c>
      <c r="Y542">
        <v>1</v>
      </c>
      <c r="Z542">
        <v>1</v>
      </c>
      <c r="AA542">
        <v>1</v>
      </c>
      <c r="AB542">
        <v>1</v>
      </c>
      <c r="AC542">
        <v>1</v>
      </c>
      <c r="AD542">
        <v>1</v>
      </c>
      <c r="AE542">
        <v>1</v>
      </c>
      <c r="AF542">
        <v>1</v>
      </c>
      <c r="AG542" t="s">
        <v>307</v>
      </c>
      <c r="AH542" t="s">
        <v>12</v>
      </c>
      <c r="AI542" t="s">
        <v>15</v>
      </c>
      <c r="AJ542">
        <f>$H$542*$P$542</f>
        <v>0</v>
      </c>
      <c r="AK542">
        <f>$H$542*$Q$542</f>
        <v>0</v>
      </c>
      <c r="AL542">
        <f>$H$542*$R$542</f>
        <v>0</v>
      </c>
      <c r="AM542">
        <f>$H$542*$S$542</f>
        <v>93.44</v>
      </c>
      <c r="AN542">
        <f>$H$542*$T$542</f>
        <v>93.44</v>
      </c>
      <c r="AO542">
        <f>$H$542*$U$542</f>
        <v>93.44</v>
      </c>
      <c r="AP542">
        <f>$H$542*$V$542</f>
        <v>93.44</v>
      </c>
      <c r="AQ542">
        <f>$H$542*$W$542</f>
        <v>93.44</v>
      </c>
      <c r="AR542">
        <f>$H$542*$X$542</f>
        <v>93.44</v>
      </c>
      <c r="AS542">
        <f>$H$542*$Y$542</f>
        <v>93.44</v>
      </c>
      <c r="AT542">
        <f>$H$542*$Z$542</f>
        <v>93.44</v>
      </c>
      <c r="AU542">
        <f>$H$542*$AA$542</f>
        <v>93.44</v>
      </c>
      <c r="AV542">
        <f>$H$542*$AB$542</f>
        <v>93.44</v>
      </c>
      <c r="AW542">
        <f>$H$542*$AC$542</f>
        <v>93.44</v>
      </c>
      <c r="AX542">
        <f>$H$542*$AD$542</f>
        <v>93.44</v>
      </c>
      <c r="AY542">
        <f>$H$542*$AE$542</f>
        <v>93.44</v>
      </c>
      <c r="AZ542">
        <f>$H$542*$AF$542</f>
        <v>93.44</v>
      </c>
    </row>
    <row r="543" spans="1:52" x14ac:dyDescent="0.25">
      <c r="A543">
        <v>611</v>
      </c>
      <c r="B543" t="s">
        <v>307</v>
      </c>
      <c r="C543" t="s">
        <v>373</v>
      </c>
      <c r="D543">
        <v>2</v>
      </c>
      <c r="E543">
        <v>62.72</v>
      </c>
      <c r="F543" t="s">
        <v>335</v>
      </c>
      <c r="G543">
        <v>31.36</v>
      </c>
      <c r="H543">
        <v>75.260000000000005</v>
      </c>
      <c r="I543" t="s">
        <v>330</v>
      </c>
      <c r="J543" t="s">
        <v>374</v>
      </c>
      <c r="K543" t="s">
        <v>621</v>
      </c>
      <c r="L543" t="s">
        <v>179</v>
      </c>
      <c r="M543" t="s">
        <v>307</v>
      </c>
      <c r="N543" t="s">
        <v>12</v>
      </c>
      <c r="O543" t="s">
        <v>15</v>
      </c>
      <c r="P543">
        <v>0</v>
      </c>
      <c r="Q543">
        <v>0</v>
      </c>
      <c r="R543">
        <v>0</v>
      </c>
      <c r="S543">
        <v>1</v>
      </c>
      <c r="T543">
        <v>1</v>
      </c>
      <c r="U543">
        <v>1</v>
      </c>
      <c r="V543">
        <v>1</v>
      </c>
      <c r="W543">
        <v>1</v>
      </c>
      <c r="X543">
        <v>1</v>
      </c>
      <c r="Y543">
        <v>1</v>
      </c>
      <c r="Z543">
        <v>1</v>
      </c>
      <c r="AA543">
        <v>1</v>
      </c>
      <c r="AB543">
        <v>1</v>
      </c>
      <c r="AC543">
        <v>1</v>
      </c>
      <c r="AD543">
        <v>1</v>
      </c>
      <c r="AE543">
        <v>1</v>
      </c>
      <c r="AF543">
        <v>1</v>
      </c>
      <c r="AG543" t="s">
        <v>307</v>
      </c>
      <c r="AH543" t="s">
        <v>12</v>
      </c>
      <c r="AI543" t="s">
        <v>15</v>
      </c>
      <c r="AJ543">
        <f>$H$543*$P$543</f>
        <v>0</v>
      </c>
      <c r="AK543">
        <f>$H$543*$Q$543</f>
        <v>0</v>
      </c>
      <c r="AL543">
        <f>$H$543*$R$543</f>
        <v>0</v>
      </c>
      <c r="AM543">
        <f>$H$543*$S$543</f>
        <v>75.260000000000005</v>
      </c>
      <c r="AN543">
        <f>$H$543*$T$543</f>
        <v>75.260000000000005</v>
      </c>
      <c r="AO543">
        <f>$H$543*$U$543</f>
        <v>75.260000000000005</v>
      </c>
      <c r="AP543">
        <f>$H$543*$V$543</f>
        <v>75.260000000000005</v>
      </c>
      <c r="AQ543">
        <f>$H$543*$W$543</f>
        <v>75.260000000000005</v>
      </c>
      <c r="AR543">
        <f>$H$543*$X$543</f>
        <v>75.260000000000005</v>
      </c>
      <c r="AS543">
        <f>$H$543*$Y$543</f>
        <v>75.260000000000005</v>
      </c>
      <c r="AT543">
        <f>$H$543*$Z$543</f>
        <v>75.260000000000005</v>
      </c>
      <c r="AU543">
        <f>$H$543*$AA$543</f>
        <v>75.260000000000005</v>
      </c>
      <c r="AV543">
        <f>$H$543*$AB$543</f>
        <v>75.260000000000005</v>
      </c>
      <c r="AW543">
        <f>$H$543*$AC$543</f>
        <v>75.260000000000005</v>
      </c>
      <c r="AX543">
        <f>$H$543*$AD$543</f>
        <v>75.260000000000005</v>
      </c>
      <c r="AY543">
        <f>$H$543*$AE$543</f>
        <v>75.260000000000005</v>
      </c>
      <c r="AZ543">
        <f>$H$543*$AF$543</f>
        <v>75.260000000000005</v>
      </c>
    </row>
    <row r="544" spans="1:52" x14ac:dyDescent="0.25">
      <c r="A544">
        <v>612</v>
      </c>
      <c r="B544" t="s">
        <v>307</v>
      </c>
      <c r="C544" t="s">
        <v>370</v>
      </c>
      <c r="D544">
        <v>1</v>
      </c>
      <c r="E544">
        <v>366.18</v>
      </c>
      <c r="F544" t="s">
        <v>335</v>
      </c>
      <c r="G544">
        <v>366.18</v>
      </c>
      <c r="H544">
        <v>439.42</v>
      </c>
      <c r="I544" t="s">
        <v>371</v>
      </c>
      <c r="J544" t="s">
        <v>372</v>
      </c>
      <c r="K544" t="s">
        <v>620</v>
      </c>
      <c r="L544" t="s">
        <v>179</v>
      </c>
      <c r="M544" t="s">
        <v>307</v>
      </c>
      <c r="N544" t="s">
        <v>12</v>
      </c>
      <c r="O544" t="s">
        <v>15</v>
      </c>
      <c r="P544">
        <v>0</v>
      </c>
      <c r="Q544">
        <v>0</v>
      </c>
      <c r="R544">
        <v>0</v>
      </c>
      <c r="S544">
        <v>0</v>
      </c>
      <c r="T544">
        <v>1</v>
      </c>
      <c r="U544">
        <v>1</v>
      </c>
      <c r="V544">
        <v>1</v>
      </c>
      <c r="W544">
        <v>1</v>
      </c>
      <c r="X544">
        <v>1</v>
      </c>
      <c r="Y544">
        <v>1</v>
      </c>
      <c r="Z544">
        <v>1</v>
      </c>
      <c r="AA544">
        <v>1</v>
      </c>
      <c r="AB544">
        <v>1</v>
      </c>
      <c r="AC544">
        <v>1</v>
      </c>
      <c r="AD544">
        <v>1</v>
      </c>
      <c r="AE544">
        <v>1</v>
      </c>
      <c r="AF544">
        <v>1</v>
      </c>
      <c r="AG544" t="s">
        <v>307</v>
      </c>
      <c r="AH544" t="s">
        <v>12</v>
      </c>
      <c r="AI544" t="s">
        <v>15</v>
      </c>
      <c r="AJ544">
        <f>$H$544*$P$544</f>
        <v>0</v>
      </c>
      <c r="AK544">
        <f>$H$544*$Q$544</f>
        <v>0</v>
      </c>
      <c r="AL544">
        <f>$H$544*$R$544</f>
        <v>0</v>
      </c>
      <c r="AM544">
        <f>$H$544*$S$544</f>
        <v>0</v>
      </c>
      <c r="AN544">
        <f>$H$544*$T$544</f>
        <v>439.42</v>
      </c>
      <c r="AO544">
        <f>$H$544*$U$544</f>
        <v>439.42</v>
      </c>
      <c r="AP544">
        <f>$H$544*$V$544</f>
        <v>439.42</v>
      </c>
      <c r="AQ544">
        <f>$H$544*$W$544</f>
        <v>439.42</v>
      </c>
      <c r="AR544">
        <f>$H$544*$X$544</f>
        <v>439.42</v>
      </c>
      <c r="AS544">
        <f>$H$544*$Y$544</f>
        <v>439.42</v>
      </c>
      <c r="AT544">
        <f>$H$544*$Z$544</f>
        <v>439.42</v>
      </c>
      <c r="AU544">
        <f>$H$544*$AA$544</f>
        <v>439.42</v>
      </c>
      <c r="AV544">
        <f>$H$544*$AB$544</f>
        <v>439.42</v>
      </c>
      <c r="AW544">
        <f>$H$544*$AC$544</f>
        <v>439.42</v>
      </c>
      <c r="AX544">
        <f>$H$544*$AD$544</f>
        <v>439.42</v>
      </c>
      <c r="AY544">
        <f>$H$544*$AE$544</f>
        <v>439.42</v>
      </c>
      <c r="AZ544">
        <f>$H$544*$AF$544</f>
        <v>439.42</v>
      </c>
    </row>
    <row r="545" spans="1:52" x14ac:dyDescent="0.25">
      <c r="A545">
        <v>613</v>
      </c>
      <c r="B545" t="s">
        <v>307</v>
      </c>
      <c r="C545" t="s">
        <v>438</v>
      </c>
      <c r="D545">
        <v>17.329999999999998</v>
      </c>
      <c r="E545">
        <v>45.4</v>
      </c>
      <c r="F545" t="s">
        <v>329</v>
      </c>
      <c r="G545">
        <v>2.62</v>
      </c>
      <c r="H545">
        <v>54.48</v>
      </c>
      <c r="I545" t="s">
        <v>439</v>
      </c>
      <c r="J545" t="s">
        <v>440</v>
      </c>
      <c r="K545" t="s">
        <v>654</v>
      </c>
      <c r="L545" t="s">
        <v>179</v>
      </c>
      <c r="M545" t="s">
        <v>307</v>
      </c>
      <c r="N545" t="s">
        <v>12</v>
      </c>
      <c r="O545" t="s">
        <v>15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1</v>
      </c>
      <c r="AB545">
        <v>1</v>
      </c>
      <c r="AC545">
        <v>1</v>
      </c>
      <c r="AD545">
        <v>1</v>
      </c>
      <c r="AE545">
        <v>1</v>
      </c>
      <c r="AF545">
        <v>1</v>
      </c>
      <c r="AG545" t="s">
        <v>307</v>
      </c>
      <c r="AH545" t="s">
        <v>12</v>
      </c>
      <c r="AI545" t="s">
        <v>15</v>
      </c>
      <c r="AJ545">
        <f>$H$545*$P$545</f>
        <v>0</v>
      </c>
      <c r="AK545">
        <f>$H$545*$Q$545</f>
        <v>0</v>
      </c>
      <c r="AL545">
        <f>$H$545*$R$545</f>
        <v>0</v>
      </c>
      <c r="AM545">
        <f>$H$545*$S$545</f>
        <v>0</v>
      </c>
      <c r="AN545">
        <f>$H$545*$T$545</f>
        <v>0</v>
      </c>
      <c r="AO545">
        <f>$H$545*$U$545</f>
        <v>0</v>
      </c>
      <c r="AP545">
        <f>$H$545*$V$545</f>
        <v>0</v>
      </c>
      <c r="AQ545">
        <f>$H$545*$W$545</f>
        <v>0</v>
      </c>
      <c r="AR545">
        <f>$H$545*$X$545</f>
        <v>0</v>
      </c>
      <c r="AS545">
        <f>$H$545*$Y$545</f>
        <v>0</v>
      </c>
      <c r="AT545">
        <f>$H$545*$Z$545</f>
        <v>0</v>
      </c>
      <c r="AU545">
        <f>$H$545*$AA$545</f>
        <v>54.48</v>
      </c>
      <c r="AV545">
        <f>$H$545*$AB$545</f>
        <v>54.48</v>
      </c>
      <c r="AW545">
        <f>$H$545*$AC$545</f>
        <v>54.48</v>
      </c>
      <c r="AX545">
        <f>$H$545*$AD$545</f>
        <v>54.48</v>
      </c>
      <c r="AY545">
        <f>$H$545*$AE$545</f>
        <v>54.48</v>
      </c>
      <c r="AZ545">
        <f>$H$545*$AF$545</f>
        <v>54.48</v>
      </c>
    </row>
    <row r="546" spans="1:52" x14ac:dyDescent="0.25">
      <c r="A546">
        <v>614</v>
      </c>
      <c r="B546" t="s">
        <v>307</v>
      </c>
      <c r="C546" t="s">
        <v>441</v>
      </c>
      <c r="D546">
        <v>156</v>
      </c>
      <c r="E546">
        <v>336.96</v>
      </c>
      <c r="F546" t="s">
        <v>349</v>
      </c>
      <c r="G546">
        <v>2.16</v>
      </c>
      <c r="H546">
        <v>404.36</v>
      </c>
      <c r="I546" t="s">
        <v>439</v>
      </c>
      <c r="J546" t="s">
        <v>442</v>
      </c>
      <c r="K546" t="s">
        <v>655</v>
      </c>
      <c r="L546" t="s">
        <v>179</v>
      </c>
      <c r="M546" t="s">
        <v>307</v>
      </c>
      <c r="N546" t="s">
        <v>12</v>
      </c>
      <c r="O546" t="s">
        <v>15</v>
      </c>
      <c r="P546">
        <v>0</v>
      </c>
      <c r="Q546">
        <v>0</v>
      </c>
      <c r="R546">
        <v>0</v>
      </c>
      <c r="S546">
        <v>1</v>
      </c>
      <c r="T546">
        <v>1</v>
      </c>
      <c r="U546">
        <v>1</v>
      </c>
      <c r="V546">
        <v>1</v>
      </c>
      <c r="W546">
        <v>1</v>
      </c>
      <c r="X546">
        <v>1</v>
      </c>
      <c r="Y546">
        <v>1</v>
      </c>
      <c r="Z546">
        <v>1</v>
      </c>
      <c r="AA546">
        <v>1</v>
      </c>
      <c r="AB546">
        <v>1</v>
      </c>
      <c r="AC546">
        <v>1</v>
      </c>
      <c r="AD546">
        <v>1</v>
      </c>
      <c r="AE546">
        <v>1</v>
      </c>
      <c r="AF546">
        <v>1</v>
      </c>
      <c r="AG546" t="s">
        <v>307</v>
      </c>
      <c r="AH546" t="s">
        <v>12</v>
      </c>
      <c r="AI546" t="s">
        <v>15</v>
      </c>
      <c r="AJ546">
        <f>$H$546*$P$546</f>
        <v>0</v>
      </c>
      <c r="AK546">
        <f>$H$546*$Q$546</f>
        <v>0</v>
      </c>
      <c r="AL546">
        <f>$H$546*$R$546</f>
        <v>0</v>
      </c>
      <c r="AM546">
        <f>$H$546*$S$546</f>
        <v>404.36</v>
      </c>
      <c r="AN546">
        <f>$H$546*$T$546</f>
        <v>404.36</v>
      </c>
      <c r="AO546">
        <f>$H$546*$U$546</f>
        <v>404.36</v>
      </c>
      <c r="AP546">
        <f>$H$546*$V$546</f>
        <v>404.36</v>
      </c>
      <c r="AQ546">
        <f>$H$546*$W$546</f>
        <v>404.36</v>
      </c>
      <c r="AR546">
        <f>$H$546*$X$546</f>
        <v>404.36</v>
      </c>
      <c r="AS546">
        <f>$H$546*$Y$546</f>
        <v>404.36</v>
      </c>
      <c r="AT546">
        <f>$H$546*$Z$546</f>
        <v>404.36</v>
      </c>
      <c r="AU546">
        <f>$H$546*$AA$546</f>
        <v>404.36</v>
      </c>
      <c r="AV546">
        <f>$H$546*$AB$546</f>
        <v>404.36</v>
      </c>
      <c r="AW546">
        <f>$H$546*$AC$546</f>
        <v>404.36</v>
      </c>
      <c r="AX546">
        <f>$H$546*$AD$546</f>
        <v>404.36</v>
      </c>
      <c r="AY546">
        <f>$H$546*$AE$546</f>
        <v>404.36</v>
      </c>
      <c r="AZ546">
        <f>$H$546*$AF$546</f>
        <v>404.36</v>
      </c>
    </row>
    <row r="547" spans="1:52" x14ac:dyDescent="0.25">
      <c r="A547">
        <v>615</v>
      </c>
      <c r="B547" t="s">
        <v>307</v>
      </c>
      <c r="C547" t="s">
        <v>443</v>
      </c>
      <c r="D547">
        <v>156</v>
      </c>
      <c r="E547">
        <v>98.28</v>
      </c>
      <c r="F547" t="s">
        <v>349</v>
      </c>
      <c r="G547">
        <v>0.63</v>
      </c>
      <c r="H547">
        <v>117.94</v>
      </c>
      <c r="I547" t="s">
        <v>330</v>
      </c>
      <c r="J547" t="s">
        <v>444</v>
      </c>
      <c r="K547" t="s">
        <v>656</v>
      </c>
      <c r="L547" t="s">
        <v>179</v>
      </c>
      <c r="M547" t="s">
        <v>307</v>
      </c>
      <c r="N547" t="s">
        <v>12</v>
      </c>
      <c r="O547" t="s">
        <v>15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1</v>
      </c>
      <c r="AE547">
        <v>1</v>
      </c>
      <c r="AF547">
        <v>1</v>
      </c>
      <c r="AG547" t="s">
        <v>307</v>
      </c>
      <c r="AH547" t="s">
        <v>12</v>
      </c>
      <c r="AI547" t="s">
        <v>15</v>
      </c>
      <c r="AJ547">
        <f>$H$547*$P$547</f>
        <v>0</v>
      </c>
      <c r="AK547">
        <f>$H$547*$Q$547</f>
        <v>0</v>
      </c>
      <c r="AL547">
        <f>$H$547*$R$547</f>
        <v>0</v>
      </c>
      <c r="AM547">
        <f>$H$547*$S$547</f>
        <v>0</v>
      </c>
      <c r="AN547">
        <f>$H$547*$T$547</f>
        <v>0</v>
      </c>
      <c r="AO547">
        <f>$H$547*$U$547</f>
        <v>0</v>
      </c>
      <c r="AP547">
        <f>$H$547*$V$547</f>
        <v>0</v>
      </c>
      <c r="AQ547">
        <f>$H$547*$W$547</f>
        <v>0</v>
      </c>
      <c r="AR547">
        <f>$H$547*$X$547</f>
        <v>0</v>
      </c>
      <c r="AS547">
        <f>$H$547*$Y$547</f>
        <v>0</v>
      </c>
      <c r="AT547">
        <f>$H$547*$Z$547</f>
        <v>0</v>
      </c>
      <c r="AU547">
        <f>$H$547*$AA$547</f>
        <v>0</v>
      </c>
      <c r="AV547">
        <f>$H$547*$AB$547</f>
        <v>0</v>
      </c>
      <c r="AW547">
        <f>$H$547*$AC$547</f>
        <v>0</v>
      </c>
      <c r="AX547">
        <f>$H$547*$AD$547</f>
        <v>117.94</v>
      </c>
      <c r="AY547">
        <f>$H$547*$AE$547</f>
        <v>117.94</v>
      </c>
      <c r="AZ547">
        <f>$H$547*$AF$547</f>
        <v>117.94</v>
      </c>
    </row>
    <row r="548" spans="1:52" x14ac:dyDescent="0.25">
      <c r="A548">
        <v>616</v>
      </c>
      <c r="B548" t="s">
        <v>307</v>
      </c>
      <c r="C548" t="s">
        <v>362</v>
      </c>
      <c r="D548">
        <v>195</v>
      </c>
      <c r="E548">
        <v>191.1</v>
      </c>
      <c r="F548" t="s">
        <v>349</v>
      </c>
      <c r="G548">
        <v>0.98</v>
      </c>
      <c r="H548">
        <v>229.32</v>
      </c>
      <c r="I548" t="s">
        <v>330</v>
      </c>
      <c r="J548" t="s">
        <v>363</v>
      </c>
      <c r="K548" t="s">
        <v>617</v>
      </c>
      <c r="L548" t="s">
        <v>179</v>
      </c>
      <c r="M548" t="s">
        <v>307</v>
      </c>
      <c r="N548" t="s">
        <v>12</v>
      </c>
      <c r="O548" t="s">
        <v>15</v>
      </c>
      <c r="P548">
        <v>0</v>
      </c>
      <c r="Q548">
        <v>0</v>
      </c>
      <c r="R548">
        <v>0</v>
      </c>
      <c r="S548">
        <v>0</v>
      </c>
      <c r="T548">
        <v>1</v>
      </c>
      <c r="U548">
        <v>1</v>
      </c>
      <c r="V548">
        <v>1</v>
      </c>
      <c r="W548">
        <v>1</v>
      </c>
      <c r="X548">
        <v>1</v>
      </c>
      <c r="Y548">
        <v>1</v>
      </c>
      <c r="Z548">
        <v>1</v>
      </c>
      <c r="AA548">
        <v>1</v>
      </c>
      <c r="AB548">
        <v>1</v>
      </c>
      <c r="AC548">
        <v>1</v>
      </c>
      <c r="AD548">
        <v>1</v>
      </c>
      <c r="AE548">
        <v>1</v>
      </c>
      <c r="AF548">
        <v>1</v>
      </c>
      <c r="AG548" t="s">
        <v>307</v>
      </c>
      <c r="AH548" t="s">
        <v>12</v>
      </c>
      <c r="AI548" t="s">
        <v>15</v>
      </c>
      <c r="AJ548">
        <f>$H$548*$P$548</f>
        <v>0</v>
      </c>
      <c r="AK548">
        <f>$H$548*$Q$548</f>
        <v>0</v>
      </c>
      <c r="AL548">
        <f>$H$548*$R$548</f>
        <v>0</v>
      </c>
      <c r="AM548">
        <f>$H$548*$S$548</f>
        <v>0</v>
      </c>
      <c r="AN548">
        <f>$H$548*$T$548</f>
        <v>229.32</v>
      </c>
      <c r="AO548">
        <f>$H$548*$U$548</f>
        <v>229.32</v>
      </c>
      <c r="AP548">
        <f>$H$548*$V$548</f>
        <v>229.32</v>
      </c>
      <c r="AQ548">
        <f>$H$548*$W$548</f>
        <v>229.32</v>
      </c>
      <c r="AR548">
        <f>$H$548*$X$548</f>
        <v>229.32</v>
      </c>
      <c r="AS548">
        <f>$H$548*$Y$548</f>
        <v>229.32</v>
      </c>
      <c r="AT548">
        <f>$H$548*$Z$548</f>
        <v>229.32</v>
      </c>
      <c r="AU548">
        <f>$H$548*$AA$548</f>
        <v>229.32</v>
      </c>
      <c r="AV548">
        <f>$H$548*$AB$548</f>
        <v>229.32</v>
      </c>
      <c r="AW548">
        <f>$H$548*$AC$548</f>
        <v>229.32</v>
      </c>
      <c r="AX548">
        <f>$H$548*$AD$548</f>
        <v>229.32</v>
      </c>
      <c r="AY548">
        <f>$H$548*$AE$548</f>
        <v>229.32</v>
      </c>
      <c r="AZ548">
        <f>$H$548*$AF$548</f>
        <v>229.32</v>
      </c>
    </row>
    <row r="549" spans="1:52" x14ac:dyDescent="0.25">
      <c r="A549">
        <v>617</v>
      </c>
      <c r="B549" t="s">
        <v>307</v>
      </c>
      <c r="C549" t="s">
        <v>445</v>
      </c>
      <c r="D549">
        <v>39</v>
      </c>
      <c r="E549">
        <v>146.63999999999999</v>
      </c>
      <c r="F549" t="s">
        <v>349</v>
      </c>
      <c r="G549">
        <v>3.76</v>
      </c>
      <c r="H549">
        <v>175.96</v>
      </c>
      <c r="I549" t="s">
        <v>446</v>
      </c>
      <c r="J549" t="s">
        <v>420</v>
      </c>
      <c r="K549" t="s">
        <v>657</v>
      </c>
      <c r="L549" t="s">
        <v>179</v>
      </c>
      <c r="M549" t="s">
        <v>307</v>
      </c>
      <c r="N549" t="s">
        <v>12</v>
      </c>
      <c r="O549" t="s">
        <v>15</v>
      </c>
      <c r="P549">
        <v>0</v>
      </c>
      <c r="Q549">
        <v>0</v>
      </c>
      <c r="R549">
        <v>0</v>
      </c>
      <c r="S549">
        <v>0.25</v>
      </c>
      <c r="T549">
        <v>0.25</v>
      </c>
      <c r="U549">
        <v>0.25</v>
      </c>
      <c r="V549">
        <v>0.25</v>
      </c>
      <c r="W549">
        <v>0.25</v>
      </c>
      <c r="X549">
        <v>0.5</v>
      </c>
      <c r="Y549">
        <v>0.5</v>
      </c>
      <c r="Z549">
        <v>0.5</v>
      </c>
      <c r="AA549">
        <v>1</v>
      </c>
      <c r="AB549">
        <v>1</v>
      </c>
      <c r="AC549">
        <v>1</v>
      </c>
      <c r="AD549">
        <v>1</v>
      </c>
      <c r="AE549">
        <v>1</v>
      </c>
      <c r="AF549">
        <v>1</v>
      </c>
      <c r="AG549" t="s">
        <v>307</v>
      </c>
      <c r="AH549" t="s">
        <v>12</v>
      </c>
      <c r="AI549" t="s">
        <v>15</v>
      </c>
      <c r="AJ549">
        <f>$H$549*$P$549</f>
        <v>0</v>
      </c>
      <c r="AK549">
        <f>$H$549*$Q$549</f>
        <v>0</v>
      </c>
      <c r="AL549">
        <f>$H$549*$R$549</f>
        <v>0</v>
      </c>
      <c r="AM549">
        <f>$H$549*$S$549</f>
        <v>43.99</v>
      </c>
      <c r="AN549">
        <f>$H$549*$T$549</f>
        <v>43.99</v>
      </c>
      <c r="AO549">
        <f>$H$549*$U$549</f>
        <v>43.99</v>
      </c>
      <c r="AP549">
        <f>$H$549*$V$549</f>
        <v>43.99</v>
      </c>
      <c r="AQ549">
        <f>$H$549*$W$549</f>
        <v>43.99</v>
      </c>
      <c r="AR549">
        <f>$H$549*$X$549</f>
        <v>87.98</v>
      </c>
      <c r="AS549">
        <f>$H$549*$Y$549</f>
        <v>87.98</v>
      </c>
      <c r="AT549">
        <f>$H$549*$Z$549</f>
        <v>87.98</v>
      </c>
      <c r="AU549">
        <f>$H$549*$AA$549</f>
        <v>175.96</v>
      </c>
      <c r="AV549">
        <f>$H$549*$AB$549</f>
        <v>175.96</v>
      </c>
      <c r="AW549">
        <f>$H$549*$AC$549</f>
        <v>175.96</v>
      </c>
      <c r="AX549">
        <f>$H$549*$AD$549</f>
        <v>175.96</v>
      </c>
      <c r="AY549">
        <f>$H$549*$AE$549</f>
        <v>175.96</v>
      </c>
      <c r="AZ549">
        <f>$H$549*$AF$549</f>
        <v>175.96</v>
      </c>
    </row>
    <row r="550" spans="1:52" x14ac:dyDescent="0.25">
      <c r="A550">
        <v>618</v>
      </c>
      <c r="B550" t="s">
        <v>307</v>
      </c>
      <c r="C550" t="s">
        <v>364</v>
      </c>
      <c r="D550">
        <v>390</v>
      </c>
      <c r="E550">
        <v>1310.4000000000001</v>
      </c>
      <c r="F550" t="s">
        <v>349</v>
      </c>
      <c r="G550">
        <v>3.36</v>
      </c>
      <c r="H550">
        <v>1572.48</v>
      </c>
      <c r="I550" t="s">
        <v>365</v>
      </c>
      <c r="J550" t="s">
        <v>366</v>
      </c>
      <c r="K550" t="s">
        <v>618</v>
      </c>
      <c r="L550" t="s">
        <v>179</v>
      </c>
      <c r="M550" t="s">
        <v>307</v>
      </c>
      <c r="N550" t="s">
        <v>12</v>
      </c>
      <c r="O550" t="s">
        <v>15</v>
      </c>
      <c r="P550">
        <v>0</v>
      </c>
      <c r="Q550">
        <v>0</v>
      </c>
      <c r="R550">
        <v>0</v>
      </c>
      <c r="S550">
        <v>0.25</v>
      </c>
      <c r="T550">
        <v>0.25</v>
      </c>
      <c r="U550">
        <v>0.25</v>
      </c>
      <c r="V550">
        <v>0.25</v>
      </c>
      <c r="W550">
        <v>0.5</v>
      </c>
      <c r="X550">
        <v>0.5</v>
      </c>
      <c r="Y550">
        <v>0.5</v>
      </c>
      <c r="Z550">
        <v>0.5</v>
      </c>
      <c r="AA550">
        <v>1</v>
      </c>
      <c r="AB550">
        <v>1</v>
      </c>
      <c r="AC550">
        <v>1</v>
      </c>
      <c r="AD550">
        <v>1</v>
      </c>
      <c r="AE550">
        <v>1</v>
      </c>
      <c r="AF550">
        <v>1</v>
      </c>
      <c r="AG550" t="s">
        <v>307</v>
      </c>
      <c r="AH550" t="s">
        <v>12</v>
      </c>
      <c r="AI550" t="s">
        <v>15</v>
      </c>
      <c r="AJ550">
        <f>$H$550*$P$550</f>
        <v>0</v>
      </c>
      <c r="AK550">
        <f>$H$550*$Q$550</f>
        <v>0</v>
      </c>
      <c r="AL550">
        <f>$H$550*$R$550</f>
        <v>0</v>
      </c>
      <c r="AM550">
        <f>$H$550*$S$550</f>
        <v>393.12</v>
      </c>
      <c r="AN550">
        <f>$H$550*$T$550</f>
        <v>393.12</v>
      </c>
      <c r="AO550">
        <f>$H$550*$U$550</f>
        <v>393.12</v>
      </c>
      <c r="AP550">
        <f>$H$550*$V$550</f>
        <v>393.12</v>
      </c>
      <c r="AQ550">
        <f>$H$550*$W$550</f>
        <v>786.24</v>
      </c>
      <c r="AR550">
        <f>$H$550*$X$550</f>
        <v>786.24</v>
      </c>
      <c r="AS550">
        <f>$H$550*$Y$550</f>
        <v>786.24</v>
      </c>
      <c r="AT550">
        <f>$H$550*$Z$550</f>
        <v>786.24</v>
      </c>
      <c r="AU550">
        <f>$H$550*$AA$550</f>
        <v>1572.48</v>
      </c>
      <c r="AV550">
        <f>$H$550*$AB$550</f>
        <v>1572.48</v>
      </c>
      <c r="AW550">
        <f>$H$550*$AC$550</f>
        <v>1572.48</v>
      </c>
      <c r="AX550">
        <f>$H$550*$AD$550</f>
        <v>1572.48</v>
      </c>
      <c r="AY550">
        <f>$H$550*$AE$550</f>
        <v>1572.48</v>
      </c>
      <c r="AZ550">
        <f>$H$550*$AF$550</f>
        <v>1572.48</v>
      </c>
    </row>
    <row r="551" spans="1:52" x14ac:dyDescent="0.25">
      <c r="A551">
        <v>619</v>
      </c>
      <c r="B551" t="s">
        <v>307</v>
      </c>
      <c r="C551" t="s">
        <v>455</v>
      </c>
      <c r="D551">
        <v>43.33</v>
      </c>
      <c r="E551">
        <v>65.430000000000007</v>
      </c>
      <c r="F551" t="s">
        <v>329</v>
      </c>
      <c r="G551">
        <v>1.51</v>
      </c>
      <c r="H551">
        <v>78.510000000000005</v>
      </c>
      <c r="I551" t="s">
        <v>330</v>
      </c>
      <c r="J551" t="s">
        <v>456</v>
      </c>
      <c r="K551" t="s">
        <v>662</v>
      </c>
      <c r="L551" t="s">
        <v>179</v>
      </c>
      <c r="M551" t="s">
        <v>307</v>
      </c>
      <c r="N551" t="s">
        <v>12</v>
      </c>
      <c r="O551" t="s">
        <v>15</v>
      </c>
      <c r="P551">
        <v>0</v>
      </c>
      <c r="Q551">
        <v>0</v>
      </c>
      <c r="R551">
        <v>0</v>
      </c>
      <c r="S551">
        <v>1</v>
      </c>
      <c r="T551">
        <v>1</v>
      </c>
      <c r="U551">
        <v>1</v>
      </c>
      <c r="V551">
        <v>1</v>
      </c>
      <c r="W551">
        <v>1</v>
      </c>
      <c r="X551">
        <v>1</v>
      </c>
      <c r="Y551">
        <v>1</v>
      </c>
      <c r="Z551">
        <v>1</v>
      </c>
      <c r="AA551">
        <v>1</v>
      </c>
      <c r="AB551">
        <v>1</v>
      </c>
      <c r="AC551">
        <v>1</v>
      </c>
      <c r="AD551">
        <v>1</v>
      </c>
      <c r="AE551">
        <v>1</v>
      </c>
      <c r="AF551">
        <v>1</v>
      </c>
      <c r="AG551" t="s">
        <v>307</v>
      </c>
      <c r="AH551" t="s">
        <v>12</v>
      </c>
      <c r="AI551" t="s">
        <v>15</v>
      </c>
      <c r="AJ551">
        <f>$H$551*$P$551</f>
        <v>0</v>
      </c>
      <c r="AK551">
        <f>$H$551*$Q$551</f>
        <v>0</v>
      </c>
      <c r="AL551">
        <f>$H$551*$R$551</f>
        <v>0</v>
      </c>
      <c r="AM551">
        <f>$H$551*$S$551</f>
        <v>78.510000000000005</v>
      </c>
      <c r="AN551">
        <f>$H$551*$T$551</f>
        <v>78.510000000000005</v>
      </c>
      <c r="AO551">
        <f>$H$551*$U$551</f>
        <v>78.510000000000005</v>
      </c>
      <c r="AP551">
        <f>$H$551*$V$551</f>
        <v>78.510000000000005</v>
      </c>
      <c r="AQ551">
        <f>$H$551*$W$551</f>
        <v>78.510000000000005</v>
      </c>
      <c r="AR551">
        <f>$H$551*$X$551</f>
        <v>78.510000000000005</v>
      </c>
      <c r="AS551">
        <f>$H$551*$Y$551</f>
        <v>78.510000000000005</v>
      </c>
      <c r="AT551">
        <f>$H$551*$Z$551</f>
        <v>78.510000000000005</v>
      </c>
      <c r="AU551">
        <f>$H$551*$AA$551</f>
        <v>78.510000000000005</v>
      </c>
      <c r="AV551">
        <f>$H$551*$AB$551</f>
        <v>78.510000000000005</v>
      </c>
      <c r="AW551">
        <f>$H$551*$AC$551</f>
        <v>78.510000000000005</v>
      </c>
      <c r="AX551">
        <f>$H$551*$AD$551</f>
        <v>78.510000000000005</v>
      </c>
      <c r="AY551">
        <f>$H$551*$AE$551</f>
        <v>78.510000000000005</v>
      </c>
      <c r="AZ551">
        <f>$H$551*$AF$551</f>
        <v>78.510000000000005</v>
      </c>
    </row>
    <row r="552" spans="1:52" x14ac:dyDescent="0.25">
      <c r="A552">
        <v>620</v>
      </c>
      <c r="B552" t="s">
        <v>307</v>
      </c>
      <c r="C552" t="s">
        <v>457</v>
      </c>
      <c r="D552">
        <v>43.33</v>
      </c>
      <c r="E552">
        <v>246.11</v>
      </c>
      <c r="F552" t="s">
        <v>329</v>
      </c>
      <c r="G552">
        <v>5.68</v>
      </c>
      <c r="H552">
        <v>295.33</v>
      </c>
      <c r="I552" t="s">
        <v>333</v>
      </c>
      <c r="J552" t="s">
        <v>458</v>
      </c>
      <c r="K552" t="s">
        <v>663</v>
      </c>
      <c r="L552" t="s">
        <v>179</v>
      </c>
      <c r="M552" t="s">
        <v>307</v>
      </c>
      <c r="N552" t="s">
        <v>12</v>
      </c>
      <c r="O552" t="s">
        <v>15</v>
      </c>
      <c r="P552">
        <v>0</v>
      </c>
      <c r="Q552">
        <v>0</v>
      </c>
      <c r="R552">
        <v>0</v>
      </c>
      <c r="S552">
        <v>1</v>
      </c>
      <c r="T552">
        <v>1</v>
      </c>
      <c r="U552">
        <v>1</v>
      </c>
      <c r="V552">
        <v>1</v>
      </c>
      <c r="W552">
        <v>1</v>
      </c>
      <c r="X552">
        <v>1</v>
      </c>
      <c r="Y552">
        <v>1</v>
      </c>
      <c r="Z552">
        <v>1</v>
      </c>
      <c r="AA552">
        <v>1</v>
      </c>
      <c r="AB552">
        <v>1</v>
      </c>
      <c r="AC552">
        <v>1</v>
      </c>
      <c r="AD552">
        <v>1</v>
      </c>
      <c r="AE552">
        <v>1</v>
      </c>
      <c r="AF552">
        <v>1</v>
      </c>
      <c r="AG552" t="s">
        <v>307</v>
      </c>
      <c r="AH552" t="s">
        <v>12</v>
      </c>
      <c r="AI552" t="s">
        <v>15</v>
      </c>
      <c r="AJ552">
        <f>$H$552*$P$552</f>
        <v>0</v>
      </c>
      <c r="AK552">
        <f>$H$552*$Q$552</f>
        <v>0</v>
      </c>
      <c r="AL552">
        <f>$H$552*$R$552</f>
        <v>0</v>
      </c>
      <c r="AM552">
        <f>$H$552*$S$552</f>
        <v>295.33</v>
      </c>
      <c r="AN552">
        <f>$H$552*$T$552</f>
        <v>295.33</v>
      </c>
      <c r="AO552">
        <f>$H$552*$U$552</f>
        <v>295.33</v>
      </c>
      <c r="AP552">
        <f>$H$552*$V$552</f>
        <v>295.33</v>
      </c>
      <c r="AQ552">
        <f>$H$552*$W$552</f>
        <v>295.33</v>
      </c>
      <c r="AR552">
        <f>$H$552*$X$552</f>
        <v>295.33</v>
      </c>
      <c r="AS552">
        <f>$H$552*$Y$552</f>
        <v>295.33</v>
      </c>
      <c r="AT552">
        <f>$H$552*$Z$552</f>
        <v>295.33</v>
      </c>
      <c r="AU552">
        <f>$H$552*$AA$552</f>
        <v>295.33</v>
      </c>
      <c r="AV552">
        <f>$H$552*$AB$552</f>
        <v>295.33</v>
      </c>
      <c r="AW552">
        <f>$H$552*$AC$552</f>
        <v>295.33</v>
      </c>
      <c r="AX552">
        <f>$H$552*$AD$552</f>
        <v>295.33</v>
      </c>
      <c r="AY552">
        <f>$H$552*$AE$552</f>
        <v>295.33</v>
      </c>
      <c r="AZ552">
        <f>$H$552*$AF$552</f>
        <v>295.33</v>
      </c>
    </row>
    <row r="553" spans="1:52" x14ac:dyDescent="0.25">
      <c r="A553">
        <v>621</v>
      </c>
      <c r="B553" t="s">
        <v>307</v>
      </c>
      <c r="C553" t="s">
        <v>364</v>
      </c>
      <c r="D553">
        <v>116.36</v>
      </c>
      <c r="E553">
        <v>390.97</v>
      </c>
      <c r="F553" t="s">
        <v>349</v>
      </c>
      <c r="G553">
        <v>3.36</v>
      </c>
      <c r="H553">
        <v>469.17</v>
      </c>
      <c r="I553" t="s">
        <v>365</v>
      </c>
      <c r="J553" t="s">
        <v>366</v>
      </c>
      <c r="K553" t="s">
        <v>618</v>
      </c>
      <c r="L553" t="s">
        <v>179</v>
      </c>
      <c r="M553" t="s">
        <v>307</v>
      </c>
      <c r="N553" t="s">
        <v>12</v>
      </c>
      <c r="O553" t="s">
        <v>15</v>
      </c>
      <c r="P553">
        <v>0</v>
      </c>
      <c r="Q553">
        <v>0</v>
      </c>
      <c r="R553">
        <v>0</v>
      </c>
      <c r="S553">
        <v>0.25</v>
      </c>
      <c r="T553">
        <v>0.25</v>
      </c>
      <c r="U553">
        <v>0.25</v>
      </c>
      <c r="V553">
        <v>0.25</v>
      </c>
      <c r="W553">
        <v>0.5</v>
      </c>
      <c r="X553">
        <v>0.5</v>
      </c>
      <c r="Y553">
        <v>0.5</v>
      </c>
      <c r="Z553">
        <v>0.5</v>
      </c>
      <c r="AA553">
        <v>1</v>
      </c>
      <c r="AB553">
        <v>1</v>
      </c>
      <c r="AC553">
        <v>1</v>
      </c>
      <c r="AD553">
        <v>1</v>
      </c>
      <c r="AE553">
        <v>1</v>
      </c>
      <c r="AF553">
        <v>1</v>
      </c>
      <c r="AG553" t="s">
        <v>307</v>
      </c>
      <c r="AH553" t="s">
        <v>12</v>
      </c>
      <c r="AI553" t="s">
        <v>15</v>
      </c>
      <c r="AJ553">
        <f>$H$553*$P$553</f>
        <v>0</v>
      </c>
      <c r="AK553">
        <f>$H$553*$Q$553</f>
        <v>0</v>
      </c>
      <c r="AL553">
        <f>$H$553*$R$553</f>
        <v>0</v>
      </c>
      <c r="AM553">
        <f>$H$553*$S$553</f>
        <v>117.2925</v>
      </c>
      <c r="AN553">
        <f>$H$553*$T$553</f>
        <v>117.2925</v>
      </c>
      <c r="AO553">
        <f>$H$553*$U$553</f>
        <v>117.2925</v>
      </c>
      <c r="AP553">
        <f>$H$553*$V$553</f>
        <v>117.2925</v>
      </c>
      <c r="AQ553">
        <f>$H$553*$W$553</f>
        <v>234.58500000000001</v>
      </c>
      <c r="AR553">
        <f>$H$553*$X$553</f>
        <v>234.58500000000001</v>
      </c>
      <c r="AS553">
        <f>$H$553*$Y$553</f>
        <v>234.58500000000001</v>
      </c>
      <c r="AT553">
        <f>$H$553*$Z$553</f>
        <v>234.58500000000001</v>
      </c>
      <c r="AU553">
        <f>$H$553*$AA$553</f>
        <v>469.17</v>
      </c>
      <c r="AV553">
        <f>$H$553*$AB$553</f>
        <v>469.17</v>
      </c>
      <c r="AW553">
        <f>$H$553*$AC$553</f>
        <v>469.17</v>
      </c>
      <c r="AX553">
        <f>$H$553*$AD$553</f>
        <v>469.17</v>
      </c>
      <c r="AY553">
        <f>$H$553*$AE$553</f>
        <v>469.17</v>
      </c>
      <c r="AZ553">
        <f>$H$553*$AF$553</f>
        <v>469.17</v>
      </c>
    </row>
    <row r="554" spans="1:52" x14ac:dyDescent="0.25">
      <c r="A554">
        <v>622</v>
      </c>
      <c r="B554" t="s">
        <v>307</v>
      </c>
      <c r="C554" t="s">
        <v>443</v>
      </c>
      <c r="D554">
        <v>116.36</v>
      </c>
      <c r="E554">
        <v>73.31</v>
      </c>
      <c r="F554" t="s">
        <v>349</v>
      </c>
      <c r="G554">
        <v>0.63</v>
      </c>
      <c r="H554">
        <v>87.97</v>
      </c>
      <c r="I554" t="s">
        <v>330</v>
      </c>
      <c r="J554" t="s">
        <v>444</v>
      </c>
      <c r="K554" t="s">
        <v>656</v>
      </c>
      <c r="L554" t="s">
        <v>179</v>
      </c>
      <c r="M554" t="s">
        <v>307</v>
      </c>
      <c r="N554" t="s">
        <v>12</v>
      </c>
      <c r="O554" t="s">
        <v>15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1</v>
      </c>
      <c r="AE554">
        <v>1</v>
      </c>
      <c r="AF554">
        <v>1</v>
      </c>
      <c r="AG554" t="s">
        <v>307</v>
      </c>
      <c r="AH554" t="s">
        <v>12</v>
      </c>
      <c r="AI554" t="s">
        <v>15</v>
      </c>
      <c r="AJ554">
        <f>$H$554*$P$554</f>
        <v>0</v>
      </c>
      <c r="AK554">
        <f>$H$554*$Q$554</f>
        <v>0</v>
      </c>
      <c r="AL554">
        <f>$H$554*$R$554</f>
        <v>0</v>
      </c>
      <c r="AM554">
        <f>$H$554*$S$554</f>
        <v>0</v>
      </c>
      <c r="AN554">
        <f>$H$554*$T$554</f>
        <v>0</v>
      </c>
      <c r="AO554">
        <f>$H$554*$U$554</f>
        <v>0</v>
      </c>
      <c r="AP554">
        <f>$H$554*$V$554</f>
        <v>0</v>
      </c>
      <c r="AQ554">
        <f>$H$554*$W$554</f>
        <v>0</v>
      </c>
      <c r="AR554">
        <f>$H$554*$X$554</f>
        <v>0</v>
      </c>
      <c r="AS554">
        <f>$H$554*$Y$554</f>
        <v>0</v>
      </c>
      <c r="AT554">
        <f>$H$554*$Z$554</f>
        <v>0</v>
      </c>
      <c r="AU554">
        <f>$H$554*$AA$554</f>
        <v>0</v>
      </c>
      <c r="AV554">
        <f>$H$554*$AB$554</f>
        <v>0</v>
      </c>
      <c r="AW554">
        <f>$H$554*$AC$554</f>
        <v>0</v>
      </c>
      <c r="AX554">
        <f>$H$554*$AD$554</f>
        <v>87.97</v>
      </c>
      <c r="AY554">
        <f>$H$554*$AE$554</f>
        <v>87.97</v>
      </c>
      <c r="AZ554">
        <f>$H$554*$AF$554</f>
        <v>87.97</v>
      </c>
    </row>
    <row r="555" spans="1:52" x14ac:dyDescent="0.25">
      <c r="A555">
        <v>623</v>
      </c>
      <c r="B555" t="s">
        <v>307</v>
      </c>
      <c r="C555" t="s">
        <v>459</v>
      </c>
      <c r="D555">
        <v>116.36</v>
      </c>
      <c r="E555">
        <v>80.290000000000006</v>
      </c>
      <c r="F555" t="s">
        <v>349</v>
      </c>
      <c r="G555">
        <v>0.69</v>
      </c>
      <c r="H555">
        <v>96.35</v>
      </c>
      <c r="I555" t="s">
        <v>330</v>
      </c>
      <c r="J555" t="s">
        <v>460</v>
      </c>
      <c r="K555" t="s">
        <v>664</v>
      </c>
      <c r="L555" t="s">
        <v>179</v>
      </c>
      <c r="M555" t="s">
        <v>307</v>
      </c>
      <c r="N555" t="s">
        <v>12</v>
      </c>
      <c r="O555" t="s">
        <v>15</v>
      </c>
      <c r="P555">
        <v>0</v>
      </c>
      <c r="Q555">
        <v>0</v>
      </c>
      <c r="R555">
        <v>0</v>
      </c>
      <c r="S555">
        <v>1</v>
      </c>
      <c r="T555">
        <v>1</v>
      </c>
      <c r="U555">
        <v>1</v>
      </c>
      <c r="V555">
        <v>1</v>
      </c>
      <c r="W555">
        <v>1</v>
      </c>
      <c r="X555">
        <v>1</v>
      </c>
      <c r="Y555">
        <v>1</v>
      </c>
      <c r="Z555">
        <v>1</v>
      </c>
      <c r="AA555">
        <v>1</v>
      </c>
      <c r="AB555">
        <v>1</v>
      </c>
      <c r="AC555">
        <v>1</v>
      </c>
      <c r="AD555">
        <v>1</v>
      </c>
      <c r="AE555">
        <v>1</v>
      </c>
      <c r="AF555">
        <v>1</v>
      </c>
      <c r="AG555" t="s">
        <v>307</v>
      </c>
      <c r="AH555" t="s">
        <v>12</v>
      </c>
      <c r="AI555" t="s">
        <v>15</v>
      </c>
      <c r="AJ555">
        <f>$H$555*$P$555</f>
        <v>0</v>
      </c>
      <c r="AK555">
        <f>$H$555*$Q$555</f>
        <v>0</v>
      </c>
      <c r="AL555">
        <f>$H$555*$R$555</f>
        <v>0</v>
      </c>
      <c r="AM555">
        <f>$H$555*$S$555</f>
        <v>96.35</v>
      </c>
      <c r="AN555">
        <f>$H$555*$T$555</f>
        <v>96.35</v>
      </c>
      <c r="AO555">
        <f>$H$555*$U$555</f>
        <v>96.35</v>
      </c>
      <c r="AP555">
        <f>$H$555*$V$555</f>
        <v>96.35</v>
      </c>
      <c r="AQ555">
        <f>$H$555*$W$555</f>
        <v>96.35</v>
      </c>
      <c r="AR555">
        <f>$H$555*$X$555</f>
        <v>96.35</v>
      </c>
      <c r="AS555">
        <f>$H$555*$Y$555</f>
        <v>96.35</v>
      </c>
      <c r="AT555">
        <f>$H$555*$Z$555</f>
        <v>96.35</v>
      </c>
      <c r="AU555">
        <f>$H$555*$AA$555</f>
        <v>96.35</v>
      </c>
      <c r="AV555">
        <f>$H$555*$AB$555</f>
        <v>96.35</v>
      </c>
      <c r="AW555">
        <f>$H$555*$AC$555</f>
        <v>96.35</v>
      </c>
      <c r="AX555">
        <f>$H$555*$AD$555</f>
        <v>96.35</v>
      </c>
      <c r="AY555">
        <f>$H$555*$AE$555</f>
        <v>96.35</v>
      </c>
      <c r="AZ555">
        <f>$H$555*$AF$555</f>
        <v>96.35</v>
      </c>
    </row>
    <row r="556" spans="1:52" x14ac:dyDescent="0.25">
      <c r="A556">
        <v>624</v>
      </c>
      <c r="B556" t="s">
        <v>307</v>
      </c>
      <c r="C556" t="s">
        <v>461</v>
      </c>
      <c r="D556">
        <v>23.27</v>
      </c>
      <c r="E556">
        <v>403.73</v>
      </c>
      <c r="F556" t="s">
        <v>349</v>
      </c>
      <c r="G556">
        <v>17.350000000000001</v>
      </c>
      <c r="H556">
        <v>484.47</v>
      </c>
      <c r="I556" t="s">
        <v>462</v>
      </c>
      <c r="J556" t="s">
        <v>463</v>
      </c>
      <c r="K556" t="s">
        <v>665</v>
      </c>
      <c r="L556" t="s">
        <v>179</v>
      </c>
      <c r="M556" t="s">
        <v>307</v>
      </c>
      <c r="N556" t="s">
        <v>12</v>
      </c>
      <c r="O556" t="s">
        <v>15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1</v>
      </c>
      <c r="Z556">
        <v>1</v>
      </c>
      <c r="AA556">
        <v>1</v>
      </c>
      <c r="AB556">
        <v>1</v>
      </c>
      <c r="AC556">
        <v>1</v>
      </c>
      <c r="AD556">
        <v>1</v>
      </c>
      <c r="AE556">
        <v>1</v>
      </c>
      <c r="AF556">
        <v>1</v>
      </c>
      <c r="AG556" t="s">
        <v>307</v>
      </c>
      <c r="AH556" t="s">
        <v>12</v>
      </c>
      <c r="AI556" t="s">
        <v>15</v>
      </c>
      <c r="AJ556">
        <f>$H$556*$P$556</f>
        <v>0</v>
      </c>
      <c r="AK556">
        <f>$H$556*$Q$556</f>
        <v>0</v>
      </c>
      <c r="AL556">
        <f>$H$556*$R$556</f>
        <v>0</v>
      </c>
      <c r="AM556">
        <f>$H$556*$S$556</f>
        <v>0</v>
      </c>
      <c r="AN556">
        <f>$H$556*$T$556</f>
        <v>0</v>
      </c>
      <c r="AO556">
        <f>$H$556*$U$556</f>
        <v>0</v>
      </c>
      <c r="AP556">
        <f>$H$556*$V$556</f>
        <v>0</v>
      </c>
      <c r="AQ556">
        <f>$H$556*$W$556</f>
        <v>0</v>
      </c>
      <c r="AR556">
        <f>$H$556*$X$556</f>
        <v>0</v>
      </c>
      <c r="AS556">
        <f>$H$556*$Y$556</f>
        <v>484.47</v>
      </c>
      <c r="AT556">
        <f>$H$556*$Z$556</f>
        <v>484.47</v>
      </c>
      <c r="AU556">
        <f>$H$556*$AA$556</f>
        <v>484.47</v>
      </c>
      <c r="AV556">
        <f>$H$556*$AB$556</f>
        <v>484.47</v>
      </c>
      <c r="AW556">
        <f>$H$556*$AC$556</f>
        <v>484.47</v>
      </c>
      <c r="AX556">
        <f>$H$556*$AD$556</f>
        <v>484.47</v>
      </c>
      <c r="AY556">
        <f>$H$556*$AE$556</f>
        <v>484.47</v>
      </c>
      <c r="AZ556">
        <f>$H$556*$AF$556</f>
        <v>484.47</v>
      </c>
    </row>
    <row r="557" spans="1:52" x14ac:dyDescent="0.25">
      <c r="A557">
        <v>625</v>
      </c>
      <c r="B557" t="s">
        <v>307</v>
      </c>
      <c r="C557" t="s">
        <v>464</v>
      </c>
      <c r="D557">
        <v>46.54</v>
      </c>
      <c r="E557">
        <v>166.61</v>
      </c>
      <c r="F557" t="s">
        <v>349</v>
      </c>
      <c r="G557">
        <v>3.58</v>
      </c>
      <c r="H557">
        <v>199.93</v>
      </c>
      <c r="I557" t="s">
        <v>465</v>
      </c>
      <c r="J557" t="s">
        <v>466</v>
      </c>
      <c r="K557" t="s">
        <v>666</v>
      </c>
      <c r="L557" t="s">
        <v>179</v>
      </c>
      <c r="M557" t="s">
        <v>307</v>
      </c>
      <c r="N557" t="s">
        <v>12</v>
      </c>
      <c r="O557" t="s">
        <v>15</v>
      </c>
      <c r="P557">
        <v>0</v>
      </c>
      <c r="Q557">
        <v>0</v>
      </c>
      <c r="R557">
        <v>0</v>
      </c>
      <c r="S557">
        <v>1</v>
      </c>
      <c r="T557">
        <v>1</v>
      </c>
      <c r="U557">
        <v>1</v>
      </c>
      <c r="V557">
        <v>1</v>
      </c>
      <c r="W557">
        <v>1</v>
      </c>
      <c r="X557">
        <v>1</v>
      </c>
      <c r="Y557">
        <v>1</v>
      </c>
      <c r="Z557">
        <v>1</v>
      </c>
      <c r="AA557">
        <v>1</v>
      </c>
      <c r="AB557">
        <v>1</v>
      </c>
      <c r="AC557">
        <v>1</v>
      </c>
      <c r="AD557">
        <v>1</v>
      </c>
      <c r="AE557">
        <v>1</v>
      </c>
      <c r="AF557">
        <v>1</v>
      </c>
      <c r="AG557" t="s">
        <v>307</v>
      </c>
      <c r="AH557" t="s">
        <v>12</v>
      </c>
      <c r="AI557" t="s">
        <v>15</v>
      </c>
      <c r="AJ557">
        <f>$H$557*$P$557</f>
        <v>0</v>
      </c>
      <c r="AK557">
        <f>$H$557*$Q$557</f>
        <v>0</v>
      </c>
      <c r="AL557">
        <f>$H$557*$R$557</f>
        <v>0</v>
      </c>
      <c r="AM557">
        <f>$H$557*$S$557</f>
        <v>199.93</v>
      </c>
      <c r="AN557">
        <f>$H$557*$T$557</f>
        <v>199.93</v>
      </c>
      <c r="AO557">
        <f>$H$557*$U$557</f>
        <v>199.93</v>
      </c>
      <c r="AP557">
        <f>$H$557*$V$557</f>
        <v>199.93</v>
      </c>
      <c r="AQ557">
        <f>$H$557*$W$557</f>
        <v>199.93</v>
      </c>
      <c r="AR557">
        <f>$H$557*$X$557</f>
        <v>199.93</v>
      </c>
      <c r="AS557">
        <f>$H$557*$Y$557</f>
        <v>199.93</v>
      </c>
      <c r="AT557">
        <f>$H$557*$Z$557</f>
        <v>199.93</v>
      </c>
      <c r="AU557">
        <f>$H$557*$AA$557</f>
        <v>199.93</v>
      </c>
      <c r="AV557">
        <f>$H$557*$AB$557</f>
        <v>199.93</v>
      </c>
      <c r="AW557">
        <f>$H$557*$AC$557</f>
        <v>199.93</v>
      </c>
      <c r="AX557">
        <f>$H$557*$AD$557</f>
        <v>199.93</v>
      </c>
      <c r="AY557">
        <f>$H$557*$AE$557</f>
        <v>199.93</v>
      </c>
      <c r="AZ557">
        <f>$H$557*$AF$557</f>
        <v>199.93</v>
      </c>
    </row>
    <row r="558" spans="1:52" x14ac:dyDescent="0.25">
      <c r="A558">
        <v>626</v>
      </c>
      <c r="B558" t="s">
        <v>307</v>
      </c>
      <c r="C558" t="s">
        <v>467</v>
      </c>
      <c r="D558">
        <v>46.54</v>
      </c>
      <c r="E558">
        <v>458.42</v>
      </c>
      <c r="F558" t="s">
        <v>349</v>
      </c>
      <c r="G558">
        <v>9.85</v>
      </c>
      <c r="H558">
        <v>550.1</v>
      </c>
      <c r="I558" t="s">
        <v>465</v>
      </c>
      <c r="J558" t="s">
        <v>372</v>
      </c>
      <c r="K558" t="s">
        <v>667</v>
      </c>
      <c r="L558" t="s">
        <v>179</v>
      </c>
      <c r="M558" t="s">
        <v>307</v>
      </c>
      <c r="N558" t="s">
        <v>12</v>
      </c>
      <c r="O558" t="s">
        <v>15</v>
      </c>
      <c r="P558">
        <v>0</v>
      </c>
      <c r="Q558">
        <v>0</v>
      </c>
      <c r="R558">
        <v>0</v>
      </c>
      <c r="S558">
        <v>1</v>
      </c>
      <c r="T558">
        <v>1</v>
      </c>
      <c r="U558">
        <v>1</v>
      </c>
      <c r="V558">
        <v>1</v>
      </c>
      <c r="W558">
        <v>1</v>
      </c>
      <c r="X558">
        <v>1</v>
      </c>
      <c r="Y558">
        <v>1</v>
      </c>
      <c r="Z558">
        <v>1</v>
      </c>
      <c r="AA558">
        <v>1</v>
      </c>
      <c r="AB558">
        <v>1</v>
      </c>
      <c r="AC558">
        <v>1</v>
      </c>
      <c r="AD558">
        <v>1</v>
      </c>
      <c r="AE558">
        <v>1</v>
      </c>
      <c r="AF558">
        <v>1</v>
      </c>
      <c r="AG558" t="s">
        <v>307</v>
      </c>
      <c r="AH558" t="s">
        <v>12</v>
      </c>
      <c r="AI558" t="s">
        <v>15</v>
      </c>
      <c r="AJ558">
        <f>$H$558*$P$558</f>
        <v>0</v>
      </c>
      <c r="AK558">
        <f>$H$558*$Q$558</f>
        <v>0</v>
      </c>
      <c r="AL558">
        <f>$H$558*$R$558</f>
        <v>0</v>
      </c>
      <c r="AM558">
        <f>$H$558*$S$558</f>
        <v>550.1</v>
      </c>
      <c r="AN558">
        <f>$H$558*$T$558</f>
        <v>550.1</v>
      </c>
      <c r="AO558">
        <f>$H$558*$U$558</f>
        <v>550.1</v>
      </c>
      <c r="AP558">
        <f>$H$558*$V$558</f>
        <v>550.1</v>
      </c>
      <c r="AQ558">
        <f>$H$558*$W$558</f>
        <v>550.1</v>
      </c>
      <c r="AR558">
        <f>$H$558*$X$558</f>
        <v>550.1</v>
      </c>
      <c r="AS558">
        <f>$H$558*$Y$558</f>
        <v>550.1</v>
      </c>
      <c r="AT558">
        <f>$H$558*$Z$558</f>
        <v>550.1</v>
      </c>
      <c r="AU558">
        <f>$H$558*$AA$558</f>
        <v>550.1</v>
      </c>
      <c r="AV558">
        <f>$H$558*$AB$558</f>
        <v>550.1</v>
      </c>
      <c r="AW558">
        <f>$H$558*$AC$558</f>
        <v>550.1</v>
      </c>
      <c r="AX558">
        <f>$H$558*$AD$558</f>
        <v>550.1</v>
      </c>
      <c r="AY558">
        <f>$H$558*$AE$558</f>
        <v>550.1</v>
      </c>
      <c r="AZ558">
        <f>$H$558*$AF$558</f>
        <v>550.1</v>
      </c>
    </row>
    <row r="559" spans="1:52" x14ac:dyDescent="0.25">
      <c r="A559">
        <v>627</v>
      </c>
      <c r="B559" t="s">
        <v>307</v>
      </c>
      <c r="C559" t="s">
        <v>468</v>
      </c>
      <c r="D559">
        <v>53.53</v>
      </c>
      <c r="E559">
        <v>54.6</v>
      </c>
      <c r="F559" t="s">
        <v>349</v>
      </c>
      <c r="G559">
        <v>1.02</v>
      </c>
      <c r="H559">
        <v>65.52</v>
      </c>
      <c r="I559" t="s">
        <v>469</v>
      </c>
      <c r="J559" t="s">
        <v>470</v>
      </c>
      <c r="K559" t="s">
        <v>668</v>
      </c>
      <c r="L559" t="s">
        <v>179</v>
      </c>
      <c r="M559" t="s">
        <v>307</v>
      </c>
      <c r="N559" t="s">
        <v>12</v>
      </c>
      <c r="O559" t="s">
        <v>15</v>
      </c>
      <c r="P559">
        <v>0</v>
      </c>
      <c r="Q559">
        <v>0</v>
      </c>
      <c r="R559">
        <v>0</v>
      </c>
      <c r="S559">
        <v>1</v>
      </c>
      <c r="T559">
        <v>1</v>
      </c>
      <c r="U559">
        <v>1</v>
      </c>
      <c r="V559">
        <v>1</v>
      </c>
      <c r="W559">
        <v>1</v>
      </c>
      <c r="X559">
        <v>1</v>
      </c>
      <c r="Y559">
        <v>1</v>
      </c>
      <c r="Z559">
        <v>1</v>
      </c>
      <c r="AA559">
        <v>1</v>
      </c>
      <c r="AB559">
        <v>1</v>
      </c>
      <c r="AC559">
        <v>1</v>
      </c>
      <c r="AD559">
        <v>1</v>
      </c>
      <c r="AE559">
        <v>1</v>
      </c>
      <c r="AF559">
        <v>1</v>
      </c>
      <c r="AG559" t="s">
        <v>307</v>
      </c>
      <c r="AH559" t="s">
        <v>12</v>
      </c>
      <c r="AI559" t="s">
        <v>15</v>
      </c>
      <c r="AJ559">
        <f>$H$559*$P$559</f>
        <v>0</v>
      </c>
      <c r="AK559">
        <f>$H$559*$Q$559</f>
        <v>0</v>
      </c>
      <c r="AL559">
        <f>$H$559*$R$559</f>
        <v>0</v>
      </c>
      <c r="AM559">
        <f>$H$559*$S$559</f>
        <v>65.52</v>
      </c>
      <c r="AN559">
        <f>$H$559*$T$559</f>
        <v>65.52</v>
      </c>
      <c r="AO559">
        <f>$H$559*$U$559</f>
        <v>65.52</v>
      </c>
      <c r="AP559">
        <f>$H$559*$V$559</f>
        <v>65.52</v>
      </c>
      <c r="AQ559">
        <f>$H$559*$W$559</f>
        <v>65.52</v>
      </c>
      <c r="AR559">
        <f>$H$559*$X$559</f>
        <v>65.52</v>
      </c>
      <c r="AS559">
        <f>$H$559*$Y$559</f>
        <v>65.52</v>
      </c>
      <c r="AT559">
        <f>$H$559*$Z$559</f>
        <v>65.52</v>
      </c>
      <c r="AU559">
        <f>$H$559*$AA$559</f>
        <v>65.52</v>
      </c>
      <c r="AV559">
        <f>$H$559*$AB$559</f>
        <v>65.52</v>
      </c>
      <c r="AW559">
        <f>$H$559*$AC$559</f>
        <v>65.52</v>
      </c>
      <c r="AX559">
        <f>$H$559*$AD$559</f>
        <v>65.52</v>
      </c>
      <c r="AY559">
        <f>$H$559*$AE$559</f>
        <v>65.52</v>
      </c>
      <c r="AZ559">
        <f>$H$559*$AF$559</f>
        <v>65.52</v>
      </c>
    </row>
    <row r="560" spans="1:52" x14ac:dyDescent="0.25">
      <c r="A560">
        <v>628</v>
      </c>
      <c r="B560" t="s">
        <v>307</v>
      </c>
      <c r="C560" t="s">
        <v>471</v>
      </c>
      <c r="D560">
        <v>53.53</v>
      </c>
      <c r="E560">
        <v>494.08</v>
      </c>
      <c r="F560" t="s">
        <v>349</v>
      </c>
      <c r="G560">
        <v>9.23</v>
      </c>
      <c r="H560">
        <v>592.9</v>
      </c>
      <c r="I560" t="s">
        <v>469</v>
      </c>
      <c r="J560" t="s">
        <v>463</v>
      </c>
      <c r="K560" t="s">
        <v>669</v>
      </c>
      <c r="L560" t="s">
        <v>179</v>
      </c>
      <c r="M560" t="s">
        <v>307</v>
      </c>
      <c r="N560" t="s">
        <v>12</v>
      </c>
      <c r="O560" t="s">
        <v>15</v>
      </c>
      <c r="P560">
        <v>0</v>
      </c>
      <c r="Q560">
        <v>0</v>
      </c>
      <c r="R560">
        <v>0</v>
      </c>
      <c r="S560">
        <v>1</v>
      </c>
      <c r="T560">
        <v>1</v>
      </c>
      <c r="U560">
        <v>1</v>
      </c>
      <c r="V560">
        <v>1</v>
      </c>
      <c r="W560">
        <v>1</v>
      </c>
      <c r="X560">
        <v>1</v>
      </c>
      <c r="Y560">
        <v>1</v>
      </c>
      <c r="Z560">
        <v>1</v>
      </c>
      <c r="AA560">
        <v>1</v>
      </c>
      <c r="AB560">
        <v>1</v>
      </c>
      <c r="AC560">
        <v>1</v>
      </c>
      <c r="AD560">
        <v>1</v>
      </c>
      <c r="AE560">
        <v>1</v>
      </c>
      <c r="AF560">
        <v>1</v>
      </c>
      <c r="AG560" t="s">
        <v>307</v>
      </c>
      <c r="AH560" t="s">
        <v>12</v>
      </c>
      <c r="AI560" t="s">
        <v>15</v>
      </c>
      <c r="AJ560">
        <f>$H$560*$P$560</f>
        <v>0</v>
      </c>
      <c r="AK560">
        <f>$H$560*$Q$560</f>
        <v>0</v>
      </c>
      <c r="AL560">
        <f>$H$560*$R$560</f>
        <v>0</v>
      </c>
      <c r="AM560">
        <f>$H$560*$S$560</f>
        <v>592.9</v>
      </c>
      <c r="AN560">
        <f>$H$560*$T$560</f>
        <v>592.9</v>
      </c>
      <c r="AO560">
        <f>$H$560*$U$560</f>
        <v>592.9</v>
      </c>
      <c r="AP560">
        <f>$H$560*$V$560</f>
        <v>592.9</v>
      </c>
      <c r="AQ560">
        <f>$H$560*$W$560</f>
        <v>592.9</v>
      </c>
      <c r="AR560">
        <f>$H$560*$X$560</f>
        <v>592.9</v>
      </c>
      <c r="AS560">
        <f>$H$560*$Y$560</f>
        <v>592.9</v>
      </c>
      <c r="AT560">
        <f>$H$560*$Z$560</f>
        <v>592.9</v>
      </c>
      <c r="AU560">
        <f>$H$560*$AA$560</f>
        <v>592.9</v>
      </c>
      <c r="AV560">
        <f>$H$560*$AB$560</f>
        <v>592.9</v>
      </c>
      <c r="AW560">
        <f>$H$560*$AC$560</f>
        <v>592.9</v>
      </c>
      <c r="AX560">
        <f>$H$560*$AD$560</f>
        <v>592.9</v>
      </c>
      <c r="AY560">
        <f>$H$560*$AE$560</f>
        <v>592.9</v>
      </c>
      <c r="AZ560">
        <f>$H$560*$AF$560</f>
        <v>592.9</v>
      </c>
    </row>
    <row r="561" spans="1:52" x14ac:dyDescent="0.25">
      <c r="A561">
        <v>629</v>
      </c>
      <c r="B561" t="s">
        <v>308</v>
      </c>
      <c r="C561" t="s">
        <v>435</v>
      </c>
      <c r="D561">
        <v>6</v>
      </c>
      <c r="E561">
        <v>79.62</v>
      </c>
      <c r="F561" t="s">
        <v>335</v>
      </c>
      <c r="G561">
        <v>13.27</v>
      </c>
      <c r="H561">
        <v>95.54</v>
      </c>
      <c r="I561" t="s">
        <v>337</v>
      </c>
      <c r="J561" t="s">
        <v>436</v>
      </c>
      <c r="K561" t="s">
        <v>652</v>
      </c>
      <c r="L561" t="s">
        <v>179</v>
      </c>
      <c r="M561" t="s">
        <v>308</v>
      </c>
      <c r="N561" t="s">
        <v>11</v>
      </c>
      <c r="O561" t="s">
        <v>15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1</v>
      </c>
      <c r="Y561">
        <v>1</v>
      </c>
      <c r="Z561">
        <v>1</v>
      </c>
      <c r="AA561">
        <v>1</v>
      </c>
      <c r="AB561">
        <v>1</v>
      </c>
      <c r="AC561">
        <v>1</v>
      </c>
      <c r="AD561">
        <v>1</v>
      </c>
      <c r="AE561">
        <v>1</v>
      </c>
      <c r="AF561">
        <v>1</v>
      </c>
      <c r="AG561" t="s">
        <v>308</v>
      </c>
      <c r="AH561" t="s">
        <v>11</v>
      </c>
      <c r="AI561" t="s">
        <v>15</v>
      </c>
      <c r="AJ561">
        <f>$H$561*$P$561</f>
        <v>0</v>
      </c>
      <c r="AK561">
        <f>$H$561*$Q$561</f>
        <v>0</v>
      </c>
      <c r="AL561">
        <f>$H$561*$R$561</f>
        <v>0</v>
      </c>
      <c r="AM561">
        <f>$H$561*$S$561</f>
        <v>0</v>
      </c>
      <c r="AN561">
        <f>$H$561*$T$561</f>
        <v>0</v>
      </c>
      <c r="AO561">
        <f>$H$561*$U$561</f>
        <v>0</v>
      </c>
      <c r="AP561">
        <f>$H$561*$V$561</f>
        <v>0</v>
      </c>
      <c r="AQ561">
        <f>$H$561*$W$561</f>
        <v>0</v>
      </c>
      <c r="AR561">
        <f>$H$561*$X$561</f>
        <v>95.54</v>
      </c>
      <c r="AS561">
        <f>$H$561*$Y$561</f>
        <v>95.54</v>
      </c>
      <c r="AT561">
        <f>$H$561*$Z$561</f>
        <v>95.54</v>
      </c>
      <c r="AU561">
        <f>$H$561*$AA$561</f>
        <v>95.54</v>
      </c>
      <c r="AV561">
        <f>$H$561*$AB$561</f>
        <v>95.54</v>
      </c>
      <c r="AW561">
        <f>$H$561*$AC$561</f>
        <v>95.54</v>
      </c>
      <c r="AX561">
        <f>$H$561*$AD$561</f>
        <v>95.54</v>
      </c>
      <c r="AY561">
        <f>$H$561*$AE$561</f>
        <v>95.54</v>
      </c>
      <c r="AZ561">
        <f>$H$561*$AF$561</f>
        <v>95.54</v>
      </c>
    </row>
    <row r="562" spans="1:52" x14ac:dyDescent="0.25">
      <c r="A562">
        <v>630</v>
      </c>
      <c r="B562" t="s">
        <v>308</v>
      </c>
      <c r="C562" t="s">
        <v>358</v>
      </c>
      <c r="D562">
        <v>52</v>
      </c>
      <c r="E562">
        <v>230.88</v>
      </c>
      <c r="F562" t="s">
        <v>329</v>
      </c>
      <c r="G562">
        <v>4.4400000000000004</v>
      </c>
      <c r="H562">
        <v>277.06</v>
      </c>
      <c r="I562" t="s">
        <v>330</v>
      </c>
      <c r="J562" t="s">
        <v>359</v>
      </c>
      <c r="K562" t="s">
        <v>615</v>
      </c>
      <c r="L562" t="s">
        <v>179</v>
      </c>
      <c r="M562" t="s">
        <v>308</v>
      </c>
      <c r="N562" t="s">
        <v>11</v>
      </c>
      <c r="O562" t="s">
        <v>15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1</v>
      </c>
      <c r="AB562">
        <v>1</v>
      </c>
      <c r="AC562">
        <v>1</v>
      </c>
      <c r="AD562">
        <v>1</v>
      </c>
      <c r="AE562">
        <v>1</v>
      </c>
      <c r="AF562">
        <v>1</v>
      </c>
      <c r="AG562" t="s">
        <v>308</v>
      </c>
      <c r="AH562" t="s">
        <v>11</v>
      </c>
      <c r="AI562" t="s">
        <v>15</v>
      </c>
      <c r="AJ562">
        <f>$H$562*$P$562</f>
        <v>0</v>
      </c>
      <c r="AK562">
        <f>$H$562*$Q$562</f>
        <v>0</v>
      </c>
      <c r="AL562">
        <f>$H$562*$R$562</f>
        <v>0</v>
      </c>
      <c r="AM562">
        <f>$H$562*$S$562</f>
        <v>0</v>
      </c>
      <c r="AN562">
        <f>$H$562*$T$562</f>
        <v>0</v>
      </c>
      <c r="AO562">
        <f>$H$562*$U$562</f>
        <v>0</v>
      </c>
      <c r="AP562">
        <f>$H$562*$V$562</f>
        <v>0</v>
      </c>
      <c r="AQ562">
        <f>$H$562*$W$562</f>
        <v>0</v>
      </c>
      <c r="AR562">
        <f>$H$562*$X$562</f>
        <v>0</v>
      </c>
      <c r="AS562">
        <f>$H$562*$Y$562</f>
        <v>0</v>
      </c>
      <c r="AT562">
        <f>$H$562*$Z$562</f>
        <v>0</v>
      </c>
      <c r="AU562">
        <f>$H$562*$AA$562</f>
        <v>277.06</v>
      </c>
      <c r="AV562">
        <f>$H$562*$AB$562</f>
        <v>277.06</v>
      </c>
      <c r="AW562">
        <f>$H$562*$AC$562</f>
        <v>277.06</v>
      </c>
      <c r="AX562">
        <f>$H$562*$AD$562</f>
        <v>277.06</v>
      </c>
      <c r="AY562">
        <f>$H$562*$AE$562</f>
        <v>277.06</v>
      </c>
      <c r="AZ562">
        <f>$H$562*$AF$562</f>
        <v>277.06</v>
      </c>
    </row>
    <row r="563" spans="1:52" x14ac:dyDescent="0.25">
      <c r="A563">
        <v>631</v>
      </c>
      <c r="B563" t="s">
        <v>308</v>
      </c>
      <c r="C563" t="s">
        <v>360</v>
      </c>
      <c r="D563">
        <v>26</v>
      </c>
      <c r="E563">
        <v>300.3</v>
      </c>
      <c r="F563" t="s">
        <v>329</v>
      </c>
      <c r="G563">
        <v>11.55</v>
      </c>
      <c r="H563">
        <v>360.36</v>
      </c>
      <c r="I563" t="s">
        <v>333</v>
      </c>
      <c r="J563" t="s">
        <v>361</v>
      </c>
      <c r="K563" t="s">
        <v>616</v>
      </c>
      <c r="L563" t="s">
        <v>179</v>
      </c>
      <c r="M563" t="s">
        <v>308</v>
      </c>
      <c r="N563" t="s">
        <v>11</v>
      </c>
      <c r="O563" t="s">
        <v>15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1</v>
      </c>
      <c r="AB563">
        <v>1</v>
      </c>
      <c r="AC563">
        <v>1</v>
      </c>
      <c r="AD563">
        <v>1</v>
      </c>
      <c r="AE563">
        <v>1</v>
      </c>
      <c r="AF563">
        <v>1</v>
      </c>
      <c r="AG563" t="s">
        <v>308</v>
      </c>
      <c r="AH563" t="s">
        <v>11</v>
      </c>
      <c r="AI563" t="s">
        <v>15</v>
      </c>
      <c r="AJ563">
        <f>$H$563*$P$563</f>
        <v>0</v>
      </c>
      <c r="AK563">
        <f>$H$563*$Q$563</f>
        <v>0</v>
      </c>
      <c r="AL563">
        <f>$H$563*$R$563</f>
        <v>0</v>
      </c>
      <c r="AM563">
        <f>$H$563*$S$563</f>
        <v>0</v>
      </c>
      <c r="AN563">
        <f>$H$563*$T$563</f>
        <v>0</v>
      </c>
      <c r="AO563">
        <f>$H$563*$U$563</f>
        <v>0</v>
      </c>
      <c r="AP563">
        <f>$H$563*$V$563</f>
        <v>0</v>
      </c>
      <c r="AQ563">
        <f>$H$563*$W$563</f>
        <v>0</v>
      </c>
      <c r="AR563">
        <f>$H$563*$X$563</f>
        <v>0</v>
      </c>
      <c r="AS563">
        <f>$H$563*$Y$563</f>
        <v>0</v>
      </c>
      <c r="AT563">
        <f>$H$563*$Z$563</f>
        <v>0</v>
      </c>
      <c r="AU563">
        <f>$H$563*$AA$563</f>
        <v>360.36</v>
      </c>
      <c r="AV563">
        <f>$H$563*$AB$563</f>
        <v>360.36</v>
      </c>
      <c r="AW563">
        <f>$H$563*$AC$563</f>
        <v>360.36</v>
      </c>
      <c r="AX563">
        <f>$H$563*$AD$563</f>
        <v>360.36</v>
      </c>
      <c r="AY563">
        <f>$H$563*$AE$563</f>
        <v>360.36</v>
      </c>
      <c r="AZ563">
        <f>$H$563*$AF$563</f>
        <v>360.36</v>
      </c>
    </row>
    <row r="564" spans="1:52" x14ac:dyDescent="0.25">
      <c r="A564">
        <v>632</v>
      </c>
      <c r="B564" t="s">
        <v>308</v>
      </c>
      <c r="C564" t="s">
        <v>472</v>
      </c>
      <c r="D564">
        <v>26</v>
      </c>
      <c r="E564">
        <v>279.76</v>
      </c>
      <c r="F564" t="s">
        <v>329</v>
      </c>
      <c r="G564">
        <v>10.76</v>
      </c>
      <c r="H564">
        <v>335.72</v>
      </c>
      <c r="I564" t="s">
        <v>333</v>
      </c>
      <c r="J564" t="s">
        <v>473</v>
      </c>
      <c r="K564" t="s">
        <v>670</v>
      </c>
      <c r="L564" t="s">
        <v>179</v>
      </c>
      <c r="M564" t="s">
        <v>308</v>
      </c>
      <c r="N564" t="s">
        <v>11</v>
      </c>
      <c r="O564" t="s">
        <v>15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1</v>
      </c>
      <c r="AA564">
        <v>1</v>
      </c>
      <c r="AB564">
        <v>1</v>
      </c>
      <c r="AC564">
        <v>1</v>
      </c>
      <c r="AD564">
        <v>1</v>
      </c>
      <c r="AE564">
        <v>1</v>
      </c>
      <c r="AF564">
        <v>1</v>
      </c>
      <c r="AG564" t="s">
        <v>308</v>
      </c>
      <c r="AH564" t="s">
        <v>11</v>
      </c>
      <c r="AI564" t="s">
        <v>15</v>
      </c>
      <c r="AJ564">
        <f>$H$564*$P$564</f>
        <v>0</v>
      </c>
      <c r="AK564">
        <f>$H$564*$Q$564</f>
        <v>0</v>
      </c>
      <c r="AL564">
        <f>$H$564*$R$564</f>
        <v>0</v>
      </c>
      <c r="AM564">
        <f>$H$564*$S$564</f>
        <v>0</v>
      </c>
      <c r="AN564">
        <f>$H$564*$T$564</f>
        <v>0</v>
      </c>
      <c r="AO564">
        <f>$H$564*$U$564</f>
        <v>0</v>
      </c>
      <c r="AP564">
        <f>$H$564*$V$564</f>
        <v>0</v>
      </c>
      <c r="AQ564">
        <f>$H$564*$W$564</f>
        <v>0</v>
      </c>
      <c r="AR564">
        <f>$H$564*$X$564</f>
        <v>0</v>
      </c>
      <c r="AS564">
        <f>$H$564*$Y$564</f>
        <v>0</v>
      </c>
      <c r="AT564">
        <f>$H$564*$Z$564</f>
        <v>335.72</v>
      </c>
      <c r="AU564">
        <f>$H$564*$AA$564</f>
        <v>335.72</v>
      </c>
      <c r="AV564">
        <f>$H$564*$AB$564</f>
        <v>335.72</v>
      </c>
      <c r="AW564">
        <f>$H$564*$AC$564</f>
        <v>335.72</v>
      </c>
      <c r="AX564">
        <f>$H$564*$AD$564</f>
        <v>335.72</v>
      </c>
      <c r="AY564">
        <f>$H$564*$AE$564</f>
        <v>335.72</v>
      </c>
      <c r="AZ564">
        <f>$H$564*$AF$564</f>
        <v>335.72</v>
      </c>
    </row>
    <row r="565" spans="1:52" x14ac:dyDescent="0.25">
      <c r="A565">
        <v>633</v>
      </c>
      <c r="B565" t="s">
        <v>308</v>
      </c>
      <c r="C565" t="s">
        <v>437</v>
      </c>
      <c r="D565">
        <v>1</v>
      </c>
      <c r="E565">
        <v>98.82</v>
      </c>
      <c r="F565" t="s">
        <v>335</v>
      </c>
      <c r="G565">
        <v>98.82</v>
      </c>
      <c r="H565">
        <v>118.58</v>
      </c>
      <c r="I565" t="s">
        <v>340</v>
      </c>
      <c r="J565" t="s">
        <v>372</v>
      </c>
      <c r="K565" t="s">
        <v>653</v>
      </c>
      <c r="L565" t="s">
        <v>179</v>
      </c>
      <c r="M565" t="s">
        <v>308</v>
      </c>
      <c r="N565" t="s">
        <v>11</v>
      </c>
      <c r="O565" t="s">
        <v>15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1</v>
      </c>
      <c r="AE565">
        <v>1</v>
      </c>
      <c r="AF565">
        <v>1</v>
      </c>
      <c r="AG565" t="s">
        <v>308</v>
      </c>
      <c r="AH565" t="s">
        <v>11</v>
      </c>
      <c r="AI565" t="s">
        <v>15</v>
      </c>
      <c r="AJ565">
        <f>$H$565*$P$565</f>
        <v>0</v>
      </c>
      <c r="AK565">
        <f>$H$565*$Q$565</f>
        <v>0</v>
      </c>
      <c r="AL565">
        <f>$H$565*$R$565</f>
        <v>0</v>
      </c>
      <c r="AM565">
        <f>$H$565*$S$565</f>
        <v>0</v>
      </c>
      <c r="AN565">
        <f>$H$565*$T$565</f>
        <v>0</v>
      </c>
      <c r="AO565">
        <f>$H$565*$U$565</f>
        <v>0</v>
      </c>
      <c r="AP565">
        <f>$H$565*$V$565</f>
        <v>0</v>
      </c>
      <c r="AQ565">
        <f>$H$565*$W$565</f>
        <v>0</v>
      </c>
      <c r="AR565">
        <f>$H$565*$X$565</f>
        <v>0</v>
      </c>
      <c r="AS565">
        <f>$H$565*$Y$565</f>
        <v>0</v>
      </c>
      <c r="AT565">
        <f>$H$565*$Z$565</f>
        <v>0</v>
      </c>
      <c r="AU565">
        <f>$H$565*$AA$565</f>
        <v>0</v>
      </c>
      <c r="AV565">
        <f>$H$565*$AB$565</f>
        <v>0</v>
      </c>
      <c r="AW565">
        <f>$H$565*$AC$565</f>
        <v>0</v>
      </c>
      <c r="AX565">
        <f>$H$565*$AD$565</f>
        <v>118.58</v>
      </c>
      <c r="AY565">
        <f>$H$565*$AE$565</f>
        <v>118.58</v>
      </c>
      <c r="AZ565">
        <f>$H$565*$AF$565</f>
        <v>118.58</v>
      </c>
    </row>
    <row r="566" spans="1:52" x14ac:dyDescent="0.25">
      <c r="A566">
        <v>634</v>
      </c>
      <c r="B566" t="s">
        <v>308</v>
      </c>
      <c r="C566" t="s">
        <v>367</v>
      </c>
      <c r="D566">
        <v>1</v>
      </c>
      <c r="E566">
        <v>62.41</v>
      </c>
      <c r="F566" t="s">
        <v>335</v>
      </c>
      <c r="G566">
        <v>62.41</v>
      </c>
      <c r="H566">
        <v>74.89</v>
      </c>
      <c r="I566" t="s">
        <v>368</v>
      </c>
      <c r="J566" t="s">
        <v>369</v>
      </c>
      <c r="K566" t="s">
        <v>619</v>
      </c>
      <c r="L566" t="s">
        <v>179</v>
      </c>
      <c r="M566" t="s">
        <v>308</v>
      </c>
      <c r="N566" t="s">
        <v>11</v>
      </c>
      <c r="O566" t="s">
        <v>15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1</v>
      </c>
      <c r="AB566">
        <v>1</v>
      </c>
      <c r="AC566">
        <v>1</v>
      </c>
      <c r="AD566">
        <v>1</v>
      </c>
      <c r="AE566">
        <v>1</v>
      </c>
      <c r="AF566">
        <v>1</v>
      </c>
      <c r="AG566" t="s">
        <v>308</v>
      </c>
      <c r="AH566" t="s">
        <v>11</v>
      </c>
      <c r="AI566" t="s">
        <v>15</v>
      </c>
      <c r="AJ566">
        <f>$H$566*$P$566</f>
        <v>0</v>
      </c>
      <c r="AK566">
        <f>$H$566*$Q$566</f>
        <v>0</v>
      </c>
      <c r="AL566">
        <f>$H$566*$R$566</f>
        <v>0</v>
      </c>
      <c r="AM566">
        <f>$H$566*$S$566</f>
        <v>0</v>
      </c>
      <c r="AN566">
        <f>$H$566*$T$566</f>
        <v>0</v>
      </c>
      <c r="AO566">
        <f>$H$566*$U$566</f>
        <v>0</v>
      </c>
      <c r="AP566">
        <f>$H$566*$V$566</f>
        <v>0</v>
      </c>
      <c r="AQ566">
        <f>$H$566*$W$566</f>
        <v>0</v>
      </c>
      <c r="AR566">
        <f>$H$566*$X$566</f>
        <v>0</v>
      </c>
      <c r="AS566">
        <f>$H$566*$Y$566</f>
        <v>0</v>
      </c>
      <c r="AT566">
        <f>$H$566*$Z$566</f>
        <v>0</v>
      </c>
      <c r="AU566">
        <f>$H$566*$AA$566</f>
        <v>74.89</v>
      </c>
      <c r="AV566">
        <f>$H$566*$AB$566</f>
        <v>74.89</v>
      </c>
      <c r="AW566">
        <f>$H$566*$AC$566</f>
        <v>74.89</v>
      </c>
      <c r="AX566">
        <f>$H$566*$AD$566</f>
        <v>74.89</v>
      </c>
      <c r="AY566">
        <f>$H$566*$AE$566</f>
        <v>74.89</v>
      </c>
      <c r="AZ566">
        <f>$H$566*$AF$566</f>
        <v>74.89</v>
      </c>
    </row>
    <row r="567" spans="1:52" x14ac:dyDescent="0.25">
      <c r="A567">
        <v>635</v>
      </c>
      <c r="B567" t="s">
        <v>308</v>
      </c>
      <c r="C567" t="s">
        <v>375</v>
      </c>
      <c r="D567">
        <v>2</v>
      </c>
      <c r="E567">
        <v>77.86</v>
      </c>
      <c r="F567" t="s">
        <v>335</v>
      </c>
      <c r="G567">
        <v>38.93</v>
      </c>
      <c r="H567">
        <v>93.44</v>
      </c>
      <c r="I567" t="s">
        <v>330</v>
      </c>
      <c r="J567" t="s">
        <v>371</v>
      </c>
      <c r="K567" t="s">
        <v>622</v>
      </c>
      <c r="L567" t="s">
        <v>179</v>
      </c>
      <c r="M567" t="s">
        <v>308</v>
      </c>
      <c r="N567" t="s">
        <v>11</v>
      </c>
      <c r="O567" t="s">
        <v>15</v>
      </c>
      <c r="P567">
        <v>0</v>
      </c>
      <c r="Q567">
        <v>0</v>
      </c>
      <c r="R567">
        <v>0</v>
      </c>
      <c r="S567">
        <v>1</v>
      </c>
      <c r="T567">
        <v>1</v>
      </c>
      <c r="U567">
        <v>1</v>
      </c>
      <c r="V567">
        <v>1</v>
      </c>
      <c r="W567">
        <v>1</v>
      </c>
      <c r="X567">
        <v>1</v>
      </c>
      <c r="Y567">
        <v>1</v>
      </c>
      <c r="Z567">
        <v>1</v>
      </c>
      <c r="AA567">
        <v>1</v>
      </c>
      <c r="AB567">
        <v>1</v>
      </c>
      <c r="AC567">
        <v>1</v>
      </c>
      <c r="AD567">
        <v>1</v>
      </c>
      <c r="AE567">
        <v>1</v>
      </c>
      <c r="AF567">
        <v>1</v>
      </c>
      <c r="AG567" t="s">
        <v>308</v>
      </c>
      <c r="AH567" t="s">
        <v>11</v>
      </c>
      <c r="AI567" t="s">
        <v>15</v>
      </c>
      <c r="AJ567">
        <f>$H$567*$P$567</f>
        <v>0</v>
      </c>
      <c r="AK567">
        <f>$H$567*$Q$567</f>
        <v>0</v>
      </c>
      <c r="AL567">
        <f>$H$567*$R$567</f>
        <v>0</v>
      </c>
      <c r="AM567">
        <f>$H$567*$S$567</f>
        <v>93.44</v>
      </c>
      <c r="AN567">
        <f>$H$567*$T$567</f>
        <v>93.44</v>
      </c>
      <c r="AO567">
        <f>$H$567*$U$567</f>
        <v>93.44</v>
      </c>
      <c r="AP567">
        <f>$H$567*$V$567</f>
        <v>93.44</v>
      </c>
      <c r="AQ567">
        <f>$H$567*$W$567</f>
        <v>93.44</v>
      </c>
      <c r="AR567">
        <f>$H$567*$X$567</f>
        <v>93.44</v>
      </c>
      <c r="AS567">
        <f>$H$567*$Y$567</f>
        <v>93.44</v>
      </c>
      <c r="AT567">
        <f>$H$567*$Z$567</f>
        <v>93.44</v>
      </c>
      <c r="AU567">
        <f>$H$567*$AA$567</f>
        <v>93.44</v>
      </c>
      <c r="AV567">
        <f>$H$567*$AB$567</f>
        <v>93.44</v>
      </c>
      <c r="AW567">
        <f>$H$567*$AC$567</f>
        <v>93.44</v>
      </c>
      <c r="AX567">
        <f>$H$567*$AD$567</f>
        <v>93.44</v>
      </c>
      <c r="AY567">
        <f>$H$567*$AE$567</f>
        <v>93.44</v>
      </c>
      <c r="AZ567">
        <f>$H$567*$AF$567</f>
        <v>93.44</v>
      </c>
    </row>
    <row r="568" spans="1:52" x14ac:dyDescent="0.25">
      <c r="A568">
        <v>636</v>
      </c>
      <c r="B568" t="s">
        <v>308</v>
      </c>
      <c r="C568" t="s">
        <v>373</v>
      </c>
      <c r="D568">
        <v>2</v>
      </c>
      <c r="E568">
        <v>62.72</v>
      </c>
      <c r="F568" t="s">
        <v>335</v>
      </c>
      <c r="G568">
        <v>31.36</v>
      </c>
      <c r="H568">
        <v>75.260000000000005</v>
      </c>
      <c r="I568" t="s">
        <v>330</v>
      </c>
      <c r="J568" t="s">
        <v>374</v>
      </c>
      <c r="K568" t="s">
        <v>621</v>
      </c>
      <c r="L568" t="s">
        <v>179</v>
      </c>
      <c r="M568" t="s">
        <v>308</v>
      </c>
      <c r="N568" t="s">
        <v>11</v>
      </c>
      <c r="O568" t="s">
        <v>15</v>
      </c>
      <c r="P568">
        <v>0</v>
      </c>
      <c r="Q568">
        <v>0</v>
      </c>
      <c r="R568">
        <v>0</v>
      </c>
      <c r="S568">
        <v>1</v>
      </c>
      <c r="T568">
        <v>1</v>
      </c>
      <c r="U568">
        <v>1</v>
      </c>
      <c r="V568">
        <v>1</v>
      </c>
      <c r="W568">
        <v>1</v>
      </c>
      <c r="X568">
        <v>1</v>
      </c>
      <c r="Y568">
        <v>1</v>
      </c>
      <c r="Z568">
        <v>1</v>
      </c>
      <c r="AA568">
        <v>1</v>
      </c>
      <c r="AB568">
        <v>1</v>
      </c>
      <c r="AC568">
        <v>1</v>
      </c>
      <c r="AD568">
        <v>1</v>
      </c>
      <c r="AE568">
        <v>1</v>
      </c>
      <c r="AF568">
        <v>1</v>
      </c>
      <c r="AG568" t="s">
        <v>308</v>
      </c>
      <c r="AH568" t="s">
        <v>11</v>
      </c>
      <c r="AI568" t="s">
        <v>15</v>
      </c>
      <c r="AJ568">
        <f>$H$568*$P$568</f>
        <v>0</v>
      </c>
      <c r="AK568">
        <f>$H$568*$Q$568</f>
        <v>0</v>
      </c>
      <c r="AL568">
        <f>$H$568*$R$568</f>
        <v>0</v>
      </c>
      <c r="AM568">
        <f>$H$568*$S$568</f>
        <v>75.260000000000005</v>
      </c>
      <c r="AN568">
        <f>$H$568*$T$568</f>
        <v>75.260000000000005</v>
      </c>
      <c r="AO568">
        <f>$H$568*$U$568</f>
        <v>75.260000000000005</v>
      </c>
      <c r="AP568">
        <f>$H$568*$V$568</f>
        <v>75.260000000000005</v>
      </c>
      <c r="AQ568">
        <f>$H$568*$W$568</f>
        <v>75.260000000000005</v>
      </c>
      <c r="AR568">
        <f>$H$568*$X$568</f>
        <v>75.260000000000005</v>
      </c>
      <c r="AS568">
        <f>$H$568*$Y$568</f>
        <v>75.260000000000005</v>
      </c>
      <c r="AT568">
        <f>$H$568*$Z$568</f>
        <v>75.260000000000005</v>
      </c>
      <c r="AU568">
        <f>$H$568*$AA$568</f>
        <v>75.260000000000005</v>
      </c>
      <c r="AV568">
        <f>$H$568*$AB$568</f>
        <v>75.260000000000005</v>
      </c>
      <c r="AW568">
        <f>$H$568*$AC$568</f>
        <v>75.260000000000005</v>
      </c>
      <c r="AX568">
        <f>$H$568*$AD$568</f>
        <v>75.260000000000005</v>
      </c>
      <c r="AY568">
        <f>$H$568*$AE$568</f>
        <v>75.260000000000005</v>
      </c>
      <c r="AZ568">
        <f>$H$568*$AF$568</f>
        <v>75.260000000000005</v>
      </c>
    </row>
    <row r="569" spans="1:52" x14ac:dyDescent="0.25">
      <c r="A569">
        <v>637</v>
      </c>
      <c r="B569" t="s">
        <v>308</v>
      </c>
      <c r="C569" t="s">
        <v>370</v>
      </c>
      <c r="D569">
        <v>1</v>
      </c>
      <c r="E569">
        <v>366.18</v>
      </c>
      <c r="F569" t="s">
        <v>335</v>
      </c>
      <c r="G569">
        <v>366.18</v>
      </c>
      <c r="H569">
        <v>439.42</v>
      </c>
      <c r="I569" t="s">
        <v>371</v>
      </c>
      <c r="J569" t="s">
        <v>372</v>
      </c>
      <c r="K569" t="s">
        <v>620</v>
      </c>
      <c r="L569" t="s">
        <v>179</v>
      </c>
      <c r="M569" t="s">
        <v>308</v>
      </c>
      <c r="N569" t="s">
        <v>11</v>
      </c>
      <c r="O569" t="s">
        <v>15</v>
      </c>
      <c r="P569">
        <v>0</v>
      </c>
      <c r="Q569">
        <v>0</v>
      </c>
      <c r="R569">
        <v>0</v>
      </c>
      <c r="S569">
        <v>0</v>
      </c>
      <c r="T569">
        <v>1</v>
      </c>
      <c r="U569">
        <v>1</v>
      </c>
      <c r="V569">
        <v>1</v>
      </c>
      <c r="W569">
        <v>1</v>
      </c>
      <c r="X569">
        <v>1</v>
      </c>
      <c r="Y569">
        <v>1</v>
      </c>
      <c r="Z569">
        <v>1</v>
      </c>
      <c r="AA569">
        <v>1</v>
      </c>
      <c r="AB569">
        <v>1</v>
      </c>
      <c r="AC569">
        <v>1</v>
      </c>
      <c r="AD569">
        <v>1</v>
      </c>
      <c r="AE569">
        <v>1</v>
      </c>
      <c r="AF569">
        <v>1</v>
      </c>
      <c r="AG569" t="s">
        <v>308</v>
      </c>
      <c r="AH569" t="s">
        <v>11</v>
      </c>
      <c r="AI569" t="s">
        <v>15</v>
      </c>
      <c r="AJ569">
        <f>$H$569*$P$569</f>
        <v>0</v>
      </c>
      <c r="AK569">
        <f>$H$569*$Q$569</f>
        <v>0</v>
      </c>
      <c r="AL569">
        <f>$H$569*$R$569</f>
        <v>0</v>
      </c>
      <c r="AM569">
        <f>$H$569*$S$569</f>
        <v>0</v>
      </c>
      <c r="AN569">
        <f>$H$569*$T$569</f>
        <v>439.42</v>
      </c>
      <c r="AO569">
        <f>$H$569*$U$569</f>
        <v>439.42</v>
      </c>
      <c r="AP569">
        <f>$H$569*$V$569</f>
        <v>439.42</v>
      </c>
      <c r="AQ569">
        <f>$H$569*$W$569</f>
        <v>439.42</v>
      </c>
      <c r="AR569">
        <f>$H$569*$X$569</f>
        <v>439.42</v>
      </c>
      <c r="AS569">
        <f>$H$569*$Y$569</f>
        <v>439.42</v>
      </c>
      <c r="AT569">
        <f>$H$569*$Z$569</f>
        <v>439.42</v>
      </c>
      <c r="AU569">
        <f>$H$569*$AA$569</f>
        <v>439.42</v>
      </c>
      <c r="AV569">
        <f>$H$569*$AB$569</f>
        <v>439.42</v>
      </c>
      <c r="AW569">
        <f>$H$569*$AC$569</f>
        <v>439.42</v>
      </c>
      <c r="AX569">
        <f>$H$569*$AD$569</f>
        <v>439.42</v>
      </c>
      <c r="AY569">
        <f>$H$569*$AE$569</f>
        <v>439.42</v>
      </c>
      <c r="AZ569">
        <f>$H$569*$AF$569</f>
        <v>439.42</v>
      </c>
    </row>
    <row r="570" spans="1:52" x14ac:dyDescent="0.25">
      <c r="A570">
        <v>638</v>
      </c>
      <c r="B570" t="s">
        <v>308</v>
      </c>
      <c r="C570" t="s">
        <v>438</v>
      </c>
      <c r="D570">
        <v>17.329999999999998</v>
      </c>
      <c r="E570">
        <v>45.4</v>
      </c>
      <c r="F570" t="s">
        <v>329</v>
      </c>
      <c r="G570">
        <v>2.62</v>
      </c>
      <c r="H570">
        <v>54.48</v>
      </c>
      <c r="I570" t="s">
        <v>439</v>
      </c>
      <c r="J570" t="s">
        <v>440</v>
      </c>
      <c r="K570" t="s">
        <v>654</v>
      </c>
      <c r="L570" t="s">
        <v>179</v>
      </c>
      <c r="M570" t="s">
        <v>308</v>
      </c>
      <c r="N570" t="s">
        <v>11</v>
      </c>
      <c r="O570" t="s">
        <v>15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1</v>
      </c>
      <c r="AB570">
        <v>1</v>
      </c>
      <c r="AC570">
        <v>1</v>
      </c>
      <c r="AD570">
        <v>1</v>
      </c>
      <c r="AE570">
        <v>1</v>
      </c>
      <c r="AF570">
        <v>1</v>
      </c>
      <c r="AG570" t="s">
        <v>308</v>
      </c>
      <c r="AH570" t="s">
        <v>11</v>
      </c>
      <c r="AI570" t="s">
        <v>15</v>
      </c>
      <c r="AJ570">
        <f>$H$570*$P$570</f>
        <v>0</v>
      </c>
      <c r="AK570">
        <f>$H$570*$Q$570</f>
        <v>0</v>
      </c>
      <c r="AL570">
        <f>$H$570*$R$570</f>
        <v>0</v>
      </c>
      <c r="AM570">
        <f>$H$570*$S$570</f>
        <v>0</v>
      </c>
      <c r="AN570">
        <f>$H$570*$T$570</f>
        <v>0</v>
      </c>
      <c r="AO570">
        <f>$H$570*$U$570</f>
        <v>0</v>
      </c>
      <c r="AP570">
        <f>$H$570*$V$570</f>
        <v>0</v>
      </c>
      <c r="AQ570">
        <f>$H$570*$W$570</f>
        <v>0</v>
      </c>
      <c r="AR570">
        <f>$H$570*$X$570</f>
        <v>0</v>
      </c>
      <c r="AS570">
        <f>$H$570*$Y$570</f>
        <v>0</v>
      </c>
      <c r="AT570">
        <f>$H$570*$Z$570</f>
        <v>0</v>
      </c>
      <c r="AU570">
        <f>$H$570*$AA$570</f>
        <v>54.48</v>
      </c>
      <c r="AV570">
        <f>$H$570*$AB$570</f>
        <v>54.48</v>
      </c>
      <c r="AW570">
        <f>$H$570*$AC$570</f>
        <v>54.48</v>
      </c>
      <c r="AX570">
        <f>$H$570*$AD$570</f>
        <v>54.48</v>
      </c>
      <c r="AY570">
        <f>$H$570*$AE$570</f>
        <v>54.48</v>
      </c>
      <c r="AZ570">
        <f>$H$570*$AF$570</f>
        <v>54.48</v>
      </c>
    </row>
    <row r="571" spans="1:52" x14ac:dyDescent="0.25">
      <c r="A571">
        <v>639</v>
      </c>
      <c r="B571" t="s">
        <v>308</v>
      </c>
      <c r="C571" t="s">
        <v>441</v>
      </c>
      <c r="D571">
        <v>156</v>
      </c>
      <c r="E571">
        <v>336.96</v>
      </c>
      <c r="F571" t="s">
        <v>349</v>
      </c>
      <c r="G571">
        <v>2.16</v>
      </c>
      <c r="H571">
        <v>404.36</v>
      </c>
      <c r="I571" t="s">
        <v>439</v>
      </c>
      <c r="J571" t="s">
        <v>442</v>
      </c>
      <c r="K571" t="s">
        <v>655</v>
      </c>
      <c r="L571" t="s">
        <v>179</v>
      </c>
      <c r="M571" t="s">
        <v>308</v>
      </c>
      <c r="N571" t="s">
        <v>11</v>
      </c>
      <c r="O571" t="s">
        <v>15</v>
      </c>
      <c r="P571">
        <v>0</v>
      </c>
      <c r="Q571">
        <v>0</v>
      </c>
      <c r="R571">
        <v>0</v>
      </c>
      <c r="S571">
        <v>1</v>
      </c>
      <c r="T571">
        <v>1</v>
      </c>
      <c r="U571">
        <v>1</v>
      </c>
      <c r="V571">
        <v>1</v>
      </c>
      <c r="W571">
        <v>1</v>
      </c>
      <c r="X571">
        <v>1</v>
      </c>
      <c r="Y571">
        <v>1</v>
      </c>
      <c r="Z571">
        <v>1</v>
      </c>
      <c r="AA571">
        <v>1</v>
      </c>
      <c r="AB571">
        <v>1</v>
      </c>
      <c r="AC571">
        <v>1</v>
      </c>
      <c r="AD571">
        <v>1</v>
      </c>
      <c r="AE571">
        <v>1</v>
      </c>
      <c r="AF571">
        <v>1</v>
      </c>
      <c r="AG571" t="s">
        <v>308</v>
      </c>
      <c r="AH571" t="s">
        <v>11</v>
      </c>
      <c r="AI571" t="s">
        <v>15</v>
      </c>
      <c r="AJ571">
        <f>$H$571*$P$571</f>
        <v>0</v>
      </c>
      <c r="AK571">
        <f>$H$571*$Q$571</f>
        <v>0</v>
      </c>
      <c r="AL571">
        <f>$H$571*$R$571</f>
        <v>0</v>
      </c>
      <c r="AM571">
        <f>$H$571*$S$571</f>
        <v>404.36</v>
      </c>
      <c r="AN571">
        <f>$H$571*$T$571</f>
        <v>404.36</v>
      </c>
      <c r="AO571">
        <f>$H$571*$U$571</f>
        <v>404.36</v>
      </c>
      <c r="AP571">
        <f>$H$571*$V$571</f>
        <v>404.36</v>
      </c>
      <c r="AQ571">
        <f>$H$571*$W$571</f>
        <v>404.36</v>
      </c>
      <c r="AR571">
        <f>$H$571*$X$571</f>
        <v>404.36</v>
      </c>
      <c r="AS571">
        <f>$H$571*$Y$571</f>
        <v>404.36</v>
      </c>
      <c r="AT571">
        <f>$H$571*$Z$571</f>
        <v>404.36</v>
      </c>
      <c r="AU571">
        <f>$H$571*$AA$571</f>
        <v>404.36</v>
      </c>
      <c r="AV571">
        <f>$H$571*$AB$571</f>
        <v>404.36</v>
      </c>
      <c r="AW571">
        <f>$H$571*$AC$571</f>
        <v>404.36</v>
      </c>
      <c r="AX571">
        <f>$H$571*$AD$571</f>
        <v>404.36</v>
      </c>
      <c r="AY571">
        <f>$H$571*$AE$571</f>
        <v>404.36</v>
      </c>
      <c r="AZ571">
        <f>$H$571*$AF$571</f>
        <v>404.36</v>
      </c>
    </row>
    <row r="572" spans="1:52" x14ac:dyDescent="0.25">
      <c r="A572">
        <v>640</v>
      </c>
      <c r="B572" t="s">
        <v>308</v>
      </c>
      <c r="C572" t="s">
        <v>443</v>
      </c>
      <c r="D572">
        <v>156</v>
      </c>
      <c r="E572">
        <v>98.28</v>
      </c>
      <c r="F572" t="s">
        <v>349</v>
      </c>
      <c r="G572">
        <v>0.63</v>
      </c>
      <c r="H572">
        <v>117.94</v>
      </c>
      <c r="I572" t="s">
        <v>330</v>
      </c>
      <c r="J572" t="s">
        <v>444</v>
      </c>
      <c r="K572" t="s">
        <v>656</v>
      </c>
      <c r="L572" t="s">
        <v>179</v>
      </c>
      <c r="M572" t="s">
        <v>308</v>
      </c>
      <c r="N572" t="s">
        <v>11</v>
      </c>
      <c r="O572" t="s">
        <v>15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1</v>
      </c>
      <c r="AE572">
        <v>1</v>
      </c>
      <c r="AF572">
        <v>1</v>
      </c>
      <c r="AG572" t="s">
        <v>308</v>
      </c>
      <c r="AH572" t="s">
        <v>11</v>
      </c>
      <c r="AI572" t="s">
        <v>15</v>
      </c>
      <c r="AJ572">
        <f>$H$572*$P$572</f>
        <v>0</v>
      </c>
      <c r="AK572">
        <f>$H$572*$Q$572</f>
        <v>0</v>
      </c>
      <c r="AL572">
        <f>$H$572*$R$572</f>
        <v>0</v>
      </c>
      <c r="AM572">
        <f>$H$572*$S$572</f>
        <v>0</v>
      </c>
      <c r="AN572">
        <f>$H$572*$T$572</f>
        <v>0</v>
      </c>
      <c r="AO572">
        <f>$H$572*$U$572</f>
        <v>0</v>
      </c>
      <c r="AP572">
        <f>$H$572*$V$572</f>
        <v>0</v>
      </c>
      <c r="AQ572">
        <f>$H$572*$W$572</f>
        <v>0</v>
      </c>
      <c r="AR572">
        <f>$H$572*$X$572</f>
        <v>0</v>
      </c>
      <c r="AS572">
        <f>$H$572*$Y$572</f>
        <v>0</v>
      </c>
      <c r="AT572">
        <f>$H$572*$Z$572</f>
        <v>0</v>
      </c>
      <c r="AU572">
        <f>$H$572*$AA$572</f>
        <v>0</v>
      </c>
      <c r="AV572">
        <f>$H$572*$AB$572</f>
        <v>0</v>
      </c>
      <c r="AW572">
        <f>$H$572*$AC$572</f>
        <v>0</v>
      </c>
      <c r="AX572">
        <f>$H$572*$AD$572</f>
        <v>117.94</v>
      </c>
      <c r="AY572">
        <f>$H$572*$AE$572</f>
        <v>117.94</v>
      </c>
      <c r="AZ572">
        <f>$H$572*$AF$572</f>
        <v>117.94</v>
      </c>
    </row>
    <row r="573" spans="1:52" x14ac:dyDescent="0.25">
      <c r="A573">
        <v>641</v>
      </c>
      <c r="B573" t="s">
        <v>308</v>
      </c>
      <c r="C573" t="s">
        <v>362</v>
      </c>
      <c r="D573">
        <v>195</v>
      </c>
      <c r="E573">
        <v>191.1</v>
      </c>
      <c r="F573" t="s">
        <v>349</v>
      </c>
      <c r="G573">
        <v>0.98</v>
      </c>
      <c r="H573">
        <v>229.32</v>
      </c>
      <c r="I573" t="s">
        <v>330</v>
      </c>
      <c r="J573" t="s">
        <v>363</v>
      </c>
      <c r="K573" t="s">
        <v>617</v>
      </c>
      <c r="L573" t="s">
        <v>179</v>
      </c>
      <c r="M573" t="s">
        <v>308</v>
      </c>
      <c r="N573" t="s">
        <v>11</v>
      </c>
      <c r="O573" t="s">
        <v>15</v>
      </c>
      <c r="P573">
        <v>0</v>
      </c>
      <c r="Q573">
        <v>0</v>
      </c>
      <c r="R573">
        <v>0</v>
      </c>
      <c r="S573">
        <v>0</v>
      </c>
      <c r="T573">
        <v>1</v>
      </c>
      <c r="U573">
        <v>1</v>
      </c>
      <c r="V573">
        <v>1</v>
      </c>
      <c r="W573">
        <v>1</v>
      </c>
      <c r="X573">
        <v>1</v>
      </c>
      <c r="Y573">
        <v>1</v>
      </c>
      <c r="Z573">
        <v>1</v>
      </c>
      <c r="AA573">
        <v>1</v>
      </c>
      <c r="AB573">
        <v>1</v>
      </c>
      <c r="AC573">
        <v>1</v>
      </c>
      <c r="AD573">
        <v>1</v>
      </c>
      <c r="AE573">
        <v>1</v>
      </c>
      <c r="AF573">
        <v>1</v>
      </c>
      <c r="AG573" t="s">
        <v>308</v>
      </c>
      <c r="AH573" t="s">
        <v>11</v>
      </c>
      <c r="AI573" t="s">
        <v>15</v>
      </c>
      <c r="AJ573">
        <f>$H$573*$P$573</f>
        <v>0</v>
      </c>
      <c r="AK573">
        <f>$H$573*$Q$573</f>
        <v>0</v>
      </c>
      <c r="AL573">
        <f>$H$573*$R$573</f>
        <v>0</v>
      </c>
      <c r="AM573">
        <f>$H$573*$S$573</f>
        <v>0</v>
      </c>
      <c r="AN573">
        <f>$H$573*$T$573</f>
        <v>229.32</v>
      </c>
      <c r="AO573">
        <f>$H$573*$U$573</f>
        <v>229.32</v>
      </c>
      <c r="AP573">
        <f>$H$573*$V$573</f>
        <v>229.32</v>
      </c>
      <c r="AQ573">
        <f>$H$573*$W$573</f>
        <v>229.32</v>
      </c>
      <c r="AR573">
        <f>$H$573*$X$573</f>
        <v>229.32</v>
      </c>
      <c r="AS573">
        <f>$H$573*$Y$573</f>
        <v>229.32</v>
      </c>
      <c r="AT573">
        <f>$H$573*$Z$573</f>
        <v>229.32</v>
      </c>
      <c r="AU573">
        <f>$H$573*$AA$573</f>
        <v>229.32</v>
      </c>
      <c r="AV573">
        <f>$H$573*$AB$573</f>
        <v>229.32</v>
      </c>
      <c r="AW573">
        <f>$H$573*$AC$573</f>
        <v>229.32</v>
      </c>
      <c r="AX573">
        <f>$H$573*$AD$573</f>
        <v>229.32</v>
      </c>
      <c r="AY573">
        <f>$H$573*$AE$573</f>
        <v>229.32</v>
      </c>
      <c r="AZ573">
        <f>$H$573*$AF$573</f>
        <v>229.32</v>
      </c>
    </row>
    <row r="574" spans="1:52" x14ac:dyDescent="0.25">
      <c r="A574">
        <v>642</v>
      </c>
      <c r="B574" t="s">
        <v>308</v>
      </c>
      <c r="C574" t="s">
        <v>445</v>
      </c>
      <c r="D574">
        <v>39</v>
      </c>
      <c r="E574">
        <v>146.63999999999999</v>
      </c>
      <c r="F574" t="s">
        <v>349</v>
      </c>
      <c r="G574">
        <v>3.76</v>
      </c>
      <c r="H574">
        <v>175.96</v>
      </c>
      <c r="I574" t="s">
        <v>446</v>
      </c>
      <c r="J574" t="s">
        <v>420</v>
      </c>
      <c r="K574" t="s">
        <v>657</v>
      </c>
      <c r="L574" t="s">
        <v>179</v>
      </c>
      <c r="M574" t="s">
        <v>308</v>
      </c>
      <c r="N574" t="s">
        <v>11</v>
      </c>
      <c r="O574" t="s">
        <v>15</v>
      </c>
      <c r="P574">
        <v>0</v>
      </c>
      <c r="Q574">
        <v>0</v>
      </c>
      <c r="R574">
        <v>0</v>
      </c>
      <c r="S574">
        <v>0.25</v>
      </c>
      <c r="T574">
        <v>0.25</v>
      </c>
      <c r="U574">
        <v>0.25</v>
      </c>
      <c r="V574">
        <v>0.25</v>
      </c>
      <c r="W574">
        <v>0.25</v>
      </c>
      <c r="X574">
        <v>0.5</v>
      </c>
      <c r="Y574">
        <v>0.5</v>
      </c>
      <c r="Z574">
        <v>0.5</v>
      </c>
      <c r="AA574">
        <v>1</v>
      </c>
      <c r="AB574">
        <v>1</v>
      </c>
      <c r="AC574">
        <v>1</v>
      </c>
      <c r="AD574">
        <v>1</v>
      </c>
      <c r="AE574">
        <v>1</v>
      </c>
      <c r="AF574">
        <v>1</v>
      </c>
      <c r="AG574" t="s">
        <v>308</v>
      </c>
      <c r="AH574" t="s">
        <v>11</v>
      </c>
      <c r="AI574" t="s">
        <v>15</v>
      </c>
      <c r="AJ574">
        <f>$H$574*$P$574</f>
        <v>0</v>
      </c>
      <c r="AK574">
        <f>$H$574*$Q$574</f>
        <v>0</v>
      </c>
      <c r="AL574">
        <f>$H$574*$R$574</f>
        <v>0</v>
      </c>
      <c r="AM574">
        <f>$H$574*$S$574</f>
        <v>43.99</v>
      </c>
      <c r="AN574">
        <f>$H$574*$T$574</f>
        <v>43.99</v>
      </c>
      <c r="AO574">
        <f>$H$574*$U$574</f>
        <v>43.99</v>
      </c>
      <c r="AP574">
        <f>$H$574*$V$574</f>
        <v>43.99</v>
      </c>
      <c r="AQ574">
        <f>$H$574*$W$574</f>
        <v>43.99</v>
      </c>
      <c r="AR574">
        <f>$H$574*$X$574</f>
        <v>87.98</v>
      </c>
      <c r="AS574">
        <f>$H$574*$Y$574</f>
        <v>87.98</v>
      </c>
      <c r="AT574">
        <f>$H$574*$Z$574</f>
        <v>87.98</v>
      </c>
      <c r="AU574">
        <f>$H$574*$AA$574</f>
        <v>175.96</v>
      </c>
      <c r="AV574">
        <f>$H$574*$AB$574</f>
        <v>175.96</v>
      </c>
      <c r="AW574">
        <f>$H$574*$AC$574</f>
        <v>175.96</v>
      </c>
      <c r="AX574">
        <f>$H$574*$AD$574</f>
        <v>175.96</v>
      </c>
      <c r="AY574">
        <f>$H$574*$AE$574</f>
        <v>175.96</v>
      </c>
      <c r="AZ574">
        <f>$H$574*$AF$574</f>
        <v>175.96</v>
      </c>
    </row>
    <row r="575" spans="1:52" x14ac:dyDescent="0.25">
      <c r="A575">
        <v>643</v>
      </c>
      <c r="B575" t="s">
        <v>308</v>
      </c>
      <c r="C575" t="s">
        <v>364</v>
      </c>
      <c r="D575">
        <v>390</v>
      </c>
      <c r="E575">
        <v>1310.4000000000001</v>
      </c>
      <c r="F575" t="s">
        <v>349</v>
      </c>
      <c r="G575">
        <v>3.36</v>
      </c>
      <c r="H575">
        <v>1572.48</v>
      </c>
      <c r="I575" t="s">
        <v>365</v>
      </c>
      <c r="J575" t="s">
        <v>366</v>
      </c>
      <c r="K575" t="s">
        <v>618</v>
      </c>
      <c r="L575" t="s">
        <v>179</v>
      </c>
      <c r="M575" t="s">
        <v>308</v>
      </c>
      <c r="N575" t="s">
        <v>11</v>
      </c>
      <c r="O575" t="s">
        <v>15</v>
      </c>
      <c r="P575">
        <v>0</v>
      </c>
      <c r="Q575">
        <v>0</v>
      </c>
      <c r="R575">
        <v>0</v>
      </c>
      <c r="S575">
        <v>0.25</v>
      </c>
      <c r="T575">
        <v>0.25</v>
      </c>
      <c r="U575">
        <v>0.25</v>
      </c>
      <c r="V575">
        <v>0.25</v>
      </c>
      <c r="W575">
        <v>0.5</v>
      </c>
      <c r="X575">
        <v>0.5</v>
      </c>
      <c r="Y575">
        <v>0.5</v>
      </c>
      <c r="Z575">
        <v>0.5</v>
      </c>
      <c r="AA575">
        <v>1</v>
      </c>
      <c r="AB575">
        <v>1</v>
      </c>
      <c r="AC575">
        <v>1</v>
      </c>
      <c r="AD575">
        <v>1</v>
      </c>
      <c r="AE575">
        <v>1</v>
      </c>
      <c r="AF575">
        <v>1</v>
      </c>
      <c r="AG575" t="s">
        <v>308</v>
      </c>
      <c r="AH575" t="s">
        <v>11</v>
      </c>
      <c r="AI575" t="s">
        <v>15</v>
      </c>
      <c r="AJ575">
        <f>$H$575*$P$575</f>
        <v>0</v>
      </c>
      <c r="AK575">
        <f>$H$575*$Q$575</f>
        <v>0</v>
      </c>
      <c r="AL575">
        <f>$H$575*$R$575</f>
        <v>0</v>
      </c>
      <c r="AM575">
        <f>$H$575*$S$575</f>
        <v>393.12</v>
      </c>
      <c r="AN575">
        <f>$H$575*$T$575</f>
        <v>393.12</v>
      </c>
      <c r="AO575">
        <f>$H$575*$U$575</f>
        <v>393.12</v>
      </c>
      <c r="AP575">
        <f>$H$575*$V$575</f>
        <v>393.12</v>
      </c>
      <c r="AQ575">
        <f>$H$575*$W$575</f>
        <v>786.24</v>
      </c>
      <c r="AR575">
        <f>$H$575*$X$575</f>
        <v>786.24</v>
      </c>
      <c r="AS575">
        <f>$H$575*$Y$575</f>
        <v>786.24</v>
      </c>
      <c r="AT575">
        <f>$H$575*$Z$575</f>
        <v>786.24</v>
      </c>
      <c r="AU575">
        <f>$H$575*$AA$575</f>
        <v>1572.48</v>
      </c>
      <c r="AV575">
        <f>$H$575*$AB$575</f>
        <v>1572.48</v>
      </c>
      <c r="AW575">
        <f>$H$575*$AC$575</f>
        <v>1572.48</v>
      </c>
      <c r="AX575">
        <f>$H$575*$AD$575</f>
        <v>1572.48</v>
      </c>
      <c r="AY575">
        <f>$H$575*$AE$575</f>
        <v>1572.48</v>
      </c>
      <c r="AZ575">
        <f>$H$575*$AF$575</f>
        <v>1572.48</v>
      </c>
    </row>
    <row r="576" spans="1:52" x14ac:dyDescent="0.25">
      <c r="A576">
        <v>644</v>
      </c>
      <c r="B576" t="s">
        <v>308</v>
      </c>
      <c r="C576" t="s">
        <v>455</v>
      </c>
      <c r="D576">
        <v>43.33</v>
      </c>
      <c r="E576">
        <v>65.430000000000007</v>
      </c>
      <c r="F576" t="s">
        <v>329</v>
      </c>
      <c r="G576">
        <v>1.51</v>
      </c>
      <c r="H576">
        <v>78.510000000000005</v>
      </c>
      <c r="I576" t="s">
        <v>330</v>
      </c>
      <c r="J576" t="s">
        <v>456</v>
      </c>
      <c r="K576" t="s">
        <v>662</v>
      </c>
      <c r="L576" t="s">
        <v>179</v>
      </c>
      <c r="M576" t="s">
        <v>308</v>
      </c>
      <c r="N576" t="s">
        <v>11</v>
      </c>
      <c r="O576" t="s">
        <v>15</v>
      </c>
      <c r="P576">
        <v>0</v>
      </c>
      <c r="Q576">
        <v>0</v>
      </c>
      <c r="R576">
        <v>0</v>
      </c>
      <c r="S576">
        <v>1</v>
      </c>
      <c r="T576">
        <v>1</v>
      </c>
      <c r="U576">
        <v>1</v>
      </c>
      <c r="V576">
        <v>1</v>
      </c>
      <c r="W576">
        <v>1</v>
      </c>
      <c r="X576">
        <v>1</v>
      </c>
      <c r="Y576">
        <v>1</v>
      </c>
      <c r="Z576">
        <v>1</v>
      </c>
      <c r="AA576">
        <v>1</v>
      </c>
      <c r="AB576">
        <v>1</v>
      </c>
      <c r="AC576">
        <v>1</v>
      </c>
      <c r="AD576">
        <v>1</v>
      </c>
      <c r="AE576">
        <v>1</v>
      </c>
      <c r="AF576">
        <v>1</v>
      </c>
      <c r="AG576" t="s">
        <v>308</v>
      </c>
      <c r="AH576" t="s">
        <v>11</v>
      </c>
      <c r="AI576" t="s">
        <v>15</v>
      </c>
      <c r="AJ576">
        <f>$H$576*$P$576</f>
        <v>0</v>
      </c>
      <c r="AK576">
        <f>$H$576*$Q$576</f>
        <v>0</v>
      </c>
      <c r="AL576">
        <f>$H$576*$R$576</f>
        <v>0</v>
      </c>
      <c r="AM576">
        <f>$H$576*$S$576</f>
        <v>78.510000000000005</v>
      </c>
      <c r="AN576">
        <f>$H$576*$T$576</f>
        <v>78.510000000000005</v>
      </c>
      <c r="AO576">
        <f>$H$576*$U$576</f>
        <v>78.510000000000005</v>
      </c>
      <c r="AP576">
        <f>$H$576*$V$576</f>
        <v>78.510000000000005</v>
      </c>
      <c r="AQ576">
        <f>$H$576*$W$576</f>
        <v>78.510000000000005</v>
      </c>
      <c r="AR576">
        <f>$H$576*$X$576</f>
        <v>78.510000000000005</v>
      </c>
      <c r="AS576">
        <f>$H$576*$Y$576</f>
        <v>78.510000000000005</v>
      </c>
      <c r="AT576">
        <f>$H$576*$Z$576</f>
        <v>78.510000000000005</v>
      </c>
      <c r="AU576">
        <f>$H$576*$AA$576</f>
        <v>78.510000000000005</v>
      </c>
      <c r="AV576">
        <f>$H$576*$AB$576</f>
        <v>78.510000000000005</v>
      </c>
      <c r="AW576">
        <f>$H$576*$AC$576</f>
        <v>78.510000000000005</v>
      </c>
      <c r="AX576">
        <f>$H$576*$AD$576</f>
        <v>78.510000000000005</v>
      </c>
      <c r="AY576">
        <f>$H$576*$AE$576</f>
        <v>78.510000000000005</v>
      </c>
      <c r="AZ576">
        <f>$H$576*$AF$576</f>
        <v>78.510000000000005</v>
      </c>
    </row>
    <row r="577" spans="1:52" x14ac:dyDescent="0.25">
      <c r="A577">
        <v>645</v>
      </c>
      <c r="B577" t="s">
        <v>308</v>
      </c>
      <c r="C577" t="s">
        <v>457</v>
      </c>
      <c r="D577">
        <v>43.33</v>
      </c>
      <c r="E577">
        <v>246.11</v>
      </c>
      <c r="F577" t="s">
        <v>329</v>
      </c>
      <c r="G577">
        <v>5.68</v>
      </c>
      <c r="H577">
        <v>295.33</v>
      </c>
      <c r="I577" t="s">
        <v>333</v>
      </c>
      <c r="J577" t="s">
        <v>458</v>
      </c>
      <c r="K577" t="s">
        <v>663</v>
      </c>
      <c r="L577" t="s">
        <v>179</v>
      </c>
      <c r="M577" t="s">
        <v>308</v>
      </c>
      <c r="N577" t="s">
        <v>11</v>
      </c>
      <c r="O577" t="s">
        <v>15</v>
      </c>
      <c r="P577">
        <v>0</v>
      </c>
      <c r="Q577">
        <v>0</v>
      </c>
      <c r="R577">
        <v>0</v>
      </c>
      <c r="S577">
        <v>1</v>
      </c>
      <c r="T577">
        <v>1</v>
      </c>
      <c r="U577">
        <v>1</v>
      </c>
      <c r="V577">
        <v>1</v>
      </c>
      <c r="W577">
        <v>1</v>
      </c>
      <c r="X577">
        <v>1</v>
      </c>
      <c r="Y577">
        <v>1</v>
      </c>
      <c r="Z577">
        <v>1</v>
      </c>
      <c r="AA577">
        <v>1</v>
      </c>
      <c r="AB577">
        <v>1</v>
      </c>
      <c r="AC577">
        <v>1</v>
      </c>
      <c r="AD577">
        <v>1</v>
      </c>
      <c r="AE577">
        <v>1</v>
      </c>
      <c r="AF577">
        <v>1</v>
      </c>
      <c r="AG577" t="s">
        <v>308</v>
      </c>
      <c r="AH577" t="s">
        <v>11</v>
      </c>
      <c r="AI577" t="s">
        <v>15</v>
      </c>
      <c r="AJ577">
        <f>$H$577*$P$577</f>
        <v>0</v>
      </c>
      <c r="AK577">
        <f>$H$577*$Q$577</f>
        <v>0</v>
      </c>
      <c r="AL577">
        <f>$H$577*$R$577</f>
        <v>0</v>
      </c>
      <c r="AM577">
        <f>$H$577*$S$577</f>
        <v>295.33</v>
      </c>
      <c r="AN577">
        <f>$H$577*$T$577</f>
        <v>295.33</v>
      </c>
      <c r="AO577">
        <f>$H$577*$U$577</f>
        <v>295.33</v>
      </c>
      <c r="AP577">
        <f>$H$577*$V$577</f>
        <v>295.33</v>
      </c>
      <c r="AQ577">
        <f>$H$577*$W$577</f>
        <v>295.33</v>
      </c>
      <c r="AR577">
        <f>$H$577*$X$577</f>
        <v>295.33</v>
      </c>
      <c r="AS577">
        <f>$H$577*$Y$577</f>
        <v>295.33</v>
      </c>
      <c r="AT577">
        <f>$H$577*$Z$577</f>
        <v>295.33</v>
      </c>
      <c r="AU577">
        <f>$H$577*$AA$577</f>
        <v>295.33</v>
      </c>
      <c r="AV577">
        <f>$H$577*$AB$577</f>
        <v>295.33</v>
      </c>
      <c r="AW577">
        <f>$H$577*$AC$577</f>
        <v>295.33</v>
      </c>
      <c r="AX577">
        <f>$H$577*$AD$577</f>
        <v>295.33</v>
      </c>
      <c r="AY577">
        <f>$H$577*$AE$577</f>
        <v>295.33</v>
      </c>
      <c r="AZ577">
        <f>$H$577*$AF$577</f>
        <v>295.33</v>
      </c>
    </row>
    <row r="578" spans="1:52" x14ac:dyDescent="0.25">
      <c r="A578">
        <v>646</v>
      </c>
      <c r="B578" t="s">
        <v>308</v>
      </c>
      <c r="C578" t="s">
        <v>364</v>
      </c>
      <c r="D578">
        <v>116.36</v>
      </c>
      <c r="E578">
        <v>390.97</v>
      </c>
      <c r="F578" t="s">
        <v>349</v>
      </c>
      <c r="G578">
        <v>3.36</v>
      </c>
      <c r="H578">
        <v>469.17</v>
      </c>
      <c r="I578" t="s">
        <v>365</v>
      </c>
      <c r="J578" t="s">
        <v>366</v>
      </c>
      <c r="K578" t="s">
        <v>618</v>
      </c>
      <c r="L578" t="s">
        <v>179</v>
      </c>
      <c r="M578" t="s">
        <v>308</v>
      </c>
      <c r="N578" t="s">
        <v>11</v>
      </c>
      <c r="O578" t="s">
        <v>15</v>
      </c>
      <c r="P578">
        <v>0</v>
      </c>
      <c r="Q578">
        <v>0</v>
      </c>
      <c r="R578">
        <v>0</v>
      </c>
      <c r="S578">
        <v>0.25</v>
      </c>
      <c r="T578">
        <v>0.25</v>
      </c>
      <c r="U578">
        <v>0.25</v>
      </c>
      <c r="V578">
        <v>0.25</v>
      </c>
      <c r="W578">
        <v>0.5</v>
      </c>
      <c r="X578">
        <v>0.5</v>
      </c>
      <c r="Y578">
        <v>0.5</v>
      </c>
      <c r="Z578">
        <v>0.5</v>
      </c>
      <c r="AA578">
        <v>1</v>
      </c>
      <c r="AB578">
        <v>1</v>
      </c>
      <c r="AC578">
        <v>1</v>
      </c>
      <c r="AD578">
        <v>1</v>
      </c>
      <c r="AE578">
        <v>1</v>
      </c>
      <c r="AF578">
        <v>1</v>
      </c>
      <c r="AG578" t="s">
        <v>308</v>
      </c>
      <c r="AH578" t="s">
        <v>11</v>
      </c>
      <c r="AI578" t="s">
        <v>15</v>
      </c>
      <c r="AJ578">
        <f>$H$578*$P$578</f>
        <v>0</v>
      </c>
      <c r="AK578">
        <f>$H$578*$Q$578</f>
        <v>0</v>
      </c>
      <c r="AL578">
        <f>$H$578*$R$578</f>
        <v>0</v>
      </c>
      <c r="AM578">
        <f>$H$578*$S$578</f>
        <v>117.2925</v>
      </c>
      <c r="AN578">
        <f>$H$578*$T$578</f>
        <v>117.2925</v>
      </c>
      <c r="AO578">
        <f>$H$578*$U$578</f>
        <v>117.2925</v>
      </c>
      <c r="AP578">
        <f>$H$578*$V$578</f>
        <v>117.2925</v>
      </c>
      <c r="AQ578">
        <f>$H$578*$W$578</f>
        <v>234.58500000000001</v>
      </c>
      <c r="AR578">
        <f>$H$578*$X$578</f>
        <v>234.58500000000001</v>
      </c>
      <c r="AS578">
        <f>$H$578*$Y$578</f>
        <v>234.58500000000001</v>
      </c>
      <c r="AT578">
        <f>$H$578*$Z$578</f>
        <v>234.58500000000001</v>
      </c>
      <c r="AU578">
        <f>$H$578*$AA$578</f>
        <v>469.17</v>
      </c>
      <c r="AV578">
        <f>$H$578*$AB$578</f>
        <v>469.17</v>
      </c>
      <c r="AW578">
        <f>$H$578*$AC$578</f>
        <v>469.17</v>
      </c>
      <c r="AX578">
        <f>$H$578*$AD$578</f>
        <v>469.17</v>
      </c>
      <c r="AY578">
        <f>$H$578*$AE$578</f>
        <v>469.17</v>
      </c>
      <c r="AZ578">
        <f>$H$578*$AF$578</f>
        <v>469.17</v>
      </c>
    </row>
    <row r="579" spans="1:52" x14ac:dyDescent="0.25">
      <c r="A579">
        <v>647</v>
      </c>
      <c r="B579" t="s">
        <v>308</v>
      </c>
      <c r="C579" t="s">
        <v>443</v>
      </c>
      <c r="D579">
        <v>116.36</v>
      </c>
      <c r="E579">
        <v>73.31</v>
      </c>
      <c r="F579" t="s">
        <v>349</v>
      </c>
      <c r="G579">
        <v>0.63</v>
      </c>
      <c r="H579">
        <v>87.97</v>
      </c>
      <c r="I579" t="s">
        <v>330</v>
      </c>
      <c r="J579" t="s">
        <v>444</v>
      </c>
      <c r="K579" t="s">
        <v>656</v>
      </c>
      <c r="L579" t="s">
        <v>179</v>
      </c>
      <c r="M579" t="s">
        <v>308</v>
      </c>
      <c r="N579" t="s">
        <v>11</v>
      </c>
      <c r="O579" t="s">
        <v>15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1</v>
      </c>
      <c r="AE579">
        <v>1</v>
      </c>
      <c r="AF579">
        <v>1</v>
      </c>
      <c r="AG579" t="s">
        <v>308</v>
      </c>
      <c r="AH579" t="s">
        <v>11</v>
      </c>
      <c r="AI579" t="s">
        <v>15</v>
      </c>
      <c r="AJ579">
        <f>$H$579*$P$579</f>
        <v>0</v>
      </c>
      <c r="AK579">
        <f>$H$579*$Q$579</f>
        <v>0</v>
      </c>
      <c r="AL579">
        <f>$H$579*$R$579</f>
        <v>0</v>
      </c>
      <c r="AM579">
        <f>$H$579*$S$579</f>
        <v>0</v>
      </c>
      <c r="AN579">
        <f>$H$579*$T$579</f>
        <v>0</v>
      </c>
      <c r="AO579">
        <f>$H$579*$U$579</f>
        <v>0</v>
      </c>
      <c r="AP579">
        <f>$H$579*$V$579</f>
        <v>0</v>
      </c>
      <c r="AQ579">
        <f>$H$579*$W$579</f>
        <v>0</v>
      </c>
      <c r="AR579">
        <f>$H$579*$X$579</f>
        <v>0</v>
      </c>
      <c r="AS579">
        <f>$H$579*$Y$579</f>
        <v>0</v>
      </c>
      <c r="AT579">
        <f>$H$579*$Z$579</f>
        <v>0</v>
      </c>
      <c r="AU579">
        <f>$H$579*$AA$579</f>
        <v>0</v>
      </c>
      <c r="AV579">
        <f>$H$579*$AB$579</f>
        <v>0</v>
      </c>
      <c r="AW579">
        <f>$H$579*$AC$579</f>
        <v>0</v>
      </c>
      <c r="AX579">
        <f>$H$579*$AD$579</f>
        <v>87.97</v>
      </c>
      <c r="AY579">
        <f>$H$579*$AE$579</f>
        <v>87.97</v>
      </c>
      <c r="AZ579">
        <f>$H$579*$AF$579</f>
        <v>87.97</v>
      </c>
    </row>
    <row r="580" spans="1:52" x14ac:dyDescent="0.25">
      <c r="A580">
        <v>648</v>
      </c>
      <c r="B580" t="s">
        <v>308</v>
      </c>
      <c r="C580" t="s">
        <v>459</v>
      </c>
      <c r="D580">
        <v>116.36</v>
      </c>
      <c r="E580">
        <v>80.290000000000006</v>
      </c>
      <c r="F580" t="s">
        <v>349</v>
      </c>
      <c r="G580">
        <v>0.69</v>
      </c>
      <c r="H580">
        <v>96.35</v>
      </c>
      <c r="I580" t="s">
        <v>330</v>
      </c>
      <c r="J580" t="s">
        <v>460</v>
      </c>
      <c r="K580" t="s">
        <v>664</v>
      </c>
      <c r="L580" t="s">
        <v>179</v>
      </c>
      <c r="M580" t="s">
        <v>308</v>
      </c>
      <c r="N580" t="s">
        <v>11</v>
      </c>
      <c r="O580" t="s">
        <v>15</v>
      </c>
      <c r="P580">
        <v>0</v>
      </c>
      <c r="Q580">
        <v>0</v>
      </c>
      <c r="R580">
        <v>0</v>
      </c>
      <c r="S580">
        <v>1</v>
      </c>
      <c r="T580">
        <v>1</v>
      </c>
      <c r="U580">
        <v>1</v>
      </c>
      <c r="V580">
        <v>1</v>
      </c>
      <c r="W580">
        <v>1</v>
      </c>
      <c r="X580">
        <v>1</v>
      </c>
      <c r="Y580">
        <v>1</v>
      </c>
      <c r="Z580">
        <v>1</v>
      </c>
      <c r="AA580">
        <v>1</v>
      </c>
      <c r="AB580">
        <v>1</v>
      </c>
      <c r="AC580">
        <v>1</v>
      </c>
      <c r="AD580">
        <v>1</v>
      </c>
      <c r="AE580">
        <v>1</v>
      </c>
      <c r="AF580">
        <v>1</v>
      </c>
      <c r="AG580" t="s">
        <v>308</v>
      </c>
      <c r="AH580" t="s">
        <v>11</v>
      </c>
      <c r="AI580" t="s">
        <v>15</v>
      </c>
      <c r="AJ580">
        <f>$H$580*$P$580</f>
        <v>0</v>
      </c>
      <c r="AK580">
        <f>$H$580*$Q$580</f>
        <v>0</v>
      </c>
      <c r="AL580">
        <f>$H$580*$R$580</f>
        <v>0</v>
      </c>
      <c r="AM580">
        <f>$H$580*$S$580</f>
        <v>96.35</v>
      </c>
      <c r="AN580">
        <f>$H$580*$T$580</f>
        <v>96.35</v>
      </c>
      <c r="AO580">
        <f>$H$580*$U$580</f>
        <v>96.35</v>
      </c>
      <c r="AP580">
        <f>$H$580*$V$580</f>
        <v>96.35</v>
      </c>
      <c r="AQ580">
        <f>$H$580*$W$580</f>
        <v>96.35</v>
      </c>
      <c r="AR580">
        <f>$H$580*$X$580</f>
        <v>96.35</v>
      </c>
      <c r="AS580">
        <f>$H$580*$Y$580</f>
        <v>96.35</v>
      </c>
      <c r="AT580">
        <f>$H$580*$Z$580</f>
        <v>96.35</v>
      </c>
      <c r="AU580">
        <f>$H$580*$AA$580</f>
        <v>96.35</v>
      </c>
      <c r="AV580">
        <f>$H$580*$AB$580</f>
        <v>96.35</v>
      </c>
      <c r="AW580">
        <f>$H$580*$AC$580</f>
        <v>96.35</v>
      </c>
      <c r="AX580">
        <f>$H$580*$AD$580</f>
        <v>96.35</v>
      </c>
      <c r="AY580">
        <f>$H$580*$AE$580</f>
        <v>96.35</v>
      </c>
      <c r="AZ580">
        <f>$H$580*$AF$580</f>
        <v>96.35</v>
      </c>
    </row>
    <row r="581" spans="1:52" x14ac:dyDescent="0.25">
      <c r="A581">
        <v>649</v>
      </c>
      <c r="B581" t="s">
        <v>308</v>
      </c>
      <c r="C581" t="s">
        <v>461</v>
      </c>
      <c r="D581">
        <v>23.27</v>
      </c>
      <c r="E581">
        <v>403.73</v>
      </c>
      <c r="F581" t="s">
        <v>349</v>
      </c>
      <c r="G581">
        <v>17.350000000000001</v>
      </c>
      <c r="H581">
        <v>484.47</v>
      </c>
      <c r="I581" t="s">
        <v>462</v>
      </c>
      <c r="J581" t="s">
        <v>463</v>
      </c>
      <c r="K581" t="s">
        <v>665</v>
      </c>
      <c r="L581" t="s">
        <v>179</v>
      </c>
      <c r="M581" t="s">
        <v>308</v>
      </c>
      <c r="N581" t="s">
        <v>11</v>
      </c>
      <c r="O581" t="s">
        <v>15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1</v>
      </c>
      <c r="Z581">
        <v>1</v>
      </c>
      <c r="AA581">
        <v>1</v>
      </c>
      <c r="AB581">
        <v>1</v>
      </c>
      <c r="AC581">
        <v>1</v>
      </c>
      <c r="AD581">
        <v>1</v>
      </c>
      <c r="AE581">
        <v>1</v>
      </c>
      <c r="AF581">
        <v>1</v>
      </c>
      <c r="AG581" t="s">
        <v>308</v>
      </c>
      <c r="AH581" t="s">
        <v>11</v>
      </c>
      <c r="AI581" t="s">
        <v>15</v>
      </c>
      <c r="AJ581">
        <f>$H$581*$P$581</f>
        <v>0</v>
      </c>
      <c r="AK581">
        <f>$H$581*$Q$581</f>
        <v>0</v>
      </c>
      <c r="AL581">
        <f>$H$581*$R$581</f>
        <v>0</v>
      </c>
      <c r="AM581">
        <f>$H$581*$S$581</f>
        <v>0</v>
      </c>
      <c r="AN581">
        <f>$H$581*$T$581</f>
        <v>0</v>
      </c>
      <c r="AO581">
        <f>$H$581*$U$581</f>
        <v>0</v>
      </c>
      <c r="AP581">
        <f>$H$581*$V$581</f>
        <v>0</v>
      </c>
      <c r="AQ581">
        <f>$H$581*$W$581</f>
        <v>0</v>
      </c>
      <c r="AR581">
        <f>$H$581*$X$581</f>
        <v>0</v>
      </c>
      <c r="AS581">
        <f>$H$581*$Y$581</f>
        <v>484.47</v>
      </c>
      <c r="AT581">
        <f>$H$581*$Z$581</f>
        <v>484.47</v>
      </c>
      <c r="AU581">
        <f>$H$581*$AA$581</f>
        <v>484.47</v>
      </c>
      <c r="AV581">
        <f>$H$581*$AB$581</f>
        <v>484.47</v>
      </c>
      <c r="AW581">
        <f>$H$581*$AC$581</f>
        <v>484.47</v>
      </c>
      <c r="AX581">
        <f>$H$581*$AD$581</f>
        <v>484.47</v>
      </c>
      <c r="AY581">
        <f>$H$581*$AE$581</f>
        <v>484.47</v>
      </c>
      <c r="AZ581">
        <f>$H$581*$AF$581</f>
        <v>484.47</v>
      </c>
    </row>
    <row r="582" spans="1:52" x14ac:dyDescent="0.25">
      <c r="A582">
        <v>650</v>
      </c>
      <c r="B582" t="s">
        <v>308</v>
      </c>
      <c r="C582" t="s">
        <v>464</v>
      </c>
      <c r="D582">
        <v>46.54</v>
      </c>
      <c r="E582">
        <v>166.61</v>
      </c>
      <c r="F582" t="s">
        <v>349</v>
      </c>
      <c r="G582">
        <v>3.58</v>
      </c>
      <c r="H582">
        <v>199.93</v>
      </c>
      <c r="I582" t="s">
        <v>465</v>
      </c>
      <c r="J582" t="s">
        <v>466</v>
      </c>
      <c r="K582" t="s">
        <v>666</v>
      </c>
      <c r="L582" t="s">
        <v>179</v>
      </c>
      <c r="M582" t="s">
        <v>308</v>
      </c>
      <c r="N582" t="s">
        <v>11</v>
      </c>
      <c r="O582" t="s">
        <v>15</v>
      </c>
      <c r="P582">
        <v>0</v>
      </c>
      <c r="Q582">
        <v>0</v>
      </c>
      <c r="R582">
        <v>0</v>
      </c>
      <c r="S582">
        <v>1</v>
      </c>
      <c r="T582">
        <v>1</v>
      </c>
      <c r="U582">
        <v>1</v>
      </c>
      <c r="V582">
        <v>1</v>
      </c>
      <c r="W582">
        <v>1</v>
      </c>
      <c r="X582">
        <v>1</v>
      </c>
      <c r="Y582">
        <v>1</v>
      </c>
      <c r="Z582">
        <v>1</v>
      </c>
      <c r="AA582">
        <v>1</v>
      </c>
      <c r="AB582">
        <v>1</v>
      </c>
      <c r="AC582">
        <v>1</v>
      </c>
      <c r="AD582">
        <v>1</v>
      </c>
      <c r="AE582">
        <v>1</v>
      </c>
      <c r="AF582">
        <v>1</v>
      </c>
      <c r="AG582" t="s">
        <v>308</v>
      </c>
      <c r="AH582" t="s">
        <v>11</v>
      </c>
      <c r="AI582" t="s">
        <v>15</v>
      </c>
      <c r="AJ582">
        <f>$H$582*$P$582</f>
        <v>0</v>
      </c>
      <c r="AK582">
        <f>$H$582*$Q$582</f>
        <v>0</v>
      </c>
      <c r="AL582">
        <f>$H$582*$R$582</f>
        <v>0</v>
      </c>
      <c r="AM582">
        <f>$H$582*$S$582</f>
        <v>199.93</v>
      </c>
      <c r="AN582">
        <f>$H$582*$T$582</f>
        <v>199.93</v>
      </c>
      <c r="AO582">
        <f>$H$582*$U$582</f>
        <v>199.93</v>
      </c>
      <c r="AP582">
        <f>$H$582*$V$582</f>
        <v>199.93</v>
      </c>
      <c r="AQ582">
        <f>$H$582*$W$582</f>
        <v>199.93</v>
      </c>
      <c r="AR582">
        <f>$H$582*$X$582</f>
        <v>199.93</v>
      </c>
      <c r="AS582">
        <f>$H$582*$Y$582</f>
        <v>199.93</v>
      </c>
      <c r="AT582">
        <f>$H$582*$Z$582</f>
        <v>199.93</v>
      </c>
      <c r="AU582">
        <f>$H$582*$AA$582</f>
        <v>199.93</v>
      </c>
      <c r="AV582">
        <f>$H$582*$AB$582</f>
        <v>199.93</v>
      </c>
      <c r="AW582">
        <f>$H$582*$AC$582</f>
        <v>199.93</v>
      </c>
      <c r="AX582">
        <f>$H$582*$AD$582</f>
        <v>199.93</v>
      </c>
      <c r="AY582">
        <f>$H$582*$AE$582</f>
        <v>199.93</v>
      </c>
      <c r="AZ582">
        <f>$H$582*$AF$582</f>
        <v>199.93</v>
      </c>
    </row>
    <row r="583" spans="1:52" x14ac:dyDescent="0.25">
      <c r="A583">
        <v>651</v>
      </c>
      <c r="B583" t="s">
        <v>308</v>
      </c>
      <c r="C583" t="s">
        <v>467</v>
      </c>
      <c r="D583">
        <v>46.54</v>
      </c>
      <c r="E583">
        <v>458.42</v>
      </c>
      <c r="F583" t="s">
        <v>349</v>
      </c>
      <c r="G583">
        <v>9.85</v>
      </c>
      <c r="H583">
        <v>550.1</v>
      </c>
      <c r="I583" t="s">
        <v>465</v>
      </c>
      <c r="J583" t="s">
        <v>372</v>
      </c>
      <c r="K583" t="s">
        <v>667</v>
      </c>
      <c r="L583" t="s">
        <v>179</v>
      </c>
      <c r="M583" t="s">
        <v>308</v>
      </c>
      <c r="N583" t="s">
        <v>11</v>
      </c>
      <c r="O583" t="s">
        <v>15</v>
      </c>
      <c r="P583">
        <v>0</v>
      </c>
      <c r="Q583">
        <v>0</v>
      </c>
      <c r="R583">
        <v>0</v>
      </c>
      <c r="S583">
        <v>1</v>
      </c>
      <c r="T583">
        <v>1</v>
      </c>
      <c r="U583">
        <v>1</v>
      </c>
      <c r="V583">
        <v>1</v>
      </c>
      <c r="W583">
        <v>1</v>
      </c>
      <c r="X583">
        <v>1</v>
      </c>
      <c r="Y583">
        <v>1</v>
      </c>
      <c r="Z583">
        <v>1</v>
      </c>
      <c r="AA583">
        <v>1</v>
      </c>
      <c r="AB583">
        <v>1</v>
      </c>
      <c r="AC583">
        <v>1</v>
      </c>
      <c r="AD583">
        <v>1</v>
      </c>
      <c r="AE583">
        <v>1</v>
      </c>
      <c r="AF583">
        <v>1</v>
      </c>
      <c r="AG583" t="s">
        <v>308</v>
      </c>
      <c r="AH583" t="s">
        <v>11</v>
      </c>
      <c r="AI583" t="s">
        <v>15</v>
      </c>
      <c r="AJ583">
        <f>$H$583*$P$583</f>
        <v>0</v>
      </c>
      <c r="AK583">
        <f>$H$583*$Q$583</f>
        <v>0</v>
      </c>
      <c r="AL583">
        <f>$H$583*$R$583</f>
        <v>0</v>
      </c>
      <c r="AM583">
        <f>$H$583*$S$583</f>
        <v>550.1</v>
      </c>
      <c r="AN583">
        <f>$H$583*$T$583</f>
        <v>550.1</v>
      </c>
      <c r="AO583">
        <f>$H$583*$U$583</f>
        <v>550.1</v>
      </c>
      <c r="AP583">
        <f>$H$583*$V$583</f>
        <v>550.1</v>
      </c>
      <c r="AQ583">
        <f>$H$583*$W$583</f>
        <v>550.1</v>
      </c>
      <c r="AR583">
        <f>$H$583*$X$583</f>
        <v>550.1</v>
      </c>
      <c r="AS583">
        <f>$H$583*$Y$583</f>
        <v>550.1</v>
      </c>
      <c r="AT583">
        <f>$H$583*$Z$583</f>
        <v>550.1</v>
      </c>
      <c r="AU583">
        <f>$H$583*$AA$583</f>
        <v>550.1</v>
      </c>
      <c r="AV583">
        <f>$H$583*$AB$583</f>
        <v>550.1</v>
      </c>
      <c r="AW583">
        <f>$H$583*$AC$583</f>
        <v>550.1</v>
      </c>
      <c r="AX583">
        <f>$H$583*$AD$583</f>
        <v>550.1</v>
      </c>
      <c r="AY583">
        <f>$H$583*$AE$583</f>
        <v>550.1</v>
      </c>
      <c r="AZ583">
        <f>$H$583*$AF$583</f>
        <v>550.1</v>
      </c>
    </row>
    <row r="584" spans="1:52" x14ac:dyDescent="0.25">
      <c r="A584">
        <v>652</v>
      </c>
      <c r="B584" t="s">
        <v>308</v>
      </c>
      <c r="C584" t="s">
        <v>468</v>
      </c>
      <c r="D584">
        <v>53.53</v>
      </c>
      <c r="E584">
        <v>54.6</v>
      </c>
      <c r="F584" t="s">
        <v>349</v>
      </c>
      <c r="G584">
        <v>1.02</v>
      </c>
      <c r="H584">
        <v>65.52</v>
      </c>
      <c r="I584" t="s">
        <v>469</v>
      </c>
      <c r="J584" t="s">
        <v>470</v>
      </c>
      <c r="K584" t="s">
        <v>668</v>
      </c>
      <c r="L584" t="s">
        <v>179</v>
      </c>
      <c r="M584" t="s">
        <v>308</v>
      </c>
      <c r="N584" t="s">
        <v>11</v>
      </c>
      <c r="O584" t="s">
        <v>15</v>
      </c>
      <c r="P584">
        <v>0</v>
      </c>
      <c r="Q584">
        <v>0</v>
      </c>
      <c r="R584">
        <v>0</v>
      </c>
      <c r="S584">
        <v>1</v>
      </c>
      <c r="T584">
        <v>1</v>
      </c>
      <c r="U584">
        <v>1</v>
      </c>
      <c r="V584">
        <v>1</v>
      </c>
      <c r="W584">
        <v>1</v>
      </c>
      <c r="X584">
        <v>1</v>
      </c>
      <c r="Y584">
        <v>1</v>
      </c>
      <c r="Z584">
        <v>1</v>
      </c>
      <c r="AA584">
        <v>1</v>
      </c>
      <c r="AB584">
        <v>1</v>
      </c>
      <c r="AC584">
        <v>1</v>
      </c>
      <c r="AD584">
        <v>1</v>
      </c>
      <c r="AE584">
        <v>1</v>
      </c>
      <c r="AF584">
        <v>1</v>
      </c>
      <c r="AG584" t="s">
        <v>308</v>
      </c>
      <c r="AH584" t="s">
        <v>11</v>
      </c>
      <c r="AI584" t="s">
        <v>15</v>
      </c>
      <c r="AJ584">
        <f>$H$584*$P$584</f>
        <v>0</v>
      </c>
      <c r="AK584">
        <f>$H$584*$Q$584</f>
        <v>0</v>
      </c>
      <c r="AL584">
        <f>$H$584*$R$584</f>
        <v>0</v>
      </c>
      <c r="AM584">
        <f>$H$584*$S$584</f>
        <v>65.52</v>
      </c>
      <c r="AN584">
        <f>$H$584*$T$584</f>
        <v>65.52</v>
      </c>
      <c r="AO584">
        <f>$H$584*$U$584</f>
        <v>65.52</v>
      </c>
      <c r="AP584">
        <f>$H$584*$V$584</f>
        <v>65.52</v>
      </c>
      <c r="AQ584">
        <f>$H$584*$W$584</f>
        <v>65.52</v>
      </c>
      <c r="AR584">
        <f>$H$584*$X$584</f>
        <v>65.52</v>
      </c>
      <c r="AS584">
        <f>$H$584*$Y$584</f>
        <v>65.52</v>
      </c>
      <c r="AT584">
        <f>$H$584*$Z$584</f>
        <v>65.52</v>
      </c>
      <c r="AU584">
        <f>$H$584*$AA$584</f>
        <v>65.52</v>
      </c>
      <c r="AV584">
        <f>$H$584*$AB$584</f>
        <v>65.52</v>
      </c>
      <c r="AW584">
        <f>$H$584*$AC$584</f>
        <v>65.52</v>
      </c>
      <c r="AX584">
        <f>$H$584*$AD$584</f>
        <v>65.52</v>
      </c>
      <c r="AY584">
        <f>$H$584*$AE$584</f>
        <v>65.52</v>
      </c>
      <c r="AZ584">
        <f>$H$584*$AF$584</f>
        <v>65.52</v>
      </c>
    </row>
    <row r="585" spans="1:52" x14ac:dyDescent="0.25">
      <c r="A585">
        <v>653</v>
      </c>
      <c r="B585" t="s">
        <v>308</v>
      </c>
      <c r="C585" t="s">
        <v>471</v>
      </c>
      <c r="D585">
        <v>53.53</v>
      </c>
      <c r="E585">
        <v>494.08</v>
      </c>
      <c r="F585" t="s">
        <v>349</v>
      </c>
      <c r="G585">
        <v>9.23</v>
      </c>
      <c r="H585">
        <v>592.9</v>
      </c>
      <c r="I585" t="s">
        <v>469</v>
      </c>
      <c r="J585" t="s">
        <v>463</v>
      </c>
      <c r="K585" t="s">
        <v>669</v>
      </c>
      <c r="L585" t="s">
        <v>179</v>
      </c>
      <c r="M585" t="s">
        <v>308</v>
      </c>
      <c r="N585" t="s">
        <v>11</v>
      </c>
      <c r="O585" t="s">
        <v>15</v>
      </c>
      <c r="P585">
        <v>0</v>
      </c>
      <c r="Q585">
        <v>0</v>
      </c>
      <c r="R585">
        <v>0</v>
      </c>
      <c r="S585">
        <v>1</v>
      </c>
      <c r="T585">
        <v>1</v>
      </c>
      <c r="U585">
        <v>1</v>
      </c>
      <c r="V585">
        <v>1</v>
      </c>
      <c r="W585">
        <v>1</v>
      </c>
      <c r="X585">
        <v>1</v>
      </c>
      <c r="Y585">
        <v>1</v>
      </c>
      <c r="Z585">
        <v>1</v>
      </c>
      <c r="AA585">
        <v>1</v>
      </c>
      <c r="AB585">
        <v>1</v>
      </c>
      <c r="AC585">
        <v>1</v>
      </c>
      <c r="AD585">
        <v>1</v>
      </c>
      <c r="AE585">
        <v>1</v>
      </c>
      <c r="AF585">
        <v>1</v>
      </c>
      <c r="AG585" t="s">
        <v>308</v>
      </c>
      <c r="AH585" t="s">
        <v>11</v>
      </c>
      <c r="AI585" t="s">
        <v>15</v>
      </c>
      <c r="AJ585">
        <f>$H$585*$P$585</f>
        <v>0</v>
      </c>
      <c r="AK585">
        <f>$H$585*$Q$585</f>
        <v>0</v>
      </c>
      <c r="AL585">
        <f>$H$585*$R$585</f>
        <v>0</v>
      </c>
      <c r="AM585">
        <f>$H$585*$S$585</f>
        <v>592.9</v>
      </c>
      <c r="AN585">
        <f>$H$585*$T$585</f>
        <v>592.9</v>
      </c>
      <c r="AO585">
        <f>$H$585*$U$585</f>
        <v>592.9</v>
      </c>
      <c r="AP585">
        <f>$H$585*$V$585</f>
        <v>592.9</v>
      </c>
      <c r="AQ585">
        <f>$H$585*$W$585</f>
        <v>592.9</v>
      </c>
      <c r="AR585">
        <f>$H$585*$X$585</f>
        <v>592.9</v>
      </c>
      <c r="AS585">
        <f>$H$585*$Y$585</f>
        <v>592.9</v>
      </c>
      <c r="AT585">
        <f>$H$585*$Z$585</f>
        <v>592.9</v>
      </c>
      <c r="AU585">
        <f>$H$585*$AA$585</f>
        <v>592.9</v>
      </c>
      <c r="AV585">
        <f>$H$585*$AB$585</f>
        <v>592.9</v>
      </c>
      <c r="AW585">
        <f>$H$585*$AC$585</f>
        <v>592.9</v>
      </c>
      <c r="AX585">
        <f>$H$585*$AD$585</f>
        <v>592.9</v>
      </c>
      <c r="AY585">
        <f>$H$585*$AE$585</f>
        <v>592.9</v>
      </c>
      <c r="AZ585">
        <f>$H$585*$AF$585</f>
        <v>592.9</v>
      </c>
    </row>
    <row r="586" spans="1:52" x14ac:dyDescent="0.25">
      <c r="A586">
        <v>654</v>
      </c>
      <c r="B586" t="s">
        <v>301</v>
      </c>
      <c r="C586" t="s">
        <v>541</v>
      </c>
      <c r="D586">
        <v>1</v>
      </c>
      <c r="E586">
        <v>212.06</v>
      </c>
      <c r="F586" t="s">
        <v>335</v>
      </c>
      <c r="G586">
        <v>212.06</v>
      </c>
      <c r="H586">
        <v>254.48</v>
      </c>
      <c r="I586" t="s">
        <v>353</v>
      </c>
      <c r="J586" t="s">
        <v>542</v>
      </c>
      <c r="K586" t="s">
        <v>703</v>
      </c>
      <c r="L586" t="s">
        <v>179</v>
      </c>
      <c r="M586" t="s">
        <v>301</v>
      </c>
      <c r="N586" t="s">
        <v>11</v>
      </c>
      <c r="O586" t="s">
        <v>300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1</v>
      </c>
      <c r="Z586">
        <v>1</v>
      </c>
      <c r="AA586">
        <v>1</v>
      </c>
      <c r="AB586">
        <v>1</v>
      </c>
      <c r="AC586">
        <v>1</v>
      </c>
      <c r="AD586">
        <v>1</v>
      </c>
      <c r="AE586">
        <v>1</v>
      </c>
      <c r="AF586">
        <v>1</v>
      </c>
      <c r="AG586" t="s">
        <v>301</v>
      </c>
      <c r="AH586" t="s">
        <v>11</v>
      </c>
      <c r="AI586" t="s">
        <v>300</v>
      </c>
      <c r="AJ586">
        <f>$H$586*$P$586</f>
        <v>0</v>
      </c>
      <c r="AK586">
        <f>$H$586*$Q$586</f>
        <v>0</v>
      </c>
      <c r="AL586">
        <f>$H$586*$R$586</f>
        <v>0</v>
      </c>
      <c r="AM586">
        <f>$H$586*$S$586</f>
        <v>0</v>
      </c>
      <c r="AN586">
        <f>$H$586*$T$586</f>
        <v>0</v>
      </c>
      <c r="AO586">
        <f>$H$586*$U$586</f>
        <v>0</v>
      </c>
      <c r="AP586">
        <f>$H$586*$V$586</f>
        <v>0</v>
      </c>
      <c r="AQ586">
        <f>$H$586*$W$586</f>
        <v>0</v>
      </c>
      <c r="AR586">
        <f>$H$586*$X$586</f>
        <v>0</v>
      </c>
      <c r="AS586">
        <f>$H$586*$Y$586</f>
        <v>254.48</v>
      </c>
      <c r="AT586">
        <f>$H$586*$Z$586</f>
        <v>254.48</v>
      </c>
      <c r="AU586">
        <f>$H$586*$AA$586</f>
        <v>254.48</v>
      </c>
      <c r="AV586">
        <f>$H$586*$AB$586</f>
        <v>254.48</v>
      </c>
      <c r="AW586">
        <f>$H$586*$AC$586</f>
        <v>254.48</v>
      </c>
      <c r="AX586">
        <f>$H$586*$AD$586</f>
        <v>254.48</v>
      </c>
      <c r="AY586">
        <f>$H$586*$AE$586</f>
        <v>254.48</v>
      </c>
      <c r="AZ586">
        <f>$H$586*$AF$586</f>
        <v>254.48</v>
      </c>
    </row>
    <row r="587" spans="1:52" x14ac:dyDescent="0.25">
      <c r="A587">
        <v>655</v>
      </c>
      <c r="B587" t="s">
        <v>301</v>
      </c>
      <c r="C587" t="s">
        <v>543</v>
      </c>
      <c r="D587">
        <v>1</v>
      </c>
      <c r="E587">
        <v>33.1</v>
      </c>
      <c r="F587" t="s">
        <v>335</v>
      </c>
      <c r="G587">
        <v>33.1</v>
      </c>
      <c r="H587">
        <v>39.72</v>
      </c>
      <c r="I587" t="s">
        <v>337</v>
      </c>
      <c r="J587" t="s">
        <v>544</v>
      </c>
      <c r="K587" t="s">
        <v>704</v>
      </c>
      <c r="L587" t="s">
        <v>179</v>
      </c>
      <c r="M587" t="s">
        <v>301</v>
      </c>
      <c r="N587" t="s">
        <v>11</v>
      </c>
      <c r="O587" t="s">
        <v>300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1</v>
      </c>
      <c r="W587">
        <v>1</v>
      </c>
      <c r="X587">
        <v>1</v>
      </c>
      <c r="Y587">
        <v>1</v>
      </c>
      <c r="Z587">
        <v>1</v>
      </c>
      <c r="AA587">
        <v>1</v>
      </c>
      <c r="AB587">
        <v>1</v>
      </c>
      <c r="AC587">
        <v>1</v>
      </c>
      <c r="AD587">
        <v>1</v>
      </c>
      <c r="AE587">
        <v>1</v>
      </c>
      <c r="AF587">
        <v>1</v>
      </c>
      <c r="AG587" t="s">
        <v>301</v>
      </c>
      <c r="AH587" t="s">
        <v>11</v>
      </c>
      <c r="AI587" t="s">
        <v>300</v>
      </c>
      <c r="AJ587">
        <f>$H$587*$P$587</f>
        <v>0</v>
      </c>
      <c r="AK587">
        <f>$H$587*$Q$587</f>
        <v>0</v>
      </c>
      <c r="AL587">
        <f>$H$587*$R$587</f>
        <v>0</v>
      </c>
      <c r="AM587">
        <f>$H$587*$S$587</f>
        <v>0</v>
      </c>
      <c r="AN587">
        <f>$H$587*$T$587</f>
        <v>0</v>
      </c>
      <c r="AO587">
        <f>$H$587*$U$587</f>
        <v>0</v>
      </c>
      <c r="AP587">
        <f>$H$587*$V$587</f>
        <v>39.72</v>
      </c>
      <c r="AQ587">
        <f>$H$587*$W$587</f>
        <v>39.72</v>
      </c>
      <c r="AR587">
        <f>$H$587*$X$587</f>
        <v>39.72</v>
      </c>
      <c r="AS587">
        <f>$H$587*$Y$587</f>
        <v>39.72</v>
      </c>
      <c r="AT587">
        <f>$H$587*$Z$587</f>
        <v>39.72</v>
      </c>
      <c r="AU587">
        <f>$H$587*$AA$587</f>
        <v>39.72</v>
      </c>
      <c r="AV587">
        <f>$H$587*$AB$587</f>
        <v>39.72</v>
      </c>
      <c r="AW587">
        <f>$H$587*$AC$587</f>
        <v>39.72</v>
      </c>
      <c r="AX587">
        <f>$H$587*$AD$587</f>
        <v>39.72</v>
      </c>
      <c r="AY587">
        <f>$H$587*$AE$587</f>
        <v>39.72</v>
      </c>
      <c r="AZ587">
        <f>$H$587*$AF$587</f>
        <v>39.72</v>
      </c>
    </row>
    <row r="588" spans="1:52" x14ac:dyDescent="0.25">
      <c r="A588">
        <v>656</v>
      </c>
      <c r="B588" t="s">
        <v>301</v>
      </c>
      <c r="C588" t="s">
        <v>507</v>
      </c>
      <c r="D588">
        <v>1</v>
      </c>
      <c r="E588">
        <v>37</v>
      </c>
      <c r="F588" t="s">
        <v>335</v>
      </c>
      <c r="G588">
        <v>37</v>
      </c>
      <c r="H588">
        <v>44.4</v>
      </c>
      <c r="I588" t="s">
        <v>337</v>
      </c>
      <c r="J588" t="s">
        <v>508</v>
      </c>
      <c r="K588" t="s">
        <v>686</v>
      </c>
      <c r="L588" t="s">
        <v>179</v>
      </c>
      <c r="M588" t="s">
        <v>301</v>
      </c>
      <c r="N588" t="s">
        <v>11</v>
      </c>
      <c r="O588" t="s">
        <v>300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0.6</v>
      </c>
      <c r="Y588">
        <v>0.6</v>
      </c>
      <c r="Z588">
        <v>0.6</v>
      </c>
      <c r="AA588">
        <v>0.6</v>
      </c>
      <c r="AB588">
        <v>0.6</v>
      </c>
      <c r="AC588">
        <v>0.6</v>
      </c>
      <c r="AD588">
        <v>1</v>
      </c>
      <c r="AE588">
        <v>1</v>
      </c>
      <c r="AF588">
        <v>1</v>
      </c>
      <c r="AG588" t="s">
        <v>301</v>
      </c>
      <c r="AH588" t="s">
        <v>11</v>
      </c>
      <c r="AI588" t="s">
        <v>300</v>
      </c>
      <c r="AJ588">
        <f>$H$588*$P$588</f>
        <v>0</v>
      </c>
      <c r="AK588">
        <f>$H$588*$Q$588</f>
        <v>0</v>
      </c>
      <c r="AL588">
        <f>$H$588*$R$588</f>
        <v>0</v>
      </c>
      <c r="AM588">
        <f>$H$588*$S$588</f>
        <v>0</v>
      </c>
      <c r="AN588">
        <f>$H$588*$T$588</f>
        <v>0</v>
      </c>
      <c r="AO588">
        <f>$H$588*$U$588</f>
        <v>0</v>
      </c>
      <c r="AP588">
        <f>$H$588*$V$588</f>
        <v>0</v>
      </c>
      <c r="AQ588">
        <f>$H$588*$W$588</f>
        <v>0</v>
      </c>
      <c r="AR588">
        <f>$H$588*$X$588</f>
        <v>26.639999999999997</v>
      </c>
      <c r="AS588">
        <f>$H$588*$Y$588</f>
        <v>26.639999999999997</v>
      </c>
      <c r="AT588">
        <f>$H$588*$Z$588</f>
        <v>26.639999999999997</v>
      </c>
      <c r="AU588">
        <f>$H$588*$AA$588</f>
        <v>26.639999999999997</v>
      </c>
      <c r="AV588">
        <f>$H$588*$AB$588</f>
        <v>26.639999999999997</v>
      </c>
      <c r="AW588">
        <f>$H$588*$AC$588</f>
        <v>26.639999999999997</v>
      </c>
      <c r="AX588">
        <f>$H$588*$AD$588</f>
        <v>44.4</v>
      </c>
      <c r="AY588">
        <f>$H$588*$AE$588</f>
        <v>44.4</v>
      </c>
      <c r="AZ588">
        <f>$H$588*$AF$588</f>
        <v>44.4</v>
      </c>
    </row>
    <row r="589" spans="1:52" x14ac:dyDescent="0.25">
      <c r="A589">
        <v>657</v>
      </c>
      <c r="B589" t="s">
        <v>301</v>
      </c>
      <c r="C589" t="s">
        <v>435</v>
      </c>
      <c r="D589">
        <v>1</v>
      </c>
      <c r="E589">
        <v>13.27</v>
      </c>
      <c r="F589" t="s">
        <v>335</v>
      </c>
      <c r="G589">
        <v>13.27</v>
      </c>
      <c r="H589">
        <v>15.93</v>
      </c>
      <c r="I589" t="s">
        <v>337</v>
      </c>
      <c r="J589" t="s">
        <v>436</v>
      </c>
      <c r="K589" t="s">
        <v>652</v>
      </c>
      <c r="L589" t="s">
        <v>179</v>
      </c>
      <c r="M589" t="s">
        <v>301</v>
      </c>
      <c r="N589" t="s">
        <v>11</v>
      </c>
      <c r="O589" t="s">
        <v>300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1</v>
      </c>
      <c r="Y589">
        <v>1</v>
      </c>
      <c r="Z589">
        <v>1</v>
      </c>
      <c r="AA589">
        <v>1</v>
      </c>
      <c r="AB589">
        <v>1</v>
      </c>
      <c r="AC589">
        <v>1</v>
      </c>
      <c r="AD589">
        <v>1</v>
      </c>
      <c r="AE589">
        <v>1</v>
      </c>
      <c r="AF589">
        <v>1</v>
      </c>
      <c r="AG589" t="s">
        <v>301</v>
      </c>
      <c r="AH589" t="s">
        <v>11</v>
      </c>
      <c r="AI589" t="s">
        <v>300</v>
      </c>
      <c r="AJ589">
        <f>$H$589*$P$589</f>
        <v>0</v>
      </c>
      <c r="AK589">
        <f>$H$589*$Q$589</f>
        <v>0</v>
      </c>
      <c r="AL589">
        <f>$H$589*$R$589</f>
        <v>0</v>
      </c>
      <c r="AM589">
        <f>$H$589*$S$589</f>
        <v>0</v>
      </c>
      <c r="AN589">
        <f>$H$589*$T$589</f>
        <v>0</v>
      </c>
      <c r="AO589">
        <f>$H$589*$U$589</f>
        <v>0</v>
      </c>
      <c r="AP589">
        <f>$H$589*$V$589</f>
        <v>0</v>
      </c>
      <c r="AQ589">
        <f>$H$589*$W$589</f>
        <v>0</v>
      </c>
      <c r="AR589">
        <f>$H$589*$X$589</f>
        <v>15.93</v>
      </c>
      <c r="AS589">
        <f>$H$589*$Y$589</f>
        <v>15.93</v>
      </c>
      <c r="AT589">
        <f>$H$589*$Z$589</f>
        <v>15.93</v>
      </c>
      <c r="AU589">
        <f>$H$589*$AA$589</f>
        <v>15.93</v>
      </c>
      <c r="AV589">
        <f>$H$589*$AB$589</f>
        <v>15.93</v>
      </c>
      <c r="AW589">
        <f>$H$589*$AC$589</f>
        <v>15.93</v>
      </c>
      <c r="AX589">
        <f>$H$589*$AD$589</f>
        <v>15.93</v>
      </c>
      <c r="AY589">
        <f>$H$589*$AE$589</f>
        <v>15.93</v>
      </c>
      <c r="AZ589">
        <f>$H$589*$AF$589</f>
        <v>15.93</v>
      </c>
    </row>
    <row r="590" spans="1:52" x14ac:dyDescent="0.25">
      <c r="A590">
        <v>658</v>
      </c>
      <c r="B590" t="s">
        <v>301</v>
      </c>
      <c r="C590" t="s">
        <v>354</v>
      </c>
      <c r="D590">
        <v>1</v>
      </c>
      <c r="E590">
        <v>655.73</v>
      </c>
      <c r="F590" t="s">
        <v>335</v>
      </c>
      <c r="G590">
        <v>655.73</v>
      </c>
      <c r="H590">
        <v>786.87</v>
      </c>
      <c r="I590" t="s">
        <v>353</v>
      </c>
      <c r="J590" t="s">
        <v>355</v>
      </c>
      <c r="K590" t="s">
        <v>612</v>
      </c>
      <c r="L590" t="s">
        <v>179</v>
      </c>
      <c r="M590" t="s">
        <v>301</v>
      </c>
      <c r="N590" t="s">
        <v>11</v>
      </c>
      <c r="O590" t="s">
        <v>300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1</v>
      </c>
      <c r="Z590">
        <v>1</v>
      </c>
      <c r="AA590">
        <v>1</v>
      </c>
      <c r="AB590">
        <v>1</v>
      </c>
      <c r="AC590">
        <v>1</v>
      </c>
      <c r="AD590">
        <v>1</v>
      </c>
      <c r="AE590">
        <v>1</v>
      </c>
      <c r="AF590">
        <v>1</v>
      </c>
      <c r="AG590" t="s">
        <v>301</v>
      </c>
      <c r="AH590" t="s">
        <v>11</v>
      </c>
      <c r="AI590" t="s">
        <v>300</v>
      </c>
      <c r="AJ590">
        <f>$H$590*$P$590</f>
        <v>0</v>
      </c>
      <c r="AK590">
        <f>$H$590*$Q$590</f>
        <v>0</v>
      </c>
      <c r="AL590">
        <f>$H$590*$R$590</f>
        <v>0</v>
      </c>
      <c r="AM590">
        <f>$H$590*$S$590</f>
        <v>0</v>
      </c>
      <c r="AN590">
        <f>$H$590*$T$590</f>
        <v>0</v>
      </c>
      <c r="AO590">
        <f>$H$590*$U$590</f>
        <v>0</v>
      </c>
      <c r="AP590">
        <f>$H$590*$V$590</f>
        <v>0</v>
      </c>
      <c r="AQ590">
        <f>$H$590*$W$590</f>
        <v>0</v>
      </c>
      <c r="AR590">
        <f>$H$590*$X$590</f>
        <v>0</v>
      </c>
      <c r="AS590">
        <f>$H$590*$Y$590</f>
        <v>786.87</v>
      </c>
      <c r="AT590">
        <f>$H$590*$Z$590</f>
        <v>786.87</v>
      </c>
      <c r="AU590">
        <f>$H$590*$AA$590</f>
        <v>786.87</v>
      </c>
      <c r="AV590">
        <f>$H$590*$AB$590</f>
        <v>786.87</v>
      </c>
      <c r="AW590">
        <f>$H$590*$AC$590</f>
        <v>786.87</v>
      </c>
      <c r="AX590">
        <f>$H$590*$AD$590</f>
        <v>786.87</v>
      </c>
      <c r="AY590">
        <f>$H$590*$AE$590</f>
        <v>786.87</v>
      </c>
      <c r="AZ590">
        <f>$H$590*$AF$590</f>
        <v>786.87</v>
      </c>
    </row>
    <row r="591" spans="1:52" x14ac:dyDescent="0.25">
      <c r="A591">
        <v>659</v>
      </c>
      <c r="B591" t="s">
        <v>301</v>
      </c>
      <c r="C591" t="s">
        <v>437</v>
      </c>
      <c r="D591">
        <v>1</v>
      </c>
      <c r="E591">
        <v>98.82</v>
      </c>
      <c r="F591" t="s">
        <v>335</v>
      </c>
      <c r="G591">
        <v>98.82</v>
      </c>
      <c r="H591">
        <v>118.58</v>
      </c>
      <c r="I591" t="s">
        <v>340</v>
      </c>
      <c r="J591" t="s">
        <v>372</v>
      </c>
      <c r="K591" t="s">
        <v>653</v>
      </c>
      <c r="L591" t="s">
        <v>179</v>
      </c>
      <c r="M591" t="s">
        <v>301</v>
      </c>
      <c r="N591" t="s">
        <v>11</v>
      </c>
      <c r="O591" t="s">
        <v>300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1</v>
      </c>
      <c r="AE591">
        <v>1</v>
      </c>
      <c r="AF591">
        <v>1</v>
      </c>
      <c r="AG591" t="s">
        <v>301</v>
      </c>
      <c r="AH591" t="s">
        <v>11</v>
      </c>
      <c r="AI591" t="s">
        <v>300</v>
      </c>
      <c r="AJ591">
        <f>$H$591*$P$591</f>
        <v>0</v>
      </c>
      <c r="AK591">
        <f>$H$591*$Q$591</f>
        <v>0</v>
      </c>
      <c r="AL591">
        <f>$H$591*$R$591</f>
        <v>0</v>
      </c>
      <c r="AM591">
        <f>$H$591*$S$591</f>
        <v>0</v>
      </c>
      <c r="AN591">
        <f>$H$591*$T$591</f>
        <v>0</v>
      </c>
      <c r="AO591">
        <f>$H$591*$U$591</f>
        <v>0</v>
      </c>
      <c r="AP591">
        <f>$H$591*$V$591</f>
        <v>0</v>
      </c>
      <c r="AQ591">
        <f>$H$591*$W$591</f>
        <v>0</v>
      </c>
      <c r="AR591">
        <f>$H$591*$X$591</f>
        <v>0</v>
      </c>
      <c r="AS591">
        <f>$H$591*$Y$591</f>
        <v>0</v>
      </c>
      <c r="AT591">
        <f>$H$591*$Z$591</f>
        <v>0</v>
      </c>
      <c r="AU591">
        <f>$H$591*$AA$591</f>
        <v>0</v>
      </c>
      <c r="AV591">
        <f>$H$591*$AB$591</f>
        <v>0</v>
      </c>
      <c r="AW591">
        <f>$H$591*$AC$591</f>
        <v>0</v>
      </c>
      <c r="AX591">
        <f>$H$591*$AD$591</f>
        <v>118.58</v>
      </c>
      <c r="AY591">
        <f>$H$591*$AE$591</f>
        <v>118.58</v>
      </c>
      <c r="AZ591">
        <f>$H$591*$AF$591</f>
        <v>118.58</v>
      </c>
    </row>
    <row r="592" spans="1:52" x14ac:dyDescent="0.25">
      <c r="A592">
        <v>660</v>
      </c>
      <c r="B592" t="s">
        <v>301</v>
      </c>
      <c r="C592" t="s">
        <v>367</v>
      </c>
      <c r="D592">
        <v>1</v>
      </c>
      <c r="E592">
        <v>62.41</v>
      </c>
      <c r="F592" t="s">
        <v>335</v>
      </c>
      <c r="G592">
        <v>62.41</v>
      </c>
      <c r="H592">
        <v>74.89</v>
      </c>
      <c r="I592" t="s">
        <v>368</v>
      </c>
      <c r="J592" t="s">
        <v>369</v>
      </c>
      <c r="K592" t="s">
        <v>619</v>
      </c>
      <c r="L592" t="s">
        <v>179</v>
      </c>
      <c r="M592" t="s">
        <v>301</v>
      </c>
      <c r="N592" t="s">
        <v>11</v>
      </c>
      <c r="O592" t="s">
        <v>300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1</v>
      </c>
      <c r="AB592">
        <v>1</v>
      </c>
      <c r="AC592">
        <v>1</v>
      </c>
      <c r="AD592">
        <v>1</v>
      </c>
      <c r="AE592">
        <v>1</v>
      </c>
      <c r="AF592">
        <v>1</v>
      </c>
      <c r="AG592" t="s">
        <v>301</v>
      </c>
      <c r="AH592" t="s">
        <v>11</v>
      </c>
      <c r="AI592" t="s">
        <v>300</v>
      </c>
      <c r="AJ592">
        <f>$H$592*$P$592</f>
        <v>0</v>
      </c>
      <c r="AK592">
        <f>$H$592*$Q$592</f>
        <v>0</v>
      </c>
      <c r="AL592">
        <f>$H$592*$R$592</f>
        <v>0</v>
      </c>
      <c r="AM592">
        <f>$H$592*$S$592</f>
        <v>0</v>
      </c>
      <c r="AN592">
        <f>$H$592*$T$592</f>
        <v>0</v>
      </c>
      <c r="AO592">
        <f>$H$592*$U$592</f>
        <v>0</v>
      </c>
      <c r="AP592">
        <f>$H$592*$V$592</f>
        <v>0</v>
      </c>
      <c r="AQ592">
        <f>$H$592*$W$592</f>
        <v>0</v>
      </c>
      <c r="AR592">
        <f>$H$592*$X$592</f>
        <v>0</v>
      </c>
      <c r="AS592">
        <f>$H$592*$Y$592</f>
        <v>0</v>
      </c>
      <c r="AT592">
        <f>$H$592*$Z$592</f>
        <v>0</v>
      </c>
      <c r="AU592">
        <f>$H$592*$AA$592</f>
        <v>74.89</v>
      </c>
      <c r="AV592">
        <f>$H$592*$AB$592</f>
        <v>74.89</v>
      </c>
      <c r="AW592">
        <f>$H$592*$AC$592</f>
        <v>74.89</v>
      </c>
      <c r="AX592">
        <f>$H$592*$AD$592</f>
        <v>74.89</v>
      </c>
      <c r="AY592">
        <f>$H$592*$AE$592</f>
        <v>74.89</v>
      </c>
      <c r="AZ592">
        <f>$H$592*$AF$592</f>
        <v>74.89</v>
      </c>
    </row>
    <row r="593" spans="1:52" x14ac:dyDescent="0.25">
      <c r="A593">
        <v>661</v>
      </c>
      <c r="B593" t="s">
        <v>301</v>
      </c>
      <c r="C593" t="s">
        <v>375</v>
      </c>
      <c r="D593">
        <v>2</v>
      </c>
      <c r="E593">
        <v>77.86</v>
      </c>
      <c r="F593" t="s">
        <v>335</v>
      </c>
      <c r="G593">
        <v>38.93</v>
      </c>
      <c r="H593">
        <v>93.44</v>
      </c>
      <c r="I593" t="s">
        <v>330</v>
      </c>
      <c r="J593" t="s">
        <v>371</v>
      </c>
      <c r="K593" t="s">
        <v>622</v>
      </c>
      <c r="L593" t="s">
        <v>179</v>
      </c>
      <c r="M593" t="s">
        <v>301</v>
      </c>
      <c r="N593" t="s">
        <v>11</v>
      </c>
      <c r="O593" t="s">
        <v>300</v>
      </c>
      <c r="P593">
        <v>0</v>
      </c>
      <c r="Q593">
        <v>0</v>
      </c>
      <c r="R593">
        <v>0</v>
      </c>
      <c r="S593">
        <v>1</v>
      </c>
      <c r="T593">
        <v>1</v>
      </c>
      <c r="U593">
        <v>1</v>
      </c>
      <c r="V593">
        <v>1</v>
      </c>
      <c r="W593">
        <v>1</v>
      </c>
      <c r="X593">
        <v>1</v>
      </c>
      <c r="Y593">
        <v>1</v>
      </c>
      <c r="Z593">
        <v>1</v>
      </c>
      <c r="AA593">
        <v>1</v>
      </c>
      <c r="AB593">
        <v>1</v>
      </c>
      <c r="AC593">
        <v>1</v>
      </c>
      <c r="AD593">
        <v>1</v>
      </c>
      <c r="AE593">
        <v>1</v>
      </c>
      <c r="AF593">
        <v>1</v>
      </c>
      <c r="AG593" t="s">
        <v>301</v>
      </c>
      <c r="AH593" t="s">
        <v>11</v>
      </c>
      <c r="AI593" t="s">
        <v>300</v>
      </c>
      <c r="AJ593">
        <f>$H$593*$P$593</f>
        <v>0</v>
      </c>
      <c r="AK593">
        <f>$H$593*$Q$593</f>
        <v>0</v>
      </c>
      <c r="AL593">
        <f>$H$593*$R$593</f>
        <v>0</v>
      </c>
      <c r="AM593">
        <f>$H$593*$S$593</f>
        <v>93.44</v>
      </c>
      <c r="AN593">
        <f>$H$593*$T$593</f>
        <v>93.44</v>
      </c>
      <c r="AO593">
        <f>$H$593*$U$593</f>
        <v>93.44</v>
      </c>
      <c r="AP593">
        <f>$H$593*$V$593</f>
        <v>93.44</v>
      </c>
      <c r="AQ593">
        <f>$H$593*$W$593</f>
        <v>93.44</v>
      </c>
      <c r="AR593">
        <f>$H$593*$X$593</f>
        <v>93.44</v>
      </c>
      <c r="AS593">
        <f>$H$593*$Y$593</f>
        <v>93.44</v>
      </c>
      <c r="AT593">
        <f>$H$593*$Z$593</f>
        <v>93.44</v>
      </c>
      <c r="AU593">
        <f>$H$593*$AA$593</f>
        <v>93.44</v>
      </c>
      <c r="AV593">
        <f>$H$593*$AB$593</f>
        <v>93.44</v>
      </c>
      <c r="AW593">
        <f>$H$593*$AC$593</f>
        <v>93.44</v>
      </c>
      <c r="AX593">
        <f>$H$593*$AD$593</f>
        <v>93.44</v>
      </c>
      <c r="AY593">
        <f>$H$593*$AE$593</f>
        <v>93.44</v>
      </c>
      <c r="AZ593">
        <f>$H$593*$AF$593</f>
        <v>93.44</v>
      </c>
    </row>
    <row r="594" spans="1:52" x14ac:dyDescent="0.25">
      <c r="A594">
        <v>662</v>
      </c>
      <c r="B594" t="s">
        <v>301</v>
      </c>
      <c r="C594" t="s">
        <v>373</v>
      </c>
      <c r="D594">
        <v>2</v>
      </c>
      <c r="E594">
        <v>62.72</v>
      </c>
      <c r="F594" t="s">
        <v>335</v>
      </c>
      <c r="G594">
        <v>31.36</v>
      </c>
      <c r="H594">
        <v>75.260000000000005</v>
      </c>
      <c r="I594" t="s">
        <v>330</v>
      </c>
      <c r="J594" t="s">
        <v>374</v>
      </c>
      <c r="K594" t="s">
        <v>621</v>
      </c>
      <c r="L594" t="s">
        <v>179</v>
      </c>
      <c r="M594" t="s">
        <v>301</v>
      </c>
      <c r="N594" t="s">
        <v>11</v>
      </c>
      <c r="O594" t="s">
        <v>300</v>
      </c>
      <c r="P594">
        <v>0</v>
      </c>
      <c r="Q594">
        <v>0</v>
      </c>
      <c r="R594">
        <v>0</v>
      </c>
      <c r="S594">
        <v>1</v>
      </c>
      <c r="T594">
        <v>1</v>
      </c>
      <c r="U594">
        <v>1</v>
      </c>
      <c r="V594">
        <v>1</v>
      </c>
      <c r="W594">
        <v>1</v>
      </c>
      <c r="X594">
        <v>1</v>
      </c>
      <c r="Y594">
        <v>1</v>
      </c>
      <c r="Z594">
        <v>1</v>
      </c>
      <c r="AA594">
        <v>1</v>
      </c>
      <c r="AB594">
        <v>1</v>
      </c>
      <c r="AC594">
        <v>1</v>
      </c>
      <c r="AD594">
        <v>1</v>
      </c>
      <c r="AE594">
        <v>1</v>
      </c>
      <c r="AF594">
        <v>1</v>
      </c>
      <c r="AG594" t="s">
        <v>301</v>
      </c>
      <c r="AH594" t="s">
        <v>11</v>
      </c>
      <c r="AI594" t="s">
        <v>300</v>
      </c>
      <c r="AJ594">
        <f>$H$594*$P$594</f>
        <v>0</v>
      </c>
      <c r="AK594">
        <f>$H$594*$Q$594</f>
        <v>0</v>
      </c>
      <c r="AL594">
        <f>$H$594*$R$594</f>
        <v>0</v>
      </c>
      <c r="AM594">
        <f>$H$594*$S$594</f>
        <v>75.260000000000005</v>
      </c>
      <c r="AN594">
        <f>$H$594*$T$594</f>
        <v>75.260000000000005</v>
      </c>
      <c r="AO594">
        <f>$H$594*$U$594</f>
        <v>75.260000000000005</v>
      </c>
      <c r="AP594">
        <f>$H$594*$V$594</f>
        <v>75.260000000000005</v>
      </c>
      <c r="AQ594">
        <f>$H$594*$W$594</f>
        <v>75.260000000000005</v>
      </c>
      <c r="AR594">
        <f>$H$594*$X$594</f>
        <v>75.260000000000005</v>
      </c>
      <c r="AS594">
        <f>$H$594*$Y$594</f>
        <v>75.260000000000005</v>
      </c>
      <c r="AT594">
        <f>$H$594*$Z$594</f>
        <v>75.260000000000005</v>
      </c>
      <c r="AU594">
        <f>$H$594*$AA$594</f>
        <v>75.260000000000005</v>
      </c>
      <c r="AV594">
        <f>$H$594*$AB$594</f>
        <v>75.260000000000005</v>
      </c>
      <c r="AW594">
        <f>$H$594*$AC$594</f>
        <v>75.260000000000005</v>
      </c>
      <c r="AX594">
        <f>$H$594*$AD$594</f>
        <v>75.260000000000005</v>
      </c>
      <c r="AY594">
        <f>$H$594*$AE$594</f>
        <v>75.260000000000005</v>
      </c>
      <c r="AZ594">
        <f>$H$594*$AF$594</f>
        <v>75.260000000000005</v>
      </c>
    </row>
    <row r="595" spans="1:52" x14ac:dyDescent="0.25">
      <c r="A595">
        <v>663</v>
      </c>
      <c r="B595" t="s">
        <v>301</v>
      </c>
      <c r="C595" t="s">
        <v>370</v>
      </c>
      <c r="D595">
        <v>1</v>
      </c>
      <c r="E595">
        <v>366.18</v>
      </c>
      <c r="F595" t="s">
        <v>335</v>
      </c>
      <c r="G595">
        <v>366.18</v>
      </c>
      <c r="H595">
        <v>439.42</v>
      </c>
      <c r="I595" t="s">
        <v>371</v>
      </c>
      <c r="J595" t="s">
        <v>372</v>
      </c>
      <c r="K595" t="s">
        <v>620</v>
      </c>
      <c r="L595" t="s">
        <v>179</v>
      </c>
      <c r="M595" t="s">
        <v>301</v>
      </c>
      <c r="N595" t="s">
        <v>11</v>
      </c>
      <c r="O595" t="s">
        <v>300</v>
      </c>
      <c r="P595">
        <v>0</v>
      </c>
      <c r="Q595">
        <v>0</v>
      </c>
      <c r="R595">
        <v>0</v>
      </c>
      <c r="S595">
        <v>0</v>
      </c>
      <c r="T595">
        <v>1</v>
      </c>
      <c r="U595">
        <v>1</v>
      </c>
      <c r="V595">
        <v>1</v>
      </c>
      <c r="W595">
        <v>1</v>
      </c>
      <c r="X595">
        <v>1</v>
      </c>
      <c r="Y595">
        <v>1</v>
      </c>
      <c r="Z595">
        <v>1</v>
      </c>
      <c r="AA595">
        <v>1</v>
      </c>
      <c r="AB595">
        <v>1</v>
      </c>
      <c r="AC595">
        <v>1</v>
      </c>
      <c r="AD595">
        <v>1</v>
      </c>
      <c r="AE595">
        <v>1</v>
      </c>
      <c r="AF595">
        <v>1</v>
      </c>
      <c r="AG595" t="s">
        <v>301</v>
      </c>
      <c r="AH595" t="s">
        <v>11</v>
      </c>
      <c r="AI595" t="s">
        <v>300</v>
      </c>
      <c r="AJ595">
        <f>$H$595*$P$595</f>
        <v>0</v>
      </c>
      <c r="AK595">
        <f>$H$595*$Q$595</f>
        <v>0</v>
      </c>
      <c r="AL595">
        <f>$H$595*$R$595</f>
        <v>0</v>
      </c>
      <c r="AM595">
        <f>$H$595*$S$595</f>
        <v>0</v>
      </c>
      <c r="AN595">
        <f>$H$595*$T$595</f>
        <v>439.42</v>
      </c>
      <c r="AO595">
        <f>$H$595*$U$595</f>
        <v>439.42</v>
      </c>
      <c r="AP595">
        <f>$H$595*$V$595</f>
        <v>439.42</v>
      </c>
      <c r="AQ595">
        <f>$H$595*$W$595</f>
        <v>439.42</v>
      </c>
      <c r="AR595">
        <f>$H$595*$X$595</f>
        <v>439.42</v>
      </c>
      <c r="AS595">
        <f>$H$595*$Y$595</f>
        <v>439.42</v>
      </c>
      <c r="AT595">
        <f>$H$595*$Z$595</f>
        <v>439.42</v>
      </c>
      <c r="AU595">
        <f>$H$595*$AA$595</f>
        <v>439.42</v>
      </c>
      <c r="AV595">
        <f>$H$595*$AB$595</f>
        <v>439.42</v>
      </c>
      <c r="AW595">
        <f>$H$595*$AC$595</f>
        <v>439.42</v>
      </c>
      <c r="AX595">
        <f>$H$595*$AD$595</f>
        <v>439.42</v>
      </c>
      <c r="AY595">
        <f>$H$595*$AE$595</f>
        <v>439.42</v>
      </c>
      <c r="AZ595">
        <f>$H$595*$AF$595</f>
        <v>439.42</v>
      </c>
    </row>
    <row r="596" spans="1:52" x14ac:dyDescent="0.25">
      <c r="A596">
        <v>664</v>
      </c>
      <c r="B596" t="s">
        <v>301</v>
      </c>
      <c r="C596" t="s">
        <v>545</v>
      </c>
      <c r="D596">
        <v>5</v>
      </c>
      <c r="E596">
        <v>1141.2</v>
      </c>
      <c r="F596" t="s">
        <v>329</v>
      </c>
      <c r="G596">
        <v>228.24</v>
      </c>
      <c r="H596">
        <v>1369.44</v>
      </c>
      <c r="I596" t="s">
        <v>489</v>
      </c>
      <c r="J596" t="s">
        <v>546</v>
      </c>
      <c r="K596" t="s">
        <v>705</v>
      </c>
      <c r="L596" t="s">
        <v>179</v>
      </c>
      <c r="M596" t="s">
        <v>301</v>
      </c>
      <c r="N596" t="s">
        <v>11</v>
      </c>
      <c r="O596" t="s">
        <v>300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1</v>
      </c>
      <c r="AC596">
        <v>1</v>
      </c>
      <c r="AD596">
        <v>1</v>
      </c>
      <c r="AE596">
        <v>1</v>
      </c>
      <c r="AF596">
        <v>1</v>
      </c>
      <c r="AG596" t="s">
        <v>301</v>
      </c>
      <c r="AH596" t="s">
        <v>11</v>
      </c>
      <c r="AI596" t="s">
        <v>300</v>
      </c>
      <c r="AJ596">
        <f>$H$596*$P$596</f>
        <v>0</v>
      </c>
      <c r="AK596">
        <f>$H$596*$Q$596</f>
        <v>0</v>
      </c>
      <c r="AL596">
        <f>$H$596*$R$596</f>
        <v>0</v>
      </c>
      <c r="AM596">
        <f>$H$596*$S$596</f>
        <v>0</v>
      </c>
      <c r="AN596">
        <f>$H$596*$T$596</f>
        <v>0</v>
      </c>
      <c r="AO596">
        <f>$H$596*$U$596</f>
        <v>0</v>
      </c>
      <c r="AP596">
        <f>$H$596*$V$596</f>
        <v>0</v>
      </c>
      <c r="AQ596">
        <f>$H$596*$W$596</f>
        <v>0</v>
      </c>
      <c r="AR596">
        <f>$H$596*$X$596</f>
        <v>0</v>
      </c>
      <c r="AS596">
        <f>$H$596*$Y$596</f>
        <v>0</v>
      </c>
      <c r="AT596">
        <f>$H$596*$Z$596</f>
        <v>0</v>
      </c>
      <c r="AU596">
        <f>$H$596*$AA$596</f>
        <v>0</v>
      </c>
      <c r="AV596">
        <f>$H$596*$AB$596</f>
        <v>1369.44</v>
      </c>
      <c r="AW596">
        <f>$H$596*$AC$596</f>
        <v>1369.44</v>
      </c>
      <c r="AX596">
        <f>$H$596*$AD$596</f>
        <v>1369.44</v>
      </c>
      <c r="AY596">
        <f>$H$596*$AE$596</f>
        <v>1369.44</v>
      </c>
      <c r="AZ596">
        <f>$H$596*$AF$596</f>
        <v>1369.44</v>
      </c>
    </row>
    <row r="597" spans="1:52" x14ac:dyDescent="0.25">
      <c r="A597">
        <v>665</v>
      </c>
      <c r="B597" t="s">
        <v>301</v>
      </c>
      <c r="C597" t="s">
        <v>438</v>
      </c>
      <c r="D597">
        <v>14.13</v>
      </c>
      <c r="E597">
        <v>37.020000000000003</v>
      </c>
      <c r="F597" t="s">
        <v>329</v>
      </c>
      <c r="G597">
        <v>2.62</v>
      </c>
      <c r="H597">
        <v>44.42</v>
      </c>
      <c r="I597" t="s">
        <v>439</v>
      </c>
      <c r="J597" t="s">
        <v>440</v>
      </c>
      <c r="K597" t="s">
        <v>654</v>
      </c>
      <c r="L597" t="s">
        <v>179</v>
      </c>
      <c r="M597" t="s">
        <v>301</v>
      </c>
      <c r="N597" t="s">
        <v>11</v>
      </c>
      <c r="O597" t="s">
        <v>300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1</v>
      </c>
      <c r="AB597">
        <v>1</v>
      </c>
      <c r="AC597">
        <v>1</v>
      </c>
      <c r="AD597">
        <v>1</v>
      </c>
      <c r="AE597">
        <v>1</v>
      </c>
      <c r="AF597">
        <v>1</v>
      </c>
      <c r="AG597" t="s">
        <v>301</v>
      </c>
      <c r="AH597" t="s">
        <v>11</v>
      </c>
      <c r="AI597" t="s">
        <v>300</v>
      </c>
      <c r="AJ597">
        <f>$H$597*$P$597</f>
        <v>0</v>
      </c>
      <c r="AK597">
        <f>$H$597*$Q$597</f>
        <v>0</v>
      </c>
      <c r="AL597">
        <f>$H$597*$R$597</f>
        <v>0</v>
      </c>
      <c r="AM597">
        <f>$H$597*$S$597</f>
        <v>0</v>
      </c>
      <c r="AN597">
        <f>$H$597*$T$597</f>
        <v>0</v>
      </c>
      <c r="AO597">
        <f>$H$597*$U$597</f>
        <v>0</v>
      </c>
      <c r="AP597">
        <f>$H$597*$V$597</f>
        <v>0</v>
      </c>
      <c r="AQ597">
        <f>$H$597*$W$597</f>
        <v>0</v>
      </c>
      <c r="AR597">
        <f>$H$597*$X$597</f>
        <v>0</v>
      </c>
      <c r="AS597">
        <f>$H$597*$Y$597</f>
        <v>0</v>
      </c>
      <c r="AT597">
        <f>$H$597*$Z$597</f>
        <v>0</v>
      </c>
      <c r="AU597">
        <f>$H$597*$AA$597</f>
        <v>44.42</v>
      </c>
      <c r="AV597">
        <f>$H$597*$AB$597</f>
        <v>44.42</v>
      </c>
      <c r="AW597">
        <f>$H$597*$AC$597</f>
        <v>44.42</v>
      </c>
      <c r="AX597">
        <f>$H$597*$AD$597</f>
        <v>44.42</v>
      </c>
      <c r="AY597">
        <f>$H$597*$AE$597</f>
        <v>44.42</v>
      </c>
      <c r="AZ597">
        <f>$H$597*$AF$597</f>
        <v>44.42</v>
      </c>
    </row>
    <row r="598" spans="1:52" x14ac:dyDescent="0.25">
      <c r="A598">
        <v>666</v>
      </c>
      <c r="B598" t="s">
        <v>301</v>
      </c>
      <c r="C598" t="s">
        <v>441</v>
      </c>
      <c r="D598">
        <v>127.2</v>
      </c>
      <c r="E598">
        <v>274.75</v>
      </c>
      <c r="F598" t="s">
        <v>349</v>
      </c>
      <c r="G598">
        <v>2.16</v>
      </c>
      <c r="H598">
        <v>329.71</v>
      </c>
      <c r="I598" t="s">
        <v>439</v>
      </c>
      <c r="J598" t="s">
        <v>442</v>
      </c>
      <c r="K598" t="s">
        <v>655</v>
      </c>
      <c r="L598" t="s">
        <v>179</v>
      </c>
      <c r="M598" t="s">
        <v>301</v>
      </c>
      <c r="N598" t="s">
        <v>11</v>
      </c>
      <c r="O598" t="s">
        <v>300</v>
      </c>
      <c r="P598">
        <v>0</v>
      </c>
      <c r="Q598">
        <v>0</v>
      </c>
      <c r="R598">
        <v>0</v>
      </c>
      <c r="S598">
        <v>1</v>
      </c>
      <c r="T598">
        <v>1</v>
      </c>
      <c r="U598">
        <v>1</v>
      </c>
      <c r="V598">
        <v>1</v>
      </c>
      <c r="W598">
        <v>1</v>
      </c>
      <c r="X598">
        <v>1</v>
      </c>
      <c r="Y598">
        <v>1</v>
      </c>
      <c r="Z598">
        <v>1</v>
      </c>
      <c r="AA598">
        <v>1</v>
      </c>
      <c r="AB598">
        <v>1</v>
      </c>
      <c r="AC598">
        <v>1</v>
      </c>
      <c r="AD598">
        <v>1</v>
      </c>
      <c r="AE598">
        <v>1</v>
      </c>
      <c r="AF598">
        <v>1</v>
      </c>
      <c r="AG598" t="s">
        <v>301</v>
      </c>
      <c r="AH598" t="s">
        <v>11</v>
      </c>
      <c r="AI598" t="s">
        <v>300</v>
      </c>
      <c r="AJ598">
        <f>$H$598*$P$598</f>
        <v>0</v>
      </c>
      <c r="AK598">
        <f>$H$598*$Q$598</f>
        <v>0</v>
      </c>
      <c r="AL598">
        <f>$H$598*$R$598</f>
        <v>0</v>
      </c>
      <c r="AM598">
        <f>$H$598*$S$598</f>
        <v>329.71</v>
      </c>
      <c r="AN598">
        <f>$H$598*$T$598</f>
        <v>329.71</v>
      </c>
      <c r="AO598">
        <f>$H$598*$U$598</f>
        <v>329.71</v>
      </c>
      <c r="AP598">
        <f>$H$598*$V$598</f>
        <v>329.71</v>
      </c>
      <c r="AQ598">
        <f>$H$598*$W$598</f>
        <v>329.71</v>
      </c>
      <c r="AR598">
        <f>$H$598*$X$598</f>
        <v>329.71</v>
      </c>
      <c r="AS598">
        <f>$H$598*$Y$598</f>
        <v>329.71</v>
      </c>
      <c r="AT598">
        <f>$H$598*$Z$598</f>
        <v>329.71</v>
      </c>
      <c r="AU598">
        <f>$H$598*$AA$598</f>
        <v>329.71</v>
      </c>
      <c r="AV598">
        <f>$H$598*$AB$598</f>
        <v>329.71</v>
      </c>
      <c r="AW598">
        <f>$H$598*$AC$598</f>
        <v>329.71</v>
      </c>
      <c r="AX598">
        <f>$H$598*$AD$598</f>
        <v>329.71</v>
      </c>
      <c r="AY598">
        <f>$H$598*$AE$598</f>
        <v>329.71</v>
      </c>
      <c r="AZ598">
        <f>$H$598*$AF$598</f>
        <v>329.71</v>
      </c>
    </row>
    <row r="599" spans="1:52" x14ac:dyDescent="0.25">
      <c r="A599">
        <v>667</v>
      </c>
      <c r="B599" t="s">
        <v>301</v>
      </c>
      <c r="C599" t="s">
        <v>443</v>
      </c>
      <c r="D599">
        <v>127.2</v>
      </c>
      <c r="E599">
        <v>80.14</v>
      </c>
      <c r="F599" t="s">
        <v>349</v>
      </c>
      <c r="G599">
        <v>0.63</v>
      </c>
      <c r="H599">
        <v>96.16</v>
      </c>
      <c r="I599" t="s">
        <v>330</v>
      </c>
      <c r="J599" t="s">
        <v>444</v>
      </c>
      <c r="K599" t="s">
        <v>656</v>
      </c>
      <c r="L599" t="s">
        <v>179</v>
      </c>
      <c r="M599" t="s">
        <v>301</v>
      </c>
      <c r="N599" t="s">
        <v>11</v>
      </c>
      <c r="O599" t="s">
        <v>300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1</v>
      </c>
      <c r="AE599">
        <v>1</v>
      </c>
      <c r="AF599">
        <v>1</v>
      </c>
      <c r="AG599" t="s">
        <v>301</v>
      </c>
      <c r="AH599" t="s">
        <v>11</v>
      </c>
      <c r="AI599" t="s">
        <v>300</v>
      </c>
      <c r="AJ599">
        <f>$H$599*$P$599</f>
        <v>0</v>
      </c>
      <c r="AK599">
        <f>$H$599*$Q$599</f>
        <v>0</v>
      </c>
      <c r="AL599">
        <f>$H$599*$R$599</f>
        <v>0</v>
      </c>
      <c r="AM599">
        <f>$H$599*$S$599</f>
        <v>0</v>
      </c>
      <c r="AN599">
        <f>$H$599*$T$599</f>
        <v>0</v>
      </c>
      <c r="AO599">
        <f>$H$599*$U$599</f>
        <v>0</v>
      </c>
      <c r="AP599">
        <f>$H$599*$V$599</f>
        <v>0</v>
      </c>
      <c r="AQ599">
        <f>$H$599*$W$599</f>
        <v>0</v>
      </c>
      <c r="AR599">
        <f>$H$599*$X$599</f>
        <v>0</v>
      </c>
      <c r="AS599">
        <f>$H$599*$Y$599</f>
        <v>0</v>
      </c>
      <c r="AT599">
        <f>$H$599*$Z$599</f>
        <v>0</v>
      </c>
      <c r="AU599">
        <f>$H$599*$AA$599</f>
        <v>0</v>
      </c>
      <c r="AV599">
        <f>$H$599*$AB$599</f>
        <v>0</v>
      </c>
      <c r="AW599">
        <f>$H$599*$AC$599</f>
        <v>0</v>
      </c>
      <c r="AX599">
        <f>$H$599*$AD$599</f>
        <v>96.16</v>
      </c>
      <c r="AY599">
        <f>$H$599*$AE$599</f>
        <v>96.16</v>
      </c>
      <c r="AZ599">
        <f>$H$599*$AF$599</f>
        <v>96.16</v>
      </c>
    </row>
    <row r="600" spans="1:52" x14ac:dyDescent="0.25">
      <c r="A600">
        <v>668</v>
      </c>
      <c r="B600" t="s">
        <v>301</v>
      </c>
      <c r="C600" t="s">
        <v>362</v>
      </c>
      <c r="D600">
        <v>159</v>
      </c>
      <c r="E600">
        <v>155.82</v>
      </c>
      <c r="F600" t="s">
        <v>349</v>
      </c>
      <c r="G600">
        <v>0.98</v>
      </c>
      <c r="H600">
        <v>186.98</v>
      </c>
      <c r="I600" t="s">
        <v>330</v>
      </c>
      <c r="J600" t="s">
        <v>363</v>
      </c>
      <c r="K600" t="s">
        <v>617</v>
      </c>
      <c r="L600" t="s">
        <v>179</v>
      </c>
      <c r="M600" t="s">
        <v>301</v>
      </c>
      <c r="N600" t="s">
        <v>11</v>
      </c>
      <c r="O600" t="s">
        <v>300</v>
      </c>
      <c r="P600">
        <v>0</v>
      </c>
      <c r="Q600">
        <v>0</v>
      </c>
      <c r="R600">
        <v>0</v>
      </c>
      <c r="S600">
        <v>0</v>
      </c>
      <c r="T600">
        <v>1</v>
      </c>
      <c r="U600">
        <v>1</v>
      </c>
      <c r="V600">
        <v>1</v>
      </c>
      <c r="W600">
        <v>1</v>
      </c>
      <c r="X600">
        <v>1</v>
      </c>
      <c r="Y600">
        <v>1</v>
      </c>
      <c r="Z600">
        <v>1</v>
      </c>
      <c r="AA600">
        <v>1</v>
      </c>
      <c r="AB600">
        <v>1</v>
      </c>
      <c r="AC600">
        <v>1</v>
      </c>
      <c r="AD600">
        <v>1</v>
      </c>
      <c r="AE600">
        <v>1</v>
      </c>
      <c r="AF600">
        <v>1</v>
      </c>
      <c r="AG600" t="s">
        <v>301</v>
      </c>
      <c r="AH600" t="s">
        <v>11</v>
      </c>
      <c r="AI600" t="s">
        <v>300</v>
      </c>
      <c r="AJ600">
        <f>$H$600*$P$600</f>
        <v>0</v>
      </c>
      <c r="AK600">
        <f>$H$600*$Q$600</f>
        <v>0</v>
      </c>
      <c r="AL600">
        <f>$H$600*$R$600</f>
        <v>0</v>
      </c>
      <c r="AM600">
        <f>$H$600*$S$600</f>
        <v>0</v>
      </c>
      <c r="AN600">
        <f>$H$600*$T$600</f>
        <v>186.98</v>
      </c>
      <c r="AO600">
        <f>$H$600*$U$600</f>
        <v>186.98</v>
      </c>
      <c r="AP600">
        <f>$H$600*$V$600</f>
        <v>186.98</v>
      </c>
      <c r="AQ600">
        <f>$H$600*$W$600</f>
        <v>186.98</v>
      </c>
      <c r="AR600">
        <f>$H$600*$X$600</f>
        <v>186.98</v>
      </c>
      <c r="AS600">
        <f>$H$600*$Y$600</f>
        <v>186.98</v>
      </c>
      <c r="AT600">
        <f>$H$600*$Z$600</f>
        <v>186.98</v>
      </c>
      <c r="AU600">
        <f>$H$600*$AA$600</f>
        <v>186.98</v>
      </c>
      <c r="AV600">
        <f>$H$600*$AB$600</f>
        <v>186.98</v>
      </c>
      <c r="AW600">
        <f>$H$600*$AC$600</f>
        <v>186.98</v>
      </c>
      <c r="AX600">
        <f>$H$600*$AD$600</f>
        <v>186.98</v>
      </c>
      <c r="AY600">
        <f>$H$600*$AE$600</f>
        <v>186.98</v>
      </c>
      <c r="AZ600">
        <f>$H$600*$AF$600</f>
        <v>186.98</v>
      </c>
    </row>
    <row r="601" spans="1:52" x14ac:dyDescent="0.25">
      <c r="A601">
        <v>669</v>
      </c>
      <c r="B601" t="s">
        <v>301</v>
      </c>
      <c r="C601" t="s">
        <v>445</v>
      </c>
      <c r="D601">
        <v>31.8</v>
      </c>
      <c r="E601">
        <v>119.57</v>
      </c>
      <c r="F601" t="s">
        <v>349</v>
      </c>
      <c r="G601">
        <v>3.76</v>
      </c>
      <c r="H601">
        <v>143.49</v>
      </c>
      <c r="I601" t="s">
        <v>446</v>
      </c>
      <c r="J601" t="s">
        <v>420</v>
      </c>
      <c r="K601" t="s">
        <v>657</v>
      </c>
      <c r="L601" t="s">
        <v>179</v>
      </c>
      <c r="M601" t="s">
        <v>301</v>
      </c>
      <c r="N601" t="s">
        <v>11</v>
      </c>
      <c r="O601" t="s">
        <v>300</v>
      </c>
      <c r="P601">
        <v>0</v>
      </c>
      <c r="Q601">
        <v>0</v>
      </c>
      <c r="R601">
        <v>0</v>
      </c>
      <c r="S601">
        <v>0.25</v>
      </c>
      <c r="T601">
        <v>0.25</v>
      </c>
      <c r="U601">
        <v>0.25</v>
      </c>
      <c r="V601">
        <v>0.25</v>
      </c>
      <c r="W601">
        <v>0.25</v>
      </c>
      <c r="X601">
        <v>0.5</v>
      </c>
      <c r="Y601">
        <v>0.5</v>
      </c>
      <c r="Z601">
        <v>0.5</v>
      </c>
      <c r="AA601">
        <v>1</v>
      </c>
      <c r="AB601">
        <v>1</v>
      </c>
      <c r="AC601">
        <v>1</v>
      </c>
      <c r="AD601">
        <v>1</v>
      </c>
      <c r="AE601">
        <v>1</v>
      </c>
      <c r="AF601">
        <v>1</v>
      </c>
      <c r="AG601" t="s">
        <v>301</v>
      </c>
      <c r="AH601" t="s">
        <v>11</v>
      </c>
      <c r="AI601" t="s">
        <v>300</v>
      </c>
      <c r="AJ601">
        <f>$H$601*$P$601</f>
        <v>0</v>
      </c>
      <c r="AK601">
        <f>$H$601*$Q$601</f>
        <v>0</v>
      </c>
      <c r="AL601">
        <f>$H$601*$R$601</f>
        <v>0</v>
      </c>
      <c r="AM601">
        <f>$H$601*$S$601</f>
        <v>35.872500000000002</v>
      </c>
      <c r="AN601">
        <f>$H$601*$T$601</f>
        <v>35.872500000000002</v>
      </c>
      <c r="AO601">
        <f>$H$601*$U$601</f>
        <v>35.872500000000002</v>
      </c>
      <c r="AP601">
        <f>$H$601*$V$601</f>
        <v>35.872500000000002</v>
      </c>
      <c r="AQ601">
        <f>$H$601*$W$601</f>
        <v>35.872500000000002</v>
      </c>
      <c r="AR601">
        <f>$H$601*$X$601</f>
        <v>71.745000000000005</v>
      </c>
      <c r="AS601">
        <f>$H$601*$Y$601</f>
        <v>71.745000000000005</v>
      </c>
      <c r="AT601">
        <f>$H$601*$Z$601</f>
        <v>71.745000000000005</v>
      </c>
      <c r="AU601">
        <f>$H$601*$AA$601</f>
        <v>143.49</v>
      </c>
      <c r="AV601">
        <f>$H$601*$AB$601</f>
        <v>143.49</v>
      </c>
      <c r="AW601">
        <f>$H$601*$AC$601</f>
        <v>143.49</v>
      </c>
      <c r="AX601">
        <f>$H$601*$AD$601</f>
        <v>143.49</v>
      </c>
      <c r="AY601">
        <f>$H$601*$AE$601</f>
        <v>143.49</v>
      </c>
      <c r="AZ601">
        <f>$H$601*$AF$601</f>
        <v>143.49</v>
      </c>
    </row>
    <row r="602" spans="1:52" x14ac:dyDescent="0.25">
      <c r="A602">
        <v>670</v>
      </c>
      <c r="B602" t="s">
        <v>301</v>
      </c>
      <c r="C602" t="s">
        <v>364</v>
      </c>
      <c r="D602">
        <v>318</v>
      </c>
      <c r="E602">
        <v>1068.48</v>
      </c>
      <c r="F602" t="s">
        <v>349</v>
      </c>
      <c r="G602">
        <v>3.36</v>
      </c>
      <c r="H602">
        <v>1282.18</v>
      </c>
      <c r="I602" t="s">
        <v>365</v>
      </c>
      <c r="J602" t="s">
        <v>366</v>
      </c>
      <c r="K602" t="s">
        <v>618</v>
      </c>
      <c r="L602" t="s">
        <v>179</v>
      </c>
      <c r="M602" t="s">
        <v>301</v>
      </c>
      <c r="N602" t="s">
        <v>11</v>
      </c>
      <c r="O602" t="s">
        <v>300</v>
      </c>
      <c r="P602">
        <v>0</v>
      </c>
      <c r="Q602">
        <v>0</v>
      </c>
      <c r="R602">
        <v>0</v>
      </c>
      <c r="S602">
        <v>0.25</v>
      </c>
      <c r="T602">
        <v>0.25</v>
      </c>
      <c r="U602">
        <v>0.25</v>
      </c>
      <c r="V602">
        <v>0.25</v>
      </c>
      <c r="W602">
        <v>0.5</v>
      </c>
      <c r="X602">
        <v>0.5</v>
      </c>
      <c r="Y602">
        <v>0.5</v>
      </c>
      <c r="Z602">
        <v>0.5</v>
      </c>
      <c r="AA602">
        <v>1</v>
      </c>
      <c r="AB602">
        <v>1</v>
      </c>
      <c r="AC602">
        <v>1</v>
      </c>
      <c r="AD602">
        <v>1</v>
      </c>
      <c r="AE602">
        <v>1</v>
      </c>
      <c r="AF602">
        <v>1</v>
      </c>
      <c r="AG602" t="s">
        <v>301</v>
      </c>
      <c r="AH602" t="s">
        <v>11</v>
      </c>
      <c r="AI602" t="s">
        <v>300</v>
      </c>
      <c r="AJ602">
        <f>$H$602*$P$602</f>
        <v>0</v>
      </c>
      <c r="AK602">
        <f>$H$602*$Q$602</f>
        <v>0</v>
      </c>
      <c r="AL602">
        <f>$H$602*$R$602</f>
        <v>0</v>
      </c>
      <c r="AM602">
        <f>$H$602*$S$602</f>
        <v>320.54500000000002</v>
      </c>
      <c r="AN602">
        <f>$H$602*$T$602</f>
        <v>320.54500000000002</v>
      </c>
      <c r="AO602">
        <f>$H$602*$U$602</f>
        <v>320.54500000000002</v>
      </c>
      <c r="AP602">
        <f>$H$602*$V$602</f>
        <v>320.54500000000002</v>
      </c>
      <c r="AQ602">
        <f>$H$602*$W$602</f>
        <v>641.09</v>
      </c>
      <c r="AR602">
        <f>$H$602*$X$602</f>
        <v>641.09</v>
      </c>
      <c r="AS602">
        <f>$H$602*$Y$602</f>
        <v>641.09</v>
      </c>
      <c r="AT602">
        <f>$H$602*$Z$602</f>
        <v>641.09</v>
      </c>
      <c r="AU602">
        <f>$H$602*$AA$602</f>
        <v>1282.18</v>
      </c>
      <c r="AV602">
        <f>$H$602*$AB$602</f>
        <v>1282.18</v>
      </c>
      <c r="AW602">
        <f>$H$602*$AC$602</f>
        <v>1282.18</v>
      </c>
      <c r="AX602">
        <f>$H$602*$AD$602</f>
        <v>1282.18</v>
      </c>
      <c r="AY602">
        <f>$H$602*$AE$602</f>
        <v>1282.18</v>
      </c>
      <c r="AZ602">
        <f>$H$602*$AF$602</f>
        <v>1282.18</v>
      </c>
    </row>
    <row r="603" spans="1:52" x14ac:dyDescent="0.25">
      <c r="A603">
        <v>671</v>
      </c>
      <c r="B603" t="s">
        <v>301</v>
      </c>
      <c r="C603" t="s">
        <v>455</v>
      </c>
      <c r="D603">
        <v>35.33</v>
      </c>
      <c r="E603">
        <v>53.35</v>
      </c>
      <c r="F603" t="s">
        <v>329</v>
      </c>
      <c r="G603">
        <v>1.51</v>
      </c>
      <c r="H603">
        <v>64.03</v>
      </c>
      <c r="I603" t="s">
        <v>330</v>
      </c>
      <c r="J603" t="s">
        <v>456</v>
      </c>
      <c r="K603" t="s">
        <v>662</v>
      </c>
      <c r="L603" t="s">
        <v>179</v>
      </c>
      <c r="M603" t="s">
        <v>301</v>
      </c>
      <c r="N603" t="s">
        <v>11</v>
      </c>
      <c r="O603" t="s">
        <v>300</v>
      </c>
      <c r="P603">
        <v>0</v>
      </c>
      <c r="Q603">
        <v>0</v>
      </c>
      <c r="R603">
        <v>0</v>
      </c>
      <c r="S603">
        <v>1</v>
      </c>
      <c r="T603">
        <v>1</v>
      </c>
      <c r="U603">
        <v>1</v>
      </c>
      <c r="V603">
        <v>1</v>
      </c>
      <c r="W603">
        <v>1</v>
      </c>
      <c r="X603">
        <v>1</v>
      </c>
      <c r="Y603">
        <v>1</v>
      </c>
      <c r="Z603">
        <v>1</v>
      </c>
      <c r="AA603">
        <v>1</v>
      </c>
      <c r="AB603">
        <v>1</v>
      </c>
      <c r="AC603">
        <v>1</v>
      </c>
      <c r="AD603">
        <v>1</v>
      </c>
      <c r="AE603">
        <v>1</v>
      </c>
      <c r="AF603">
        <v>1</v>
      </c>
      <c r="AG603" t="s">
        <v>301</v>
      </c>
      <c r="AH603" t="s">
        <v>11</v>
      </c>
      <c r="AI603" t="s">
        <v>300</v>
      </c>
      <c r="AJ603">
        <f>$H$603*$P$603</f>
        <v>0</v>
      </c>
      <c r="AK603">
        <f>$H$603*$Q$603</f>
        <v>0</v>
      </c>
      <c r="AL603">
        <f>$H$603*$R$603</f>
        <v>0</v>
      </c>
      <c r="AM603">
        <f>$H$603*$S$603</f>
        <v>64.03</v>
      </c>
      <c r="AN603">
        <f>$H$603*$T$603</f>
        <v>64.03</v>
      </c>
      <c r="AO603">
        <f>$H$603*$U$603</f>
        <v>64.03</v>
      </c>
      <c r="AP603">
        <f>$H$603*$V$603</f>
        <v>64.03</v>
      </c>
      <c r="AQ603">
        <f>$H$603*$W$603</f>
        <v>64.03</v>
      </c>
      <c r="AR603">
        <f>$H$603*$X$603</f>
        <v>64.03</v>
      </c>
      <c r="AS603">
        <f>$H$603*$Y$603</f>
        <v>64.03</v>
      </c>
      <c r="AT603">
        <f>$H$603*$Z$603</f>
        <v>64.03</v>
      </c>
      <c r="AU603">
        <f>$H$603*$AA$603</f>
        <v>64.03</v>
      </c>
      <c r="AV603">
        <f>$H$603*$AB$603</f>
        <v>64.03</v>
      </c>
      <c r="AW603">
        <f>$H$603*$AC$603</f>
        <v>64.03</v>
      </c>
      <c r="AX603">
        <f>$H$603*$AD$603</f>
        <v>64.03</v>
      </c>
      <c r="AY603">
        <f>$H$603*$AE$603</f>
        <v>64.03</v>
      </c>
      <c r="AZ603">
        <f>$H$603*$AF$603</f>
        <v>64.03</v>
      </c>
    </row>
    <row r="604" spans="1:52" x14ac:dyDescent="0.25">
      <c r="A604">
        <v>672</v>
      </c>
      <c r="B604" t="s">
        <v>301</v>
      </c>
      <c r="C604" t="s">
        <v>457</v>
      </c>
      <c r="D604">
        <v>35.33</v>
      </c>
      <c r="E604">
        <v>200.67</v>
      </c>
      <c r="F604" t="s">
        <v>329</v>
      </c>
      <c r="G604">
        <v>5.68</v>
      </c>
      <c r="H604">
        <v>240.81</v>
      </c>
      <c r="I604" t="s">
        <v>333</v>
      </c>
      <c r="J604" t="s">
        <v>458</v>
      </c>
      <c r="K604" t="s">
        <v>663</v>
      </c>
      <c r="L604" t="s">
        <v>179</v>
      </c>
      <c r="M604" t="s">
        <v>301</v>
      </c>
      <c r="N604" t="s">
        <v>11</v>
      </c>
      <c r="O604" t="s">
        <v>300</v>
      </c>
      <c r="P604">
        <v>0</v>
      </c>
      <c r="Q604">
        <v>0</v>
      </c>
      <c r="R604">
        <v>0</v>
      </c>
      <c r="S604">
        <v>1</v>
      </c>
      <c r="T604">
        <v>1</v>
      </c>
      <c r="U604">
        <v>1</v>
      </c>
      <c r="V604">
        <v>1</v>
      </c>
      <c r="W604">
        <v>1</v>
      </c>
      <c r="X604">
        <v>1</v>
      </c>
      <c r="Y604">
        <v>1</v>
      </c>
      <c r="Z604">
        <v>1</v>
      </c>
      <c r="AA604">
        <v>1</v>
      </c>
      <c r="AB604">
        <v>1</v>
      </c>
      <c r="AC604">
        <v>1</v>
      </c>
      <c r="AD604">
        <v>1</v>
      </c>
      <c r="AE604">
        <v>1</v>
      </c>
      <c r="AF604">
        <v>1</v>
      </c>
      <c r="AG604" t="s">
        <v>301</v>
      </c>
      <c r="AH604" t="s">
        <v>11</v>
      </c>
      <c r="AI604" t="s">
        <v>300</v>
      </c>
      <c r="AJ604">
        <f>$H$604*$P$604</f>
        <v>0</v>
      </c>
      <c r="AK604">
        <f>$H$604*$Q$604</f>
        <v>0</v>
      </c>
      <c r="AL604">
        <f>$H$604*$R$604</f>
        <v>0</v>
      </c>
      <c r="AM604">
        <f>$H$604*$S$604</f>
        <v>240.81</v>
      </c>
      <c r="AN604">
        <f>$H$604*$T$604</f>
        <v>240.81</v>
      </c>
      <c r="AO604">
        <f>$H$604*$U$604</f>
        <v>240.81</v>
      </c>
      <c r="AP604">
        <f>$H$604*$V$604</f>
        <v>240.81</v>
      </c>
      <c r="AQ604">
        <f>$H$604*$W$604</f>
        <v>240.81</v>
      </c>
      <c r="AR604">
        <f>$H$604*$X$604</f>
        <v>240.81</v>
      </c>
      <c r="AS604">
        <f>$H$604*$Y$604</f>
        <v>240.81</v>
      </c>
      <c r="AT604">
        <f>$H$604*$Z$604</f>
        <v>240.81</v>
      </c>
      <c r="AU604">
        <f>$H$604*$AA$604</f>
        <v>240.81</v>
      </c>
      <c r="AV604">
        <f>$H$604*$AB$604</f>
        <v>240.81</v>
      </c>
      <c r="AW604">
        <f>$H$604*$AC$604</f>
        <v>240.81</v>
      </c>
      <c r="AX604">
        <f>$H$604*$AD$604</f>
        <v>240.81</v>
      </c>
      <c r="AY604">
        <f>$H$604*$AE$604</f>
        <v>240.81</v>
      </c>
      <c r="AZ604">
        <f>$H$604*$AF$604</f>
        <v>240.81</v>
      </c>
    </row>
    <row r="605" spans="1:52" x14ac:dyDescent="0.25">
      <c r="A605">
        <v>673</v>
      </c>
      <c r="B605" t="s">
        <v>301</v>
      </c>
      <c r="C605" t="s">
        <v>364</v>
      </c>
      <c r="D605">
        <v>77.03</v>
      </c>
      <c r="E605">
        <v>258.82</v>
      </c>
      <c r="F605" t="s">
        <v>349</v>
      </c>
      <c r="G605">
        <v>3.36</v>
      </c>
      <c r="H605">
        <v>310.58</v>
      </c>
      <c r="I605" t="s">
        <v>365</v>
      </c>
      <c r="J605" t="s">
        <v>366</v>
      </c>
      <c r="K605" t="s">
        <v>618</v>
      </c>
      <c r="L605" t="s">
        <v>179</v>
      </c>
      <c r="M605" t="s">
        <v>301</v>
      </c>
      <c r="N605" t="s">
        <v>11</v>
      </c>
      <c r="O605" t="s">
        <v>300</v>
      </c>
      <c r="P605">
        <v>0</v>
      </c>
      <c r="Q605">
        <v>0</v>
      </c>
      <c r="R605">
        <v>0</v>
      </c>
      <c r="S605">
        <v>0.25</v>
      </c>
      <c r="T605">
        <v>0.25</v>
      </c>
      <c r="U605">
        <v>0.25</v>
      </c>
      <c r="V605">
        <v>0.25</v>
      </c>
      <c r="W605">
        <v>0.5</v>
      </c>
      <c r="X605">
        <v>0.5</v>
      </c>
      <c r="Y605">
        <v>0.5</v>
      </c>
      <c r="Z605">
        <v>0.5</v>
      </c>
      <c r="AA605">
        <v>1</v>
      </c>
      <c r="AB605">
        <v>1</v>
      </c>
      <c r="AC605">
        <v>1</v>
      </c>
      <c r="AD605">
        <v>1</v>
      </c>
      <c r="AE605">
        <v>1</v>
      </c>
      <c r="AF605">
        <v>1</v>
      </c>
      <c r="AG605" t="s">
        <v>301</v>
      </c>
      <c r="AH605" t="s">
        <v>11</v>
      </c>
      <c r="AI605" t="s">
        <v>300</v>
      </c>
      <c r="AJ605">
        <f>$H$605*$P$605</f>
        <v>0</v>
      </c>
      <c r="AK605">
        <f>$H$605*$Q$605</f>
        <v>0</v>
      </c>
      <c r="AL605">
        <f>$H$605*$R$605</f>
        <v>0</v>
      </c>
      <c r="AM605">
        <f>$H$605*$S$605</f>
        <v>77.644999999999996</v>
      </c>
      <c r="AN605">
        <f>$H$605*$T$605</f>
        <v>77.644999999999996</v>
      </c>
      <c r="AO605">
        <f>$H$605*$U$605</f>
        <v>77.644999999999996</v>
      </c>
      <c r="AP605">
        <f>$H$605*$V$605</f>
        <v>77.644999999999996</v>
      </c>
      <c r="AQ605">
        <f>$H$605*$W$605</f>
        <v>155.29</v>
      </c>
      <c r="AR605">
        <f>$H$605*$X$605</f>
        <v>155.29</v>
      </c>
      <c r="AS605">
        <f>$H$605*$Y$605</f>
        <v>155.29</v>
      </c>
      <c r="AT605">
        <f>$H$605*$Z$605</f>
        <v>155.29</v>
      </c>
      <c r="AU605">
        <f>$H$605*$AA$605</f>
        <v>310.58</v>
      </c>
      <c r="AV605">
        <f>$H$605*$AB$605</f>
        <v>310.58</v>
      </c>
      <c r="AW605">
        <f>$H$605*$AC$605</f>
        <v>310.58</v>
      </c>
      <c r="AX605">
        <f>$H$605*$AD$605</f>
        <v>310.58</v>
      </c>
      <c r="AY605">
        <f>$H$605*$AE$605</f>
        <v>310.58</v>
      </c>
      <c r="AZ605">
        <f>$H$605*$AF$605</f>
        <v>310.58</v>
      </c>
    </row>
    <row r="606" spans="1:52" x14ac:dyDescent="0.25">
      <c r="A606">
        <v>674</v>
      </c>
      <c r="B606" t="s">
        <v>301</v>
      </c>
      <c r="C606" t="s">
        <v>443</v>
      </c>
      <c r="D606">
        <v>77.03</v>
      </c>
      <c r="E606">
        <v>48.53</v>
      </c>
      <c r="F606" t="s">
        <v>349</v>
      </c>
      <c r="G606">
        <v>0.63</v>
      </c>
      <c r="H606">
        <v>58.23</v>
      </c>
      <c r="I606" t="s">
        <v>330</v>
      </c>
      <c r="J606" t="s">
        <v>444</v>
      </c>
      <c r="K606" t="s">
        <v>656</v>
      </c>
      <c r="L606" t="s">
        <v>179</v>
      </c>
      <c r="M606" t="s">
        <v>301</v>
      </c>
      <c r="N606" t="s">
        <v>11</v>
      </c>
      <c r="O606" t="s">
        <v>300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1</v>
      </c>
      <c r="AE606">
        <v>1</v>
      </c>
      <c r="AF606">
        <v>1</v>
      </c>
      <c r="AG606" t="s">
        <v>301</v>
      </c>
      <c r="AH606" t="s">
        <v>11</v>
      </c>
      <c r="AI606" t="s">
        <v>300</v>
      </c>
      <c r="AJ606">
        <f>$H$606*$P$606</f>
        <v>0</v>
      </c>
      <c r="AK606">
        <f>$H$606*$Q$606</f>
        <v>0</v>
      </c>
      <c r="AL606">
        <f>$H$606*$R$606</f>
        <v>0</v>
      </c>
      <c r="AM606">
        <f>$H$606*$S$606</f>
        <v>0</v>
      </c>
      <c r="AN606">
        <f>$H$606*$T$606</f>
        <v>0</v>
      </c>
      <c r="AO606">
        <f>$H$606*$U$606</f>
        <v>0</v>
      </c>
      <c r="AP606">
        <f>$H$606*$V$606</f>
        <v>0</v>
      </c>
      <c r="AQ606">
        <f>$H$606*$W$606</f>
        <v>0</v>
      </c>
      <c r="AR606">
        <f>$H$606*$X$606</f>
        <v>0</v>
      </c>
      <c r="AS606">
        <f>$H$606*$Y$606</f>
        <v>0</v>
      </c>
      <c r="AT606">
        <f>$H$606*$Z$606</f>
        <v>0</v>
      </c>
      <c r="AU606">
        <f>$H$606*$AA$606</f>
        <v>0</v>
      </c>
      <c r="AV606">
        <f>$H$606*$AB$606</f>
        <v>0</v>
      </c>
      <c r="AW606">
        <f>$H$606*$AC$606</f>
        <v>0</v>
      </c>
      <c r="AX606">
        <f>$H$606*$AD$606</f>
        <v>58.23</v>
      </c>
      <c r="AY606">
        <f>$H$606*$AE$606</f>
        <v>58.23</v>
      </c>
      <c r="AZ606">
        <f>$H$606*$AF$606</f>
        <v>58.23</v>
      </c>
    </row>
    <row r="607" spans="1:52" x14ac:dyDescent="0.25">
      <c r="A607">
        <v>675</v>
      </c>
      <c r="B607" t="s">
        <v>301</v>
      </c>
      <c r="C607" t="s">
        <v>459</v>
      </c>
      <c r="D607">
        <v>77.03</v>
      </c>
      <c r="E607">
        <v>53.15</v>
      </c>
      <c r="F607" t="s">
        <v>349</v>
      </c>
      <c r="G607">
        <v>0.69</v>
      </c>
      <c r="H607">
        <v>63.79</v>
      </c>
      <c r="I607" t="s">
        <v>330</v>
      </c>
      <c r="J607" t="s">
        <v>460</v>
      </c>
      <c r="K607" t="s">
        <v>664</v>
      </c>
      <c r="L607" t="s">
        <v>179</v>
      </c>
      <c r="M607" t="s">
        <v>301</v>
      </c>
      <c r="N607" t="s">
        <v>11</v>
      </c>
      <c r="O607" t="s">
        <v>300</v>
      </c>
      <c r="P607">
        <v>0</v>
      </c>
      <c r="Q607">
        <v>0</v>
      </c>
      <c r="R607">
        <v>0</v>
      </c>
      <c r="S607">
        <v>1</v>
      </c>
      <c r="T607">
        <v>1</v>
      </c>
      <c r="U607">
        <v>1</v>
      </c>
      <c r="V607">
        <v>1</v>
      </c>
      <c r="W607">
        <v>1</v>
      </c>
      <c r="X607">
        <v>1</v>
      </c>
      <c r="Y607">
        <v>1</v>
      </c>
      <c r="Z607">
        <v>1</v>
      </c>
      <c r="AA607">
        <v>1</v>
      </c>
      <c r="AB607">
        <v>1</v>
      </c>
      <c r="AC607">
        <v>1</v>
      </c>
      <c r="AD607">
        <v>1</v>
      </c>
      <c r="AE607">
        <v>1</v>
      </c>
      <c r="AF607">
        <v>1</v>
      </c>
      <c r="AG607" t="s">
        <v>301</v>
      </c>
      <c r="AH607" t="s">
        <v>11</v>
      </c>
      <c r="AI607" t="s">
        <v>300</v>
      </c>
      <c r="AJ607">
        <f>$H$607*$P$607</f>
        <v>0</v>
      </c>
      <c r="AK607">
        <f>$H$607*$Q$607</f>
        <v>0</v>
      </c>
      <c r="AL607">
        <f>$H$607*$R$607</f>
        <v>0</v>
      </c>
      <c r="AM607">
        <f>$H$607*$S$607</f>
        <v>63.79</v>
      </c>
      <c r="AN607">
        <f>$H$607*$T$607</f>
        <v>63.79</v>
      </c>
      <c r="AO607">
        <f>$H$607*$U$607</f>
        <v>63.79</v>
      </c>
      <c r="AP607">
        <f>$H$607*$V$607</f>
        <v>63.79</v>
      </c>
      <c r="AQ607">
        <f>$H$607*$W$607</f>
        <v>63.79</v>
      </c>
      <c r="AR607">
        <f>$H$607*$X$607</f>
        <v>63.79</v>
      </c>
      <c r="AS607">
        <f>$H$607*$Y$607</f>
        <v>63.79</v>
      </c>
      <c r="AT607">
        <f>$H$607*$Z$607</f>
        <v>63.79</v>
      </c>
      <c r="AU607">
        <f>$H$607*$AA$607</f>
        <v>63.79</v>
      </c>
      <c r="AV607">
        <f>$H$607*$AB$607</f>
        <v>63.79</v>
      </c>
      <c r="AW607">
        <f>$H$607*$AC$607</f>
        <v>63.79</v>
      </c>
      <c r="AX607">
        <f>$H$607*$AD$607</f>
        <v>63.79</v>
      </c>
      <c r="AY607">
        <f>$H$607*$AE$607</f>
        <v>63.79</v>
      </c>
      <c r="AZ607">
        <f>$H$607*$AF$607</f>
        <v>63.79</v>
      </c>
    </row>
    <row r="608" spans="1:52" x14ac:dyDescent="0.25">
      <c r="A608">
        <v>676</v>
      </c>
      <c r="B608" t="s">
        <v>301</v>
      </c>
      <c r="C608" t="s">
        <v>461</v>
      </c>
      <c r="D608">
        <v>15.41</v>
      </c>
      <c r="E608">
        <v>267.36</v>
      </c>
      <c r="F608" t="s">
        <v>349</v>
      </c>
      <c r="G608">
        <v>17.350000000000001</v>
      </c>
      <c r="H608">
        <v>320.83999999999997</v>
      </c>
      <c r="I608" t="s">
        <v>462</v>
      </c>
      <c r="J608" t="s">
        <v>463</v>
      </c>
      <c r="K608" t="s">
        <v>665</v>
      </c>
      <c r="L608" t="s">
        <v>179</v>
      </c>
      <c r="M608" t="s">
        <v>301</v>
      </c>
      <c r="N608" t="s">
        <v>11</v>
      </c>
      <c r="O608" t="s">
        <v>300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1</v>
      </c>
      <c r="Z608">
        <v>1</v>
      </c>
      <c r="AA608">
        <v>1</v>
      </c>
      <c r="AB608">
        <v>1</v>
      </c>
      <c r="AC608">
        <v>1</v>
      </c>
      <c r="AD608">
        <v>1</v>
      </c>
      <c r="AE608">
        <v>1</v>
      </c>
      <c r="AF608">
        <v>1</v>
      </c>
      <c r="AG608" t="s">
        <v>301</v>
      </c>
      <c r="AH608" t="s">
        <v>11</v>
      </c>
      <c r="AI608" t="s">
        <v>300</v>
      </c>
      <c r="AJ608">
        <f>$H$608*$P$608</f>
        <v>0</v>
      </c>
      <c r="AK608">
        <f>$H$608*$Q$608</f>
        <v>0</v>
      </c>
      <c r="AL608">
        <f>$H$608*$R$608</f>
        <v>0</v>
      </c>
      <c r="AM608">
        <f>$H$608*$S$608</f>
        <v>0</v>
      </c>
      <c r="AN608">
        <f>$H$608*$T$608</f>
        <v>0</v>
      </c>
      <c r="AO608">
        <f>$H$608*$U$608</f>
        <v>0</v>
      </c>
      <c r="AP608">
        <f>$H$608*$V$608</f>
        <v>0</v>
      </c>
      <c r="AQ608">
        <f>$H$608*$W$608</f>
        <v>0</v>
      </c>
      <c r="AR608">
        <f>$H$608*$X$608</f>
        <v>0</v>
      </c>
      <c r="AS608">
        <f>$H$608*$Y$608</f>
        <v>320.83999999999997</v>
      </c>
      <c r="AT608">
        <f>$H$608*$Z$608</f>
        <v>320.83999999999997</v>
      </c>
      <c r="AU608">
        <f>$H$608*$AA$608</f>
        <v>320.83999999999997</v>
      </c>
      <c r="AV608">
        <f>$H$608*$AB$608</f>
        <v>320.83999999999997</v>
      </c>
      <c r="AW608">
        <f>$H$608*$AC$608</f>
        <v>320.83999999999997</v>
      </c>
      <c r="AX608">
        <f>$H$608*$AD$608</f>
        <v>320.83999999999997</v>
      </c>
      <c r="AY608">
        <f>$H$608*$AE$608</f>
        <v>320.83999999999997</v>
      </c>
      <c r="AZ608">
        <f>$H$608*$AF$608</f>
        <v>320.83999999999997</v>
      </c>
    </row>
    <row r="609" spans="1:52" x14ac:dyDescent="0.25">
      <c r="A609">
        <v>677</v>
      </c>
      <c r="B609" t="s">
        <v>301</v>
      </c>
      <c r="C609" t="s">
        <v>464</v>
      </c>
      <c r="D609">
        <v>30.81</v>
      </c>
      <c r="E609">
        <v>110.3</v>
      </c>
      <c r="F609" t="s">
        <v>349</v>
      </c>
      <c r="G609">
        <v>3.58</v>
      </c>
      <c r="H609">
        <v>132.36000000000001</v>
      </c>
      <c r="I609" t="s">
        <v>465</v>
      </c>
      <c r="J609" t="s">
        <v>466</v>
      </c>
      <c r="K609" t="s">
        <v>666</v>
      </c>
      <c r="L609" t="s">
        <v>179</v>
      </c>
      <c r="M609" t="s">
        <v>301</v>
      </c>
      <c r="N609" t="s">
        <v>11</v>
      </c>
      <c r="O609" t="s">
        <v>300</v>
      </c>
      <c r="P609">
        <v>0</v>
      </c>
      <c r="Q609">
        <v>0</v>
      </c>
      <c r="R609">
        <v>0</v>
      </c>
      <c r="S609">
        <v>1</v>
      </c>
      <c r="T609">
        <v>1</v>
      </c>
      <c r="U609">
        <v>1</v>
      </c>
      <c r="V609">
        <v>1</v>
      </c>
      <c r="W609">
        <v>1</v>
      </c>
      <c r="X609">
        <v>1</v>
      </c>
      <c r="Y609">
        <v>1</v>
      </c>
      <c r="Z609">
        <v>1</v>
      </c>
      <c r="AA609">
        <v>1</v>
      </c>
      <c r="AB609">
        <v>1</v>
      </c>
      <c r="AC609">
        <v>1</v>
      </c>
      <c r="AD609">
        <v>1</v>
      </c>
      <c r="AE609">
        <v>1</v>
      </c>
      <c r="AF609">
        <v>1</v>
      </c>
      <c r="AG609" t="s">
        <v>301</v>
      </c>
      <c r="AH609" t="s">
        <v>11</v>
      </c>
      <c r="AI609" t="s">
        <v>300</v>
      </c>
      <c r="AJ609">
        <f>$H$609*$P$609</f>
        <v>0</v>
      </c>
      <c r="AK609">
        <f>$H$609*$Q$609</f>
        <v>0</v>
      </c>
      <c r="AL609">
        <f>$H$609*$R$609</f>
        <v>0</v>
      </c>
      <c r="AM609">
        <f>$H$609*$S$609</f>
        <v>132.36000000000001</v>
      </c>
      <c r="AN609">
        <f>$H$609*$T$609</f>
        <v>132.36000000000001</v>
      </c>
      <c r="AO609">
        <f>$H$609*$U$609</f>
        <v>132.36000000000001</v>
      </c>
      <c r="AP609">
        <f>$H$609*$V$609</f>
        <v>132.36000000000001</v>
      </c>
      <c r="AQ609">
        <f>$H$609*$W$609</f>
        <v>132.36000000000001</v>
      </c>
      <c r="AR609">
        <f>$H$609*$X$609</f>
        <v>132.36000000000001</v>
      </c>
      <c r="AS609">
        <f>$H$609*$Y$609</f>
        <v>132.36000000000001</v>
      </c>
      <c r="AT609">
        <f>$H$609*$Z$609</f>
        <v>132.36000000000001</v>
      </c>
      <c r="AU609">
        <f>$H$609*$AA$609</f>
        <v>132.36000000000001</v>
      </c>
      <c r="AV609">
        <f>$H$609*$AB$609</f>
        <v>132.36000000000001</v>
      </c>
      <c r="AW609">
        <f>$H$609*$AC$609</f>
        <v>132.36000000000001</v>
      </c>
      <c r="AX609">
        <f>$H$609*$AD$609</f>
        <v>132.36000000000001</v>
      </c>
      <c r="AY609">
        <f>$H$609*$AE$609</f>
        <v>132.36000000000001</v>
      </c>
      <c r="AZ609">
        <f>$H$609*$AF$609</f>
        <v>132.36000000000001</v>
      </c>
    </row>
    <row r="610" spans="1:52" x14ac:dyDescent="0.25">
      <c r="A610">
        <v>678</v>
      </c>
      <c r="B610" t="s">
        <v>301</v>
      </c>
      <c r="C610" t="s">
        <v>467</v>
      </c>
      <c r="D610">
        <v>30.81</v>
      </c>
      <c r="E610">
        <v>303.48</v>
      </c>
      <c r="F610" t="s">
        <v>349</v>
      </c>
      <c r="G610">
        <v>9.85</v>
      </c>
      <c r="H610">
        <v>364.18</v>
      </c>
      <c r="I610" t="s">
        <v>465</v>
      </c>
      <c r="J610" t="s">
        <v>372</v>
      </c>
      <c r="K610" t="s">
        <v>667</v>
      </c>
      <c r="L610" t="s">
        <v>179</v>
      </c>
      <c r="M610" t="s">
        <v>301</v>
      </c>
      <c r="N610" t="s">
        <v>11</v>
      </c>
      <c r="O610" t="s">
        <v>300</v>
      </c>
      <c r="P610">
        <v>0</v>
      </c>
      <c r="Q610">
        <v>0</v>
      </c>
      <c r="R610">
        <v>0</v>
      </c>
      <c r="S610">
        <v>1</v>
      </c>
      <c r="T610">
        <v>1</v>
      </c>
      <c r="U610">
        <v>1</v>
      </c>
      <c r="V610">
        <v>1</v>
      </c>
      <c r="W610">
        <v>1</v>
      </c>
      <c r="X610">
        <v>1</v>
      </c>
      <c r="Y610">
        <v>1</v>
      </c>
      <c r="Z610">
        <v>1</v>
      </c>
      <c r="AA610">
        <v>1</v>
      </c>
      <c r="AB610">
        <v>1</v>
      </c>
      <c r="AC610">
        <v>1</v>
      </c>
      <c r="AD610">
        <v>1</v>
      </c>
      <c r="AE610">
        <v>1</v>
      </c>
      <c r="AF610">
        <v>1</v>
      </c>
      <c r="AG610" t="s">
        <v>301</v>
      </c>
      <c r="AH610" t="s">
        <v>11</v>
      </c>
      <c r="AI610" t="s">
        <v>300</v>
      </c>
      <c r="AJ610">
        <f>$H$610*$P$610</f>
        <v>0</v>
      </c>
      <c r="AK610">
        <f>$H$610*$Q$610</f>
        <v>0</v>
      </c>
      <c r="AL610">
        <f>$H$610*$R$610</f>
        <v>0</v>
      </c>
      <c r="AM610">
        <f>$H$610*$S$610</f>
        <v>364.18</v>
      </c>
      <c r="AN610">
        <f>$H$610*$T$610</f>
        <v>364.18</v>
      </c>
      <c r="AO610">
        <f>$H$610*$U$610</f>
        <v>364.18</v>
      </c>
      <c r="AP610">
        <f>$H$610*$V$610</f>
        <v>364.18</v>
      </c>
      <c r="AQ610">
        <f>$H$610*$W$610</f>
        <v>364.18</v>
      </c>
      <c r="AR610">
        <f>$H$610*$X$610</f>
        <v>364.18</v>
      </c>
      <c r="AS610">
        <f>$H$610*$Y$610</f>
        <v>364.18</v>
      </c>
      <c r="AT610">
        <f>$H$610*$Z$610</f>
        <v>364.18</v>
      </c>
      <c r="AU610">
        <f>$H$610*$AA$610</f>
        <v>364.18</v>
      </c>
      <c r="AV610">
        <f>$H$610*$AB$610</f>
        <v>364.18</v>
      </c>
      <c r="AW610">
        <f>$H$610*$AC$610</f>
        <v>364.18</v>
      </c>
      <c r="AX610">
        <f>$H$610*$AD$610</f>
        <v>364.18</v>
      </c>
      <c r="AY610">
        <f>$H$610*$AE$610</f>
        <v>364.18</v>
      </c>
      <c r="AZ610">
        <f>$H$610*$AF$610</f>
        <v>364.18</v>
      </c>
    </row>
    <row r="611" spans="1:52" x14ac:dyDescent="0.25">
      <c r="A611">
        <v>679</v>
      </c>
      <c r="B611" t="s">
        <v>301</v>
      </c>
      <c r="C611" t="s">
        <v>468</v>
      </c>
      <c r="D611">
        <v>35.43</v>
      </c>
      <c r="E611">
        <v>36.14</v>
      </c>
      <c r="F611" t="s">
        <v>349</v>
      </c>
      <c r="G611">
        <v>1.02</v>
      </c>
      <c r="H611">
        <v>43.36</v>
      </c>
      <c r="I611" t="s">
        <v>469</v>
      </c>
      <c r="J611" t="s">
        <v>470</v>
      </c>
      <c r="K611" t="s">
        <v>668</v>
      </c>
      <c r="L611" t="s">
        <v>179</v>
      </c>
      <c r="M611" t="s">
        <v>301</v>
      </c>
      <c r="N611" t="s">
        <v>11</v>
      </c>
      <c r="O611" t="s">
        <v>300</v>
      </c>
      <c r="P611">
        <v>0</v>
      </c>
      <c r="Q611">
        <v>0</v>
      </c>
      <c r="R611">
        <v>0</v>
      </c>
      <c r="S611">
        <v>1</v>
      </c>
      <c r="T611">
        <v>1</v>
      </c>
      <c r="U611">
        <v>1</v>
      </c>
      <c r="V611">
        <v>1</v>
      </c>
      <c r="W611">
        <v>1</v>
      </c>
      <c r="X611">
        <v>1</v>
      </c>
      <c r="Y611">
        <v>1</v>
      </c>
      <c r="Z611">
        <v>1</v>
      </c>
      <c r="AA611">
        <v>1</v>
      </c>
      <c r="AB611">
        <v>1</v>
      </c>
      <c r="AC611">
        <v>1</v>
      </c>
      <c r="AD611">
        <v>1</v>
      </c>
      <c r="AE611">
        <v>1</v>
      </c>
      <c r="AF611">
        <v>1</v>
      </c>
      <c r="AG611" t="s">
        <v>301</v>
      </c>
      <c r="AH611" t="s">
        <v>11</v>
      </c>
      <c r="AI611" t="s">
        <v>300</v>
      </c>
      <c r="AJ611">
        <f>$H$611*$P$611</f>
        <v>0</v>
      </c>
      <c r="AK611">
        <f>$H$611*$Q$611</f>
        <v>0</v>
      </c>
      <c r="AL611">
        <f>$H$611*$R$611</f>
        <v>0</v>
      </c>
      <c r="AM611">
        <f>$H$611*$S$611</f>
        <v>43.36</v>
      </c>
      <c r="AN611">
        <f>$H$611*$T$611</f>
        <v>43.36</v>
      </c>
      <c r="AO611">
        <f>$H$611*$U$611</f>
        <v>43.36</v>
      </c>
      <c r="AP611">
        <f>$H$611*$V$611</f>
        <v>43.36</v>
      </c>
      <c r="AQ611">
        <f>$H$611*$W$611</f>
        <v>43.36</v>
      </c>
      <c r="AR611">
        <f>$H$611*$X$611</f>
        <v>43.36</v>
      </c>
      <c r="AS611">
        <f>$H$611*$Y$611</f>
        <v>43.36</v>
      </c>
      <c r="AT611">
        <f>$H$611*$Z$611</f>
        <v>43.36</v>
      </c>
      <c r="AU611">
        <f>$H$611*$AA$611</f>
        <v>43.36</v>
      </c>
      <c r="AV611">
        <f>$H$611*$AB$611</f>
        <v>43.36</v>
      </c>
      <c r="AW611">
        <f>$H$611*$AC$611</f>
        <v>43.36</v>
      </c>
      <c r="AX611">
        <f>$H$611*$AD$611</f>
        <v>43.36</v>
      </c>
      <c r="AY611">
        <f>$H$611*$AE$611</f>
        <v>43.36</v>
      </c>
      <c r="AZ611">
        <f>$H$611*$AF$611</f>
        <v>43.36</v>
      </c>
    </row>
    <row r="612" spans="1:52" x14ac:dyDescent="0.25">
      <c r="A612">
        <v>680</v>
      </c>
      <c r="B612" t="s">
        <v>301</v>
      </c>
      <c r="C612" t="s">
        <v>471</v>
      </c>
      <c r="D612">
        <v>35.43</v>
      </c>
      <c r="E612">
        <v>327.02</v>
      </c>
      <c r="F612" t="s">
        <v>349</v>
      </c>
      <c r="G612">
        <v>9.23</v>
      </c>
      <c r="H612">
        <v>392.42</v>
      </c>
      <c r="I612" t="s">
        <v>469</v>
      </c>
      <c r="J612" t="s">
        <v>463</v>
      </c>
      <c r="K612" t="s">
        <v>669</v>
      </c>
      <c r="L612" t="s">
        <v>179</v>
      </c>
      <c r="M612" t="s">
        <v>301</v>
      </c>
      <c r="N612" t="s">
        <v>11</v>
      </c>
      <c r="O612" t="s">
        <v>300</v>
      </c>
      <c r="P612">
        <v>0</v>
      </c>
      <c r="Q612">
        <v>0</v>
      </c>
      <c r="R612">
        <v>0</v>
      </c>
      <c r="S612">
        <v>1</v>
      </c>
      <c r="T612">
        <v>1</v>
      </c>
      <c r="U612">
        <v>1</v>
      </c>
      <c r="V612">
        <v>1</v>
      </c>
      <c r="W612">
        <v>1</v>
      </c>
      <c r="X612">
        <v>1</v>
      </c>
      <c r="Y612">
        <v>1</v>
      </c>
      <c r="Z612">
        <v>1</v>
      </c>
      <c r="AA612">
        <v>1</v>
      </c>
      <c r="AB612">
        <v>1</v>
      </c>
      <c r="AC612">
        <v>1</v>
      </c>
      <c r="AD612">
        <v>1</v>
      </c>
      <c r="AE612">
        <v>1</v>
      </c>
      <c r="AF612">
        <v>1</v>
      </c>
      <c r="AG612" t="s">
        <v>301</v>
      </c>
      <c r="AH612" t="s">
        <v>11</v>
      </c>
      <c r="AI612" t="s">
        <v>300</v>
      </c>
      <c r="AJ612">
        <f>$H$612*$P$612</f>
        <v>0</v>
      </c>
      <c r="AK612">
        <f>$H$612*$Q$612</f>
        <v>0</v>
      </c>
      <c r="AL612">
        <f>$H$612*$R$612</f>
        <v>0</v>
      </c>
      <c r="AM612">
        <f>$H$612*$S$612</f>
        <v>392.42</v>
      </c>
      <c r="AN612">
        <f>$H$612*$T$612</f>
        <v>392.42</v>
      </c>
      <c r="AO612">
        <f>$H$612*$U$612</f>
        <v>392.42</v>
      </c>
      <c r="AP612">
        <f>$H$612*$V$612</f>
        <v>392.42</v>
      </c>
      <c r="AQ612">
        <f>$H$612*$W$612</f>
        <v>392.42</v>
      </c>
      <c r="AR612">
        <f>$H$612*$X$612</f>
        <v>392.42</v>
      </c>
      <c r="AS612">
        <f>$H$612*$Y$612</f>
        <v>392.42</v>
      </c>
      <c r="AT612">
        <f>$H$612*$Z$612</f>
        <v>392.42</v>
      </c>
      <c r="AU612">
        <f>$H$612*$AA$612</f>
        <v>392.42</v>
      </c>
      <c r="AV612">
        <f>$H$612*$AB$612</f>
        <v>392.42</v>
      </c>
      <c r="AW612">
        <f>$H$612*$AC$612</f>
        <v>392.42</v>
      </c>
      <c r="AX612">
        <f>$H$612*$AD$612</f>
        <v>392.42</v>
      </c>
      <c r="AY612">
        <f>$H$612*$AE$612</f>
        <v>392.42</v>
      </c>
      <c r="AZ612">
        <f>$H$612*$AF$612</f>
        <v>392.42</v>
      </c>
    </row>
    <row r="613" spans="1:52" x14ac:dyDescent="0.25">
      <c r="A613">
        <v>681</v>
      </c>
      <c r="B613" t="s">
        <v>309</v>
      </c>
      <c r="C613" t="s">
        <v>435</v>
      </c>
      <c r="D613">
        <v>2</v>
      </c>
      <c r="E613">
        <v>26.54</v>
      </c>
      <c r="F613" t="s">
        <v>335</v>
      </c>
      <c r="G613">
        <v>13.27</v>
      </c>
      <c r="H613">
        <v>31.84</v>
      </c>
      <c r="I613" t="s">
        <v>337</v>
      </c>
      <c r="J613" t="s">
        <v>436</v>
      </c>
      <c r="K613" t="s">
        <v>652</v>
      </c>
      <c r="L613" t="s">
        <v>179</v>
      </c>
      <c r="M613" t="s">
        <v>309</v>
      </c>
      <c r="N613" t="s">
        <v>12</v>
      </c>
      <c r="O613" t="s">
        <v>310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1</v>
      </c>
      <c r="Y613">
        <v>1</v>
      </c>
      <c r="Z613">
        <v>1</v>
      </c>
      <c r="AA613">
        <v>1</v>
      </c>
      <c r="AB613">
        <v>1</v>
      </c>
      <c r="AC613">
        <v>1</v>
      </c>
      <c r="AD613">
        <v>1</v>
      </c>
      <c r="AE613">
        <v>1</v>
      </c>
      <c r="AF613">
        <v>1</v>
      </c>
      <c r="AG613" t="s">
        <v>309</v>
      </c>
      <c r="AH613" t="s">
        <v>12</v>
      </c>
      <c r="AI613" t="s">
        <v>310</v>
      </c>
      <c r="AJ613">
        <f>$H$613*$P$613</f>
        <v>0</v>
      </c>
      <c r="AK613">
        <f>$H$613*$Q$613</f>
        <v>0</v>
      </c>
      <c r="AL613">
        <f>$H$613*$R$613</f>
        <v>0</v>
      </c>
      <c r="AM613">
        <f>$H$613*$S$613</f>
        <v>0</v>
      </c>
      <c r="AN613">
        <f>$H$613*$T$613</f>
        <v>0</v>
      </c>
      <c r="AO613">
        <f>$H$613*$U$613</f>
        <v>0</v>
      </c>
      <c r="AP613">
        <f>$H$613*$V$613</f>
        <v>0</v>
      </c>
      <c r="AQ613">
        <f>$H$613*$W$613</f>
        <v>0</v>
      </c>
      <c r="AR613">
        <f>$H$613*$X$613</f>
        <v>31.84</v>
      </c>
      <c r="AS613">
        <f>$H$613*$Y$613</f>
        <v>31.84</v>
      </c>
      <c r="AT613">
        <f>$H$613*$Z$613</f>
        <v>31.84</v>
      </c>
      <c r="AU613">
        <f>$H$613*$AA$613</f>
        <v>31.84</v>
      </c>
      <c r="AV613">
        <f>$H$613*$AB$613</f>
        <v>31.84</v>
      </c>
      <c r="AW613">
        <f>$H$613*$AC$613</f>
        <v>31.84</v>
      </c>
      <c r="AX613">
        <f>$H$613*$AD$613</f>
        <v>31.84</v>
      </c>
      <c r="AY613">
        <f>$H$613*$AE$613</f>
        <v>31.84</v>
      </c>
      <c r="AZ613">
        <f>$H$613*$AF$613</f>
        <v>31.84</v>
      </c>
    </row>
    <row r="614" spans="1:52" x14ac:dyDescent="0.25">
      <c r="A614">
        <v>682</v>
      </c>
      <c r="B614" t="s">
        <v>309</v>
      </c>
      <c r="C614" t="s">
        <v>358</v>
      </c>
      <c r="D614">
        <v>52</v>
      </c>
      <c r="E614">
        <v>230.88</v>
      </c>
      <c r="F614" t="s">
        <v>329</v>
      </c>
      <c r="G614">
        <v>4.4400000000000004</v>
      </c>
      <c r="H614">
        <v>277.06</v>
      </c>
      <c r="I614" t="s">
        <v>330</v>
      </c>
      <c r="J614" t="s">
        <v>359</v>
      </c>
      <c r="K614" t="s">
        <v>615</v>
      </c>
      <c r="L614" t="s">
        <v>179</v>
      </c>
      <c r="M614" t="s">
        <v>309</v>
      </c>
      <c r="N614" t="s">
        <v>12</v>
      </c>
      <c r="O614" t="s">
        <v>310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1</v>
      </c>
      <c r="AB614">
        <v>1</v>
      </c>
      <c r="AC614">
        <v>1</v>
      </c>
      <c r="AD614">
        <v>1</v>
      </c>
      <c r="AE614">
        <v>1</v>
      </c>
      <c r="AF614">
        <v>1</v>
      </c>
      <c r="AG614" t="s">
        <v>309</v>
      </c>
      <c r="AH614" t="s">
        <v>12</v>
      </c>
      <c r="AI614" t="s">
        <v>310</v>
      </c>
      <c r="AJ614">
        <f>$H$614*$P$614</f>
        <v>0</v>
      </c>
      <c r="AK614">
        <f>$H$614*$Q$614</f>
        <v>0</v>
      </c>
      <c r="AL614">
        <f>$H$614*$R$614</f>
        <v>0</v>
      </c>
      <c r="AM614">
        <f>$H$614*$S$614</f>
        <v>0</v>
      </c>
      <c r="AN614">
        <f>$H$614*$T$614</f>
        <v>0</v>
      </c>
      <c r="AO614">
        <f>$H$614*$U$614</f>
        <v>0</v>
      </c>
      <c r="AP614">
        <f>$H$614*$V$614</f>
        <v>0</v>
      </c>
      <c r="AQ614">
        <f>$H$614*$W$614</f>
        <v>0</v>
      </c>
      <c r="AR614">
        <f>$H$614*$X$614</f>
        <v>0</v>
      </c>
      <c r="AS614">
        <f>$H$614*$Y$614</f>
        <v>0</v>
      </c>
      <c r="AT614">
        <f>$H$614*$Z$614</f>
        <v>0</v>
      </c>
      <c r="AU614">
        <f>$H$614*$AA$614</f>
        <v>277.06</v>
      </c>
      <c r="AV614">
        <f>$H$614*$AB$614</f>
        <v>277.06</v>
      </c>
      <c r="AW614">
        <f>$H$614*$AC$614</f>
        <v>277.06</v>
      </c>
      <c r="AX614">
        <f>$H$614*$AD$614</f>
        <v>277.06</v>
      </c>
      <c r="AY614">
        <f>$H$614*$AE$614</f>
        <v>277.06</v>
      </c>
      <c r="AZ614">
        <f>$H$614*$AF$614</f>
        <v>277.06</v>
      </c>
    </row>
    <row r="615" spans="1:52" x14ac:dyDescent="0.25">
      <c r="A615">
        <v>683</v>
      </c>
      <c r="B615" t="s">
        <v>309</v>
      </c>
      <c r="C615" t="s">
        <v>360</v>
      </c>
      <c r="D615">
        <v>26</v>
      </c>
      <c r="E615">
        <v>300.3</v>
      </c>
      <c r="F615" t="s">
        <v>329</v>
      </c>
      <c r="G615">
        <v>11.55</v>
      </c>
      <c r="H615">
        <v>360.36</v>
      </c>
      <c r="I615" t="s">
        <v>333</v>
      </c>
      <c r="J615" t="s">
        <v>361</v>
      </c>
      <c r="K615" t="s">
        <v>616</v>
      </c>
      <c r="L615" t="s">
        <v>179</v>
      </c>
      <c r="M615" t="s">
        <v>309</v>
      </c>
      <c r="N615" t="s">
        <v>12</v>
      </c>
      <c r="O615" t="s">
        <v>310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1</v>
      </c>
      <c r="AB615">
        <v>1</v>
      </c>
      <c r="AC615">
        <v>1</v>
      </c>
      <c r="AD615">
        <v>1</v>
      </c>
      <c r="AE615">
        <v>1</v>
      </c>
      <c r="AF615">
        <v>1</v>
      </c>
      <c r="AG615" t="s">
        <v>309</v>
      </c>
      <c r="AH615" t="s">
        <v>12</v>
      </c>
      <c r="AI615" t="s">
        <v>310</v>
      </c>
      <c r="AJ615">
        <f>$H$615*$P$615</f>
        <v>0</v>
      </c>
      <c r="AK615">
        <f>$H$615*$Q$615</f>
        <v>0</v>
      </c>
      <c r="AL615">
        <f>$H$615*$R$615</f>
        <v>0</v>
      </c>
      <c r="AM615">
        <f>$H$615*$S$615</f>
        <v>0</v>
      </c>
      <c r="AN615">
        <f>$H$615*$T$615</f>
        <v>0</v>
      </c>
      <c r="AO615">
        <f>$H$615*$U$615</f>
        <v>0</v>
      </c>
      <c r="AP615">
        <f>$H$615*$V$615</f>
        <v>0</v>
      </c>
      <c r="AQ615">
        <f>$H$615*$W$615</f>
        <v>0</v>
      </c>
      <c r="AR615">
        <f>$H$615*$X$615</f>
        <v>0</v>
      </c>
      <c r="AS615">
        <f>$H$615*$Y$615</f>
        <v>0</v>
      </c>
      <c r="AT615">
        <f>$H$615*$Z$615</f>
        <v>0</v>
      </c>
      <c r="AU615">
        <f>$H$615*$AA$615</f>
        <v>360.36</v>
      </c>
      <c r="AV615">
        <f>$H$615*$AB$615</f>
        <v>360.36</v>
      </c>
      <c r="AW615">
        <f>$H$615*$AC$615</f>
        <v>360.36</v>
      </c>
      <c r="AX615">
        <f>$H$615*$AD$615</f>
        <v>360.36</v>
      </c>
      <c r="AY615">
        <f>$H$615*$AE$615</f>
        <v>360.36</v>
      </c>
      <c r="AZ615">
        <f>$H$615*$AF$615</f>
        <v>360.36</v>
      </c>
    </row>
    <row r="616" spans="1:52" x14ac:dyDescent="0.25">
      <c r="A616">
        <v>684</v>
      </c>
      <c r="B616" t="s">
        <v>309</v>
      </c>
      <c r="C616" t="s">
        <v>472</v>
      </c>
      <c r="D616">
        <v>26</v>
      </c>
      <c r="E616">
        <v>279.76</v>
      </c>
      <c r="F616" t="s">
        <v>329</v>
      </c>
      <c r="G616">
        <v>10.76</v>
      </c>
      <c r="H616">
        <v>335.72</v>
      </c>
      <c r="I616" t="s">
        <v>333</v>
      </c>
      <c r="J616" t="s">
        <v>473</v>
      </c>
      <c r="K616" t="s">
        <v>670</v>
      </c>
      <c r="L616" t="s">
        <v>179</v>
      </c>
      <c r="M616" t="s">
        <v>309</v>
      </c>
      <c r="N616" t="s">
        <v>12</v>
      </c>
      <c r="O616" t="s">
        <v>310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1</v>
      </c>
      <c r="AA616">
        <v>1</v>
      </c>
      <c r="AB616">
        <v>1</v>
      </c>
      <c r="AC616">
        <v>1</v>
      </c>
      <c r="AD616">
        <v>1</v>
      </c>
      <c r="AE616">
        <v>1</v>
      </c>
      <c r="AF616">
        <v>1</v>
      </c>
      <c r="AG616" t="s">
        <v>309</v>
      </c>
      <c r="AH616" t="s">
        <v>12</v>
      </c>
      <c r="AI616" t="s">
        <v>310</v>
      </c>
      <c r="AJ616">
        <f>$H$616*$P$616</f>
        <v>0</v>
      </c>
      <c r="AK616">
        <f>$H$616*$Q$616</f>
        <v>0</v>
      </c>
      <c r="AL616">
        <f>$H$616*$R$616</f>
        <v>0</v>
      </c>
      <c r="AM616">
        <f>$H$616*$S$616</f>
        <v>0</v>
      </c>
      <c r="AN616">
        <f>$H$616*$T$616</f>
        <v>0</v>
      </c>
      <c r="AO616">
        <f>$H$616*$U$616</f>
        <v>0</v>
      </c>
      <c r="AP616">
        <f>$H$616*$V$616</f>
        <v>0</v>
      </c>
      <c r="AQ616">
        <f>$H$616*$W$616</f>
        <v>0</v>
      </c>
      <c r="AR616">
        <f>$H$616*$X$616</f>
        <v>0</v>
      </c>
      <c r="AS616">
        <f>$H$616*$Y$616</f>
        <v>0</v>
      </c>
      <c r="AT616">
        <f>$H$616*$Z$616</f>
        <v>335.72</v>
      </c>
      <c r="AU616">
        <f>$H$616*$AA$616</f>
        <v>335.72</v>
      </c>
      <c r="AV616">
        <f>$H$616*$AB$616</f>
        <v>335.72</v>
      </c>
      <c r="AW616">
        <f>$H$616*$AC$616</f>
        <v>335.72</v>
      </c>
      <c r="AX616">
        <f>$H$616*$AD$616</f>
        <v>335.72</v>
      </c>
      <c r="AY616">
        <f>$H$616*$AE$616</f>
        <v>335.72</v>
      </c>
      <c r="AZ616">
        <f>$H$616*$AF$616</f>
        <v>335.72</v>
      </c>
    </row>
    <row r="617" spans="1:52" x14ac:dyDescent="0.25">
      <c r="A617">
        <v>685</v>
      </c>
      <c r="B617" t="s">
        <v>309</v>
      </c>
      <c r="C617" t="s">
        <v>431</v>
      </c>
      <c r="D617">
        <v>26</v>
      </c>
      <c r="E617">
        <v>123.5</v>
      </c>
      <c r="F617" t="s">
        <v>329</v>
      </c>
      <c r="G617">
        <v>4.75</v>
      </c>
      <c r="H617">
        <v>148.19999999999999</v>
      </c>
      <c r="I617" t="s">
        <v>333</v>
      </c>
      <c r="J617" t="s">
        <v>432</v>
      </c>
      <c r="K617" t="s">
        <v>650</v>
      </c>
      <c r="L617" t="s">
        <v>179</v>
      </c>
      <c r="M617" t="s">
        <v>309</v>
      </c>
      <c r="N617" t="s">
        <v>12</v>
      </c>
      <c r="O617" t="s">
        <v>310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1</v>
      </c>
      <c r="AD617">
        <v>1</v>
      </c>
      <c r="AE617">
        <v>1</v>
      </c>
      <c r="AF617">
        <v>1</v>
      </c>
      <c r="AG617" t="s">
        <v>309</v>
      </c>
      <c r="AH617" t="s">
        <v>12</v>
      </c>
      <c r="AI617" t="s">
        <v>310</v>
      </c>
      <c r="AJ617">
        <f>$H$617*$P$617</f>
        <v>0</v>
      </c>
      <c r="AK617">
        <f>$H$617*$Q$617</f>
        <v>0</v>
      </c>
      <c r="AL617">
        <f>$H$617*$R$617</f>
        <v>0</v>
      </c>
      <c r="AM617">
        <f>$H$617*$S$617</f>
        <v>0</v>
      </c>
      <c r="AN617">
        <f>$H$617*$T$617</f>
        <v>0</v>
      </c>
      <c r="AO617">
        <f>$H$617*$U$617</f>
        <v>0</v>
      </c>
      <c r="AP617">
        <f>$H$617*$V$617</f>
        <v>0</v>
      </c>
      <c r="AQ617">
        <f>$H$617*$W$617</f>
        <v>0</v>
      </c>
      <c r="AR617">
        <f>$H$617*$X$617</f>
        <v>0</v>
      </c>
      <c r="AS617">
        <f>$H$617*$Y$617</f>
        <v>0</v>
      </c>
      <c r="AT617">
        <f>$H$617*$Z$617</f>
        <v>0</v>
      </c>
      <c r="AU617">
        <f>$H$617*$AA$617</f>
        <v>0</v>
      </c>
      <c r="AV617">
        <f>$H$617*$AB$617</f>
        <v>0</v>
      </c>
      <c r="AW617">
        <f>$H$617*$AC$617</f>
        <v>148.19999999999999</v>
      </c>
      <c r="AX617">
        <f>$H$617*$AD$617</f>
        <v>148.19999999999999</v>
      </c>
      <c r="AY617">
        <f>$H$617*$AE$617</f>
        <v>148.19999999999999</v>
      </c>
      <c r="AZ617">
        <f>$H$617*$AF$617</f>
        <v>148.19999999999999</v>
      </c>
    </row>
    <row r="618" spans="1:52" x14ac:dyDescent="0.25">
      <c r="A618">
        <v>686</v>
      </c>
      <c r="B618" t="s">
        <v>309</v>
      </c>
      <c r="C618" t="s">
        <v>437</v>
      </c>
      <c r="D618">
        <v>1</v>
      </c>
      <c r="E618">
        <v>98.82</v>
      </c>
      <c r="F618" t="s">
        <v>335</v>
      </c>
      <c r="G618">
        <v>98.82</v>
      </c>
      <c r="H618">
        <v>118.58</v>
      </c>
      <c r="I618" t="s">
        <v>340</v>
      </c>
      <c r="J618" t="s">
        <v>372</v>
      </c>
      <c r="K618" t="s">
        <v>653</v>
      </c>
      <c r="L618" t="s">
        <v>179</v>
      </c>
      <c r="M618" t="s">
        <v>309</v>
      </c>
      <c r="N618" t="s">
        <v>12</v>
      </c>
      <c r="O618" t="s">
        <v>310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1</v>
      </c>
      <c r="AE618">
        <v>1</v>
      </c>
      <c r="AF618">
        <v>1</v>
      </c>
      <c r="AG618" t="s">
        <v>309</v>
      </c>
      <c r="AH618" t="s">
        <v>12</v>
      </c>
      <c r="AI618" t="s">
        <v>310</v>
      </c>
      <c r="AJ618">
        <f>$H$618*$P$618</f>
        <v>0</v>
      </c>
      <c r="AK618">
        <f>$H$618*$Q$618</f>
        <v>0</v>
      </c>
      <c r="AL618">
        <f>$H$618*$R$618</f>
        <v>0</v>
      </c>
      <c r="AM618">
        <f>$H$618*$S$618</f>
        <v>0</v>
      </c>
      <c r="AN618">
        <f>$H$618*$T$618</f>
        <v>0</v>
      </c>
      <c r="AO618">
        <f>$H$618*$U$618</f>
        <v>0</v>
      </c>
      <c r="AP618">
        <f>$H$618*$V$618</f>
        <v>0</v>
      </c>
      <c r="AQ618">
        <f>$H$618*$W$618</f>
        <v>0</v>
      </c>
      <c r="AR618">
        <f>$H$618*$X$618</f>
        <v>0</v>
      </c>
      <c r="AS618">
        <f>$H$618*$Y$618</f>
        <v>0</v>
      </c>
      <c r="AT618">
        <f>$H$618*$Z$618</f>
        <v>0</v>
      </c>
      <c r="AU618">
        <f>$H$618*$AA$618</f>
        <v>0</v>
      </c>
      <c r="AV618">
        <f>$H$618*$AB$618</f>
        <v>0</v>
      </c>
      <c r="AW618">
        <f>$H$618*$AC$618</f>
        <v>0</v>
      </c>
      <c r="AX618">
        <f>$H$618*$AD$618</f>
        <v>118.58</v>
      </c>
      <c r="AY618">
        <f>$H$618*$AE$618</f>
        <v>118.58</v>
      </c>
      <c r="AZ618">
        <f>$H$618*$AF$618</f>
        <v>118.58</v>
      </c>
    </row>
    <row r="619" spans="1:52" x14ac:dyDescent="0.25">
      <c r="A619">
        <v>687</v>
      </c>
      <c r="B619" t="s">
        <v>309</v>
      </c>
      <c r="C619" t="s">
        <v>367</v>
      </c>
      <c r="D619">
        <v>1</v>
      </c>
      <c r="E619">
        <v>62.41</v>
      </c>
      <c r="F619" t="s">
        <v>335</v>
      </c>
      <c r="G619">
        <v>62.41</v>
      </c>
      <c r="H619">
        <v>74.89</v>
      </c>
      <c r="I619" t="s">
        <v>368</v>
      </c>
      <c r="J619" t="s">
        <v>369</v>
      </c>
      <c r="K619" t="s">
        <v>619</v>
      </c>
      <c r="L619" t="s">
        <v>179</v>
      </c>
      <c r="M619" t="s">
        <v>309</v>
      </c>
      <c r="N619" t="s">
        <v>12</v>
      </c>
      <c r="O619" t="s">
        <v>310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1</v>
      </c>
      <c r="AB619">
        <v>1</v>
      </c>
      <c r="AC619">
        <v>1</v>
      </c>
      <c r="AD619">
        <v>1</v>
      </c>
      <c r="AE619">
        <v>1</v>
      </c>
      <c r="AF619">
        <v>1</v>
      </c>
      <c r="AG619" t="s">
        <v>309</v>
      </c>
      <c r="AH619" t="s">
        <v>12</v>
      </c>
      <c r="AI619" t="s">
        <v>310</v>
      </c>
      <c r="AJ619">
        <f>$H$619*$P$619</f>
        <v>0</v>
      </c>
      <c r="AK619">
        <f>$H$619*$Q$619</f>
        <v>0</v>
      </c>
      <c r="AL619">
        <f>$H$619*$R$619</f>
        <v>0</v>
      </c>
      <c r="AM619">
        <f>$H$619*$S$619</f>
        <v>0</v>
      </c>
      <c r="AN619">
        <f>$H$619*$T$619</f>
        <v>0</v>
      </c>
      <c r="AO619">
        <f>$H$619*$U$619</f>
        <v>0</v>
      </c>
      <c r="AP619">
        <f>$H$619*$V$619</f>
        <v>0</v>
      </c>
      <c r="AQ619">
        <f>$H$619*$W$619</f>
        <v>0</v>
      </c>
      <c r="AR619">
        <f>$H$619*$X$619</f>
        <v>0</v>
      </c>
      <c r="AS619">
        <f>$H$619*$Y$619</f>
        <v>0</v>
      </c>
      <c r="AT619">
        <f>$H$619*$Z$619</f>
        <v>0</v>
      </c>
      <c r="AU619">
        <f>$H$619*$AA$619</f>
        <v>74.89</v>
      </c>
      <c r="AV619">
        <f>$H$619*$AB$619</f>
        <v>74.89</v>
      </c>
      <c r="AW619">
        <f>$H$619*$AC$619</f>
        <v>74.89</v>
      </c>
      <c r="AX619">
        <f>$H$619*$AD$619</f>
        <v>74.89</v>
      </c>
      <c r="AY619">
        <f>$H$619*$AE$619</f>
        <v>74.89</v>
      </c>
      <c r="AZ619">
        <f>$H$619*$AF$619</f>
        <v>74.89</v>
      </c>
    </row>
    <row r="620" spans="1:52" x14ac:dyDescent="0.25">
      <c r="A620">
        <v>688</v>
      </c>
      <c r="B620" t="s">
        <v>309</v>
      </c>
      <c r="C620" t="s">
        <v>375</v>
      </c>
      <c r="D620">
        <v>2</v>
      </c>
      <c r="E620">
        <v>77.86</v>
      </c>
      <c r="F620" t="s">
        <v>335</v>
      </c>
      <c r="G620">
        <v>38.93</v>
      </c>
      <c r="H620">
        <v>93.44</v>
      </c>
      <c r="I620" t="s">
        <v>330</v>
      </c>
      <c r="J620" t="s">
        <v>371</v>
      </c>
      <c r="K620" t="s">
        <v>622</v>
      </c>
      <c r="L620" t="s">
        <v>179</v>
      </c>
      <c r="M620" t="s">
        <v>309</v>
      </c>
      <c r="N620" t="s">
        <v>12</v>
      </c>
      <c r="O620" t="s">
        <v>310</v>
      </c>
      <c r="P620">
        <v>0</v>
      </c>
      <c r="Q620">
        <v>0</v>
      </c>
      <c r="R620">
        <v>0</v>
      </c>
      <c r="S620">
        <v>1</v>
      </c>
      <c r="T620">
        <v>1</v>
      </c>
      <c r="U620">
        <v>1</v>
      </c>
      <c r="V620">
        <v>1</v>
      </c>
      <c r="W620">
        <v>1</v>
      </c>
      <c r="X620">
        <v>1</v>
      </c>
      <c r="Y620">
        <v>1</v>
      </c>
      <c r="Z620">
        <v>1</v>
      </c>
      <c r="AA620">
        <v>1</v>
      </c>
      <c r="AB620">
        <v>1</v>
      </c>
      <c r="AC620">
        <v>1</v>
      </c>
      <c r="AD620">
        <v>1</v>
      </c>
      <c r="AE620">
        <v>1</v>
      </c>
      <c r="AF620">
        <v>1</v>
      </c>
      <c r="AG620" t="s">
        <v>309</v>
      </c>
      <c r="AH620" t="s">
        <v>12</v>
      </c>
      <c r="AI620" t="s">
        <v>310</v>
      </c>
      <c r="AJ620">
        <f>$H$620*$P$620</f>
        <v>0</v>
      </c>
      <c r="AK620">
        <f>$H$620*$Q$620</f>
        <v>0</v>
      </c>
      <c r="AL620">
        <f>$H$620*$R$620</f>
        <v>0</v>
      </c>
      <c r="AM620">
        <f>$H$620*$S$620</f>
        <v>93.44</v>
      </c>
      <c r="AN620">
        <f>$H$620*$T$620</f>
        <v>93.44</v>
      </c>
      <c r="AO620">
        <f>$H$620*$U$620</f>
        <v>93.44</v>
      </c>
      <c r="AP620">
        <f>$H$620*$V$620</f>
        <v>93.44</v>
      </c>
      <c r="AQ620">
        <f>$H$620*$W$620</f>
        <v>93.44</v>
      </c>
      <c r="AR620">
        <f>$H$620*$X$620</f>
        <v>93.44</v>
      </c>
      <c r="AS620">
        <f>$H$620*$Y$620</f>
        <v>93.44</v>
      </c>
      <c r="AT620">
        <f>$H$620*$Z$620</f>
        <v>93.44</v>
      </c>
      <c r="AU620">
        <f>$H$620*$AA$620</f>
        <v>93.44</v>
      </c>
      <c r="AV620">
        <f>$H$620*$AB$620</f>
        <v>93.44</v>
      </c>
      <c r="AW620">
        <f>$H$620*$AC$620</f>
        <v>93.44</v>
      </c>
      <c r="AX620">
        <f>$H$620*$AD$620</f>
        <v>93.44</v>
      </c>
      <c r="AY620">
        <f>$H$620*$AE$620</f>
        <v>93.44</v>
      </c>
      <c r="AZ620">
        <f>$H$620*$AF$620</f>
        <v>93.44</v>
      </c>
    </row>
    <row r="621" spans="1:52" x14ac:dyDescent="0.25">
      <c r="A621">
        <v>689</v>
      </c>
      <c r="B621" t="s">
        <v>309</v>
      </c>
      <c r="C621" t="s">
        <v>373</v>
      </c>
      <c r="D621">
        <v>2</v>
      </c>
      <c r="E621">
        <v>62.72</v>
      </c>
      <c r="F621" t="s">
        <v>335</v>
      </c>
      <c r="G621">
        <v>31.36</v>
      </c>
      <c r="H621">
        <v>75.260000000000005</v>
      </c>
      <c r="I621" t="s">
        <v>330</v>
      </c>
      <c r="J621" t="s">
        <v>374</v>
      </c>
      <c r="K621" t="s">
        <v>621</v>
      </c>
      <c r="L621" t="s">
        <v>179</v>
      </c>
      <c r="M621" t="s">
        <v>309</v>
      </c>
      <c r="N621" t="s">
        <v>12</v>
      </c>
      <c r="O621" t="s">
        <v>310</v>
      </c>
      <c r="P621">
        <v>0</v>
      </c>
      <c r="Q621">
        <v>0</v>
      </c>
      <c r="R621">
        <v>0</v>
      </c>
      <c r="S621">
        <v>1</v>
      </c>
      <c r="T621">
        <v>1</v>
      </c>
      <c r="U621">
        <v>1</v>
      </c>
      <c r="V621">
        <v>1</v>
      </c>
      <c r="W621">
        <v>1</v>
      </c>
      <c r="X621">
        <v>1</v>
      </c>
      <c r="Y621">
        <v>1</v>
      </c>
      <c r="Z621">
        <v>1</v>
      </c>
      <c r="AA621">
        <v>1</v>
      </c>
      <c r="AB621">
        <v>1</v>
      </c>
      <c r="AC621">
        <v>1</v>
      </c>
      <c r="AD621">
        <v>1</v>
      </c>
      <c r="AE621">
        <v>1</v>
      </c>
      <c r="AF621">
        <v>1</v>
      </c>
      <c r="AG621" t="s">
        <v>309</v>
      </c>
      <c r="AH621" t="s">
        <v>12</v>
      </c>
      <c r="AI621" t="s">
        <v>310</v>
      </c>
      <c r="AJ621">
        <f>$H$621*$P$621</f>
        <v>0</v>
      </c>
      <c r="AK621">
        <f>$H$621*$Q$621</f>
        <v>0</v>
      </c>
      <c r="AL621">
        <f>$H$621*$R$621</f>
        <v>0</v>
      </c>
      <c r="AM621">
        <f>$H$621*$S$621</f>
        <v>75.260000000000005</v>
      </c>
      <c r="AN621">
        <f>$H$621*$T$621</f>
        <v>75.260000000000005</v>
      </c>
      <c r="AO621">
        <f>$H$621*$U$621</f>
        <v>75.260000000000005</v>
      </c>
      <c r="AP621">
        <f>$H$621*$V$621</f>
        <v>75.260000000000005</v>
      </c>
      <c r="AQ621">
        <f>$H$621*$W$621</f>
        <v>75.260000000000005</v>
      </c>
      <c r="AR621">
        <f>$H$621*$X$621</f>
        <v>75.260000000000005</v>
      </c>
      <c r="AS621">
        <f>$H$621*$Y$621</f>
        <v>75.260000000000005</v>
      </c>
      <c r="AT621">
        <f>$H$621*$Z$621</f>
        <v>75.260000000000005</v>
      </c>
      <c r="AU621">
        <f>$H$621*$AA$621</f>
        <v>75.260000000000005</v>
      </c>
      <c r="AV621">
        <f>$H$621*$AB$621</f>
        <v>75.260000000000005</v>
      </c>
      <c r="AW621">
        <f>$H$621*$AC$621</f>
        <v>75.260000000000005</v>
      </c>
      <c r="AX621">
        <f>$H$621*$AD$621</f>
        <v>75.260000000000005</v>
      </c>
      <c r="AY621">
        <f>$H$621*$AE$621</f>
        <v>75.260000000000005</v>
      </c>
      <c r="AZ621">
        <f>$H$621*$AF$621</f>
        <v>75.260000000000005</v>
      </c>
    </row>
    <row r="622" spans="1:52" x14ac:dyDescent="0.25">
      <c r="A622">
        <v>690</v>
      </c>
      <c r="B622" t="s">
        <v>309</v>
      </c>
      <c r="C622" t="s">
        <v>370</v>
      </c>
      <c r="D622">
        <v>1</v>
      </c>
      <c r="E622">
        <v>366.18</v>
      </c>
      <c r="F622" t="s">
        <v>335</v>
      </c>
      <c r="G622">
        <v>366.18</v>
      </c>
      <c r="H622">
        <v>439.42</v>
      </c>
      <c r="I622" t="s">
        <v>371</v>
      </c>
      <c r="J622" t="s">
        <v>372</v>
      </c>
      <c r="K622" t="s">
        <v>620</v>
      </c>
      <c r="L622" t="s">
        <v>179</v>
      </c>
      <c r="M622" t="s">
        <v>309</v>
      </c>
      <c r="N622" t="s">
        <v>12</v>
      </c>
      <c r="O622" t="s">
        <v>310</v>
      </c>
      <c r="P622">
        <v>0</v>
      </c>
      <c r="Q622">
        <v>0</v>
      </c>
      <c r="R622">
        <v>0</v>
      </c>
      <c r="S622">
        <v>0</v>
      </c>
      <c r="T622">
        <v>1</v>
      </c>
      <c r="U622">
        <v>1</v>
      </c>
      <c r="V622">
        <v>1</v>
      </c>
      <c r="W622">
        <v>1</v>
      </c>
      <c r="X622">
        <v>1</v>
      </c>
      <c r="Y622">
        <v>1</v>
      </c>
      <c r="Z622">
        <v>1</v>
      </c>
      <c r="AA622">
        <v>1</v>
      </c>
      <c r="AB622">
        <v>1</v>
      </c>
      <c r="AC622">
        <v>1</v>
      </c>
      <c r="AD622">
        <v>1</v>
      </c>
      <c r="AE622">
        <v>1</v>
      </c>
      <c r="AF622">
        <v>1</v>
      </c>
      <c r="AG622" t="s">
        <v>309</v>
      </c>
      <c r="AH622" t="s">
        <v>12</v>
      </c>
      <c r="AI622" t="s">
        <v>310</v>
      </c>
      <c r="AJ622">
        <f>$H$622*$P$622</f>
        <v>0</v>
      </c>
      <c r="AK622">
        <f>$H$622*$Q$622</f>
        <v>0</v>
      </c>
      <c r="AL622">
        <f>$H$622*$R$622</f>
        <v>0</v>
      </c>
      <c r="AM622">
        <f>$H$622*$S$622</f>
        <v>0</v>
      </c>
      <c r="AN622">
        <f>$H$622*$T$622</f>
        <v>439.42</v>
      </c>
      <c r="AO622">
        <f>$H$622*$U$622</f>
        <v>439.42</v>
      </c>
      <c r="AP622">
        <f>$H$622*$V$622</f>
        <v>439.42</v>
      </c>
      <c r="AQ622">
        <f>$H$622*$W$622</f>
        <v>439.42</v>
      </c>
      <c r="AR622">
        <f>$H$622*$X$622</f>
        <v>439.42</v>
      </c>
      <c r="AS622">
        <f>$H$622*$Y$622</f>
        <v>439.42</v>
      </c>
      <c r="AT622">
        <f>$H$622*$Z$622</f>
        <v>439.42</v>
      </c>
      <c r="AU622">
        <f>$H$622*$AA$622</f>
        <v>439.42</v>
      </c>
      <c r="AV622">
        <f>$H$622*$AB$622</f>
        <v>439.42</v>
      </c>
      <c r="AW622">
        <f>$H$622*$AC$622</f>
        <v>439.42</v>
      </c>
      <c r="AX622">
        <f>$H$622*$AD$622</f>
        <v>439.42</v>
      </c>
      <c r="AY622">
        <f>$H$622*$AE$622</f>
        <v>439.42</v>
      </c>
      <c r="AZ622">
        <f>$H$622*$AF$622</f>
        <v>439.42</v>
      </c>
    </row>
    <row r="623" spans="1:52" x14ac:dyDescent="0.25">
      <c r="A623">
        <v>691</v>
      </c>
      <c r="B623" t="s">
        <v>309</v>
      </c>
      <c r="C623" t="s">
        <v>438</v>
      </c>
      <c r="D623">
        <v>17.329999999999998</v>
      </c>
      <c r="E623">
        <v>45.4</v>
      </c>
      <c r="F623" t="s">
        <v>329</v>
      </c>
      <c r="G623">
        <v>2.62</v>
      </c>
      <c r="H623">
        <v>54.48</v>
      </c>
      <c r="I623" t="s">
        <v>439</v>
      </c>
      <c r="J623" t="s">
        <v>440</v>
      </c>
      <c r="K623" t="s">
        <v>654</v>
      </c>
      <c r="L623" t="s">
        <v>179</v>
      </c>
      <c r="M623" t="s">
        <v>309</v>
      </c>
      <c r="N623" t="s">
        <v>12</v>
      </c>
      <c r="O623" t="s">
        <v>310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1</v>
      </c>
      <c r="AB623">
        <v>1</v>
      </c>
      <c r="AC623">
        <v>1</v>
      </c>
      <c r="AD623">
        <v>1</v>
      </c>
      <c r="AE623">
        <v>1</v>
      </c>
      <c r="AF623">
        <v>1</v>
      </c>
      <c r="AG623" t="s">
        <v>309</v>
      </c>
      <c r="AH623" t="s">
        <v>12</v>
      </c>
      <c r="AI623" t="s">
        <v>310</v>
      </c>
      <c r="AJ623">
        <f>$H$623*$P$623</f>
        <v>0</v>
      </c>
      <c r="AK623">
        <f>$H$623*$Q$623</f>
        <v>0</v>
      </c>
      <c r="AL623">
        <f>$H$623*$R$623</f>
        <v>0</v>
      </c>
      <c r="AM623">
        <f>$H$623*$S$623</f>
        <v>0</v>
      </c>
      <c r="AN623">
        <f>$H$623*$T$623</f>
        <v>0</v>
      </c>
      <c r="AO623">
        <f>$H$623*$U$623</f>
        <v>0</v>
      </c>
      <c r="AP623">
        <f>$H$623*$V$623</f>
        <v>0</v>
      </c>
      <c r="AQ623">
        <f>$H$623*$W$623</f>
        <v>0</v>
      </c>
      <c r="AR623">
        <f>$H$623*$X$623</f>
        <v>0</v>
      </c>
      <c r="AS623">
        <f>$H$623*$Y$623</f>
        <v>0</v>
      </c>
      <c r="AT623">
        <f>$H$623*$Z$623</f>
        <v>0</v>
      </c>
      <c r="AU623">
        <f>$H$623*$AA$623</f>
        <v>54.48</v>
      </c>
      <c r="AV623">
        <f>$H$623*$AB$623</f>
        <v>54.48</v>
      </c>
      <c r="AW623">
        <f>$H$623*$AC$623</f>
        <v>54.48</v>
      </c>
      <c r="AX623">
        <f>$H$623*$AD$623</f>
        <v>54.48</v>
      </c>
      <c r="AY623">
        <f>$H$623*$AE$623</f>
        <v>54.48</v>
      </c>
      <c r="AZ623">
        <f>$H$623*$AF$623</f>
        <v>54.48</v>
      </c>
    </row>
    <row r="624" spans="1:52" x14ac:dyDescent="0.25">
      <c r="A624">
        <v>692</v>
      </c>
      <c r="B624" t="s">
        <v>309</v>
      </c>
      <c r="C624" t="s">
        <v>441</v>
      </c>
      <c r="D624">
        <v>156</v>
      </c>
      <c r="E624">
        <v>336.96</v>
      </c>
      <c r="F624" t="s">
        <v>349</v>
      </c>
      <c r="G624">
        <v>2.16</v>
      </c>
      <c r="H624">
        <v>404.36</v>
      </c>
      <c r="I624" t="s">
        <v>439</v>
      </c>
      <c r="J624" t="s">
        <v>442</v>
      </c>
      <c r="K624" t="s">
        <v>655</v>
      </c>
      <c r="L624" t="s">
        <v>179</v>
      </c>
      <c r="M624" t="s">
        <v>309</v>
      </c>
      <c r="N624" t="s">
        <v>12</v>
      </c>
      <c r="O624" t="s">
        <v>310</v>
      </c>
      <c r="P624">
        <v>0</v>
      </c>
      <c r="Q624">
        <v>0</v>
      </c>
      <c r="R624">
        <v>0</v>
      </c>
      <c r="S624">
        <v>1</v>
      </c>
      <c r="T624">
        <v>1</v>
      </c>
      <c r="U624">
        <v>1</v>
      </c>
      <c r="V624">
        <v>1</v>
      </c>
      <c r="W624">
        <v>1</v>
      </c>
      <c r="X624">
        <v>1</v>
      </c>
      <c r="Y624">
        <v>1</v>
      </c>
      <c r="Z624">
        <v>1</v>
      </c>
      <c r="AA624">
        <v>1</v>
      </c>
      <c r="AB624">
        <v>1</v>
      </c>
      <c r="AC624">
        <v>1</v>
      </c>
      <c r="AD624">
        <v>1</v>
      </c>
      <c r="AE624">
        <v>1</v>
      </c>
      <c r="AF624">
        <v>1</v>
      </c>
      <c r="AG624" t="s">
        <v>309</v>
      </c>
      <c r="AH624" t="s">
        <v>12</v>
      </c>
      <c r="AI624" t="s">
        <v>310</v>
      </c>
      <c r="AJ624">
        <f>$H$624*$P$624</f>
        <v>0</v>
      </c>
      <c r="AK624">
        <f>$H$624*$Q$624</f>
        <v>0</v>
      </c>
      <c r="AL624">
        <f>$H$624*$R$624</f>
        <v>0</v>
      </c>
      <c r="AM624">
        <f>$H$624*$S$624</f>
        <v>404.36</v>
      </c>
      <c r="AN624">
        <f>$H$624*$T$624</f>
        <v>404.36</v>
      </c>
      <c r="AO624">
        <f>$H$624*$U$624</f>
        <v>404.36</v>
      </c>
      <c r="AP624">
        <f>$H$624*$V$624</f>
        <v>404.36</v>
      </c>
      <c r="AQ624">
        <f>$H$624*$W$624</f>
        <v>404.36</v>
      </c>
      <c r="AR624">
        <f>$H$624*$X$624</f>
        <v>404.36</v>
      </c>
      <c r="AS624">
        <f>$H$624*$Y$624</f>
        <v>404.36</v>
      </c>
      <c r="AT624">
        <f>$H$624*$Z$624</f>
        <v>404.36</v>
      </c>
      <c r="AU624">
        <f>$H$624*$AA$624</f>
        <v>404.36</v>
      </c>
      <c r="AV624">
        <f>$H$624*$AB$624</f>
        <v>404.36</v>
      </c>
      <c r="AW624">
        <f>$H$624*$AC$624</f>
        <v>404.36</v>
      </c>
      <c r="AX624">
        <f>$H$624*$AD$624</f>
        <v>404.36</v>
      </c>
      <c r="AY624">
        <f>$H$624*$AE$624</f>
        <v>404.36</v>
      </c>
      <c r="AZ624">
        <f>$H$624*$AF$624</f>
        <v>404.36</v>
      </c>
    </row>
    <row r="625" spans="1:52" x14ac:dyDescent="0.25">
      <c r="A625">
        <v>693</v>
      </c>
      <c r="B625" t="s">
        <v>309</v>
      </c>
      <c r="C625" t="s">
        <v>443</v>
      </c>
      <c r="D625">
        <v>156</v>
      </c>
      <c r="E625">
        <v>98.28</v>
      </c>
      <c r="F625" t="s">
        <v>349</v>
      </c>
      <c r="G625">
        <v>0.63</v>
      </c>
      <c r="H625">
        <v>117.94</v>
      </c>
      <c r="I625" t="s">
        <v>330</v>
      </c>
      <c r="J625" t="s">
        <v>444</v>
      </c>
      <c r="K625" t="s">
        <v>656</v>
      </c>
      <c r="L625" t="s">
        <v>179</v>
      </c>
      <c r="M625" t="s">
        <v>309</v>
      </c>
      <c r="N625" t="s">
        <v>12</v>
      </c>
      <c r="O625" t="s">
        <v>310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1</v>
      </c>
      <c r="AE625">
        <v>1</v>
      </c>
      <c r="AF625">
        <v>1</v>
      </c>
      <c r="AG625" t="s">
        <v>309</v>
      </c>
      <c r="AH625" t="s">
        <v>12</v>
      </c>
      <c r="AI625" t="s">
        <v>310</v>
      </c>
      <c r="AJ625">
        <f>$H$625*$P$625</f>
        <v>0</v>
      </c>
      <c r="AK625">
        <f>$H$625*$Q$625</f>
        <v>0</v>
      </c>
      <c r="AL625">
        <f>$H$625*$R$625</f>
        <v>0</v>
      </c>
      <c r="AM625">
        <f>$H$625*$S$625</f>
        <v>0</v>
      </c>
      <c r="AN625">
        <f>$H$625*$T$625</f>
        <v>0</v>
      </c>
      <c r="AO625">
        <f>$H$625*$U$625</f>
        <v>0</v>
      </c>
      <c r="AP625">
        <f>$H$625*$V$625</f>
        <v>0</v>
      </c>
      <c r="AQ625">
        <f>$H$625*$W$625</f>
        <v>0</v>
      </c>
      <c r="AR625">
        <f>$H$625*$X$625</f>
        <v>0</v>
      </c>
      <c r="AS625">
        <f>$H$625*$Y$625</f>
        <v>0</v>
      </c>
      <c r="AT625">
        <f>$H$625*$Z$625</f>
        <v>0</v>
      </c>
      <c r="AU625">
        <f>$H$625*$AA$625</f>
        <v>0</v>
      </c>
      <c r="AV625">
        <f>$H$625*$AB$625</f>
        <v>0</v>
      </c>
      <c r="AW625">
        <f>$H$625*$AC$625</f>
        <v>0</v>
      </c>
      <c r="AX625">
        <f>$H$625*$AD$625</f>
        <v>117.94</v>
      </c>
      <c r="AY625">
        <f>$H$625*$AE$625</f>
        <v>117.94</v>
      </c>
      <c r="AZ625">
        <f>$H$625*$AF$625</f>
        <v>117.94</v>
      </c>
    </row>
    <row r="626" spans="1:52" x14ac:dyDescent="0.25">
      <c r="A626">
        <v>694</v>
      </c>
      <c r="B626" t="s">
        <v>309</v>
      </c>
      <c r="C626" t="s">
        <v>362</v>
      </c>
      <c r="D626">
        <v>195</v>
      </c>
      <c r="E626">
        <v>191.1</v>
      </c>
      <c r="F626" t="s">
        <v>349</v>
      </c>
      <c r="G626">
        <v>0.98</v>
      </c>
      <c r="H626">
        <v>229.32</v>
      </c>
      <c r="I626" t="s">
        <v>330</v>
      </c>
      <c r="J626" t="s">
        <v>363</v>
      </c>
      <c r="K626" t="s">
        <v>617</v>
      </c>
      <c r="L626" t="s">
        <v>179</v>
      </c>
      <c r="M626" t="s">
        <v>309</v>
      </c>
      <c r="N626" t="s">
        <v>12</v>
      </c>
      <c r="O626" t="s">
        <v>310</v>
      </c>
      <c r="P626">
        <v>0</v>
      </c>
      <c r="Q626">
        <v>0</v>
      </c>
      <c r="R626">
        <v>0</v>
      </c>
      <c r="S626">
        <v>0</v>
      </c>
      <c r="T626">
        <v>1</v>
      </c>
      <c r="U626">
        <v>1</v>
      </c>
      <c r="V626">
        <v>1</v>
      </c>
      <c r="W626">
        <v>1</v>
      </c>
      <c r="X626">
        <v>1</v>
      </c>
      <c r="Y626">
        <v>1</v>
      </c>
      <c r="Z626">
        <v>1</v>
      </c>
      <c r="AA626">
        <v>1</v>
      </c>
      <c r="AB626">
        <v>1</v>
      </c>
      <c r="AC626">
        <v>1</v>
      </c>
      <c r="AD626">
        <v>1</v>
      </c>
      <c r="AE626">
        <v>1</v>
      </c>
      <c r="AF626">
        <v>1</v>
      </c>
      <c r="AG626" t="s">
        <v>309</v>
      </c>
      <c r="AH626" t="s">
        <v>12</v>
      </c>
      <c r="AI626" t="s">
        <v>310</v>
      </c>
      <c r="AJ626">
        <f>$H$626*$P$626</f>
        <v>0</v>
      </c>
      <c r="AK626">
        <f>$H$626*$Q$626</f>
        <v>0</v>
      </c>
      <c r="AL626">
        <f>$H$626*$R$626</f>
        <v>0</v>
      </c>
      <c r="AM626">
        <f>$H$626*$S$626</f>
        <v>0</v>
      </c>
      <c r="AN626">
        <f>$H$626*$T$626</f>
        <v>229.32</v>
      </c>
      <c r="AO626">
        <f>$H$626*$U$626</f>
        <v>229.32</v>
      </c>
      <c r="AP626">
        <f>$H$626*$V$626</f>
        <v>229.32</v>
      </c>
      <c r="AQ626">
        <f>$H$626*$W$626</f>
        <v>229.32</v>
      </c>
      <c r="AR626">
        <f>$H$626*$X$626</f>
        <v>229.32</v>
      </c>
      <c r="AS626">
        <f>$H$626*$Y$626</f>
        <v>229.32</v>
      </c>
      <c r="AT626">
        <f>$H$626*$Z$626</f>
        <v>229.32</v>
      </c>
      <c r="AU626">
        <f>$H$626*$AA$626</f>
        <v>229.32</v>
      </c>
      <c r="AV626">
        <f>$H$626*$AB$626</f>
        <v>229.32</v>
      </c>
      <c r="AW626">
        <f>$H$626*$AC$626</f>
        <v>229.32</v>
      </c>
      <c r="AX626">
        <f>$H$626*$AD$626</f>
        <v>229.32</v>
      </c>
      <c r="AY626">
        <f>$H$626*$AE$626</f>
        <v>229.32</v>
      </c>
      <c r="AZ626">
        <f>$H$626*$AF$626</f>
        <v>229.32</v>
      </c>
    </row>
    <row r="627" spans="1:52" x14ac:dyDescent="0.25">
      <c r="A627">
        <v>695</v>
      </c>
      <c r="B627" t="s">
        <v>309</v>
      </c>
      <c r="C627" t="s">
        <v>445</v>
      </c>
      <c r="D627">
        <v>39</v>
      </c>
      <c r="E627">
        <v>146.63999999999999</v>
      </c>
      <c r="F627" t="s">
        <v>349</v>
      </c>
      <c r="G627">
        <v>3.76</v>
      </c>
      <c r="H627">
        <v>175.96</v>
      </c>
      <c r="I627" t="s">
        <v>446</v>
      </c>
      <c r="J627" t="s">
        <v>420</v>
      </c>
      <c r="K627" t="s">
        <v>657</v>
      </c>
      <c r="L627" t="s">
        <v>179</v>
      </c>
      <c r="M627" t="s">
        <v>309</v>
      </c>
      <c r="N627" t="s">
        <v>12</v>
      </c>
      <c r="O627" t="s">
        <v>310</v>
      </c>
      <c r="P627">
        <v>0</v>
      </c>
      <c r="Q627">
        <v>0</v>
      </c>
      <c r="R627">
        <v>0</v>
      </c>
      <c r="S627">
        <v>0.25</v>
      </c>
      <c r="T627">
        <v>0.25</v>
      </c>
      <c r="U627">
        <v>0.25</v>
      </c>
      <c r="V627">
        <v>0.25</v>
      </c>
      <c r="W627">
        <v>0.25</v>
      </c>
      <c r="X627">
        <v>0.5</v>
      </c>
      <c r="Y627">
        <v>0.5</v>
      </c>
      <c r="Z627">
        <v>0.5</v>
      </c>
      <c r="AA627">
        <v>1</v>
      </c>
      <c r="AB627">
        <v>1</v>
      </c>
      <c r="AC627">
        <v>1</v>
      </c>
      <c r="AD627">
        <v>1</v>
      </c>
      <c r="AE627">
        <v>1</v>
      </c>
      <c r="AF627">
        <v>1</v>
      </c>
      <c r="AG627" t="s">
        <v>309</v>
      </c>
      <c r="AH627" t="s">
        <v>12</v>
      </c>
      <c r="AI627" t="s">
        <v>310</v>
      </c>
      <c r="AJ627">
        <f>$H$627*$P$627</f>
        <v>0</v>
      </c>
      <c r="AK627">
        <f>$H$627*$Q$627</f>
        <v>0</v>
      </c>
      <c r="AL627">
        <f>$H$627*$R$627</f>
        <v>0</v>
      </c>
      <c r="AM627">
        <f>$H$627*$S$627</f>
        <v>43.99</v>
      </c>
      <c r="AN627">
        <f>$H$627*$T$627</f>
        <v>43.99</v>
      </c>
      <c r="AO627">
        <f>$H$627*$U$627</f>
        <v>43.99</v>
      </c>
      <c r="AP627">
        <f>$H$627*$V$627</f>
        <v>43.99</v>
      </c>
      <c r="AQ627">
        <f>$H$627*$W$627</f>
        <v>43.99</v>
      </c>
      <c r="AR627">
        <f>$H$627*$X$627</f>
        <v>87.98</v>
      </c>
      <c r="AS627">
        <f>$H$627*$Y$627</f>
        <v>87.98</v>
      </c>
      <c r="AT627">
        <f>$H$627*$Z$627</f>
        <v>87.98</v>
      </c>
      <c r="AU627">
        <f>$H$627*$AA$627</f>
        <v>175.96</v>
      </c>
      <c r="AV627">
        <f>$H$627*$AB$627</f>
        <v>175.96</v>
      </c>
      <c r="AW627">
        <f>$H$627*$AC$627</f>
        <v>175.96</v>
      </c>
      <c r="AX627">
        <f>$H$627*$AD$627</f>
        <v>175.96</v>
      </c>
      <c r="AY627">
        <f>$H$627*$AE$627</f>
        <v>175.96</v>
      </c>
      <c r="AZ627">
        <f>$H$627*$AF$627</f>
        <v>175.96</v>
      </c>
    </row>
    <row r="628" spans="1:52" x14ac:dyDescent="0.25">
      <c r="A628">
        <v>696</v>
      </c>
      <c r="B628" t="s">
        <v>309</v>
      </c>
      <c r="C628" t="s">
        <v>364</v>
      </c>
      <c r="D628">
        <v>390</v>
      </c>
      <c r="E628">
        <v>1310.4000000000001</v>
      </c>
      <c r="F628" t="s">
        <v>349</v>
      </c>
      <c r="G628">
        <v>3.36</v>
      </c>
      <c r="H628">
        <v>1572.48</v>
      </c>
      <c r="I628" t="s">
        <v>365</v>
      </c>
      <c r="J628" t="s">
        <v>366</v>
      </c>
      <c r="K628" t="s">
        <v>618</v>
      </c>
      <c r="L628" t="s">
        <v>179</v>
      </c>
      <c r="M628" t="s">
        <v>309</v>
      </c>
      <c r="N628" t="s">
        <v>12</v>
      </c>
      <c r="O628" t="s">
        <v>310</v>
      </c>
      <c r="P628">
        <v>0</v>
      </c>
      <c r="Q628">
        <v>0</v>
      </c>
      <c r="R628">
        <v>0</v>
      </c>
      <c r="S628">
        <v>0.25</v>
      </c>
      <c r="T628">
        <v>0.25</v>
      </c>
      <c r="U628">
        <v>0.25</v>
      </c>
      <c r="V628">
        <v>0.25</v>
      </c>
      <c r="W628">
        <v>0.5</v>
      </c>
      <c r="X628">
        <v>0.5</v>
      </c>
      <c r="Y628">
        <v>0.5</v>
      </c>
      <c r="Z628">
        <v>0.5</v>
      </c>
      <c r="AA628">
        <v>1</v>
      </c>
      <c r="AB628">
        <v>1</v>
      </c>
      <c r="AC628">
        <v>1</v>
      </c>
      <c r="AD628">
        <v>1</v>
      </c>
      <c r="AE628">
        <v>1</v>
      </c>
      <c r="AF628">
        <v>1</v>
      </c>
      <c r="AG628" t="s">
        <v>309</v>
      </c>
      <c r="AH628" t="s">
        <v>12</v>
      </c>
      <c r="AI628" t="s">
        <v>310</v>
      </c>
      <c r="AJ628">
        <f>$H$628*$P$628</f>
        <v>0</v>
      </c>
      <c r="AK628">
        <f>$H$628*$Q$628</f>
        <v>0</v>
      </c>
      <c r="AL628">
        <f>$H$628*$R$628</f>
        <v>0</v>
      </c>
      <c r="AM628">
        <f>$H$628*$S$628</f>
        <v>393.12</v>
      </c>
      <c r="AN628">
        <f>$H$628*$T$628</f>
        <v>393.12</v>
      </c>
      <c r="AO628">
        <f>$H$628*$U$628</f>
        <v>393.12</v>
      </c>
      <c r="AP628">
        <f>$H$628*$V$628</f>
        <v>393.12</v>
      </c>
      <c r="AQ628">
        <f>$H$628*$W$628</f>
        <v>786.24</v>
      </c>
      <c r="AR628">
        <f>$H$628*$X$628</f>
        <v>786.24</v>
      </c>
      <c r="AS628">
        <f>$H$628*$Y$628</f>
        <v>786.24</v>
      </c>
      <c r="AT628">
        <f>$H$628*$Z$628</f>
        <v>786.24</v>
      </c>
      <c r="AU628">
        <f>$H$628*$AA$628</f>
        <v>1572.48</v>
      </c>
      <c r="AV628">
        <f>$H$628*$AB$628</f>
        <v>1572.48</v>
      </c>
      <c r="AW628">
        <f>$H$628*$AC$628</f>
        <v>1572.48</v>
      </c>
      <c r="AX628">
        <f>$H$628*$AD$628</f>
        <v>1572.48</v>
      </c>
      <c r="AY628">
        <f>$H$628*$AE$628</f>
        <v>1572.48</v>
      </c>
      <c r="AZ628">
        <f>$H$628*$AF$628</f>
        <v>1572.48</v>
      </c>
    </row>
    <row r="629" spans="1:52" x14ac:dyDescent="0.25">
      <c r="A629">
        <v>697</v>
      </c>
      <c r="B629" t="s">
        <v>309</v>
      </c>
      <c r="C629" t="s">
        <v>455</v>
      </c>
      <c r="D629">
        <v>43.33</v>
      </c>
      <c r="E629">
        <v>65.430000000000007</v>
      </c>
      <c r="F629" t="s">
        <v>329</v>
      </c>
      <c r="G629">
        <v>1.51</v>
      </c>
      <c r="H629">
        <v>78.510000000000005</v>
      </c>
      <c r="I629" t="s">
        <v>330</v>
      </c>
      <c r="J629" t="s">
        <v>456</v>
      </c>
      <c r="K629" t="s">
        <v>662</v>
      </c>
      <c r="L629" t="s">
        <v>179</v>
      </c>
      <c r="M629" t="s">
        <v>309</v>
      </c>
      <c r="N629" t="s">
        <v>12</v>
      </c>
      <c r="O629" t="s">
        <v>310</v>
      </c>
      <c r="P629">
        <v>0</v>
      </c>
      <c r="Q629">
        <v>0</v>
      </c>
      <c r="R629">
        <v>0</v>
      </c>
      <c r="S629">
        <v>1</v>
      </c>
      <c r="T629">
        <v>1</v>
      </c>
      <c r="U629">
        <v>1</v>
      </c>
      <c r="V629">
        <v>1</v>
      </c>
      <c r="W629">
        <v>1</v>
      </c>
      <c r="X629">
        <v>1</v>
      </c>
      <c r="Y629">
        <v>1</v>
      </c>
      <c r="Z629">
        <v>1</v>
      </c>
      <c r="AA629">
        <v>1</v>
      </c>
      <c r="AB629">
        <v>1</v>
      </c>
      <c r="AC629">
        <v>1</v>
      </c>
      <c r="AD629">
        <v>1</v>
      </c>
      <c r="AE629">
        <v>1</v>
      </c>
      <c r="AF629">
        <v>1</v>
      </c>
      <c r="AG629" t="s">
        <v>309</v>
      </c>
      <c r="AH629" t="s">
        <v>12</v>
      </c>
      <c r="AI629" t="s">
        <v>310</v>
      </c>
      <c r="AJ629">
        <f>$H$629*$P$629</f>
        <v>0</v>
      </c>
      <c r="AK629">
        <f>$H$629*$Q$629</f>
        <v>0</v>
      </c>
      <c r="AL629">
        <f>$H$629*$R$629</f>
        <v>0</v>
      </c>
      <c r="AM629">
        <f>$H$629*$S$629</f>
        <v>78.510000000000005</v>
      </c>
      <c r="AN629">
        <f>$H$629*$T$629</f>
        <v>78.510000000000005</v>
      </c>
      <c r="AO629">
        <f>$H$629*$U$629</f>
        <v>78.510000000000005</v>
      </c>
      <c r="AP629">
        <f>$H$629*$V$629</f>
        <v>78.510000000000005</v>
      </c>
      <c r="AQ629">
        <f>$H$629*$W$629</f>
        <v>78.510000000000005</v>
      </c>
      <c r="AR629">
        <f>$H$629*$X$629</f>
        <v>78.510000000000005</v>
      </c>
      <c r="AS629">
        <f>$H$629*$Y$629</f>
        <v>78.510000000000005</v>
      </c>
      <c r="AT629">
        <f>$H$629*$Z$629</f>
        <v>78.510000000000005</v>
      </c>
      <c r="AU629">
        <f>$H$629*$AA$629</f>
        <v>78.510000000000005</v>
      </c>
      <c r="AV629">
        <f>$H$629*$AB$629</f>
        <v>78.510000000000005</v>
      </c>
      <c r="AW629">
        <f>$H$629*$AC$629</f>
        <v>78.510000000000005</v>
      </c>
      <c r="AX629">
        <f>$H$629*$AD$629</f>
        <v>78.510000000000005</v>
      </c>
      <c r="AY629">
        <f>$H$629*$AE$629</f>
        <v>78.510000000000005</v>
      </c>
      <c r="AZ629">
        <f>$H$629*$AF$629</f>
        <v>78.510000000000005</v>
      </c>
    </row>
    <row r="630" spans="1:52" x14ac:dyDescent="0.25">
      <c r="A630">
        <v>698</v>
      </c>
      <c r="B630" t="s">
        <v>309</v>
      </c>
      <c r="C630" t="s">
        <v>457</v>
      </c>
      <c r="D630">
        <v>43.33</v>
      </c>
      <c r="E630">
        <v>246.11</v>
      </c>
      <c r="F630" t="s">
        <v>329</v>
      </c>
      <c r="G630">
        <v>5.68</v>
      </c>
      <c r="H630">
        <v>295.33</v>
      </c>
      <c r="I630" t="s">
        <v>333</v>
      </c>
      <c r="J630" t="s">
        <v>458</v>
      </c>
      <c r="K630" t="s">
        <v>663</v>
      </c>
      <c r="L630" t="s">
        <v>179</v>
      </c>
      <c r="M630" t="s">
        <v>309</v>
      </c>
      <c r="N630" t="s">
        <v>12</v>
      </c>
      <c r="O630" t="s">
        <v>310</v>
      </c>
      <c r="P630">
        <v>0</v>
      </c>
      <c r="Q630">
        <v>0</v>
      </c>
      <c r="R630">
        <v>0</v>
      </c>
      <c r="S630">
        <v>1</v>
      </c>
      <c r="T630">
        <v>1</v>
      </c>
      <c r="U630">
        <v>1</v>
      </c>
      <c r="V630">
        <v>1</v>
      </c>
      <c r="W630">
        <v>1</v>
      </c>
      <c r="X630">
        <v>1</v>
      </c>
      <c r="Y630">
        <v>1</v>
      </c>
      <c r="Z630">
        <v>1</v>
      </c>
      <c r="AA630">
        <v>1</v>
      </c>
      <c r="AB630">
        <v>1</v>
      </c>
      <c r="AC630">
        <v>1</v>
      </c>
      <c r="AD630">
        <v>1</v>
      </c>
      <c r="AE630">
        <v>1</v>
      </c>
      <c r="AF630">
        <v>1</v>
      </c>
      <c r="AG630" t="s">
        <v>309</v>
      </c>
      <c r="AH630" t="s">
        <v>12</v>
      </c>
      <c r="AI630" t="s">
        <v>310</v>
      </c>
      <c r="AJ630">
        <f>$H$630*$P$630</f>
        <v>0</v>
      </c>
      <c r="AK630">
        <f>$H$630*$Q$630</f>
        <v>0</v>
      </c>
      <c r="AL630">
        <f>$H$630*$R$630</f>
        <v>0</v>
      </c>
      <c r="AM630">
        <f>$H$630*$S$630</f>
        <v>295.33</v>
      </c>
      <c r="AN630">
        <f>$H$630*$T$630</f>
        <v>295.33</v>
      </c>
      <c r="AO630">
        <f>$H$630*$U$630</f>
        <v>295.33</v>
      </c>
      <c r="AP630">
        <f>$H$630*$V$630</f>
        <v>295.33</v>
      </c>
      <c r="AQ630">
        <f>$H$630*$W$630</f>
        <v>295.33</v>
      </c>
      <c r="AR630">
        <f>$H$630*$X$630</f>
        <v>295.33</v>
      </c>
      <c r="AS630">
        <f>$H$630*$Y$630</f>
        <v>295.33</v>
      </c>
      <c r="AT630">
        <f>$H$630*$Z$630</f>
        <v>295.33</v>
      </c>
      <c r="AU630">
        <f>$H$630*$AA$630</f>
        <v>295.33</v>
      </c>
      <c r="AV630">
        <f>$H$630*$AB$630</f>
        <v>295.33</v>
      </c>
      <c r="AW630">
        <f>$H$630*$AC$630</f>
        <v>295.33</v>
      </c>
      <c r="AX630">
        <f>$H$630*$AD$630</f>
        <v>295.33</v>
      </c>
      <c r="AY630">
        <f>$H$630*$AE$630</f>
        <v>295.33</v>
      </c>
      <c r="AZ630">
        <f>$H$630*$AF$630</f>
        <v>295.33</v>
      </c>
    </row>
    <row r="631" spans="1:52" x14ac:dyDescent="0.25">
      <c r="A631">
        <v>699</v>
      </c>
      <c r="B631" t="s">
        <v>309</v>
      </c>
      <c r="C631" t="s">
        <v>364</v>
      </c>
      <c r="D631">
        <v>116.36</v>
      </c>
      <c r="E631">
        <v>390.97</v>
      </c>
      <c r="F631" t="s">
        <v>349</v>
      </c>
      <c r="G631">
        <v>3.36</v>
      </c>
      <c r="H631">
        <v>469.17</v>
      </c>
      <c r="I631" t="s">
        <v>365</v>
      </c>
      <c r="J631" t="s">
        <v>366</v>
      </c>
      <c r="K631" t="s">
        <v>618</v>
      </c>
      <c r="L631" t="s">
        <v>179</v>
      </c>
      <c r="M631" t="s">
        <v>309</v>
      </c>
      <c r="N631" t="s">
        <v>12</v>
      </c>
      <c r="O631" t="s">
        <v>310</v>
      </c>
      <c r="P631">
        <v>0</v>
      </c>
      <c r="Q631">
        <v>0</v>
      </c>
      <c r="R631">
        <v>0</v>
      </c>
      <c r="S631">
        <v>0.25</v>
      </c>
      <c r="T631">
        <v>0.25</v>
      </c>
      <c r="U631">
        <v>0.25</v>
      </c>
      <c r="V631">
        <v>0.25</v>
      </c>
      <c r="W631">
        <v>0.5</v>
      </c>
      <c r="X631">
        <v>0.5</v>
      </c>
      <c r="Y631">
        <v>0.5</v>
      </c>
      <c r="Z631">
        <v>0.5</v>
      </c>
      <c r="AA631">
        <v>1</v>
      </c>
      <c r="AB631">
        <v>1</v>
      </c>
      <c r="AC631">
        <v>1</v>
      </c>
      <c r="AD631">
        <v>1</v>
      </c>
      <c r="AE631">
        <v>1</v>
      </c>
      <c r="AF631">
        <v>1</v>
      </c>
      <c r="AG631" t="s">
        <v>309</v>
      </c>
      <c r="AH631" t="s">
        <v>12</v>
      </c>
      <c r="AI631" t="s">
        <v>310</v>
      </c>
      <c r="AJ631">
        <f>$H$631*$P$631</f>
        <v>0</v>
      </c>
      <c r="AK631">
        <f>$H$631*$Q$631</f>
        <v>0</v>
      </c>
      <c r="AL631">
        <f>$H$631*$R$631</f>
        <v>0</v>
      </c>
      <c r="AM631">
        <f>$H$631*$S$631</f>
        <v>117.2925</v>
      </c>
      <c r="AN631">
        <f>$H$631*$T$631</f>
        <v>117.2925</v>
      </c>
      <c r="AO631">
        <f>$H$631*$U$631</f>
        <v>117.2925</v>
      </c>
      <c r="AP631">
        <f>$H$631*$V$631</f>
        <v>117.2925</v>
      </c>
      <c r="AQ631">
        <f>$H$631*$W$631</f>
        <v>234.58500000000001</v>
      </c>
      <c r="AR631">
        <f>$H$631*$X$631</f>
        <v>234.58500000000001</v>
      </c>
      <c r="AS631">
        <f>$H$631*$Y$631</f>
        <v>234.58500000000001</v>
      </c>
      <c r="AT631">
        <f>$H$631*$Z$631</f>
        <v>234.58500000000001</v>
      </c>
      <c r="AU631">
        <f>$H$631*$AA$631</f>
        <v>469.17</v>
      </c>
      <c r="AV631">
        <f>$H$631*$AB$631</f>
        <v>469.17</v>
      </c>
      <c r="AW631">
        <f>$H$631*$AC$631</f>
        <v>469.17</v>
      </c>
      <c r="AX631">
        <f>$H$631*$AD$631</f>
        <v>469.17</v>
      </c>
      <c r="AY631">
        <f>$H$631*$AE$631</f>
        <v>469.17</v>
      </c>
      <c r="AZ631">
        <f>$H$631*$AF$631</f>
        <v>469.17</v>
      </c>
    </row>
    <row r="632" spans="1:52" x14ac:dyDescent="0.25">
      <c r="A632">
        <v>700</v>
      </c>
      <c r="B632" t="s">
        <v>309</v>
      </c>
      <c r="C632" t="s">
        <v>443</v>
      </c>
      <c r="D632">
        <v>116.36</v>
      </c>
      <c r="E632">
        <v>73.31</v>
      </c>
      <c r="F632" t="s">
        <v>349</v>
      </c>
      <c r="G632">
        <v>0.63</v>
      </c>
      <c r="H632">
        <v>87.97</v>
      </c>
      <c r="I632" t="s">
        <v>330</v>
      </c>
      <c r="J632" t="s">
        <v>444</v>
      </c>
      <c r="K632" t="s">
        <v>656</v>
      </c>
      <c r="L632" t="s">
        <v>179</v>
      </c>
      <c r="M632" t="s">
        <v>309</v>
      </c>
      <c r="N632" t="s">
        <v>12</v>
      </c>
      <c r="O632" t="s">
        <v>310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1</v>
      </c>
      <c r="AE632">
        <v>1</v>
      </c>
      <c r="AF632">
        <v>1</v>
      </c>
      <c r="AG632" t="s">
        <v>309</v>
      </c>
      <c r="AH632" t="s">
        <v>12</v>
      </c>
      <c r="AI632" t="s">
        <v>310</v>
      </c>
      <c r="AJ632">
        <f>$H$632*$P$632</f>
        <v>0</v>
      </c>
      <c r="AK632">
        <f>$H$632*$Q$632</f>
        <v>0</v>
      </c>
      <c r="AL632">
        <f>$H$632*$R$632</f>
        <v>0</v>
      </c>
      <c r="AM632">
        <f>$H$632*$S$632</f>
        <v>0</v>
      </c>
      <c r="AN632">
        <f>$H$632*$T$632</f>
        <v>0</v>
      </c>
      <c r="AO632">
        <f>$H$632*$U$632</f>
        <v>0</v>
      </c>
      <c r="AP632">
        <f>$H$632*$V$632</f>
        <v>0</v>
      </c>
      <c r="AQ632">
        <f>$H$632*$W$632</f>
        <v>0</v>
      </c>
      <c r="AR632">
        <f>$H$632*$X$632</f>
        <v>0</v>
      </c>
      <c r="AS632">
        <f>$H$632*$Y$632</f>
        <v>0</v>
      </c>
      <c r="AT632">
        <f>$H$632*$Z$632</f>
        <v>0</v>
      </c>
      <c r="AU632">
        <f>$H$632*$AA$632</f>
        <v>0</v>
      </c>
      <c r="AV632">
        <f>$H$632*$AB$632</f>
        <v>0</v>
      </c>
      <c r="AW632">
        <f>$H$632*$AC$632</f>
        <v>0</v>
      </c>
      <c r="AX632">
        <f>$H$632*$AD$632</f>
        <v>87.97</v>
      </c>
      <c r="AY632">
        <f>$H$632*$AE$632</f>
        <v>87.97</v>
      </c>
      <c r="AZ632">
        <f>$H$632*$AF$632</f>
        <v>87.97</v>
      </c>
    </row>
    <row r="633" spans="1:52" x14ac:dyDescent="0.25">
      <c r="A633">
        <v>701</v>
      </c>
      <c r="B633" t="s">
        <v>309</v>
      </c>
      <c r="C633" t="s">
        <v>459</v>
      </c>
      <c r="D633">
        <v>116.36</v>
      </c>
      <c r="E633">
        <v>80.290000000000006</v>
      </c>
      <c r="F633" t="s">
        <v>349</v>
      </c>
      <c r="G633">
        <v>0.69</v>
      </c>
      <c r="H633">
        <v>96.35</v>
      </c>
      <c r="I633" t="s">
        <v>330</v>
      </c>
      <c r="J633" t="s">
        <v>460</v>
      </c>
      <c r="K633" t="s">
        <v>664</v>
      </c>
      <c r="L633" t="s">
        <v>179</v>
      </c>
      <c r="M633" t="s">
        <v>309</v>
      </c>
      <c r="N633" t="s">
        <v>12</v>
      </c>
      <c r="O633" t="s">
        <v>310</v>
      </c>
      <c r="P633">
        <v>0</v>
      </c>
      <c r="Q633">
        <v>0</v>
      </c>
      <c r="R633">
        <v>0</v>
      </c>
      <c r="S633">
        <v>1</v>
      </c>
      <c r="T633">
        <v>1</v>
      </c>
      <c r="U633">
        <v>1</v>
      </c>
      <c r="V633">
        <v>1</v>
      </c>
      <c r="W633">
        <v>1</v>
      </c>
      <c r="X633">
        <v>1</v>
      </c>
      <c r="Y633">
        <v>1</v>
      </c>
      <c r="Z633">
        <v>1</v>
      </c>
      <c r="AA633">
        <v>1</v>
      </c>
      <c r="AB633">
        <v>1</v>
      </c>
      <c r="AC633">
        <v>1</v>
      </c>
      <c r="AD633">
        <v>1</v>
      </c>
      <c r="AE633">
        <v>1</v>
      </c>
      <c r="AF633">
        <v>1</v>
      </c>
      <c r="AG633" t="s">
        <v>309</v>
      </c>
      <c r="AH633" t="s">
        <v>12</v>
      </c>
      <c r="AI633" t="s">
        <v>310</v>
      </c>
      <c r="AJ633">
        <f>$H$633*$P$633</f>
        <v>0</v>
      </c>
      <c r="AK633">
        <f>$H$633*$Q$633</f>
        <v>0</v>
      </c>
      <c r="AL633">
        <f>$H$633*$R$633</f>
        <v>0</v>
      </c>
      <c r="AM633">
        <f>$H$633*$S$633</f>
        <v>96.35</v>
      </c>
      <c r="AN633">
        <f>$H$633*$T$633</f>
        <v>96.35</v>
      </c>
      <c r="AO633">
        <f>$H$633*$U$633</f>
        <v>96.35</v>
      </c>
      <c r="AP633">
        <f>$H$633*$V$633</f>
        <v>96.35</v>
      </c>
      <c r="AQ633">
        <f>$H$633*$W$633</f>
        <v>96.35</v>
      </c>
      <c r="AR633">
        <f>$H$633*$X$633</f>
        <v>96.35</v>
      </c>
      <c r="AS633">
        <f>$H$633*$Y$633</f>
        <v>96.35</v>
      </c>
      <c r="AT633">
        <f>$H$633*$Z$633</f>
        <v>96.35</v>
      </c>
      <c r="AU633">
        <f>$H$633*$AA$633</f>
        <v>96.35</v>
      </c>
      <c r="AV633">
        <f>$H$633*$AB$633</f>
        <v>96.35</v>
      </c>
      <c r="AW633">
        <f>$H$633*$AC$633</f>
        <v>96.35</v>
      </c>
      <c r="AX633">
        <f>$H$633*$AD$633</f>
        <v>96.35</v>
      </c>
      <c r="AY633">
        <f>$H$633*$AE$633</f>
        <v>96.35</v>
      </c>
      <c r="AZ633">
        <f>$H$633*$AF$633</f>
        <v>96.35</v>
      </c>
    </row>
    <row r="634" spans="1:52" x14ac:dyDescent="0.25">
      <c r="A634">
        <v>702</v>
      </c>
      <c r="B634" t="s">
        <v>309</v>
      </c>
      <c r="C634" t="s">
        <v>461</v>
      </c>
      <c r="D634">
        <v>23.27</v>
      </c>
      <c r="E634">
        <v>403.73</v>
      </c>
      <c r="F634" t="s">
        <v>349</v>
      </c>
      <c r="G634">
        <v>17.350000000000001</v>
      </c>
      <c r="H634">
        <v>484.47</v>
      </c>
      <c r="I634" t="s">
        <v>462</v>
      </c>
      <c r="J634" t="s">
        <v>463</v>
      </c>
      <c r="K634" t="s">
        <v>665</v>
      </c>
      <c r="L634" t="s">
        <v>179</v>
      </c>
      <c r="M634" t="s">
        <v>309</v>
      </c>
      <c r="N634" t="s">
        <v>12</v>
      </c>
      <c r="O634" t="s">
        <v>310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1</v>
      </c>
      <c r="Z634">
        <v>1</v>
      </c>
      <c r="AA634">
        <v>1</v>
      </c>
      <c r="AB634">
        <v>1</v>
      </c>
      <c r="AC634">
        <v>1</v>
      </c>
      <c r="AD634">
        <v>1</v>
      </c>
      <c r="AE634">
        <v>1</v>
      </c>
      <c r="AF634">
        <v>1</v>
      </c>
      <c r="AG634" t="s">
        <v>309</v>
      </c>
      <c r="AH634" t="s">
        <v>12</v>
      </c>
      <c r="AI634" t="s">
        <v>310</v>
      </c>
      <c r="AJ634">
        <f>$H$634*$P$634</f>
        <v>0</v>
      </c>
      <c r="AK634">
        <f>$H$634*$Q$634</f>
        <v>0</v>
      </c>
      <c r="AL634">
        <f>$H$634*$R$634</f>
        <v>0</v>
      </c>
      <c r="AM634">
        <f>$H$634*$S$634</f>
        <v>0</v>
      </c>
      <c r="AN634">
        <f>$H$634*$T$634</f>
        <v>0</v>
      </c>
      <c r="AO634">
        <f>$H$634*$U$634</f>
        <v>0</v>
      </c>
      <c r="AP634">
        <f>$H$634*$V$634</f>
        <v>0</v>
      </c>
      <c r="AQ634">
        <f>$H$634*$W$634</f>
        <v>0</v>
      </c>
      <c r="AR634">
        <f>$H$634*$X$634</f>
        <v>0</v>
      </c>
      <c r="AS634">
        <f>$H$634*$Y$634</f>
        <v>484.47</v>
      </c>
      <c r="AT634">
        <f>$H$634*$Z$634</f>
        <v>484.47</v>
      </c>
      <c r="AU634">
        <f>$H$634*$AA$634</f>
        <v>484.47</v>
      </c>
      <c r="AV634">
        <f>$H$634*$AB$634</f>
        <v>484.47</v>
      </c>
      <c r="AW634">
        <f>$H$634*$AC$634</f>
        <v>484.47</v>
      </c>
      <c r="AX634">
        <f>$H$634*$AD$634</f>
        <v>484.47</v>
      </c>
      <c r="AY634">
        <f>$H$634*$AE$634</f>
        <v>484.47</v>
      </c>
      <c r="AZ634">
        <f>$H$634*$AF$634</f>
        <v>484.47</v>
      </c>
    </row>
    <row r="635" spans="1:52" x14ac:dyDescent="0.25">
      <c r="A635">
        <v>703</v>
      </c>
      <c r="B635" t="s">
        <v>309</v>
      </c>
      <c r="C635" t="s">
        <v>464</v>
      </c>
      <c r="D635">
        <v>46.54</v>
      </c>
      <c r="E635">
        <v>166.61</v>
      </c>
      <c r="F635" t="s">
        <v>349</v>
      </c>
      <c r="G635">
        <v>3.58</v>
      </c>
      <c r="H635">
        <v>199.93</v>
      </c>
      <c r="I635" t="s">
        <v>465</v>
      </c>
      <c r="J635" t="s">
        <v>466</v>
      </c>
      <c r="K635" t="s">
        <v>666</v>
      </c>
      <c r="L635" t="s">
        <v>179</v>
      </c>
      <c r="M635" t="s">
        <v>309</v>
      </c>
      <c r="N635" t="s">
        <v>12</v>
      </c>
      <c r="O635" t="s">
        <v>310</v>
      </c>
      <c r="P635">
        <v>0</v>
      </c>
      <c r="Q635">
        <v>0</v>
      </c>
      <c r="R635">
        <v>0</v>
      </c>
      <c r="S635">
        <v>1</v>
      </c>
      <c r="T635">
        <v>1</v>
      </c>
      <c r="U635">
        <v>1</v>
      </c>
      <c r="V635">
        <v>1</v>
      </c>
      <c r="W635">
        <v>1</v>
      </c>
      <c r="X635">
        <v>1</v>
      </c>
      <c r="Y635">
        <v>1</v>
      </c>
      <c r="Z635">
        <v>1</v>
      </c>
      <c r="AA635">
        <v>1</v>
      </c>
      <c r="AB635">
        <v>1</v>
      </c>
      <c r="AC635">
        <v>1</v>
      </c>
      <c r="AD635">
        <v>1</v>
      </c>
      <c r="AE635">
        <v>1</v>
      </c>
      <c r="AF635">
        <v>1</v>
      </c>
      <c r="AG635" t="s">
        <v>309</v>
      </c>
      <c r="AH635" t="s">
        <v>12</v>
      </c>
      <c r="AI635" t="s">
        <v>310</v>
      </c>
      <c r="AJ635">
        <f>$H$635*$P$635</f>
        <v>0</v>
      </c>
      <c r="AK635">
        <f>$H$635*$Q$635</f>
        <v>0</v>
      </c>
      <c r="AL635">
        <f>$H$635*$R$635</f>
        <v>0</v>
      </c>
      <c r="AM635">
        <f>$H$635*$S$635</f>
        <v>199.93</v>
      </c>
      <c r="AN635">
        <f>$H$635*$T$635</f>
        <v>199.93</v>
      </c>
      <c r="AO635">
        <f>$H$635*$U$635</f>
        <v>199.93</v>
      </c>
      <c r="AP635">
        <f>$H$635*$V$635</f>
        <v>199.93</v>
      </c>
      <c r="AQ635">
        <f>$H$635*$W$635</f>
        <v>199.93</v>
      </c>
      <c r="AR635">
        <f>$H$635*$X$635</f>
        <v>199.93</v>
      </c>
      <c r="AS635">
        <f>$H$635*$Y$635</f>
        <v>199.93</v>
      </c>
      <c r="AT635">
        <f>$H$635*$Z$635</f>
        <v>199.93</v>
      </c>
      <c r="AU635">
        <f>$H$635*$AA$635</f>
        <v>199.93</v>
      </c>
      <c r="AV635">
        <f>$H$635*$AB$635</f>
        <v>199.93</v>
      </c>
      <c r="AW635">
        <f>$H$635*$AC$635</f>
        <v>199.93</v>
      </c>
      <c r="AX635">
        <f>$H$635*$AD$635</f>
        <v>199.93</v>
      </c>
      <c r="AY635">
        <f>$H$635*$AE$635</f>
        <v>199.93</v>
      </c>
      <c r="AZ635">
        <f>$H$635*$AF$635</f>
        <v>199.93</v>
      </c>
    </row>
    <row r="636" spans="1:52" x14ac:dyDescent="0.25">
      <c r="A636">
        <v>704</v>
      </c>
      <c r="B636" t="s">
        <v>309</v>
      </c>
      <c r="C636" t="s">
        <v>467</v>
      </c>
      <c r="D636">
        <v>46.54</v>
      </c>
      <c r="E636">
        <v>458.42</v>
      </c>
      <c r="F636" t="s">
        <v>349</v>
      </c>
      <c r="G636">
        <v>9.85</v>
      </c>
      <c r="H636">
        <v>550.1</v>
      </c>
      <c r="I636" t="s">
        <v>465</v>
      </c>
      <c r="J636" t="s">
        <v>372</v>
      </c>
      <c r="K636" t="s">
        <v>667</v>
      </c>
      <c r="L636" t="s">
        <v>179</v>
      </c>
      <c r="M636" t="s">
        <v>309</v>
      </c>
      <c r="N636" t="s">
        <v>12</v>
      </c>
      <c r="O636" t="s">
        <v>310</v>
      </c>
      <c r="P636">
        <v>0</v>
      </c>
      <c r="Q636">
        <v>0</v>
      </c>
      <c r="R636">
        <v>0</v>
      </c>
      <c r="S636">
        <v>1</v>
      </c>
      <c r="T636">
        <v>1</v>
      </c>
      <c r="U636">
        <v>1</v>
      </c>
      <c r="V636">
        <v>1</v>
      </c>
      <c r="W636">
        <v>1</v>
      </c>
      <c r="X636">
        <v>1</v>
      </c>
      <c r="Y636">
        <v>1</v>
      </c>
      <c r="Z636">
        <v>1</v>
      </c>
      <c r="AA636">
        <v>1</v>
      </c>
      <c r="AB636">
        <v>1</v>
      </c>
      <c r="AC636">
        <v>1</v>
      </c>
      <c r="AD636">
        <v>1</v>
      </c>
      <c r="AE636">
        <v>1</v>
      </c>
      <c r="AF636">
        <v>1</v>
      </c>
      <c r="AG636" t="s">
        <v>309</v>
      </c>
      <c r="AH636" t="s">
        <v>12</v>
      </c>
      <c r="AI636" t="s">
        <v>310</v>
      </c>
      <c r="AJ636">
        <f>$H$636*$P$636</f>
        <v>0</v>
      </c>
      <c r="AK636">
        <f>$H$636*$Q$636</f>
        <v>0</v>
      </c>
      <c r="AL636">
        <f>$H$636*$R$636</f>
        <v>0</v>
      </c>
      <c r="AM636">
        <f>$H$636*$S$636</f>
        <v>550.1</v>
      </c>
      <c r="AN636">
        <f>$H$636*$T$636</f>
        <v>550.1</v>
      </c>
      <c r="AO636">
        <f>$H$636*$U$636</f>
        <v>550.1</v>
      </c>
      <c r="AP636">
        <f>$H$636*$V$636</f>
        <v>550.1</v>
      </c>
      <c r="AQ636">
        <f>$H$636*$W$636</f>
        <v>550.1</v>
      </c>
      <c r="AR636">
        <f>$H$636*$X$636</f>
        <v>550.1</v>
      </c>
      <c r="AS636">
        <f>$H$636*$Y$636</f>
        <v>550.1</v>
      </c>
      <c r="AT636">
        <f>$H$636*$Z$636</f>
        <v>550.1</v>
      </c>
      <c r="AU636">
        <f>$H$636*$AA$636</f>
        <v>550.1</v>
      </c>
      <c r="AV636">
        <f>$H$636*$AB$636</f>
        <v>550.1</v>
      </c>
      <c r="AW636">
        <f>$H$636*$AC$636</f>
        <v>550.1</v>
      </c>
      <c r="AX636">
        <f>$H$636*$AD$636</f>
        <v>550.1</v>
      </c>
      <c r="AY636">
        <f>$H$636*$AE$636</f>
        <v>550.1</v>
      </c>
      <c r="AZ636">
        <f>$H$636*$AF$636</f>
        <v>550.1</v>
      </c>
    </row>
    <row r="637" spans="1:52" x14ac:dyDescent="0.25">
      <c r="A637">
        <v>705</v>
      </c>
      <c r="B637" t="s">
        <v>309</v>
      </c>
      <c r="C637" t="s">
        <v>468</v>
      </c>
      <c r="D637">
        <v>53.53</v>
      </c>
      <c r="E637">
        <v>54.6</v>
      </c>
      <c r="F637" t="s">
        <v>349</v>
      </c>
      <c r="G637">
        <v>1.02</v>
      </c>
      <c r="H637">
        <v>65.52</v>
      </c>
      <c r="I637" t="s">
        <v>469</v>
      </c>
      <c r="J637" t="s">
        <v>470</v>
      </c>
      <c r="K637" t="s">
        <v>668</v>
      </c>
      <c r="L637" t="s">
        <v>179</v>
      </c>
      <c r="M637" t="s">
        <v>309</v>
      </c>
      <c r="N637" t="s">
        <v>12</v>
      </c>
      <c r="O637" t="s">
        <v>310</v>
      </c>
      <c r="P637">
        <v>0</v>
      </c>
      <c r="Q637">
        <v>0</v>
      </c>
      <c r="R637">
        <v>0</v>
      </c>
      <c r="S637">
        <v>1</v>
      </c>
      <c r="T637">
        <v>1</v>
      </c>
      <c r="U637">
        <v>1</v>
      </c>
      <c r="V637">
        <v>1</v>
      </c>
      <c r="W637">
        <v>1</v>
      </c>
      <c r="X637">
        <v>1</v>
      </c>
      <c r="Y637">
        <v>1</v>
      </c>
      <c r="Z637">
        <v>1</v>
      </c>
      <c r="AA637">
        <v>1</v>
      </c>
      <c r="AB637">
        <v>1</v>
      </c>
      <c r="AC637">
        <v>1</v>
      </c>
      <c r="AD637">
        <v>1</v>
      </c>
      <c r="AE637">
        <v>1</v>
      </c>
      <c r="AF637">
        <v>1</v>
      </c>
      <c r="AG637" t="s">
        <v>309</v>
      </c>
      <c r="AH637" t="s">
        <v>12</v>
      </c>
      <c r="AI637" t="s">
        <v>310</v>
      </c>
      <c r="AJ637">
        <f>$H$637*$P$637</f>
        <v>0</v>
      </c>
      <c r="AK637">
        <f>$H$637*$Q$637</f>
        <v>0</v>
      </c>
      <c r="AL637">
        <f>$H$637*$R$637</f>
        <v>0</v>
      </c>
      <c r="AM637">
        <f>$H$637*$S$637</f>
        <v>65.52</v>
      </c>
      <c r="AN637">
        <f>$H$637*$T$637</f>
        <v>65.52</v>
      </c>
      <c r="AO637">
        <f>$H$637*$U$637</f>
        <v>65.52</v>
      </c>
      <c r="AP637">
        <f>$H$637*$V$637</f>
        <v>65.52</v>
      </c>
      <c r="AQ637">
        <f>$H$637*$W$637</f>
        <v>65.52</v>
      </c>
      <c r="AR637">
        <f>$H$637*$X$637</f>
        <v>65.52</v>
      </c>
      <c r="AS637">
        <f>$H$637*$Y$637</f>
        <v>65.52</v>
      </c>
      <c r="AT637">
        <f>$H$637*$Z$637</f>
        <v>65.52</v>
      </c>
      <c r="AU637">
        <f>$H$637*$AA$637</f>
        <v>65.52</v>
      </c>
      <c r="AV637">
        <f>$H$637*$AB$637</f>
        <v>65.52</v>
      </c>
      <c r="AW637">
        <f>$H$637*$AC$637</f>
        <v>65.52</v>
      </c>
      <c r="AX637">
        <f>$H$637*$AD$637</f>
        <v>65.52</v>
      </c>
      <c r="AY637">
        <f>$H$637*$AE$637</f>
        <v>65.52</v>
      </c>
      <c r="AZ637">
        <f>$H$637*$AF$637</f>
        <v>65.52</v>
      </c>
    </row>
    <row r="638" spans="1:52" x14ac:dyDescent="0.25">
      <c r="A638">
        <v>706</v>
      </c>
      <c r="B638" t="s">
        <v>309</v>
      </c>
      <c r="C638" t="s">
        <v>471</v>
      </c>
      <c r="D638">
        <v>53.53</v>
      </c>
      <c r="E638">
        <v>494.08</v>
      </c>
      <c r="F638" t="s">
        <v>349</v>
      </c>
      <c r="G638">
        <v>9.23</v>
      </c>
      <c r="H638">
        <v>592.9</v>
      </c>
      <c r="I638" t="s">
        <v>469</v>
      </c>
      <c r="J638" t="s">
        <v>463</v>
      </c>
      <c r="K638" t="s">
        <v>669</v>
      </c>
      <c r="L638" t="s">
        <v>179</v>
      </c>
      <c r="M638" t="s">
        <v>309</v>
      </c>
      <c r="N638" t="s">
        <v>12</v>
      </c>
      <c r="O638" t="s">
        <v>310</v>
      </c>
      <c r="P638">
        <v>0</v>
      </c>
      <c r="Q638">
        <v>0</v>
      </c>
      <c r="R638">
        <v>0</v>
      </c>
      <c r="S638">
        <v>1</v>
      </c>
      <c r="T638">
        <v>1</v>
      </c>
      <c r="U638">
        <v>1</v>
      </c>
      <c r="V638">
        <v>1</v>
      </c>
      <c r="W638">
        <v>1</v>
      </c>
      <c r="X638">
        <v>1</v>
      </c>
      <c r="Y638">
        <v>1</v>
      </c>
      <c r="Z638">
        <v>1</v>
      </c>
      <c r="AA638">
        <v>1</v>
      </c>
      <c r="AB638">
        <v>1</v>
      </c>
      <c r="AC638">
        <v>1</v>
      </c>
      <c r="AD638">
        <v>1</v>
      </c>
      <c r="AE638">
        <v>1</v>
      </c>
      <c r="AF638">
        <v>1</v>
      </c>
      <c r="AG638" t="s">
        <v>309</v>
      </c>
      <c r="AH638" t="s">
        <v>12</v>
      </c>
      <c r="AI638" t="s">
        <v>310</v>
      </c>
      <c r="AJ638">
        <f>$H$638*$P$638</f>
        <v>0</v>
      </c>
      <c r="AK638">
        <f>$H$638*$Q$638</f>
        <v>0</v>
      </c>
      <c r="AL638">
        <f>$H$638*$R$638</f>
        <v>0</v>
      </c>
      <c r="AM638">
        <f>$H$638*$S$638</f>
        <v>592.9</v>
      </c>
      <c r="AN638">
        <f>$H$638*$T$638</f>
        <v>592.9</v>
      </c>
      <c r="AO638">
        <f>$H$638*$U$638</f>
        <v>592.9</v>
      </c>
      <c r="AP638">
        <f>$H$638*$V$638</f>
        <v>592.9</v>
      </c>
      <c r="AQ638">
        <f>$H$638*$W$638</f>
        <v>592.9</v>
      </c>
      <c r="AR638">
        <f>$H$638*$X$638</f>
        <v>592.9</v>
      </c>
      <c r="AS638">
        <f>$H$638*$Y$638</f>
        <v>592.9</v>
      </c>
      <c r="AT638">
        <f>$H$638*$Z$638</f>
        <v>592.9</v>
      </c>
      <c r="AU638">
        <f>$H$638*$AA$638</f>
        <v>592.9</v>
      </c>
      <c r="AV638">
        <f>$H$638*$AB$638</f>
        <v>592.9</v>
      </c>
      <c r="AW638">
        <f>$H$638*$AC$638</f>
        <v>592.9</v>
      </c>
      <c r="AX638">
        <f>$H$638*$AD$638</f>
        <v>592.9</v>
      </c>
      <c r="AY638">
        <f>$H$638*$AE$638</f>
        <v>592.9</v>
      </c>
      <c r="AZ638">
        <f>$H$638*$AF$638</f>
        <v>592.9</v>
      </c>
    </row>
    <row r="639" spans="1:52" x14ac:dyDescent="0.25">
      <c r="A639">
        <v>707</v>
      </c>
      <c r="B639" t="s">
        <v>281</v>
      </c>
      <c r="C639" t="s">
        <v>336</v>
      </c>
      <c r="D639">
        <v>1</v>
      </c>
      <c r="E639">
        <v>87.09</v>
      </c>
      <c r="F639" t="s">
        <v>335</v>
      </c>
      <c r="G639">
        <v>87.09</v>
      </c>
      <c r="H639">
        <v>104.51</v>
      </c>
      <c r="I639" t="s">
        <v>337</v>
      </c>
      <c r="J639" t="s">
        <v>338</v>
      </c>
      <c r="K639" t="s">
        <v>606</v>
      </c>
      <c r="L639" t="s">
        <v>179</v>
      </c>
      <c r="M639" t="s">
        <v>281</v>
      </c>
      <c r="N639" t="s">
        <v>12</v>
      </c>
      <c r="O639" t="s">
        <v>4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1</v>
      </c>
      <c r="AE639">
        <v>1</v>
      </c>
      <c r="AF639">
        <v>1</v>
      </c>
      <c r="AG639" t="s">
        <v>281</v>
      </c>
      <c r="AH639" t="s">
        <v>12</v>
      </c>
      <c r="AI639" t="s">
        <v>4</v>
      </c>
      <c r="AJ639">
        <f>$H$639*$P$639</f>
        <v>0</v>
      </c>
      <c r="AK639">
        <f>$H$639*$Q$639</f>
        <v>0</v>
      </c>
      <c r="AL639">
        <f>$H$639*$R$639</f>
        <v>0</v>
      </c>
      <c r="AM639">
        <f>$H$639*$S$639</f>
        <v>0</v>
      </c>
      <c r="AN639">
        <f>$H$639*$T$639</f>
        <v>0</v>
      </c>
      <c r="AO639">
        <f>$H$639*$U$639</f>
        <v>0</v>
      </c>
      <c r="AP639">
        <f>$H$639*$V$639</f>
        <v>0</v>
      </c>
      <c r="AQ639">
        <f>$H$639*$W$639</f>
        <v>0</v>
      </c>
      <c r="AR639">
        <f>$H$639*$X$639</f>
        <v>0</v>
      </c>
      <c r="AS639">
        <f>$H$639*$Y$639</f>
        <v>0</v>
      </c>
      <c r="AT639">
        <f>$H$639*$Z$639</f>
        <v>0</v>
      </c>
      <c r="AU639">
        <f>$H$639*$AA$639</f>
        <v>0</v>
      </c>
      <c r="AV639">
        <f>$H$639*$AB$639</f>
        <v>0</v>
      </c>
      <c r="AW639">
        <f>$H$639*$AC$639</f>
        <v>0</v>
      </c>
      <c r="AX639">
        <f>$H$639*$AD$639</f>
        <v>104.51</v>
      </c>
      <c r="AY639">
        <f>$H$639*$AE$639</f>
        <v>104.51</v>
      </c>
      <c r="AZ639">
        <f>$H$639*$AF$639</f>
        <v>104.51</v>
      </c>
    </row>
    <row r="640" spans="1:52" x14ac:dyDescent="0.25">
      <c r="A640">
        <v>708</v>
      </c>
      <c r="B640" t="s">
        <v>281</v>
      </c>
      <c r="C640" t="s">
        <v>358</v>
      </c>
      <c r="D640">
        <v>12</v>
      </c>
      <c r="E640">
        <v>53.28</v>
      </c>
      <c r="F640" t="s">
        <v>329</v>
      </c>
      <c r="G640">
        <v>4.4400000000000004</v>
      </c>
      <c r="H640">
        <v>63.94</v>
      </c>
      <c r="I640" t="s">
        <v>330</v>
      </c>
      <c r="J640" t="s">
        <v>359</v>
      </c>
      <c r="K640" t="s">
        <v>615</v>
      </c>
      <c r="L640" t="s">
        <v>179</v>
      </c>
      <c r="M640" t="s">
        <v>281</v>
      </c>
      <c r="N640" t="s">
        <v>12</v>
      </c>
      <c r="O640" t="s">
        <v>4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1</v>
      </c>
      <c r="AB640">
        <v>1</v>
      </c>
      <c r="AC640">
        <v>1</v>
      </c>
      <c r="AD640">
        <v>1</v>
      </c>
      <c r="AE640">
        <v>1</v>
      </c>
      <c r="AF640">
        <v>1</v>
      </c>
      <c r="AG640" t="s">
        <v>281</v>
      </c>
      <c r="AH640" t="s">
        <v>12</v>
      </c>
      <c r="AI640" t="s">
        <v>4</v>
      </c>
      <c r="AJ640">
        <f>$H$640*$P$640</f>
        <v>0</v>
      </c>
      <c r="AK640">
        <f>$H$640*$Q$640</f>
        <v>0</v>
      </c>
      <c r="AL640">
        <f>$H$640*$R$640</f>
        <v>0</v>
      </c>
      <c r="AM640">
        <f>$H$640*$S$640</f>
        <v>0</v>
      </c>
      <c r="AN640">
        <f>$H$640*$T$640</f>
        <v>0</v>
      </c>
      <c r="AO640">
        <f>$H$640*$U$640</f>
        <v>0</v>
      </c>
      <c r="AP640">
        <f>$H$640*$V$640</f>
        <v>0</v>
      </c>
      <c r="AQ640">
        <f>$H$640*$W$640</f>
        <v>0</v>
      </c>
      <c r="AR640">
        <f>$H$640*$X$640</f>
        <v>0</v>
      </c>
      <c r="AS640">
        <f>$H$640*$Y$640</f>
        <v>0</v>
      </c>
      <c r="AT640">
        <f>$H$640*$Z$640</f>
        <v>0</v>
      </c>
      <c r="AU640">
        <f>$H$640*$AA$640</f>
        <v>63.94</v>
      </c>
      <c r="AV640">
        <f>$H$640*$AB$640</f>
        <v>63.94</v>
      </c>
      <c r="AW640">
        <f>$H$640*$AC$640</f>
        <v>63.94</v>
      </c>
      <c r="AX640">
        <f>$H$640*$AD$640</f>
        <v>63.94</v>
      </c>
      <c r="AY640">
        <f>$H$640*$AE$640</f>
        <v>63.94</v>
      </c>
      <c r="AZ640">
        <f>$H$640*$AF$640</f>
        <v>63.94</v>
      </c>
    </row>
    <row r="641" spans="1:52" x14ac:dyDescent="0.25">
      <c r="A641">
        <v>709</v>
      </c>
      <c r="B641" t="s">
        <v>281</v>
      </c>
      <c r="C641" t="s">
        <v>472</v>
      </c>
      <c r="D641">
        <v>6</v>
      </c>
      <c r="E641">
        <v>64.56</v>
      </c>
      <c r="F641" t="s">
        <v>329</v>
      </c>
      <c r="G641">
        <v>10.76</v>
      </c>
      <c r="H641">
        <v>77.48</v>
      </c>
      <c r="I641" t="s">
        <v>333</v>
      </c>
      <c r="J641" t="s">
        <v>473</v>
      </c>
      <c r="K641" t="s">
        <v>670</v>
      </c>
      <c r="L641" t="s">
        <v>179</v>
      </c>
      <c r="M641" t="s">
        <v>281</v>
      </c>
      <c r="N641" t="s">
        <v>12</v>
      </c>
      <c r="O641" t="s">
        <v>4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1</v>
      </c>
      <c r="AA641">
        <v>1</v>
      </c>
      <c r="AB641">
        <v>1</v>
      </c>
      <c r="AC641">
        <v>1</v>
      </c>
      <c r="AD641">
        <v>1</v>
      </c>
      <c r="AE641">
        <v>1</v>
      </c>
      <c r="AF641">
        <v>1</v>
      </c>
      <c r="AG641" t="s">
        <v>281</v>
      </c>
      <c r="AH641" t="s">
        <v>12</v>
      </c>
      <c r="AI641" t="s">
        <v>4</v>
      </c>
      <c r="AJ641">
        <f>$H$641*$P$641</f>
        <v>0</v>
      </c>
      <c r="AK641">
        <f>$H$641*$Q$641</f>
        <v>0</v>
      </c>
      <c r="AL641">
        <f>$H$641*$R$641</f>
        <v>0</v>
      </c>
      <c r="AM641">
        <f>$H$641*$S$641</f>
        <v>0</v>
      </c>
      <c r="AN641">
        <f>$H$641*$T$641</f>
        <v>0</v>
      </c>
      <c r="AO641">
        <f>$H$641*$U$641</f>
        <v>0</v>
      </c>
      <c r="AP641">
        <f>$H$641*$V$641</f>
        <v>0</v>
      </c>
      <c r="AQ641">
        <f>$H$641*$W$641</f>
        <v>0</v>
      </c>
      <c r="AR641">
        <f>$H$641*$X$641</f>
        <v>0</v>
      </c>
      <c r="AS641">
        <f>$H$641*$Y$641</f>
        <v>0</v>
      </c>
      <c r="AT641">
        <f>$H$641*$Z$641</f>
        <v>77.48</v>
      </c>
      <c r="AU641">
        <f>$H$641*$AA$641</f>
        <v>77.48</v>
      </c>
      <c r="AV641">
        <f>$H$641*$AB$641</f>
        <v>77.48</v>
      </c>
      <c r="AW641">
        <f>$H$641*$AC$641</f>
        <v>77.48</v>
      </c>
      <c r="AX641">
        <f>$H$641*$AD$641</f>
        <v>77.48</v>
      </c>
      <c r="AY641">
        <f>$H$641*$AE$641</f>
        <v>77.48</v>
      </c>
      <c r="AZ641">
        <f>$H$641*$AF$641</f>
        <v>77.48</v>
      </c>
    </row>
    <row r="642" spans="1:52" x14ac:dyDescent="0.25">
      <c r="A642">
        <v>710</v>
      </c>
      <c r="B642" t="s">
        <v>281</v>
      </c>
      <c r="C642" t="s">
        <v>360</v>
      </c>
      <c r="D642">
        <v>6</v>
      </c>
      <c r="E642">
        <v>69.3</v>
      </c>
      <c r="F642" t="s">
        <v>329</v>
      </c>
      <c r="G642">
        <v>11.55</v>
      </c>
      <c r="H642">
        <v>83.16</v>
      </c>
      <c r="I642" t="s">
        <v>333</v>
      </c>
      <c r="J642" t="s">
        <v>361</v>
      </c>
      <c r="K642" t="s">
        <v>616</v>
      </c>
      <c r="L642" t="s">
        <v>179</v>
      </c>
      <c r="M642" t="s">
        <v>281</v>
      </c>
      <c r="N642" t="s">
        <v>12</v>
      </c>
      <c r="O642" t="s">
        <v>4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1</v>
      </c>
      <c r="AB642">
        <v>1</v>
      </c>
      <c r="AC642">
        <v>1</v>
      </c>
      <c r="AD642">
        <v>1</v>
      </c>
      <c r="AE642">
        <v>1</v>
      </c>
      <c r="AF642">
        <v>1</v>
      </c>
      <c r="AG642" t="s">
        <v>281</v>
      </c>
      <c r="AH642" t="s">
        <v>12</v>
      </c>
      <c r="AI642" t="s">
        <v>4</v>
      </c>
      <c r="AJ642">
        <f>$H$642*$P$642</f>
        <v>0</v>
      </c>
      <c r="AK642">
        <f>$H$642*$Q$642</f>
        <v>0</v>
      </c>
      <c r="AL642">
        <f>$H$642*$R$642</f>
        <v>0</v>
      </c>
      <c r="AM642">
        <f>$H$642*$S$642</f>
        <v>0</v>
      </c>
      <c r="AN642">
        <f>$H$642*$T$642</f>
        <v>0</v>
      </c>
      <c r="AO642">
        <f>$H$642*$U$642</f>
        <v>0</v>
      </c>
      <c r="AP642">
        <f>$H$642*$V$642</f>
        <v>0</v>
      </c>
      <c r="AQ642">
        <f>$H$642*$W$642</f>
        <v>0</v>
      </c>
      <c r="AR642">
        <f>$H$642*$X$642</f>
        <v>0</v>
      </c>
      <c r="AS642">
        <f>$H$642*$Y$642</f>
        <v>0</v>
      </c>
      <c r="AT642">
        <f>$H$642*$Z$642</f>
        <v>0</v>
      </c>
      <c r="AU642">
        <f>$H$642*$AA$642</f>
        <v>83.16</v>
      </c>
      <c r="AV642">
        <f>$H$642*$AB$642</f>
        <v>83.16</v>
      </c>
      <c r="AW642">
        <f>$H$642*$AC$642</f>
        <v>83.16</v>
      </c>
      <c r="AX642">
        <f>$H$642*$AD$642</f>
        <v>83.16</v>
      </c>
      <c r="AY642">
        <f>$H$642*$AE$642</f>
        <v>83.16</v>
      </c>
      <c r="AZ642">
        <f>$H$642*$AF$642</f>
        <v>83.16</v>
      </c>
    </row>
    <row r="643" spans="1:52" x14ac:dyDescent="0.25">
      <c r="A643">
        <v>711</v>
      </c>
      <c r="B643" t="s">
        <v>281</v>
      </c>
      <c r="C643" t="s">
        <v>431</v>
      </c>
      <c r="D643">
        <v>6</v>
      </c>
      <c r="E643">
        <v>28.5</v>
      </c>
      <c r="F643" t="s">
        <v>329</v>
      </c>
      <c r="G643">
        <v>4.75</v>
      </c>
      <c r="H643">
        <v>34.200000000000003</v>
      </c>
      <c r="I643" t="s">
        <v>333</v>
      </c>
      <c r="J643" t="s">
        <v>432</v>
      </c>
      <c r="K643" t="s">
        <v>650</v>
      </c>
      <c r="L643" t="s">
        <v>179</v>
      </c>
      <c r="M643" t="s">
        <v>281</v>
      </c>
      <c r="N643" t="s">
        <v>12</v>
      </c>
      <c r="O643" t="s">
        <v>4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1</v>
      </c>
      <c r="AD643">
        <v>1</v>
      </c>
      <c r="AE643">
        <v>1</v>
      </c>
      <c r="AF643">
        <v>1</v>
      </c>
      <c r="AG643" t="s">
        <v>281</v>
      </c>
      <c r="AH643" t="s">
        <v>12</v>
      </c>
      <c r="AI643" t="s">
        <v>4</v>
      </c>
      <c r="AJ643">
        <f>$H$643*$P$643</f>
        <v>0</v>
      </c>
      <c r="AK643">
        <f>$H$643*$Q$643</f>
        <v>0</v>
      </c>
      <c r="AL643">
        <f>$H$643*$R$643</f>
        <v>0</v>
      </c>
      <c r="AM643">
        <f>$H$643*$S$643</f>
        <v>0</v>
      </c>
      <c r="AN643">
        <f>$H$643*$T$643</f>
        <v>0</v>
      </c>
      <c r="AO643">
        <f>$H$643*$U$643</f>
        <v>0</v>
      </c>
      <c r="AP643">
        <f>$H$643*$V$643</f>
        <v>0</v>
      </c>
      <c r="AQ643">
        <f>$H$643*$W$643</f>
        <v>0</v>
      </c>
      <c r="AR643">
        <f>$H$643*$X$643</f>
        <v>0</v>
      </c>
      <c r="AS643">
        <f>$H$643*$Y$643</f>
        <v>0</v>
      </c>
      <c r="AT643">
        <f>$H$643*$Z$643</f>
        <v>0</v>
      </c>
      <c r="AU643">
        <f>$H$643*$AA$643</f>
        <v>0</v>
      </c>
      <c r="AV643">
        <f>$H$643*$AB$643</f>
        <v>0</v>
      </c>
      <c r="AW643">
        <f>$H$643*$AC$643</f>
        <v>34.200000000000003</v>
      </c>
      <c r="AX643">
        <f>$H$643*$AD$643</f>
        <v>34.200000000000003</v>
      </c>
      <c r="AY643">
        <f>$H$643*$AE$643</f>
        <v>34.200000000000003</v>
      </c>
      <c r="AZ643">
        <f>$H$643*$AF$643</f>
        <v>34.200000000000003</v>
      </c>
    </row>
    <row r="644" spans="1:52" x14ac:dyDescent="0.25">
      <c r="A644">
        <v>712</v>
      </c>
      <c r="B644" t="s">
        <v>281</v>
      </c>
      <c r="C644" t="s">
        <v>435</v>
      </c>
      <c r="D644">
        <v>8</v>
      </c>
      <c r="E644">
        <v>106.16</v>
      </c>
      <c r="F644" t="s">
        <v>335</v>
      </c>
      <c r="G644">
        <v>13.27</v>
      </c>
      <c r="H644">
        <v>127.4</v>
      </c>
      <c r="I644" t="s">
        <v>337</v>
      </c>
      <c r="J644" t="s">
        <v>436</v>
      </c>
      <c r="K644" t="s">
        <v>652</v>
      </c>
      <c r="L644" t="s">
        <v>179</v>
      </c>
      <c r="M644" t="s">
        <v>281</v>
      </c>
      <c r="N644" t="s">
        <v>12</v>
      </c>
      <c r="O644" t="s">
        <v>4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1</v>
      </c>
      <c r="Y644">
        <v>1</v>
      </c>
      <c r="Z644">
        <v>1</v>
      </c>
      <c r="AA644">
        <v>1</v>
      </c>
      <c r="AB644">
        <v>1</v>
      </c>
      <c r="AC644">
        <v>1</v>
      </c>
      <c r="AD644">
        <v>1</v>
      </c>
      <c r="AE644">
        <v>1</v>
      </c>
      <c r="AF644">
        <v>1</v>
      </c>
      <c r="AG644" t="s">
        <v>281</v>
      </c>
      <c r="AH644" t="s">
        <v>12</v>
      </c>
      <c r="AI644" t="s">
        <v>4</v>
      </c>
      <c r="AJ644">
        <f>$H$644*$P$644</f>
        <v>0</v>
      </c>
      <c r="AK644">
        <f>$H$644*$Q$644</f>
        <v>0</v>
      </c>
      <c r="AL644">
        <f>$H$644*$R$644</f>
        <v>0</v>
      </c>
      <c r="AM644">
        <f>$H$644*$S$644</f>
        <v>0</v>
      </c>
      <c r="AN644">
        <f>$H$644*$T$644</f>
        <v>0</v>
      </c>
      <c r="AO644">
        <f>$H$644*$U$644</f>
        <v>0</v>
      </c>
      <c r="AP644">
        <f>$H$644*$V$644</f>
        <v>0</v>
      </c>
      <c r="AQ644">
        <f>$H$644*$W$644</f>
        <v>0</v>
      </c>
      <c r="AR644">
        <f>$H$644*$X$644</f>
        <v>127.4</v>
      </c>
      <c r="AS644">
        <f>$H$644*$Y$644</f>
        <v>127.4</v>
      </c>
      <c r="AT644">
        <f>$H$644*$Z$644</f>
        <v>127.4</v>
      </c>
      <c r="AU644">
        <f>$H$644*$AA$644</f>
        <v>127.4</v>
      </c>
      <c r="AV644">
        <f>$H$644*$AB$644</f>
        <v>127.4</v>
      </c>
      <c r="AW644">
        <f>$H$644*$AC$644</f>
        <v>127.4</v>
      </c>
      <c r="AX644">
        <f>$H$644*$AD$644</f>
        <v>127.4</v>
      </c>
      <c r="AY644">
        <f>$H$644*$AE$644</f>
        <v>127.4</v>
      </c>
      <c r="AZ644">
        <f>$H$644*$AF$644</f>
        <v>127.4</v>
      </c>
    </row>
    <row r="645" spans="1:52" x14ac:dyDescent="0.25">
      <c r="A645">
        <v>713</v>
      </c>
      <c r="B645" t="s">
        <v>281</v>
      </c>
      <c r="C645" t="s">
        <v>437</v>
      </c>
      <c r="D645">
        <v>1</v>
      </c>
      <c r="E645">
        <v>98.82</v>
      </c>
      <c r="F645" t="s">
        <v>335</v>
      </c>
      <c r="G645">
        <v>98.82</v>
      </c>
      <c r="H645">
        <v>118.58</v>
      </c>
      <c r="I645" t="s">
        <v>340</v>
      </c>
      <c r="J645" t="s">
        <v>372</v>
      </c>
      <c r="K645" t="s">
        <v>653</v>
      </c>
      <c r="L645" t="s">
        <v>179</v>
      </c>
      <c r="M645" t="s">
        <v>281</v>
      </c>
      <c r="N645" t="s">
        <v>12</v>
      </c>
      <c r="O645" t="s">
        <v>4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1</v>
      </c>
      <c r="AE645">
        <v>1</v>
      </c>
      <c r="AF645">
        <v>1</v>
      </c>
      <c r="AG645" t="s">
        <v>281</v>
      </c>
      <c r="AH645" t="s">
        <v>12</v>
      </c>
      <c r="AI645" t="s">
        <v>4</v>
      </c>
      <c r="AJ645">
        <f>$H$645*$P$645</f>
        <v>0</v>
      </c>
      <c r="AK645">
        <f>$H$645*$Q$645</f>
        <v>0</v>
      </c>
      <c r="AL645">
        <f>$H$645*$R$645</f>
        <v>0</v>
      </c>
      <c r="AM645">
        <f>$H$645*$S$645</f>
        <v>0</v>
      </c>
      <c r="AN645">
        <f>$H$645*$T$645</f>
        <v>0</v>
      </c>
      <c r="AO645">
        <f>$H$645*$U$645</f>
        <v>0</v>
      </c>
      <c r="AP645">
        <f>$H$645*$V$645</f>
        <v>0</v>
      </c>
      <c r="AQ645">
        <f>$H$645*$W$645</f>
        <v>0</v>
      </c>
      <c r="AR645">
        <f>$H$645*$X$645</f>
        <v>0</v>
      </c>
      <c r="AS645">
        <f>$H$645*$Y$645</f>
        <v>0</v>
      </c>
      <c r="AT645">
        <f>$H$645*$Z$645</f>
        <v>0</v>
      </c>
      <c r="AU645">
        <f>$H$645*$AA$645</f>
        <v>0</v>
      </c>
      <c r="AV645">
        <f>$H$645*$AB$645</f>
        <v>0</v>
      </c>
      <c r="AW645">
        <f>$H$645*$AC$645</f>
        <v>0</v>
      </c>
      <c r="AX645">
        <f>$H$645*$AD$645</f>
        <v>118.58</v>
      </c>
      <c r="AY645">
        <f>$H$645*$AE$645</f>
        <v>118.58</v>
      </c>
      <c r="AZ645">
        <f>$H$645*$AF$645</f>
        <v>118.58</v>
      </c>
    </row>
    <row r="646" spans="1:52" x14ac:dyDescent="0.25">
      <c r="A646">
        <v>714</v>
      </c>
      <c r="B646" t="s">
        <v>281</v>
      </c>
      <c r="C646" t="s">
        <v>367</v>
      </c>
      <c r="D646">
        <v>1</v>
      </c>
      <c r="E646">
        <v>62.41</v>
      </c>
      <c r="F646" t="s">
        <v>335</v>
      </c>
      <c r="G646">
        <v>62.41</v>
      </c>
      <c r="H646">
        <v>74.89</v>
      </c>
      <c r="I646" t="s">
        <v>368</v>
      </c>
      <c r="J646" t="s">
        <v>369</v>
      </c>
      <c r="K646" t="s">
        <v>619</v>
      </c>
      <c r="L646" t="s">
        <v>179</v>
      </c>
      <c r="M646" t="s">
        <v>281</v>
      </c>
      <c r="N646" t="s">
        <v>12</v>
      </c>
      <c r="O646" t="s">
        <v>4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1</v>
      </c>
      <c r="AB646">
        <v>1</v>
      </c>
      <c r="AC646">
        <v>1</v>
      </c>
      <c r="AD646">
        <v>1</v>
      </c>
      <c r="AE646">
        <v>1</v>
      </c>
      <c r="AF646">
        <v>1</v>
      </c>
      <c r="AG646" t="s">
        <v>281</v>
      </c>
      <c r="AH646" t="s">
        <v>12</v>
      </c>
      <c r="AI646" t="s">
        <v>4</v>
      </c>
      <c r="AJ646">
        <f>$H$646*$P$646</f>
        <v>0</v>
      </c>
      <c r="AK646">
        <f>$H$646*$Q$646</f>
        <v>0</v>
      </c>
      <c r="AL646">
        <f>$H$646*$R$646</f>
        <v>0</v>
      </c>
      <c r="AM646">
        <f>$H$646*$S$646</f>
        <v>0</v>
      </c>
      <c r="AN646">
        <f>$H$646*$T$646</f>
        <v>0</v>
      </c>
      <c r="AO646">
        <f>$H$646*$U$646</f>
        <v>0</v>
      </c>
      <c r="AP646">
        <f>$H$646*$V$646</f>
        <v>0</v>
      </c>
      <c r="AQ646">
        <f>$H$646*$W$646</f>
        <v>0</v>
      </c>
      <c r="AR646">
        <f>$H$646*$X$646</f>
        <v>0</v>
      </c>
      <c r="AS646">
        <f>$H$646*$Y$646</f>
        <v>0</v>
      </c>
      <c r="AT646">
        <f>$H$646*$Z$646</f>
        <v>0</v>
      </c>
      <c r="AU646">
        <f>$H$646*$AA$646</f>
        <v>74.89</v>
      </c>
      <c r="AV646">
        <f>$H$646*$AB$646</f>
        <v>74.89</v>
      </c>
      <c r="AW646">
        <f>$H$646*$AC$646</f>
        <v>74.89</v>
      </c>
      <c r="AX646">
        <f>$H$646*$AD$646</f>
        <v>74.89</v>
      </c>
      <c r="AY646">
        <f>$H$646*$AE$646</f>
        <v>74.89</v>
      </c>
      <c r="AZ646">
        <f>$H$646*$AF$646</f>
        <v>74.89</v>
      </c>
    </row>
    <row r="647" spans="1:52" x14ac:dyDescent="0.25">
      <c r="A647">
        <v>715</v>
      </c>
      <c r="B647" t="s">
        <v>281</v>
      </c>
      <c r="C647" t="s">
        <v>531</v>
      </c>
      <c r="D647">
        <v>2</v>
      </c>
      <c r="E647">
        <v>110.04</v>
      </c>
      <c r="F647" t="s">
        <v>335</v>
      </c>
      <c r="G647">
        <v>55.02</v>
      </c>
      <c r="H647">
        <v>132.04</v>
      </c>
      <c r="I647" t="s">
        <v>330</v>
      </c>
      <c r="J647" t="s">
        <v>532</v>
      </c>
      <c r="K647" t="s">
        <v>698</v>
      </c>
      <c r="L647" t="s">
        <v>179</v>
      </c>
      <c r="M647" t="s">
        <v>281</v>
      </c>
      <c r="N647" t="s">
        <v>12</v>
      </c>
      <c r="O647" t="s">
        <v>4</v>
      </c>
      <c r="P647">
        <v>0</v>
      </c>
      <c r="Q647">
        <v>0</v>
      </c>
      <c r="R647">
        <v>0</v>
      </c>
      <c r="S647">
        <v>1</v>
      </c>
      <c r="T647">
        <v>1</v>
      </c>
      <c r="U647">
        <v>1</v>
      </c>
      <c r="V647">
        <v>1</v>
      </c>
      <c r="W647">
        <v>1</v>
      </c>
      <c r="X647">
        <v>1</v>
      </c>
      <c r="Y647">
        <v>1</v>
      </c>
      <c r="Z647">
        <v>1</v>
      </c>
      <c r="AA647">
        <v>1</v>
      </c>
      <c r="AB647">
        <v>1</v>
      </c>
      <c r="AC647">
        <v>1</v>
      </c>
      <c r="AD647">
        <v>1</v>
      </c>
      <c r="AE647">
        <v>1</v>
      </c>
      <c r="AF647">
        <v>1</v>
      </c>
      <c r="AG647" t="s">
        <v>281</v>
      </c>
      <c r="AH647" t="s">
        <v>12</v>
      </c>
      <c r="AI647" t="s">
        <v>4</v>
      </c>
      <c r="AJ647">
        <f>$H$647*$P$647</f>
        <v>0</v>
      </c>
      <c r="AK647">
        <f>$H$647*$Q$647</f>
        <v>0</v>
      </c>
      <c r="AL647">
        <f>$H$647*$R$647</f>
        <v>0</v>
      </c>
      <c r="AM647">
        <f>$H$647*$S$647</f>
        <v>132.04</v>
      </c>
      <c r="AN647">
        <f>$H$647*$T$647</f>
        <v>132.04</v>
      </c>
      <c r="AO647">
        <f>$H$647*$U$647</f>
        <v>132.04</v>
      </c>
      <c r="AP647">
        <f>$H$647*$V$647</f>
        <v>132.04</v>
      </c>
      <c r="AQ647">
        <f>$H$647*$W$647</f>
        <v>132.04</v>
      </c>
      <c r="AR647">
        <f>$H$647*$X$647</f>
        <v>132.04</v>
      </c>
      <c r="AS647">
        <f>$H$647*$Y$647</f>
        <v>132.04</v>
      </c>
      <c r="AT647">
        <f>$H$647*$Z$647</f>
        <v>132.04</v>
      </c>
      <c r="AU647">
        <f>$H$647*$AA$647</f>
        <v>132.04</v>
      </c>
      <c r="AV647">
        <f>$H$647*$AB$647</f>
        <v>132.04</v>
      </c>
      <c r="AW647">
        <f>$H$647*$AC$647</f>
        <v>132.04</v>
      </c>
      <c r="AX647">
        <f>$H$647*$AD$647</f>
        <v>132.04</v>
      </c>
      <c r="AY647">
        <f>$H$647*$AE$647</f>
        <v>132.04</v>
      </c>
      <c r="AZ647">
        <f>$H$647*$AF$647</f>
        <v>132.04</v>
      </c>
    </row>
    <row r="648" spans="1:52" x14ac:dyDescent="0.25">
      <c r="A648">
        <v>716</v>
      </c>
      <c r="B648" t="s">
        <v>281</v>
      </c>
      <c r="C648" t="s">
        <v>533</v>
      </c>
      <c r="D648">
        <v>1</v>
      </c>
      <c r="E648">
        <v>434.33</v>
      </c>
      <c r="F648" t="s">
        <v>335</v>
      </c>
      <c r="G648">
        <v>434.33</v>
      </c>
      <c r="H648">
        <v>521.19000000000005</v>
      </c>
      <c r="I648" t="s">
        <v>371</v>
      </c>
      <c r="J648" t="s">
        <v>534</v>
      </c>
      <c r="K648" t="s">
        <v>699</v>
      </c>
      <c r="L648" t="s">
        <v>179</v>
      </c>
      <c r="M648" t="s">
        <v>281</v>
      </c>
      <c r="N648" t="s">
        <v>12</v>
      </c>
      <c r="O648" t="s">
        <v>4</v>
      </c>
      <c r="P648">
        <v>0</v>
      </c>
      <c r="Q648">
        <v>0</v>
      </c>
      <c r="R648">
        <v>0</v>
      </c>
      <c r="S648">
        <v>0</v>
      </c>
      <c r="T648">
        <v>1</v>
      </c>
      <c r="U648">
        <v>1</v>
      </c>
      <c r="V648">
        <v>1</v>
      </c>
      <c r="W648">
        <v>1</v>
      </c>
      <c r="X648">
        <v>1</v>
      </c>
      <c r="Y648">
        <v>1</v>
      </c>
      <c r="Z648">
        <v>1</v>
      </c>
      <c r="AA648">
        <v>1</v>
      </c>
      <c r="AB648">
        <v>1</v>
      </c>
      <c r="AC648">
        <v>1</v>
      </c>
      <c r="AD648">
        <v>1</v>
      </c>
      <c r="AE648">
        <v>1</v>
      </c>
      <c r="AF648">
        <v>1</v>
      </c>
      <c r="AG648" t="s">
        <v>281</v>
      </c>
      <c r="AH648" t="s">
        <v>12</v>
      </c>
      <c r="AI648" t="s">
        <v>4</v>
      </c>
      <c r="AJ648">
        <f>$H$648*$P$648</f>
        <v>0</v>
      </c>
      <c r="AK648">
        <f>$H$648*$Q$648</f>
        <v>0</v>
      </c>
      <c r="AL648">
        <f>$H$648*$R$648</f>
        <v>0</v>
      </c>
      <c r="AM648">
        <f>$H$648*$S$648</f>
        <v>0</v>
      </c>
      <c r="AN648">
        <f>$H$648*$T$648</f>
        <v>521.19000000000005</v>
      </c>
      <c r="AO648">
        <f>$H$648*$U$648</f>
        <v>521.19000000000005</v>
      </c>
      <c r="AP648">
        <f>$H$648*$V$648</f>
        <v>521.19000000000005</v>
      </c>
      <c r="AQ648">
        <f>$H$648*$W$648</f>
        <v>521.19000000000005</v>
      </c>
      <c r="AR648">
        <f>$H$648*$X$648</f>
        <v>521.19000000000005</v>
      </c>
      <c r="AS648">
        <f>$H$648*$Y$648</f>
        <v>521.19000000000005</v>
      </c>
      <c r="AT648">
        <f>$H$648*$Z$648</f>
        <v>521.19000000000005</v>
      </c>
      <c r="AU648">
        <f>$H$648*$AA$648</f>
        <v>521.19000000000005</v>
      </c>
      <c r="AV648">
        <f>$H$648*$AB$648</f>
        <v>521.19000000000005</v>
      </c>
      <c r="AW648">
        <f>$H$648*$AC$648</f>
        <v>521.19000000000005</v>
      </c>
      <c r="AX648">
        <f>$H$648*$AD$648</f>
        <v>521.19000000000005</v>
      </c>
      <c r="AY648">
        <f>$H$648*$AE$648</f>
        <v>521.19000000000005</v>
      </c>
      <c r="AZ648">
        <f>$H$648*$AF$648</f>
        <v>521.19000000000005</v>
      </c>
    </row>
    <row r="649" spans="1:52" x14ac:dyDescent="0.25">
      <c r="A649">
        <v>717</v>
      </c>
      <c r="B649" t="s">
        <v>281</v>
      </c>
      <c r="C649" t="s">
        <v>375</v>
      </c>
      <c r="D649">
        <v>2</v>
      </c>
      <c r="E649">
        <v>77.86</v>
      </c>
      <c r="F649" t="s">
        <v>335</v>
      </c>
      <c r="G649">
        <v>38.93</v>
      </c>
      <c r="H649">
        <v>93.44</v>
      </c>
      <c r="I649" t="s">
        <v>330</v>
      </c>
      <c r="J649" t="s">
        <v>371</v>
      </c>
      <c r="K649" t="s">
        <v>622</v>
      </c>
      <c r="L649" t="s">
        <v>179</v>
      </c>
      <c r="M649" t="s">
        <v>281</v>
      </c>
      <c r="N649" t="s">
        <v>12</v>
      </c>
      <c r="O649" t="s">
        <v>4</v>
      </c>
      <c r="P649">
        <v>0</v>
      </c>
      <c r="Q649">
        <v>0</v>
      </c>
      <c r="R649">
        <v>0</v>
      </c>
      <c r="S649">
        <v>1</v>
      </c>
      <c r="T649">
        <v>1</v>
      </c>
      <c r="U649">
        <v>1</v>
      </c>
      <c r="V649">
        <v>1</v>
      </c>
      <c r="W649">
        <v>1</v>
      </c>
      <c r="X649">
        <v>1</v>
      </c>
      <c r="Y649">
        <v>1</v>
      </c>
      <c r="Z649">
        <v>1</v>
      </c>
      <c r="AA649">
        <v>1</v>
      </c>
      <c r="AB649">
        <v>1</v>
      </c>
      <c r="AC649">
        <v>1</v>
      </c>
      <c r="AD649">
        <v>1</v>
      </c>
      <c r="AE649">
        <v>1</v>
      </c>
      <c r="AF649">
        <v>1</v>
      </c>
      <c r="AG649" t="s">
        <v>281</v>
      </c>
      <c r="AH649" t="s">
        <v>12</v>
      </c>
      <c r="AI649" t="s">
        <v>4</v>
      </c>
      <c r="AJ649">
        <f>$H$649*$P$649</f>
        <v>0</v>
      </c>
      <c r="AK649">
        <f>$H$649*$Q$649</f>
        <v>0</v>
      </c>
      <c r="AL649">
        <f>$H$649*$R$649</f>
        <v>0</v>
      </c>
      <c r="AM649">
        <f>$H$649*$S$649</f>
        <v>93.44</v>
      </c>
      <c r="AN649">
        <f>$H$649*$T$649</f>
        <v>93.44</v>
      </c>
      <c r="AO649">
        <f>$H$649*$U$649</f>
        <v>93.44</v>
      </c>
      <c r="AP649">
        <f>$H$649*$V$649</f>
        <v>93.44</v>
      </c>
      <c r="AQ649">
        <f>$H$649*$W$649</f>
        <v>93.44</v>
      </c>
      <c r="AR649">
        <f>$H$649*$X$649</f>
        <v>93.44</v>
      </c>
      <c r="AS649">
        <f>$H$649*$Y$649</f>
        <v>93.44</v>
      </c>
      <c r="AT649">
        <f>$H$649*$Z$649</f>
        <v>93.44</v>
      </c>
      <c r="AU649">
        <f>$H$649*$AA$649</f>
        <v>93.44</v>
      </c>
      <c r="AV649">
        <f>$H$649*$AB$649</f>
        <v>93.44</v>
      </c>
      <c r="AW649">
        <f>$H$649*$AC$649</f>
        <v>93.44</v>
      </c>
      <c r="AX649">
        <f>$H$649*$AD$649</f>
        <v>93.44</v>
      </c>
      <c r="AY649">
        <f>$H$649*$AE$649</f>
        <v>93.44</v>
      </c>
      <c r="AZ649">
        <f>$H$649*$AF$649</f>
        <v>93.44</v>
      </c>
    </row>
    <row r="650" spans="1:52" x14ac:dyDescent="0.25">
      <c r="A650">
        <v>718</v>
      </c>
      <c r="B650" t="s">
        <v>281</v>
      </c>
      <c r="C650" t="s">
        <v>373</v>
      </c>
      <c r="D650">
        <v>2</v>
      </c>
      <c r="E650">
        <v>62.72</v>
      </c>
      <c r="F650" t="s">
        <v>335</v>
      </c>
      <c r="G650">
        <v>31.36</v>
      </c>
      <c r="H650">
        <v>75.260000000000005</v>
      </c>
      <c r="I650" t="s">
        <v>330</v>
      </c>
      <c r="J650" t="s">
        <v>374</v>
      </c>
      <c r="K650" t="s">
        <v>621</v>
      </c>
      <c r="L650" t="s">
        <v>179</v>
      </c>
      <c r="M650" t="s">
        <v>281</v>
      </c>
      <c r="N650" t="s">
        <v>12</v>
      </c>
      <c r="O650" t="s">
        <v>4</v>
      </c>
      <c r="P650">
        <v>0</v>
      </c>
      <c r="Q650">
        <v>0</v>
      </c>
      <c r="R650">
        <v>0</v>
      </c>
      <c r="S650">
        <v>1</v>
      </c>
      <c r="T650">
        <v>1</v>
      </c>
      <c r="U650">
        <v>1</v>
      </c>
      <c r="V650">
        <v>1</v>
      </c>
      <c r="W650">
        <v>1</v>
      </c>
      <c r="X650">
        <v>1</v>
      </c>
      <c r="Y650">
        <v>1</v>
      </c>
      <c r="Z650">
        <v>1</v>
      </c>
      <c r="AA650">
        <v>1</v>
      </c>
      <c r="AB650">
        <v>1</v>
      </c>
      <c r="AC650">
        <v>1</v>
      </c>
      <c r="AD650">
        <v>1</v>
      </c>
      <c r="AE650">
        <v>1</v>
      </c>
      <c r="AF650">
        <v>1</v>
      </c>
      <c r="AG650" t="s">
        <v>281</v>
      </c>
      <c r="AH650" t="s">
        <v>12</v>
      </c>
      <c r="AI650" t="s">
        <v>4</v>
      </c>
      <c r="AJ650">
        <f>$H$650*$P$650</f>
        <v>0</v>
      </c>
      <c r="AK650">
        <f>$H$650*$Q$650</f>
        <v>0</v>
      </c>
      <c r="AL650">
        <f>$H$650*$R$650</f>
        <v>0</v>
      </c>
      <c r="AM650">
        <f>$H$650*$S$650</f>
        <v>75.260000000000005</v>
      </c>
      <c r="AN650">
        <f>$H$650*$T$650</f>
        <v>75.260000000000005</v>
      </c>
      <c r="AO650">
        <f>$H$650*$U$650</f>
        <v>75.260000000000005</v>
      </c>
      <c r="AP650">
        <f>$H$650*$V$650</f>
        <v>75.260000000000005</v>
      </c>
      <c r="AQ650">
        <f>$H$650*$W$650</f>
        <v>75.260000000000005</v>
      </c>
      <c r="AR650">
        <f>$H$650*$X$650</f>
        <v>75.260000000000005</v>
      </c>
      <c r="AS650">
        <f>$H$650*$Y$650</f>
        <v>75.260000000000005</v>
      </c>
      <c r="AT650">
        <f>$H$650*$Z$650</f>
        <v>75.260000000000005</v>
      </c>
      <c r="AU650">
        <f>$H$650*$AA$650</f>
        <v>75.260000000000005</v>
      </c>
      <c r="AV650">
        <f>$H$650*$AB$650</f>
        <v>75.260000000000005</v>
      </c>
      <c r="AW650">
        <f>$H$650*$AC$650</f>
        <v>75.260000000000005</v>
      </c>
      <c r="AX650">
        <f>$H$650*$AD$650</f>
        <v>75.260000000000005</v>
      </c>
      <c r="AY650">
        <f>$H$650*$AE$650</f>
        <v>75.260000000000005</v>
      </c>
      <c r="AZ650">
        <f>$H$650*$AF$650</f>
        <v>75.260000000000005</v>
      </c>
    </row>
    <row r="651" spans="1:52" x14ac:dyDescent="0.25">
      <c r="A651">
        <v>719</v>
      </c>
      <c r="B651" t="s">
        <v>281</v>
      </c>
      <c r="C651" t="s">
        <v>370</v>
      </c>
      <c r="D651">
        <v>1</v>
      </c>
      <c r="E651">
        <v>366.18</v>
      </c>
      <c r="F651" t="s">
        <v>335</v>
      </c>
      <c r="G651">
        <v>366.18</v>
      </c>
      <c r="H651">
        <v>439.42</v>
      </c>
      <c r="I651" t="s">
        <v>371</v>
      </c>
      <c r="J651" t="s">
        <v>372</v>
      </c>
      <c r="K651" t="s">
        <v>620</v>
      </c>
      <c r="L651" t="s">
        <v>179</v>
      </c>
      <c r="M651" t="s">
        <v>281</v>
      </c>
      <c r="N651" t="s">
        <v>12</v>
      </c>
      <c r="O651" t="s">
        <v>4</v>
      </c>
      <c r="P651">
        <v>0</v>
      </c>
      <c r="Q651">
        <v>0</v>
      </c>
      <c r="R651">
        <v>0</v>
      </c>
      <c r="S651">
        <v>0</v>
      </c>
      <c r="T651">
        <v>1</v>
      </c>
      <c r="U651">
        <v>1</v>
      </c>
      <c r="V651">
        <v>1</v>
      </c>
      <c r="W651">
        <v>1</v>
      </c>
      <c r="X651">
        <v>1</v>
      </c>
      <c r="Y651">
        <v>1</v>
      </c>
      <c r="Z651">
        <v>1</v>
      </c>
      <c r="AA651">
        <v>1</v>
      </c>
      <c r="AB651">
        <v>1</v>
      </c>
      <c r="AC651">
        <v>1</v>
      </c>
      <c r="AD651">
        <v>1</v>
      </c>
      <c r="AE651">
        <v>1</v>
      </c>
      <c r="AF651">
        <v>1</v>
      </c>
      <c r="AG651" t="s">
        <v>281</v>
      </c>
      <c r="AH651" t="s">
        <v>12</v>
      </c>
      <c r="AI651" t="s">
        <v>4</v>
      </c>
      <c r="AJ651">
        <f>$H$651*$P$651</f>
        <v>0</v>
      </c>
      <c r="AK651">
        <f>$H$651*$Q$651</f>
        <v>0</v>
      </c>
      <c r="AL651">
        <f>$H$651*$R$651</f>
        <v>0</v>
      </c>
      <c r="AM651">
        <f>$H$651*$S$651</f>
        <v>0</v>
      </c>
      <c r="AN651">
        <f>$H$651*$T$651</f>
        <v>439.42</v>
      </c>
      <c r="AO651">
        <f>$H$651*$U$651</f>
        <v>439.42</v>
      </c>
      <c r="AP651">
        <f>$H$651*$V$651</f>
        <v>439.42</v>
      </c>
      <c r="AQ651">
        <f>$H$651*$W$651</f>
        <v>439.42</v>
      </c>
      <c r="AR651">
        <f>$H$651*$X$651</f>
        <v>439.42</v>
      </c>
      <c r="AS651">
        <f>$H$651*$Y$651</f>
        <v>439.42</v>
      </c>
      <c r="AT651">
        <f>$H$651*$Z$651</f>
        <v>439.42</v>
      </c>
      <c r="AU651">
        <f>$H$651*$AA$651</f>
        <v>439.42</v>
      </c>
      <c r="AV651">
        <f>$H$651*$AB$651</f>
        <v>439.42</v>
      </c>
      <c r="AW651">
        <f>$H$651*$AC$651</f>
        <v>439.42</v>
      </c>
      <c r="AX651">
        <f>$H$651*$AD$651</f>
        <v>439.42</v>
      </c>
      <c r="AY651">
        <f>$H$651*$AE$651</f>
        <v>439.42</v>
      </c>
      <c r="AZ651">
        <f>$H$651*$AF$651</f>
        <v>439.42</v>
      </c>
    </row>
    <row r="652" spans="1:52" x14ac:dyDescent="0.25">
      <c r="A652">
        <v>720</v>
      </c>
      <c r="B652" t="s">
        <v>281</v>
      </c>
      <c r="C652" t="s">
        <v>438</v>
      </c>
      <c r="D652">
        <v>20.47</v>
      </c>
      <c r="E652">
        <v>53.63</v>
      </c>
      <c r="F652" t="s">
        <v>329</v>
      </c>
      <c r="G652">
        <v>2.62</v>
      </c>
      <c r="H652">
        <v>64.349999999999994</v>
      </c>
      <c r="I652" t="s">
        <v>439</v>
      </c>
      <c r="J652" t="s">
        <v>440</v>
      </c>
      <c r="K652" t="s">
        <v>654</v>
      </c>
      <c r="L652" t="s">
        <v>179</v>
      </c>
      <c r="M652" t="s">
        <v>281</v>
      </c>
      <c r="N652" t="s">
        <v>12</v>
      </c>
      <c r="O652" t="s">
        <v>4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1</v>
      </c>
      <c r="AB652">
        <v>1</v>
      </c>
      <c r="AC652">
        <v>1</v>
      </c>
      <c r="AD652">
        <v>1</v>
      </c>
      <c r="AE652">
        <v>1</v>
      </c>
      <c r="AF652">
        <v>1</v>
      </c>
      <c r="AG652" t="s">
        <v>281</v>
      </c>
      <c r="AH652" t="s">
        <v>12</v>
      </c>
      <c r="AI652" t="s">
        <v>4</v>
      </c>
      <c r="AJ652">
        <f>$H$652*$P$652</f>
        <v>0</v>
      </c>
      <c r="AK652">
        <f>$H$652*$Q$652</f>
        <v>0</v>
      </c>
      <c r="AL652">
        <f>$H$652*$R$652</f>
        <v>0</v>
      </c>
      <c r="AM652">
        <f>$H$652*$S$652</f>
        <v>0</v>
      </c>
      <c r="AN652">
        <f>$H$652*$T$652</f>
        <v>0</v>
      </c>
      <c r="AO652">
        <f>$H$652*$U$652</f>
        <v>0</v>
      </c>
      <c r="AP652">
        <f>$H$652*$V$652</f>
        <v>0</v>
      </c>
      <c r="AQ652">
        <f>$H$652*$W$652</f>
        <v>0</v>
      </c>
      <c r="AR652">
        <f>$H$652*$X$652</f>
        <v>0</v>
      </c>
      <c r="AS652">
        <f>$H$652*$Y$652</f>
        <v>0</v>
      </c>
      <c r="AT652">
        <f>$H$652*$Z$652</f>
        <v>0</v>
      </c>
      <c r="AU652">
        <f>$H$652*$AA$652</f>
        <v>64.349999999999994</v>
      </c>
      <c r="AV652">
        <f>$H$652*$AB$652</f>
        <v>64.349999999999994</v>
      </c>
      <c r="AW652">
        <f>$H$652*$AC$652</f>
        <v>64.349999999999994</v>
      </c>
      <c r="AX652">
        <f>$H$652*$AD$652</f>
        <v>64.349999999999994</v>
      </c>
      <c r="AY652">
        <f>$H$652*$AE$652</f>
        <v>64.349999999999994</v>
      </c>
      <c r="AZ652">
        <f>$H$652*$AF$652</f>
        <v>64.349999999999994</v>
      </c>
    </row>
    <row r="653" spans="1:52" x14ac:dyDescent="0.25">
      <c r="A653">
        <v>721</v>
      </c>
      <c r="B653" t="s">
        <v>281</v>
      </c>
      <c r="C653" t="s">
        <v>441</v>
      </c>
      <c r="D653">
        <v>184.2</v>
      </c>
      <c r="E653">
        <v>397.87</v>
      </c>
      <c r="F653" t="s">
        <v>349</v>
      </c>
      <c r="G653">
        <v>2.16</v>
      </c>
      <c r="H653">
        <v>477.45</v>
      </c>
      <c r="I653" t="s">
        <v>439</v>
      </c>
      <c r="J653" t="s">
        <v>442</v>
      </c>
      <c r="K653" t="s">
        <v>655</v>
      </c>
      <c r="L653" t="s">
        <v>179</v>
      </c>
      <c r="M653" t="s">
        <v>281</v>
      </c>
      <c r="N653" t="s">
        <v>12</v>
      </c>
      <c r="O653" t="s">
        <v>4</v>
      </c>
      <c r="P653">
        <v>0</v>
      </c>
      <c r="Q653">
        <v>0</v>
      </c>
      <c r="R653">
        <v>0</v>
      </c>
      <c r="S653">
        <v>1</v>
      </c>
      <c r="T653">
        <v>1</v>
      </c>
      <c r="U653">
        <v>1</v>
      </c>
      <c r="V653">
        <v>1</v>
      </c>
      <c r="W653">
        <v>1</v>
      </c>
      <c r="X653">
        <v>1</v>
      </c>
      <c r="Y653">
        <v>1</v>
      </c>
      <c r="Z653">
        <v>1</v>
      </c>
      <c r="AA653">
        <v>1</v>
      </c>
      <c r="AB653">
        <v>1</v>
      </c>
      <c r="AC653">
        <v>1</v>
      </c>
      <c r="AD653">
        <v>1</v>
      </c>
      <c r="AE653">
        <v>1</v>
      </c>
      <c r="AF653">
        <v>1</v>
      </c>
      <c r="AG653" t="s">
        <v>281</v>
      </c>
      <c r="AH653" t="s">
        <v>12</v>
      </c>
      <c r="AI653" t="s">
        <v>4</v>
      </c>
      <c r="AJ653">
        <f>$H$653*$P$653</f>
        <v>0</v>
      </c>
      <c r="AK653">
        <f>$H$653*$Q$653</f>
        <v>0</v>
      </c>
      <c r="AL653">
        <f>$H$653*$R$653</f>
        <v>0</v>
      </c>
      <c r="AM653">
        <f>$H$653*$S$653</f>
        <v>477.45</v>
      </c>
      <c r="AN653">
        <f>$H$653*$T$653</f>
        <v>477.45</v>
      </c>
      <c r="AO653">
        <f>$H$653*$U$653</f>
        <v>477.45</v>
      </c>
      <c r="AP653">
        <f>$H$653*$V$653</f>
        <v>477.45</v>
      </c>
      <c r="AQ653">
        <f>$H$653*$W$653</f>
        <v>477.45</v>
      </c>
      <c r="AR653">
        <f>$H$653*$X$653</f>
        <v>477.45</v>
      </c>
      <c r="AS653">
        <f>$H$653*$Y$653</f>
        <v>477.45</v>
      </c>
      <c r="AT653">
        <f>$H$653*$Z$653</f>
        <v>477.45</v>
      </c>
      <c r="AU653">
        <f>$H$653*$AA$653</f>
        <v>477.45</v>
      </c>
      <c r="AV653">
        <f>$H$653*$AB$653</f>
        <v>477.45</v>
      </c>
      <c r="AW653">
        <f>$H$653*$AC$653</f>
        <v>477.45</v>
      </c>
      <c r="AX653">
        <f>$H$653*$AD$653</f>
        <v>477.45</v>
      </c>
      <c r="AY653">
        <f>$H$653*$AE$653</f>
        <v>477.45</v>
      </c>
      <c r="AZ653">
        <f>$H$653*$AF$653</f>
        <v>477.45</v>
      </c>
    </row>
    <row r="654" spans="1:52" x14ac:dyDescent="0.25">
      <c r="A654">
        <v>722</v>
      </c>
      <c r="B654" t="s">
        <v>281</v>
      </c>
      <c r="C654" t="s">
        <v>443</v>
      </c>
      <c r="D654">
        <v>184.2</v>
      </c>
      <c r="E654">
        <v>116.05</v>
      </c>
      <c r="F654" t="s">
        <v>349</v>
      </c>
      <c r="G654">
        <v>0.63</v>
      </c>
      <c r="H654">
        <v>139.27000000000001</v>
      </c>
      <c r="I654" t="s">
        <v>330</v>
      </c>
      <c r="J654" t="s">
        <v>444</v>
      </c>
      <c r="K654" t="s">
        <v>656</v>
      </c>
      <c r="L654" t="s">
        <v>179</v>
      </c>
      <c r="M654" t="s">
        <v>281</v>
      </c>
      <c r="N654" t="s">
        <v>12</v>
      </c>
      <c r="O654" t="s">
        <v>4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1</v>
      </c>
      <c r="AE654">
        <v>1</v>
      </c>
      <c r="AF654">
        <v>1</v>
      </c>
      <c r="AG654" t="s">
        <v>281</v>
      </c>
      <c r="AH654" t="s">
        <v>12</v>
      </c>
      <c r="AI654" t="s">
        <v>4</v>
      </c>
      <c r="AJ654">
        <f>$H$654*$P$654</f>
        <v>0</v>
      </c>
      <c r="AK654">
        <f>$H$654*$Q$654</f>
        <v>0</v>
      </c>
      <c r="AL654">
        <f>$H$654*$R$654</f>
        <v>0</v>
      </c>
      <c r="AM654">
        <f>$H$654*$S$654</f>
        <v>0</v>
      </c>
      <c r="AN654">
        <f>$H$654*$T$654</f>
        <v>0</v>
      </c>
      <c r="AO654">
        <f>$H$654*$U$654</f>
        <v>0</v>
      </c>
      <c r="AP654">
        <f>$H$654*$V$654</f>
        <v>0</v>
      </c>
      <c r="AQ654">
        <f>$H$654*$W$654</f>
        <v>0</v>
      </c>
      <c r="AR654">
        <f>$H$654*$X$654</f>
        <v>0</v>
      </c>
      <c r="AS654">
        <f>$H$654*$Y$654</f>
        <v>0</v>
      </c>
      <c r="AT654">
        <f>$H$654*$Z$654</f>
        <v>0</v>
      </c>
      <c r="AU654">
        <f>$H$654*$AA$654</f>
        <v>0</v>
      </c>
      <c r="AV654">
        <f>$H$654*$AB$654</f>
        <v>0</v>
      </c>
      <c r="AW654">
        <f>$H$654*$AC$654</f>
        <v>0</v>
      </c>
      <c r="AX654">
        <f>$H$654*$AD$654</f>
        <v>139.27000000000001</v>
      </c>
      <c r="AY654">
        <f>$H$654*$AE$654</f>
        <v>139.27000000000001</v>
      </c>
      <c r="AZ654">
        <f>$H$654*$AF$654</f>
        <v>139.27000000000001</v>
      </c>
    </row>
    <row r="655" spans="1:52" x14ac:dyDescent="0.25">
      <c r="A655">
        <v>723</v>
      </c>
      <c r="B655" t="s">
        <v>281</v>
      </c>
      <c r="C655" t="s">
        <v>362</v>
      </c>
      <c r="D655">
        <v>230.25</v>
      </c>
      <c r="E655">
        <v>225.65</v>
      </c>
      <c r="F655" t="s">
        <v>349</v>
      </c>
      <c r="G655">
        <v>0.98</v>
      </c>
      <c r="H655">
        <v>270.79000000000002</v>
      </c>
      <c r="I655" t="s">
        <v>330</v>
      </c>
      <c r="J655" t="s">
        <v>363</v>
      </c>
      <c r="K655" t="s">
        <v>617</v>
      </c>
      <c r="L655" t="s">
        <v>179</v>
      </c>
      <c r="M655" t="s">
        <v>281</v>
      </c>
      <c r="N655" t="s">
        <v>12</v>
      </c>
      <c r="O655" t="s">
        <v>4</v>
      </c>
      <c r="P655">
        <v>0</v>
      </c>
      <c r="Q655">
        <v>0</v>
      </c>
      <c r="R655">
        <v>0</v>
      </c>
      <c r="S655">
        <v>0</v>
      </c>
      <c r="T655">
        <v>1</v>
      </c>
      <c r="U655">
        <v>1</v>
      </c>
      <c r="V655">
        <v>1</v>
      </c>
      <c r="W655">
        <v>1</v>
      </c>
      <c r="X655">
        <v>1</v>
      </c>
      <c r="Y655">
        <v>1</v>
      </c>
      <c r="Z655">
        <v>1</v>
      </c>
      <c r="AA655">
        <v>1</v>
      </c>
      <c r="AB655">
        <v>1</v>
      </c>
      <c r="AC655">
        <v>1</v>
      </c>
      <c r="AD655">
        <v>1</v>
      </c>
      <c r="AE655">
        <v>1</v>
      </c>
      <c r="AF655">
        <v>1</v>
      </c>
      <c r="AG655" t="s">
        <v>281</v>
      </c>
      <c r="AH655" t="s">
        <v>12</v>
      </c>
      <c r="AI655" t="s">
        <v>4</v>
      </c>
      <c r="AJ655">
        <f>$H$655*$P$655</f>
        <v>0</v>
      </c>
      <c r="AK655">
        <f>$H$655*$Q$655</f>
        <v>0</v>
      </c>
      <c r="AL655">
        <f>$H$655*$R$655</f>
        <v>0</v>
      </c>
      <c r="AM655">
        <f>$H$655*$S$655</f>
        <v>0</v>
      </c>
      <c r="AN655">
        <f>$H$655*$T$655</f>
        <v>270.79000000000002</v>
      </c>
      <c r="AO655">
        <f>$H$655*$U$655</f>
        <v>270.79000000000002</v>
      </c>
      <c r="AP655">
        <f>$H$655*$V$655</f>
        <v>270.79000000000002</v>
      </c>
      <c r="AQ655">
        <f>$H$655*$W$655</f>
        <v>270.79000000000002</v>
      </c>
      <c r="AR655">
        <f>$H$655*$X$655</f>
        <v>270.79000000000002</v>
      </c>
      <c r="AS655">
        <f>$H$655*$Y$655</f>
        <v>270.79000000000002</v>
      </c>
      <c r="AT655">
        <f>$H$655*$Z$655</f>
        <v>270.79000000000002</v>
      </c>
      <c r="AU655">
        <f>$H$655*$AA$655</f>
        <v>270.79000000000002</v>
      </c>
      <c r="AV655">
        <f>$H$655*$AB$655</f>
        <v>270.79000000000002</v>
      </c>
      <c r="AW655">
        <f>$H$655*$AC$655</f>
        <v>270.79000000000002</v>
      </c>
      <c r="AX655">
        <f>$H$655*$AD$655</f>
        <v>270.79000000000002</v>
      </c>
      <c r="AY655">
        <f>$H$655*$AE$655</f>
        <v>270.79000000000002</v>
      </c>
      <c r="AZ655">
        <f>$H$655*$AF$655</f>
        <v>270.79000000000002</v>
      </c>
    </row>
    <row r="656" spans="1:52" x14ac:dyDescent="0.25">
      <c r="A656">
        <v>724</v>
      </c>
      <c r="B656" t="s">
        <v>281</v>
      </c>
      <c r="C656" t="s">
        <v>445</v>
      </c>
      <c r="D656">
        <v>46.05</v>
      </c>
      <c r="E656">
        <v>173.15</v>
      </c>
      <c r="F656" t="s">
        <v>349</v>
      </c>
      <c r="G656">
        <v>3.76</v>
      </c>
      <c r="H656">
        <v>207.79</v>
      </c>
      <c r="I656" t="s">
        <v>446</v>
      </c>
      <c r="J656" t="s">
        <v>420</v>
      </c>
      <c r="K656" t="s">
        <v>657</v>
      </c>
      <c r="L656" t="s">
        <v>179</v>
      </c>
      <c r="M656" t="s">
        <v>281</v>
      </c>
      <c r="N656" t="s">
        <v>12</v>
      </c>
      <c r="O656" t="s">
        <v>4</v>
      </c>
      <c r="P656">
        <v>0</v>
      </c>
      <c r="Q656">
        <v>0</v>
      </c>
      <c r="R656">
        <v>0</v>
      </c>
      <c r="S656">
        <v>0.25</v>
      </c>
      <c r="T656">
        <v>0.25</v>
      </c>
      <c r="U656">
        <v>0.25</v>
      </c>
      <c r="V656">
        <v>0.25</v>
      </c>
      <c r="W656">
        <v>0.25</v>
      </c>
      <c r="X656">
        <v>0.5</v>
      </c>
      <c r="Y656">
        <v>0.5</v>
      </c>
      <c r="Z656">
        <v>0.5</v>
      </c>
      <c r="AA656">
        <v>1</v>
      </c>
      <c r="AB656">
        <v>1</v>
      </c>
      <c r="AC656">
        <v>1</v>
      </c>
      <c r="AD656">
        <v>1</v>
      </c>
      <c r="AE656">
        <v>1</v>
      </c>
      <c r="AF656">
        <v>1</v>
      </c>
      <c r="AG656" t="s">
        <v>281</v>
      </c>
      <c r="AH656" t="s">
        <v>12</v>
      </c>
      <c r="AI656" t="s">
        <v>4</v>
      </c>
      <c r="AJ656">
        <f>$H$656*$P$656</f>
        <v>0</v>
      </c>
      <c r="AK656">
        <f>$H$656*$Q$656</f>
        <v>0</v>
      </c>
      <c r="AL656">
        <f>$H$656*$R$656</f>
        <v>0</v>
      </c>
      <c r="AM656">
        <f>$H$656*$S$656</f>
        <v>51.947499999999998</v>
      </c>
      <c r="AN656">
        <f>$H$656*$T$656</f>
        <v>51.947499999999998</v>
      </c>
      <c r="AO656">
        <f>$H$656*$U$656</f>
        <v>51.947499999999998</v>
      </c>
      <c r="AP656">
        <f>$H$656*$V$656</f>
        <v>51.947499999999998</v>
      </c>
      <c r="AQ656">
        <f>$H$656*$W$656</f>
        <v>51.947499999999998</v>
      </c>
      <c r="AR656">
        <f>$H$656*$X$656</f>
        <v>103.895</v>
      </c>
      <c r="AS656">
        <f>$H$656*$Y$656</f>
        <v>103.895</v>
      </c>
      <c r="AT656">
        <f>$H$656*$Z$656</f>
        <v>103.895</v>
      </c>
      <c r="AU656">
        <f>$H$656*$AA$656</f>
        <v>207.79</v>
      </c>
      <c r="AV656">
        <f>$H$656*$AB$656</f>
        <v>207.79</v>
      </c>
      <c r="AW656">
        <f>$H$656*$AC$656</f>
        <v>207.79</v>
      </c>
      <c r="AX656">
        <f>$H$656*$AD$656</f>
        <v>207.79</v>
      </c>
      <c r="AY656">
        <f>$H$656*$AE$656</f>
        <v>207.79</v>
      </c>
      <c r="AZ656">
        <f>$H$656*$AF$656</f>
        <v>207.79</v>
      </c>
    </row>
    <row r="657" spans="1:52" x14ac:dyDescent="0.25">
      <c r="A657">
        <v>725</v>
      </c>
      <c r="B657" t="s">
        <v>281</v>
      </c>
      <c r="C657" t="s">
        <v>364</v>
      </c>
      <c r="D657">
        <v>460.5</v>
      </c>
      <c r="E657">
        <v>1547.28</v>
      </c>
      <c r="F657" t="s">
        <v>349</v>
      </c>
      <c r="G657">
        <v>3.36</v>
      </c>
      <c r="H657">
        <v>1856.74</v>
      </c>
      <c r="I657" t="s">
        <v>365</v>
      </c>
      <c r="J657" t="s">
        <v>366</v>
      </c>
      <c r="K657" t="s">
        <v>618</v>
      </c>
      <c r="L657" t="s">
        <v>179</v>
      </c>
      <c r="M657" t="s">
        <v>281</v>
      </c>
      <c r="N657" t="s">
        <v>12</v>
      </c>
      <c r="O657" t="s">
        <v>4</v>
      </c>
      <c r="P657">
        <v>0</v>
      </c>
      <c r="Q657">
        <v>0</v>
      </c>
      <c r="R657">
        <v>0</v>
      </c>
      <c r="S657">
        <v>0.25</v>
      </c>
      <c r="T657">
        <v>0.25</v>
      </c>
      <c r="U657">
        <v>0.25</v>
      </c>
      <c r="V657">
        <v>0.25</v>
      </c>
      <c r="W657">
        <v>0.5</v>
      </c>
      <c r="X657">
        <v>0.5</v>
      </c>
      <c r="Y657">
        <v>0.5</v>
      </c>
      <c r="Z657">
        <v>0.5</v>
      </c>
      <c r="AA657">
        <v>1</v>
      </c>
      <c r="AB657">
        <v>1</v>
      </c>
      <c r="AC657">
        <v>1</v>
      </c>
      <c r="AD657">
        <v>1</v>
      </c>
      <c r="AE657">
        <v>1</v>
      </c>
      <c r="AF657">
        <v>1</v>
      </c>
      <c r="AG657" t="s">
        <v>281</v>
      </c>
      <c r="AH657" t="s">
        <v>12</v>
      </c>
      <c r="AI657" t="s">
        <v>4</v>
      </c>
      <c r="AJ657">
        <f>$H$657*$P$657</f>
        <v>0</v>
      </c>
      <c r="AK657">
        <f>$H$657*$Q$657</f>
        <v>0</v>
      </c>
      <c r="AL657">
        <f>$H$657*$R$657</f>
        <v>0</v>
      </c>
      <c r="AM657">
        <f>$H$657*$S$657</f>
        <v>464.185</v>
      </c>
      <c r="AN657">
        <f>$H$657*$T$657</f>
        <v>464.185</v>
      </c>
      <c r="AO657">
        <f>$H$657*$U$657</f>
        <v>464.185</v>
      </c>
      <c r="AP657">
        <f>$H$657*$V$657</f>
        <v>464.185</v>
      </c>
      <c r="AQ657">
        <f>$H$657*$W$657</f>
        <v>928.37</v>
      </c>
      <c r="AR657">
        <f>$H$657*$X$657</f>
        <v>928.37</v>
      </c>
      <c r="AS657">
        <f>$H$657*$Y$657</f>
        <v>928.37</v>
      </c>
      <c r="AT657">
        <f>$H$657*$Z$657</f>
        <v>928.37</v>
      </c>
      <c r="AU657">
        <f>$H$657*$AA$657</f>
        <v>1856.74</v>
      </c>
      <c r="AV657">
        <f>$H$657*$AB$657</f>
        <v>1856.74</v>
      </c>
      <c r="AW657">
        <f>$H$657*$AC$657</f>
        <v>1856.74</v>
      </c>
      <c r="AX657">
        <f>$H$657*$AD$657</f>
        <v>1856.74</v>
      </c>
      <c r="AY657">
        <f>$H$657*$AE$657</f>
        <v>1856.74</v>
      </c>
      <c r="AZ657">
        <f>$H$657*$AF$657</f>
        <v>1856.74</v>
      </c>
    </row>
    <row r="658" spans="1:52" x14ac:dyDescent="0.25">
      <c r="A658">
        <v>726</v>
      </c>
      <c r="B658" t="s">
        <v>281</v>
      </c>
      <c r="C658" t="s">
        <v>447</v>
      </c>
      <c r="D658">
        <v>51.17</v>
      </c>
      <c r="E658">
        <v>53.22</v>
      </c>
      <c r="F658" t="s">
        <v>329</v>
      </c>
      <c r="G658">
        <v>1.04</v>
      </c>
      <c r="H658">
        <v>63.86</v>
      </c>
      <c r="I658" t="s">
        <v>330</v>
      </c>
      <c r="J658" t="s">
        <v>448</v>
      </c>
      <c r="K658" t="s">
        <v>658</v>
      </c>
      <c r="L658" t="s">
        <v>179</v>
      </c>
      <c r="M658" t="s">
        <v>281</v>
      </c>
      <c r="N658" t="s">
        <v>12</v>
      </c>
      <c r="O658" t="s">
        <v>4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1</v>
      </c>
      <c r="AB658">
        <v>1</v>
      </c>
      <c r="AC658">
        <v>1</v>
      </c>
      <c r="AD658">
        <v>1</v>
      </c>
      <c r="AE658">
        <v>1</v>
      </c>
      <c r="AF658">
        <v>1</v>
      </c>
      <c r="AG658" t="s">
        <v>281</v>
      </c>
      <c r="AH658" t="s">
        <v>12</v>
      </c>
      <c r="AI658" t="s">
        <v>4</v>
      </c>
      <c r="AJ658">
        <f>$H$658*$P$658</f>
        <v>0</v>
      </c>
      <c r="AK658">
        <f>$H$658*$Q$658</f>
        <v>0</v>
      </c>
      <c r="AL658">
        <f>$H$658*$R$658</f>
        <v>0</v>
      </c>
      <c r="AM658">
        <f>$H$658*$S$658</f>
        <v>0</v>
      </c>
      <c r="AN658">
        <f>$H$658*$T$658</f>
        <v>0</v>
      </c>
      <c r="AO658">
        <f>$H$658*$U$658</f>
        <v>0</v>
      </c>
      <c r="AP658">
        <f>$H$658*$V$658</f>
        <v>0</v>
      </c>
      <c r="AQ658">
        <f>$H$658*$W$658</f>
        <v>0</v>
      </c>
      <c r="AR658">
        <f>$H$658*$X$658</f>
        <v>0</v>
      </c>
      <c r="AS658">
        <f>$H$658*$Y$658</f>
        <v>0</v>
      </c>
      <c r="AT658">
        <f>$H$658*$Z$658</f>
        <v>0</v>
      </c>
      <c r="AU658">
        <f>$H$658*$AA$658</f>
        <v>63.86</v>
      </c>
      <c r="AV658">
        <f>$H$658*$AB$658</f>
        <v>63.86</v>
      </c>
      <c r="AW658">
        <f>$H$658*$AC$658</f>
        <v>63.86</v>
      </c>
      <c r="AX658">
        <f>$H$658*$AD$658</f>
        <v>63.86</v>
      </c>
      <c r="AY658">
        <f>$H$658*$AE$658</f>
        <v>63.86</v>
      </c>
      <c r="AZ658">
        <f>$H$658*$AF$658</f>
        <v>63.86</v>
      </c>
    </row>
    <row r="659" spans="1:52" x14ac:dyDescent="0.25">
      <c r="A659">
        <v>727</v>
      </c>
      <c r="B659" t="s">
        <v>281</v>
      </c>
      <c r="C659" t="s">
        <v>449</v>
      </c>
      <c r="D659">
        <v>51.17</v>
      </c>
      <c r="E659">
        <v>410.38</v>
      </c>
      <c r="F659" t="s">
        <v>329</v>
      </c>
      <c r="G659">
        <v>8.02</v>
      </c>
      <c r="H659">
        <v>492.46</v>
      </c>
      <c r="I659" t="s">
        <v>333</v>
      </c>
      <c r="J659" t="s">
        <v>450</v>
      </c>
      <c r="K659" t="s">
        <v>659</v>
      </c>
      <c r="L659" t="s">
        <v>179</v>
      </c>
      <c r="M659" t="s">
        <v>281</v>
      </c>
      <c r="N659" t="s">
        <v>12</v>
      </c>
      <c r="O659" t="s">
        <v>4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1</v>
      </c>
      <c r="AB659">
        <v>1</v>
      </c>
      <c r="AC659">
        <v>1</v>
      </c>
      <c r="AD659">
        <v>1</v>
      </c>
      <c r="AE659">
        <v>1</v>
      </c>
      <c r="AF659">
        <v>1</v>
      </c>
      <c r="AG659" t="s">
        <v>281</v>
      </c>
      <c r="AH659" t="s">
        <v>12</v>
      </c>
      <c r="AI659" t="s">
        <v>4</v>
      </c>
      <c r="AJ659">
        <f>$H$659*$P$659</f>
        <v>0</v>
      </c>
      <c r="AK659">
        <f>$H$659*$Q$659</f>
        <v>0</v>
      </c>
      <c r="AL659">
        <f>$H$659*$R$659</f>
        <v>0</v>
      </c>
      <c r="AM659">
        <f>$H$659*$S$659</f>
        <v>0</v>
      </c>
      <c r="AN659">
        <f>$H$659*$T$659</f>
        <v>0</v>
      </c>
      <c r="AO659">
        <f>$H$659*$U$659</f>
        <v>0</v>
      </c>
      <c r="AP659">
        <f>$H$659*$V$659</f>
        <v>0</v>
      </c>
      <c r="AQ659">
        <f>$H$659*$W$659</f>
        <v>0</v>
      </c>
      <c r="AR659">
        <f>$H$659*$X$659</f>
        <v>0</v>
      </c>
      <c r="AS659">
        <f>$H$659*$Y$659</f>
        <v>0</v>
      </c>
      <c r="AT659">
        <f>$H$659*$Z$659</f>
        <v>0</v>
      </c>
      <c r="AU659">
        <f>$H$659*$AA$659</f>
        <v>492.46</v>
      </c>
      <c r="AV659">
        <f>$H$659*$AB$659</f>
        <v>492.46</v>
      </c>
      <c r="AW659">
        <f>$H$659*$AC$659</f>
        <v>492.46</v>
      </c>
      <c r="AX659">
        <f>$H$659*$AD$659</f>
        <v>492.46</v>
      </c>
      <c r="AY659">
        <f>$H$659*$AE$659</f>
        <v>492.46</v>
      </c>
      <c r="AZ659">
        <f>$H$659*$AF$659</f>
        <v>492.46</v>
      </c>
    </row>
    <row r="660" spans="1:52" x14ac:dyDescent="0.25">
      <c r="A660">
        <v>728</v>
      </c>
      <c r="B660" t="s">
        <v>281</v>
      </c>
      <c r="C660" t="s">
        <v>455</v>
      </c>
      <c r="D660">
        <v>51.17</v>
      </c>
      <c r="E660">
        <v>77.27</v>
      </c>
      <c r="F660" t="s">
        <v>329</v>
      </c>
      <c r="G660">
        <v>1.51</v>
      </c>
      <c r="H660">
        <v>92.73</v>
      </c>
      <c r="I660" t="s">
        <v>330</v>
      </c>
      <c r="J660" t="s">
        <v>456</v>
      </c>
      <c r="K660" t="s">
        <v>662</v>
      </c>
      <c r="L660" t="s">
        <v>179</v>
      </c>
      <c r="M660" t="s">
        <v>281</v>
      </c>
      <c r="N660" t="s">
        <v>12</v>
      </c>
      <c r="O660" t="s">
        <v>4</v>
      </c>
      <c r="P660">
        <v>0</v>
      </c>
      <c r="Q660">
        <v>0</v>
      </c>
      <c r="R660">
        <v>0</v>
      </c>
      <c r="S660">
        <v>1</v>
      </c>
      <c r="T660">
        <v>1</v>
      </c>
      <c r="U660">
        <v>1</v>
      </c>
      <c r="V660">
        <v>1</v>
      </c>
      <c r="W660">
        <v>1</v>
      </c>
      <c r="X660">
        <v>1</v>
      </c>
      <c r="Y660">
        <v>1</v>
      </c>
      <c r="Z660">
        <v>1</v>
      </c>
      <c r="AA660">
        <v>1</v>
      </c>
      <c r="AB660">
        <v>1</v>
      </c>
      <c r="AC660">
        <v>1</v>
      </c>
      <c r="AD660">
        <v>1</v>
      </c>
      <c r="AE660">
        <v>1</v>
      </c>
      <c r="AF660">
        <v>1</v>
      </c>
      <c r="AG660" t="s">
        <v>281</v>
      </c>
      <c r="AH660" t="s">
        <v>12</v>
      </c>
      <c r="AI660" t="s">
        <v>4</v>
      </c>
      <c r="AJ660">
        <f>$H$660*$P$660</f>
        <v>0</v>
      </c>
      <c r="AK660">
        <f>$H$660*$Q$660</f>
        <v>0</v>
      </c>
      <c r="AL660">
        <f>$H$660*$R$660</f>
        <v>0</v>
      </c>
      <c r="AM660">
        <f>$H$660*$S$660</f>
        <v>92.73</v>
      </c>
      <c r="AN660">
        <f>$H$660*$T$660</f>
        <v>92.73</v>
      </c>
      <c r="AO660">
        <f>$H$660*$U$660</f>
        <v>92.73</v>
      </c>
      <c r="AP660">
        <f>$H$660*$V$660</f>
        <v>92.73</v>
      </c>
      <c r="AQ660">
        <f>$H$660*$W$660</f>
        <v>92.73</v>
      </c>
      <c r="AR660">
        <f>$H$660*$X$660</f>
        <v>92.73</v>
      </c>
      <c r="AS660">
        <f>$H$660*$Y$660</f>
        <v>92.73</v>
      </c>
      <c r="AT660">
        <f>$H$660*$Z$660</f>
        <v>92.73</v>
      </c>
      <c r="AU660">
        <f>$H$660*$AA$660</f>
        <v>92.73</v>
      </c>
      <c r="AV660">
        <f>$H$660*$AB$660</f>
        <v>92.73</v>
      </c>
      <c r="AW660">
        <f>$H$660*$AC$660</f>
        <v>92.73</v>
      </c>
      <c r="AX660">
        <f>$H$660*$AD$660</f>
        <v>92.73</v>
      </c>
      <c r="AY660">
        <f>$H$660*$AE$660</f>
        <v>92.73</v>
      </c>
      <c r="AZ660">
        <f>$H$660*$AF$660</f>
        <v>92.73</v>
      </c>
    </row>
    <row r="661" spans="1:52" x14ac:dyDescent="0.25">
      <c r="A661">
        <v>729</v>
      </c>
      <c r="B661" t="s">
        <v>281</v>
      </c>
      <c r="C661" t="s">
        <v>457</v>
      </c>
      <c r="D661">
        <v>51.17</v>
      </c>
      <c r="E661">
        <v>290.64999999999998</v>
      </c>
      <c r="F661" t="s">
        <v>329</v>
      </c>
      <c r="G661">
        <v>5.68</v>
      </c>
      <c r="H661">
        <v>348.79</v>
      </c>
      <c r="I661" t="s">
        <v>333</v>
      </c>
      <c r="J661" t="s">
        <v>458</v>
      </c>
      <c r="K661" t="s">
        <v>663</v>
      </c>
      <c r="L661" t="s">
        <v>179</v>
      </c>
      <c r="M661" t="s">
        <v>281</v>
      </c>
      <c r="N661" t="s">
        <v>12</v>
      </c>
      <c r="O661" t="s">
        <v>4</v>
      </c>
      <c r="P661">
        <v>0</v>
      </c>
      <c r="Q661">
        <v>0</v>
      </c>
      <c r="R661">
        <v>0</v>
      </c>
      <c r="S661">
        <v>1</v>
      </c>
      <c r="T661">
        <v>1</v>
      </c>
      <c r="U661">
        <v>1</v>
      </c>
      <c r="V661">
        <v>1</v>
      </c>
      <c r="W661">
        <v>1</v>
      </c>
      <c r="X661">
        <v>1</v>
      </c>
      <c r="Y661">
        <v>1</v>
      </c>
      <c r="Z661">
        <v>1</v>
      </c>
      <c r="AA661">
        <v>1</v>
      </c>
      <c r="AB661">
        <v>1</v>
      </c>
      <c r="AC661">
        <v>1</v>
      </c>
      <c r="AD661">
        <v>1</v>
      </c>
      <c r="AE661">
        <v>1</v>
      </c>
      <c r="AF661">
        <v>1</v>
      </c>
      <c r="AG661" t="s">
        <v>281</v>
      </c>
      <c r="AH661" t="s">
        <v>12</v>
      </c>
      <c r="AI661" t="s">
        <v>4</v>
      </c>
      <c r="AJ661">
        <f>$H$661*$P$661</f>
        <v>0</v>
      </c>
      <c r="AK661">
        <f>$H$661*$Q$661</f>
        <v>0</v>
      </c>
      <c r="AL661">
        <f>$H$661*$R$661</f>
        <v>0</v>
      </c>
      <c r="AM661">
        <f>$H$661*$S$661</f>
        <v>348.79</v>
      </c>
      <c r="AN661">
        <f>$H$661*$T$661</f>
        <v>348.79</v>
      </c>
      <c r="AO661">
        <f>$H$661*$U$661</f>
        <v>348.79</v>
      </c>
      <c r="AP661">
        <f>$H$661*$V$661</f>
        <v>348.79</v>
      </c>
      <c r="AQ661">
        <f>$H$661*$W$661</f>
        <v>348.79</v>
      </c>
      <c r="AR661">
        <f>$H$661*$X$661</f>
        <v>348.79</v>
      </c>
      <c r="AS661">
        <f>$H$661*$Y$661</f>
        <v>348.79</v>
      </c>
      <c r="AT661">
        <f>$H$661*$Z$661</f>
        <v>348.79</v>
      </c>
      <c r="AU661">
        <f>$H$661*$AA$661</f>
        <v>348.79</v>
      </c>
      <c r="AV661">
        <f>$H$661*$AB$661</f>
        <v>348.79</v>
      </c>
      <c r="AW661">
        <f>$H$661*$AC$661</f>
        <v>348.79</v>
      </c>
      <c r="AX661">
        <f>$H$661*$AD$661</f>
        <v>348.79</v>
      </c>
      <c r="AY661">
        <f>$H$661*$AE$661</f>
        <v>348.79</v>
      </c>
      <c r="AZ661">
        <f>$H$661*$AF$661</f>
        <v>348.79</v>
      </c>
    </row>
    <row r="662" spans="1:52" x14ac:dyDescent="0.25">
      <c r="A662">
        <v>730</v>
      </c>
      <c r="B662" t="s">
        <v>281</v>
      </c>
      <c r="C662" t="s">
        <v>364</v>
      </c>
      <c r="D662">
        <v>230.07</v>
      </c>
      <c r="E662">
        <v>773.04</v>
      </c>
      <c r="F662" t="s">
        <v>349</v>
      </c>
      <c r="G662">
        <v>3.36</v>
      </c>
      <c r="H662">
        <v>927.64</v>
      </c>
      <c r="I662" t="s">
        <v>365</v>
      </c>
      <c r="J662" t="s">
        <v>366</v>
      </c>
      <c r="K662" t="s">
        <v>618</v>
      </c>
      <c r="L662" t="s">
        <v>179</v>
      </c>
      <c r="M662" t="s">
        <v>281</v>
      </c>
      <c r="N662" t="s">
        <v>12</v>
      </c>
      <c r="O662" t="s">
        <v>4</v>
      </c>
      <c r="P662">
        <v>0</v>
      </c>
      <c r="Q662">
        <v>0</v>
      </c>
      <c r="R662">
        <v>0</v>
      </c>
      <c r="S662">
        <v>0.25</v>
      </c>
      <c r="T662">
        <v>0.25</v>
      </c>
      <c r="U662">
        <v>0.25</v>
      </c>
      <c r="V662">
        <v>0.25</v>
      </c>
      <c r="W662">
        <v>0.5</v>
      </c>
      <c r="X662">
        <v>0.5</v>
      </c>
      <c r="Y662">
        <v>0.5</v>
      </c>
      <c r="Z662">
        <v>0.5</v>
      </c>
      <c r="AA662">
        <v>1</v>
      </c>
      <c r="AB662">
        <v>1</v>
      </c>
      <c r="AC662">
        <v>1</v>
      </c>
      <c r="AD662">
        <v>1</v>
      </c>
      <c r="AE662">
        <v>1</v>
      </c>
      <c r="AF662">
        <v>1</v>
      </c>
      <c r="AG662" t="s">
        <v>281</v>
      </c>
      <c r="AH662" t="s">
        <v>12</v>
      </c>
      <c r="AI662" t="s">
        <v>4</v>
      </c>
      <c r="AJ662">
        <f>$H$662*$P$662</f>
        <v>0</v>
      </c>
      <c r="AK662">
        <f>$H$662*$Q$662</f>
        <v>0</v>
      </c>
      <c r="AL662">
        <f>$H$662*$R$662</f>
        <v>0</v>
      </c>
      <c r="AM662">
        <f>$H$662*$S$662</f>
        <v>231.91</v>
      </c>
      <c r="AN662">
        <f>$H$662*$T$662</f>
        <v>231.91</v>
      </c>
      <c r="AO662">
        <f>$H$662*$U$662</f>
        <v>231.91</v>
      </c>
      <c r="AP662">
        <f>$H$662*$V$662</f>
        <v>231.91</v>
      </c>
      <c r="AQ662">
        <f>$H$662*$W$662</f>
        <v>463.82</v>
      </c>
      <c r="AR662">
        <f>$H$662*$X$662</f>
        <v>463.82</v>
      </c>
      <c r="AS662">
        <f>$H$662*$Y$662</f>
        <v>463.82</v>
      </c>
      <c r="AT662">
        <f>$H$662*$Z$662</f>
        <v>463.82</v>
      </c>
      <c r="AU662">
        <f>$H$662*$AA$662</f>
        <v>927.64</v>
      </c>
      <c r="AV662">
        <f>$H$662*$AB$662</f>
        <v>927.64</v>
      </c>
      <c r="AW662">
        <f>$H$662*$AC$662</f>
        <v>927.64</v>
      </c>
      <c r="AX662">
        <f>$H$662*$AD$662</f>
        <v>927.64</v>
      </c>
      <c r="AY662">
        <f>$H$662*$AE$662</f>
        <v>927.64</v>
      </c>
      <c r="AZ662">
        <f>$H$662*$AF$662</f>
        <v>927.64</v>
      </c>
    </row>
    <row r="663" spans="1:52" x14ac:dyDescent="0.25">
      <c r="A663">
        <v>731</v>
      </c>
      <c r="B663" t="s">
        <v>281</v>
      </c>
      <c r="C663" t="s">
        <v>443</v>
      </c>
      <c r="D663">
        <v>230.07</v>
      </c>
      <c r="E663">
        <v>144.94</v>
      </c>
      <c r="F663" t="s">
        <v>349</v>
      </c>
      <c r="G663">
        <v>0.63</v>
      </c>
      <c r="H663">
        <v>173.92</v>
      </c>
      <c r="I663" t="s">
        <v>330</v>
      </c>
      <c r="J663" t="s">
        <v>444</v>
      </c>
      <c r="K663" t="s">
        <v>656</v>
      </c>
      <c r="L663" t="s">
        <v>179</v>
      </c>
      <c r="M663" t="s">
        <v>281</v>
      </c>
      <c r="N663" t="s">
        <v>12</v>
      </c>
      <c r="O663" t="s">
        <v>4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1</v>
      </c>
      <c r="AE663">
        <v>1</v>
      </c>
      <c r="AF663">
        <v>1</v>
      </c>
      <c r="AG663" t="s">
        <v>281</v>
      </c>
      <c r="AH663" t="s">
        <v>12</v>
      </c>
      <c r="AI663" t="s">
        <v>4</v>
      </c>
      <c r="AJ663">
        <f>$H$663*$P$663</f>
        <v>0</v>
      </c>
      <c r="AK663">
        <f>$H$663*$Q$663</f>
        <v>0</v>
      </c>
      <c r="AL663">
        <f>$H$663*$R$663</f>
        <v>0</v>
      </c>
      <c r="AM663">
        <f>$H$663*$S$663</f>
        <v>0</v>
      </c>
      <c r="AN663">
        <f>$H$663*$T$663</f>
        <v>0</v>
      </c>
      <c r="AO663">
        <f>$H$663*$U$663</f>
        <v>0</v>
      </c>
      <c r="AP663">
        <f>$H$663*$V$663</f>
        <v>0</v>
      </c>
      <c r="AQ663">
        <f>$H$663*$W$663</f>
        <v>0</v>
      </c>
      <c r="AR663">
        <f>$H$663*$X$663</f>
        <v>0</v>
      </c>
      <c r="AS663">
        <f>$H$663*$Y$663</f>
        <v>0</v>
      </c>
      <c r="AT663">
        <f>$H$663*$Z$663</f>
        <v>0</v>
      </c>
      <c r="AU663">
        <f>$H$663*$AA$663</f>
        <v>0</v>
      </c>
      <c r="AV663">
        <f>$H$663*$AB$663</f>
        <v>0</v>
      </c>
      <c r="AW663">
        <f>$H$663*$AC$663</f>
        <v>0</v>
      </c>
      <c r="AX663">
        <f>$H$663*$AD$663</f>
        <v>173.92</v>
      </c>
      <c r="AY663">
        <f>$H$663*$AE$663</f>
        <v>173.92</v>
      </c>
      <c r="AZ663">
        <f>$H$663*$AF$663</f>
        <v>173.92</v>
      </c>
    </row>
    <row r="664" spans="1:52" x14ac:dyDescent="0.25">
      <c r="A664">
        <v>732</v>
      </c>
      <c r="B664" t="s">
        <v>281</v>
      </c>
      <c r="C664" t="s">
        <v>459</v>
      </c>
      <c r="D664">
        <v>230.07</v>
      </c>
      <c r="E664">
        <v>158.75</v>
      </c>
      <c r="F664" t="s">
        <v>349</v>
      </c>
      <c r="G664">
        <v>0.69</v>
      </c>
      <c r="H664">
        <v>190.51</v>
      </c>
      <c r="I664" t="s">
        <v>330</v>
      </c>
      <c r="J664" t="s">
        <v>460</v>
      </c>
      <c r="K664" t="s">
        <v>664</v>
      </c>
      <c r="L664" t="s">
        <v>179</v>
      </c>
      <c r="M664" t="s">
        <v>281</v>
      </c>
      <c r="N664" t="s">
        <v>12</v>
      </c>
      <c r="O664" t="s">
        <v>4</v>
      </c>
      <c r="P664">
        <v>0</v>
      </c>
      <c r="Q664">
        <v>0</v>
      </c>
      <c r="R664">
        <v>0</v>
      </c>
      <c r="S664">
        <v>1</v>
      </c>
      <c r="T664">
        <v>1</v>
      </c>
      <c r="U664">
        <v>1</v>
      </c>
      <c r="V664">
        <v>1</v>
      </c>
      <c r="W664">
        <v>1</v>
      </c>
      <c r="X664">
        <v>1</v>
      </c>
      <c r="Y664">
        <v>1</v>
      </c>
      <c r="Z664">
        <v>1</v>
      </c>
      <c r="AA664">
        <v>1</v>
      </c>
      <c r="AB664">
        <v>1</v>
      </c>
      <c r="AC664">
        <v>1</v>
      </c>
      <c r="AD664">
        <v>1</v>
      </c>
      <c r="AE664">
        <v>1</v>
      </c>
      <c r="AF664">
        <v>1</v>
      </c>
      <c r="AG664" t="s">
        <v>281</v>
      </c>
      <c r="AH664" t="s">
        <v>12</v>
      </c>
      <c r="AI664" t="s">
        <v>4</v>
      </c>
      <c r="AJ664">
        <f>$H$664*$P$664</f>
        <v>0</v>
      </c>
      <c r="AK664">
        <f>$H$664*$Q$664</f>
        <v>0</v>
      </c>
      <c r="AL664">
        <f>$H$664*$R$664</f>
        <v>0</v>
      </c>
      <c r="AM664">
        <f>$H$664*$S$664</f>
        <v>190.51</v>
      </c>
      <c r="AN664">
        <f>$H$664*$T$664</f>
        <v>190.51</v>
      </c>
      <c r="AO664">
        <f>$H$664*$U$664</f>
        <v>190.51</v>
      </c>
      <c r="AP664">
        <f>$H$664*$V$664</f>
        <v>190.51</v>
      </c>
      <c r="AQ664">
        <f>$H$664*$W$664</f>
        <v>190.51</v>
      </c>
      <c r="AR664">
        <f>$H$664*$X$664</f>
        <v>190.51</v>
      </c>
      <c r="AS664">
        <f>$H$664*$Y$664</f>
        <v>190.51</v>
      </c>
      <c r="AT664">
        <f>$H$664*$Z$664</f>
        <v>190.51</v>
      </c>
      <c r="AU664">
        <f>$H$664*$AA$664</f>
        <v>190.51</v>
      </c>
      <c r="AV664">
        <f>$H$664*$AB$664</f>
        <v>190.51</v>
      </c>
      <c r="AW664">
        <f>$H$664*$AC$664</f>
        <v>190.51</v>
      </c>
      <c r="AX664">
        <f>$H$664*$AD$664</f>
        <v>190.51</v>
      </c>
      <c r="AY664">
        <f>$H$664*$AE$664</f>
        <v>190.51</v>
      </c>
      <c r="AZ664">
        <f>$H$664*$AF$664</f>
        <v>190.51</v>
      </c>
    </row>
    <row r="665" spans="1:52" x14ac:dyDescent="0.25">
      <c r="A665">
        <v>733</v>
      </c>
      <c r="B665" t="s">
        <v>281</v>
      </c>
      <c r="C665" t="s">
        <v>461</v>
      </c>
      <c r="D665">
        <v>32.54</v>
      </c>
      <c r="E665">
        <v>564.57000000000005</v>
      </c>
      <c r="F665" t="s">
        <v>349</v>
      </c>
      <c r="G665">
        <v>17.350000000000001</v>
      </c>
      <c r="H665">
        <v>677.49</v>
      </c>
      <c r="I665" t="s">
        <v>462</v>
      </c>
      <c r="J665" t="s">
        <v>463</v>
      </c>
      <c r="K665" t="s">
        <v>665</v>
      </c>
      <c r="L665" t="s">
        <v>179</v>
      </c>
      <c r="M665" t="s">
        <v>281</v>
      </c>
      <c r="N665" t="s">
        <v>12</v>
      </c>
      <c r="O665" t="s">
        <v>4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1</v>
      </c>
      <c r="Z665">
        <v>1</v>
      </c>
      <c r="AA665">
        <v>1</v>
      </c>
      <c r="AB665">
        <v>1</v>
      </c>
      <c r="AC665">
        <v>1</v>
      </c>
      <c r="AD665">
        <v>1</v>
      </c>
      <c r="AE665">
        <v>1</v>
      </c>
      <c r="AF665">
        <v>1</v>
      </c>
      <c r="AG665" t="s">
        <v>281</v>
      </c>
      <c r="AH665" t="s">
        <v>12</v>
      </c>
      <c r="AI665" t="s">
        <v>4</v>
      </c>
      <c r="AJ665">
        <f>$H$665*$P$665</f>
        <v>0</v>
      </c>
      <c r="AK665">
        <f>$H$665*$Q$665</f>
        <v>0</v>
      </c>
      <c r="AL665">
        <f>$H$665*$R$665</f>
        <v>0</v>
      </c>
      <c r="AM665">
        <f>$H$665*$S$665</f>
        <v>0</v>
      </c>
      <c r="AN665">
        <f>$H$665*$T$665</f>
        <v>0</v>
      </c>
      <c r="AO665">
        <f>$H$665*$U$665</f>
        <v>0</v>
      </c>
      <c r="AP665">
        <f>$H$665*$V$665</f>
        <v>0</v>
      </c>
      <c r="AQ665">
        <f>$H$665*$W$665</f>
        <v>0</v>
      </c>
      <c r="AR665">
        <f>$H$665*$X$665</f>
        <v>0</v>
      </c>
      <c r="AS665">
        <f>$H$665*$Y$665</f>
        <v>677.49</v>
      </c>
      <c r="AT665">
        <f>$H$665*$Z$665</f>
        <v>677.49</v>
      </c>
      <c r="AU665">
        <f>$H$665*$AA$665</f>
        <v>677.49</v>
      </c>
      <c r="AV665">
        <f>$H$665*$AB$665</f>
        <v>677.49</v>
      </c>
      <c r="AW665">
        <f>$H$665*$AC$665</f>
        <v>677.49</v>
      </c>
      <c r="AX665">
        <f>$H$665*$AD$665</f>
        <v>677.49</v>
      </c>
      <c r="AY665">
        <f>$H$665*$AE$665</f>
        <v>677.49</v>
      </c>
      <c r="AZ665">
        <f>$H$665*$AF$665</f>
        <v>677.49</v>
      </c>
    </row>
    <row r="666" spans="1:52" x14ac:dyDescent="0.25">
      <c r="A666">
        <v>734</v>
      </c>
      <c r="B666" t="s">
        <v>281</v>
      </c>
      <c r="C666" t="s">
        <v>464</v>
      </c>
      <c r="D666">
        <v>65.08</v>
      </c>
      <c r="E666">
        <v>232.99</v>
      </c>
      <c r="F666" t="s">
        <v>349</v>
      </c>
      <c r="G666">
        <v>3.58</v>
      </c>
      <c r="H666">
        <v>279.58999999999997</v>
      </c>
      <c r="I666" t="s">
        <v>465</v>
      </c>
      <c r="J666" t="s">
        <v>466</v>
      </c>
      <c r="K666" t="s">
        <v>666</v>
      </c>
      <c r="L666" t="s">
        <v>179</v>
      </c>
      <c r="M666" t="s">
        <v>281</v>
      </c>
      <c r="N666" t="s">
        <v>12</v>
      </c>
      <c r="O666" t="s">
        <v>4</v>
      </c>
      <c r="P666">
        <v>0</v>
      </c>
      <c r="Q666">
        <v>0</v>
      </c>
      <c r="R666">
        <v>0</v>
      </c>
      <c r="S666">
        <v>1</v>
      </c>
      <c r="T666">
        <v>1</v>
      </c>
      <c r="U666">
        <v>1</v>
      </c>
      <c r="V666">
        <v>1</v>
      </c>
      <c r="W666">
        <v>1</v>
      </c>
      <c r="X666">
        <v>1</v>
      </c>
      <c r="Y666">
        <v>1</v>
      </c>
      <c r="Z666">
        <v>1</v>
      </c>
      <c r="AA666">
        <v>1</v>
      </c>
      <c r="AB666">
        <v>1</v>
      </c>
      <c r="AC666">
        <v>1</v>
      </c>
      <c r="AD666">
        <v>1</v>
      </c>
      <c r="AE666">
        <v>1</v>
      </c>
      <c r="AF666">
        <v>1</v>
      </c>
      <c r="AG666" t="s">
        <v>281</v>
      </c>
      <c r="AH666" t="s">
        <v>12</v>
      </c>
      <c r="AI666" t="s">
        <v>4</v>
      </c>
      <c r="AJ666">
        <f>$H$666*$P$666</f>
        <v>0</v>
      </c>
      <c r="AK666">
        <f>$H$666*$Q$666</f>
        <v>0</v>
      </c>
      <c r="AL666">
        <f>$H$666*$R$666</f>
        <v>0</v>
      </c>
      <c r="AM666">
        <f>$H$666*$S$666</f>
        <v>279.58999999999997</v>
      </c>
      <c r="AN666">
        <f>$H$666*$T$666</f>
        <v>279.58999999999997</v>
      </c>
      <c r="AO666">
        <f>$H$666*$U$666</f>
        <v>279.58999999999997</v>
      </c>
      <c r="AP666">
        <f>$H$666*$V$666</f>
        <v>279.58999999999997</v>
      </c>
      <c r="AQ666">
        <f>$H$666*$W$666</f>
        <v>279.58999999999997</v>
      </c>
      <c r="AR666">
        <f>$H$666*$X$666</f>
        <v>279.58999999999997</v>
      </c>
      <c r="AS666">
        <f>$H$666*$Y$666</f>
        <v>279.58999999999997</v>
      </c>
      <c r="AT666">
        <f>$H$666*$Z$666</f>
        <v>279.58999999999997</v>
      </c>
      <c r="AU666">
        <f>$H$666*$AA$666</f>
        <v>279.58999999999997</v>
      </c>
      <c r="AV666">
        <f>$H$666*$AB$666</f>
        <v>279.58999999999997</v>
      </c>
      <c r="AW666">
        <f>$H$666*$AC$666</f>
        <v>279.58999999999997</v>
      </c>
      <c r="AX666">
        <f>$H$666*$AD$666</f>
        <v>279.58999999999997</v>
      </c>
      <c r="AY666">
        <f>$H$666*$AE$666</f>
        <v>279.58999999999997</v>
      </c>
      <c r="AZ666">
        <f>$H$666*$AF$666</f>
        <v>279.58999999999997</v>
      </c>
    </row>
    <row r="667" spans="1:52" x14ac:dyDescent="0.25">
      <c r="A667">
        <v>735</v>
      </c>
      <c r="B667" t="s">
        <v>281</v>
      </c>
      <c r="C667" t="s">
        <v>467</v>
      </c>
      <c r="D667">
        <v>65.08</v>
      </c>
      <c r="E667">
        <v>641.04</v>
      </c>
      <c r="F667" t="s">
        <v>349</v>
      </c>
      <c r="G667">
        <v>9.85</v>
      </c>
      <c r="H667">
        <v>769.24</v>
      </c>
      <c r="I667" t="s">
        <v>465</v>
      </c>
      <c r="J667" t="s">
        <v>372</v>
      </c>
      <c r="K667" t="s">
        <v>667</v>
      </c>
      <c r="L667" t="s">
        <v>179</v>
      </c>
      <c r="M667" t="s">
        <v>281</v>
      </c>
      <c r="N667" t="s">
        <v>12</v>
      </c>
      <c r="O667" t="s">
        <v>4</v>
      </c>
      <c r="P667">
        <v>0</v>
      </c>
      <c r="Q667">
        <v>0</v>
      </c>
      <c r="R667">
        <v>0</v>
      </c>
      <c r="S667">
        <v>1</v>
      </c>
      <c r="T667">
        <v>1</v>
      </c>
      <c r="U667">
        <v>1</v>
      </c>
      <c r="V667">
        <v>1</v>
      </c>
      <c r="W667">
        <v>1</v>
      </c>
      <c r="X667">
        <v>1</v>
      </c>
      <c r="Y667">
        <v>1</v>
      </c>
      <c r="Z667">
        <v>1</v>
      </c>
      <c r="AA667">
        <v>1</v>
      </c>
      <c r="AB667">
        <v>1</v>
      </c>
      <c r="AC667">
        <v>1</v>
      </c>
      <c r="AD667">
        <v>1</v>
      </c>
      <c r="AE667">
        <v>1</v>
      </c>
      <c r="AF667">
        <v>1</v>
      </c>
      <c r="AG667" t="s">
        <v>281</v>
      </c>
      <c r="AH667" t="s">
        <v>12</v>
      </c>
      <c r="AI667" t="s">
        <v>4</v>
      </c>
      <c r="AJ667">
        <f>$H$667*$P$667</f>
        <v>0</v>
      </c>
      <c r="AK667">
        <f>$H$667*$Q$667</f>
        <v>0</v>
      </c>
      <c r="AL667">
        <f>$H$667*$R$667</f>
        <v>0</v>
      </c>
      <c r="AM667">
        <f>$H$667*$S$667</f>
        <v>769.24</v>
      </c>
      <c r="AN667">
        <f>$H$667*$T$667</f>
        <v>769.24</v>
      </c>
      <c r="AO667">
        <f>$H$667*$U$667</f>
        <v>769.24</v>
      </c>
      <c r="AP667">
        <f>$H$667*$V$667</f>
        <v>769.24</v>
      </c>
      <c r="AQ667">
        <f>$H$667*$W$667</f>
        <v>769.24</v>
      </c>
      <c r="AR667">
        <f>$H$667*$X$667</f>
        <v>769.24</v>
      </c>
      <c r="AS667">
        <f>$H$667*$Y$667</f>
        <v>769.24</v>
      </c>
      <c r="AT667">
        <f>$H$667*$Z$667</f>
        <v>769.24</v>
      </c>
      <c r="AU667">
        <f>$H$667*$AA$667</f>
        <v>769.24</v>
      </c>
      <c r="AV667">
        <f>$H$667*$AB$667</f>
        <v>769.24</v>
      </c>
      <c r="AW667">
        <f>$H$667*$AC$667</f>
        <v>769.24</v>
      </c>
      <c r="AX667">
        <f>$H$667*$AD$667</f>
        <v>769.24</v>
      </c>
      <c r="AY667">
        <f>$H$667*$AE$667</f>
        <v>769.24</v>
      </c>
      <c r="AZ667">
        <f>$H$667*$AF$667</f>
        <v>769.24</v>
      </c>
    </row>
    <row r="668" spans="1:52" x14ac:dyDescent="0.25">
      <c r="A668">
        <v>736</v>
      </c>
      <c r="B668" t="s">
        <v>281</v>
      </c>
      <c r="C668" t="s">
        <v>468</v>
      </c>
      <c r="D668">
        <v>74.849999999999994</v>
      </c>
      <c r="E668">
        <v>76.349999999999994</v>
      </c>
      <c r="F668" t="s">
        <v>349</v>
      </c>
      <c r="G668">
        <v>1.02</v>
      </c>
      <c r="H668">
        <v>91.63</v>
      </c>
      <c r="I668" t="s">
        <v>469</v>
      </c>
      <c r="J668" t="s">
        <v>470</v>
      </c>
      <c r="K668" t="s">
        <v>668</v>
      </c>
      <c r="L668" t="s">
        <v>179</v>
      </c>
      <c r="M668" t="s">
        <v>281</v>
      </c>
      <c r="N668" t="s">
        <v>12</v>
      </c>
      <c r="O668" t="s">
        <v>4</v>
      </c>
      <c r="P668">
        <v>0</v>
      </c>
      <c r="Q668">
        <v>0</v>
      </c>
      <c r="R668">
        <v>0</v>
      </c>
      <c r="S668">
        <v>1</v>
      </c>
      <c r="T668">
        <v>1</v>
      </c>
      <c r="U668">
        <v>1</v>
      </c>
      <c r="V668">
        <v>1</v>
      </c>
      <c r="W668">
        <v>1</v>
      </c>
      <c r="X668">
        <v>1</v>
      </c>
      <c r="Y668">
        <v>1</v>
      </c>
      <c r="Z668">
        <v>1</v>
      </c>
      <c r="AA668">
        <v>1</v>
      </c>
      <c r="AB668">
        <v>1</v>
      </c>
      <c r="AC668">
        <v>1</v>
      </c>
      <c r="AD668">
        <v>1</v>
      </c>
      <c r="AE668">
        <v>1</v>
      </c>
      <c r="AF668">
        <v>1</v>
      </c>
      <c r="AG668" t="s">
        <v>281</v>
      </c>
      <c r="AH668" t="s">
        <v>12</v>
      </c>
      <c r="AI668" t="s">
        <v>4</v>
      </c>
      <c r="AJ668">
        <f>$H$668*$P$668</f>
        <v>0</v>
      </c>
      <c r="AK668">
        <f>$H$668*$Q$668</f>
        <v>0</v>
      </c>
      <c r="AL668">
        <f>$H$668*$R$668</f>
        <v>0</v>
      </c>
      <c r="AM668">
        <f>$H$668*$S$668</f>
        <v>91.63</v>
      </c>
      <c r="AN668">
        <f>$H$668*$T$668</f>
        <v>91.63</v>
      </c>
      <c r="AO668">
        <f>$H$668*$U$668</f>
        <v>91.63</v>
      </c>
      <c r="AP668">
        <f>$H$668*$V$668</f>
        <v>91.63</v>
      </c>
      <c r="AQ668">
        <f>$H$668*$W$668</f>
        <v>91.63</v>
      </c>
      <c r="AR668">
        <f>$H$668*$X$668</f>
        <v>91.63</v>
      </c>
      <c r="AS668">
        <f>$H$668*$Y$668</f>
        <v>91.63</v>
      </c>
      <c r="AT668">
        <f>$H$668*$Z$668</f>
        <v>91.63</v>
      </c>
      <c r="AU668">
        <f>$H$668*$AA$668</f>
        <v>91.63</v>
      </c>
      <c r="AV668">
        <f>$H$668*$AB$668</f>
        <v>91.63</v>
      </c>
      <c r="AW668">
        <f>$H$668*$AC$668</f>
        <v>91.63</v>
      </c>
      <c r="AX668">
        <f>$H$668*$AD$668</f>
        <v>91.63</v>
      </c>
      <c r="AY668">
        <f>$H$668*$AE$668</f>
        <v>91.63</v>
      </c>
      <c r="AZ668">
        <f>$H$668*$AF$668</f>
        <v>91.63</v>
      </c>
    </row>
    <row r="669" spans="1:52" x14ac:dyDescent="0.25">
      <c r="A669">
        <v>737</v>
      </c>
      <c r="B669" t="s">
        <v>281</v>
      </c>
      <c r="C669" t="s">
        <v>471</v>
      </c>
      <c r="D669">
        <v>74.849999999999994</v>
      </c>
      <c r="E669">
        <v>690.87</v>
      </c>
      <c r="F669" t="s">
        <v>349</v>
      </c>
      <c r="G669">
        <v>9.23</v>
      </c>
      <c r="H669">
        <v>829.05</v>
      </c>
      <c r="I669" t="s">
        <v>469</v>
      </c>
      <c r="J669" t="s">
        <v>463</v>
      </c>
      <c r="K669" t="s">
        <v>669</v>
      </c>
      <c r="L669" t="s">
        <v>179</v>
      </c>
      <c r="M669" t="s">
        <v>281</v>
      </c>
      <c r="N669" t="s">
        <v>12</v>
      </c>
      <c r="O669" t="s">
        <v>4</v>
      </c>
      <c r="P669">
        <v>0</v>
      </c>
      <c r="Q669">
        <v>0</v>
      </c>
      <c r="R669">
        <v>0</v>
      </c>
      <c r="S669">
        <v>1</v>
      </c>
      <c r="T669">
        <v>1</v>
      </c>
      <c r="U669">
        <v>1</v>
      </c>
      <c r="V669">
        <v>1</v>
      </c>
      <c r="W669">
        <v>1</v>
      </c>
      <c r="X669">
        <v>1</v>
      </c>
      <c r="Y669">
        <v>1</v>
      </c>
      <c r="Z669">
        <v>1</v>
      </c>
      <c r="AA669">
        <v>1</v>
      </c>
      <c r="AB669">
        <v>1</v>
      </c>
      <c r="AC669">
        <v>1</v>
      </c>
      <c r="AD669">
        <v>1</v>
      </c>
      <c r="AE669">
        <v>1</v>
      </c>
      <c r="AF669">
        <v>1</v>
      </c>
      <c r="AG669" t="s">
        <v>281</v>
      </c>
      <c r="AH669" t="s">
        <v>12</v>
      </c>
      <c r="AI669" t="s">
        <v>4</v>
      </c>
      <c r="AJ669">
        <f>$H$669*$P$669</f>
        <v>0</v>
      </c>
      <c r="AK669">
        <f>$H$669*$Q$669</f>
        <v>0</v>
      </c>
      <c r="AL669">
        <f>$H$669*$R$669</f>
        <v>0</v>
      </c>
      <c r="AM669">
        <f>$H$669*$S$669</f>
        <v>829.05</v>
      </c>
      <c r="AN669">
        <f>$H$669*$T$669</f>
        <v>829.05</v>
      </c>
      <c r="AO669">
        <f>$H$669*$U$669</f>
        <v>829.05</v>
      </c>
      <c r="AP669">
        <f>$H$669*$V$669</f>
        <v>829.05</v>
      </c>
      <c r="AQ669">
        <f>$H$669*$W$669</f>
        <v>829.05</v>
      </c>
      <c r="AR669">
        <f>$H$669*$X$669</f>
        <v>829.05</v>
      </c>
      <c r="AS669">
        <f>$H$669*$Y$669</f>
        <v>829.05</v>
      </c>
      <c r="AT669">
        <f>$H$669*$Z$669</f>
        <v>829.05</v>
      </c>
      <c r="AU669">
        <f>$H$669*$AA$669</f>
        <v>829.05</v>
      </c>
      <c r="AV669">
        <f>$H$669*$AB$669</f>
        <v>829.05</v>
      </c>
      <c r="AW669">
        <f>$H$669*$AC$669</f>
        <v>829.05</v>
      </c>
      <c r="AX669">
        <f>$H$669*$AD$669</f>
        <v>829.05</v>
      </c>
      <c r="AY669">
        <f>$H$669*$AE$669</f>
        <v>829.05</v>
      </c>
      <c r="AZ669">
        <f>$H$669*$AF$669</f>
        <v>829.05</v>
      </c>
    </row>
    <row r="670" spans="1:52" x14ac:dyDescent="0.25">
      <c r="A670">
        <v>738</v>
      </c>
      <c r="B670" t="s">
        <v>7</v>
      </c>
      <c r="C670" t="s">
        <v>547</v>
      </c>
      <c r="D670">
        <v>10</v>
      </c>
      <c r="E670">
        <v>843.2</v>
      </c>
      <c r="F670" t="s">
        <v>335</v>
      </c>
      <c r="G670">
        <v>84.32</v>
      </c>
      <c r="H670">
        <v>1011.84</v>
      </c>
      <c r="I670" t="s">
        <v>489</v>
      </c>
      <c r="J670" t="s">
        <v>548</v>
      </c>
      <c r="K670" t="s">
        <v>706</v>
      </c>
      <c r="L670" t="s">
        <v>179</v>
      </c>
      <c r="M670" t="s">
        <v>7</v>
      </c>
      <c r="N670" t="s">
        <v>12</v>
      </c>
      <c r="O670" t="s">
        <v>7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1</v>
      </c>
      <c r="AC670">
        <v>1</v>
      </c>
      <c r="AD670">
        <v>1</v>
      </c>
      <c r="AE670">
        <v>1</v>
      </c>
      <c r="AF670">
        <v>1</v>
      </c>
      <c r="AG670" t="s">
        <v>7</v>
      </c>
      <c r="AH670" t="s">
        <v>12</v>
      </c>
      <c r="AI670" t="s">
        <v>7</v>
      </c>
      <c r="AJ670">
        <f>$H$670*$P$670</f>
        <v>0</v>
      </c>
      <c r="AK670">
        <f>$H$670*$Q$670</f>
        <v>0</v>
      </c>
      <c r="AL670">
        <f>$H$670*$R$670</f>
        <v>0</v>
      </c>
      <c r="AM670">
        <f>$H$670*$S$670</f>
        <v>0</v>
      </c>
      <c r="AN670">
        <f>$H$670*$T$670</f>
        <v>0</v>
      </c>
      <c r="AO670">
        <f>$H$670*$U$670</f>
        <v>0</v>
      </c>
      <c r="AP670">
        <f>$H$670*$V$670</f>
        <v>0</v>
      </c>
      <c r="AQ670">
        <f>$H$670*$W$670</f>
        <v>0</v>
      </c>
      <c r="AR670">
        <f>$H$670*$X$670</f>
        <v>0</v>
      </c>
      <c r="AS670">
        <f>$H$670*$Y$670</f>
        <v>0</v>
      </c>
      <c r="AT670">
        <f>$H$670*$Z$670</f>
        <v>0</v>
      </c>
      <c r="AU670">
        <f>$H$670*$AA$670</f>
        <v>0</v>
      </c>
      <c r="AV670">
        <f>$H$670*$AB$670</f>
        <v>1011.84</v>
      </c>
      <c r="AW670">
        <f>$H$670*$AC$670</f>
        <v>1011.84</v>
      </c>
      <c r="AX670">
        <f>$H$670*$AD$670</f>
        <v>1011.84</v>
      </c>
      <c r="AY670">
        <f>$H$670*$AE$670</f>
        <v>1011.84</v>
      </c>
      <c r="AZ670">
        <f>$H$670*$AF$670</f>
        <v>1011.84</v>
      </c>
    </row>
    <row r="671" spans="1:52" x14ac:dyDescent="0.25">
      <c r="A671">
        <v>739</v>
      </c>
      <c r="B671" t="s">
        <v>7</v>
      </c>
      <c r="C671" t="s">
        <v>543</v>
      </c>
      <c r="D671">
        <v>1</v>
      </c>
      <c r="E671">
        <v>33.1</v>
      </c>
      <c r="F671" t="s">
        <v>335</v>
      </c>
      <c r="G671">
        <v>33.1</v>
      </c>
      <c r="H671">
        <v>39.72</v>
      </c>
      <c r="I671" t="s">
        <v>337</v>
      </c>
      <c r="J671" t="s">
        <v>544</v>
      </c>
      <c r="K671" t="s">
        <v>704</v>
      </c>
      <c r="L671" t="s">
        <v>179</v>
      </c>
      <c r="M671" t="s">
        <v>7</v>
      </c>
      <c r="N671" t="s">
        <v>12</v>
      </c>
      <c r="O671" t="s">
        <v>7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1</v>
      </c>
      <c r="W671">
        <v>1</v>
      </c>
      <c r="X671">
        <v>1</v>
      </c>
      <c r="Y671">
        <v>1</v>
      </c>
      <c r="Z671">
        <v>1</v>
      </c>
      <c r="AA671">
        <v>1</v>
      </c>
      <c r="AB671">
        <v>1</v>
      </c>
      <c r="AC671">
        <v>1</v>
      </c>
      <c r="AD671">
        <v>1</v>
      </c>
      <c r="AE671">
        <v>1</v>
      </c>
      <c r="AF671">
        <v>1</v>
      </c>
      <c r="AG671" t="s">
        <v>7</v>
      </c>
      <c r="AH671" t="s">
        <v>12</v>
      </c>
      <c r="AI671" t="s">
        <v>7</v>
      </c>
      <c r="AJ671">
        <f>$H$671*$P$671</f>
        <v>0</v>
      </c>
      <c r="AK671">
        <f>$H$671*$Q$671</f>
        <v>0</v>
      </c>
      <c r="AL671">
        <f>$H$671*$R$671</f>
        <v>0</v>
      </c>
      <c r="AM671">
        <f>$H$671*$S$671</f>
        <v>0</v>
      </c>
      <c r="AN671">
        <f>$H$671*$T$671</f>
        <v>0</v>
      </c>
      <c r="AO671">
        <f>$H$671*$U$671</f>
        <v>0</v>
      </c>
      <c r="AP671">
        <f>$H$671*$V$671</f>
        <v>39.72</v>
      </c>
      <c r="AQ671">
        <f>$H$671*$W$671</f>
        <v>39.72</v>
      </c>
      <c r="AR671">
        <f>$H$671*$X$671</f>
        <v>39.72</v>
      </c>
      <c r="AS671">
        <f>$H$671*$Y$671</f>
        <v>39.72</v>
      </c>
      <c r="AT671">
        <f>$H$671*$Z$671</f>
        <v>39.72</v>
      </c>
      <c r="AU671">
        <f>$H$671*$AA$671</f>
        <v>39.72</v>
      </c>
      <c r="AV671">
        <f>$H$671*$AB$671</f>
        <v>39.72</v>
      </c>
      <c r="AW671">
        <f>$H$671*$AC$671</f>
        <v>39.72</v>
      </c>
      <c r="AX671">
        <f>$H$671*$AD$671</f>
        <v>39.72</v>
      </c>
      <c r="AY671">
        <f>$H$671*$AE$671</f>
        <v>39.72</v>
      </c>
      <c r="AZ671">
        <f>$H$671*$AF$671</f>
        <v>39.72</v>
      </c>
    </row>
    <row r="672" spans="1:52" x14ac:dyDescent="0.25">
      <c r="A672">
        <v>740</v>
      </c>
      <c r="B672" t="s">
        <v>7</v>
      </c>
      <c r="C672" t="s">
        <v>507</v>
      </c>
      <c r="D672">
        <v>2</v>
      </c>
      <c r="E672">
        <v>74</v>
      </c>
      <c r="F672" t="s">
        <v>335</v>
      </c>
      <c r="G672">
        <v>37</v>
      </c>
      <c r="H672">
        <v>88.8</v>
      </c>
      <c r="I672" t="s">
        <v>337</v>
      </c>
      <c r="J672" t="s">
        <v>508</v>
      </c>
      <c r="K672" t="s">
        <v>686</v>
      </c>
      <c r="L672" t="s">
        <v>179</v>
      </c>
      <c r="M672" t="s">
        <v>7</v>
      </c>
      <c r="N672" t="s">
        <v>12</v>
      </c>
      <c r="O672" t="s">
        <v>7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0.6</v>
      </c>
      <c r="Y672">
        <v>0.6</v>
      </c>
      <c r="Z672">
        <v>0.6</v>
      </c>
      <c r="AA672">
        <v>0.6</v>
      </c>
      <c r="AB672">
        <v>0.6</v>
      </c>
      <c r="AC672">
        <v>0.6</v>
      </c>
      <c r="AD672">
        <v>1</v>
      </c>
      <c r="AE672">
        <v>1</v>
      </c>
      <c r="AF672">
        <v>1</v>
      </c>
      <c r="AG672" t="s">
        <v>7</v>
      </c>
      <c r="AH672" t="s">
        <v>12</v>
      </c>
      <c r="AI672" t="s">
        <v>7</v>
      </c>
      <c r="AJ672">
        <f>$H$672*$P$672</f>
        <v>0</v>
      </c>
      <c r="AK672">
        <f>$H$672*$Q$672</f>
        <v>0</v>
      </c>
      <c r="AL672">
        <f>$H$672*$R$672</f>
        <v>0</v>
      </c>
      <c r="AM672">
        <f>$H$672*$S$672</f>
        <v>0</v>
      </c>
      <c r="AN672">
        <f>$H$672*$T$672</f>
        <v>0</v>
      </c>
      <c r="AO672">
        <f>$H$672*$U$672</f>
        <v>0</v>
      </c>
      <c r="AP672">
        <f>$H$672*$V$672</f>
        <v>0</v>
      </c>
      <c r="AQ672">
        <f>$H$672*$W$672</f>
        <v>0</v>
      </c>
      <c r="AR672">
        <f>$H$672*$X$672</f>
        <v>53.279999999999994</v>
      </c>
      <c r="AS672">
        <f>$H$672*$Y$672</f>
        <v>53.279999999999994</v>
      </c>
      <c r="AT672">
        <f>$H$672*$Z$672</f>
        <v>53.279999999999994</v>
      </c>
      <c r="AU672">
        <f>$H$672*$AA$672</f>
        <v>53.279999999999994</v>
      </c>
      <c r="AV672">
        <f>$H$672*$AB$672</f>
        <v>53.279999999999994</v>
      </c>
      <c r="AW672">
        <f>$H$672*$AC$672</f>
        <v>53.279999999999994</v>
      </c>
      <c r="AX672">
        <f>$H$672*$AD$672</f>
        <v>88.8</v>
      </c>
      <c r="AY672">
        <f>$H$672*$AE$672</f>
        <v>88.8</v>
      </c>
      <c r="AZ672">
        <f>$H$672*$AF$672</f>
        <v>88.8</v>
      </c>
    </row>
    <row r="673" spans="1:52" x14ac:dyDescent="0.25">
      <c r="A673">
        <v>741</v>
      </c>
      <c r="B673" t="s">
        <v>7</v>
      </c>
      <c r="C673" t="s">
        <v>435</v>
      </c>
      <c r="D673">
        <v>4</v>
      </c>
      <c r="E673">
        <v>53.08</v>
      </c>
      <c r="F673" t="s">
        <v>335</v>
      </c>
      <c r="G673">
        <v>13.27</v>
      </c>
      <c r="H673">
        <v>63.7</v>
      </c>
      <c r="I673" t="s">
        <v>337</v>
      </c>
      <c r="J673" t="s">
        <v>436</v>
      </c>
      <c r="K673" t="s">
        <v>652</v>
      </c>
      <c r="L673" t="s">
        <v>179</v>
      </c>
      <c r="M673" t="s">
        <v>7</v>
      </c>
      <c r="N673" t="s">
        <v>12</v>
      </c>
      <c r="O673" t="s">
        <v>7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1</v>
      </c>
      <c r="Y673">
        <v>1</v>
      </c>
      <c r="Z673">
        <v>1</v>
      </c>
      <c r="AA673">
        <v>1</v>
      </c>
      <c r="AB673">
        <v>1</v>
      </c>
      <c r="AC673">
        <v>1</v>
      </c>
      <c r="AD673">
        <v>1</v>
      </c>
      <c r="AE673">
        <v>1</v>
      </c>
      <c r="AF673">
        <v>1</v>
      </c>
      <c r="AG673" t="s">
        <v>7</v>
      </c>
      <c r="AH673" t="s">
        <v>12</v>
      </c>
      <c r="AI673" t="s">
        <v>7</v>
      </c>
      <c r="AJ673">
        <f>$H$673*$P$673</f>
        <v>0</v>
      </c>
      <c r="AK673">
        <f>$H$673*$Q$673</f>
        <v>0</v>
      </c>
      <c r="AL673">
        <f>$H$673*$R$673</f>
        <v>0</v>
      </c>
      <c r="AM673">
        <f>$H$673*$S$673</f>
        <v>0</v>
      </c>
      <c r="AN673">
        <f>$H$673*$T$673</f>
        <v>0</v>
      </c>
      <c r="AO673">
        <f>$H$673*$U$673</f>
        <v>0</v>
      </c>
      <c r="AP673">
        <f>$H$673*$V$673</f>
        <v>0</v>
      </c>
      <c r="AQ673">
        <f>$H$673*$W$673</f>
        <v>0</v>
      </c>
      <c r="AR673">
        <f>$H$673*$X$673</f>
        <v>63.7</v>
      </c>
      <c r="AS673">
        <f>$H$673*$Y$673</f>
        <v>63.7</v>
      </c>
      <c r="AT673">
        <f>$H$673*$Z$673</f>
        <v>63.7</v>
      </c>
      <c r="AU673">
        <f>$H$673*$AA$673</f>
        <v>63.7</v>
      </c>
      <c r="AV673">
        <f>$H$673*$AB$673</f>
        <v>63.7</v>
      </c>
      <c r="AW673">
        <f>$H$673*$AC$673</f>
        <v>63.7</v>
      </c>
      <c r="AX673">
        <f>$H$673*$AD$673</f>
        <v>63.7</v>
      </c>
      <c r="AY673">
        <f>$H$673*$AE$673</f>
        <v>63.7</v>
      </c>
      <c r="AZ673">
        <f>$H$673*$AF$673</f>
        <v>63.7</v>
      </c>
    </row>
    <row r="674" spans="1:52" x14ac:dyDescent="0.25">
      <c r="A674">
        <v>742</v>
      </c>
      <c r="B674" t="s">
        <v>7</v>
      </c>
      <c r="C674" t="s">
        <v>435</v>
      </c>
      <c r="D674">
        <v>2</v>
      </c>
      <c r="E674">
        <v>26.54</v>
      </c>
      <c r="F674" t="s">
        <v>335</v>
      </c>
      <c r="G674">
        <v>13.27</v>
      </c>
      <c r="H674">
        <v>31.84</v>
      </c>
      <c r="I674" t="s">
        <v>337</v>
      </c>
      <c r="J674" t="s">
        <v>436</v>
      </c>
      <c r="K674" t="s">
        <v>652</v>
      </c>
      <c r="L674" t="s">
        <v>179</v>
      </c>
      <c r="M674" t="s">
        <v>7</v>
      </c>
      <c r="N674" t="s">
        <v>12</v>
      </c>
      <c r="O674" t="s">
        <v>7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1</v>
      </c>
      <c r="Y674">
        <v>1</v>
      </c>
      <c r="Z674">
        <v>1</v>
      </c>
      <c r="AA674">
        <v>1</v>
      </c>
      <c r="AB674">
        <v>1</v>
      </c>
      <c r="AC674">
        <v>1</v>
      </c>
      <c r="AD674">
        <v>1</v>
      </c>
      <c r="AE674">
        <v>1</v>
      </c>
      <c r="AF674">
        <v>1</v>
      </c>
      <c r="AG674" t="s">
        <v>7</v>
      </c>
      <c r="AH674" t="s">
        <v>12</v>
      </c>
      <c r="AI674" t="s">
        <v>7</v>
      </c>
      <c r="AJ674">
        <f>$H$674*$P$674</f>
        <v>0</v>
      </c>
      <c r="AK674">
        <f>$H$674*$Q$674</f>
        <v>0</v>
      </c>
      <c r="AL674">
        <f>$H$674*$R$674</f>
        <v>0</v>
      </c>
      <c r="AM674">
        <f>$H$674*$S$674</f>
        <v>0</v>
      </c>
      <c r="AN674">
        <f>$H$674*$T$674</f>
        <v>0</v>
      </c>
      <c r="AO674">
        <f>$H$674*$U$674</f>
        <v>0</v>
      </c>
      <c r="AP674">
        <f>$H$674*$V$674</f>
        <v>0</v>
      </c>
      <c r="AQ674">
        <f>$H$674*$W$674</f>
        <v>0</v>
      </c>
      <c r="AR674">
        <f>$H$674*$X$674</f>
        <v>31.84</v>
      </c>
      <c r="AS674">
        <f>$H$674*$Y$674</f>
        <v>31.84</v>
      </c>
      <c r="AT674">
        <f>$H$674*$Z$674</f>
        <v>31.84</v>
      </c>
      <c r="AU674">
        <f>$H$674*$AA$674</f>
        <v>31.84</v>
      </c>
      <c r="AV674">
        <f>$H$674*$AB$674</f>
        <v>31.84</v>
      </c>
      <c r="AW674">
        <f>$H$674*$AC$674</f>
        <v>31.84</v>
      </c>
      <c r="AX674">
        <f>$H$674*$AD$674</f>
        <v>31.84</v>
      </c>
      <c r="AY674">
        <f>$H$674*$AE$674</f>
        <v>31.84</v>
      </c>
      <c r="AZ674">
        <f>$H$674*$AF$674</f>
        <v>31.84</v>
      </c>
    </row>
    <row r="675" spans="1:52" x14ac:dyDescent="0.25">
      <c r="A675">
        <v>743</v>
      </c>
      <c r="B675" t="s">
        <v>7</v>
      </c>
      <c r="C675" t="s">
        <v>354</v>
      </c>
      <c r="D675">
        <v>1</v>
      </c>
      <c r="E675">
        <v>655.73</v>
      </c>
      <c r="F675" t="s">
        <v>335</v>
      </c>
      <c r="G675">
        <v>655.73</v>
      </c>
      <c r="H675">
        <v>786.87</v>
      </c>
      <c r="I675" t="s">
        <v>353</v>
      </c>
      <c r="J675" t="s">
        <v>355</v>
      </c>
      <c r="K675" t="s">
        <v>612</v>
      </c>
      <c r="L675" t="s">
        <v>179</v>
      </c>
      <c r="M675" t="s">
        <v>7</v>
      </c>
      <c r="N675" t="s">
        <v>12</v>
      </c>
      <c r="O675" t="s">
        <v>7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1</v>
      </c>
      <c r="Z675">
        <v>1</v>
      </c>
      <c r="AA675">
        <v>1</v>
      </c>
      <c r="AB675">
        <v>1</v>
      </c>
      <c r="AC675">
        <v>1</v>
      </c>
      <c r="AD675">
        <v>1</v>
      </c>
      <c r="AE675">
        <v>1</v>
      </c>
      <c r="AF675">
        <v>1</v>
      </c>
      <c r="AG675" t="s">
        <v>7</v>
      </c>
      <c r="AH675" t="s">
        <v>12</v>
      </c>
      <c r="AI675" t="s">
        <v>7</v>
      </c>
      <c r="AJ675">
        <f>$H$675*$P$675</f>
        <v>0</v>
      </c>
      <c r="AK675">
        <f>$H$675*$Q$675</f>
        <v>0</v>
      </c>
      <c r="AL675">
        <f>$H$675*$R$675</f>
        <v>0</v>
      </c>
      <c r="AM675">
        <f>$H$675*$S$675</f>
        <v>0</v>
      </c>
      <c r="AN675">
        <f>$H$675*$T$675</f>
        <v>0</v>
      </c>
      <c r="AO675">
        <f>$H$675*$U$675</f>
        <v>0</v>
      </c>
      <c r="AP675">
        <f>$H$675*$V$675</f>
        <v>0</v>
      </c>
      <c r="AQ675">
        <f>$H$675*$W$675</f>
        <v>0</v>
      </c>
      <c r="AR675">
        <f>$H$675*$X$675</f>
        <v>0</v>
      </c>
      <c r="AS675">
        <f>$H$675*$Y$675</f>
        <v>786.87</v>
      </c>
      <c r="AT675">
        <f>$H$675*$Z$675</f>
        <v>786.87</v>
      </c>
      <c r="AU675">
        <f>$H$675*$AA$675</f>
        <v>786.87</v>
      </c>
      <c r="AV675">
        <f>$H$675*$AB$675</f>
        <v>786.87</v>
      </c>
      <c r="AW675">
        <f>$H$675*$AC$675</f>
        <v>786.87</v>
      </c>
      <c r="AX675">
        <f>$H$675*$AD$675</f>
        <v>786.87</v>
      </c>
      <c r="AY675">
        <f>$H$675*$AE$675</f>
        <v>786.87</v>
      </c>
      <c r="AZ675">
        <f>$H$675*$AF$675</f>
        <v>786.87</v>
      </c>
    </row>
    <row r="676" spans="1:52" x14ac:dyDescent="0.25">
      <c r="A676">
        <v>744</v>
      </c>
      <c r="B676" t="s">
        <v>7</v>
      </c>
      <c r="C676" t="s">
        <v>549</v>
      </c>
      <c r="D676">
        <v>1</v>
      </c>
      <c r="E676">
        <v>576.94000000000005</v>
      </c>
      <c r="F676" t="s">
        <v>335</v>
      </c>
      <c r="G676">
        <v>576.94000000000005</v>
      </c>
      <c r="H676">
        <v>692.32</v>
      </c>
      <c r="I676" t="s">
        <v>353</v>
      </c>
      <c r="J676" t="s">
        <v>550</v>
      </c>
      <c r="K676" t="s">
        <v>707</v>
      </c>
      <c r="L676" t="s">
        <v>179</v>
      </c>
      <c r="M676" t="s">
        <v>7</v>
      </c>
      <c r="N676" t="s">
        <v>12</v>
      </c>
      <c r="O676" t="s">
        <v>7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1</v>
      </c>
      <c r="AB676">
        <v>1</v>
      </c>
      <c r="AC676">
        <v>1</v>
      </c>
      <c r="AD676">
        <v>1</v>
      </c>
      <c r="AE676">
        <v>1</v>
      </c>
      <c r="AF676">
        <v>1</v>
      </c>
      <c r="AG676" t="s">
        <v>7</v>
      </c>
      <c r="AH676" t="s">
        <v>12</v>
      </c>
      <c r="AI676" t="s">
        <v>7</v>
      </c>
      <c r="AJ676">
        <f>$H$676*$P$676</f>
        <v>0</v>
      </c>
      <c r="AK676">
        <f>$H$676*$Q$676</f>
        <v>0</v>
      </c>
      <c r="AL676">
        <f>$H$676*$R$676</f>
        <v>0</v>
      </c>
      <c r="AM676">
        <f>$H$676*$S$676</f>
        <v>0</v>
      </c>
      <c r="AN676">
        <f>$H$676*$T$676</f>
        <v>0</v>
      </c>
      <c r="AO676">
        <f>$H$676*$U$676</f>
        <v>0</v>
      </c>
      <c r="AP676">
        <f>$H$676*$V$676</f>
        <v>0</v>
      </c>
      <c r="AQ676">
        <f>$H$676*$W$676</f>
        <v>0</v>
      </c>
      <c r="AR676">
        <f>$H$676*$X$676</f>
        <v>0</v>
      </c>
      <c r="AS676">
        <f>$H$676*$Y$676</f>
        <v>0</v>
      </c>
      <c r="AT676">
        <f>$H$676*$Z$676</f>
        <v>0</v>
      </c>
      <c r="AU676">
        <f>$H$676*$AA$676</f>
        <v>692.32</v>
      </c>
      <c r="AV676">
        <f>$H$676*$AB$676</f>
        <v>692.32</v>
      </c>
      <c r="AW676">
        <f>$H$676*$AC$676</f>
        <v>692.32</v>
      </c>
      <c r="AX676">
        <f>$H$676*$AD$676</f>
        <v>692.32</v>
      </c>
      <c r="AY676">
        <f>$H$676*$AE$676</f>
        <v>692.32</v>
      </c>
      <c r="AZ676">
        <f>$H$676*$AF$676</f>
        <v>692.32</v>
      </c>
    </row>
    <row r="677" spans="1:52" x14ac:dyDescent="0.25">
      <c r="A677">
        <v>745</v>
      </c>
      <c r="B677" t="s">
        <v>7</v>
      </c>
      <c r="C677" t="s">
        <v>551</v>
      </c>
      <c r="D677">
        <v>1</v>
      </c>
      <c r="E677">
        <v>792.7</v>
      </c>
      <c r="F677" t="s">
        <v>335</v>
      </c>
      <c r="G677">
        <v>792.7</v>
      </c>
      <c r="H677">
        <v>951.24</v>
      </c>
      <c r="I677" t="s">
        <v>353</v>
      </c>
      <c r="J677" t="s">
        <v>552</v>
      </c>
      <c r="K677" t="s">
        <v>708</v>
      </c>
      <c r="L677" t="s">
        <v>179</v>
      </c>
      <c r="M677" t="s">
        <v>7</v>
      </c>
      <c r="N677" t="s">
        <v>12</v>
      </c>
      <c r="O677" t="s">
        <v>7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1</v>
      </c>
      <c r="AB677">
        <v>1</v>
      </c>
      <c r="AC677">
        <v>1</v>
      </c>
      <c r="AD677">
        <v>1</v>
      </c>
      <c r="AE677">
        <v>1</v>
      </c>
      <c r="AF677">
        <v>1</v>
      </c>
      <c r="AG677" t="s">
        <v>7</v>
      </c>
      <c r="AH677" t="s">
        <v>12</v>
      </c>
      <c r="AI677" t="s">
        <v>7</v>
      </c>
      <c r="AJ677">
        <f>$H$677*$P$677</f>
        <v>0</v>
      </c>
      <c r="AK677">
        <f>$H$677*$Q$677</f>
        <v>0</v>
      </c>
      <c r="AL677">
        <f>$H$677*$R$677</f>
        <v>0</v>
      </c>
      <c r="AM677">
        <f>$H$677*$S$677</f>
        <v>0</v>
      </c>
      <c r="AN677">
        <f>$H$677*$T$677</f>
        <v>0</v>
      </c>
      <c r="AO677">
        <f>$H$677*$U$677</f>
        <v>0</v>
      </c>
      <c r="AP677">
        <f>$H$677*$V$677</f>
        <v>0</v>
      </c>
      <c r="AQ677">
        <f>$H$677*$W$677</f>
        <v>0</v>
      </c>
      <c r="AR677">
        <f>$H$677*$X$677</f>
        <v>0</v>
      </c>
      <c r="AS677">
        <f>$H$677*$Y$677</f>
        <v>0</v>
      </c>
      <c r="AT677">
        <f>$H$677*$Z$677</f>
        <v>0</v>
      </c>
      <c r="AU677">
        <f>$H$677*$AA$677</f>
        <v>951.24</v>
      </c>
      <c r="AV677">
        <f>$H$677*$AB$677</f>
        <v>951.24</v>
      </c>
      <c r="AW677">
        <f>$H$677*$AC$677</f>
        <v>951.24</v>
      </c>
      <c r="AX677">
        <f>$H$677*$AD$677</f>
        <v>951.24</v>
      </c>
      <c r="AY677">
        <f>$H$677*$AE$677</f>
        <v>951.24</v>
      </c>
      <c r="AZ677">
        <f>$H$677*$AF$677</f>
        <v>951.24</v>
      </c>
    </row>
    <row r="678" spans="1:52" x14ac:dyDescent="0.25">
      <c r="A678">
        <v>746</v>
      </c>
      <c r="B678" t="s">
        <v>7</v>
      </c>
      <c r="C678" t="s">
        <v>553</v>
      </c>
      <c r="D678">
        <v>1</v>
      </c>
      <c r="E678">
        <v>141.22</v>
      </c>
      <c r="F678" t="s">
        <v>335</v>
      </c>
      <c r="G678">
        <v>141.22</v>
      </c>
      <c r="H678">
        <v>169.46</v>
      </c>
      <c r="I678" t="s">
        <v>340</v>
      </c>
      <c r="J678" t="s">
        <v>554</v>
      </c>
      <c r="K678" t="s">
        <v>709</v>
      </c>
      <c r="L678" t="s">
        <v>179</v>
      </c>
      <c r="M678" t="s">
        <v>7</v>
      </c>
      <c r="N678" t="s">
        <v>12</v>
      </c>
      <c r="O678" t="s">
        <v>7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1</v>
      </c>
      <c r="AE678">
        <v>1</v>
      </c>
      <c r="AF678">
        <v>1</v>
      </c>
      <c r="AG678" t="s">
        <v>7</v>
      </c>
      <c r="AH678" t="s">
        <v>12</v>
      </c>
      <c r="AI678" t="s">
        <v>7</v>
      </c>
      <c r="AJ678">
        <f>$H$678*$P$678</f>
        <v>0</v>
      </c>
      <c r="AK678">
        <f>$H$678*$Q$678</f>
        <v>0</v>
      </c>
      <c r="AL678">
        <f>$H$678*$R$678</f>
        <v>0</v>
      </c>
      <c r="AM678">
        <f>$H$678*$S$678</f>
        <v>0</v>
      </c>
      <c r="AN678">
        <f>$H$678*$T$678</f>
        <v>0</v>
      </c>
      <c r="AO678">
        <f>$H$678*$U$678</f>
        <v>0</v>
      </c>
      <c r="AP678">
        <f>$H$678*$V$678</f>
        <v>0</v>
      </c>
      <c r="AQ678">
        <f>$H$678*$W$678</f>
        <v>0</v>
      </c>
      <c r="AR678">
        <f>$H$678*$X$678</f>
        <v>0</v>
      </c>
      <c r="AS678">
        <f>$H$678*$Y$678</f>
        <v>0</v>
      </c>
      <c r="AT678">
        <f>$H$678*$Z$678</f>
        <v>0</v>
      </c>
      <c r="AU678">
        <f>$H$678*$AA$678</f>
        <v>0</v>
      </c>
      <c r="AV678">
        <f>$H$678*$AB$678</f>
        <v>0</v>
      </c>
      <c r="AW678">
        <f>$H$678*$AC$678</f>
        <v>0</v>
      </c>
      <c r="AX678">
        <f>$H$678*$AD$678</f>
        <v>169.46</v>
      </c>
      <c r="AY678">
        <f>$H$678*$AE$678</f>
        <v>169.46</v>
      </c>
      <c r="AZ678">
        <f>$H$678*$AF$678</f>
        <v>169.46</v>
      </c>
    </row>
    <row r="679" spans="1:52" x14ac:dyDescent="0.25">
      <c r="A679">
        <v>747</v>
      </c>
      <c r="B679" t="s">
        <v>7</v>
      </c>
      <c r="C679" t="s">
        <v>555</v>
      </c>
      <c r="D679">
        <v>6</v>
      </c>
      <c r="E679">
        <v>3244.38</v>
      </c>
      <c r="F679" t="s">
        <v>329</v>
      </c>
      <c r="G679">
        <v>540.73</v>
      </c>
      <c r="H679">
        <v>3893.26</v>
      </c>
      <c r="I679" t="s">
        <v>489</v>
      </c>
      <c r="J679" t="s">
        <v>556</v>
      </c>
      <c r="K679" t="s">
        <v>710</v>
      </c>
      <c r="L679" t="s">
        <v>179</v>
      </c>
      <c r="M679" t="s">
        <v>7</v>
      </c>
      <c r="N679" t="s">
        <v>12</v>
      </c>
      <c r="O679" t="s">
        <v>7</v>
      </c>
      <c r="P679">
        <v>0</v>
      </c>
      <c r="Q679">
        <v>0</v>
      </c>
      <c r="R679">
        <v>0</v>
      </c>
      <c r="S679">
        <v>0</v>
      </c>
      <c r="T679">
        <v>1</v>
      </c>
      <c r="U679">
        <v>1</v>
      </c>
      <c r="V679">
        <v>1</v>
      </c>
      <c r="W679">
        <v>1</v>
      </c>
      <c r="X679">
        <v>1</v>
      </c>
      <c r="Y679">
        <v>1</v>
      </c>
      <c r="Z679">
        <v>1</v>
      </c>
      <c r="AA679">
        <v>1</v>
      </c>
      <c r="AB679">
        <v>1</v>
      </c>
      <c r="AC679">
        <v>1</v>
      </c>
      <c r="AD679">
        <v>1</v>
      </c>
      <c r="AE679">
        <v>1</v>
      </c>
      <c r="AF679">
        <v>1</v>
      </c>
      <c r="AG679" t="s">
        <v>7</v>
      </c>
      <c r="AH679" t="s">
        <v>12</v>
      </c>
      <c r="AI679" t="s">
        <v>7</v>
      </c>
      <c r="AJ679">
        <f>$H$679*$P$679</f>
        <v>0</v>
      </c>
      <c r="AK679">
        <f>$H$679*$Q$679</f>
        <v>0</v>
      </c>
      <c r="AL679">
        <f>$H$679*$R$679</f>
        <v>0</v>
      </c>
      <c r="AM679">
        <f>$H$679*$S$679</f>
        <v>0</v>
      </c>
      <c r="AN679">
        <f>$H$679*$T$679</f>
        <v>3893.26</v>
      </c>
      <c r="AO679">
        <f>$H$679*$U$679</f>
        <v>3893.26</v>
      </c>
      <c r="AP679">
        <f>$H$679*$V$679</f>
        <v>3893.26</v>
      </c>
      <c r="AQ679">
        <f>$H$679*$W$679</f>
        <v>3893.26</v>
      </c>
      <c r="AR679">
        <f>$H$679*$X$679</f>
        <v>3893.26</v>
      </c>
      <c r="AS679">
        <f>$H$679*$Y$679</f>
        <v>3893.26</v>
      </c>
      <c r="AT679">
        <f>$H$679*$Z$679</f>
        <v>3893.26</v>
      </c>
      <c r="AU679">
        <f>$H$679*$AA$679</f>
        <v>3893.26</v>
      </c>
      <c r="AV679">
        <f>$H$679*$AB$679</f>
        <v>3893.26</v>
      </c>
      <c r="AW679">
        <f>$H$679*$AC$679</f>
        <v>3893.26</v>
      </c>
      <c r="AX679">
        <f>$H$679*$AD$679</f>
        <v>3893.26</v>
      </c>
      <c r="AY679">
        <f>$H$679*$AE$679</f>
        <v>3893.26</v>
      </c>
      <c r="AZ679">
        <f>$H$679*$AF$679</f>
        <v>3893.26</v>
      </c>
    </row>
    <row r="680" spans="1:52" x14ac:dyDescent="0.25">
      <c r="A680">
        <v>748</v>
      </c>
      <c r="B680" t="s">
        <v>7</v>
      </c>
      <c r="C680" t="s">
        <v>557</v>
      </c>
      <c r="D680">
        <v>8</v>
      </c>
      <c r="E680">
        <v>3242.88</v>
      </c>
      <c r="F680" t="s">
        <v>329</v>
      </c>
      <c r="G680">
        <v>405.36</v>
      </c>
      <c r="H680">
        <v>3891.46</v>
      </c>
      <c r="I680" t="s">
        <v>489</v>
      </c>
      <c r="J680" t="s">
        <v>558</v>
      </c>
      <c r="K680" t="s">
        <v>711</v>
      </c>
      <c r="L680" t="s">
        <v>179</v>
      </c>
      <c r="M680" t="s">
        <v>7</v>
      </c>
      <c r="N680" t="s">
        <v>12</v>
      </c>
      <c r="O680" t="s">
        <v>7</v>
      </c>
      <c r="P680">
        <v>0</v>
      </c>
      <c r="Q680">
        <v>0</v>
      </c>
      <c r="R680">
        <v>0</v>
      </c>
      <c r="S680">
        <v>0</v>
      </c>
      <c r="T680">
        <v>1</v>
      </c>
      <c r="U680">
        <v>1</v>
      </c>
      <c r="V680">
        <v>1</v>
      </c>
      <c r="W680">
        <v>1</v>
      </c>
      <c r="X680">
        <v>1</v>
      </c>
      <c r="Y680">
        <v>1</v>
      </c>
      <c r="Z680">
        <v>1</v>
      </c>
      <c r="AA680">
        <v>1</v>
      </c>
      <c r="AB680">
        <v>1</v>
      </c>
      <c r="AC680">
        <v>1</v>
      </c>
      <c r="AD680">
        <v>1</v>
      </c>
      <c r="AE680">
        <v>1</v>
      </c>
      <c r="AF680">
        <v>1</v>
      </c>
      <c r="AG680" t="s">
        <v>7</v>
      </c>
      <c r="AH680" t="s">
        <v>12</v>
      </c>
      <c r="AI680" t="s">
        <v>7</v>
      </c>
      <c r="AJ680">
        <f>$H$680*$P$680</f>
        <v>0</v>
      </c>
      <c r="AK680">
        <f>$H$680*$Q$680</f>
        <v>0</v>
      </c>
      <c r="AL680">
        <f>$H$680*$R$680</f>
        <v>0</v>
      </c>
      <c r="AM680">
        <f>$H$680*$S$680</f>
        <v>0</v>
      </c>
      <c r="AN680">
        <f>$H$680*$T$680</f>
        <v>3891.46</v>
      </c>
      <c r="AO680">
        <f>$H$680*$U$680</f>
        <v>3891.46</v>
      </c>
      <c r="AP680">
        <f>$H$680*$V$680</f>
        <v>3891.46</v>
      </c>
      <c r="AQ680">
        <f>$H$680*$W$680</f>
        <v>3891.46</v>
      </c>
      <c r="AR680">
        <f>$H$680*$X$680</f>
        <v>3891.46</v>
      </c>
      <c r="AS680">
        <f>$H$680*$Y$680</f>
        <v>3891.46</v>
      </c>
      <c r="AT680">
        <f>$H$680*$Z$680</f>
        <v>3891.46</v>
      </c>
      <c r="AU680">
        <f>$H$680*$AA$680</f>
        <v>3891.46</v>
      </c>
      <c r="AV680">
        <f>$H$680*$AB$680</f>
        <v>3891.46</v>
      </c>
      <c r="AW680">
        <f>$H$680*$AC$680</f>
        <v>3891.46</v>
      </c>
      <c r="AX680">
        <f>$H$680*$AD$680</f>
        <v>3891.46</v>
      </c>
      <c r="AY680">
        <f>$H$680*$AE$680</f>
        <v>3891.46</v>
      </c>
      <c r="AZ680">
        <f>$H$680*$AF$680</f>
        <v>3891.46</v>
      </c>
    </row>
    <row r="681" spans="1:52" x14ac:dyDescent="0.25">
      <c r="A681">
        <v>749</v>
      </c>
      <c r="B681" t="s">
        <v>7</v>
      </c>
      <c r="C681" t="s">
        <v>354</v>
      </c>
      <c r="D681">
        <v>1</v>
      </c>
      <c r="E681">
        <v>655.73</v>
      </c>
      <c r="F681" t="s">
        <v>335</v>
      </c>
      <c r="G681">
        <v>655.73</v>
      </c>
      <c r="H681">
        <v>786.87</v>
      </c>
      <c r="I681" t="s">
        <v>353</v>
      </c>
      <c r="J681" t="s">
        <v>355</v>
      </c>
      <c r="K681" t="s">
        <v>612</v>
      </c>
      <c r="L681" t="s">
        <v>179</v>
      </c>
      <c r="M681" t="s">
        <v>7</v>
      </c>
      <c r="N681" t="s">
        <v>12</v>
      </c>
      <c r="O681" t="s">
        <v>7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1</v>
      </c>
      <c r="Z681">
        <v>1</v>
      </c>
      <c r="AA681">
        <v>1</v>
      </c>
      <c r="AB681">
        <v>1</v>
      </c>
      <c r="AC681">
        <v>1</v>
      </c>
      <c r="AD681">
        <v>1</v>
      </c>
      <c r="AE681">
        <v>1</v>
      </c>
      <c r="AF681">
        <v>1</v>
      </c>
      <c r="AG681" t="s">
        <v>7</v>
      </c>
      <c r="AH681" t="s">
        <v>12</v>
      </c>
      <c r="AI681" t="s">
        <v>7</v>
      </c>
      <c r="AJ681">
        <f>$H$681*$P$681</f>
        <v>0</v>
      </c>
      <c r="AK681">
        <f>$H$681*$Q$681</f>
        <v>0</v>
      </c>
      <c r="AL681">
        <f>$H$681*$R$681</f>
        <v>0</v>
      </c>
      <c r="AM681">
        <f>$H$681*$S$681</f>
        <v>0</v>
      </c>
      <c r="AN681">
        <f>$H$681*$T$681</f>
        <v>0</v>
      </c>
      <c r="AO681">
        <f>$H$681*$U$681</f>
        <v>0</v>
      </c>
      <c r="AP681">
        <f>$H$681*$V$681</f>
        <v>0</v>
      </c>
      <c r="AQ681">
        <f>$H$681*$W$681</f>
        <v>0</v>
      </c>
      <c r="AR681">
        <f>$H$681*$X$681</f>
        <v>0</v>
      </c>
      <c r="AS681">
        <f>$H$681*$Y$681</f>
        <v>786.87</v>
      </c>
      <c r="AT681">
        <f>$H$681*$Z$681</f>
        <v>786.87</v>
      </c>
      <c r="AU681">
        <f>$H$681*$AA$681</f>
        <v>786.87</v>
      </c>
      <c r="AV681">
        <f>$H$681*$AB$681</f>
        <v>786.87</v>
      </c>
      <c r="AW681">
        <f>$H$681*$AC$681</f>
        <v>786.87</v>
      </c>
      <c r="AX681">
        <f>$H$681*$AD$681</f>
        <v>786.87</v>
      </c>
      <c r="AY681">
        <f>$H$681*$AE$681</f>
        <v>786.87</v>
      </c>
      <c r="AZ681">
        <f>$H$681*$AF$681</f>
        <v>786.87</v>
      </c>
    </row>
    <row r="682" spans="1:52" x14ac:dyDescent="0.25">
      <c r="A682">
        <v>750</v>
      </c>
      <c r="B682" t="s">
        <v>7</v>
      </c>
      <c r="C682" t="s">
        <v>549</v>
      </c>
      <c r="D682">
        <v>1</v>
      </c>
      <c r="E682">
        <v>576.94000000000005</v>
      </c>
      <c r="F682" t="s">
        <v>335</v>
      </c>
      <c r="G682">
        <v>576.94000000000005</v>
      </c>
      <c r="H682">
        <v>692.32</v>
      </c>
      <c r="I682" t="s">
        <v>353</v>
      </c>
      <c r="J682" t="s">
        <v>550</v>
      </c>
      <c r="K682" t="s">
        <v>707</v>
      </c>
      <c r="L682" t="s">
        <v>179</v>
      </c>
      <c r="M682" t="s">
        <v>7</v>
      </c>
      <c r="N682" t="s">
        <v>12</v>
      </c>
      <c r="O682" t="s">
        <v>7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1</v>
      </c>
      <c r="AB682">
        <v>1</v>
      </c>
      <c r="AC682">
        <v>1</v>
      </c>
      <c r="AD682">
        <v>1</v>
      </c>
      <c r="AE682">
        <v>1</v>
      </c>
      <c r="AF682">
        <v>1</v>
      </c>
      <c r="AG682" t="s">
        <v>7</v>
      </c>
      <c r="AH682" t="s">
        <v>12</v>
      </c>
      <c r="AI682" t="s">
        <v>7</v>
      </c>
      <c r="AJ682">
        <f>$H$682*$P$682</f>
        <v>0</v>
      </c>
      <c r="AK682">
        <f>$H$682*$Q$682</f>
        <v>0</v>
      </c>
      <c r="AL682">
        <f>$H$682*$R$682</f>
        <v>0</v>
      </c>
      <c r="AM682">
        <f>$H$682*$S$682</f>
        <v>0</v>
      </c>
      <c r="AN682">
        <f>$H$682*$T$682</f>
        <v>0</v>
      </c>
      <c r="AO682">
        <f>$H$682*$U$682</f>
        <v>0</v>
      </c>
      <c r="AP682">
        <f>$H$682*$V$682</f>
        <v>0</v>
      </c>
      <c r="AQ682">
        <f>$H$682*$W$682</f>
        <v>0</v>
      </c>
      <c r="AR682">
        <f>$H$682*$X$682</f>
        <v>0</v>
      </c>
      <c r="AS682">
        <f>$H$682*$Y$682</f>
        <v>0</v>
      </c>
      <c r="AT682">
        <f>$H$682*$Z$682</f>
        <v>0</v>
      </c>
      <c r="AU682">
        <f>$H$682*$AA$682</f>
        <v>692.32</v>
      </c>
      <c r="AV682">
        <f>$H$682*$AB$682</f>
        <v>692.32</v>
      </c>
      <c r="AW682">
        <f>$H$682*$AC$682</f>
        <v>692.32</v>
      </c>
      <c r="AX682">
        <f>$H$682*$AD$682</f>
        <v>692.32</v>
      </c>
      <c r="AY682">
        <f>$H$682*$AE$682</f>
        <v>692.32</v>
      </c>
      <c r="AZ682">
        <f>$H$682*$AF$682</f>
        <v>692.32</v>
      </c>
    </row>
    <row r="683" spans="1:52" x14ac:dyDescent="0.25">
      <c r="A683">
        <v>751</v>
      </c>
      <c r="B683" t="s">
        <v>7</v>
      </c>
      <c r="C683" t="s">
        <v>551</v>
      </c>
      <c r="D683">
        <v>1</v>
      </c>
      <c r="E683">
        <v>792.7</v>
      </c>
      <c r="F683" t="s">
        <v>335</v>
      </c>
      <c r="G683">
        <v>792.7</v>
      </c>
      <c r="H683">
        <v>951.24</v>
      </c>
      <c r="I683" t="s">
        <v>353</v>
      </c>
      <c r="J683" t="s">
        <v>552</v>
      </c>
      <c r="K683" t="s">
        <v>708</v>
      </c>
      <c r="L683" t="s">
        <v>179</v>
      </c>
      <c r="M683" t="s">
        <v>7</v>
      </c>
      <c r="N683" t="s">
        <v>12</v>
      </c>
      <c r="O683" t="s">
        <v>7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1</v>
      </c>
      <c r="AB683">
        <v>1</v>
      </c>
      <c r="AC683">
        <v>1</v>
      </c>
      <c r="AD683">
        <v>1</v>
      </c>
      <c r="AE683">
        <v>1</v>
      </c>
      <c r="AF683">
        <v>1</v>
      </c>
      <c r="AG683" t="s">
        <v>7</v>
      </c>
      <c r="AH683" t="s">
        <v>12</v>
      </c>
      <c r="AI683" t="s">
        <v>7</v>
      </c>
      <c r="AJ683">
        <f>$H$683*$P$683</f>
        <v>0</v>
      </c>
      <c r="AK683">
        <f>$H$683*$Q$683</f>
        <v>0</v>
      </c>
      <c r="AL683">
        <f>$H$683*$R$683</f>
        <v>0</v>
      </c>
      <c r="AM683">
        <f>$H$683*$S$683</f>
        <v>0</v>
      </c>
      <c r="AN683">
        <f>$H$683*$T$683</f>
        <v>0</v>
      </c>
      <c r="AO683">
        <f>$H$683*$U$683</f>
        <v>0</v>
      </c>
      <c r="AP683">
        <f>$H$683*$V$683</f>
        <v>0</v>
      </c>
      <c r="AQ683">
        <f>$H$683*$W$683</f>
        <v>0</v>
      </c>
      <c r="AR683">
        <f>$H$683*$X$683</f>
        <v>0</v>
      </c>
      <c r="AS683">
        <f>$H$683*$Y$683</f>
        <v>0</v>
      </c>
      <c r="AT683">
        <f>$H$683*$Z$683</f>
        <v>0</v>
      </c>
      <c r="AU683">
        <f>$H$683*$AA$683</f>
        <v>951.24</v>
      </c>
      <c r="AV683">
        <f>$H$683*$AB$683</f>
        <v>951.24</v>
      </c>
      <c r="AW683">
        <f>$H$683*$AC$683</f>
        <v>951.24</v>
      </c>
      <c r="AX683">
        <f>$H$683*$AD$683</f>
        <v>951.24</v>
      </c>
      <c r="AY683">
        <f>$H$683*$AE$683</f>
        <v>951.24</v>
      </c>
      <c r="AZ683">
        <f>$H$683*$AF$683</f>
        <v>951.24</v>
      </c>
    </row>
    <row r="684" spans="1:52" x14ac:dyDescent="0.25">
      <c r="A684">
        <v>752</v>
      </c>
      <c r="B684" t="s">
        <v>7</v>
      </c>
      <c r="C684" t="s">
        <v>559</v>
      </c>
      <c r="D684">
        <v>1</v>
      </c>
      <c r="E684">
        <v>139.74</v>
      </c>
      <c r="F684" t="s">
        <v>335</v>
      </c>
      <c r="G684">
        <v>139.74</v>
      </c>
      <c r="H684">
        <v>167.68</v>
      </c>
      <c r="I684" t="s">
        <v>353</v>
      </c>
      <c r="J684" t="s">
        <v>560</v>
      </c>
      <c r="K684" t="s">
        <v>712</v>
      </c>
      <c r="L684" t="s">
        <v>179</v>
      </c>
      <c r="M684" t="s">
        <v>7</v>
      </c>
      <c r="N684" t="s">
        <v>12</v>
      </c>
      <c r="O684" t="s">
        <v>7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1</v>
      </c>
      <c r="Z684">
        <v>1</v>
      </c>
      <c r="AA684">
        <v>1</v>
      </c>
      <c r="AB684">
        <v>1</v>
      </c>
      <c r="AC684">
        <v>1</v>
      </c>
      <c r="AD684">
        <v>1</v>
      </c>
      <c r="AE684">
        <v>1</v>
      </c>
      <c r="AF684">
        <v>1</v>
      </c>
      <c r="AG684" t="s">
        <v>7</v>
      </c>
      <c r="AH684" t="s">
        <v>12</v>
      </c>
      <c r="AI684" t="s">
        <v>7</v>
      </c>
      <c r="AJ684">
        <f>$H$684*$P$684</f>
        <v>0</v>
      </c>
      <c r="AK684">
        <f>$H$684*$Q$684</f>
        <v>0</v>
      </c>
      <c r="AL684">
        <f>$H$684*$R$684</f>
        <v>0</v>
      </c>
      <c r="AM684">
        <f>$H$684*$S$684</f>
        <v>0</v>
      </c>
      <c r="AN684">
        <f>$H$684*$T$684</f>
        <v>0</v>
      </c>
      <c r="AO684">
        <f>$H$684*$U$684</f>
        <v>0</v>
      </c>
      <c r="AP684">
        <f>$H$684*$V$684</f>
        <v>0</v>
      </c>
      <c r="AQ684">
        <f>$H$684*$W$684</f>
        <v>0</v>
      </c>
      <c r="AR684">
        <f>$H$684*$X$684</f>
        <v>0</v>
      </c>
      <c r="AS684">
        <f>$H$684*$Y$684</f>
        <v>167.68</v>
      </c>
      <c r="AT684">
        <f>$H$684*$Z$684</f>
        <v>167.68</v>
      </c>
      <c r="AU684">
        <f>$H$684*$AA$684</f>
        <v>167.68</v>
      </c>
      <c r="AV684">
        <f>$H$684*$AB$684</f>
        <v>167.68</v>
      </c>
      <c r="AW684">
        <f>$H$684*$AC$684</f>
        <v>167.68</v>
      </c>
      <c r="AX684">
        <f>$H$684*$AD$684</f>
        <v>167.68</v>
      </c>
      <c r="AY684">
        <f>$H$684*$AE$684</f>
        <v>167.68</v>
      </c>
      <c r="AZ684">
        <f>$H$684*$AF$684</f>
        <v>167.68</v>
      </c>
    </row>
    <row r="685" spans="1:52" x14ac:dyDescent="0.25">
      <c r="A685">
        <v>753</v>
      </c>
      <c r="B685" t="s">
        <v>7</v>
      </c>
      <c r="C685" t="s">
        <v>561</v>
      </c>
      <c r="D685">
        <v>1</v>
      </c>
      <c r="E685">
        <v>65.8</v>
      </c>
      <c r="F685" t="s">
        <v>335</v>
      </c>
      <c r="G685">
        <v>65.8</v>
      </c>
      <c r="H685">
        <v>78.959999999999994</v>
      </c>
      <c r="I685" t="s">
        <v>562</v>
      </c>
      <c r="J685" t="s">
        <v>563</v>
      </c>
      <c r="K685" t="s">
        <v>713</v>
      </c>
      <c r="L685" t="s">
        <v>179</v>
      </c>
      <c r="M685" t="s">
        <v>7</v>
      </c>
      <c r="N685" t="s">
        <v>12</v>
      </c>
      <c r="O685" t="s">
        <v>7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1</v>
      </c>
      <c r="W685">
        <v>1</v>
      </c>
      <c r="X685">
        <v>1</v>
      </c>
      <c r="Y685">
        <v>1</v>
      </c>
      <c r="Z685">
        <v>1</v>
      </c>
      <c r="AA685">
        <v>1</v>
      </c>
      <c r="AB685">
        <v>1</v>
      </c>
      <c r="AC685">
        <v>1</v>
      </c>
      <c r="AD685">
        <v>1</v>
      </c>
      <c r="AE685">
        <v>1</v>
      </c>
      <c r="AF685">
        <v>1</v>
      </c>
      <c r="AG685" t="s">
        <v>7</v>
      </c>
      <c r="AH685" t="s">
        <v>12</v>
      </c>
      <c r="AI685" t="s">
        <v>7</v>
      </c>
      <c r="AJ685">
        <f>$H$685*$P$685</f>
        <v>0</v>
      </c>
      <c r="AK685">
        <f>$H$685*$Q$685</f>
        <v>0</v>
      </c>
      <c r="AL685">
        <f>$H$685*$R$685</f>
        <v>0</v>
      </c>
      <c r="AM685">
        <f>$H$685*$S$685</f>
        <v>0</v>
      </c>
      <c r="AN685">
        <f>$H$685*$T$685</f>
        <v>0</v>
      </c>
      <c r="AO685">
        <f>$H$685*$U$685</f>
        <v>0</v>
      </c>
      <c r="AP685">
        <f>$H$685*$V$685</f>
        <v>78.959999999999994</v>
      </c>
      <c r="AQ685">
        <f>$H$685*$W$685</f>
        <v>78.959999999999994</v>
      </c>
      <c r="AR685">
        <f>$H$685*$X$685</f>
        <v>78.959999999999994</v>
      </c>
      <c r="AS685">
        <f>$H$685*$Y$685</f>
        <v>78.959999999999994</v>
      </c>
      <c r="AT685">
        <f>$H$685*$Z$685</f>
        <v>78.959999999999994</v>
      </c>
      <c r="AU685">
        <f>$H$685*$AA$685</f>
        <v>78.959999999999994</v>
      </c>
      <c r="AV685">
        <f>$H$685*$AB$685</f>
        <v>78.959999999999994</v>
      </c>
      <c r="AW685">
        <f>$H$685*$AC$685</f>
        <v>78.959999999999994</v>
      </c>
      <c r="AX685">
        <f>$H$685*$AD$685</f>
        <v>78.959999999999994</v>
      </c>
      <c r="AY685">
        <f>$H$685*$AE$685</f>
        <v>78.959999999999994</v>
      </c>
      <c r="AZ685">
        <f>$H$685*$AF$685</f>
        <v>78.959999999999994</v>
      </c>
    </row>
    <row r="686" spans="1:52" x14ac:dyDescent="0.25">
      <c r="A686">
        <v>754</v>
      </c>
      <c r="B686" t="s">
        <v>7</v>
      </c>
      <c r="C686" t="s">
        <v>564</v>
      </c>
      <c r="D686">
        <v>34</v>
      </c>
      <c r="E686">
        <v>325.38</v>
      </c>
      <c r="F686" t="s">
        <v>335</v>
      </c>
      <c r="G686">
        <v>9.57</v>
      </c>
      <c r="H686">
        <v>390.46</v>
      </c>
      <c r="I686" t="s">
        <v>489</v>
      </c>
      <c r="J686" t="s">
        <v>565</v>
      </c>
      <c r="K686" t="s">
        <v>714</v>
      </c>
      <c r="L686" t="s">
        <v>179</v>
      </c>
      <c r="M686" t="s">
        <v>7</v>
      </c>
      <c r="N686" t="s">
        <v>12</v>
      </c>
      <c r="O686" t="s">
        <v>7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1</v>
      </c>
      <c r="AA686">
        <v>1</v>
      </c>
      <c r="AB686">
        <v>1</v>
      </c>
      <c r="AC686">
        <v>1</v>
      </c>
      <c r="AD686">
        <v>1</v>
      </c>
      <c r="AE686">
        <v>1</v>
      </c>
      <c r="AF686">
        <v>1</v>
      </c>
      <c r="AG686" t="s">
        <v>7</v>
      </c>
      <c r="AH686" t="s">
        <v>12</v>
      </c>
      <c r="AI686" t="s">
        <v>7</v>
      </c>
      <c r="AJ686">
        <f>$H$686*$P$686</f>
        <v>0</v>
      </c>
      <c r="AK686">
        <f>$H$686*$Q$686</f>
        <v>0</v>
      </c>
      <c r="AL686">
        <f>$H$686*$R$686</f>
        <v>0</v>
      </c>
      <c r="AM686">
        <f>$H$686*$S$686</f>
        <v>0</v>
      </c>
      <c r="AN686">
        <f>$H$686*$T$686</f>
        <v>0</v>
      </c>
      <c r="AO686">
        <f>$H$686*$U$686</f>
        <v>0</v>
      </c>
      <c r="AP686">
        <f>$H$686*$V$686</f>
        <v>0</v>
      </c>
      <c r="AQ686">
        <f>$H$686*$W$686</f>
        <v>0</v>
      </c>
      <c r="AR686">
        <f>$H$686*$X$686</f>
        <v>0</v>
      </c>
      <c r="AS686">
        <f>$H$686*$Y$686</f>
        <v>0</v>
      </c>
      <c r="AT686">
        <f>$H$686*$Z$686</f>
        <v>390.46</v>
      </c>
      <c r="AU686">
        <f>$H$686*$AA$686</f>
        <v>390.46</v>
      </c>
      <c r="AV686">
        <f>$H$686*$AB$686</f>
        <v>390.46</v>
      </c>
      <c r="AW686">
        <f>$H$686*$AC$686</f>
        <v>390.46</v>
      </c>
      <c r="AX686">
        <f>$H$686*$AD$686</f>
        <v>390.46</v>
      </c>
      <c r="AY686">
        <f>$H$686*$AE$686</f>
        <v>390.46</v>
      </c>
      <c r="AZ686">
        <f>$H$686*$AF$686</f>
        <v>390.46</v>
      </c>
    </row>
    <row r="687" spans="1:52" x14ac:dyDescent="0.25">
      <c r="A687">
        <v>755</v>
      </c>
      <c r="B687" t="s">
        <v>7</v>
      </c>
      <c r="C687" t="s">
        <v>566</v>
      </c>
      <c r="D687">
        <v>16</v>
      </c>
      <c r="E687">
        <v>4557.92</v>
      </c>
      <c r="F687" t="s">
        <v>329</v>
      </c>
      <c r="G687">
        <v>284.87</v>
      </c>
      <c r="H687">
        <v>5469.5</v>
      </c>
      <c r="I687" t="s">
        <v>489</v>
      </c>
      <c r="J687" t="s">
        <v>567</v>
      </c>
      <c r="K687" t="s">
        <v>715</v>
      </c>
      <c r="L687" t="s">
        <v>179</v>
      </c>
      <c r="M687" t="s">
        <v>7</v>
      </c>
      <c r="N687" t="s">
        <v>12</v>
      </c>
      <c r="O687" t="s">
        <v>7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1</v>
      </c>
      <c r="AC687">
        <v>1</v>
      </c>
      <c r="AD687">
        <v>1</v>
      </c>
      <c r="AE687">
        <v>1</v>
      </c>
      <c r="AF687">
        <v>1</v>
      </c>
      <c r="AG687" t="s">
        <v>7</v>
      </c>
      <c r="AH687" t="s">
        <v>12</v>
      </c>
      <c r="AI687" t="s">
        <v>7</v>
      </c>
      <c r="AJ687">
        <f>$H$687*$P$687</f>
        <v>0</v>
      </c>
      <c r="AK687">
        <f>$H$687*$Q$687</f>
        <v>0</v>
      </c>
      <c r="AL687">
        <f>$H$687*$R$687</f>
        <v>0</v>
      </c>
      <c r="AM687">
        <f>$H$687*$S$687</f>
        <v>0</v>
      </c>
      <c r="AN687">
        <f>$H$687*$T$687</f>
        <v>0</v>
      </c>
      <c r="AO687">
        <f>$H$687*$U$687</f>
        <v>0</v>
      </c>
      <c r="AP687">
        <f>$H$687*$V$687</f>
        <v>0</v>
      </c>
      <c r="AQ687">
        <f>$H$687*$W$687</f>
        <v>0</v>
      </c>
      <c r="AR687">
        <f>$H$687*$X$687</f>
        <v>0</v>
      </c>
      <c r="AS687">
        <f>$H$687*$Y$687</f>
        <v>0</v>
      </c>
      <c r="AT687">
        <f>$H$687*$Z$687</f>
        <v>0</v>
      </c>
      <c r="AU687">
        <f>$H$687*$AA$687</f>
        <v>0</v>
      </c>
      <c r="AV687">
        <f>$H$687*$AB$687</f>
        <v>5469.5</v>
      </c>
      <c r="AW687">
        <f>$H$687*$AC$687</f>
        <v>5469.5</v>
      </c>
      <c r="AX687">
        <f>$H$687*$AD$687</f>
        <v>5469.5</v>
      </c>
      <c r="AY687">
        <f>$H$687*$AE$687</f>
        <v>5469.5</v>
      </c>
      <c r="AZ687">
        <f>$H$687*$AF$687</f>
        <v>5469.5</v>
      </c>
    </row>
    <row r="688" spans="1:52" x14ac:dyDescent="0.25">
      <c r="A688">
        <v>756</v>
      </c>
      <c r="B688" t="s">
        <v>7</v>
      </c>
      <c r="C688" t="s">
        <v>568</v>
      </c>
      <c r="D688">
        <v>20</v>
      </c>
      <c r="E688">
        <v>6127.4</v>
      </c>
      <c r="F688" t="s">
        <v>329</v>
      </c>
      <c r="G688">
        <v>306.37</v>
      </c>
      <c r="H688">
        <v>7352.88</v>
      </c>
      <c r="I688" t="s">
        <v>489</v>
      </c>
      <c r="J688" t="s">
        <v>569</v>
      </c>
      <c r="K688" t="s">
        <v>716</v>
      </c>
      <c r="L688" t="s">
        <v>179</v>
      </c>
      <c r="M688" t="s">
        <v>7</v>
      </c>
      <c r="N688" t="s">
        <v>12</v>
      </c>
      <c r="O688" t="s">
        <v>7</v>
      </c>
      <c r="P688">
        <v>0</v>
      </c>
      <c r="Q688">
        <v>0</v>
      </c>
      <c r="R688">
        <v>0</v>
      </c>
      <c r="S688">
        <v>0</v>
      </c>
      <c r="T688">
        <v>1</v>
      </c>
      <c r="U688">
        <v>1</v>
      </c>
      <c r="V688">
        <v>1</v>
      </c>
      <c r="W688">
        <v>1</v>
      </c>
      <c r="X688">
        <v>1</v>
      </c>
      <c r="Y688">
        <v>1</v>
      </c>
      <c r="Z688">
        <v>1</v>
      </c>
      <c r="AA688">
        <v>1</v>
      </c>
      <c r="AB688">
        <v>1</v>
      </c>
      <c r="AC688">
        <v>1</v>
      </c>
      <c r="AD688">
        <v>1</v>
      </c>
      <c r="AE688">
        <v>1</v>
      </c>
      <c r="AF688">
        <v>1</v>
      </c>
      <c r="AG688" t="s">
        <v>7</v>
      </c>
      <c r="AH688" t="s">
        <v>12</v>
      </c>
      <c r="AI688" t="s">
        <v>7</v>
      </c>
      <c r="AJ688">
        <f>$H$688*$P$688</f>
        <v>0</v>
      </c>
      <c r="AK688">
        <f>$H$688*$Q$688</f>
        <v>0</v>
      </c>
      <c r="AL688">
        <f>$H$688*$R$688</f>
        <v>0</v>
      </c>
      <c r="AM688">
        <f>$H$688*$S$688</f>
        <v>0</v>
      </c>
      <c r="AN688">
        <f>$H$688*$T$688</f>
        <v>7352.88</v>
      </c>
      <c r="AO688">
        <f>$H$688*$U$688</f>
        <v>7352.88</v>
      </c>
      <c r="AP688">
        <f>$H$688*$V$688</f>
        <v>7352.88</v>
      </c>
      <c r="AQ688">
        <f>$H$688*$W$688</f>
        <v>7352.88</v>
      </c>
      <c r="AR688">
        <f>$H$688*$X$688</f>
        <v>7352.88</v>
      </c>
      <c r="AS688">
        <f>$H$688*$Y$688</f>
        <v>7352.88</v>
      </c>
      <c r="AT688">
        <f>$H$688*$Z$688</f>
        <v>7352.88</v>
      </c>
      <c r="AU688">
        <f>$H$688*$AA$688</f>
        <v>7352.88</v>
      </c>
      <c r="AV688">
        <f>$H$688*$AB$688</f>
        <v>7352.88</v>
      </c>
      <c r="AW688">
        <f>$H$688*$AC$688</f>
        <v>7352.88</v>
      </c>
      <c r="AX688">
        <f>$H$688*$AD$688</f>
        <v>7352.88</v>
      </c>
      <c r="AY688">
        <f>$H$688*$AE$688</f>
        <v>7352.88</v>
      </c>
      <c r="AZ688">
        <f>$H$688*$AF$688</f>
        <v>7352.88</v>
      </c>
    </row>
    <row r="689" spans="1:52" x14ac:dyDescent="0.25">
      <c r="A689">
        <v>757</v>
      </c>
      <c r="B689" t="s">
        <v>7</v>
      </c>
      <c r="C689" t="s">
        <v>570</v>
      </c>
      <c r="D689">
        <v>1</v>
      </c>
      <c r="E689">
        <v>916.01</v>
      </c>
      <c r="F689" t="s">
        <v>335</v>
      </c>
      <c r="G689">
        <v>916.01</v>
      </c>
      <c r="H689">
        <v>1099.21</v>
      </c>
      <c r="I689" t="s">
        <v>562</v>
      </c>
      <c r="J689" t="s">
        <v>571</v>
      </c>
      <c r="K689" t="s">
        <v>717</v>
      </c>
      <c r="L689" t="s">
        <v>179</v>
      </c>
      <c r="M689" t="s">
        <v>7</v>
      </c>
      <c r="N689" t="s">
        <v>12</v>
      </c>
      <c r="O689" t="s">
        <v>7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1</v>
      </c>
      <c r="AD689">
        <v>1</v>
      </c>
      <c r="AE689">
        <v>1</v>
      </c>
      <c r="AF689">
        <v>1</v>
      </c>
      <c r="AG689" t="s">
        <v>7</v>
      </c>
      <c r="AH689" t="s">
        <v>12</v>
      </c>
      <c r="AI689" t="s">
        <v>7</v>
      </c>
      <c r="AJ689">
        <f>$H$689*$P$689</f>
        <v>0</v>
      </c>
      <c r="AK689">
        <f>$H$689*$Q$689</f>
        <v>0</v>
      </c>
      <c r="AL689">
        <f>$H$689*$R$689</f>
        <v>0</v>
      </c>
      <c r="AM689">
        <f>$H$689*$S$689</f>
        <v>0</v>
      </c>
      <c r="AN689">
        <f>$H$689*$T$689</f>
        <v>0</v>
      </c>
      <c r="AO689">
        <f>$H$689*$U$689</f>
        <v>0</v>
      </c>
      <c r="AP689">
        <f>$H$689*$V$689</f>
        <v>0</v>
      </c>
      <c r="AQ689">
        <f>$H$689*$W$689</f>
        <v>0</v>
      </c>
      <c r="AR689">
        <f>$H$689*$X$689</f>
        <v>0</v>
      </c>
      <c r="AS689">
        <f>$H$689*$Y$689</f>
        <v>0</v>
      </c>
      <c r="AT689">
        <f>$H$689*$Z$689</f>
        <v>0</v>
      </c>
      <c r="AU689">
        <f>$H$689*$AA$689</f>
        <v>0</v>
      </c>
      <c r="AV689">
        <f>$H$689*$AB$689</f>
        <v>0</v>
      </c>
      <c r="AW689">
        <f>$H$689*$AC$689</f>
        <v>1099.21</v>
      </c>
      <c r="AX689">
        <f>$H$689*$AD$689</f>
        <v>1099.21</v>
      </c>
      <c r="AY689">
        <f>$H$689*$AE$689</f>
        <v>1099.21</v>
      </c>
      <c r="AZ689">
        <f>$H$689*$AF$689</f>
        <v>1099.21</v>
      </c>
    </row>
    <row r="690" spans="1:52" x14ac:dyDescent="0.25">
      <c r="A690">
        <v>758</v>
      </c>
      <c r="B690" t="s">
        <v>7</v>
      </c>
      <c r="C690" t="s">
        <v>511</v>
      </c>
      <c r="D690">
        <v>40</v>
      </c>
      <c r="E690">
        <v>3879.6</v>
      </c>
      <c r="F690" t="s">
        <v>349</v>
      </c>
      <c r="G690">
        <v>96.99</v>
      </c>
      <c r="H690">
        <v>4655.5200000000004</v>
      </c>
      <c r="I690" t="s">
        <v>489</v>
      </c>
      <c r="J690" t="s">
        <v>512</v>
      </c>
      <c r="K690" t="s">
        <v>688</v>
      </c>
      <c r="L690" t="s">
        <v>179</v>
      </c>
      <c r="M690" t="s">
        <v>7</v>
      </c>
      <c r="N690" t="s">
        <v>12</v>
      </c>
      <c r="O690" t="s">
        <v>7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1</v>
      </c>
      <c r="AA690">
        <v>1</v>
      </c>
      <c r="AB690">
        <v>1</v>
      </c>
      <c r="AC690">
        <v>1</v>
      </c>
      <c r="AD690">
        <v>1</v>
      </c>
      <c r="AE690">
        <v>1</v>
      </c>
      <c r="AF690">
        <v>1</v>
      </c>
      <c r="AG690" t="s">
        <v>7</v>
      </c>
      <c r="AH690" t="s">
        <v>12</v>
      </c>
      <c r="AI690" t="s">
        <v>7</v>
      </c>
      <c r="AJ690">
        <f>$H$690*$P$690</f>
        <v>0</v>
      </c>
      <c r="AK690">
        <f>$H$690*$Q$690</f>
        <v>0</v>
      </c>
      <c r="AL690">
        <f>$H$690*$R$690</f>
        <v>0</v>
      </c>
      <c r="AM690">
        <f>$H$690*$S$690</f>
        <v>0</v>
      </c>
      <c r="AN690">
        <f>$H$690*$T$690</f>
        <v>0</v>
      </c>
      <c r="AO690">
        <f>$H$690*$U$690</f>
        <v>0</v>
      </c>
      <c r="AP690">
        <f>$H$690*$V$690</f>
        <v>0</v>
      </c>
      <c r="AQ690">
        <f>$H$690*$W$690</f>
        <v>0</v>
      </c>
      <c r="AR690">
        <f>$H$690*$X$690</f>
        <v>0</v>
      </c>
      <c r="AS690">
        <f>$H$690*$Y$690</f>
        <v>0</v>
      </c>
      <c r="AT690">
        <f>$H$690*$Z$690</f>
        <v>4655.5200000000004</v>
      </c>
      <c r="AU690">
        <f>$H$690*$AA$690</f>
        <v>4655.5200000000004</v>
      </c>
      <c r="AV690">
        <f>$H$690*$AB$690</f>
        <v>4655.5200000000004</v>
      </c>
      <c r="AW690">
        <f>$H$690*$AC$690</f>
        <v>4655.5200000000004</v>
      </c>
      <c r="AX690">
        <f>$H$690*$AD$690</f>
        <v>4655.5200000000004</v>
      </c>
      <c r="AY690">
        <f>$H$690*$AE$690</f>
        <v>4655.5200000000004</v>
      </c>
      <c r="AZ690">
        <f>$H$690*$AF$690</f>
        <v>4655.5200000000004</v>
      </c>
    </row>
    <row r="691" spans="1:52" x14ac:dyDescent="0.25">
      <c r="A691">
        <v>759</v>
      </c>
      <c r="B691" t="s">
        <v>7</v>
      </c>
      <c r="C691" t="s">
        <v>511</v>
      </c>
      <c r="D691">
        <v>16</v>
      </c>
      <c r="E691">
        <v>1551.84</v>
      </c>
      <c r="F691" t="s">
        <v>349</v>
      </c>
      <c r="G691">
        <v>96.99</v>
      </c>
      <c r="H691">
        <v>1862.2</v>
      </c>
      <c r="I691" t="s">
        <v>489</v>
      </c>
      <c r="J691" t="s">
        <v>512</v>
      </c>
      <c r="K691" t="s">
        <v>688</v>
      </c>
      <c r="L691" t="s">
        <v>179</v>
      </c>
      <c r="M691" t="s">
        <v>7</v>
      </c>
      <c r="N691" t="s">
        <v>12</v>
      </c>
      <c r="O691" t="s">
        <v>7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1</v>
      </c>
      <c r="AA691">
        <v>1</v>
      </c>
      <c r="AB691">
        <v>1</v>
      </c>
      <c r="AC691">
        <v>1</v>
      </c>
      <c r="AD691">
        <v>1</v>
      </c>
      <c r="AE691">
        <v>1</v>
      </c>
      <c r="AF691">
        <v>1</v>
      </c>
      <c r="AG691" t="s">
        <v>7</v>
      </c>
      <c r="AH691" t="s">
        <v>12</v>
      </c>
      <c r="AI691" t="s">
        <v>7</v>
      </c>
      <c r="AJ691">
        <f>$H$691*$P$691</f>
        <v>0</v>
      </c>
      <c r="AK691">
        <f>$H$691*$Q$691</f>
        <v>0</v>
      </c>
      <c r="AL691">
        <f>$H$691*$R$691</f>
        <v>0</v>
      </c>
      <c r="AM691">
        <f>$H$691*$S$691</f>
        <v>0</v>
      </c>
      <c r="AN691">
        <f>$H$691*$T$691</f>
        <v>0</v>
      </c>
      <c r="AO691">
        <f>$H$691*$U$691</f>
        <v>0</v>
      </c>
      <c r="AP691">
        <f>$H$691*$V$691</f>
        <v>0</v>
      </c>
      <c r="AQ691">
        <f>$H$691*$W$691</f>
        <v>0</v>
      </c>
      <c r="AR691">
        <f>$H$691*$X$691</f>
        <v>0</v>
      </c>
      <c r="AS691">
        <f>$H$691*$Y$691</f>
        <v>0</v>
      </c>
      <c r="AT691">
        <f>$H$691*$Z$691</f>
        <v>1862.2</v>
      </c>
      <c r="AU691">
        <f>$H$691*$AA$691</f>
        <v>1862.2</v>
      </c>
      <c r="AV691">
        <f>$H$691*$AB$691</f>
        <v>1862.2</v>
      </c>
      <c r="AW691">
        <f>$H$691*$AC$691</f>
        <v>1862.2</v>
      </c>
      <c r="AX691">
        <f>$H$691*$AD$691</f>
        <v>1862.2</v>
      </c>
      <c r="AY691">
        <f>$H$691*$AE$691</f>
        <v>1862.2</v>
      </c>
      <c r="AZ691">
        <f>$H$691*$AF$691</f>
        <v>1862.2</v>
      </c>
    </row>
    <row r="692" spans="1:52" x14ac:dyDescent="0.25">
      <c r="A692">
        <v>760</v>
      </c>
      <c r="B692" t="s">
        <v>7</v>
      </c>
      <c r="C692" t="s">
        <v>572</v>
      </c>
      <c r="D692">
        <v>2.5</v>
      </c>
      <c r="E692">
        <v>1017.1</v>
      </c>
      <c r="F692" t="s">
        <v>329</v>
      </c>
      <c r="G692">
        <v>406.84</v>
      </c>
      <c r="H692">
        <v>1220.52</v>
      </c>
      <c r="I692" t="s">
        <v>489</v>
      </c>
      <c r="J692" t="s">
        <v>573</v>
      </c>
      <c r="K692" t="s">
        <v>718</v>
      </c>
      <c r="L692" t="s">
        <v>179</v>
      </c>
      <c r="M692" t="s">
        <v>7</v>
      </c>
      <c r="N692" t="s">
        <v>12</v>
      </c>
      <c r="O692" t="s">
        <v>7</v>
      </c>
      <c r="P692">
        <v>0</v>
      </c>
      <c r="Q692">
        <v>0</v>
      </c>
      <c r="R692">
        <v>0</v>
      </c>
      <c r="S692">
        <v>0</v>
      </c>
      <c r="T692">
        <v>1</v>
      </c>
      <c r="U692">
        <v>1</v>
      </c>
      <c r="V692">
        <v>1</v>
      </c>
      <c r="W692">
        <v>1</v>
      </c>
      <c r="X692">
        <v>1</v>
      </c>
      <c r="Y692">
        <v>1</v>
      </c>
      <c r="Z692">
        <v>1</v>
      </c>
      <c r="AA692">
        <v>1</v>
      </c>
      <c r="AB692">
        <v>1</v>
      </c>
      <c r="AC692">
        <v>1</v>
      </c>
      <c r="AD692">
        <v>1</v>
      </c>
      <c r="AE692">
        <v>1</v>
      </c>
      <c r="AF692">
        <v>1</v>
      </c>
      <c r="AG692" t="s">
        <v>7</v>
      </c>
      <c r="AH692" t="s">
        <v>12</v>
      </c>
      <c r="AI692" t="s">
        <v>7</v>
      </c>
      <c r="AJ692">
        <f>$H$692*$P$692</f>
        <v>0</v>
      </c>
      <c r="AK692">
        <f>$H$692*$Q$692</f>
        <v>0</v>
      </c>
      <c r="AL692">
        <f>$H$692*$R$692</f>
        <v>0</v>
      </c>
      <c r="AM692">
        <f>$H$692*$S$692</f>
        <v>0</v>
      </c>
      <c r="AN692">
        <f>$H$692*$T$692</f>
        <v>1220.52</v>
      </c>
      <c r="AO692">
        <f>$H$692*$U$692</f>
        <v>1220.52</v>
      </c>
      <c r="AP692">
        <f>$H$692*$V$692</f>
        <v>1220.52</v>
      </c>
      <c r="AQ692">
        <f>$H$692*$W$692</f>
        <v>1220.52</v>
      </c>
      <c r="AR692">
        <f>$H$692*$X$692</f>
        <v>1220.52</v>
      </c>
      <c r="AS692">
        <f>$H$692*$Y$692</f>
        <v>1220.52</v>
      </c>
      <c r="AT692">
        <f>$H$692*$Z$692</f>
        <v>1220.52</v>
      </c>
      <c r="AU692">
        <f>$H$692*$AA$692</f>
        <v>1220.52</v>
      </c>
      <c r="AV692">
        <f>$H$692*$AB$692</f>
        <v>1220.52</v>
      </c>
      <c r="AW692">
        <f>$H$692*$AC$692</f>
        <v>1220.52</v>
      </c>
      <c r="AX692">
        <f>$H$692*$AD$692</f>
        <v>1220.52</v>
      </c>
      <c r="AY692">
        <f>$H$692*$AE$692</f>
        <v>1220.52</v>
      </c>
      <c r="AZ692">
        <f>$H$692*$AF$692</f>
        <v>1220.52</v>
      </c>
    </row>
    <row r="693" spans="1:52" x14ac:dyDescent="0.25">
      <c r="A693">
        <v>761</v>
      </c>
      <c r="B693" t="s">
        <v>7</v>
      </c>
      <c r="C693" t="s">
        <v>574</v>
      </c>
      <c r="D693">
        <v>1</v>
      </c>
      <c r="E693">
        <v>5887.01</v>
      </c>
      <c r="F693" t="s">
        <v>335</v>
      </c>
      <c r="G693">
        <v>5887.01</v>
      </c>
      <c r="H693">
        <v>7064.41</v>
      </c>
      <c r="I693" t="s">
        <v>562</v>
      </c>
      <c r="J693" t="s">
        <v>575</v>
      </c>
      <c r="K693" t="s">
        <v>719</v>
      </c>
      <c r="L693" t="s">
        <v>179</v>
      </c>
      <c r="M693" t="s">
        <v>7</v>
      </c>
      <c r="N693" t="s">
        <v>12</v>
      </c>
      <c r="O693" t="s">
        <v>7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1</v>
      </c>
      <c r="W693">
        <v>1</v>
      </c>
      <c r="X693">
        <v>1</v>
      </c>
      <c r="Y693">
        <v>1</v>
      </c>
      <c r="Z693">
        <v>1</v>
      </c>
      <c r="AA693">
        <v>1</v>
      </c>
      <c r="AB693">
        <v>1</v>
      </c>
      <c r="AC693">
        <v>1</v>
      </c>
      <c r="AD693">
        <v>1</v>
      </c>
      <c r="AE693">
        <v>1</v>
      </c>
      <c r="AF693">
        <v>1</v>
      </c>
      <c r="AG693" t="s">
        <v>7</v>
      </c>
      <c r="AH693" t="s">
        <v>12</v>
      </c>
      <c r="AI693" t="s">
        <v>7</v>
      </c>
      <c r="AJ693">
        <f>$H$693*$P$693</f>
        <v>0</v>
      </c>
      <c r="AK693">
        <f>$H$693*$Q$693</f>
        <v>0</v>
      </c>
      <c r="AL693">
        <f>$H$693*$R$693</f>
        <v>0</v>
      </c>
      <c r="AM693">
        <f>$H$693*$S$693</f>
        <v>0</v>
      </c>
      <c r="AN693">
        <f>$H$693*$T$693</f>
        <v>0</v>
      </c>
      <c r="AO693">
        <f>$H$693*$U$693</f>
        <v>0</v>
      </c>
      <c r="AP693">
        <f>$H$693*$V$693</f>
        <v>7064.41</v>
      </c>
      <c r="AQ693">
        <f>$H$693*$W$693</f>
        <v>7064.41</v>
      </c>
      <c r="AR693">
        <f>$H$693*$X$693</f>
        <v>7064.41</v>
      </c>
      <c r="AS693">
        <f>$H$693*$Y$693</f>
        <v>7064.41</v>
      </c>
      <c r="AT693">
        <f>$H$693*$Z$693</f>
        <v>7064.41</v>
      </c>
      <c r="AU693">
        <f>$H$693*$AA$693</f>
        <v>7064.41</v>
      </c>
      <c r="AV693">
        <f>$H$693*$AB$693</f>
        <v>7064.41</v>
      </c>
      <c r="AW693">
        <f>$H$693*$AC$693</f>
        <v>7064.41</v>
      </c>
      <c r="AX693">
        <f>$H$693*$AD$693</f>
        <v>7064.41</v>
      </c>
      <c r="AY693">
        <f>$H$693*$AE$693</f>
        <v>7064.41</v>
      </c>
      <c r="AZ693">
        <f>$H$693*$AF$693</f>
        <v>7064.41</v>
      </c>
    </row>
    <row r="694" spans="1:52" x14ac:dyDescent="0.25">
      <c r="A694">
        <v>762</v>
      </c>
      <c r="B694" t="s">
        <v>7</v>
      </c>
      <c r="C694" t="s">
        <v>576</v>
      </c>
      <c r="D694">
        <v>1</v>
      </c>
      <c r="E694">
        <v>75.59</v>
      </c>
      <c r="F694" t="s">
        <v>335</v>
      </c>
      <c r="G694">
        <v>75.59</v>
      </c>
      <c r="H694">
        <v>90.71</v>
      </c>
      <c r="I694" t="s">
        <v>337</v>
      </c>
      <c r="J694" t="s">
        <v>577</v>
      </c>
      <c r="K694" t="s">
        <v>720</v>
      </c>
      <c r="L694" t="s">
        <v>179</v>
      </c>
      <c r="M694" t="s">
        <v>7</v>
      </c>
      <c r="N694" t="s">
        <v>12</v>
      </c>
      <c r="O694" t="s">
        <v>7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0.6</v>
      </c>
      <c r="Y694">
        <v>0.6</v>
      </c>
      <c r="Z694">
        <v>0.6</v>
      </c>
      <c r="AA694">
        <v>0.6</v>
      </c>
      <c r="AB694">
        <v>0.6</v>
      </c>
      <c r="AC694">
        <v>0.6</v>
      </c>
      <c r="AD694">
        <v>1</v>
      </c>
      <c r="AE694">
        <v>1</v>
      </c>
      <c r="AF694">
        <v>1</v>
      </c>
      <c r="AG694" t="s">
        <v>7</v>
      </c>
      <c r="AH694" t="s">
        <v>12</v>
      </c>
      <c r="AI694" t="s">
        <v>7</v>
      </c>
      <c r="AJ694">
        <f>$H$694*$P$694</f>
        <v>0</v>
      </c>
      <c r="AK694">
        <f>$H$694*$Q$694</f>
        <v>0</v>
      </c>
      <c r="AL694">
        <f>$H$694*$R$694</f>
        <v>0</v>
      </c>
      <c r="AM694">
        <f>$H$694*$S$694</f>
        <v>0</v>
      </c>
      <c r="AN694">
        <f>$H$694*$T$694</f>
        <v>0</v>
      </c>
      <c r="AO694">
        <f>$H$694*$U$694</f>
        <v>0</v>
      </c>
      <c r="AP694">
        <f>$H$694*$V$694</f>
        <v>0</v>
      </c>
      <c r="AQ694">
        <f>$H$694*$W$694</f>
        <v>0</v>
      </c>
      <c r="AR694">
        <f>$H$694*$X$694</f>
        <v>54.425999999999995</v>
      </c>
      <c r="AS694">
        <f>$H$694*$Y$694</f>
        <v>54.425999999999995</v>
      </c>
      <c r="AT694">
        <f>$H$694*$Z$694</f>
        <v>54.425999999999995</v>
      </c>
      <c r="AU694">
        <f>$H$694*$AA$694</f>
        <v>54.425999999999995</v>
      </c>
      <c r="AV694">
        <f>$H$694*$AB$694</f>
        <v>54.425999999999995</v>
      </c>
      <c r="AW694">
        <f>$H$694*$AC$694</f>
        <v>54.425999999999995</v>
      </c>
      <c r="AX694">
        <f>$H$694*$AD$694</f>
        <v>90.71</v>
      </c>
      <c r="AY694">
        <f>$H$694*$AE$694</f>
        <v>90.71</v>
      </c>
      <c r="AZ694">
        <f>$H$694*$AF$694</f>
        <v>90.71</v>
      </c>
    </row>
    <row r="695" spans="1:52" x14ac:dyDescent="0.25">
      <c r="A695">
        <v>763</v>
      </c>
      <c r="B695" t="s">
        <v>7</v>
      </c>
      <c r="C695" t="s">
        <v>576</v>
      </c>
      <c r="D695">
        <v>1</v>
      </c>
      <c r="E695">
        <v>75.59</v>
      </c>
      <c r="F695" t="s">
        <v>335</v>
      </c>
      <c r="G695">
        <v>75.59</v>
      </c>
      <c r="H695">
        <v>90.71</v>
      </c>
      <c r="I695" t="s">
        <v>337</v>
      </c>
      <c r="J695" t="s">
        <v>577</v>
      </c>
      <c r="K695" t="s">
        <v>720</v>
      </c>
      <c r="L695" t="s">
        <v>179</v>
      </c>
      <c r="M695" t="s">
        <v>7</v>
      </c>
      <c r="N695" t="s">
        <v>12</v>
      </c>
      <c r="O695" t="s">
        <v>7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0.6</v>
      </c>
      <c r="Y695">
        <v>0.6</v>
      </c>
      <c r="Z695">
        <v>0.6</v>
      </c>
      <c r="AA695">
        <v>0.6</v>
      </c>
      <c r="AB695">
        <v>0.6</v>
      </c>
      <c r="AC695">
        <v>0.6</v>
      </c>
      <c r="AD695">
        <v>1</v>
      </c>
      <c r="AE695">
        <v>1</v>
      </c>
      <c r="AF695">
        <v>1</v>
      </c>
      <c r="AG695" t="s">
        <v>7</v>
      </c>
      <c r="AH695" t="s">
        <v>12</v>
      </c>
      <c r="AI695" t="s">
        <v>7</v>
      </c>
      <c r="AJ695">
        <f>$H$695*$P$695</f>
        <v>0</v>
      </c>
      <c r="AK695">
        <f>$H$695*$Q$695</f>
        <v>0</v>
      </c>
      <c r="AL695">
        <f>$H$695*$R$695</f>
        <v>0</v>
      </c>
      <c r="AM695">
        <f>$H$695*$S$695</f>
        <v>0</v>
      </c>
      <c r="AN695">
        <f>$H$695*$T$695</f>
        <v>0</v>
      </c>
      <c r="AO695">
        <f>$H$695*$U$695</f>
        <v>0</v>
      </c>
      <c r="AP695">
        <f>$H$695*$V$695</f>
        <v>0</v>
      </c>
      <c r="AQ695">
        <f>$H$695*$W$695</f>
        <v>0</v>
      </c>
      <c r="AR695">
        <f>$H$695*$X$695</f>
        <v>54.425999999999995</v>
      </c>
      <c r="AS695">
        <f>$H$695*$Y$695</f>
        <v>54.425999999999995</v>
      </c>
      <c r="AT695">
        <f>$H$695*$Z$695</f>
        <v>54.425999999999995</v>
      </c>
      <c r="AU695">
        <f>$H$695*$AA$695</f>
        <v>54.425999999999995</v>
      </c>
      <c r="AV695">
        <f>$H$695*$AB$695</f>
        <v>54.425999999999995</v>
      </c>
      <c r="AW695">
        <f>$H$695*$AC$695</f>
        <v>54.425999999999995</v>
      </c>
      <c r="AX695">
        <f>$H$695*$AD$695</f>
        <v>90.71</v>
      </c>
      <c r="AY695">
        <f>$H$695*$AE$695</f>
        <v>90.71</v>
      </c>
      <c r="AZ695">
        <f>$H$695*$AF$695</f>
        <v>90.71</v>
      </c>
    </row>
    <row r="696" spans="1:52" x14ac:dyDescent="0.25">
      <c r="A696">
        <v>764</v>
      </c>
      <c r="B696" t="s">
        <v>7</v>
      </c>
      <c r="C696" t="s">
        <v>578</v>
      </c>
      <c r="D696">
        <v>1</v>
      </c>
      <c r="E696">
        <v>212.95</v>
      </c>
      <c r="F696" t="s">
        <v>335</v>
      </c>
      <c r="G696">
        <v>212.95</v>
      </c>
      <c r="H696">
        <v>255.55</v>
      </c>
      <c r="I696" t="s">
        <v>337</v>
      </c>
      <c r="J696" t="s">
        <v>579</v>
      </c>
      <c r="K696" t="s">
        <v>721</v>
      </c>
      <c r="L696" t="s">
        <v>179</v>
      </c>
      <c r="M696" t="s">
        <v>7</v>
      </c>
      <c r="N696" t="s">
        <v>12</v>
      </c>
      <c r="O696" t="s">
        <v>7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1</v>
      </c>
      <c r="W696">
        <v>1</v>
      </c>
      <c r="X696">
        <v>1</v>
      </c>
      <c r="Y696">
        <v>1</v>
      </c>
      <c r="Z696">
        <v>1</v>
      </c>
      <c r="AA696">
        <v>1</v>
      </c>
      <c r="AB696">
        <v>1</v>
      </c>
      <c r="AC696">
        <v>1</v>
      </c>
      <c r="AD696">
        <v>1</v>
      </c>
      <c r="AE696">
        <v>1</v>
      </c>
      <c r="AF696">
        <v>1</v>
      </c>
      <c r="AG696" t="s">
        <v>7</v>
      </c>
      <c r="AH696" t="s">
        <v>12</v>
      </c>
      <c r="AI696" t="s">
        <v>7</v>
      </c>
      <c r="AJ696">
        <f>$H$696*$P$696</f>
        <v>0</v>
      </c>
      <c r="AK696">
        <f>$H$696*$Q$696</f>
        <v>0</v>
      </c>
      <c r="AL696">
        <f>$H$696*$R$696</f>
        <v>0</v>
      </c>
      <c r="AM696">
        <f>$H$696*$S$696</f>
        <v>0</v>
      </c>
      <c r="AN696">
        <f>$H$696*$T$696</f>
        <v>0</v>
      </c>
      <c r="AO696">
        <f>$H$696*$U$696</f>
        <v>0</v>
      </c>
      <c r="AP696">
        <f>$H$696*$V$696</f>
        <v>255.55</v>
      </c>
      <c r="AQ696">
        <f>$H$696*$W$696</f>
        <v>255.55</v>
      </c>
      <c r="AR696">
        <f>$H$696*$X$696</f>
        <v>255.55</v>
      </c>
      <c r="AS696">
        <f>$H$696*$Y$696</f>
        <v>255.55</v>
      </c>
      <c r="AT696">
        <f>$H$696*$Z$696</f>
        <v>255.55</v>
      </c>
      <c r="AU696">
        <f>$H$696*$AA$696</f>
        <v>255.55</v>
      </c>
      <c r="AV696">
        <f>$H$696*$AB$696</f>
        <v>255.55</v>
      </c>
      <c r="AW696">
        <f>$H$696*$AC$696</f>
        <v>255.55</v>
      </c>
      <c r="AX696">
        <f>$H$696*$AD$696</f>
        <v>255.55</v>
      </c>
      <c r="AY696">
        <f>$H$696*$AE$696</f>
        <v>255.55</v>
      </c>
      <c r="AZ696">
        <f>$H$696*$AF$696</f>
        <v>255.55</v>
      </c>
    </row>
    <row r="697" spans="1:52" x14ac:dyDescent="0.25">
      <c r="A697">
        <v>765</v>
      </c>
      <c r="B697" t="s">
        <v>7</v>
      </c>
      <c r="C697" t="s">
        <v>576</v>
      </c>
      <c r="D697">
        <v>1</v>
      </c>
      <c r="E697">
        <v>75.59</v>
      </c>
      <c r="F697" t="s">
        <v>335</v>
      </c>
      <c r="G697">
        <v>75.59</v>
      </c>
      <c r="H697">
        <v>90.71</v>
      </c>
      <c r="I697" t="s">
        <v>337</v>
      </c>
      <c r="J697" t="s">
        <v>577</v>
      </c>
      <c r="K697" t="s">
        <v>720</v>
      </c>
      <c r="L697" t="s">
        <v>179</v>
      </c>
      <c r="M697" t="s">
        <v>7</v>
      </c>
      <c r="N697" t="s">
        <v>12</v>
      </c>
      <c r="O697" t="s">
        <v>7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0.6</v>
      </c>
      <c r="Y697">
        <v>0.6</v>
      </c>
      <c r="Z697">
        <v>0.6</v>
      </c>
      <c r="AA697">
        <v>0.6</v>
      </c>
      <c r="AB697">
        <v>0.6</v>
      </c>
      <c r="AC697">
        <v>0.6</v>
      </c>
      <c r="AD697">
        <v>1</v>
      </c>
      <c r="AE697">
        <v>1</v>
      </c>
      <c r="AF697">
        <v>1</v>
      </c>
      <c r="AG697" t="s">
        <v>7</v>
      </c>
      <c r="AH697" t="s">
        <v>12</v>
      </c>
      <c r="AI697" t="s">
        <v>7</v>
      </c>
      <c r="AJ697">
        <f>$H$697*$P$697</f>
        <v>0</v>
      </c>
      <c r="AK697">
        <f>$H$697*$Q$697</f>
        <v>0</v>
      </c>
      <c r="AL697">
        <f>$H$697*$R$697</f>
        <v>0</v>
      </c>
      <c r="AM697">
        <f>$H$697*$S$697</f>
        <v>0</v>
      </c>
      <c r="AN697">
        <f>$H$697*$T$697</f>
        <v>0</v>
      </c>
      <c r="AO697">
        <f>$H$697*$U$697</f>
        <v>0</v>
      </c>
      <c r="AP697">
        <f>$H$697*$V$697</f>
        <v>0</v>
      </c>
      <c r="AQ697">
        <f>$H$697*$W$697</f>
        <v>0</v>
      </c>
      <c r="AR697">
        <f>$H$697*$X$697</f>
        <v>54.425999999999995</v>
      </c>
      <c r="AS697">
        <f>$H$697*$Y$697</f>
        <v>54.425999999999995</v>
      </c>
      <c r="AT697">
        <f>$H$697*$Z$697</f>
        <v>54.425999999999995</v>
      </c>
      <c r="AU697">
        <f>$H$697*$AA$697</f>
        <v>54.425999999999995</v>
      </c>
      <c r="AV697">
        <f>$H$697*$AB$697</f>
        <v>54.425999999999995</v>
      </c>
      <c r="AW697">
        <f>$H$697*$AC$697</f>
        <v>54.425999999999995</v>
      </c>
      <c r="AX697">
        <f>$H$697*$AD$697</f>
        <v>90.71</v>
      </c>
      <c r="AY697">
        <f>$H$697*$AE$697</f>
        <v>90.71</v>
      </c>
      <c r="AZ697">
        <f>$H$697*$AF$697</f>
        <v>90.71</v>
      </c>
    </row>
    <row r="698" spans="1:52" x14ac:dyDescent="0.25">
      <c r="A698">
        <v>766</v>
      </c>
      <c r="B698" t="s">
        <v>7</v>
      </c>
      <c r="C698" t="s">
        <v>580</v>
      </c>
      <c r="D698">
        <v>1</v>
      </c>
      <c r="E698">
        <v>9119.16</v>
      </c>
      <c r="F698" t="s">
        <v>335</v>
      </c>
      <c r="G698">
        <v>9119.16</v>
      </c>
      <c r="H698">
        <v>10943</v>
      </c>
      <c r="I698" t="s">
        <v>562</v>
      </c>
      <c r="J698" t="s">
        <v>581</v>
      </c>
      <c r="K698" t="s">
        <v>722</v>
      </c>
      <c r="L698" t="s">
        <v>179</v>
      </c>
      <c r="M698" t="s">
        <v>7</v>
      </c>
      <c r="N698" t="s">
        <v>12</v>
      </c>
      <c r="O698" t="s">
        <v>7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1</v>
      </c>
      <c r="W698">
        <v>1</v>
      </c>
      <c r="X698">
        <v>1</v>
      </c>
      <c r="Y698">
        <v>1</v>
      </c>
      <c r="Z698">
        <v>1</v>
      </c>
      <c r="AA698">
        <v>1</v>
      </c>
      <c r="AB698">
        <v>1</v>
      </c>
      <c r="AC698">
        <v>1</v>
      </c>
      <c r="AD698">
        <v>1</v>
      </c>
      <c r="AE698">
        <v>1</v>
      </c>
      <c r="AF698">
        <v>1</v>
      </c>
      <c r="AG698" t="s">
        <v>7</v>
      </c>
      <c r="AH698" t="s">
        <v>12</v>
      </c>
      <c r="AI698" t="s">
        <v>7</v>
      </c>
      <c r="AJ698">
        <f>$H$698*$P$698</f>
        <v>0</v>
      </c>
      <c r="AK698">
        <f>$H$698*$Q$698</f>
        <v>0</v>
      </c>
      <c r="AL698">
        <f>$H$698*$R$698</f>
        <v>0</v>
      </c>
      <c r="AM698">
        <f>$H$698*$S$698</f>
        <v>0</v>
      </c>
      <c r="AN698">
        <f>$H$698*$T$698</f>
        <v>0</v>
      </c>
      <c r="AO698">
        <f>$H$698*$U$698</f>
        <v>0</v>
      </c>
      <c r="AP698">
        <f>$H$698*$V$698</f>
        <v>10943</v>
      </c>
      <c r="AQ698">
        <f>$H$698*$W$698</f>
        <v>10943</v>
      </c>
      <c r="AR698">
        <f>$H$698*$X$698</f>
        <v>10943</v>
      </c>
      <c r="AS698">
        <f>$H$698*$Y$698</f>
        <v>10943</v>
      </c>
      <c r="AT698">
        <f>$H$698*$Z$698</f>
        <v>10943</v>
      </c>
      <c r="AU698">
        <f>$H$698*$AA$698</f>
        <v>10943</v>
      </c>
      <c r="AV698">
        <f>$H$698*$AB$698</f>
        <v>10943</v>
      </c>
      <c r="AW698">
        <f>$H$698*$AC$698</f>
        <v>10943</v>
      </c>
      <c r="AX698">
        <f>$H$698*$AD$698</f>
        <v>10943</v>
      </c>
      <c r="AY698">
        <f>$H$698*$AE$698</f>
        <v>10943</v>
      </c>
      <c r="AZ698">
        <f>$H$698*$AF$698</f>
        <v>10943</v>
      </c>
    </row>
    <row r="699" spans="1:52" x14ac:dyDescent="0.25">
      <c r="A699">
        <v>767</v>
      </c>
      <c r="B699" t="s">
        <v>7</v>
      </c>
      <c r="C699" t="s">
        <v>578</v>
      </c>
      <c r="D699">
        <v>1</v>
      </c>
      <c r="E699">
        <v>212.95</v>
      </c>
      <c r="F699" t="s">
        <v>335</v>
      </c>
      <c r="G699">
        <v>212.95</v>
      </c>
      <c r="H699">
        <v>255.55</v>
      </c>
      <c r="I699" t="s">
        <v>337</v>
      </c>
      <c r="J699" t="s">
        <v>579</v>
      </c>
      <c r="K699" t="s">
        <v>721</v>
      </c>
      <c r="L699" t="s">
        <v>179</v>
      </c>
      <c r="M699" t="s">
        <v>7</v>
      </c>
      <c r="N699" t="s">
        <v>12</v>
      </c>
      <c r="O699" t="s">
        <v>7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1</v>
      </c>
      <c r="W699">
        <v>1</v>
      </c>
      <c r="X699">
        <v>1</v>
      </c>
      <c r="Y699">
        <v>1</v>
      </c>
      <c r="Z699">
        <v>1</v>
      </c>
      <c r="AA699">
        <v>1</v>
      </c>
      <c r="AB699">
        <v>1</v>
      </c>
      <c r="AC699">
        <v>1</v>
      </c>
      <c r="AD699">
        <v>1</v>
      </c>
      <c r="AE699">
        <v>1</v>
      </c>
      <c r="AF699">
        <v>1</v>
      </c>
      <c r="AG699" t="s">
        <v>7</v>
      </c>
      <c r="AH699" t="s">
        <v>12</v>
      </c>
      <c r="AI699" t="s">
        <v>7</v>
      </c>
      <c r="AJ699">
        <f>$H$699*$P$699</f>
        <v>0</v>
      </c>
      <c r="AK699">
        <f>$H$699*$Q$699</f>
        <v>0</v>
      </c>
      <c r="AL699">
        <f>$H$699*$R$699</f>
        <v>0</v>
      </c>
      <c r="AM699">
        <f>$H$699*$S$699</f>
        <v>0</v>
      </c>
      <c r="AN699">
        <f>$H$699*$T$699</f>
        <v>0</v>
      </c>
      <c r="AO699">
        <f>$H$699*$U$699</f>
        <v>0</v>
      </c>
      <c r="AP699">
        <f>$H$699*$V$699</f>
        <v>255.55</v>
      </c>
      <c r="AQ699">
        <f>$H$699*$W$699</f>
        <v>255.55</v>
      </c>
      <c r="AR699">
        <f>$H$699*$X$699</f>
        <v>255.55</v>
      </c>
      <c r="AS699">
        <f>$H$699*$Y$699</f>
        <v>255.55</v>
      </c>
      <c r="AT699">
        <f>$H$699*$Z$699</f>
        <v>255.55</v>
      </c>
      <c r="AU699">
        <f>$H$699*$AA$699</f>
        <v>255.55</v>
      </c>
      <c r="AV699">
        <f>$H$699*$AB$699</f>
        <v>255.55</v>
      </c>
      <c r="AW699">
        <f>$H$699*$AC$699</f>
        <v>255.55</v>
      </c>
      <c r="AX699">
        <f>$H$699*$AD$699</f>
        <v>255.55</v>
      </c>
      <c r="AY699">
        <f>$H$699*$AE$699</f>
        <v>255.55</v>
      </c>
      <c r="AZ699">
        <f>$H$699*$AF$699</f>
        <v>255.55</v>
      </c>
    </row>
    <row r="700" spans="1:52" x14ac:dyDescent="0.25">
      <c r="A700">
        <v>768</v>
      </c>
      <c r="B700" t="s">
        <v>7</v>
      </c>
      <c r="C700" t="s">
        <v>582</v>
      </c>
      <c r="D700">
        <v>1</v>
      </c>
      <c r="E700">
        <v>4208.6099999999997</v>
      </c>
      <c r="F700" t="s">
        <v>335</v>
      </c>
      <c r="G700">
        <v>4208.6099999999997</v>
      </c>
      <c r="H700">
        <v>5050.33</v>
      </c>
      <c r="I700" t="s">
        <v>562</v>
      </c>
      <c r="J700" t="s">
        <v>583</v>
      </c>
      <c r="K700" t="s">
        <v>723</v>
      </c>
      <c r="L700" t="s">
        <v>179</v>
      </c>
      <c r="M700" t="s">
        <v>7</v>
      </c>
      <c r="N700" t="s">
        <v>12</v>
      </c>
      <c r="O700" t="s">
        <v>7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1</v>
      </c>
      <c r="Z700">
        <v>1</v>
      </c>
      <c r="AA700">
        <v>1</v>
      </c>
      <c r="AB700">
        <v>1</v>
      </c>
      <c r="AC700">
        <v>1</v>
      </c>
      <c r="AD700">
        <v>1</v>
      </c>
      <c r="AE700">
        <v>1</v>
      </c>
      <c r="AF700">
        <v>1</v>
      </c>
      <c r="AG700" t="s">
        <v>7</v>
      </c>
      <c r="AH700" t="s">
        <v>12</v>
      </c>
      <c r="AI700" t="s">
        <v>7</v>
      </c>
      <c r="AJ700">
        <f>$H$700*$P$700</f>
        <v>0</v>
      </c>
      <c r="AK700">
        <f>$H$700*$Q$700</f>
        <v>0</v>
      </c>
      <c r="AL700">
        <f>$H$700*$R$700</f>
        <v>0</v>
      </c>
      <c r="AM700">
        <f>$H$700*$S$700</f>
        <v>0</v>
      </c>
      <c r="AN700">
        <f>$H$700*$T$700</f>
        <v>0</v>
      </c>
      <c r="AO700">
        <f>$H$700*$U$700</f>
        <v>0</v>
      </c>
      <c r="AP700">
        <f>$H$700*$V$700</f>
        <v>0</v>
      </c>
      <c r="AQ700">
        <f>$H$700*$W$700</f>
        <v>0</v>
      </c>
      <c r="AR700">
        <f>$H$700*$X$700</f>
        <v>0</v>
      </c>
      <c r="AS700">
        <f>$H$700*$Y$700</f>
        <v>5050.33</v>
      </c>
      <c r="AT700">
        <f>$H$700*$Z$700</f>
        <v>5050.33</v>
      </c>
      <c r="AU700">
        <f>$H$700*$AA$700</f>
        <v>5050.33</v>
      </c>
      <c r="AV700">
        <f>$H$700*$AB$700</f>
        <v>5050.33</v>
      </c>
      <c r="AW700">
        <f>$H$700*$AC$700</f>
        <v>5050.33</v>
      </c>
      <c r="AX700">
        <f>$H$700*$AD$700</f>
        <v>5050.33</v>
      </c>
      <c r="AY700">
        <f>$H$700*$AE$700</f>
        <v>5050.33</v>
      </c>
      <c r="AZ700">
        <f>$H$700*$AF$700</f>
        <v>5050.33</v>
      </c>
    </row>
    <row r="701" spans="1:52" x14ac:dyDescent="0.25">
      <c r="A701">
        <v>769</v>
      </c>
      <c r="B701" t="s">
        <v>7</v>
      </c>
      <c r="C701" t="s">
        <v>584</v>
      </c>
      <c r="D701">
        <v>1</v>
      </c>
      <c r="E701">
        <v>390.96</v>
      </c>
      <c r="F701" t="s">
        <v>335</v>
      </c>
      <c r="G701">
        <v>390.96</v>
      </c>
      <c r="H701">
        <v>469.16</v>
      </c>
      <c r="I701" t="s">
        <v>562</v>
      </c>
      <c r="J701" t="s">
        <v>585</v>
      </c>
      <c r="K701" t="s">
        <v>724</v>
      </c>
      <c r="L701" t="s">
        <v>179</v>
      </c>
      <c r="M701" t="s">
        <v>7</v>
      </c>
      <c r="N701" t="s">
        <v>12</v>
      </c>
      <c r="O701" t="s">
        <v>7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1</v>
      </c>
      <c r="Z701">
        <v>1</v>
      </c>
      <c r="AA701">
        <v>1</v>
      </c>
      <c r="AB701">
        <v>1</v>
      </c>
      <c r="AC701">
        <v>1</v>
      </c>
      <c r="AD701">
        <v>1</v>
      </c>
      <c r="AE701">
        <v>1</v>
      </c>
      <c r="AF701">
        <v>1</v>
      </c>
      <c r="AG701" t="s">
        <v>7</v>
      </c>
      <c r="AH701" t="s">
        <v>12</v>
      </c>
      <c r="AI701" t="s">
        <v>7</v>
      </c>
      <c r="AJ701">
        <f>$H$701*$P$701</f>
        <v>0</v>
      </c>
      <c r="AK701">
        <f>$H$701*$Q$701</f>
        <v>0</v>
      </c>
      <c r="AL701">
        <f>$H$701*$R$701</f>
        <v>0</v>
      </c>
      <c r="AM701">
        <f>$H$701*$S$701</f>
        <v>0</v>
      </c>
      <c r="AN701">
        <f>$H$701*$T$701</f>
        <v>0</v>
      </c>
      <c r="AO701">
        <f>$H$701*$U$701</f>
        <v>0</v>
      </c>
      <c r="AP701">
        <f>$H$701*$V$701</f>
        <v>0</v>
      </c>
      <c r="AQ701">
        <f>$H$701*$W$701</f>
        <v>0</v>
      </c>
      <c r="AR701">
        <f>$H$701*$X$701</f>
        <v>0</v>
      </c>
      <c r="AS701">
        <f>$H$701*$Y$701</f>
        <v>469.16</v>
      </c>
      <c r="AT701">
        <f>$H$701*$Z$701</f>
        <v>469.16</v>
      </c>
      <c r="AU701">
        <f>$H$701*$AA$701</f>
        <v>469.16</v>
      </c>
      <c r="AV701">
        <f>$H$701*$AB$701</f>
        <v>469.16</v>
      </c>
      <c r="AW701">
        <f>$H$701*$AC$701</f>
        <v>469.16</v>
      </c>
      <c r="AX701">
        <f>$H$701*$AD$701</f>
        <v>469.16</v>
      </c>
      <c r="AY701">
        <f>$H$701*$AE$701</f>
        <v>469.16</v>
      </c>
      <c r="AZ701">
        <f>$H$701*$AF$701</f>
        <v>469.16</v>
      </c>
    </row>
    <row r="702" spans="1:52" x14ac:dyDescent="0.25">
      <c r="A702">
        <v>770</v>
      </c>
      <c r="B702" t="s">
        <v>7</v>
      </c>
      <c r="C702" t="s">
        <v>586</v>
      </c>
      <c r="D702">
        <v>1</v>
      </c>
      <c r="E702">
        <v>2204.29</v>
      </c>
      <c r="F702" t="s">
        <v>335</v>
      </c>
      <c r="G702">
        <v>2204.29</v>
      </c>
      <c r="H702">
        <v>2645.15</v>
      </c>
      <c r="I702" t="s">
        <v>489</v>
      </c>
      <c r="J702" t="s">
        <v>587</v>
      </c>
      <c r="K702" t="s">
        <v>725</v>
      </c>
      <c r="L702" t="s">
        <v>179</v>
      </c>
      <c r="M702" t="s">
        <v>7</v>
      </c>
      <c r="N702" t="s">
        <v>12</v>
      </c>
      <c r="O702" t="s">
        <v>7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1</v>
      </c>
      <c r="AD702">
        <v>1</v>
      </c>
      <c r="AE702">
        <v>1</v>
      </c>
      <c r="AF702">
        <v>1</v>
      </c>
      <c r="AG702" t="s">
        <v>7</v>
      </c>
      <c r="AH702" t="s">
        <v>12</v>
      </c>
      <c r="AI702" t="s">
        <v>7</v>
      </c>
      <c r="AJ702">
        <f>$H$702*$P$702</f>
        <v>0</v>
      </c>
      <c r="AK702">
        <f>$H$702*$Q$702</f>
        <v>0</v>
      </c>
      <c r="AL702">
        <f>$H$702*$R$702</f>
        <v>0</v>
      </c>
      <c r="AM702">
        <f>$H$702*$S$702</f>
        <v>0</v>
      </c>
      <c r="AN702">
        <f>$H$702*$T$702</f>
        <v>0</v>
      </c>
      <c r="AO702">
        <f>$H$702*$U$702</f>
        <v>0</v>
      </c>
      <c r="AP702">
        <f>$H$702*$V$702</f>
        <v>0</v>
      </c>
      <c r="AQ702">
        <f>$H$702*$W$702</f>
        <v>0</v>
      </c>
      <c r="AR702">
        <f>$H$702*$X$702</f>
        <v>0</v>
      </c>
      <c r="AS702">
        <f>$H$702*$Y$702</f>
        <v>0</v>
      </c>
      <c r="AT702">
        <f>$H$702*$Z$702</f>
        <v>0</v>
      </c>
      <c r="AU702">
        <f>$H$702*$AA$702</f>
        <v>0</v>
      </c>
      <c r="AV702">
        <f>$H$702*$AB$702</f>
        <v>0</v>
      </c>
      <c r="AW702">
        <f>$H$702*$AC$702</f>
        <v>2645.15</v>
      </c>
      <c r="AX702">
        <f>$H$702*$AD$702</f>
        <v>2645.15</v>
      </c>
      <c r="AY702">
        <f>$H$702*$AE$702</f>
        <v>2645.15</v>
      </c>
      <c r="AZ702">
        <f>$H$702*$AF$702</f>
        <v>2645.15</v>
      </c>
    </row>
    <row r="703" spans="1:52" x14ac:dyDescent="0.25">
      <c r="A703">
        <v>771</v>
      </c>
      <c r="B703" t="s">
        <v>7</v>
      </c>
      <c r="C703" t="s">
        <v>588</v>
      </c>
      <c r="D703">
        <v>1</v>
      </c>
      <c r="E703">
        <v>1010.11</v>
      </c>
      <c r="F703" t="s">
        <v>335</v>
      </c>
      <c r="G703">
        <v>1010.11</v>
      </c>
      <c r="H703">
        <v>1212.1300000000001</v>
      </c>
      <c r="I703" t="s">
        <v>562</v>
      </c>
      <c r="J703" t="s">
        <v>589</v>
      </c>
      <c r="K703" t="s">
        <v>726</v>
      </c>
      <c r="L703" t="s">
        <v>179</v>
      </c>
      <c r="M703" t="s">
        <v>7</v>
      </c>
      <c r="N703" t="s">
        <v>12</v>
      </c>
      <c r="O703" t="s">
        <v>7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1</v>
      </c>
      <c r="AA703">
        <v>1</v>
      </c>
      <c r="AB703">
        <v>1</v>
      </c>
      <c r="AC703">
        <v>1</v>
      </c>
      <c r="AD703">
        <v>1</v>
      </c>
      <c r="AE703">
        <v>1</v>
      </c>
      <c r="AF703">
        <v>1</v>
      </c>
      <c r="AG703" t="s">
        <v>7</v>
      </c>
      <c r="AH703" t="s">
        <v>12</v>
      </c>
      <c r="AI703" t="s">
        <v>7</v>
      </c>
      <c r="AJ703">
        <f>$H$703*$P$703</f>
        <v>0</v>
      </c>
      <c r="AK703">
        <f>$H$703*$Q$703</f>
        <v>0</v>
      </c>
      <c r="AL703">
        <f>$H$703*$R$703</f>
        <v>0</v>
      </c>
      <c r="AM703">
        <f>$H$703*$S$703</f>
        <v>0</v>
      </c>
      <c r="AN703">
        <f>$H$703*$T$703</f>
        <v>0</v>
      </c>
      <c r="AO703">
        <f>$H$703*$U$703</f>
        <v>0</v>
      </c>
      <c r="AP703">
        <f>$H$703*$V$703</f>
        <v>0</v>
      </c>
      <c r="AQ703">
        <f>$H$703*$W$703</f>
        <v>0</v>
      </c>
      <c r="AR703">
        <f>$H$703*$X$703</f>
        <v>0</v>
      </c>
      <c r="AS703">
        <f>$H$703*$Y$703</f>
        <v>0</v>
      </c>
      <c r="AT703">
        <f>$H$703*$Z$703</f>
        <v>1212.1300000000001</v>
      </c>
      <c r="AU703">
        <f>$H$703*$AA$703</f>
        <v>1212.1300000000001</v>
      </c>
      <c r="AV703">
        <f>$H$703*$AB$703</f>
        <v>1212.1300000000001</v>
      </c>
      <c r="AW703">
        <f>$H$703*$AC$703</f>
        <v>1212.1300000000001</v>
      </c>
      <c r="AX703">
        <f>$H$703*$AD$703</f>
        <v>1212.1300000000001</v>
      </c>
      <c r="AY703">
        <f>$H$703*$AE$703</f>
        <v>1212.1300000000001</v>
      </c>
      <c r="AZ703">
        <f>$H$703*$AF$703</f>
        <v>1212.1300000000001</v>
      </c>
    </row>
    <row r="704" spans="1:52" x14ac:dyDescent="0.25">
      <c r="A704">
        <v>772</v>
      </c>
      <c r="B704" t="s">
        <v>7</v>
      </c>
      <c r="C704" t="s">
        <v>590</v>
      </c>
      <c r="D704">
        <v>1</v>
      </c>
      <c r="E704">
        <v>139.56</v>
      </c>
      <c r="F704" t="s">
        <v>335</v>
      </c>
      <c r="G704">
        <v>139.56</v>
      </c>
      <c r="H704">
        <v>167.48</v>
      </c>
      <c r="I704" t="s">
        <v>353</v>
      </c>
      <c r="J704" t="s">
        <v>591</v>
      </c>
      <c r="K704" t="s">
        <v>727</v>
      </c>
      <c r="L704" t="s">
        <v>179</v>
      </c>
      <c r="M704" t="s">
        <v>7</v>
      </c>
      <c r="N704" t="s">
        <v>12</v>
      </c>
      <c r="O704" t="s">
        <v>7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1</v>
      </c>
      <c r="Z704">
        <v>1</v>
      </c>
      <c r="AA704">
        <v>1</v>
      </c>
      <c r="AB704">
        <v>1</v>
      </c>
      <c r="AC704">
        <v>1</v>
      </c>
      <c r="AD704">
        <v>1</v>
      </c>
      <c r="AE704">
        <v>1</v>
      </c>
      <c r="AF704">
        <v>1</v>
      </c>
      <c r="AG704" t="s">
        <v>7</v>
      </c>
      <c r="AH704" t="s">
        <v>12</v>
      </c>
      <c r="AI704" t="s">
        <v>7</v>
      </c>
      <c r="AJ704">
        <f>$H$704*$P$704</f>
        <v>0</v>
      </c>
      <c r="AK704">
        <f>$H$704*$Q$704</f>
        <v>0</v>
      </c>
      <c r="AL704">
        <f>$H$704*$R$704</f>
        <v>0</v>
      </c>
      <c r="AM704">
        <f>$H$704*$S$704</f>
        <v>0</v>
      </c>
      <c r="AN704">
        <f>$H$704*$T$704</f>
        <v>0</v>
      </c>
      <c r="AO704">
        <f>$H$704*$U$704</f>
        <v>0</v>
      </c>
      <c r="AP704">
        <f>$H$704*$V$704</f>
        <v>0</v>
      </c>
      <c r="AQ704">
        <f>$H$704*$W$704</f>
        <v>0</v>
      </c>
      <c r="AR704">
        <f>$H$704*$X$704</f>
        <v>0</v>
      </c>
      <c r="AS704">
        <f>$H$704*$Y$704</f>
        <v>167.48</v>
      </c>
      <c r="AT704">
        <f>$H$704*$Z$704</f>
        <v>167.48</v>
      </c>
      <c r="AU704">
        <f>$H$704*$AA$704</f>
        <v>167.48</v>
      </c>
      <c r="AV704">
        <f>$H$704*$AB$704</f>
        <v>167.48</v>
      </c>
      <c r="AW704">
        <f>$H$704*$AC$704</f>
        <v>167.48</v>
      </c>
      <c r="AX704">
        <f>$H$704*$AD$704</f>
        <v>167.48</v>
      </c>
      <c r="AY704">
        <f>$H$704*$AE$704</f>
        <v>167.48</v>
      </c>
      <c r="AZ704">
        <f>$H$704*$AF$704</f>
        <v>167.48</v>
      </c>
    </row>
    <row r="705" spans="1:52" x14ac:dyDescent="0.25">
      <c r="A705">
        <v>773</v>
      </c>
      <c r="B705" t="s">
        <v>7</v>
      </c>
      <c r="C705" t="s">
        <v>592</v>
      </c>
      <c r="D705">
        <v>1</v>
      </c>
      <c r="E705">
        <v>1525.06</v>
      </c>
      <c r="F705" t="s">
        <v>335</v>
      </c>
      <c r="G705">
        <v>1525.06</v>
      </c>
      <c r="H705">
        <v>1830.08</v>
      </c>
      <c r="I705" t="s">
        <v>562</v>
      </c>
      <c r="J705" t="s">
        <v>593</v>
      </c>
      <c r="K705" t="s">
        <v>728</v>
      </c>
      <c r="L705" t="s">
        <v>179</v>
      </c>
      <c r="M705" t="s">
        <v>7</v>
      </c>
      <c r="N705" t="s">
        <v>12</v>
      </c>
      <c r="O705" t="s">
        <v>7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1</v>
      </c>
      <c r="W705">
        <v>1</v>
      </c>
      <c r="X705">
        <v>1</v>
      </c>
      <c r="Y705">
        <v>1</v>
      </c>
      <c r="Z705">
        <v>1</v>
      </c>
      <c r="AA705">
        <v>1</v>
      </c>
      <c r="AB705">
        <v>1</v>
      </c>
      <c r="AC705">
        <v>1</v>
      </c>
      <c r="AD705">
        <v>1</v>
      </c>
      <c r="AE705">
        <v>1</v>
      </c>
      <c r="AF705">
        <v>1</v>
      </c>
      <c r="AG705" t="s">
        <v>7</v>
      </c>
      <c r="AH705" t="s">
        <v>12</v>
      </c>
      <c r="AI705" t="s">
        <v>7</v>
      </c>
      <c r="AJ705">
        <f>$H$705*$P$705</f>
        <v>0</v>
      </c>
      <c r="AK705">
        <f>$H$705*$Q$705</f>
        <v>0</v>
      </c>
      <c r="AL705">
        <f>$H$705*$R$705</f>
        <v>0</v>
      </c>
      <c r="AM705">
        <f>$H$705*$S$705</f>
        <v>0</v>
      </c>
      <c r="AN705">
        <f>$H$705*$T$705</f>
        <v>0</v>
      </c>
      <c r="AO705">
        <f>$H$705*$U$705</f>
        <v>0</v>
      </c>
      <c r="AP705">
        <f>$H$705*$V$705</f>
        <v>1830.08</v>
      </c>
      <c r="AQ705">
        <f>$H$705*$W$705</f>
        <v>1830.08</v>
      </c>
      <c r="AR705">
        <f>$H$705*$X$705</f>
        <v>1830.08</v>
      </c>
      <c r="AS705">
        <f>$H$705*$Y$705</f>
        <v>1830.08</v>
      </c>
      <c r="AT705">
        <f>$H$705*$Z$705</f>
        <v>1830.08</v>
      </c>
      <c r="AU705">
        <f>$H$705*$AA$705</f>
        <v>1830.08</v>
      </c>
      <c r="AV705">
        <f>$H$705*$AB$705</f>
        <v>1830.08</v>
      </c>
      <c r="AW705">
        <f>$H$705*$AC$705</f>
        <v>1830.08</v>
      </c>
      <c r="AX705">
        <f>$H$705*$AD$705</f>
        <v>1830.08</v>
      </c>
      <c r="AY705">
        <f>$H$705*$AE$705</f>
        <v>1830.08</v>
      </c>
      <c r="AZ705">
        <f>$H$705*$AF$705</f>
        <v>1830.08</v>
      </c>
    </row>
    <row r="706" spans="1:52" x14ac:dyDescent="0.25">
      <c r="A706">
        <v>774</v>
      </c>
      <c r="B706" t="s">
        <v>7</v>
      </c>
      <c r="C706" t="s">
        <v>438</v>
      </c>
      <c r="D706">
        <v>20.47</v>
      </c>
      <c r="E706">
        <v>53.63</v>
      </c>
      <c r="F706" t="s">
        <v>329</v>
      </c>
      <c r="G706">
        <v>2.62</v>
      </c>
      <c r="H706">
        <v>64.349999999999994</v>
      </c>
      <c r="I706" t="s">
        <v>439</v>
      </c>
      <c r="J706" t="s">
        <v>440</v>
      </c>
      <c r="K706" t="s">
        <v>654</v>
      </c>
      <c r="L706" t="s">
        <v>179</v>
      </c>
      <c r="M706" t="s">
        <v>7</v>
      </c>
      <c r="N706" t="s">
        <v>12</v>
      </c>
      <c r="O706" t="s">
        <v>7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1</v>
      </c>
      <c r="AB706">
        <v>1</v>
      </c>
      <c r="AC706">
        <v>1</v>
      </c>
      <c r="AD706">
        <v>1</v>
      </c>
      <c r="AE706">
        <v>1</v>
      </c>
      <c r="AF706">
        <v>1</v>
      </c>
      <c r="AG706" t="s">
        <v>7</v>
      </c>
      <c r="AH706" t="s">
        <v>12</v>
      </c>
      <c r="AI706" t="s">
        <v>7</v>
      </c>
      <c r="AJ706">
        <f>$H$706*$P$706</f>
        <v>0</v>
      </c>
      <c r="AK706">
        <f>$H$706*$Q$706</f>
        <v>0</v>
      </c>
      <c r="AL706">
        <f>$H$706*$R$706</f>
        <v>0</v>
      </c>
      <c r="AM706">
        <f>$H$706*$S$706</f>
        <v>0</v>
      </c>
      <c r="AN706">
        <f>$H$706*$T$706</f>
        <v>0</v>
      </c>
      <c r="AO706">
        <f>$H$706*$U$706</f>
        <v>0</v>
      </c>
      <c r="AP706">
        <f>$H$706*$V$706</f>
        <v>0</v>
      </c>
      <c r="AQ706">
        <f>$H$706*$W$706</f>
        <v>0</v>
      </c>
      <c r="AR706">
        <f>$H$706*$X$706</f>
        <v>0</v>
      </c>
      <c r="AS706">
        <f>$H$706*$Y$706</f>
        <v>0</v>
      </c>
      <c r="AT706">
        <f>$H$706*$Z$706</f>
        <v>0</v>
      </c>
      <c r="AU706">
        <f>$H$706*$AA$706</f>
        <v>64.349999999999994</v>
      </c>
      <c r="AV706">
        <f>$H$706*$AB$706</f>
        <v>64.349999999999994</v>
      </c>
      <c r="AW706">
        <f>$H$706*$AC$706</f>
        <v>64.349999999999994</v>
      </c>
      <c r="AX706">
        <f>$H$706*$AD$706</f>
        <v>64.349999999999994</v>
      </c>
      <c r="AY706">
        <f>$H$706*$AE$706</f>
        <v>64.349999999999994</v>
      </c>
      <c r="AZ706">
        <f>$H$706*$AF$706</f>
        <v>64.349999999999994</v>
      </c>
    </row>
    <row r="707" spans="1:52" x14ac:dyDescent="0.25">
      <c r="A707">
        <v>775</v>
      </c>
      <c r="B707" t="s">
        <v>7</v>
      </c>
      <c r="C707" t="s">
        <v>441</v>
      </c>
      <c r="D707">
        <v>184.2</v>
      </c>
      <c r="E707">
        <v>397.87</v>
      </c>
      <c r="F707" t="s">
        <v>349</v>
      </c>
      <c r="G707">
        <v>2.16</v>
      </c>
      <c r="H707">
        <v>477.45</v>
      </c>
      <c r="I707" t="s">
        <v>439</v>
      </c>
      <c r="J707" t="s">
        <v>442</v>
      </c>
      <c r="K707" t="s">
        <v>655</v>
      </c>
      <c r="L707" t="s">
        <v>179</v>
      </c>
      <c r="M707" t="s">
        <v>7</v>
      </c>
      <c r="N707" t="s">
        <v>12</v>
      </c>
      <c r="O707" t="s">
        <v>7</v>
      </c>
      <c r="P707">
        <v>0</v>
      </c>
      <c r="Q707">
        <v>0</v>
      </c>
      <c r="R707">
        <v>0</v>
      </c>
      <c r="S707">
        <v>1</v>
      </c>
      <c r="T707">
        <v>1</v>
      </c>
      <c r="U707">
        <v>1</v>
      </c>
      <c r="V707">
        <v>1</v>
      </c>
      <c r="W707">
        <v>1</v>
      </c>
      <c r="X707">
        <v>1</v>
      </c>
      <c r="Y707">
        <v>1</v>
      </c>
      <c r="Z707">
        <v>1</v>
      </c>
      <c r="AA707">
        <v>1</v>
      </c>
      <c r="AB707">
        <v>1</v>
      </c>
      <c r="AC707">
        <v>1</v>
      </c>
      <c r="AD707">
        <v>1</v>
      </c>
      <c r="AE707">
        <v>1</v>
      </c>
      <c r="AF707">
        <v>1</v>
      </c>
      <c r="AG707" t="s">
        <v>7</v>
      </c>
      <c r="AH707" t="s">
        <v>12</v>
      </c>
      <c r="AI707" t="s">
        <v>7</v>
      </c>
      <c r="AJ707">
        <f>$H$707*$P$707</f>
        <v>0</v>
      </c>
      <c r="AK707">
        <f>$H$707*$Q$707</f>
        <v>0</v>
      </c>
      <c r="AL707">
        <f>$H$707*$R$707</f>
        <v>0</v>
      </c>
      <c r="AM707">
        <f>$H$707*$S$707</f>
        <v>477.45</v>
      </c>
      <c r="AN707">
        <f>$H$707*$T$707</f>
        <v>477.45</v>
      </c>
      <c r="AO707">
        <f>$H$707*$U$707</f>
        <v>477.45</v>
      </c>
      <c r="AP707">
        <f>$H$707*$V$707</f>
        <v>477.45</v>
      </c>
      <c r="AQ707">
        <f>$H$707*$W$707</f>
        <v>477.45</v>
      </c>
      <c r="AR707">
        <f>$H$707*$X$707</f>
        <v>477.45</v>
      </c>
      <c r="AS707">
        <f>$H$707*$Y$707</f>
        <v>477.45</v>
      </c>
      <c r="AT707">
        <f>$H$707*$Z$707</f>
        <v>477.45</v>
      </c>
      <c r="AU707">
        <f>$H$707*$AA$707</f>
        <v>477.45</v>
      </c>
      <c r="AV707">
        <f>$H$707*$AB$707</f>
        <v>477.45</v>
      </c>
      <c r="AW707">
        <f>$H$707*$AC$707</f>
        <v>477.45</v>
      </c>
      <c r="AX707">
        <f>$H$707*$AD$707</f>
        <v>477.45</v>
      </c>
      <c r="AY707">
        <f>$H$707*$AE$707</f>
        <v>477.45</v>
      </c>
      <c r="AZ707">
        <f>$H$707*$AF$707</f>
        <v>477.45</v>
      </c>
    </row>
    <row r="708" spans="1:52" x14ac:dyDescent="0.25">
      <c r="A708">
        <v>776</v>
      </c>
      <c r="B708" t="s">
        <v>7</v>
      </c>
      <c r="C708" t="s">
        <v>443</v>
      </c>
      <c r="D708">
        <v>184.2</v>
      </c>
      <c r="E708">
        <v>116.05</v>
      </c>
      <c r="F708" t="s">
        <v>349</v>
      </c>
      <c r="G708">
        <v>0.63</v>
      </c>
      <c r="H708">
        <v>139.27000000000001</v>
      </c>
      <c r="I708" t="s">
        <v>330</v>
      </c>
      <c r="J708" t="s">
        <v>444</v>
      </c>
      <c r="K708" t="s">
        <v>656</v>
      </c>
      <c r="L708" t="s">
        <v>179</v>
      </c>
      <c r="M708" t="s">
        <v>7</v>
      </c>
      <c r="N708" t="s">
        <v>12</v>
      </c>
      <c r="O708" t="s">
        <v>7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1</v>
      </c>
      <c r="AE708">
        <v>1</v>
      </c>
      <c r="AF708">
        <v>1</v>
      </c>
      <c r="AG708" t="s">
        <v>7</v>
      </c>
      <c r="AH708" t="s">
        <v>12</v>
      </c>
      <c r="AI708" t="s">
        <v>7</v>
      </c>
      <c r="AJ708">
        <f>$H$708*$P$708</f>
        <v>0</v>
      </c>
      <c r="AK708">
        <f>$H$708*$Q$708</f>
        <v>0</v>
      </c>
      <c r="AL708">
        <f>$H$708*$R$708</f>
        <v>0</v>
      </c>
      <c r="AM708">
        <f>$H$708*$S$708</f>
        <v>0</v>
      </c>
      <c r="AN708">
        <f>$H$708*$T$708</f>
        <v>0</v>
      </c>
      <c r="AO708">
        <f>$H$708*$U$708</f>
        <v>0</v>
      </c>
      <c r="AP708">
        <f>$H$708*$V$708</f>
        <v>0</v>
      </c>
      <c r="AQ708">
        <f>$H$708*$W$708</f>
        <v>0</v>
      </c>
      <c r="AR708">
        <f>$H$708*$X$708</f>
        <v>0</v>
      </c>
      <c r="AS708">
        <f>$H$708*$Y$708</f>
        <v>0</v>
      </c>
      <c r="AT708">
        <f>$H$708*$Z$708</f>
        <v>0</v>
      </c>
      <c r="AU708">
        <f>$H$708*$AA$708</f>
        <v>0</v>
      </c>
      <c r="AV708">
        <f>$H$708*$AB$708</f>
        <v>0</v>
      </c>
      <c r="AW708">
        <f>$H$708*$AC$708</f>
        <v>0</v>
      </c>
      <c r="AX708">
        <f>$H$708*$AD$708</f>
        <v>139.27000000000001</v>
      </c>
      <c r="AY708">
        <f>$H$708*$AE$708</f>
        <v>139.27000000000001</v>
      </c>
      <c r="AZ708">
        <f>$H$708*$AF$708</f>
        <v>139.27000000000001</v>
      </c>
    </row>
    <row r="709" spans="1:52" x14ac:dyDescent="0.25">
      <c r="A709">
        <v>777</v>
      </c>
      <c r="B709" t="s">
        <v>7</v>
      </c>
      <c r="C709" t="s">
        <v>362</v>
      </c>
      <c r="D709">
        <v>230.25</v>
      </c>
      <c r="E709">
        <v>225.65</v>
      </c>
      <c r="F709" t="s">
        <v>349</v>
      </c>
      <c r="G709">
        <v>0.98</v>
      </c>
      <c r="H709">
        <v>270.79000000000002</v>
      </c>
      <c r="I709" t="s">
        <v>330</v>
      </c>
      <c r="J709" t="s">
        <v>363</v>
      </c>
      <c r="K709" t="s">
        <v>617</v>
      </c>
      <c r="L709" t="s">
        <v>179</v>
      </c>
      <c r="M709" t="s">
        <v>7</v>
      </c>
      <c r="N709" t="s">
        <v>12</v>
      </c>
      <c r="O709" t="s">
        <v>7</v>
      </c>
      <c r="P709">
        <v>0</v>
      </c>
      <c r="Q709">
        <v>0</v>
      </c>
      <c r="R709">
        <v>0</v>
      </c>
      <c r="S709">
        <v>0</v>
      </c>
      <c r="T709">
        <v>1</v>
      </c>
      <c r="U709">
        <v>1</v>
      </c>
      <c r="V709">
        <v>1</v>
      </c>
      <c r="W709">
        <v>1</v>
      </c>
      <c r="X709">
        <v>1</v>
      </c>
      <c r="Y709">
        <v>1</v>
      </c>
      <c r="Z709">
        <v>1</v>
      </c>
      <c r="AA709">
        <v>1</v>
      </c>
      <c r="AB709">
        <v>1</v>
      </c>
      <c r="AC709">
        <v>1</v>
      </c>
      <c r="AD709">
        <v>1</v>
      </c>
      <c r="AE709">
        <v>1</v>
      </c>
      <c r="AF709">
        <v>1</v>
      </c>
      <c r="AG709" t="s">
        <v>7</v>
      </c>
      <c r="AH709" t="s">
        <v>12</v>
      </c>
      <c r="AI709" t="s">
        <v>7</v>
      </c>
      <c r="AJ709">
        <f>$H$709*$P$709</f>
        <v>0</v>
      </c>
      <c r="AK709">
        <f>$H$709*$Q$709</f>
        <v>0</v>
      </c>
      <c r="AL709">
        <f>$H$709*$R$709</f>
        <v>0</v>
      </c>
      <c r="AM709">
        <f>$H$709*$S$709</f>
        <v>0</v>
      </c>
      <c r="AN709">
        <f>$H$709*$T$709</f>
        <v>270.79000000000002</v>
      </c>
      <c r="AO709">
        <f>$H$709*$U$709</f>
        <v>270.79000000000002</v>
      </c>
      <c r="AP709">
        <f>$H$709*$V$709</f>
        <v>270.79000000000002</v>
      </c>
      <c r="AQ709">
        <f>$H$709*$W$709</f>
        <v>270.79000000000002</v>
      </c>
      <c r="AR709">
        <f>$H$709*$X$709</f>
        <v>270.79000000000002</v>
      </c>
      <c r="AS709">
        <f>$H$709*$Y$709</f>
        <v>270.79000000000002</v>
      </c>
      <c r="AT709">
        <f>$H$709*$Z$709</f>
        <v>270.79000000000002</v>
      </c>
      <c r="AU709">
        <f>$H$709*$AA$709</f>
        <v>270.79000000000002</v>
      </c>
      <c r="AV709">
        <f>$H$709*$AB$709</f>
        <v>270.79000000000002</v>
      </c>
      <c r="AW709">
        <f>$H$709*$AC$709</f>
        <v>270.79000000000002</v>
      </c>
      <c r="AX709">
        <f>$H$709*$AD$709</f>
        <v>270.79000000000002</v>
      </c>
      <c r="AY709">
        <f>$H$709*$AE$709</f>
        <v>270.79000000000002</v>
      </c>
      <c r="AZ709">
        <f>$H$709*$AF$709</f>
        <v>270.79000000000002</v>
      </c>
    </row>
    <row r="710" spans="1:52" x14ac:dyDescent="0.25">
      <c r="A710">
        <v>778</v>
      </c>
      <c r="B710" t="s">
        <v>7</v>
      </c>
      <c r="C710" t="s">
        <v>445</v>
      </c>
      <c r="D710">
        <v>46.05</v>
      </c>
      <c r="E710">
        <v>173.15</v>
      </c>
      <c r="F710" t="s">
        <v>349</v>
      </c>
      <c r="G710">
        <v>3.76</v>
      </c>
      <c r="H710">
        <v>207.79</v>
      </c>
      <c r="I710" t="s">
        <v>446</v>
      </c>
      <c r="J710" t="s">
        <v>420</v>
      </c>
      <c r="K710" t="s">
        <v>657</v>
      </c>
      <c r="L710" t="s">
        <v>179</v>
      </c>
      <c r="M710" t="s">
        <v>7</v>
      </c>
      <c r="N710" t="s">
        <v>12</v>
      </c>
      <c r="O710" t="s">
        <v>7</v>
      </c>
      <c r="P710">
        <v>0</v>
      </c>
      <c r="Q710">
        <v>0</v>
      </c>
      <c r="R710">
        <v>0</v>
      </c>
      <c r="S710">
        <v>0.25</v>
      </c>
      <c r="T710">
        <v>0.25</v>
      </c>
      <c r="U710">
        <v>0.25</v>
      </c>
      <c r="V710">
        <v>0.25</v>
      </c>
      <c r="W710">
        <v>0.25</v>
      </c>
      <c r="X710">
        <v>0.5</v>
      </c>
      <c r="Y710">
        <v>0.5</v>
      </c>
      <c r="Z710">
        <v>0.5</v>
      </c>
      <c r="AA710">
        <v>1</v>
      </c>
      <c r="AB710">
        <v>1</v>
      </c>
      <c r="AC710">
        <v>1</v>
      </c>
      <c r="AD710">
        <v>1</v>
      </c>
      <c r="AE710">
        <v>1</v>
      </c>
      <c r="AF710">
        <v>1</v>
      </c>
      <c r="AG710" t="s">
        <v>7</v>
      </c>
      <c r="AH710" t="s">
        <v>12</v>
      </c>
      <c r="AI710" t="s">
        <v>7</v>
      </c>
      <c r="AJ710">
        <f>$H$710*$P$710</f>
        <v>0</v>
      </c>
      <c r="AK710">
        <f>$H$710*$Q$710</f>
        <v>0</v>
      </c>
      <c r="AL710">
        <f>$H$710*$R$710</f>
        <v>0</v>
      </c>
      <c r="AM710">
        <f>$H$710*$S$710</f>
        <v>51.947499999999998</v>
      </c>
      <c r="AN710">
        <f>$H$710*$T$710</f>
        <v>51.947499999999998</v>
      </c>
      <c r="AO710">
        <f>$H$710*$U$710</f>
        <v>51.947499999999998</v>
      </c>
      <c r="AP710">
        <f>$H$710*$V$710</f>
        <v>51.947499999999998</v>
      </c>
      <c r="AQ710">
        <f>$H$710*$W$710</f>
        <v>51.947499999999998</v>
      </c>
      <c r="AR710">
        <f>$H$710*$X$710</f>
        <v>103.895</v>
      </c>
      <c r="AS710">
        <f>$H$710*$Y$710</f>
        <v>103.895</v>
      </c>
      <c r="AT710">
        <f>$H$710*$Z$710</f>
        <v>103.895</v>
      </c>
      <c r="AU710">
        <f>$H$710*$AA$710</f>
        <v>207.79</v>
      </c>
      <c r="AV710">
        <f>$H$710*$AB$710</f>
        <v>207.79</v>
      </c>
      <c r="AW710">
        <f>$H$710*$AC$710</f>
        <v>207.79</v>
      </c>
      <c r="AX710">
        <f>$H$710*$AD$710</f>
        <v>207.79</v>
      </c>
      <c r="AY710">
        <f>$H$710*$AE$710</f>
        <v>207.79</v>
      </c>
      <c r="AZ710">
        <f>$H$710*$AF$710</f>
        <v>207.79</v>
      </c>
    </row>
    <row r="711" spans="1:52" x14ac:dyDescent="0.25">
      <c r="A711">
        <v>779</v>
      </c>
      <c r="B711" t="s">
        <v>7</v>
      </c>
      <c r="C711" t="s">
        <v>364</v>
      </c>
      <c r="D711">
        <v>460.5</v>
      </c>
      <c r="E711">
        <v>1547.28</v>
      </c>
      <c r="F711" t="s">
        <v>349</v>
      </c>
      <c r="G711">
        <v>3.36</v>
      </c>
      <c r="H711">
        <v>1856.74</v>
      </c>
      <c r="I711" t="s">
        <v>365</v>
      </c>
      <c r="J711" t="s">
        <v>366</v>
      </c>
      <c r="K711" t="s">
        <v>618</v>
      </c>
      <c r="L711" t="s">
        <v>179</v>
      </c>
      <c r="M711" t="s">
        <v>7</v>
      </c>
      <c r="N711" t="s">
        <v>12</v>
      </c>
      <c r="O711" t="s">
        <v>7</v>
      </c>
      <c r="P711">
        <v>0</v>
      </c>
      <c r="Q711">
        <v>0</v>
      </c>
      <c r="R711">
        <v>0</v>
      </c>
      <c r="S711">
        <v>0.25</v>
      </c>
      <c r="T711">
        <v>0.25</v>
      </c>
      <c r="U711">
        <v>0.25</v>
      </c>
      <c r="V711">
        <v>0.25</v>
      </c>
      <c r="W711">
        <v>0.5</v>
      </c>
      <c r="X711">
        <v>0.5</v>
      </c>
      <c r="Y711">
        <v>0.5</v>
      </c>
      <c r="Z711">
        <v>0.5</v>
      </c>
      <c r="AA711">
        <v>1</v>
      </c>
      <c r="AB711">
        <v>1</v>
      </c>
      <c r="AC711">
        <v>1</v>
      </c>
      <c r="AD711">
        <v>1</v>
      </c>
      <c r="AE711">
        <v>1</v>
      </c>
      <c r="AF711">
        <v>1</v>
      </c>
      <c r="AG711" t="s">
        <v>7</v>
      </c>
      <c r="AH711" t="s">
        <v>12</v>
      </c>
      <c r="AI711" t="s">
        <v>7</v>
      </c>
      <c r="AJ711">
        <f>$H$711*$P$711</f>
        <v>0</v>
      </c>
      <c r="AK711">
        <f>$H$711*$Q$711</f>
        <v>0</v>
      </c>
      <c r="AL711">
        <f>$H$711*$R$711</f>
        <v>0</v>
      </c>
      <c r="AM711">
        <f>$H$711*$S$711</f>
        <v>464.185</v>
      </c>
      <c r="AN711">
        <f>$H$711*$T$711</f>
        <v>464.185</v>
      </c>
      <c r="AO711">
        <f>$H$711*$U$711</f>
        <v>464.185</v>
      </c>
      <c r="AP711">
        <f>$H$711*$V$711</f>
        <v>464.185</v>
      </c>
      <c r="AQ711">
        <f>$H$711*$W$711</f>
        <v>928.37</v>
      </c>
      <c r="AR711">
        <f>$H$711*$X$711</f>
        <v>928.37</v>
      </c>
      <c r="AS711">
        <f>$H$711*$Y$711</f>
        <v>928.37</v>
      </c>
      <c r="AT711">
        <f>$H$711*$Z$711</f>
        <v>928.37</v>
      </c>
      <c r="AU711">
        <f>$H$711*$AA$711</f>
        <v>1856.74</v>
      </c>
      <c r="AV711">
        <f>$H$711*$AB$711</f>
        <v>1856.74</v>
      </c>
      <c r="AW711">
        <f>$H$711*$AC$711</f>
        <v>1856.74</v>
      </c>
      <c r="AX711">
        <f>$H$711*$AD$711</f>
        <v>1856.74</v>
      </c>
      <c r="AY711">
        <f>$H$711*$AE$711</f>
        <v>1856.74</v>
      </c>
      <c r="AZ711">
        <f>$H$711*$AF$711</f>
        <v>1856.74</v>
      </c>
    </row>
    <row r="712" spans="1:52" x14ac:dyDescent="0.25">
      <c r="A712">
        <v>780</v>
      </c>
      <c r="B712" t="s">
        <v>7</v>
      </c>
      <c r="C712" t="s">
        <v>594</v>
      </c>
      <c r="D712">
        <v>51.17</v>
      </c>
      <c r="E712">
        <v>77.27</v>
      </c>
      <c r="F712" t="s">
        <v>329</v>
      </c>
      <c r="G712">
        <v>1.51</v>
      </c>
      <c r="H712">
        <v>92.73</v>
      </c>
      <c r="I712" t="s">
        <v>330</v>
      </c>
      <c r="J712" t="s">
        <v>595</v>
      </c>
      <c r="K712" t="s">
        <v>729</v>
      </c>
      <c r="L712" t="s">
        <v>179</v>
      </c>
      <c r="M712" t="s">
        <v>7</v>
      </c>
      <c r="N712" t="s">
        <v>12</v>
      </c>
      <c r="O712" t="s">
        <v>7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1</v>
      </c>
      <c r="AA712">
        <v>1</v>
      </c>
      <c r="AB712">
        <v>1</v>
      </c>
      <c r="AC712">
        <v>1</v>
      </c>
      <c r="AD712">
        <v>1</v>
      </c>
      <c r="AE712">
        <v>1</v>
      </c>
      <c r="AF712">
        <v>1</v>
      </c>
      <c r="AG712" t="s">
        <v>7</v>
      </c>
      <c r="AH712" t="s">
        <v>12</v>
      </c>
      <c r="AI712" t="s">
        <v>7</v>
      </c>
      <c r="AJ712">
        <f>$H$712*$P$712</f>
        <v>0</v>
      </c>
      <c r="AK712">
        <f>$H$712*$Q$712</f>
        <v>0</v>
      </c>
      <c r="AL712">
        <f>$H$712*$R$712</f>
        <v>0</v>
      </c>
      <c r="AM712">
        <f>$H$712*$S$712</f>
        <v>0</v>
      </c>
      <c r="AN712">
        <f>$H$712*$T$712</f>
        <v>0</v>
      </c>
      <c r="AO712">
        <f>$H$712*$U$712</f>
        <v>0</v>
      </c>
      <c r="AP712">
        <f>$H$712*$V$712</f>
        <v>0</v>
      </c>
      <c r="AQ712">
        <f>$H$712*$W$712</f>
        <v>0</v>
      </c>
      <c r="AR712">
        <f>$H$712*$X$712</f>
        <v>0</v>
      </c>
      <c r="AS712">
        <f>$H$712*$Y$712</f>
        <v>0</v>
      </c>
      <c r="AT712">
        <f>$H$712*$Z$712</f>
        <v>92.73</v>
      </c>
      <c r="AU712">
        <f>$H$712*$AA$712</f>
        <v>92.73</v>
      </c>
      <c r="AV712">
        <f>$H$712*$AB$712</f>
        <v>92.73</v>
      </c>
      <c r="AW712">
        <f>$H$712*$AC$712</f>
        <v>92.73</v>
      </c>
      <c r="AX712">
        <f>$H$712*$AD$712</f>
        <v>92.73</v>
      </c>
      <c r="AY712">
        <f>$H$712*$AE$712</f>
        <v>92.73</v>
      </c>
      <c r="AZ712">
        <f>$H$712*$AF$712</f>
        <v>92.73</v>
      </c>
    </row>
    <row r="713" spans="1:52" x14ac:dyDescent="0.25">
      <c r="A713">
        <v>781</v>
      </c>
      <c r="B713" t="s">
        <v>7</v>
      </c>
      <c r="C713" t="s">
        <v>596</v>
      </c>
      <c r="D713">
        <v>51.17</v>
      </c>
      <c r="E713">
        <v>382.24</v>
      </c>
      <c r="F713" t="s">
        <v>329</v>
      </c>
      <c r="G713">
        <v>7.47</v>
      </c>
      <c r="H713">
        <v>458.68</v>
      </c>
      <c r="I713" t="s">
        <v>333</v>
      </c>
      <c r="J713" t="s">
        <v>597</v>
      </c>
      <c r="K713" t="s">
        <v>730</v>
      </c>
      <c r="L713" t="s">
        <v>179</v>
      </c>
      <c r="M713" t="s">
        <v>7</v>
      </c>
      <c r="N713" t="s">
        <v>12</v>
      </c>
      <c r="O713" t="s">
        <v>7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1</v>
      </c>
      <c r="AA713">
        <v>1</v>
      </c>
      <c r="AB713">
        <v>1</v>
      </c>
      <c r="AC713">
        <v>1</v>
      </c>
      <c r="AD713">
        <v>1</v>
      </c>
      <c r="AE713">
        <v>1</v>
      </c>
      <c r="AF713">
        <v>1</v>
      </c>
      <c r="AG713" t="s">
        <v>7</v>
      </c>
      <c r="AH713" t="s">
        <v>12</v>
      </c>
      <c r="AI713" t="s">
        <v>7</v>
      </c>
      <c r="AJ713">
        <f>$H$713*$P$713</f>
        <v>0</v>
      </c>
      <c r="AK713">
        <f>$H$713*$Q$713</f>
        <v>0</v>
      </c>
      <c r="AL713">
        <f>$H$713*$R$713</f>
        <v>0</v>
      </c>
      <c r="AM713">
        <f>$H$713*$S$713</f>
        <v>0</v>
      </c>
      <c r="AN713">
        <f>$H$713*$T$713</f>
        <v>0</v>
      </c>
      <c r="AO713">
        <f>$H$713*$U$713</f>
        <v>0</v>
      </c>
      <c r="AP713">
        <f>$H$713*$V$713</f>
        <v>0</v>
      </c>
      <c r="AQ713">
        <f>$H$713*$W$713</f>
        <v>0</v>
      </c>
      <c r="AR713">
        <f>$H$713*$X$713</f>
        <v>0</v>
      </c>
      <c r="AS713">
        <f>$H$713*$Y$713</f>
        <v>0</v>
      </c>
      <c r="AT713">
        <f>$H$713*$Z$713</f>
        <v>458.68</v>
      </c>
      <c r="AU713">
        <f>$H$713*$AA$713</f>
        <v>458.68</v>
      </c>
      <c r="AV713">
        <f>$H$713*$AB$713</f>
        <v>458.68</v>
      </c>
      <c r="AW713">
        <f>$H$713*$AC$713</f>
        <v>458.68</v>
      </c>
      <c r="AX713">
        <f>$H$713*$AD$713</f>
        <v>458.68</v>
      </c>
      <c r="AY713">
        <f>$H$713*$AE$713</f>
        <v>458.68</v>
      </c>
      <c r="AZ713">
        <f>$H$713*$AF$713</f>
        <v>458.68</v>
      </c>
    </row>
    <row r="714" spans="1:52" x14ac:dyDescent="0.25">
      <c r="A714">
        <v>782</v>
      </c>
      <c r="B714" t="s">
        <v>7</v>
      </c>
      <c r="C714" t="s">
        <v>451</v>
      </c>
      <c r="D714">
        <v>28</v>
      </c>
      <c r="E714">
        <v>890.68</v>
      </c>
      <c r="F714" t="s">
        <v>329</v>
      </c>
      <c r="G714">
        <v>31.81</v>
      </c>
      <c r="H714">
        <v>1068.82</v>
      </c>
      <c r="I714" t="s">
        <v>333</v>
      </c>
      <c r="J714" t="s">
        <v>452</v>
      </c>
      <c r="K714" t="s">
        <v>660</v>
      </c>
      <c r="L714" t="s">
        <v>179</v>
      </c>
      <c r="M714" t="s">
        <v>7</v>
      </c>
      <c r="N714" t="s">
        <v>12</v>
      </c>
      <c r="O714" t="s">
        <v>7</v>
      </c>
      <c r="P714">
        <v>0</v>
      </c>
      <c r="Q714">
        <v>0</v>
      </c>
      <c r="R714">
        <v>0</v>
      </c>
      <c r="S714">
        <v>0</v>
      </c>
      <c r="T714">
        <v>1</v>
      </c>
      <c r="U714">
        <v>1</v>
      </c>
      <c r="V714">
        <v>1</v>
      </c>
      <c r="W714">
        <v>1</v>
      </c>
      <c r="X714">
        <v>1</v>
      </c>
      <c r="Y714">
        <v>1</v>
      </c>
      <c r="Z714">
        <v>1</v>
      </c>
      <c r="AA714">
        <v>1</v>
      </c>
      <c r="AB714">
        <v>1</v>
      </c>
      <c r="AC714">
        <v>1</v>
      </c>
      <c r="AD714">
        <v>1</v>
      </c>
      <c r="AE714">
        <v>1</v>
      </c>
      <c r="AF714">
        <v>1</v>
      </c>
      <c r="AG714" t="s">
        <v>7</v>
      </c>
      <c r="AH714" t="s">
        <v>12</v>
      </c>
      <c r="AI714" t="s">
        <v>7</v>
      </c>
      <c r="AJ714">
        <f>$H$714*$P$714</f>
        <v>0</v>
      </c>
      <c r="AK714">
        <f>$H$714*$Q$714</f>
        <v>0</v>
      </c>
      <c r="AL714">
        <f>$H$714*$R$714</f>
        <v>0</v>
      </c>
      <c r="AM714">
        <f>$H$714*$S$714</f>
        <v>0</v>
      </c>
      <c r="AN714">
        <f>$H$714*$T$714</f>
        <v>1068.82</v>
      </c>
      <c r="AO714">
        <f>$H$714*$U$714</f>
        <v>1068.82</v>
      </c>
      <c r="AP714">
        <f>$H$714*$V$714</f>
        <v>1068.82</v>
      </c>
      <c r="AQ714">
        <f>$H$714*$W$714</f>
        <v>1068.82</v>
      </c>
      <c r="AR714">
        <f>$H$714*$X$714</f>
        <v>1068.82</v>
      </c>
      <c r="AS714">
        <f>$H$714*$Y$714</f>
        <v>1068.82</v>
      </c>
      <c r="AT714">
        <f>$H$714*$Z$714</f>
        <v>1068.82</v>
      </c>
      <c r="AU714">
        <f>$H$714*$AA$714</f>
        <v>1068.82</v>
      </c>
      <c r="AV714">
        <f>$H$714*$AB$714</f>
        <v>1068.82</v>
      </c>
      <c r="AW714">
        <f>$H$714*$AC$714</f>
        <v>1068.82</v>
      </c>
      <c r="AX714">
        <f>$H$714*$AD$714</f>
        <v>1068.82</v>
      </c>
      <c r="AY714">
        <f>$H$714*$AE$714</f>
        <v>1068.82</v>
      </c>
      <c r="AZ714">
        <f>$H$714*$AF$714</f>
        <v>1068.82</v>
      </c>
    </row>
    <row r="715" spans="1:52" x14ac:dyDescent="0.25">
      <c r="A715">
        <v>783</v>
      </c>
      <c r="B715" t="s">
        <v>7</v>
      </c>
      <c r="C715" t="s">
        <v>453</v>
      </c>
      <c r="D715">
        <v>8</v>
      </c>
      <c r="E715">
        <v>476.8</v>
      </c>
      <c r="F715" t="s">
        <v>329</v>
      </c>
      <c r="G715">
        <v>59.6</v>
      </c>
      <c r="H715">
        <v>572.16</v>
      </c>
      <c r="I715" t="s">
        <v>333</v>
      </c>
      <c r="J715" t="s">
        <v>454</v>
      </c>
      <c r="K715" t="s">
        <v>661</v>
      </c>
      <c r="L715" t="s">
        <v>179</v>
      </c>
      <c r="M715" t="s">
        <v>7</v>
      </c>
      <c r="N715" t="s">
        <v>12</v>
      </c>
      <c r="O715" t="s">
        <v>7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1</v>
      </c>
      <c r="AE715">
        <v>1</v>
      </c>
      <c r="AF715">
        <v>1</v>
      </c>
      <c r="AG715" t="s">
        <v>7</v>
      </c>
      <c r="AH715" t="s">
        <v>12</v>
      </c>
      <c r="AI715" t="s">
        <v>7</v>
      </c>
      <c r="AJ715">
        <f>$H$715*$P$715</f>
        <v>0</v>
      </c>
      <c r="AK715">
        <f>$H$715*$Q$715</f>
        <v>0</v>
      </c>
      <c r="AL715">
        <f>$H$715*$R$715</f>
        <v>0</v>
      </c>
      <c r="AM715">
        <f>$H$715*$S$715</f>
        <v>0</v>
      </c>
      <c r="AN715">
        <f>$H$715*$T$715</f>
        <v>0</v>
      </c>
      <c r="AO715">
        <f>$H$715*$U$715</f>
        <v>0</v>
      </c>
      <c r="AP715">
        <f>$H$715*$V$715</f>
        <v>0</v>
      </c>
      <c r="AQ715">
        <f>$H$715*$W$715</f>
        <v>0</v>
      </c>
      <c r="AR715">
        <f>$H$715*$X$715</f>
        <v>0</v>
      </c>
      <c r="AS715">
        <f>$H$715*$Y$715</f>
        <v>0</v>
      </c>
      <c r="AT715">
        <f>$H$715*$Z$715</f>
        <v>0</v>
      </c>
      <c r="AU715">
        <f>$H$715*$AA$715</f>
        <v>0</v>
      </c>
      <c r="AV715">
        <f>$H$715*$AB$715</f>
        <v>0</v>
      </c>
      <c r="AW715">
        <f>$H$715*$AC$715</f>
        <v>0</v>
      </c>
      <c r="AX715">
        <f>$H$715*$AD$715</f>
        <v>572.16</v>
      </c>
      <c r="AY715">
        <f>$H$715*$AE$715</f>
        <v>572.16</v>
      </c>
      <c r="AZ715">
        <f>$H$715*$AF$715</f>
        <v>572.16</v>
      </c>
    </row>
    <row r="716" spans="1:52" x14ac:dyDescent="0.25">
      <c r="A716">
        <v>784</v>
      </c>
      <c r="B716" t="s">
        <v>7</v>
      </c>
      <c r="C716" t="s">
        <v>455</v>
      </c>
      <c r="D716">
        <v>51.17</v>
      </c>
      <c r="E716">
        <v>77.27</v>
      </c>
      <c r="F716" t="s">
        <v>329</v>
      </c>
      <c r="G716">
        <v>1.51</v>
      </c>
      <c r="H716">
        <v>92.73</v>
      </c>
      <c r="I716" t="s">
        <v>330</v>
      </c>
      <c r="J716" t="s">
        <v>456</v>
      </c>
      <c r="K716" t="s">
        <v>662</v>
      </c>
      <c r="L716" t="s">
        <v>179</v>
      </c>
      <c r="M716" t="s">
        <v>7</v>
      </c>
      <c r="N716" t="s">
        <v>12</v>
      </c>
      <c r="O716" t="s">
        <v>7</v>
      </c>
      <c r="P716">
        <v>0</v>
      </c>
      <c r="Q716">
        <v>0</v>
      </c>
      <c r="R716">
        <v>0</v>
      </c>
      <c r="S716">
        <v>1</v>
      </c>
      <c r="T716">
        <v>1</v>
      </c>
      <c r="U716">
        <v>1</v>
      </c>
      <c r="V716">
        <v>1</v>
      </c>
      <c r="W716">
        <v>1</v>
      </c>
      <c r="X716">
        <v>1</v>
      </c>
      <c r="Y716">
        <v>1</v>
      </c>
      <c r="Z716">
        <v>1</v>
      </c>
      <c r="AA716">
        <v>1</v>
      </c>
      <c r="AB716">
        <v>1</v>
      </c>
      <c r="AC716">
        <v>1</v>
      </c>
      <c r="AD716">
        <v>1</v>
      </c>
      <c r="AE716">
        <v>1</v>
      </c>
      <c r="AF716">
        <v>1</v>
      </c>
      <c r="AG716" t="s">
        <v>7</v>
      </c>
      <c r="AH716" t="s">
        <v>12</v>
      </c>
      <c r="AI716" t="s">
        <v>7</v>
      </c>
      <c r="AJ716">
        <f>$H$716*$P$716</f>
        <v>0</v>
      </c>
      <c r="AK716">
        <f>$H$716*$Q$716</f>
        <v>0</v>
      </c>
      <c r="AL716">
        <f>$H$716*$R$716</f>
        <v>0</v>
      </c>
      <c r="AM716">
        <f>$H$716*$S$716</f>
        <v>92.73</v>
      </c>
      <c r="AN716">
        <f>$H$716*$T$716</f>
        <v>92.73</v>
      </c>
      <c r="AO716">
        <f>$H$716*$U$716</f>
        <v>92.73</v>
      </c>
      <c r="AP716">
        <f>$H$716*$V$716</f>
        <v>92.73</v>
      </c>
      <c r="AQ716">
        <f>$H$716*$W$716</f>
        <v>92.73</v>
      </c>
      <c r="AR716">
        <f>$H$716*$X$716</f>
        <v>92.73</v>
      </c>
      <c r="AS716">
        <f>$H$716*$Y$716</f>
        <v>92.73</v>
      </c>
      <c r="AT716">
        <f>$H$716*$Z$716</f>
        <v>92.73</v>
      </c>
      <c r="AU716">
        <f>$H$716*$AA$716</f>
        <v>92.73</v>
      </c>
      <c r="AV716">
        <f>$H$716*$AB$716</f>
        <v>92.73</v>
      </c>
      <c r="AW716">
        <f>$H$716*$AC$716</f>
        <v>92.73</v>
      </c>
      <c r="AX716">
        <f>$H$716*$AD$716</f>
        <v>92.73</v>
      </c>
      <c r="AY716">
        <f>$H$716*$AE$716</f>
        <v>92.73</v>
      </c>
      <c r="AZ716">
        <f>$H$716*$AF$716</f>
        <v>92.73</v>
      </c>
    </row>
    <row r="717" spans="1:52" x14ac:dyDescent="0.25">
      <c r="A717">
        <v>785</v>
      </c>
      <c r="B717" t="s">
        <v>7</v>
      </c>
      <c r="C717" t="s">
        <v>457</v>
      </c>
      <c r="D717">
        <v>51.17</v>
      </c>
      <c r="E717">
        <v>290.64999999999998</v>
      </c>
      <c r="F717" t="s">
        <v>329</v>
      </c>
      <c r="G717">
        <v>5.68</v>
      </c>
      <c r="H717">
        <v>348.79</v>
      </c>
      <c r="I717" t="s">
        <v>333</v>
      </c>
      <c r="J717" t="s">
        <v>458</v>
      </c>
      <c r="K717" t="s">
        <v>663</v>
      </c>
      <c r="L717" t="s">
        <v>179</v>
      </c>
      <c r="M717" t="s">
        <v>7</v>
      </c>
      <c r="N717" t="s">
        <v>12</v>
      </c>
      <c r="O717" t="s">
        <v>7</v>
      </c>
      <c r="P717">
        <v>0</v>
      </c>
      <c r="Q717">
        <v>0</v>
      </c>
      <c r="R717">
        <v>0</v>
      </c>
      <c r="S717">
        <v>1</v>
      </c>
      <c r="T717">
        <v>1</v>
      </c>
      <c r="U717">
        <v>1</v>
      </c>
      <c r="V717">
        <v>1</v>
      </c>
      <c r="W717">
        <v>1</v>
      </c>
      <c r="X717">
        <v>1</v>
      </c>
      <c r="Y717">
        <v>1</v>
      </c>
      <c r="Z717">
        <v>1</v>
      </c>
      <c r="AA717">
        <v>1</v>
      </c>
      <c r="AB717">
        <v>1</v>
      </c>
      <c r="AC717">
        <v>1</v>
      </c>
      <c r="AD717">
        <v>1</v>
      </c>
      <c r="AE717">
        <v>1</v>
      </c>
      <c r="AF717">
        <v>1</v>
      </c>
      <c r="AG717" t="s">
        <v>7</v>
      </c>
      <c r="AH717" t="s">
        <v>12</v>
      </c>
      <c r="AI717" t="s">
        <v>7</v>
      </c>
      <c r="AJ717">
        <f>$H$717*$P$717</f>
        <v>0</v>
      </c>
      <c r="AK717">
        <f>$H$717*$Q$717</f>
        <v>0</v>
      </c>
      <c r="AL717">
        <f>$H$717*$R$717</f>
        <v>0</v>
      </c>
      <c r="AM717">
        <f>$H$717*$S$717</f>
        <v>348.79</v>
      </c>
      <c r="AN717">
        <f>$H$717*$T$717</f>
        <v>348.79</v>
      </c>
      <c r="AO717">
        <f>$H$717*$U$717</f>
        <v>348.79</v>
      </c>
      <c r="AP717">
        <f>$H$717*$V$717</f>
        <v>348.79</v>
      </c>
      <c r="AQ717">
        <f>$H$717*$W$717</f>
        <v>348.79</v>
      </c>
      <c r="AR717">
        <f>$H$717*$X$717</f>
        <v>348.79</v>
      </c>
      <c r="AS717">
        <f>$H$717*$Y$717</f>
        <v>348.79</v>
      </c>
      <c r="AT717">
        <f>$H$717*$Z$717</f>
        <v>348.79</v>
      </c>
      <c r="AU717">
        <f>$H$717*$AA$717</f>
        <v>348.79</v>
      </c>
      <c r="AV717">
        <f>$H$717*$AB$717</f>
        <v>348.79</v>
      </c>
      <c r="AW717">
        <f>$H$717*$AC$717</f>
        <v>348.79</v>
      </c>
      <c r="AX717">
        <f>$H$717*$AD$717</f>
        <v>348.79</v>
      </c>
      <c r="AY717">
        <f>$H$717*$AE$717</f>
        <v>348.79</v>
      </c>
      <c r="AZ717">
        <f>$H$717*$AF$717</f>
        <v>348.79</v>
      </c>
    </row>
    <row r="718" spans="1:52" x14ac:dyDescent="0.25">
      <c r="A718">
        <v>786</v>
      </c>
      <c r="B718" t="s">
        <v>7</v>
      </c>
      <c r="C718" t="s">
        <v>364</v>
      </c>
      <c r="D718">
        <v>159.79</v>
      </c>
      <c r="E718">
        <v>536.89</v>
      </c>
      <c r="F718" t="s">
        <v>349</v>
      </c>
      <c r="G718">
        <v>3.36</v>
      </c>
      <c r="H718">
        <v>644.27</v>
      </c>
      <c r="I718" t="s">
        <v>365</v>
      </c>
      <c r="J718" t="s">
        <v>366</v>
      </c>
      <c r="K718" t="s">
        <v>618</v>
      </c>
      <c r="L718" t="s">
        <v>179</v>
      </c>
      <c r="M718" t="s">
        <v>7</v>
      </c>
      <c r="N718" t="s">
        <v>12</v>
      </c>
      <c r="O718" t="s">
        <v>7</v>
      </c>
      <c r="P718">
        <v>0</v>
      </c>
      <c r="Q718">
        <v>0</v>
      </c>
      <c r="R718">
        <v>0</v>
      </c>
      <c r="S718">
        <v>0.25</v>
      </c>
      <c r="T718">
        <v>0.25</v>
      </c>
      <c r="U718">
        <v>0.25</v>
      </c>
      <c r="V718">
        <v>0.25</v>
      </c>
      <c r="W718">
        <v>0.5</v>
      </c>
      <c r="X718">
        <v>0.5</v>
      </c>
      <c r="Y718">
        <v>0.5</v>
      </c>
      <c r="Z718">
        <v>0.5</v>
      </c>
      <c r="AA718">
        <v>1</v>
      </c>
      <c r="AB718">
        <v>1</v>
      </c>
      <c r="AC718">
        <v>1</v>
      </c>
      <c r="AD718">
        <v>1</v>
      </c>
      <c r="AE718">
        <v>1</v>
      </c>
      <c r="AF718">
        <v>1</v>
      </c>
      <c r="AG718" t="s">
        <v>7</v>
      </c>
      <c r="AH718" t="s">
        <v>12</v>
      </c>
      <c r="AI718" t="s">
        <v>7</v>
      </c>
      <c r="AJ718">
        <f>$H$718*$P$718</f>
        <v>0</v>
      </c>
      <c r="AK718">
        <f>$H$718*$Q$718</f>
        <v>0</v>
      </c>
      <c r="AL718">
        <f>$H$718*$R$718</f>
        <v>0</v>
      </c>
      <c r="AM718">
        <f>$H$718*$S$718</f>
        <v>161.0675</v>
      </c>
      <c r="AN718">
        <f>$H$718*$T$718</f>
        <v>161.0675</v>
      </c>
      <c r="AO718">
        <f>$H$718*$U$718</f>
        <v>161.0675</v>
      </c>
      <c r="AP718">
        <f>$H$718*$V$718</f>
        <v>161.0675</v>
      </c>
      <c r="AQ718">
        <f>$H$718*$W$718</f>
        <v>322.13499999999999</v>
      </c>
      <c r="AR718">
        <f>$H$718*$X$718</f>
        <v>322.13499999999999</v>
      </c>
      <c r="AS718">
        <f>$H$718*$Y$718</f>
        <v>322.13499999999999</v>
      </c>
      <c r="AT718">
        <f>$H$718*$Z$718</f>
        <v>322.13499999999999</v>
      </c>
      <c r="AU718">
        <f>$H$718*$AA$718</f>
        <v>644.27</v>
      </c>
      <c r="AV718">
        <f>$H$718*$AB$718</f>
        <v>644.27</v>
      </c>
      <c r="AW718">
        <f>$H$718*$AC$718</f>
        <v>644.27</v>
      </c>
      <c r="AX718">
        <f>$H$718*$AD$718</f>
        <v>644.27</v>
      </c>
      <c r="AY718">
        <f>$H$718*$AE$718</f>
        <v>644.27</v>
      </c>
      <c r="AZ718">
        <f>$H$718*$AF$718</f>
        <v>644.27</v>
      </c>
    </row>
    <row r="719" spans="1:52" x14ac:dyDescent="0.25">
      <c r="A719">
        <v>787</v>
      </c>
      <c r="B719" t="s">
        <v>7</v>
      </c>
      <c r="C719" t="s">
        <v>443</v>
      </c>
      <c r="D719">
        <v>159.79</v>
      </c>
      <c r="E719">
        <v>100.67</v>
      </c>
      <c r="F719" t="s">
        <v>349</v>
      </c>
      <c r="G719">
        <v>0.63</v>
      </c>
      <c r="H719">
        <v>120.81</v>
      </c>
      <c r="I719" t="s">
        <v>330</v>
      </c>
      <c r="J719" t="s">
        <v>444</v>
      </c>
      <c r="K719" t="s">
        <v>656</v>
      </c>
      <c r="L719" t="s">
        <v>179</v>
      </c>
      <c r="M719" t="s">
        <v>7</v>
      </c>
      <c r="N719" t="s">
        <v>12</v>
      </c>
      <c r="O719" t="s">
        <v>7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1</v>
      </c>
      <c r="AE719">
        <v>1</v>
      </c>
      <c r="AF719">
        <v>1</v>
      </c>
      <c r="AG719" t="s">
        <v>7</v>
      </c>
      <c r="AH719" t="s">
        <v>12</v>
      </c>
      <c r="AI719" t="s">
        <v>7</v>
      </c>
      <c r="AJ719">
        <f>$H$719*$P$719</f>
        <v>0</v>
      </c>
      <c r="AK719">
        <f>$H$719*$Q$719</f>
        <v>0</v>
      </c>
      <c r="AL719">
        <f>$H$719*$R$719</f>
        <v>0</v>
      </c>
      <c r="AM719">
        <f>$H$719*$S$719</f>
        <v>0</v>
      </c>
      <c r="AN719">
        <f>$H$719*$T$719</f>
        <v>0</v>
      </c>
      <c r="AO719">
        <f>$H$719*$U$719</f>
        <v>0</v>
      </c>
      <c r="AP719">
        <f>$H$719*$V$719</f>
        <v>0</v>
      </c>
      <c r="AQ719">
        <f>$H$719*$W$719</f>
        <v>0</v>
      </c>
      <c r="AR719">
        <f>$H$719*$X$719</f>
        <v>0</v>
      </c>
      <c r="AS719">
        <f>$H$719*$Y$719</f>
        <v>0</v>
      </c>
      <c r="AT719">
        <f>$H$719*$Z$719</f>
        <v>0</v>
      </c>
      <c r="AU719">
        <f>$H$719*$AA$719</f>
        <v>0</v>
      </c>
      <c r="AV719">
        <f>$H$719*$AB$719</f>
        <v>0</v>
      </c>
      <c r="AW719">
        <f>$H$719*$AC$719</f>
        <v>0</v>
      </c>
      <c r="AX719">
        <f>$H$719*$AD$719</f>
        <v>120.81</v>
      </c>
      <c r="AY719">
        <f>$H$719*$AE$719</f>
        <v>120.81</v>
      </c>
      <c r="AZ719">
        <f>$H$719*$AF$719</f>
        <v>120.81</v>
      </c>
    </row>
    <row r="720" spans="1:52" x14ac:dyDescent="0.25">
      <c r="A720">
        <v>788</v>
      </c>
      <c r="B720" t="s">
        <v>7</v>
      </c>
      <c r="C720" t="s">
        <v>459</v>
      </c>
      <c r="D720">
        <v>159.79</v>
      </c>
      <c r="E720">
        <v>110.26</v>
      </c>
      <c r="F720" t="s">
        <v>349</v>
      </c>
      <c r="G720">
        <v>0.69</v>
      </c>
      <c r="H720">
        <v>132.32</v>
      </c>
      <c r="I720" t="s">
        <v>330</v>
      </c>
      <c r="J720" t="s">
        <v>460</v>
      </c>
      <c r="K720" t="s">
        <v>664</v>
      </c>
      <c r="L720" t="s">
        <v>179</v>
      </c>
      <c r="M720" t="s">
        <v>7</v>
      </c>
      <c r="N720" t="s">
        <v>12</v>
      </c>
      <c r="O720" t="s">
        <v>7</v>
      </c>
      <c r="P720">
        <v>0</v>
      </c>
      <c r="Q720">
        <v>0</v>
      </c>
      <c r="R720">
        <v>0</v>
      </c>
      <c r="S720">
        <v>1</v>
      </c>
      <c r="T720">
        <v>1</v>
      </c>
      <c r="U720">
        <v>1</v>
      </c>
      <c r="V720">
        <v>1</v>
      </c>
      <c r="W720">
        <v>1</v>
      </c>
      <c r="X720">
        <v>1</v>
      </c>
      <c r="Y720">
        <v>1</v>
      </c>
      <c r="Z720">
        <v>1</v>
      </c>
      <c r="AA720">
        <v>1</v>
      </c>
      <c r="AB720">
        <v>1</v>
      </c>
      <c r="AC720">
        <v>1</v>
      </c>
      <c r="AD720">
        <v>1</v>
      </c>
      <c r="AE720">
        <v>1</v>
      </c>
      <c r="AF720">
        <v>1</v>
      </c>
      <c r="AG720" t="s">
        <v>7</v>
      </c>
      <c r="AH720" t="s">
        <v>12</v>
      </c>
      <c r="AI720" t="s">
        <v>7</v>
      </c>
      <c r="AJ720">
        <f>$H$720*$P$720</f>
        <v>0</v>
      </c>
      <c r="AK720">
        <f>$H$720*$Q$720</f>
        <v>0</v>
      </c>
      <c r="AL720">
        <f>$H$720*$R$720</f>
        <v>0</v>
      </c>
      <c r="AM720">
        <f>$H$720*$S$720</f>
        <v>132.32</v>
      </c>
      <c r="AN720">
        <f>$H$720*$T$720</f>
        <v>132.32</v>
      </c>
      <c r="AO720">
        <f>$H$720*$U$720</f>
        <v>132.32</v>
      </c>
      <c r="AP720">
        <f>$H$720*$V$720</f>
        <v>132.32</v>
      </c>
      <c r="AQ720">
        <f>$H$720*$W$720</f>
        <v>132.32</v>
      </c>
      <c r="AR720">
        <f>$H$720*$X$720</f>
        <v>132.32</v>
      </c>
      <c r="AS720">
        <f>$H$720*$Y$720</f>
        <v>132.32</v>
      </c>
      <c r="AT720">
        <f>$H$720*$Z$720</f>
        <v>132.32</v>
      </c>
      <c r="AU720">
        <f>$H$720*$AA$720</f>
        <v>132.32</v>
      </c>
      <c r="AV720">
        <f>$H$720*$AB$720</f>
        <v>132.32</v>
      </c>
      <c r="AW720">
        <f>$H$720*$AC$720</f>
        <v>132.32</v>
      </c>
      <c r="AX720">
        <f>$H$720*$AD$720</f>
        <v>132.32</v>
      </c>
      <c r="AY720">
        <f>$H$720*$AE$720</f>
        <v>132.32</v>
      </c>
      <c r="AZ720">
        <f>$H$720*$AF$720</f>
        <v>132.32</v>
      </c>
    </row>
    <row r="721" spans="1:52" x14ac:dyDescent="0.25">
      <c r="A721">
        <v>789</v>
      </c>
      <c r="B721" t="s">
        <v>7</v>
      </c>
      <c r="C721" t="s">
        <v>461</v>
      </c>
      <c r="D721">
        <v>31.96</v>
      </c>
      <c r="E721">
        <v>554.51</v>
      </c>
      <c r="F721" t="s">
        <v>349</v>
      </c>
      <c r="G721">
        <v>17.350000000000001</v>
      </c>
      <c r="H721">
        <v>665.41</v>
      </c>
      <c r="I721" t="s">
        <v>462</v>
      </c>
      <c r="J721" t="s">
        <v>463</v>
      </c>
      <c r="K721" t="s">
        <v>665</v>
      </c>
      <c r="L721" t="s">
        <v>179</v>
      </c>
      <c r="M721" t="s">
        <v>7</v>
      </c>
      <c r="N721" t="s">
        <v>12</v>
      </c>
      <c r="O721" t="s">
        <v>7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1</v>
      </c>
      <c r="Z721">
        <v>1</v>
      </c>
      <c r="AA721">
        <v>1</v>
      </c>
      <c r="AB721">
        <v>1</v>
      </c>
      <c r="AC721">
        <v>1</v>
      </c>
      <c r="AD721">
        <v>1</v>
      </c>
      <c r="AE721">
        <v>1</v>
      </c>
      <c r="AF721">
        <v>1</v>
      </c>
      <c r="AG721" t="s">
        <v>7</v>
      </c>
      <c r="AH721" t="s">
        <v>12</v>
      </c>
      <c r="AI721" t="s">
        <v>7</v>
      </c>
      <c r="AJ721">
        <f>$H$721*$P$721</f>
        <v>0</v>
      </c>
      <c r="AK721">
        <f>$H$721*$Q$721</f>
        <v>0</v>
      </c>
      <c r="AL721">
        <f>$H$721*$R$721</f>
        <v>0</v>
      </c>
      <c r="AM721">
        <f>$H$721*$S$721</f>
        <v>0</v>
      </c>
      <c r="AN721">
        <f>$H$721*$T$721</f>
        <v>0</v>
      </c>
      <c r="AO721">
        <f>$H$721*$U$721</f>
        <v>0</v>
      </c>
      <c r="AP721">
        <f>$H$721*$V$721</f>
        <v>0</v>
      </c>
      <c r="AQ721">
        <f>$H$721*$W$721</f>
        <v>0</v>
      </c>
      <c r="AR721">
        <f>$H$721*$X$721</f>
        <v>0</v>
      </c>
      <c r="AS721">
        <f>$H$721*$Y$721</f>
        <v>665.41</v>
      </c>
      <c r="AT721">
        <f>$H$721*$Z$721</f>
        <v>665.41</v>
      </c>
      <c r="AU721">
        <f>$H$721*$AA$721</f>
        <v>665.41</v>
      </c>
      <c r="AV721">
        <f>$H$721*$AB$721</f>
        <v>665.41</v>
      </c>
      <c r="AW721">
        <f>$H$721*$AC$721</f>
        <v>665.41</v>
      </c>
      <c r="AX721">
        <f>$H$721*$AD$721</f>
        <v>665.41</v>
      </c>
      <c r="AY721">
        <f>$H$721*$AE$721</f>
        <v>665.41</v>
      </c>
      <c r="AZ721">
        <f>$H$721*$AF$721</f>
        <v>665.41</v>
      </c>
    </row>
    <row r="722" spans="1:52" x14ac:dyDescent="0.25">
      <c r="A722">
        <v>790</v>
      </c>
      <c r="B722" t="s">
        <v>7</v>
      </c>
      <c r="C722" t="s">
        <v>464</v>
      </c>
      <c r="D722">
        <v>63.92</v>
      </c>
      <c r="E722">
        <v>228.83</v>
      </c>
      <c r="F722" t="s">
        <v>349</v>
      </c>
      <c r="G722">
        <v>3.58</v>
      </c>
      <c r="H722">
        <v>274.58999999999997</v>
      </c>
      <c r="I722" t="s">
        <v>465</v>
      </c>
      <c r="J722" t="s">
        <v>466</v>
      </c>
      <c r="K722" t="s">
        <v>666</v>
      </c>
      <c r="L722" t="s">
        <v>179</v>
      </c>
      <c r="M722" t="s">
        <v>7</v>
      </c>
      <c r="N722" t="s">
        <v>12</v>
      </c>
      <c r="O722" t="s">
        <v>7</v>
      </c>
      <c r="P722">
        <v>0</v>
      </c>
      <c r="Q722">
        <v>0</v>
      </c>
      <c r="R722">
        <v>0</v>
      </c>
      <c r="S722">
        <v>1</v>
      </c>
      <c r="T722">
        <v>1</v>
      </c>
      <c r="U722">
        <v>1</v>
      </c>
      <c r="V722">
        <v>1</v>
      </c>
      <c r="W722">
        <v>1</v>
      </c>
      <c r="X722">
        <v>1</v>
      </c>
      <c r="Y722">
        <v>1</v>
      </c>
      <c r="Z722">
        <v>1</v>
      </c>
      <c r="AA722">
        <v>1</v>
      </c>
      <c r="AB722">
        <v>1</v>
      </c>
      <c r="AC722">
        <v>1</v>
      </c>
      <c r="AD722">
        <v>1</v>
      </c>
      <c r="AE722">
        <v>1</v>
      </c>
      <c r="AF722">
        <v>1</v>
      </c>
      <c r="AG722" t="s">
        <v>7</v>
      </c>
      <c r="AH722" t="s">
        <v>12</v>
      </c>
      <c r="AI722" t="s">
        <v>7</v>
      </c>
      <c r="AJ722">
        <f>$H$722*$P$722</f>
        <v>0</v>
      </c>
      <c r="AK722">
        <f>$H$722*$Q$722</f>
        <v>0</v>
      </c>
      <c r="AL722">
        <f>$H$722*$R$722</f>
        <v>0</v>
      </c>
      <c r="AM722">
        <f>$H$722*$S$722</f>
        <v>274.58999999999997</v>
      </c>
      <c r="AN722">
        <f>$H$722*$T$722</f>
        <v>274.58999999999997</v>
      </c>
      <c r="AO722">
        <f>$H$722*$U$722</f>
        <v>274.58999999999997</v>
      </c>
      <c r="AP722">
        <f>$H$722*$V$722</f>
        <v>274.58999999999997</v>
      </c>
      <c r="AQ722">
        <f>$H$722*$W$722</f>
        <v>274.58999999999997</v>
      </c>
      <c r="AR722">
        <f>$H$722*$X$722</f>
        <v>274.58999999999997</v>
      </c>
      <c r="AS722">
        <f>$H$722*$Y$722</f>
        <v>274.58999999999997</v>
      </c>
      <c r="AT722">
        <f>$H$722*$Z$722</f>
        <v>274.58999999999997</v>
      </c>
      <c r="AU722">
        <f>$H$722*$AA$722</f>
        <v>274.58999999999997</v>
      </c>
      <c r="AV722">
        <f>$H$722*$AB$722</f>
        <v>274.58999999999997</v>
      </c>
      <c r="AW722">
        <f>$H$722*$AC$722</f>
        <v>274.58999999999997</v>
      </c>
      <c r="AX722">
        <f>$H$722*$AD$722</f>
        <v>274.58999999999997</v>
      </c>
      <c r="AY722">
        <f>$H$722*$AE$722</f>
        <v>274.58999999999997</v>
      </c>
      <c r="AZ722">
        <f>$H$722*$AF$722</f>
        <v>274.58999999999997</v>
      </c>
    </row>
    <row r="723" spans="1:52" x14ac:dyDescent="0.25">
      <c r="A723">
        <v>791</v>
      </c>
      <c r="B723" t="s">
        <v>7</v>
      </c>
      <c r="C723" t="s">
        <v>467</v>
      </c>
      <c r="D723">
        <v>63.92</v>
      </c>
      <c r="E723">
        <v>629.61</v>
      </c>
      <c r="F723" t="s">
        <v>349</v>
      </c>
      <c r="G723">
        <v>9.85</v>
      </c>
      <c r="H723">
        <v>755.53</v>
      </c>
      <c r="I723" t="s">
        <v>465</v>
      </c>
      <c r="J723" t="s">
        <v>372</v>
      </c>
      <c r="K723" t="s">
        <v>667</v>
      </c>
      <c r="L723" t="s">
        <v>179</v>
      </c>
      <c r="M723" t="s">
        <v>7</v>
      </c>
      <c r="N723" t="s">
        <v>12</v>
      </c>
      <c r="O723" t="s">
        <v>7</v>
      </c>
      <c r="P723">
        <v>0</v>
      </c>
      <c r="Q723">
        <v>0</v>
      </c>
      <c r="R723">
        <v>0</v>
      </c>
      <c r="S723">
        <v>1</v>
      </c>
      <c r="T723">
        <v>1</v>
      </c>
      <c r="U723">
        <v>1</v>
      </c>
      <c r="V723">
        <v>1</v>
      </c>
      <c r="W723">
        <v>1</v>
      </c>
      <c r="X723">
        <v>1</v>
      </c>
      <c r="Y723">
        <v>1</v>
      </c>
      <c r="Z723">
        <v>1</v>
      </c>
      <c r="AA723">
        <v>1</v>
      </c>
      <c r="AB723">
        <v>1</v>
      </c>
      <c r="AC723">
        <v>1</v>
      </c>
      <c r="AD723">
        <v>1</v>
      </c>
      <c r="AE723">
        <v>1</v>
      </c>
      <c r="AF723">
        <v>1</v>
      </c>
      <c r="AG723" t="s">
        <v>7</v>
      </c>
      <c r="AH723" t="s">
        <v>12</v>
      </c>
      <c r="AI723" t="s">
        <v>7</v>
      </c>
      <c r="AJ723">
        <f>$H$723*$P$723</f>
        <v>0</v>
      </c>
      <c r="AK723">
        <f>$H$723*$Q$723</f>
        <v>0</v>
      </c>
      <c r="AL723">
        <f>$H$723*$R$723</f>
        <v>0</v>
      </c>
      <c r="AM723">
        <f>$H$723*$S$723</f>
        <v>755.53</v>
      </c>
      <c r="AN723">
        <f>$H$723*$T$723</f>
        <v>755.53</v>
      </c>
      <c r="AO723">
        <f>$H$723*$U$723</f>
        <v>755.53</v>
      </c>
      <c r="AP723">
        <f>$H$723*$V$723</f>
        <v>755.53</v>
      </c>
      <c r="AQ723">
        <f>$H$723*$W$723</f>
        <v>755.53</v>
      </c>
      <c r="AR723">
        <f>$H$723*$X$723</f>
        <v>755.53</v>
      </c>
      <c r="AS723">
        <f>$H$723*$Y$723</f>
        <v>755.53</v>
      </c>
      <c r="AT723">
        <f>$H$723*$Z$723</f>
        <v>755.53</v>
      </c>
      <c r="AU723">
        <f>$H$723*$AA$723</f>
        <v>755.53</v>
      </c>
      <c r="AV723">
        <f>$H$723*$AB$723</f>
        <v>755.53</v>
      </c>
      <c r="AW723">
        <f>$H$723*$AC$723</f>
        <v>755.53</v>
      </c>
      <c r="AX723">
        <f>$H$723*$AD$723</f>
        <v>755.53</v>
      </c>
      <c r="AY723">
        <f>$H$723*$AE$723</f>
        <v>755.53</v>
      </c>
      <c r="AZ723">
        <f>$H$723*$AF$723</f>
        <v>755.53</v>
      </c>
    </row>
    <row r="724" spans="1:52" x14ac:dyDescent="0.25">
      <c r="A724">
        <v>792</v>
      </c>
      <c r="B724" t="s">
        <v>7</v>
      </c>
      <c r="C724" t="s">
        <v>468</v>
      </c>
      <c r="D724">
        <v>73.5</v>
      </c>
      <c r="E724">
        <v>74.97</v>
      </c>
      <c r="F724" t="s">
        <v>349</v>
      </c>
      <c r="G724">
        <v>1.02</v>
      </c>
      <c r="H724">
        <v>89.97</v>
      </c>
      <c r="I724" t="s">
        <v>469</v>
      </c>
      <c r="J724" t="s">
        <v>470</v>
      </c>
      <c r="K724" t="s">
        <v>668</v>
      </c>
      <c r="L724" t="s">
        <v>179</v>
      </c>
      <c r="M724" t="s">
        <v>7</v>
      </c>
      <c r="N724" t="s">
        <v>12</v>
      </c>
      <c r="O724" t="s">
        <v>7</v>
      </c>
      <c r="P724">
        <v>0</v>
      </c>
      <c r="Q724">
        <v>0</v>
      </c>
      <c r="R724">
        <v>0</v>
      </c>
      <c r="S724">
        <v>1</v>
      </c>
      <c r="T724">
        <v>1</v>
      </c>
      <c r="U724">
        <v>1</v>
      </c>
      <c r="V724">
        <v>1</v>
      </c>
      <c r="W724">
        <v>1</v>
      </c>
      <c r="X724">
        <v>1</v>
      </c>
      <c r="Y724">
        <v>1</v>
      </c>
      <c r="Z724">
        <v>1</v>
      </c>
      <c r="AA724">
        <v>1</v>
      </c>
      <c r="AB724">
        <v>1</v>
      </c>
      <c r="AC724">
        <v>1</v>
      </c>
      <c r="AD724">
        <v>1</v>
      </c>
      <c r="AE724">
        <v>1</v>
      </c>
      <c r="AF724">
        <v>1</v>
      </c>
      <c r="AG724" t="s">
        <v>7</v>
      </c>
      <c r="AH724" t="s">
        <v>12</v>
      </c>
      <c r="AI724" t="s">
        <v>7</v>
      </c>
      <c r="AJ724">
        <f>$H$724*$P$724</f>
        <v>0</v>
      </c>
      <c r="AK724">
        <f>$H$724*$Q$724</f>
        <v>0</v>
      </c>
      <c r="AL724">
        <f>$H$724*$R$724</f>
        <v>0</v>
      </c>
      <c r="AM724">
        <f>$H$724*$S$724</f>
        <v>89.97</v>
      </c>
      <c r="AN724">
        <f>$H$724*$T$724</f>
        <v>89.97</v>
      </c>
      <c r="AO724">
        <f>$H$724*$U$724</f>
        <v>89.97</v>
      </c>
      <c r="AP724">
        <f>$H$724*$V$724</f>
        <v>89.97</v>
      </c>
      <c r="AQ724">
        <f>$H$724*$W$724</f>
        <v>89.97</v>
      </c>
      <c r="AR724">
        <f>$H$724*$X$724</f>
        <v>89.97</v>
      </c>
      <c r="AS724">
        <f>$H$724*$Y$724</f>
        <v>89.97</v>
      </c>
      <c r="AT724">
        <f>$H$724*$Z$724</f>
        <v>89.97</v>
      </c>
      <c r="AU724">
        <f>$H$724*$AA$724</f>
        <v>89.97</v>
      </c>
      <c r="AV724">
        <f>$H$724*$AB$724</f>
        <v>89.97</v>
      </c>
      <c r="AW724">
        <f>$H$724*$AC$724</f>
        <v>89.97</v>
      </c>
      <c r="AX724">
        <f>$H$724*$AD$724</f>
        <v>89.97</v>
      </c>
      <c r="AY724">
        <f>$H$724*$AE$724</f>
        <v>89.97</v>
      </c>
      <c r="AZ724">
        <f>$H$724*$AF$724</f>
        <v>89.97</v>
      </c>
    </row>
    <row r="725" spans="1:52" x14ac:dyDescent="0.25">
      <c r="A725">
        <v>793</v>
      </c>
      <c r="B725" t="s">
        <v>7</v>
      </c>
      <c r="C725" t="s">
        <v>471</v>
      </c>
      <c r="D725">
        <v>73.5</v>
      </c>
      <c r="E725">
        <v>678.41</v>
      </c>
      <c r="F725" t="s">
        <v>349</v>
      </c>
      <c r="G725">
        <v>9.23</v>
      </c>
      <c r="H725">
        <v>814.09</v>
      </c>
      <c r="I725" t="s">
        <v>469</v>
      </c>
      <c r="J725" t="s">
        <v>463</v>
      </c>
      <c r="K725" t="s">
        <v>669</v>
      </c>
      <c r="L725" t="s">
        <v>179</v>
      </c>
      <c r="M725" t="s">
        <v>7</v>
      </c>
      <c r="N725" t="s">
        <v>12</v>
      </c>
      <c r="O725" t="s">
        <v>7</v>
      </c>
      <c r="P725">
        <v>0</v>
      </c>
      <c r="Q725">
        <v>0</v>
      </c>
      <c r="R725">
        <v>0</v>
      </c>
      <c r="S725">
        <v>1</v>
      </c>
      <c r="T725">
        <v>1</v>
      </c>
      <c r="U725">
        <v>1</v>
      </c>
      <c r="V725">
        <v>1</v>
      </c>
      <c r="W725">
        <v>1</v>
      </c>
      <c r="X725">
        <v>1</v>
      </c>
      <c r="Y725">
        <v>1</v>
      </c>
      <c r="Z725">
        <v>1</v>
      </c>
      <c r="AA725">
        <v>1</v>
      </c>
      <c r="AB725">
        <v>1</v>
      </c>
      <c r="AC725">
        <v>1</v>
      </c>
      <c r="AD725">
        <v>1</v>
      </c>
      <c r="AE725">
        <v>1</v>
      </c>
      <c r="AF725">
        <v>1</v>
      </c>
      <c r="AG725" t="s">
        <v>7</v>
      </c>
      <c r="AH725" t="s">
        <v>12</v>
      </c>
      <c r="AI725" t="s">
        <v>7</v>
      </c>
      <c r="AJ725">
        <f>$H$725*$P$725</f>
        <v>0</v>
      </c>
      <c r="AK725">
        <f>$H$725*$Q$725</f>
        <v>0</v>
      </c>
      <c r="AL725">
        <f>$H$725*$R$725</f>
        <v>0</v>
      </c>
      <c r="AM725">
        <f>$H$725*$S$725</f>
        <v>814.09</v>
      </c>
      <c r="AN725">
        <f>$H$725*$T$725</f>
        <v>814.09</v>
      </c>
      <c r="AO725">
        <f>$H$725*$U$725</f>
        <v>814.09</v>
      </c>
      <c r="AP725">
        <f>$H$725*$V$725</f>
        <v>814.09</v>
      </c>
      <c r="AQ725">
        <f>$H$725*$W$725</f>
        <v>814.09</v>
      </c>
      <c r="AR725">
        <f>$H$725*$X$725</f>
        <v>814.09</v>
      </c>
      <c r="AS725">
        <f>$H$725*$Y$725</f>
        <v>814.09</v>
      </c>
      <c r="AT725">
        <f>$H$725*$Z$725</f>
        <v>814.09</v>
      </c>
      <c r="AU725">
        <f>$H$725*$AA$725</f>
        <v>814.09</v>
      </c>
      <c r="AV725">
        <f>$H$725*$AB$725</f>
        <v>814.09</v>
      </c>
      <c r="AW725">
        <f>$H$725*$AC$725</f>
        <v>814.09</v>
      </c>
      <c r="AX725">
        <f>$H$725*$AD$725</f>
        <v>814.09</v>
      </c>
      <c r="AY725">
        <f>$H$725*$AE$725</f>
        <v>814.09</v>
      </c>
      <c r="AZ725">
        <f>$H$725*$AF$725</f>
        <v>814.09</v>
      </c>
    </row>
    <row r="726" spans="1:52" x14ac:dyDescent="0.25">
      <c r="A726">
        <v>794</v>
      </c>
      <c r="B726" t="s">
        <v>282</v>
      </c>
      <c r="C726" t="s">
        <v>336</v>
      </c>
      <c r="D726">
        <v>1</v>
      </c>
      <c r="E726">
        <v>87.09</v>
      </c>
      <c r="F726" t="s">
        <v>335</v>
      </c>
      <c r="G726">
        <v>87.09</v>
      </c>
      <c r="H726">
        <v>104.51</v>
      </c>
      <c r="I726" t="s">
        <v>337</v>
      </c>
      <c r="J726" t="s">
        <v>338</v>
      </c>
      <c r="K726" t="s">
        <v>606</v>
      </c>
      <c r="L726" t="s">
        <v>179</v>
      </c>
      <c r="M726" t="s">
        <v>282</v>
      </c>
      <c r="N726" t="s">
        <v>12</v>
      </c>
      <c r="O726" t="s">
        <v>4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1</v>
      </c>
      <c r="AE726">
        <v>1</v>
      </c>
      <c r="AF726">
        <v>1</v>
      </c>
      <c r="AG726" t="s">
        <v>282</v>
      </c>
      <c r="AH726" t="s">
        <v>12</v>
      </c>
      <c r="AI726" t="s">
        <v>4</v>
      </c>
      <c r="AJ726">
        <f>$H$726*$P$726</f>
        <v>0</v>
      </c>
      <c r="AK726">
        <f>$H$726*$Q$726</f>
        <v>0</v>
      </c>
      <c r="AL726">
        <f>$H$726*$R$726</f>
        <v>0</v>
      </c>
      <c r="AM726">
        <f>$H$726*$S$726</f>
        <v>0</v>
      </c>
      <c r="AN726">
        <f>$H$726*$T$726</f>
        <v>0</v>
      </c>
      <c r="AO726">
        <f>$H$726*$U$726</f>
        <v>0</v>
      </c>
      <c r="AP726">
        <f>$H$726*$V$726</f>
        <v>0</v>
      </c>
      <c r="AQ726">
        <f>$H$726*$W$726</f>
        <v>0</v>
      </c>
      <c r="AR726">
        <f>$H$726*$X$726</f>
        <v>0</v>
      </c>
      <c r="AS726">
        <f>$H$726*$Y$726</f>
        <v>0</v>
      </c>
      <c r="AT726">
        <f>$H$726*$Z$726</f>
        <v>0</v>
      </c>
      <c r="AU726">
        <f>$H$726*$AA$726</f>
        <v>0</v>
      </c>
      <c r="AV726">
        <f>$H$726*$AB$726</f>
        <v>0</v>
      </c>
      <c r="AW726">
        <f>$H$726*$AC$726</f>
        <v>0</v>
      </c>
      <c r="AX726">
        <f>$H$726*$AD$726</f>
        <v>104.51</v>
      </c>
      <c r="AY726">
        <f>$H$726*$AE$726</f>
        <v>104.51</v>
      </c>
      <c r="AZ726">
        <f>$H$726*$AF$726</f>
        <v>104.51</v>
      </c>
    </row>
    <row r="727" spans="1:52" x14ac:dyDescent="0.25">
      <c r="A727">
        <v>795</v>
      </c>
      <c r="B727" t="s">
        <v>282</v>
      </c>
      <c r="C727" t="s">
        <v>358</v>
      </c>
      <c r="D727">
        <v>12</v>
      </c>
      <c r="E727">
        <v>53.28</v>
      </c>
      <c r="F727" t="s">
        <v>329</v>
      </c>
      <c r="G727">
        <v>4.4400000000000004</v>
      </c>
      <c r="H727">
        <v>63.94</v>
      </c>
      <c r="I727" t="s">
        <v>330</v>
      </c>
      <c r="J727" t="s">
        <v>359</v>
      </c>
      <c r="K727" t="s">
        <v>615</v>
      </c>
      <c r="L727" t="s">
        <v>179</v>
      </c>
      <c r="M727" t="s">
        <v>282</v>
      </c>
      <c r="N727" t="s">
        <v>12</v>
      </c>
      <c r="O727" t="s">
        <v>4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1</v>
      </c>
      <c r="AB727">
        <v>1</v>
      </c>
      <c r="AC727">
        <v>1</v>
      </c>
      <c r="AD727">
        <v>1</v>
      </c>
      <c r="AE727">
        <v>1</v>
      </c>
      <c r="AF727">
        <v>1</v>
      </c>
      <c r="AG727" t="s">
        <v>282</v>
      </c>
      <c r="AH727" t="s">
        <v>12</v>
      </c>
      <c r="AI727" t="s">
        <v>4</v>
      </c>
      <c r="AJ727">
        <f>$H$727*$P$727</f>
        <v>0</v>
      </c>
      <c r="AK727">
        <f>$H$727*$Q$727</f>
        <v>0</v>
      </c>
      <c r="AL727">
        <f>$H$727*$R$727</f>
        <v>0</v>
      </c>
      <c r="AM727">
        <f>$H$727*$S$727</f>
        <v>0</v>
      </c>
      <c r="AN727">
        <f>$H$727*$T$727</f>
        <v>0</v>
      </c>
      <c r="AO727">
        <f>$H$727*$U$727</f>
        <v>0</v>
      </c>
      <c r="AP727">
        <f>$H$727*$V$727</f>
        <v>0</v>
      </c>
      <c r="AQ727">
        <f>$H$727*$W$727</f>
        <v>0</v>
      </c>
      <c r="AR727">
        <f>$H$727*$X$727</f>
        <v>0</v>
      </c>
      <c r="AS727">
        <f>$H$727*$Y$727</f>
        <v>0</v>
      </c>
      <c r="AT727">
        <f>$H$727*$Z$727</f>
        <v>0</v>
      </c>
      <c r="AU727">
        <f>$H$727*$AA$727</f>
        <v>63.94</v>
      </c>
      <c r="AV727">
        <f>$H$727*$AB$727</f>
        <v>63.94</v>
      </c>
      <c r="AW727">
        <f>$H$727*$AC$727</f>
        <v>63.94</v>
      </c>
      <c r="AX727">
        <f>$H$727*$AD$727</f>
        <v>63.94</v>
      </c>
      <c r="AY727">
        <f>$H$727*$AE$727</f>
        <v>63.94</v>
      </c>
      <c r="AZ727">
        <f>$H$727*$AF$727</f>
        <v>63.94</v>
      </c>
    </row>
    <row r="728" spans="1:52" x14ac:dyDescent="0.25">
      <c r="A728">
        <v>796</v>
      </c>
      <c r="B728" t="s">
        <v>282</v>
      </c>
      <c r="C728" t="s">
        <v>472</v>
      </c>
      <c r="D728">
        <v>6</v>
      </c>
      <c r="E728">
        <v>64.56</v>
      </c>
      <c r="F728" t="s">
        <v>329</v>
      </c>
      <c r="G728">
        <v>10.76</v>
      </c>
      <c r="H728">
        <v>77.48</v>
      </c>
      <c r="I728" t="s">
        <v>333</v>
      </c>
      <c r="J728" t="s">
        <v>473</v>
      </c>
      <c r="K728" t="s">
        <v>670</v>
      </c>
      <c r="L728" t="s">
        <v>179</v>
      </c>
      <c r="M728" t="s">
        <v>282</v>
      </c>
      <c r="N728" t="s">
        <v>12</v>
      </c>
      <c r="O728" t="s">
        <v>4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1</v>
      </c>
      <c r="AA728">
        <v>1</v>
      </c>
      <c r="AB728">
        <v>1</v>
      </c>
      <c r="AC728">
        <v>1</v>
      </c>
      <c r="AD728">
        <v>1</v>
      </c>
      <c r="AE728">
        <v>1</v>
      </c>
      <c r="AF728">
        <v>1</v>
      </c>
      <c r="AG728" t="s">
        <v>282</v>
      </c>
      <c r="AH728" t="s">
        <v>12</v>
      </c>
      <c r="AI728" t="s">
        <v>4</v>
      </c>
      <c r="AJ728">
        <f>$H$728*$P$728</f>
        <v>0</v>
      </c>
      <c r="AK728">
        <f>$H$728*$Q$728</f>
        <v>0</v>
      </c>
      <c r="AL728">
        <f>$H$728*$R$728</f>
        <v>0</v>
      </c>
      <c r="AM728">
        <f>$H$728*$S$728</f>
        <v>0</v>
      </c>
      <c r="AN728">
        <f>$H$728*$T$728</f>
        <v>0</v>
      </c>
      <c r="AO728">
        <f>$H$728*$U$728</f>
        <v>0</v>
      </c>
      <c r="AP728">
        <f>$H$728*$V$728</f>
        <v>0</v>
      </c>
      <c r="AQ728">
        <f>$H$728*$W$728</f>
        <v>0</v>
      </c>
      <c r="AR728">
        <f>$H$728*$X$728</f>
        <v>0</v>
      </c>
      <c r="AS728">
        <f>$H$728*$Y$728</f>
        <v>0</v>
      </c>
      <c r="AT728">
        <f>$H$728*$Z$728</f>
        <v>77.48</v>
      </c>
      <c r="AU728">
        <f>$H$728*$AA$728</f>
        <v>77.48</v>
      </c>
      <c r="AV728">
        <f>$H$728*$AB$728</f>
        <v>77.48</v>
      </c>
      <c r="AW728">
        <f>$H$728*$AC$728</f>
        <v>77.48</v>
      </c>
      <c r="AX728">
        <f>$H$728*$AD$728</f>
        <v>77.48</v>
      </c>
      <c r="AY728">
        <f>$H$728*$AE$728</f>
        <v>77.48</v>
      </c>
      <c r="AZ728">
        <f>$H$728*$AF$728</f>
        <v>77.48</v>
      </c>
    </row>
    <row r="729" spans="1:52" x14ac:dyDescent="0.25">
      <c r="A729">
        <v>797</v>
      </c>
      <c r="B729" t="s">
        <v>282</v>
      </c>
      <c r="C729" t="s">
        <v>360</v>
      </c>
      <c r="D729">
        <v>6</v>
      </c>
      <c r="E729">
        <v>69.3</v>
      </c>
      <c r="F729" t="s">
        <v>329</v>
      </c>
      <c r="G729">
        <v>11.55</v>
      </c>
      <c r="H729">
        <v>83.16</v>
      </c>
      <c r="I729" t="s">
        <v>333</v>
      </c>
      <c r="J729" t="s">
        <v>361</v>
      </c>
      <c r="K729" t="s">
        <v>616</v>
      </c>
      <c r="L729" t="s">
        <v>179</v>
      </c>
      <c r="M729" t="s">
        <v>282</v>
      </c>
      <c r="N729" t="s">
        <v>12</v>
      </c>
      <c r="O729" t="s">
        <v>4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1</v>
      </c>
      <c r="AB729">
        <v>1</v>
      </c>
      <c r="AC729">
        <v>1</v>
      </c>
      <c r="AD729">
        <v>1</v>
      </c>
      <c r="AE729">
        <v>1</v>
      </c>
      <c r="AF729">
        <v>1</v>
      </c>
      <c r="AG729" t="s">
        <v>282</v>
      </c>
      <c r="AH729" t="s">
        <v>12</v>
      </c>
      <c r="AI729" t="s">
        <v>4</v>
      </c>
      <c r="AJ729">
        <f>$H$729*$P$729</f>
        <v>0</v>
      </c>
      <c r="AK729">
        <f>$H$729*$Q$729</f>
        <v>0</v>
      </c>
      <c r="AL729">
        <f>$H$729*$R$729</f>
        <v>0</v>
      </c>
      <c r="AM729">
        <f>$H$729*$S$729</f>
        <v>0</v>
      </c>
      <c r="AN729">
        <f>$H$729*$T$729</f>
        <v>0</v>
      </c>
      <c r="AO729">
        <f>$H$729*$U$729</f>
        <v>0</v>
      </c>
      <c r="AP729">
        <f>$H$729*$V$729</f>
        <v>0</v>
      </c>
      <c r="AQ729">
        <f>$H$729*$W$729</f>
        <v>0</v>
      </c>
      <c r="AR729">
        <f>$H$729*$X$729</f>
        <v>0</v>
      </c>
      <c r="AS729">
        <f>$H$729*$Y$729</f>
        <v>0</v>
      </c>
      <c r="AT729">
        <f>$H$729*$Z$729</f>
        <v>0</v>
      </c>
      <c r="AU729">
        <f>$H$729*$AA$729</f>
        <v>83.16</v>
      </c>
      <c r="AV729">
        <f>$H$729*$AB$729</f>
        <v>83.16</v>
      </c>
      <c r="AW729">
        <f>$H$729*$AC$729</f>
        <v>83.16</v>
      </c>
      <c r="AX729">
        <f>$H$729*$AD$729</f>
        <v>83.16</v>
      </c>
      <c r="AY729">
        <f>$H$729*$AE$729</f>
        <v>83.16</v>
      </c>
      <c r="AZ729">
        <f>$H$729*$AF$729</f>
        <v>83.16</v>
      </c>
    </row>
    <row r="730" spans="1:52" x14ac:dyDescent="0.25">
      <c r="A730">
        <v>798</v>
      </c>
      <c r="B730" t="s">
        <v>282</v>
      </c>
      <c r="C730" t="s">
        <v>431</v>
      </c>
      <c r="D730">
        <v>6</v>
      </c>
      <c r="E730">
        <v>28.5</v>
      </c>
      <c r="F730" t="s">
        <v>329</v>
      </c>
      <c r="G730">
        <v>4.75</v>
      </c>
      <c r="H730">
        <v>34.200000000000003</v>
      </c>
      <c r="I730" t="s">
        <v>333</v>
      </c>
      <c r="J730" t="s">
        <v>432</v>
      </c>
      <c r="K730" t="s">
        <v>650</v>
      </c>
      <c r="L730" t="s">
        <v>179</v>
      </c>
      <c r="M730" t="s">
        <v>282</v>
      </c>
      <c r="N730" t="s">
        <v>12</v>
      </c>
      <c r="O730" t="s">
        <v>4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1</v>
      </c>
      <c r="AD730">
        <v>1</v>
      </c>
      <c r="AE730">
        <v>1</v>
      </c>
      <c r="AF730">
        <v>1</v>
      </c>
      <c r="AG730" t="s">
        <v>282</v>
      </c>
      <c r="AH730" t="s">
        <v>12</v>
      </c>
      <c r="AI730" t="s">
        <v>4</v>
      </c>
      <c r="AJ730">
        <f>$H$730*$P$730</f>
        <v>0</v>
      </c>
      <c r="AK730">
        <f>$H$730*$Q$730</f>
        <v>0</v>
      </c>
      <c r="AL730">
        <f>$H$730*$R$730</f>
        <v>0</v>
      </c>
      <c r="AM730">
        <f>$H$730*$S$730</f>
        <v>0</v>
      </c>
      <c r="AN730">
        <f>$H$730*$T$730</f>
        <v>0</v>
      </c>
      <c r="AO730">
        <f>$H$730*$U$730</f>
        <v>0</v>
      </c>
      <c r="AP730">
        <f>$H$730*$V$730</f>
        <v>0</v>
      </c>
      <c r="AQ730">
        <f>$H$730*$W$730</f>
        <v>0</v>
      </c>
      <c r="AR730">
        <f>$H$730*$X$730</f>
        <v>0</v>
      </c>
      <c r="AS730">
        <f>$H$730*$Y$730</f>
        <v>0</v>
      </c>
      <c r="AT730">
        <f>$H$730*$Z$730</f>
        <v>0</v>
      </c>
      <c r="AU730">
        <f>$H$730*$AA$730</f>
        <v>0</v>
      </c>
      <c r="AV730">
        <f>$H$730*$AB$730</f>
        <v>0</v>
      </c>
      <c r="AW730">
        <f>$H$730*$AC$730</f>
        <v>34.200000000000003</v>
      </c>
      <c r="AX730">
        <f>$H$730*$AD$730</f>
        <v>34.200000000000003</v>
      </c>
      <c r="AY730">
        <f>$H$730*$AE$730</f>
        <v>34.200000000000003</v>
      </c>
      <c r="AZ730">
        <f>$H$730*$AF$730</f>
        <v>34.200000000000003</v>
      </c>
    </row>
    <row r="731" spans="1:52" x14ac:dyDescent="0.25">
      <c r="A731">
        <v>799</v>
      </c>
      <c r="B731" t="s">
        <v>282</v>
      </c>
      <c r="C731" t="s">
        <v>435</v>
      </c>
      <c r="D731">
        <v>8</v>
      </c>
      <c r="E731">
        <v>106.16</v>
      </c>
      <c r="F731" t="s">
        <v>335</v>
      </c>
      <c r="G731">
        <v>13.27</v>
      </c>
      <c r="H731">
        <v>127.4</v>
      </c>
      <c r="I731" t="s">
        <v>337</v>
      </c>
      <c r="J731" t="s">
        <v>436</v>
      </c>
      <c r="K731" t="s">
        <v>652</v>
      </c>
      <c r="L731" t="s">
        <v>179</v>
      </c>
      <c r="M731" t="s">
        <v>282</v>
      </c>
      <c r="N731" t="s">
        <v>12</v>
      </c>
      <c r="O731" t="s">
        <v>4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1</v>
      </c>
      <c r="Y731">
        <v>1</v>
      </c>
      <c r="Z731">
        <v>1</v>
      </c>
      <c r="AA731">
        <v>1</v>
      </c>
      <c r="AB731">
        <v>1</v>
      </c>
      <c r="AC731">
        <v>1</v>
      </c>
      <c r="AD731">
        <v>1</v>
      </c>
      <c r="AE731">
        <v>1</v>
      </c>
      <c r="AF731">
        <v>1</v>
      </c>
      <c r="AG731" t="s">
        <v>282</v>
      </c>
      <c r="AH731" t="s">
        <v>12</v>
      </c>
      <c r="AI731" t="s">
        <v>4</v>
      </c>
      <c r="AJ731">
        <f>$H$731*$P$731</f>
        <v>0</v>
      </c>
      <c r="AK731">
        <f>$H$731*$Q$731</f>
        <v>0</v>
      </c>
      <c r="AL731">
        <f>$H$731*$R$731</f>
        <v>0</v>
      </c>
      <c r="AM731">
        <f>$H$731*$S$731</f>
        <v>0</v>
      </c>
      <c r="AN731">
        <f>$H$731*$T$731</f>
        <v>0</v>
      </c>
      <c r="AO731">
        <f>$H$731*$U$731</f>
        <v>0</v>
      </c>
      <c r="AP731">
        <f>$H$731*$V$731</f>
        <v>0</v>
      </c>
      <c r="AQ731">
        <f>$H$731*$W$731</f>
        <v>0</v>
      </c>
      <c r="AR731">
        <f>$H$731*$X$731</f>
        <v>127.4</v>
      </c>
      <c r="AS731">
        <f>$H$731*$Y$731</f>
        <v>127.4</v>
      </c>
      <c r="AT731">
        <f>$H$731*$Z$731</f>
        <v>127.4</v>
      </c>
      <c r="AU731">
        <f>$H$731*$AA$731</f>
        <v>127.4</v>
      </c>
      <c r="AV731">
        <f>$H$731*$AB$731</f>
        <v>127.4</v>
      </c>
      <c r="AW731">
        <f>$H$731*$AC$731</f>
        <v>127.4</v>
      </c>
      <c r="AX731">
        <f>$H$731*$AD$731</f>
        <v>127.4</v>
      </c>
      <c r="AY731">
        <f>$H$731*$AE$731</f>
        <v>127.4</v>
      </c>
      <c r="AZ731">
        <f>$H$731*$AF$731</f>
        <v>127.4</v>
      </c>
    </row>
    <row r="732" spans="1:52" x14ac:dyDescent="0.25">
      <c r="A732">
        <v>800</v>
      </c>
      <c r="B732" t="s">
        <v>282</v>
      </c>
      <c r="C732" t="s">
        <v>437</v>
      </c>
      <c r="D732">
        <v>1</v>
      </c>
      <c r="E732">
        <v>98.82</v>
      </c>
      <c r="F732" t="s">
        <v>335</v>
      </c>
      <c r="G732">
        <v>98.82</v>
      </c>
      <c r="H732">
        <v>118.58</v>
      </c>
      <c r="I732" t="s">
        <v>340</v>
      </c>
      <c r="J732" t="s">
        <v>372</v>
      </c>
      <c r="K732" t="s">
        <v>653</v>
      </c>
      <c r="L732" t="s">
        <v>179</v>
      </c>
      <c r="M732" t="s">
        <v>282</v>
      </c>
      <c r="N732" t="s">
        <v>12</v>
      </c>
      <c r="O732" t="s">
        <v>4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1</v>
      </c>
      <c r="AE732">
        <v>1</v>
      </c>
      <c r="AF732">
        <v>1</v>
      </c>
      <c r="AG732" t="s">
        <v>282</v>
      </c>
      <c r="AH732" t="s">
        <v>12</v>
      </c>
      <c r="AI732" t="s">
        <v>4</v>
      </c>
      <c r="AJ732">
        <f>$H$732*$P$732</f>
        <v>0</v>
      </c>
      <c r="AK732">
        <f>$H$732*$Q$732</f>
        <v>0</v>
      </c>
      <c r="AL732">
        <f>$H$732*$R$732</f>
        <v>0</v>
      </c>
      <c r="AM732">
        <f>$H$732*$S$732</f>
        <v>0</v>
      </c>
      <c r="AN732">
        <f>$H$732*$T$732</f>
        <v>0</v>
      </c>
      <c r="AO732">
        <f>$H$732*$U$732</f>
        <v>0</v>
      </c>
      <c r="AP732">
        <f>$H$732*$V$732</f>
        <v>0</v>
      </c>
      <c r="AQ732">
        <f>$H$732*$W$732</f>
        <v>0</v>
      </c>
      <c r="AR732">
        <f>$H$732*$X$732</f>
        <v>0</v>
      </c>
      <c r="AS732">
        <f>$H$732*$Y$732</f>
        <v>0</v>
      </c>
      <c r="AT732">
        <f>$H$732*$Z$732</f>
        <v>0</v>
      </c>
      <c r="AU732">
        <f>$H$732*$AA$732</f>
        <v>0</v>
      </c>
      <c r="AV732">
        <f>$H$732*$AB$732</f>
        <v>0</v>
      </c>
      <c r="AW732">
        <f>$H$732*$AC$732</f>
        <v>0</v>
      </c>
      <c r="AX732">
        <f>$H$732*$AD$732</f>
        <v>118.58</v>
      </c>
      <c r="AY732">
        <f>$H$732*$AE$732</f>
        <v>118.58</v>
      </c>
      <c r="AZ732">
        <f>$H$732*$AF$732</f>
        <v>118.58</v>
      </c>
    </row>
    <row r="733" spans="1:52" x14ac:dyDescent="0.25">
      <c r="A733">
        <v>801</v>
      </c>
      <c r="B733" t="s">
        <v>282</v>
      </c>
      <c r="C733" t="s">
        <v>367</v>
      </c>
      <c r="D733">
        <v>1</v>
      </c>
      <c r="E733">
        <v>62.41</v>
      </c>
      <c r="F733" t="s">
        <v>335</v>
      </c>
      <c r="G733">
        <v>62.41</v>
      </c>
      <c r="H733">
        <v>74.89</v>
      </c>
      <c r="I733" t="s">
        <v>368</v>
      </c>
      <c r="J733" t="s">
        <v>369</v>
      </c>
      <c r="K733" t="s">
        <v>619</v>
      </c>
      <c r="L733" t="s">
        <v>179</v>
      </c>
      <c r="M733" t="s">
        <v>282</v>
      </c>
      <c r="N733" t="s">
        <v>12</v>
      </c>
      <c r="O733" t="s">
        <v>4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1</v>
      </c>
      <c r="AB733">
        <v>1</v>
      </c>
      <c r="AC733">
        <v>1</v>
      </c>
      <c r="AD733">
        <v>1</v>
      </c>
      <c r="AE733">
        <v>1</v>
      </c>
      <c r="AF733">
        <v>1</v>
      </c>
      <c r="AG733" t="s">
        <v>282</v>
      </c>
      <c r="AH733" t="s">
        <v>12</v>
      </c>
      <c r="AI733" t="s">
        <v>4</v>
      </c>
      <c r="AJ733">
        <f>$H$733*$P$733</f>
        <v>0</v>
      </c>
      <c r="AK733">
        <f>$H$733*$Q$733</f>
        <v>0</v>
      </c>
      <c r="AL733">
        <f>$H$733*$R$733</f>
        <v>0</v>
      </c>
      <c r="AM733">
        <f>$H$733*$S$733</f>
        <v>0</v>
      </c>
      <c r="AN733">
        <f>$H$733*$T$733</f>
        <v>0</v>
      </c>
      <c r="AO733">
        <f>$H$733*$U$733</f>
        <v>0</v>
      </c>
      <c r="AP733">
        <f>$H$733*$V$733</f>
        <v>0</v>
      </c>
      <c r="AQ733">
        <f>$H$733*$W$733</f>
        <v>0</v>
      </c>
      <c r="AR733">
        <f>$H$733*$X$733</f>
        <v>0</v>
      </c>
      <c r="AS733">
        <f>$H$733*$Y$733</f>
        <v>0</v>
      </c>
      <c r="AT733">
        <f>$H$733*$Z$733</f>
        <v>0</v>
      </c>
      <c r="AU733">
        <f>$H$733*$AA$733</f>
        <v>74.89</v>
      </c>
      <c r="AV733">
        <f>$H$733*$AB$733</f>
        <v>74.89</v>
      </c>
      <c r="AW733">
        <f>$H$733*$AC$733</f>
        <v>74.89</v>
      </c>
      <c r="AX733">
        <f>$H$733*$AD$733</f>
        <v>74.89</v>
      </c>
      <c r="AY733">
        <f>$H$733*$AE$733</f>
        <v>74.89</v>
      </c>
      <c r="AZ733">
        <f>$H$733*$AF$733</f>
        <v>74.89</v>
      </c>
    </row>
    <row r="734" spans="1:52" x14ac:dyDescent="0.25">
      <c r="A734">
        <v>802</v>
      </c>
      <c r="B734" t="s">
        <v>282</v>
      </c>
      <c r="C734" t="s">
        <v>531</v>
      </c>
      <c r="D734">
        <v>2</v>
      </c>
      <c r="E734">
        <v>110.04</v>
      </c>
      <c r="F734" t="s">
        <v>335</v>
      </c>
      <c r="G734">
        <v>55.02</v>
      </c>
      <c r="H734">
        <v>132.04</v>
      </c>
      <c r="I734" t="s">
        <v>330</v>
      </c>
      <c r="J734" t="s">
        <v>532</v>
      </c>
      <c r="K734" t="s">
        <v>698</v>
      </c>
      <c r="L734" t="s">
        <v>179</v>
      </c>
      <c r="M734" t="s">
        <v>282</v>
      </c>
      <c r="N734" t="s">
        <v>12</v>
      </c>
      <c r="O734" t="s">
        <v>4</v>
      </c>
      <c r="P734">
        <v>0</v>
      </c>
      <c r="Q734">
        <v>0</v>
      </c>
      <c r="R734">
        <v>0</v>
      </c>
      <c r="S734">
        <v>1</v>
      </c>
      <c r="T734">
        <v>1</v>
      </c>
      <c r="U734">
        <v>1</v>
      </c>
      <c r="V734">
        <v>1</v>
      </c>
      <c r="W734">
        <v>1</v>
      </c>
      <c r="X734">
        <v>1</v>
      </c>
      <c r="Y734">
        <v>1</v>
      </c>
      <c r="Z734">
        <v>1</v>
      </c>
      <c r="AA734">
        <v>1</v>
      </c>
      <c r="AB734">
        <v>1</v>
      </c>
      <c r="AC734">
        <v>1</v>
      </c>
      <c r="AD734">
        <v>1</v>
      </c>
      <c r="AE734">
        <v>1</v>
      </c>
      <c r="AF734">
        <v>1</v>
      </c>
      <c r="AG734" t="s">
        <v>282</v>
      </c>
      <c r="AH734" t="s">
        <v>12</v>
      </c>
      <c r="AI734" t="s">
        <v>4</v>
      </c>
      <c r="AJ734">
        <f>$H$734*$P$734</f>
        <v>0</v>
      </c>
      <c r="AK734">
        <f>$H$734*$Q$734</f>
        <v>0</v>
      </c>
      <c r="AL734">
        <f>$H$734*$R$734</f>
        <v>0</v>
      </c>
      <c r="AM734">
        <f>$H$734*$S$734</f>
        <v>132.04</v>
      </c>
      <c r="AN734">
        <f>$H$734*$T$734</f>
        <v>132.04</v>
      </c>
      <c r="AO734">
        <f>$H$734*$U$734</f>
        <v>132.04</v>
      </c>
      <c r="AP734">
        <f>$H$734*$V$734</f>
        <v>132.04</v>
      </c>
      <c r="AQ734">
        <f>$H$734*$W$734</f>
        <v>132.04</v>
      </c>
      <c r="AR734">
        <f>$H$734*$X$734</f>
        <v>132.04</v>
      </c>
      <c r="AS734">
        <f>$H$734*$Y$734</f>
        <v>132.04</v>
      </c>
      <c r="AT734">
        <f>$H$734*$Z$734</f>
        <v>132.04</v>
      </c>
      <c r="AU734">
        <f>$H$734*$AA$734</f>
        <v>132.04</v>
      </c>
      <c r="AV734">
        <f>$H$734*$AB$734</f>
        <v>132.04</v>
      </c>
      <c r="AW734">
        <f>$H$734*$AC$734</f>
        <v>132.04</v>
      </c>
      <c r="AX734">
        <f>$H$734*$AD$734</f>
        <v>132.04</v>
      </c>
      <c r="AY734">
        <f>$H$734*$AE$734</f>
        <v>132.04</v>
      </c>
      <c r="AZ734">
        <f>$H$734*$AF$734</f>
        <v>132.04</v>
      </c>
    </row>
    <row r="735" spans="1:52" x14ac:dyDescent="0.25">
      <c r="A735">
        <v>803</v>
      </c>
      <c r="B735" t="s">
        <v>282</v>
      </c>
      <c r="C735" t="s">
        <v>533</v>
      </c>
      <c r="D735">
        <v>1</v>
      </c>
      <c r="E735">
        <v>434.33</v>
      </c>
      <c r="F735" t="s">
        <v>335</v>
      </c>
      <c r="G735">
        <v>434.33</v>
      </c>
      <c r="H735">
        <v>521.19000000000005</v>
      </c>
      <c r="I735" t="s">
        <v>371</v>
      </c>
      <c r="J735" t="s">
        <v>534</v>
      </c>
      <c r="K735" t="s">
        <v>699</v>
      </c>
      <c r="L735" t="s">
        <v>179</v>
      </c>
      <c r="M735" t="s">
        <v>282</v>
      </c>
      <c r="N735" t="s">
        <v>12</v>
      </c>
      <c r="O735" t="s">
        <v>4</v>
      </c>
      <c r="P735">
        <v>0</v>
      </c>
      <c r="Q735">
        <v>0</v>
      </c>
      <c r="R735">
        <v>0</v>
      </c>
      <c r="S735">
        <v>0</v>
      </c>
      <c r="T735">
        <v>1</v>
      </c>
      <c r="U735">
        <v>1</v>
      </c>
      <c r="V735">
        <v>1</v>
      </c>
      <c r="W735">
        <v>1</v>
      </c>
      <c r="X735">
        <v>1</v>
      </c>
      <c r="Y735">
        <v>1</v>
      </c>
      <c r="Z735">
        <v>1</v>
      </c>
      <c r="AA735">
        <v>1</v>
      </c>
      <c r="AB735">
        <v>1</v>
      </c>
      <c r="AC735">
        <v>1</v>
      </c>
      <c r="AD735">
        <v>1</v>
      </c>
      <c r="AE735">
        <v>1</v>
      </c>
      <c r="AF735">
        <v>1</v>
      </c>
      <c r="AG735" t="s">
        <v>282</v>
      </c>
      <c r="AH735" t="s">
        <v>12</v>
      </c>
      <c r="AI735" t="s">
        <v>4</v>
      </c>
      <c r="AJ735">
        <f>$H$735*$P$735</f>
        <v>0</v>
      </c>
      <c r="AK735">
        <f>$H$735*$Q$735</f>
        <v>0</v>
      </c>
      <c r="AL735">
        <f>$H$735*$R$735</f>
        <v>0</v>
      </c>
      <c r="AM735">
        <f>$H$735*$S$735</f>
        <v>0</v>
      </c>
      <c r="AN735">
        <f>$H$735*$T$735</f>
        <v>521.19000000000005</v>
      </c>
      <c r="AO735">
        <f>$H$735*$U$735</f>
        <v>521.19000000000005</v>
      </c>
      <c r="AP735">
        <f>$H$735*$V$735</f>
        <v>521.19000000000005</v>
      </c>
      <c r="AQ735">
        <f>$H$735*$W$735</f>
        <v>521.19000000000005</v>
      </c>
      <c r="AR735">
        <f>$H$735*$X$735</f>
        <v>521.19000000000005</v>
      </c>
      <c r="AS735">
        <f>$H$735*$Y$735</f>
        <v>521.19000000000005</v>
      </c>
      <c r="AT735">
        <f>$H$735*$Z$735</f>
        <v>521.19000000000005</v>
      </c>
      <c r="AU735">
        <f>$H$735*$AA$735</f>
        <v>521.19000000000005</v>
      </c>
      <c r="AV735">
        <f>$H$735*$AB$735</f>
        <v>521.19000000000005</v>
      </c>
      <c r="AW735">
        <f>$H$735*$AC$735</f>
        <v>521.19000000000005</v>
      </c>
      <c r="AX735">
        <f>$H$735*$AD$735</f>
        <v>521.19000000000005</v>
      </c>
      <c r="AY735">
        <f>$H$735*$AE$735</f>
        <v>521.19000000000005</v>
      </c>
      <c r="AZ735">
        <f>$H$735*$AF$735</f>
        <v>521.19000000000005</v>
      </c>
    </row>
    <row r="736" spans="1:52" x14ac:dyDescent="0.25">
      <c r="A736">
        <v>804</v>
      </c>
      <c r="B736" t="s">
        <v>282</v>
      </c>
      <c r="C736" t="s">
        <v>375</v>
      </c>
      <c r="D736">
        <v>2</v>
      </c>
      <c r="E736">
        <v>77.86</v>
      </c>
      <c r="F736" t="s">
        <v>335</v>
      </c>
      <c r="G736">
        <v>38.93</v>
      </c>
      <c r="H736">
        <v>93.44</v>
      </c>
      <c r="I736" t="s">
        <v>330</v>
      </c>
      <c r="J736" t="s">
        <v>371</v>
      </c>
      <c r="K736" t="s">
        <v>622</v>
      </c>
      <c r="L736" t="s">
        <v>179</v>
      </c>
      <c r="M736" t="s">
        <v>282</v>
      </c>
      <c r="N736" t="s">
        <v>12</v>
      </c>
      <c r="O736" t="s">
        <v>4</v>
      </c>
      <c r="P736">
        <v>0</v>
      </c>
      <c r="Q736">
        <v>0</v>
      </c>
      <c r="R736">
        <v>0</v>
      </c>
      <c r="S736">
        <v>1</v>
      </c>
      <c r="T736">
        <v>1</v>
      </c>
      <c r="U736">
        <v>1</v>
      </c>
      <c r="V736">
        <v>1</v>
      </c>
      <c r="W736">
        <v>1</v>
      </c>
      <c r="X736">
        <v>1</v>
      </c>
      <c r="Y736">
        <v>1</v>
      </c>
      <c r="Z736">
        <v>1</v>
      </c>
      <c r="AA736">
        <v>1</v>
      </c>
      <c r="AB736">
        <v>1</v>
      </c>
      <c r="AC736">
        <v>1</v>
      </c>
      <c r="AD736">
        <v>1</v>
      </c>
      <c r="AE736">
        <v>1</v>
      </c>
      <c r="AF736">
        <v>1</v>
      </c>
      <c r="AG736" t="s">
        <v>282</v>
      </c>
      <c r="AH736" t="s">
        <v>12</v>
      </c>
      <c r="AI736" t="s">
        <v>4</v>
      </c>
      <c r="AJ736">
        <f>$H$736*$P$736</f>
        <v>0</v>
      </c>
      <c r="AK736">
        <f>$H$736*$Q$736</f>
        <v>0</v>
      </c>
      <c r="AL736">
        <f>$H$736*$R$736</f>
        <v>0</v>
      </c>
      <c r="AM736">
        <f>$H$736*$S$736</f>
        <v>93.44</v>
      </c>
      <c r="AN736">
        <f>$H$736*$T$736</f>
        <v>93.44</v>
      </c>
      <c r="AO736">
        <f>$H$736*$U$736</f>
        <v>93.44</v>
      </c>
      <c r="AP736">
        <f>$H$736*$V$736</f>
        <v>93.44</v>
      </c>
      <c r="AQ736">
        <f>$H$736*$W$736</f>
        <v>93.44</v>
      </c>
      <c r="AR736">
        <f>$H$736*$X$736</f>
        <v>93.44</v>
      </c>
      <c r="AS736">
        <f>$H$736*$Y$736</f>
        <v>93.44</v>
      </c>
      <c r="AT736">
        <f>$H$736*$Z$736</f>
        <v>93.44</v>
      </c>
      <c r="AU736">
        <f>$H$736*$AA$736</f>
        <v>93.44</v>
      </c>
      <c r="AV736">
        <f>$H$736*$AB$736</f>
        <v>93.44</v>
      </c>
      <c r="AW736">
        <f>$H$736*$AC$736</f>
        <v>93.44</v>
      </c>
      <c r="AX736">
        <f>$H$736*$AD$736</f>
        <v>93.44</v>
      </c>
      <c r="AY736">
        <f>$H$736*$AE$736</f>
        <v>93.44</v>
      </c>
      <c r="AZ736">
        <f>$H$736*$AF$736</f>
        <v>93.44</v>
      </c>
    </row>
    <row r="737" spans="1:52" x14ac:dyDescent="0.25">
      <c r="A737">
        <v>805</v>
      </c>
      <c r="B737" t="s">
        <v>282</v>
      </c>
      <c r="C737" t="s">
        <v>373</v>
      </c>
      <c r="D737">
        <v>2</v>
      </c>
      <c r="E737">
        <v>62.72</v>
      </c>
      <c r="F737" t="s">
        <v>335</v>
      </c>
      <c r="G737">
        <v>31.36</v>
      </c>
      <c r="H737">
        <v>75.260000000000005</v>
      </c>
      <c r="I737" t="s">
        <v>330</v>
      </c>
      <c r="J737" t="s">
        <v>374</v>
      </c>
      <c r="K737" t="s">
        <v>621</v>
      </c>
      <c r="L737" t="s">
        <v>179</v>
      </c>
      <c r="M737" t="s">
        <v>282</v>
      </c>
      <c r="N737" t="s">
        <v>12</v>
      </c>
      <c r="O737" t="s">
        <v>4</v>
      </c>
      <c r="P737">
        <v>0</v>
      </c>
      <c r="Q737">
        <v>0</v>
      </c>
      <c r="R737">
        <v>0</v>
      </c>
      <c r="S737">
        <v>1</v>
      </c>
      <c r="T737">
        <v>1</v>
      </c>
      <c r="U737">
        <v>1</v>
      </c>
      <c r="V737">
        <v>1</v>
      </c>
      <c r="W737">
        <v>1</v>
      </c>
      <c r="X737">
        <v>1</v>
      </c>
      <c r="Y737">
        <v>1</v>
      </c>
      <c r="Z737">
        <v>1</v>
      </c>
      <c r="AA737">
        <v>1</v>
      </c>
      <c r="AB737">
        <v>1</v>
      </c>
      <c r="AC737">
        <v>1</v>
      </c>
      <c r="AD737">
        <v>1</v>
      </c>
      <c r="AE737">
        <v>1</v>
      </c>
      <c r="AF737">
        <v>1</v>
      </c>
      <c r="AG737" t="s">
        <v>282</v>
      </c>
      <c r="AH737" t="s">
        <v>12</v>
      </c>
      <c r="AI737" t="s">
        <v>4</v>
      </c>
      <c r="AJ737">
        <f>$H$737*$P$737</f>
        <v>0</v>
      </c>
      <c r="AK737">
        <f>$H$737*$Q$737</f>
        <v>0</v>
      </c>
      <c r="AL737">
        <f>$H$737*$R$737</f>
        <v>0</v>
      </c>
      <c r="AM737">
        <f>$H$737*$S$737</f>
        <v>75.260000000000005</v>
      </c>
      <c r="AN737">
        <f>$H$737*$T$737</f>
        <v>75.260000000000005</v>
      </c>
      <c r="AO737">
        <f>$H$737*$U$737</f>
        <v>75.260000000000005</v>
      </c>
      <c r="AP737">
        <f>$H$737*$V$737</f>
        <v>75.260000000000005</v>
      </c>
      <c r="AQ737">
        <f>$H$737*$W$737</f>
        <v>75.260000000000005</v>
      </c>
      <c r="AR737">
        <f>$H$737*$X$737</f>
        <v>75.260000000000005</v>
      </c>
      <c r="AS737">
        <f>$H$737*$Y$737</f>
        <v>75.260000000000005</v>
      </c>
      <c r="AT737">
        <f>$H$737*$Z$737</f>
        <v>75.260000000000005</v>
      </c>
      <c r="AU737">
        <f>$H$737*$AA$737</f>
        <v>75.260000000000005</v>
      </c>
      <c r="AV737">
        <f>$H$737*$AB$737</f>
        <v>75.260000000000005</v>
      </c>
      <c r="AW737">
        <f>$H$737*$AC$737</f>
        <v>75.260000000000005</v>
      </c>
      <c r="AX737">
        <f>$H$737*$AD$737</f>
        <v>75.260000000000005</v>
      </c>
      <c r="AY737">
        <f>$H$737*$AE$737</f>
        <v>75.260000000000005</v>
      </c>
      <c r="AZ737">
        <f>$H$737*$AF$737</f>
        <v>75.260000000000005</v>
      </c>
    </row>
    <row r="738" spans="1:52" x14ac:dyDescent="0.25">
      <c r="A738">
        <v>806</v>
      </c>
      <c r="B738" t="s">
        <v>282</v>
      </c>
      <c r="C738" t="s">
        <v>370</v>
      </c>
      <c r="D738">
        <v>1</v>
      </c>
      <c r="E738">
        <v>366.18</v>
      </c>
      <c r="F738" t="s">
        <v>335</v>
      </c>
      <c r="G738">
        <v>366.18</v>
      </c>
      <c r="H738">
        <v>439.42</v>
      </c>
      <c r="I738" t="s">
        <v>371</v>
      </c>
      <c r="J738" t="s">
        <v>372</v>
      </c>
      <c r="K738" t="s">
        <v>620</v>
      </c>
      <c r="L738" t="s">
        <v>179</v>
      </c>
      <c r="M738" t="s">
        <v>282</v>
      </c>
      <c r="N738" t="s">
        <v>12</v>
      </c>
      <c r="O738" t="s">
        <v>4</v>
      </c>
      <c r="P738">
        <v>0</v>
      </c>
      <c r="Q738">
        <v>0</v>
      </c>
      <c r="R738">
        <v>0</v>
      </c>
      <c r="S738">
        <v>0</v>
      </c>
      <c r="T738">
        <v>1</v>
      </c>
      <c r="U738">
        <v>1</v>
      </c>
      <c r="V738">
        <v>1</v>
      </c>
      <c r="W738">
        <v>1</v>
      </c>
      <c r="X738">
        <v>1</v>
      </c>
      <c r="Y738">
        <v>1</v>
      </c>
      <c r="Z738">
        <v>1</v>
      </c>
      <c r="AA738">
        <v>1</v>
      </c>
      <c r="AB738">
        <v>1</v>
      </c>
      <c r="AC738">
        <v>1</v>
      </c>
      <c r="AD738">
        <v>1</v>
      </c>
      <c r="AE738">
        <v>1</v>
      </c>
      <c r="AF738">
        <v>1</v>
      </c>
      <c r="AG738" t="s">
        <v>282</v>
      </c>
      <c r="AH738" t="s">
        <v>12</v>
      </c>
      <c r="AI738" t="s">
        <v>4</v>
      </c>
      <c r="AJ738">
        <f>$H$738*$P$738</f>
        <v>0</v>
      </c>
      <c r="AK738">
        <f>$H$738*$Q$738</f>
        <v>0</v>
      </c>
      <c r="AL738">
        <f>$H$738*$R$738</f>
        <v>0</v>
      </c>
      <c r="AM738">
        <f>$H$738*$S$738</f>
        <v>0</v>
      </c>
      <c r="AN738">
        <f>$H$738*$T$738</f>
        <v>439.42</v>
      </c>
      <c r="AO738">
        <f>$H$738*$U$738</f>
        <v>439.42</v>
      </c>
      <c r="AP738">
        <f>$H$738*$V$738</f>
        <v>439.42</v>
      </c>
      <c r="AQ738">
        <f>$H$738*$W$738</f>
        <v>439.42</v>
      </c>
      <c r="AR738">
        <f>$H$738*$X$738</f>
        <v>439.42</v>
      </c>
      <c r="AS738">
        <f>$H$738*$Y$738</f>
        <v>439.42</v>
      </c>
      <c r="AT738">
        <f>$H$738*$Z$738</f>
        <v>439.42</v>
      </c>
      <c r="AU738">
        <f>$H$738*$AA$738</f>
        <v>439.42</v>
      </c>
      <c r="AV738">
        <f>$H$738*$AB$738</f>
        <v>439.42</v>
      </c>
      <c r="AW738">
        <f>$H$738*$AC$738</f>
        <v>439.42</v>
      </c>
      <c r="AX738">
        <f>$H$738*$AD$738</f>
        <v>439.42</v>
      </c>
      <c r="AY738">
        <f>$H$738*$AE$738</f>
        <v>439.42</v>
      </c>
      <c r="AZ738">
        <f>$H$738*$AF$738</f>
        <v>439.42</v>
      </c>
    </row>
    <row r="739" spans="1:52" x14ac:dyDescent="0.25">
      <c r="A739">
        <v>807</v>
      </c>
      <c r="B739" t="s">
        <v>282</v>
      </c>
      <c r="C739" t="s">
        <v>438</v>
      </c>
      <c r="D739">
        <v>20.47</v>
      </c>
      <c r="E739">
        <v>53.63</v>
      </c>
      <c r="F739" t="s">
        <v>329</v>
      </c>
      <c r="G739">
        <v>2.62</v>
      </c>
      <c r="H739">
        <v>64.349999999999994</v>
      </c>
      <c r="I739" t="s">
        <v>439</v>
      </c>
      <c r="J739" t="s">
        <v>440</v>
      </c>
      <c r="K739" t="s">
        <v>654</v>
      </c>
      <c r="L739" t="s">
        <v>179</v>
      </c>
      <c r="M739" t="s">
        <v>282</v>
      </c>
      <c r="N739" t="s">
        <v>12</v>
      </c>
      <c r="O739" t="s">
        <v>4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1</v>
      </c>
      <c r="AB739">
        <v>1</v>
      </c>
      <c r="AC739">
        <v>1</v>
      </c>
      <c r="AD739">
        <v>1</v>
      </c>
      <c r="AE739">
        <v>1</v>
      </c>
      <c r="AF739">
        <v>1</v>
      </c>
      <c r="AG739" t="s">
        <v>282</v>
      </c>
      <c r="AH739" t="s">
        <v>12</v>
      </c>
      <c r="AI739" t="s">
        <v>4</v>
      </c>
      <c r="AJ739">
        <f>$H$739*$P$739</f>
        <v>0</v>
      </c>
      <c r="AK739">
        <f>$H$739*$Q$739</f>
        <v>0</v>
      </c>
      <c r="AL739">
        <f>$H$739*$R$739</f>
        <v>0</v>
      </c>
      <c r="AM739">
        <f>$H$739*$S$739</f>
        <v>0</v>
      </c>
      <c r="AN739">
        <f>$H$739*$T$739</f>
        <v>0</v>
      </c>
      <c r="AO739">
        <f>$H$739*$U$739</f>
        <v>0</v>
      </c>
      <c r="AP739">
        <f>$H$739*$V$739</f>
        <v>0</v>
      </c>
      <c r="AQ739">
        <f>$H$739*$W$739</f>
        <v>0</v>
      </c>
      <c r="AR739">
        <f>$H$739*$X$739</f>
        <v>0</v>
      </c>
      <c r="AS739">
        <f>$H$739*$Y$739</f>
        <v>0</v>
      </c>
      <c r="AT739">
        <f>$H$739*$Z$739</f>
        <v>0</v>
      </c>
      <c r="AU739">
        <f>$H$739*$AA$739</f>
        <v>64.349999999999994</v>
      </c>
      <c r="AV739">
        <f>$H$739*$AB$739</f>
        <v>64.349999999999994</v>
      </c>
      <c r="AW739">
        <f>$H$739*$AC$739</f>
        <v>64.349999999999994</v>
      </c>
      <c r="AX739">
        <f>$H$739*$AD$739</f>
        <v>64.349999999999994</v>
      </c>
      <c r="AY739">
        <f>$H$739*$AE$739</f>
        <v>64.349999999999994</v>
      </c>
      <c r="AZ739">
        <f>$H$739*$AF$739</f>
        <v>64.349999999999994</v>
      </c>
    </row>
    <row r="740" spans="1:52" x14ac:dyDescent="0.25">
      <c r="A740">
        <v>808</v>
      </c>
      <c r="B740" t="s">
        <v>282</v>
      </c>
      <c r="C740" t="s">
        <v>441</v>
      </c>
      <c r="D740">
        <v>184.2</v>
      </c>
      <c r="E740">
        <v>397.87</v>
      </c>
      <c r="F740" t="s">
        <v>349</v>
      </c>
      <c r="G740">
        <v>2.16</v>
      </c>
      <c r="H740">
        <v>477.45</v>
      </c>
      <c r="I740" t="s">
        <v>439</v>
      </c>
      <c r="J740" t="s">
        <v>442</v>
      </c>
      <c r="K740" t="s">
        <v>655</v>
      </c>
      <c r="L740" t="s">
        <v>179</v>
      </c>
      <c r="M740" t="s">
        <v>282</v>
      </c>
      <c r="N740" t="s">
        <v>12</v>
      </c>
      <c r="O740" t="s">
        <v>4</v>
      </c>
      <c r="P740">
        <v>0</v>
      </c>
      <c r="Q740">
        <v>0</v>
      </c>
      <c r="R740">
        <v>0</v>
      </c>
      <c r="S740">
        <v>1</v>
      </c>
      <c r="T740">
        <v>1</v>
      </c>
      <c r="U740">
        <v>1</v>
      </c>
      <c r="V740">
        <v>1</v>
      </c>
      <c r="W740">
        <v>1</v>
      </c>
      <c r="X740">
        <v>1</v>
      </c>
      <c r="Y740">
        <v>1</v>
      </c>
      <c r="Z740">
        <v>1</v>
      </c>
      <c r="AA740">
        <v>1</v>
      </c>
      <c r="AB740">
        <v>1</v>
      </c>
      <c r="AC740">
        <v>1</v>
      </c>
      <c r="AD740">
        <v>1</v>
      </c>
      <c r="AE740">
        <v>1</v>
      </c>
      <c r="AF740">
        <v>1</v>
      </c>
      <c r="AG740" t="s">
        <v>282</v>
      </c>
      <c r="AH740" t="s">
        <v>12</v>
      </c>
      <c r="AI740" t="s">
        <v>4</v>
      </c>
      <c r="AJ740">
        <f>$H$740*$P$740</f>
        <v>0</v>
      </c>
      <c r="AK740">
        <f>$H$740*$Q$740</f>
        <v>0</v>
      </c>
      <c r="AL740">
        <f>$H$740*$R$740</f>
        <v>0</v>
      </c>
      <c r="AM740">
        <f>$H$740*$S$740</f>
        <v>477.45</v>
      </c>
      <c r="AN740">
        <f>$H$740*$T$740</f>
        <v>477.45</v>
      </c>
      <c r="AO740">
        <f>$H$740*$U$740</f>
        <v>477.45</v>
      </c>
      <c r="AP740">
        <f>$H$740*$V$740</f>
        <v>477.45</v>
      </c>
      <c r="AQ740">
        <f>$H$740*$W$740</f>
        <v>477.45</v>
      </c>
      <c r="AR740">
        <f>$H$740*$X$740</f>
        <v>477.45</v>
      </c>
      <c r="AS740">
        <f>$H$740*$Y$740</f>
        <v>477.45</v>
      </c>
      <c r="AT740">
        <f>$H$740*$Z$740</f>
        <v>477.45</v>
      </c>
      <c r="AU740">
        <f>$H$740*$AA$740</f>
        <v>477.45</v>
      </c>
      <c r="AV740">
        <f>$H$740*$AB$740</f>
        <v>477.45</v>
      </c>
      <c r="AW740">
        <f>$H$740*$AC$740</f>
        <v>477.45</v>
      </c>
      <c r="AX740">
        <f>$H$740*$AD$740</f>
        <v>477.45</v>
      </c>
      <c r="AY740">
        <f>$H$740*$AE$740</f>
        <v>477.45</v>
      </c>
      <c r="AZ740">
        <f>$H$740*$AF$740</f>
        <v>477.45</v>
      </c>
    </row>
    <row r="741" spans="1:52" x14ac:dyDescent="0.25">
      <c r="A741">
        <v>809</v>
      </c>
      <c r="B741" t="s">
        <v>282</v>
      </c>
      <c r="C741" t="s">
        <v>443</v>
      </c>
      <c r="D741">
        <v>184.2</v>
      </c>
      <c r="E741">
        <v>116.05</v>
      </c>
      <c r="F741" t="s">
        <v>349</v>
      </c>
      <c r="G741">
        <v>0.63</v>
      </c>
      <c r="H741">
        <v>139.27000000000001</v>
      </c>
      <c r="I741" t="s">
        <v>330</v>
      </c>
      <c r="J741" t="s">
        <v>444</v>
      </c>
      <c r="K741" t="s">
        <v>656</v>
      </c>
      <c r="L741" t="s">
        <v>179</v>
      </c>
      <c r="M741" t="s">
        <v>282</v>
      </c>
      <c r="N741" t="s">
        <v>12</v>
      </c>
      <c r="O741" t="s">
        <v>4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1</v>
      </c>
      <c r="AE741">
        <v>1</v>
      </c>
      <c r="AF741">
        <v>1</v>
      </c>
      <c r="AG741" t="s">
        <v>282</v>
      </c>
      <c r="AH741" t="s">
        <v>12</v>
      </c>
      <c r="AI741" t="s">
        <v>4</v>
      </c>
      <c r="AJ741">
        <f>$H$741*$P$741</f>
        <v>0</v>
      </c>
      <c r="AK741">
        <f>$H$741*$Q$741</f>
        <v>0</v>
      </c>
      <c r="AL741">
        <f>$H$741*$R$741</f>
        <v>0</v>
      </c>
      <c r="AM741">
        <f>$H$741*$S$741</f>
        <v>0</v>
      </c>
      <c r="AN741">
        <f>$H$741*$T$741</f>
        <v>0</v>
      </c>
      <c r="AO741">
        <f>$H$741*$U$741</f>
        <v>0</v>
      </c>
      <c r="AP741">
        <f>$H$741*$V$741</f>
        <v>0</v>
      </c>
      <c r="AQ741">
        <f>$H$741*$W$741</f>
        <v>0</v>
      </c>
      <c r="AR741">
        <f>$H$741*$X$741</f>
        <v>0</v>
      </c>
      <c r="AS741">
        <f>$H$741*$Y$741</f>
        <v>0</v>
      </c>
      <c r="AT741">
        <f>$H$741*$Z$741</f>
        <v>0</v>
      </c>
      <c r="AU741">
        <f>$H$741*$AA$741</f>
        <v>0</v>
      </c>
      <c r="AV741">
        <f>$H$741*$AB$741</f>
        <v>0</v>
      </c>
      <c r="AW741">
        <f>$H$741*$AC$741</f>
        <v>0</v>
      </c>
      <c r="AX741">
        <f>$H$741*$AD$741</f>
        <v>139.27000000000001</v>
      </c>
      <c r="AY741">
        <f>$H$741*$AE$741</f>
        <v>139.27000000000001</v>
      </c>
      <c r="AZ741">
        <f>$H$741*$AF$741</f>
        <v>139.27000000000001</v>
      </c>
    </row>
    <row r="742" spans="1:52" x14ac:dyDescent="0.25">
      <c r="A742">
        <v>810</v>
      </c>
      <c r="B742" t="s">
        <v>282</v>
      </c>
      <c r="C742" t="s">
        <v>362</v>
      </c>
      <c r="D742">
        <v>230.25</v>
      </c>
      <c r="E742">
        <v>225.65</v>
      </c>
      <c r="F742" t="s">
        <v>349</v>
      </c>
      <c r="G742">
        <v>0.98</v>
      </c>
      <c r="H742">
        <v>270.79000000000002</v>
      </c>
      <c r="I742" t="s">
        <v>330</v>
      </c>
      <c r="J742" t="s">
        <v>363</v>
      </c>
      <c r="K742" t="s">
        <v>617</v>
      </c>
      <c r="L742" t="s">
        <v>179</v>
      </c>
      <c r="M742" t="s">
        <v>282</v>
      </c>
      <c r="N742" t="s">
        <v>12</v>
      </c>
      <c r="O742" t="s">
        <v>4</v>
      </c>
      <c r="P742">
        <v>0</v>
      </c>
      <c r="Q742">
        <v>0</v>
      </c>
      <c r="R742">
        <v>0</v>
      </c>
      <c r="S742">
        <v>0</v>
      </c>
      <c r="T742">
        <v>1</v>
      </c>
      <c r="U742">
        <v>1</v>
      </c>
      <c r="V742">
        <v>1</v>
      </c>
      <c r="W742">
        <v>1</v>
      </c>
      <c r="X742">
        <v>1</v>
      </c>
      <c r="Y742">
        <v>1</v>
      </c>
      <c r="Z742">
        <v>1</v>
      </c>
      <c r="AA742">
        <v>1</v>
      </c>
      <c r="AB742">
        <v>1</v>
      </c>
      <c r="AC742">
        <v>1</v>
      </c>
      <c r="AD742">
        <v>1</v>
      </c>
      <c r="AE742">
        <v>1</v>
      </c>
      <c r="AF742">
        <v>1</v>
      </c>
      <c r="AG742" t="s">
        <v>282</v>
      </c>
      <c r="AH742" t="s">
        <v>12</v>
      </c>
      <c r="AI742" t="s">
        <v>4</v>
      </c>
      <c r="AJ742">
        <f>$H$742*$P$742</f>
        <v>0</v>
      </c>
      <c r="AK742">
        <f>$H$742*$Q$742</f>
        <v>0</v>
      </c>
      <c r="AL742">
        <f>$H$742*$R$742</f>
        <v>0</v>
      </c>
      <c r="AM742">
        <f>$H$742*$S$742</f>
        <v>0</v>
      </c>
      <c r="AN742">
        <f>$H$742*$T$742</f>
        <v>270.79000000000002</v>
      </c>
      <c r="AO742">
        <f>$H$742*$U$742</f>
        <v>270.79000000000002</v>
      </c>
      <c r="AP742">
        <f>$H$742*$V$742</f>
        <v>270.79000000000002</v>
      </c>
      <c r="AQ742">
        <f>$H$742*$W$742</f>
        <v>270.79000000000002</v>
      </c>
      <c r="AR742">
        <f>$H$742*$X$742</f>
        <v>270.79000000000002</v>
      </c>
      <c r="AS742">
        <f>$H$742*$Y$742</f>
        <v>270.79000000000002</v>
      </c>
      <c r="AT742">
        <f>$H$742*$Z$742</f>
        <v>270.79000000000002</v>
      </c>
      <c r="AU742">
        <f>$H$742*$AA$742</f>
        <v>270.79000000000002</v>
      </c>
      <c r="AV742">
        <f>$H$742*$AB$742</f>
        <v>270.79000000000002</v>
      </c>
      <c r="AW742">
        <f>$H$742*$AC$742</f>
        <v>270.79000000000002</v>
      </c>
      <c r="AX742">
        <f>$H$742*$AD$742</f>
        <v>270.79000000000002</v>
      </c>
      <c r="AY742">
        <f>$H$742*$AE$742</f>
        <v>270.79000000000002</v>
      </c>
      <c r="AZ742">
        <f>$H$742*$AF$742</f>
        <v>270.79000000000002</v>
      </c>
    </row>
    <row r="743" spans="1:52" x14ac:dyDescent="0.25">
      <c r="A743">
        <v>811</v>
      </c>
      <c r="B743" t="s">
        <v>282</v>
      </c>
      <c r="C743" t="s">
        <v>445</v>
      </c>
      <c r="D743">
        <v>46.05</v>
      </c>
      <c r="E743">
        <v>173.15</v>
      </c>
      <c r="F743" t="s">
        <v>349</v>
      </c>
      <c r="G743">
        <v>3.76</v>
      </c>
      <c r="H743">
        <v>207.79</v>
      </c>
      <c r="I743" t="s">
        <v>446</v>
      </c>
      <c r="J743" t="s">
        <v>420</v>
      </c>
      <c r="K743" t="s">
        <v>657</v>
      </c>
      <c r="L743" t="s">
        <v>179</v>
      </c>
      <c r="M743" t="s">
        <v>282</v>
      </c>
      <c r="N743" t="s">
        <v>12</v>
      </c>
      <c r="O743" t="s">
        <v>4</v>
      </c>
      <c r="P743">
        <v>0</v>
      </c>
      <c r="Q743">
        <v>0</v>
      </c>
      <c r="R743">
        <v>0</v>
      </c>
      <c r="S743">
        <v>0.25</v>
      </c>
      <c r="T743">
        <v>0.25</v>
      </c>
      <c r="U743">
        <v>0.25</v>
      </c>
      <c r="V743">
        <v>0.25</v>
      </c>
      <c r="W743">
        <v>0.25</v>
      </c>
      <c r="X743">
        <v>0.5</v>
      </c>
      <c r="Y743">
        <v>0.5</v>
      </c>
      <c r="Z743">
        <v>0.5</v>
      </c>
      <c r="AA743">
        <v>1</v>
      </c>
      <c r="AB743">
        <v>1</v>
      </c>
      <c r="AC743">
        <v>1</v>
      </c>
      <c r="AD743">
        <v>1</v>
      </c>
      <c r="AE743">
        <v>1</v>
      </c>
      <c r="AF743">
        <v>1</v>
      </c>
      <c r="AG743" t="s">
        <v>282</v>
      </c>
      <c r="AH743" t="s">
        <v>12</v>
      </c>
      <c r="AI743" t="s">
        <v>4</v>
      </c>
      <c r="AJ743">
        <f>$H$743*$P$743</f>
        <v>0</v>
      </c>
      <c r="AK743">
        <f>$H$743*$Q$743</f>
        <v>0</v>
      </c>
      <c r="AL743">
        <f>$H$743*$R$743</f>
        <v>0</v>
      </c>
      <c r="AM743">
        <f>$H$743*$S$743</f>
        <v>51.947499999999998</v>
      </c>
      <c r="AN743">
        <f>$H$743*$T$743</f>
        <v>51.947499999999998</v>
      </c>
      <c r="AO743">
        <f>$H$743*$U$743</f>
        <v>51.947499999999998</v>
      </c>
      <c r="AP743">
        <f>$H$743*$V$743</f>
        <v>51.947499999999998</v>
      </c>
      <c r="AQ743">
        <f>$H$743*$W$743</f>
        <v>51.947499999999998</v>
      </c>
      <c r="AR743">
        <f>$H$743*$X$743</f>
        <v>103.895</v>
      </c>
      <c r="AS743">
        <f>$H$743*$Y$743</f>
        <v>103.895</v>
      </c>
      <c r="AT743">
        <f>$H$743*$Z$743</f>
        <v>103.895</v>
      </c>
      <c r="AU743">
        <f>$H$743*$AA$743</f>
        <v>207.79</v>
      </c>
      <c r="AV743">
        <f>$H$743*$AB$743</f>
        <v>207.79</v>
      </c>
      <c r="AW743">
        <f>$H$743*$AC$743</f>
        <v>207.79</v>
      </c>
      <c r="AX743">
        <f>$H$743*$AD$743</f>
        <v>207.79</v>
      </c>
      <c r="AY743">
        <f>$H$743*$AE$743</f>
        <v>207.79</v>
      </c>
      <c r="AZ743">
        <f>$H$743*$AF$743</f>
        <v>207.79</v>
      </c>
    </row>
    <row r="744" spans="1:52" x14ac:dyDescent="0.25">
      <c r="A744">
        <v>812</v>
      </c>
      <c r="B744" t="s">
        <v>282</v>
      </c>
      <c r="C744" t="s">
        <v>364</v>
      </c>
      <c r="D744">
        <v>460.5</v>
      </c>
      <c r="E744">
        <v>1547.28</v>
      </c>
      <c r="F744" t="s">
        <v>349</v>
      </c>
      <c r="G744">
        <v>3.36</v>
      </c>
      <c r="H744">
        <v>1856.74</v>
      </c>
      <c r="I744" t="s">
        <v>365</v>
      </c>
      <c r="J744" t="s">
        <v>366</v>
      </c>
      <c r="K744" t="s">
        <v>618</v>
      </c>
      <c r="L744" t="s">
        <v>179</v>
      </c>
      <c r="M744" t="s">
        <v>282</v>
      </c>
      <c r="N744" t="s">
        <v>12</v>
      </c>
      <c r="O744" t="s">
        <v>4</v>
      </c>
      <c r="P744">
        <v>0</v>
      </c>
      <c r="Q744">
        <v>0</v>
      </c>
      <c r="R744">
        <v>0</v>
      </c>
      <c r="S744">
        <v>0.25</v>
      </c>
      <c r="T744">
        <v>0.25</v>
      </c>
      <c r="U744">
        <v>0.25</v>
      </c>
      <c r="V744">
        <v>0.25</v>
      </c>
      <c r="W744">
        <v>0.5</v>
      </c>
      <c r="X744">
        <v>0.5</v>
      </c>
      <c r="Y744">
        <v>0.5</v>
      </c>
      <c r="Z744">
        <v>0.5</v>
      </c>
      <c r="AA744">
        <v>1</v>
      </c>
      <c r="AB744">
        <v>1</v>
      </c>
      <c r="AC744">
        <v>1</v>
      </c>
      <c r="AD744">
        <v>1</v>
      </c>
      <c r="AE744">
        <v>1</v>
      </c>
      <c r="AF744">
        <v>1</v>
      </c>
      <c r="AG744" t="s">
        <v>282</v>
      </c>
      <c r="AH744" t="s">
        <v>12</v>
      </c>
      <c r="AI744" t="s">
        <v>4</v>
      </c>
      <c r="AJ744">
        <f>$H$744*$P$744</f>
        <v>0</v>
      </c>
      <c r="AK744">
        <f>$H$744*$Q$744</f>
        <v>0</v>
      </c>
      <c r="AL744">
        <f>$H$744*$R$744</f>
        <v>0</v>
      </c>
      <c r="AM744">
        <f>$H$744*$S$744</f>
        <v>464.185</v>
      </c>
      <c r="AN744">
        <f>$H$744*$T$744</f>
        <v>464.185</v>
      </c>
      <c r="AO744">
        <f>$H$744*$U$744</f>
        <v>464.185</v>
      </c>
      <c r="AP744">
        <f>$H$744*$V$744</f>
        <v>464.185</v>
      </c>
      <c r="AQ744">
        <f>$H$744*$W$744</f>
        <v>928.37</v>
      </c>
      <c r="AR744">
        <f>$H$744*$X$744</f>
        <v>928.37</v>
      </c>
      <c r="AS744">
        <f>$H$744*$Y$744</f>
        <v>928.37</v>
      </c>
      <c r="AT744">
        <f>$H$744*$Z$744</f>
        <v>928.37</v>
      </c>
      <c r="AU744">
        <f>$H$744*$AA$744</f>
        <v>1856.74</v>
      </c>
      <c r="AV744">
        <f>$H$744*$AB$744</f>
        <v>1856.74</v>
      </c>
      <c r="AW744">
        <f>$H$744*$AC$744</f>
        <v>1856.74</v>
      </c>
      <c r="AX744">
        <f>$H$744*$AD$744</f>
        <v>1856.74</v>
      </c>
      <c r="AY744">
        <f>$H$744*$AE$744</f>
        <v>1856.74</v>
      </c>
      <c r="AZ744">
        <f>$H$744*$AF$744</f>
        <v>1856.74</v>
      </c>
    </row>
    <row r="745" spans="1:52" x14ac:dyDescent="0.25">
      <c r="A745">
        <v>813</v>
      </c>
      <c r="B745" t="s">
        <v>282</v>
      </c>
      <c r="C745" t="s">
        <v>447</v>
      </c>
      <c r="D745">
        <v>51.17</v>
      </c>
      <c r="E745">
        <v>53.22</v>
      </c>
      <c r="F745" t="s">
        <v>329</v>
      </c>
      <c r="G745">
        <v>1.04</v>
      </c>
      <c r="H745">
        <v>63.86</v>
      </c>
      <c r="I745" t="s">
        <v>330</v>
      </c>
      <c r="J745" t="s">
        <v>448</v>
      </c>
      <c r="K745" t="s">
        <v>658</v>
      </c>
      <c r="L745" t="s">
        <v>179</v>
      </c>
      <c r="M745" t="s">
        <v>282</v>
      </c>
      <c r="N745" t="s">
        <v>12</v>
      </c>
      <c r="O745" t="s">
        <v>4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1</v>
      </c>
      <c r="AB745">
        <v>1</v>
      </c>
      <c r="AC745">
        <v>1</v>
      </c>
      <c r="AD745">
        <v>1</v>
      </c>
      <c r="AE745">
        <v>1</v>
      </c>
      <c r="AF745">
        <v>1</v>
      </c>
      <c r="AG745" t="s">
        <v>282</v>
      </c>
      <c r="AH745" t="s">
        <v>12</v>
      </c>
      <c r="AI745" t="s">
        <v>4</v>
      </c>
      <c r="AJ745">
        <f>$H$745*$P$745</f>
        <v>0</v>
      </c>
      <c r="AK745">
        <f>$H$745*$Q$745</f>
        <v>0</v>
      </c>
      <c r="AL745">
        <f>$H$745*$R$745</f>
        <v>0</v>
      </c>
      <c r="AM745">
        <f>$H$745*$S$745</f>
        <v>0</v>
      </c>
      <c r="AN745">
        <f>$H$745*$T$745</f>
        <v>0</v>
      </c>
      <c r="AO745">
        <f>$H$745*$U$745</f>
        <v>0</v>
      </c>
      <c r="AP745">
        <f>$H$745*$V$745</f>
        <v>0</v>
      </c>
      <c r="AQ745">
        <f>$H$745*$W$745</f>
        <v>0</v>
      </c>
      <c r="AR745">
        <f>$H$745*$X$745</f>
        <v>0</v>
      </c>
      <c r="AS745">
        <f>$H$745*$Y$745</f>
        <v>0</v>
      </c>
      <c r="AT745">
        <f>$H$745*$Z$745</f>
        <v>0</v>
      </c>
      <c r="AU745">
        <f>$H$745*$AA$745</f>
        <v>63.86</v>
      </c>
      <c r="AV745">
        <f>$H$745*$AB$745</f>
        <v>63.86</v>
      </c>
      <c r="AW745">
        <f>$H$745*$AC$745</f>
        <v>63.86</v>
      </c>
      <c r="AX745">
        <f>$H$745*$AD$745</f>
        <v>63.86</v>
      </c>
      <c r="AY745">
        <f>$H$745*$AE$745</f>
        <v>63.86</v>
      </c>
      <c r="AZ745">
        <f>$H$745*$AF$745</f>
        <v>63.86</v>
      </c>
    </row>
    <row r="746" spans="1:52" x14ac:dyDescent="0.25">
      <c r="A746">
        <v>814</v>
      </c>
      <c r="B746" t="s">
        <v>282</v>
      </c>
      <c r="C746" t="s">
        <v>449</v>
      </c>
      <c r="D746">
        <v>51.17</v>
      </c>
      <c r="E746">
        <v>410.38</v>
      </c>
      <c r="F746" t="s">
        <v>329</v>
      </c>
      <c r="G746">
        <v>8.02</v>
      </c>
      <c r="H746">
        <v>492.46</v>
      </c>
      <c r="I746" t="s">
        <v>333</v>
      </c>
      <c r="J746" t="s">
        <v>450</v>
      </c>
      <c r="K746" t="s">
        <v>659</v>
      </c>
      <c r="L746" t="s">
        <v>179</v>
      </c>
      <c r="M746" t="s">
        <v>282</v>
      </c>
      <c r="N746" t="s">
        <v>12</v>
      </c>
      <c r="O746" t="s">
        <v>4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1</v>
      </c>
      <c r="AB746">
        <v>1</v>
      </c>
      <c r="AC746">
        <v>1</v>
      </c>
      <c r="AD746">
        <v>1</v>
      </c>
      <c r="AE746">
        <v>1</v>
      </c>
      <c r="AF746">
        <v>1</v>
      </c>
      <c r="AG746" t="s">
        <v>282</v>
      </c>
      <c r="AH746" t="s">
        <v>12</v>
      </c>
      <c r="AI746" t="s">
        <v>4</v>
      </c>
      <c r="AJ746">
        <f>$H$746*$P$746</f>
        <v>0</v>
      </c>
      <c r="AK746">
        <f>$H$746*$Q$746</f>
        <v>0</v>
      </c>
      <c r="AL746">
        <f>$H$746*$R$746</f>
        <v>0</v>
      </c>
      <c r="AM746">
        <f>$H$746*$S$746</f>
        <v>0</v>
      </c>
      <c r="AN746">
        <f>$H$746*$T$746</f>
        <v>0</v>
      </c>
      <c r="AO746">
        <f>$H$746*$U$746</f>
        <v>0</v>
      </c>
      <c r="AP746">
        <f>$H$746*$V$746</f>
        <v>0</v>
      </c>
      <c r="AQ746">
        <f>$H$746*$W$746</f>
        <v>0</v>
      </c>
      <c r="AR746">
        <f>$H$746*$X$746</f>
        <v>0</v>
      </c>
      <c r="AS746">
        <f>$H$746*$Y$746</f>
        <v>0</v>
      </c>
      <c r="AT746">
        <f>$H$746*$Z$746</f>
        <v>0</v>
      </c>
      <c r="AU746">
        <f>$H$746*$AA$746</f>
        <v>492.46</v>
      </c>
      <c r="AV746">
        <f>$H$746*$AB$746</f>
        <v>492.46</v>
      </c>
      <c r="AW746">
        <f>$H$746*$AC$746</f>
        <v>492.46</v>
      </c>
      <c r="AX746">
        <f>$H$746*$AD$746</f>
        <v>492.46</v>
      </c>
      <c r="AY746">
        <f>$H$746*$AE$746</f>
        <v>492.46</v>
      </c>
      <c r="AZ746">
        <f>$H$746*$AF$746</f>
        <v>492.46</v>
      </c>
    </row>
    <row r="747" spans="1:52" x14ac:dyDescent="0.25">
      <c r="A747">
        <v>815</v>
      </c>
      <c r="B747" t="s">
        <v>282</v>
      </c>
      <c r="C747" t="s">
        <v>455</v>
      </c>
      <c r="D747">
        <v>51.17</v>
      </c>
      <c r="E747">
        <v>77.27</v>
      </c>
      <c r="F747" t="s">
        <v>329</v>
      </c>
      <c r="G747">
        <v>1.51</v>
      </c>
      <c r="H747">
        <v>92.73</v>
      </c>
      <c r="I747" t="s">
        <v>330</v>
      </c>
      <c r="J747" t="s">
        <v>456</v>
      </c>
      <c r="K747" t="s">
        <v>662</v>
      </c>
      <c r="L747" t="s">
        <v>179</v>
      </c>
      <c r="M747" t="s">
        <v>282</v>
      </c>
      <c r="N747" t="s">
        <v>12</v>
      </c>
      <c r="O747" t="s">
        <v>4</v>
      </c>
      <c r="P747">
        <v>0</v>
      </c>
      <c r="Q747">
        <v>0</v>
      </c>
      <c r="R747">
        <v>0</v>
      </c>
      <c r="S747">
        <v>1</v>
      </c>
      <c r="T747">
        <v>1</v>
      </c>
      <c r="U747">
        <v>1</v>
      </c>
      <c r="V747">
        <v>1</v>
      </c>
      <c r="W747">
        <v>1</v>
      </c>
      <c r="X747">
        <v>1</v>
      </c>
      <c r="Y747">
        <v>1</v>
      </c>
      <c r="Z747">
        <v>1</v>
      </c>
      <c r="AA747">
        <v>1</v>
      </c>
      <c r="AB747">
        <v>1</v>
      </c>
      <c r="AC747">
        <v>1</v>
      </c>
      <c r="AD747">
        <v>1</v>
      </c>
      <c r="AE747">
        <v>1</v>
      </c>
      <c r="AF747">
        <v>1</v>
      </c>
      <c r="AG747" t="s">
        <v>282</v>
      </c>
      <c r="AH747" t="s">
        <v>12</v>
      </c>
      <c r="AI747" t="s">
        <v>4</v>
      </c>
      <c r="AJ747">
        <f>$H$747*$P$747</f>
        <v>0</v>
      </c>
      <c r="AK747">
        <f>$H$747*$Q$747</f>
        <v>0</v>
      </c>
      <c r="AL747">
        <f>$H$747*$R$747</f>
        <v>0</v>
      </c>
      <c r="AM747">
        <f>$H$747*$S$747</f>
        <v>92.73</v>
      </c>
      <c r="AN747">
        <f>$H$747*$T$747</f>
        <v>92.73</v>
      </c>
      <c r="AO747">
        <f>$H$747*$U$747</f>
        <v>92.73</v>
      </c>
      <c r="AP747">
        <f>$H$747*$V$747</f>
        <v>92.73</v>
      </c>
      <c r="AQ747">
        <f>$H$747*$W$747</f>
        <v>92.73</v>
      </c>
      <c r="AR747">
        <f>$H$747*$X$747</f>
        <v>92.73</v>
      </c>
      <c r="AS747">
        <f>$H$747*$Y$747</f>
        <v>92.73</v>
      </c>
      <c r="AT747">
        <f>$H$747*$Z$747</f>
        <v>92.73</v>
      </c>
      <c r="AU747">
        <f>$H$747*$AA$747</f>
        <v>92.73</v>
      </c>
      <c r="AV747">
        <f>$H$747*$AB$747</f>
        <v>92.73</v>
      </c>
      <c r="AW747">
        <f>$H$747*$AC$747</f>
        <v>92.73</v>
      </c>
      <c r="AX747">
        <f>$H$747*$AD$747</f>
        <v>92.73</v>
      </c>
      <c r="AY747">
        <f>$H$747*$AE$747</f>
        <v>92.73</v>
      </c>
      <c r="AZ747">
        <f>$H$747*$AF$747</f>
        <v>92.73</v>
      </c>
    </row>
    <row r="748" spans="1:52" x14ac:dyDescent="0.25">
      <c r="A748">
        <v>816</v>
      </c>
      <c r="B748" t="s">
        <v>282</v>
      </c>
      <c r="C748" t="s">
        <v>457</v>
      </c>
      <c r="D748">
        <v>51.17</v>
      </c>
      <c r="E748">
        <v>290.64999999999998</v>
      </c>
      <c r="F748" t="s">
        <v>329</v>
      </c>
      <c r="G748">
        <v>5.68</v>
      </c>
      <c r="H748">
        <v>348.79</v>
      </c>
      <c r="I748" t="s">
        <v>333</v>
      </c>
      <c r="J748" t="s">
        <v>458</v>
      </c>
      <c r="K748" t="s">
        <v>663</v>
      </c>
      <c r="L748" t="s">
        <v>179</v>
      </c>
      <c r="M748" t="s">
        <v>282</v>
      </c>
      <c r="N748" t="s">
        <v>12</v>
      </c>
      <c r="O748" t="s">
        <v>4</v>
      </c>
      <c r="P748">
        <v>0</v>
      </c>
      <c r="Q748">
        <v>0</v>
      </c>
      <c r="R748">
        <v>0</v>
      </c>
      <c r="S748">
        <v>1</v>
      </c>
      <c r="T748">
        <v>1</v>
      </c>
      <c r="U748">
        <v>1</v>
      </c>
      <c r="V748">
        <v>1</v>
      </c>
      <c r="W748">
        <v>1</v>
      </c>
      <c r="X748">
        <v>1</v>
      </c>
      <c r="Y748">
        <v>1</v>
      </c>
      <c r="Z748">
        <v>1</v>
      </c>
      <c r="AA748">
        <v>1</v>
      </c>
      <c r="AB748">
        <v>1</v>
      </c>
      <c r="AC748">
        <v>1</v>
      </c>
      <c r="AD748">
        <v>1</v>
      </c>
      <c r="AE748">
        <v>1</v>
      </c>
      <c r="AF748">
        <v>1</v>
      </c>
      <c r="AG748" t="s">
        <v>282</v>
      </c>
      <c r="AH748" t="s">
        <v>12</v>
      </c>
      <c r="AI748" t="s">
        <v>4</v>
      </c>
      <c r="AJ748">
        <f>$H$748*$P$748</f>
        <v>0</v>
      </c>
      <c r="AK748">
        <f>$H$748*$Q$748</f>
        <v>0</v>
      </c>
      <c r="AL748">
        <f>$H$748*$R$748</f>
        <v>0</v>
      </c>
      <c r="AM748">
        <f>$H$748*$S$748</f>
        <v>348.79</v>
      </c>
      <c r="AN748">
        <f>$H$748*$T$748</f>
        <v>348.79</v>
      </c>
      <c r="AO748">
        <f>$H$748*$U$748</f>
        <v>348.79</v>
      </c>
      <c r="AP748">
        <f>$H$748*$V$748</f>
        <v>348.79</v>
      </c>
      <c r="AQ748">
        <f>$H$748*$W$748</f>
        <v>348.79</v>
      </c>
      <c r="AR748">
        <f>$H$748*$X$748</f>
        <v>348.79</v>
      </c>
      <c r="AS748">
        <f>$H$748*$Y$748</f>
        <v>348.79</v>
      </c>
      <c r="AT748">
        <f>$H$748*$Z$748</f>
        <v>348.79</v>
      </c>
      <c r="AU748">
        <f>$H$748*$AA$748</f>
        <v>348.79</v>
      </c>
      <c r="AV748">
        <f>$H$748*$AB$748</f>
        <v>348.79</v>
      </c>
      <c r="AW748">
        <f>$H$748*$AC$748</f>
        <v>348.79</v>
      </c>
      <c r="AX748">
        <f>$H$748*$AD$748</f>
        <v>348.79</v>
      </c>
      <c r="AY748">
        <f>$H$748*$AE$748</f>
        <v>348.79</v>
      </c>
      <c r="AZ748">
        <f>$H$748*$AF$748</f>
        <v>348.79</v>
      </c>
    </row>
    <row r="749" spans="1:52" x14ac:dyDescent="0.25">
      <c r="A749">
        <v>817</v>
      </c>
      <c r="B749" t="s">
        <v>282</v>
      </c>
      <c r="C749" t="s">
        <v>364</v>
      </c>
      <c r="D749">
        <v>230.07</v>
      </c>
      <c r="E749">
        <v>773.04</v>
      </c>
      <c r="F749" t="s">
        <v>349</v>
      </c>
      <c r="G749">
        <v>3.36</v>
      </c>
      <c r="H749">
        <v>927.64</v>
      </c>
      <c r="I749" t="s">
        <v>365</v>
      </c>
      <c r="J749" t="s">
        <v>366</v>
      </c>
      <c r="K749" t="s">
        <v>618</v>
      </c>
      <c r="L749" t="s">
        <v>179</v>
      </c>
      <c r="M749" t="s">
        <v>282</v>
      </c>
      <c r="N749" t="s">
        <v>12</v>
      </c>
      <c r="O749" t="s">
        <v>4</v>
      </c>
      <c r="P749">
        <v>0</v>
      </c>
      <c r="Q749">
        <v>0</v>
      </c>
      <c r="R749">
        <v>0</v>
      </c>
      <c r="S749">
        <v>0.25</v>
      </c>
      <c r="T749">
        <v>0.25</v>
      </c>
      <c r="U749">
        <v>0.25</v>
      </c>
      <c r="V749">
        <v>0.25</v>
      </c>
      <c r="W749">
        <v>0.5</v>
      </c>
      <c r="X749">
        <v>0.5</v>
      </c>
      <c r="Y749">
        <v>0.5</v>
      </c>
      <c r="Z749">
        <v>0.5</v>
      </c>
      <c r="AA749">
        <v>1</v>
      </c>
      <c r="AB749">
        <v>1</v>
      </c>
      <c r="AC749">
        <v>1</v>
      </c>
      <c r="AD749">
        <v>1</v>
      </c>
      <c r="AE749">
        <v>1</v>
      </c>
      <c r="AF749">
        <v>1</v>
      </c>
      <c r="AG749" t="s">
        <v>282</v>
      </c>
      <c r="AH749" t="s">
        <v>12</v>
      </c>
      <c r="AI749" t="s">
        <v>4</v>
      </c>
      <c r="AJ749">
        <f>$H$749*$P$749</f>
        <v>0</v>
      </c>
      <c r="AK749">
        <f>$H$749*$Q$749</f>
        <v>0</v>
      </c>
      <c r="AL749">
        <f>$H$749*$R$749</f>
        <v>0</v>
      </c>
      <c r="AM749">
        <f>$H$749*$S$749</f>
        <v>231.91</v>
      </c>
      <c r="AN749">
        <f>$H$749*$T$749</f>
        <v>231.91</v>
      </c>
      <c r="AO749">
        <f>$H$749*$U$749</f>
        <v>231.91</v>
      </c>
      <c r="AP749">
        <f>$H$749*$V$749</f>
        <v>231.91</v>
      </c>
      <c r="AQ749">
        <f>$H$749*$W$749</f>
        <v>463.82</v>
      </c>
      <c r="AR749">
        <f>$H$749*$X$749</f>
        <v>463.82</v>
      </c>
      <c r="AS749">
        <f>$H$749*$Y$749</f>
        <v>463.82</v>
      </c>
      <c r="AT749">
        <f>$H$749*$Z$749</f>
        <v>463.82</v>
      </c>
      <c r="AU749">
        <f>$H$749*$AA$749</f>
        <v>927.64</v>
      </c>
      <c r="AV749">
        <f>$H$749*$AB$749</f>
        <v>927.64</v>
      </c>
      <c r="AW749">
        <f>$H$749*$AC$749</f>
        <v>927.64</v>
      </c>
      <c r="AX749">
        <f>$H$749*$AD$749</f>
        <v>927.64</v>
      </c>
      <c r="AY749">
        <f>$H$749*$AE$749</f>
        <v>927.64</v>
      </c>
      <c r="AZ749">
        <f>$H$749*$AF$749</f>
        <v>927.64</v>
      </c>
    </row>
    <row r="750" spans="1:52" x14ac:dyDescent="0.25">
      <c r="A750">
        <v>818</v>
      </c>
      <c r="B750" t="s">
        <v>282</v>
      </c>
      <c r="C750" t="s">
        <v>443</v>
      </c>
      <c r="D750">
        <v>230.07</v>
      </c>
      <c r="E750">
        <v>144.94</v>
      </c>
      <c r="F750" t="s">
        <v>349</v>
      </c>
      <c r="G750">
        <v>0.63</v>
      </c>
      <c r="H750">
        <v>173.92</v>
      </c>
      <c r="I750" t="s">
        <v>330</v>
      </c>
      <c r="J750" t="s">
        <v>444</v>
      </c>
      <c r="K750" t="s">
        <v>656</v>
      </c>
      <c r="L750" t="s">
        <v>179</v>
      </c>
      <c r="M750" t="s">
        <v>282</v>
      </c>
      <c r="N750" t="s">
        <v>12</v>
      </c>
      <c r="O750" t="s">
        <v>4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1</v>
      </c>
      <c r="AE750">
        <v>1</v>
      </c>
      <c r="AF750">
        <v>1</v>
      </c>
      <c r="AG750" t="s">
        <v>282</v>
      </c>
      <c r="AH750" t="s">
        <v>12</v>
      </c>
      <c r="AI750" t="s">
        <v>4</v>
      </c>
      <c r="AJ750">
        <f>$H$750*$P$750</f>
        <v>0</v>
      </c>
      <c r="AK750">
        <f>$H$750*$Q$750</f>
        <v>0</v>
      </c>
      <c r="AL750">
        <f>$H$750*$R$750</f>
        <v>0</v>
      </c>
      <c r="AM750">
        <f>$H$750*$S$750</f>
        <v>0</v>
      </c>
      <c r="AN750">
        <f>$H$750*$T$750</f>
        <v>0</v>
      </c>
      <c r="AO750">
        <f>$H$750*$U$750</f>
        <v>0</v>
      </c>
      <c r="AP750">
        <f>$H$750*$V$750</f>
        <v>0</v>
      </c>
      <c r="AQ750">
        <f>$H$750*$W$750</f>
        <v>0</v>
      </c>
      <c r="AR750">
        <f>$H$750*$X$750</f>
        <v>0</v>
      </c>
      <c r="AS750">
        <f>$H$750*$Y$750</f>
        <v>0</v>
      </c>
      <c r="AT750">
        <f>$H$750*$Z$750</f>
        <v>0</v>
      </c>
      <c r="AU750">
        <f>$H$750*$AA$750</f>
        <v>0</v>
      </c>
      <c r="AV750">
        <f>$H$750*$AB$750</f>
        <v>0</v>
      </c>
      <c r="AW750">
        <f>$H$750*$AC$750</f>
        <v>0</v>
      </c>
      <c r="AX750">
        <f>$H$750*$AD$750</f>
        <v>173.92</v>
      </c>
      <c r="AY750">
        <f>$H$750*$AE$750</f>
        <v>173.92</v>
      </c>
      <c r="AZ750">
        <f>$H$750*$AF$750</f>
        <v>173.92</v>
      </c>
    </row>
    <row r="751" spans="1:52" x14ac:dyDescent="0.25">
      <c r="A751">
        <v>819</v>
      </c>
      <c r="B751" t="s">
        <v>282</v>
      </c>
      <c r="C751" t="s">
        <v>459</v>
      </c>
      <c r="D751">
        <v>230.07</v>
      </c>
      <c r="E751">
        <v>158.75</v>
      </c>
      <c r="F751" t="s">
        <v>349</v>
      </c>
      <c r="G751">
        <v>0.69</v>
      </c>
      <c r="H751">
        <v>190.51</v>
      </c>
      <c r="I751" t="s">
        <v>330</v>
      </c>
      <c r="J751" t="s">
        <v>460</v>
      </c>
      <c r="K751" t="s">
        <v>664</v>
      </c>
      <c r="L751" t="s">
        <v>179</v>
      </c>
      <c r="M751" t="s">
        <v>282</v>
      </c>
      <c r="N751" t="s">
        <v>12</v>
      </c>
      <c r="O751" t="s">
        <v>4</v>
      </c>
      <c r="P751">
        <v>0</v>
      </c>
      <c r="Q751">
        <v>0</v>
      </c>
      <c r="R751">
        <v>0</v>
      </c>
      <c r="S751">
        <v>1</v>
      </c>
      <c r="T751">
        <v>1</v>
      </c>
      <c r="U751">
        <v>1</v>
      </c>
      <c r="V751">
        <v>1</v>
      </c>
      <c r="W751">
        <v>1</v>
      </c>
      <c r="X751">
        <v>1</v>
      </c>
      <c r="Y751">
        <v>1</v>
      </c>
      <c r="Z751">
        <v>1</v>
      </c>
      <c r="AA751">
        <v>1</v>
      </c>
      <c r="AB751">
        <v>1</v>
      </c>
      <c r="AC751">
        <v>1</v>
      </c>
      <c r="AD751">
        <v>1</v>
      </c>
      <c r="AE751">
        <v>1</v>
      </c>
      <c r="AF751">
        <v>1</v>
      </c>
      <c r="AG751" t="s">
        <v>282</v>
      </c>
      <c r="AH751" t="s">
        <v>12</v>
      </c>
      <c r="AI751" t="s">
        <v>4</v>
      </c>
      <c r="AJ751">
        <f>$H$751*$P$751</f>
        <v>0</v>
      </c>
      <c r="AK751">
        <f>$H$751*$Q$751</f>
        <v>0</v>
      </c>
      <c r="AL751">
        <f>$H$751*$R$751</f>
        <v>0</v>
      </c>
      <c r="AM751">
        <f>$H$751*$S$751</f>
        <v>190.51</v>
      </c>
      <c r="AN751">
        <f>$H$751*$T$751</f>
        <v>190.51</v>
      </c>
      <c r="AO751">
        <f>$H$751*$U$751</f>
        <v>190.51</v>
      </c>
      <c r="AP751">
        <f>$H$751*$V$751</f>
        <v>190.51</v>
      </c>
      <c r="AQ751">
        <f>$H$751*$W$751</f>
        <v>190.51</v>
      </c>
      <c r="AR751">
        <f>$H$751*$X$751</f>
        <v>190.51</v>
      </c>
      <c r="AS751">
        <f>$H$751*$Y$751</f>
        <v>190.51</v>
      </c>
      <c r="AT751">
        <f>$H$751*$Z$751</f>
        <v>190.51</v>
      </c>
      <c r="AU751">
        <f>$H$751*$AA$751</f>
        <v>190.51</v>
      </c>
      <c r="AV751">
        <f>$H$751*$AB$751</f>
        <v>190.51</v>
      </c>
      <c r="AW751">
        <f>$H$751*$AC$751</f>
        <v>190.51</v>
      </c>
      <c r="AX751">
        <f>$H$751*$AD$751</f>
        <v>190.51</v>
      </c>
      <c r="AY751">
        <f>$H$751*$AE$751</f>
        <v>190.51</v>
      </c>
      <c r="AZ751">
        <f>$H$751*$AF$751</f>
        <v>190.51</v>
      </c>
    </row>
    <row r="752" spans="1:52" x14ac:dyDescent="0.25">
      <c r="A752">
        <v>820</v>
      </c>
      <c r="B752" t="s">
        <v>282</v>
      </c>
      <c r="C752" t="s">
        <v>461</v>
      </c>
      <c r="D752">
        <v>32.54</v>
      </c>
      <c r="E752">
        <v>564.57000000000005</v>
      </c>
      <c r="F752" t="s">
        <v>349</v>
      </c>
      <c r="G752">
        <v>17.350000000000001</v>
      </c>
      <c r="H752">
        <v>677.49</v>
      </c>
      <c r="I752" t="s">
        <v>462</v>
      </c>
      <c r="J752" t="s">
        <v>463</v>
      </c>
      <c r="K752" t="s">
        <v>665</v>
      </c>
      <c r="L752" t="s">
        <v>179</v>
      </c>
      <c r="M752" t="s">
        <v>282</v>
      </c>
      <c r="N752" t="s">
        <v>12</v>
      </c>
      <c r="O752" t="s">
        <v>4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1</v>
      </c>
      <c r="Z752">
        <v>1</v>
      </c>
      <c r="AA752">
        <v>1</v>
      </c>
      <c r="AB752">
        <v>1</v>
      </c>
      <c r="AC752">
        <v>1</v>
      </c>
      <c r="AD752">
        <v>1</v>
      </c>
      <c r="AE752">
        <v>1</v>
      </c>
      <c r="AF752">
        <v>1</v>
      </c>
      <c r="AG752" t="s">
        <v>282</v>
      </c>
      <c r="AH752" t="s">
        <v>12</v>
      </c>
      <c r="AI752" t="s">
        <v>4</v>
      </c>
      <c r="AJ752">
        <f>$H$752*$P$752</f>
        <v>0</v>
      </c>
      <c r="AK752">
        <f>$H$752*$Q$752</f>
        <v>0</v>
      </c>
      <c r="AL752">
        <f>$H$752*$R$752</f>
        <v>0</v>
      </c>
      <c r="AM752">
        <f>$H$752*$S$752</f>
        <v>0</v>
      </c>
      <c r="AN752">
        <f>$H$752*$T$752</f>
        <v>0</v>
      </c>
      <c r="AO752">
        <f>$H$752*$U$752</f>
        <v>0</v>
      </c>
      <c r="AP752">
        <f>$H$752*$V$752</f>
        <v>0</v>
      </c>
      <c r="AQ752">
        <f>$H$752*$W$752</f>
        <v>0</v>
      </c>
      <c r="AR752">
        <f>$H$752*$X$752</f>
        <v>0</v>
      </c>
      <c r="AS752">
        <f>$H$752*$Y$752</f>
        <v>677.49</v>
      </c>
      <c r="AT752">
        <f>$H$752*$Z$752</f>
        <v>677.49</v>
      </c>
      <c r="AU752">
        <f>$H$752*$AA$752</f>
        <v>677.49</v>
      </c>
      <c r="AV752">
        <f>$H$752*$AB$752</f>
        <v>677.49</v>
      </c>
      <c r="AW752">
        <f>$H$752*$AC$752</f>
        <v>677.49</v>
      </c>
      <c r="AX752">
        <f>$H$752*$AD$752</f>
        <v>677.49</v>
      </c>
      <c r="AY752">
        <f>$H$752*$AE$752</f>
        <v>677.49</v>
      </c>
      <c r="AZ752">
        <f>$H$752*$AF$752</f>
        <v>677.49</v>
      </c>
    </row>
    <row r="753" spans="1:52" x14ac:dyDescent="0.25">
      <c r="A753">
        <v>821</v>
      </c>
      <c r="B753" t="s">
        <v>282</v>
      </c>
      <c r="C753" t="s">
        <v>464</v>
      </c>
      <c r="D753">
        <v>65.08</v>
      </c>
      <c r="E753">
        <v>232.99</v>
      </c>
      <c r="F753" t="s">
        <v>349</v>
      </c>
      <c r="G753">
        <v>3.58</v>
      </c>
      <c r="H753">
        <v>279.58999999999997</v>
      </c>
      <c r="I753" t="s">
        <v>465</v>
      </c>
      <c r="J753" t="s">
        <v>466</v>
      </c>
      <c r="K753" t="s">
        <v>666</v>
      </c>
      <c r="L753" t="s">
        <v>179</v>
      </c>
      <c r="M753" t="s">
        <v>282</v>
      </c>
      <c r="N753" t="s">
        <v>12</v>
      </c>
      <c r="O753" t="s">
        <v>4</v>
      </c>
      <c r="P753">
        <v>0</v>
      </c>
      <c r="Q753">
        <v>0</v>
      </c>
      <c r="R753">
        <v>0</v>
      </c>
      <c r="S753">
        <v>1</v>
      </c>
      <c r="T753">
        <v>1</v>
      </c>
      <c r="U753">
        <v>1</v>
      </c>
      <c r="V753">
        <v>1</v>
      </c>
      <c r="W753">
        <v>1</v>
      </c>
      <c r="X753">
        <v>1</v>
      </c>
      <c r="Y753">
        <v>1</v>
      </c>
      <c r="Z753">
        <v>1</v>
      </c>
      <c r="AA753">
        <v>1</v>
      </c>
      <c r="AB753">
        <v>1</v>
      </c>
      <c r="AC753">
        <v>1</v>
      </c>
      <c r="AD753">
        <v>1</v>
      </c>
      <c r="AE753">
        <v>1</v>
      </c>
      <c r="AF753">
        <v>1</v>
      </c>
      <c r="AG753" t="s">
        <v>282</v>
      </c>
      <c r="AH753" t="s">
        <v>12</v>
      </c>
      <c r="AI753" t="s">
        <v>4</v>
      </c>
      <c r="AJ753">
        <f>$H$753*$P$753</f>
        <v>0</v>
      </c>
      <c r="AK753">
        <f>$H$753*$Q$753</f>
        <v>0</v>
      </c>
      <c r="AL753">
        <f>$H$753*$R$753</f>
        <v>0</v>
      </c>
      <c r="AM753">
        <f>$H$753*$S$753</f>
        <v>279.58999999999997</v>
      </c>
      <c r="AN753">
        <f>$H$753*$T$753</f>
        <v>279.58999999999997</v>
      </c>
      <c r="AO753">
        <f>$H$753*$U$753</f>
        <v>279.58999999999997</v>
      </c>
      <c r="AP753">
        <f>$H$753*$V$753</f>
        <v>279.58999999999997</v>
      </c>
      <c r="AQ753">
        <f>$H$753*$W$753</f>
        <v>279.58999999999997</v>
      </c>
      <c r="AR753">
        <f>$H$753*$X$753</f>
        <v>279.58999999999997</v>
      </c>
      <c r="AS753">
        <f>$H$753*$Y$753</f>
        <v>279.58999999999997</v>
      </c>
      <c r="AT753">
        <f>$H$753*$Z$753</f>
        <v>279.58999999999997</v>
      </c>
      <c r="AU753">
        <f>$H$753*$AA$753</f>
        <v>279.58999999999997</v>
      </c>
      <c r="AV753">
        <f>$H$753*$AB$753</f>
        <v>279.58999999999997</v>
      </c>
      <c r="AW753">
        <f>$H$753*$AC$753</f>
        <v>279.58999999999997</v>
      </c>
      <c r="AX753">
        <f>$H$753*$AD$753</f>
        <v>279.58999999999997</v>
      </c>
      <c r="AY753">
        <f>$H$753*$AE$753</f>
        <v>279.58999999999997</v>
      </c>
      <c r="AZ753">
        <f>$H$753*$AF$753</f>
        <v>279.58999999999997</v>
      </c>
    </row>
    <row r="754" spans="1:52" x14ac:dyDescent="0.25">
      <c r="A754">
        <v>822</v>
      </c>
      <c r="B754" t="s">
        <v>282</v>
      </c>
      <c r="C754" t="s">
        <v>467</v>
      </c>
      <c r="D754">
        <v>65.08</v>
      </c>
      <c r="E754">
        <v>641.04</v>
      </c>
      <c r="F754" t="s">
        <v>349</v>
      </c>
      <c r="G754">
        <v>9.85</v>
      </c>
      <c r="H754">
        <v>769.24</v>
      </c>
      <c r="I754" t="s">
        <v>465</v>
      </c>
      <c r="J754" t="s">
        <v>372</v>
      </c>
      <c r="K754" t="s">
        <v>667</v>
      </c>
      <c r="L754" t="s">
        <v>179</v>
      </c>
      <c r="M754" t="s">
        <v>282</v>
      </c>
      <c r="N754" t="s">
        <v>12</v>
      </c>
      <c r="O754" t="s">
        <v>4</v>
      </c>
      <c r="P754">
        <v>0</v>
      </c>
      <c r="Q754">
        <v>0</v>
      </c>
      <c r="R754">
        <v>0</v>
      </c>
      <c r="S754">
        <v>1</v>
      </c>
      <c r="T754">
        <v>1</v>
      </c>
      <c r="U754">
        <v>1</v>
      </c>
      <c r="V754">
        <v>1</v>
      </c>
      <c r="W754">
        <v>1</v>
      </c>
      <c r="X754">
        <v>1</v>
      </c>
      <c r="Y754">
        <v>1</v>
      </c>
      <c r="Z754">
        <v>1</v>
      </c>
      <c r="AA754">
        <v>1</v>
      </c>
      <c r="AB754">
        <v>1</v>
      </c>
      <c r="AC754">
        <v>1</v>
      </c>
      <c r="AD754">
        <v>1</v>
      </c>
      <c r="AE754">
        <v>1</v>
      </c>
      <c r="AF754">
        <v>1</v>
      </c>
      <c r="AG754" t="s">
        <v>282</v>
      </c>
      <c r="AH754" t="s">
        <v>12</v>
      </c>
      <c r="AI754" t="s">
        <v>4</v>
      </c>
      <c r="AJ754">
        <f>$H$754*$P$754</f>
        <v>0</v>
      </c>
      <c r="AK754">
        <f>$H$754*$Q$754</f>
        <v>0</v>
      </c>
      <c r="AL754">
        <f>$H$754*$R$754</f>
        <v>0</v>
      </c>
      <c r="AM754">
        <f>$H$754*$S$754</f>
        <v>769.24</v>
      </c>
      <c r="AN754">
        <f>$H$754*$T$754</f>
        <v>769.24</v>
      </c>
      <c r="AO754">
        <f>$H$754*$U$754</f>
        <v>769.24</v>
      </c>
      <c r="AP754">
        <f>$H$754*$V$754</f>
        <v>769.24</v>
      </c>
      <c r="AQ754">
        <f>$H$754*$W$754</f>
        <v>769.24</v>
      </c>
      <c r="AR754">
        <f>$H$754*$X$754</f>
        <v>769.24</v>
      </c>
      <c r="AS754">
        <f>$H$754*$Y$754</f>
        <v>769.24</v>
      </c>
      <c r="AT754">
        <f>$H$754*$Z$754</f>
        <v>769.24</v>
      </c>
      <c r="AU754">
        <f>$H$754*$AA$754</f>
        <v>769.24</v>
      </c>
      <c r="AV754">
        <f>$H$754*$AB$754</f>
        <v>769.24</v>
      </c>
      <c r="AW754">
        <f>$H$754*$AC$754</f>
        <v>769.24</v>
      </c>
      <c r="AX754">
        <f>$H$754*$AD$754</f>
        <v>769.24</v>
      </c>
      <c r="AY754">
        <f>$H$754*$AE$754</f>
        <v>769.24</v>
      </c>
      <c r="AZ754">
        <f>$H$754*$AF$754</f>
        <v>769.24</v>
      </c>
    </row>
    <row r="755" spans="1:52" x14ac:dyDescent="0.25">
      <c r="A755">
        <v>823</v>
      </c>
      <c r="B755" t="s">
        <v>282</v>
      </c>
      <c r="C755" t="s">
        <v>468</v>
      </c>
      <c r="D755">
        <v>74.849999999999994</v>
      </c>
      <c r="E755">
        <v>76.349999999999994</v>
      </c>
      <c r="F755" t="s">
        <v>349</v>
      </c>
      <c r="G755">
        <v>1.02</v>
      </c>
      <c r="H755">
        <v>91.63</v>
      </c>
      <c r="I755" t="s">
        <v>469</v>
      </c>
      <c r="J755" t="s">
        <v>470</v>
      </c>
      <c r="K755" t="s">
        <v>668</v>
      </c>
      <c r="L755" t="s">
        <v>179</v>
      </c>
      <c r="M755" t="s">
        <v>282</v>
      </c>
      <c r="N755" t="s">
        <v>12</v>
      </c>
      <c r="O755" t="s">
        <v>4</v>
      </c>
      <c r="P755">
        <v>0</v>
      </c>
      <c r="Q755">
        <v>0</v>
      </c>
      <c r="R755">
        <v>0</v>
      </c>
      <c r="S755">
        <v>1</v>
      </c>
      <c r="T755">
        <v>1</v>
      </c>
      <c r="U755">
        <v>1</v>
      </c>
      <c r="V755">
        <v>1</v>
      </c>
      <c r="W755">
        <v>1</v>
      </c>
      <c r="X755">
        <v>1</v>
      </c>
      <c r="Y755">
        <v>1</v>
      </c>
      <c r="Z755">
        <v>1</v>
      </c>
      <c r="AA755">
        <v>1</v>
      </c>
      <c r="AB755">
        <v>1</v>
      </c>
      <c r="AC755">
        <v>1</v>
      </c>
      <c r="AD755">
        <v>1</v>
      </c>
      <c r="AE755">
        <v>1</v>
      </c>
      <c r="AF755">
        <v>1</v>
      </c>
      <c r="AG755" t="s">
        <v>282</v>
      </c>
      <c r="AH755" t="s">
        <v>12</v>
      </c>
      <c r="AI755" t="s">
        <v>4</v>
      </c>
      <c r="AJ755">
        <f>$H$755*$P$755</f>
        <v>0</v>
      </c>
      <c r="AK755">
        <f>$H$755*$Q$755</f>
        <v>0</v>
      </c>
      <c r="AL755">
        <f>$H$755*$R$755</f>
        <v>0</v>
      </c>
      <c r="AM755">
        <f>$H$755*$S$755</f>
        <v>91.63</v>
      </c>
      <c r="AN755">
        <f>$H$755*$T$755</f>
        <v>91.63</v>
      </c>
      <c r="AO755">
        <f>$H$755*$U$755</f>
        <v>91.63</v>
      </c>
      <c r="AP755">
        <f>$H$755*$V$755</f>
        <v>91.63</v>
      </c>
      <c r="AQ755">
        <f>$H$755*$W$755</f>
        <v>91.63</v>
      </c>
      <c r="AR755">
        <f>$H$755*$X$755</f>
        <v>91.63</v>
      </c>
      <c r="AS755">
        <f>$H$755*$Y$755</f>
        <v>91.63</v>
      </c>
      <c r="AT755">
        <f>$H$755*$Z$755</f>
        <v>91.63</v>
      </c>
      <c r="AU755">
        <f>$H$755*$AA$755</f>
        <v>91.63</v>
      </c>
      <c r="AV755">
        <f>$H$755*$AB$755</f>
        <v>91.63</v>
      </c>
      <c r="AW755">
        <f>$H$755*$AC$755</f>
        <v>91.63</v>
      </c>
      <c r="AX755">
        <f>$H$755*$AD$755</f>
        <v>91.63</v>
      </c>
      <c r="AY755">
        <f>$H$755*$AE$755</f>
        <v>91.63</v>
      </c>
      <c r="AZ755">
        <f>$H$755*$AF$755</f>
        <v>91.63</v>
      </c>
    </row>
    <row r="756" spans="1:52" x14ac:dyDescent="0.25">
      <c r="A756">
        <v>824</v>
      </c>
      <c r="B756" t="s">
        <v>282</v>
      </c>
      <c r="C756" t="s">
        <v>471</v>
      </c>
      <c r="D756">
        <v>74.849999999999994</v>
      </c>
      <c r="E756">
        <v>690.87</v>
      </c>
      <c r="F756" t="s">
        <v>349</v>
      </c>
      <c r="G756">
        <v>9.23</v>
      </c>
      <c r="H756">
        <v>829.05</v>
      </c>
      <c r="I756" t="s">
        <v>469</v>
      </c>
      <c r="J756" t="s">
        <v>463</v>
      </c>
      <c r="K756" t="s">
        <v>669</v>
      </c>
      <c r="L756" t="s">
        <v>179</v>
      </c>
      <c r="M756" t="s">
        <v>282</v>
      </c>
      <c r="N756" t="s">
        <v>12</v>
      </c>
      <c r="O756" t="s">
        <v>4</v>
      </c>
      <c r="P756">
        <v>0</v>
      </c>
      <c r="Q756">
        <v>0</v>
      </c>
      <c r="R756">
        <v>0</v>
      </c>
      <c r="S756">
        <v>1</v>
      </c>
      <c r="T756">
        <v>1</v>
      </c>
      <c r="U756">
        <v>1</v>
      </c>
      <c r="V756">
        <v>1</v>
      </c>
      <c r="W756">
        <v>1</v>
      </c>
      <c r="X756">
        <v>1</v>
      </c>
      <c r="Y756">
        <v>1</v>
      </c>
      <c r="Z756">
        <v>1</v>
      </c>
      <c r="AA756">
        <v>1</v>
      </c>
      <c r="AB756">
        <v>1</v>
      </c>
      <c r="AC756">
        <v>1</v>
      </c>
      <c r="AD756">
        <v>1</v>
      </c>
      <c r="AE756">
        <v>1</v>
      </c>
      <c r="AF756">
        <v>1</v>
      </c>
      <c r="AG756" t="s">
        <v>282</v>
      </c>
      <c r="AH756" t="s">
        <v>12</v>
      </c>
      <c r="AI756" t="s">
        <v>4</v>
      </c>
      <c r="AJ756">
        <f>$H$756*$P$756</f>
        <v>0</v>
      </c>
      <c r="AK756">
        <f>$H$756*$Q$756</f>
        <v>0</v>
      </c>
      <c r="AL756">
        <f>$H$756*$R$756</f>
        <v>0</v>
      </c>
      <c r="AM756">
        <f>$H$756*$S$756</f>
        <v>829.05</v>
      </c>
      <c r="AN756">
        <f>$H$756*$T$756</f>
        <v>829.05</v>
      </c>
      <c r="AO756">
        <f>$H$756*$U$756</f>
        <v>829.05</v>
      </c>
      <c r="AP756">
        <f>$H$756*$V$756</f>
        <v>829.05</v>
      </c>
      <c r="AQ756">
        <f>$H$756*$W$756</f>
        <v>829.05</v>
      </c>
      <c r="AR756">
        <f>$H$756*$X$756</f>
        <v>829.05</v>
      </c>
      <c r="AS756">
        <f>$H$756*$Y$756</f>
        <v>829.05</v>
      </c>
      <c r="AT756">
        <f>$H$756*$Z$756</f>
        <v>829.05</v>
      </c>
      <c r="AU756">
        <f>$H$756*$AA$756</f>
        <v>829.05</v>
      </c>
      <c r="AV756">
        <f>$H$756*$AB$756</f>
        <v>829.05</v>
      </c>
      <c r="AW756">
        <f>$H$756*$AC$756</f>
        <v>829.05</v>
      </c>
      <c r="AX756">
        <f>$H$756*$AD$756</f>
        <v>829.05</v>
      </c>
      <c r="AY756">
        <f>$H$756*$AE$756</f>
        <v>829.05</v>
      </c>
      <c r="AZ756">
        <f>$H$756*$AF$756</f>
        <v>829.05</v>
      </c>
    </row>
    <row r="757" spans="1:52" x14ac:dyDescent="0.25">
      <c r="A757">
        <v>825</v>
      </c>
      <c r="B757" t="s">
        <v>287</v>
      </c>
      <c r="C757" t="s">
        <v>336</v>
      </c>
      <c r="D757">
        <v>1</v>
      </c>
      <c r="E757">
        <v>87.09</v>
      </c>
      <c r="F757" t="s">
        <v>335</v>
      </c>
      <c r="G757">
        <v>87.09</v>
      </c>
      <c r="H757">
        <v>104.51</v>
      </c>
      <c r="I757" t="s">
        <v>337</v>
      </c>
      <c r="J757" t="s">
        <v>338</v>
      </c>
      <c r="K757" t="s">
        <v>606</v>
      </c>
      <c r="L757" t="s">
        <v>179</v>
      </c>
      <c r="M757" t="s">
        <v>287</v>
      </c>
      <c r="N757" t="s">
        <v>11</v>
      </c>
      <c r="O757" t="s">
        <v>4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1</v>
      </c>
      <c r="AE757">
        <v>1</v>
      </c>
      <c r="AF757">
        <v>1</v>
      </c>
      <c r="AG757" t="s">
        <v>287</v>
      </c>
      <c r="AH757" t="s">
        <v>11</v>
      </c>
      <c r="AI757" t="s">
        <v>4</v>
      </c>
      <c r="AJ757">
        <f>$H$757*$P$757</f>
        <v>0</v>
      </c>
      <c r="AK757">
        <f>$H$757*$Q$757</f>
        <v>0</v>
      </c>
      <c r="AL757">
        <f>$H$757*$R$757</f>
        <v>0</v>
      </c>
      <c r="AM757">
        <f>$H$757*$S$757</f>
        <v>0</v>
      </c>
      <c r="AN757">
        <f>$H$757*$T$757</f>
        <v>0</v>
      </c>
      <c r="AO757">
        <f>$H$757*$U$757</f>
        <v>0</v>
      </c>
      <c r="AP757">
        <f>$H$757*$V$757</f>
        <v>0</v>
      </c>
      <c r="AQ757">
        <f>$H$757*$W$757</f>
        <v>0</v>
      </c>
      <c r="AR757">
        <f>$H$757*$X$757</f>
        <v>0</v>
      </c>
      <c r="AS757">
        <f>$H$757*$Y$757</f>
        <v>0</v>
      </c>
      <c r="AT757">
        <f>$H$757*$Z$757</f>
        <v>0</v>
      </c>
      <c r="AU757">
        <f>$H$757*$AA$757</f>
        <v>0</v>
      </c>
      <c r="AV757">
        <f>$H$757*$AB$757</f>
        <v>0</v>
      </c>
      <c r="AW757">
        <f>$H$757*$AC$757</f>
        <v>0</v>
      </c>
      <c r="AX757">
        <f>$H$757*$AD$757</f>
        <v>104.51</v>
      </c>
      <c r="AY757">
        <f>$H$757*$AE$757</f>
        <v>104.51</v>
      </c>
      <c r="AZ757">
        <f>$H$757*$AF$757</f>
        <v>104.51</v>
      </c>
    </row>
    <row r="758" spans="1:52" x14ac:dyDescent="0.25">
      <c r="A758">
        <v>826</v>
      </c>
      <c r="B758" t="s">
        <v>287</v>
      </c>
      <c r="C758" t="s">
        <v>358</v>
      </c>
      <c r="D758">
        <v>12</v>
      </c>
      <c r="E758">
        <v>53.28</v>
      </c>
      <c r="F758" t="s">
        <v>329</v>
      </c>
      <c r="G758">
        <v>4.4400000000000004</v>
      </c>
      <c r="H758">
        <v>63.94</v>
      </c>
      <c r="I758" t="s">
        <v>330</v>
      </c>
      <c r="J758" t="s">
        <v>359</v>
      </c>
      <c r="K758" t="s">
        <v>615</v>
      </c>
      <c r="L758" t="s">
        <v>179</v>
      </c>
      <c r="M758" t="s">
        <v>287</v>
      </c>
      <c r="N758" t="s">
        <v>11</v>
      </c>
      <c r="O758" t="s">
        <v>4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1</v>
      </c>
      <c r="AB758">
        <v>1</v>
      </c>
      <c r="AC758">
        <v>1</v>
      </c>
      <c r="AD758">
        <v>1</v>
      </c>
      <c r="AE758">
        <v>1</v>
      </c>
      <c r="AF758">
        <v>1</v>
      </c>
      <c r="AG758" t="s">
        <v>287</v>
      </c>
      <c r="AH758" t="s">
        <v>11</v>
      </c>
      <c r="AI758" t="s">
        <v>4</v>
      </c>
      <c r="AJ758">
        <f>$H$758*$P$758</f>
        <v>0</v>
      </c>
      <c r="AK758">
        <f>$H$758*$Q$758</f>
        <v>0</v>
      </c>
      <c r="AL758">
        <f>$H$758*$R$758</f>
        <v>0</v>
      </c>
      <c r="AM758">
        <f>$H$758*$S$758</f>
        <v>0</v>
      </c>
      <c r="AN758">
        <f>$H$758*$T$758</f>
        <v>0</v>
      </c>
      <c r="AO758">
        <f>$H$758*$U$758</f>
        <v>0</v>
      </c>
      <c r="AP758">
        <f>$H$758*$V$758</f>
        <v>0</v>
      </c>
      <c r="AQ758">
        <f>$H$758*$W$758</f>
        <v>0</v>
      </c>
      <c r="AR758">
        <f>$H$758*$X$758</f>
        <v>0</v>
      </c>
      <c r="AS758">
        <f>$H$758*$Y$758</f>
        <v>0</v>
      </c>
      <c r="AT758">
        <f>$H$758*$Z$758</f>
        <v>0</v>
      </c>
      <c r="AU758">
        <f>$H$758*$AA$758</f>
        <v>63.94</v>
      </c>
      <c r="AV758">
        <f>$H$758*$AB$758</f>
        <v>63.94</v>
      </c>
      <c r="AW758">
        <f>$H$758*$AC$758</f>
        <v>63.94</v>
      </c>
      <c r="AX758">
        <f>$H$758*$AD$758</f>
        <v>63.94</v>
      </c>
      <c r="AY758">
        <f>$H$758*$AE$758</f>
        <v>63.94</v>
      </c>
      <c r="AZ758">
        <f>$H$758*$AF$758</f>
        <v>63.94</v>
      </c>
    </row>
    <row r="759" spans="1:52" x14ac:dyDescent="0.25">
      <c r="A759">
        <v>827</v>
      </c>
      <c r="B759" t="s">
        <v>287</v>
      </c>
      <c r="C759" t="s">
        <v>472</v>
      </c>
      <c r="D759">
        <v>6</v>
      </c>
      <c r="E759">
        <v>64.56</v>
      </c>
      <c r="F759" t="s">
        <v>329</v>
      </c>
      <c r="G759">
        <v>10.76</v>
      </c>
      <c r="H759">
        <v>77.48</v>
      </c>
      <c r="I759" t="s">
        <v>333</v>
      </c>
      <c r="J759" t="s">
        <v>473</v>
      </c>
      <c r="K759" t="s">
        <v>670</v>
      </c>
      <c r="L759" t="s">
        <v>179</v>
      </c>
      <c r="M759" t="s">
        <v>287</v>
      </c>
      <c r="N759" t="s">
        <v>11</v>
      </c>
      <c r="O759" t="s">
        <v>4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1</v>
      </c>
      <c r="AA759">
        <v>1</v>
      </c>
      <c r="AB759">
        <v>1</v>
      </c>
      <c r="AC759">
        <v>1</v>
      </c>
      <c r="AD759">
        <v>1</v>
      </c>
      <c r="AE759">
        <v>1</v>
      </c>
      <c r="AF759">
        <v>1</v>
      </c>
      <c r="AG759" t="s">
        <v>287</v>
      </c>
      <c r="AH759" t="s">
        <v>11</v>
      </c>
      <c r="AI759" t="s">
        <v>4</v>
      </c>
      <c r="AJ759">
        <f>$H$759*$P$759</f>
        <v>0</v>
      </c>
      <c r="AK759">
        <f>$H$759*$Q$759</f>
        <v>0</v>
      </c>
      <c r="AL759">
        <f>$H$759*$R$759</f>
        <v>0</v>
      </c>
      <c r="AM759">
        <f>$H$759*$S$759</f>
        <v>0</v>
      </c>
      <c r="AN759">
        <f>$H$759*$T$759</f>
        <v>0</v>
      </c>
      <c r="AO759">
        <f>$H$759*$U$759</f>
        <v>0</v>
      </c>
      <c r="AP759">
        <f>$H$759*$V$759</f>
        <v>0</v>
      </c>
      <c r="AQ759">
        <f>$H$759*$W$759</f>
        <v>0</v>
      </c>
      <c r="AR759">
        <f>$H$759*$X$759</f>
        <v>0</v>
      </c>
      <c r="AS759">
        <f>$H$759*$Y$759</f>
        <v>0</v>
      </c>
      <c r="AT759">
        <f>$H$759*$Z$759</f>
        <v>77.48</v>
      </c>
      <c r="AU759">
        <f>$H$759*$AA$759</f>
        <v>77.48</v>
      </c>
      <c r="AV759">
        <f>$H$759*$AB$759</f>
        <v>77.48</v>
      </c>
      <c r="AW759">
        <f>$H$759*$AC$759</f>
        <v>77.48</v>
      </c>
      <c r="AX759">
        <f>$H$759*$AD$759</f>
        <v>77.48</v>
      </c>
      <c r="AY759">
        <f>$H$759*$AE$759</f>
        <v>77.48</v>
      </c>
      <c r="AZ759">
        <f>$H$759*$AF$759</f>
        <v>77.48</v>
      </c>
    </row>
    <row r="760" spans="1:52" x14ac:dyDescent="0.25">
      <c r="A760">
        <v>828</v>
      </c>
      <c r="B760" t="s">
        <v>287</v>
      </c>
      <c r="C760" t="s">
        <v>360</v>
      </c>
      <c r="D760">
        <v>6</v>
      </c>
      <c r="E760">
        <v>69.3</v>
      </c>
      <c r="F760" t="s">
        <v>329</v>
      </c>
      <c r="G760">
        <v>11.55</v>
      </c>
      <c r="H760">
        <v>83.16</v>
      </c>
      <c r="I760" t="s">
        <v>333</v>
      </c>
      <c r="J760" t="s">
        <v>361</v>
      </c>
      <c r="K760" t="s">
        <v>616</v>
      </c>
      <c r="L760" t="s">
        <v>179</v>
      </c>
      <c r="M760" t="s">
        <v>287</v>
      </c>
      <c r="N760" t="s">
        <v>11</v>
      </c>
      <c r="O760" t="s">
        <v>4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1</v>
      </c>
      <c r="AB760">
        <v>1</v>
      </c>
      <c r="AC760">
        <v>1</v>
      </c>
      <c r="AD760">
        <v>1</v>
      </c>
      <c r="AE760">
        <v>1</v>
      </c>
      <c r="AF760">
        <v>1</v>
      </c>
      <c r="AG760" t="s">
        <v>287</v>
      </c>
      <c r="AH760" t="s">
        <v>11</v>
      </c>
      <c r="AI760" t="s">
        <v>4</v>
      </c>
      <c r="AJ760">
        <f>$H$760*$P$760</f>
        <v>0</v>
      </c>
      <c r="AK760">
        <f>$H$760*$Q$760</f>
        <v>0</v>
      </c>
      <c r="AL760">
        <f>$H$760*$R$760</f>
        <v>0</v>
      </c>
      <c r="AM760">
        <f>$H$760*$S$760</f>
        <v>0</v>
      </c>
      <c r="AN760">
        <f>$H$760*$T$760</f>
        <v>0</v>
      </c>
      <c r="AO760">
        <f>$H$760*$U$760</f>
        <v>0</v>
      </c>
      <c r="AP760">
        <f>$H$760*$V$760</f>
        <v>0</v>
      </c>
      <c r="AQ760">
        <f>$H$760*$W$760</f>
        <v>0</v>
      </c>
      <c r="AR760">
        <f>$H$760*$X$760</f>
        <v>0</v>
      </c>
      <c r="AS760">
        <f>$H$760*$Y$760</f>
        <v>0</v>
      </c>
      <c r="AT760">
        <f>$H$760*$Z$760</f>
        <v>0</v>
      </c>
      <c r="AU760">
        <f>$H$760*$AA$760</f>
        <v>83.16</v>
      </c>
      <c r="AV760">
        <f>$H$760*$AB$760</f>
        <v>83.16</v>
      </c>
      <c r="AW760">
        <f>$H$760*$AC$760</f>
        <v>83.16</v>
      </c>
      <c r="AX760">
        <f>$H$760*$AD$760</f>
        <v>83.16</v>
      </c>
      <c r="AY760">
        <f>$H$760*$AE$760</f>
        <v>83.16</v>
      </c>
      <c r="AZ760">
        <f>$H$760*$AF$760</f>
        <v>83.16</v>
      </c>
    </row>
    <row r="761" spans="1:52" x14ac:dyDescent="0.25">
      <c r="A761">
        <v>829</v>
      </c>
      <c r="B761" t="s">
        <v>287</v>
      </c>
      <c r="C761" t="s">
        <v>431</v>
      </c>
      <c r="D761">
        <v>6</v>
      </c>
      <c r="E761">
        <v>28.5</v>
      </c>
      <c r="F761" t="s">
        <v>329</v>
      </c>
      <c r="G761">
        <v>4.75</v>
      </c>
      <c r="H761">
        <v>34.200000000000003</v>
      </c>
      <c r="I761" t="s">
        <v>333</v>
      </c>
      <c r="J761" t="s">
        <v>432</v>
      </c>
      <c r="K761" t="s">
        <v>650</v>
      </c>
      <c r="L761" t="s">
        <v>179</v>
      </c>
      <c r="M761" t="s">
        <v>287</v>
      </c>
      <c r="N761" t="s">
        <v>11</v>
      </c>
      <c r="O761" t="s">
        <v>4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1</v>
      </c>
      <c r="AD761">
        <v>1</v>
      </c>
      <c r="AE761">
        <v>1</v>
      </c>
      <c r="AF761">
        <v>1</v>
      </c>
      <c r="AG761" t="s">
        <v>287</v>
      </c>
      <c r="AH761" t="s">
        <v>11</v>
      </c>
      <c r="AI761" t="s">
        <v>4</v>
      </c>
      <c r="AJ761">
        <f>$H$761*$P$761</f>
        <v>0</v>
      </c>
      <c r="AK761">
        <f>$H$761*$Q$761</f>
        <v>0</v>
      </c>
      <c r="AL761">
        <f>$H$761*$R$761</f>
        <v>0</v>
      </c>
      <c r="AM761">
        <f>$H$761*$S$761</f>
        <v>0</v>
      </c>
      <c r="AN761">
        <f>$H$761*$T$761</f>
        <v>0</v>
      </c>
      <c r="AO761">
        <f>$H$761*$U$761</f>
        <v>0</v>
      </c>
      <c r="AP761">
        <f>$H$761*$V$761</f>
        <v>0</v>
      </c>
      <c r="AQ761">
        <f>$H$761*$W$761</f>
        <v>0</v>
      </c>
      <c r="AR761">
        <f>$H$761*$X$761</f>
        <v>0</v>
      </c>
      <c r="AS761">
        <f>$H$761*$Y$761</f>
        <v>0</v>
      </c>
      <c r="AT761">
        <f>$H$761*$Z$761</f>
        <v>0</v>
      </c>
      <c r="AU761">
        <f>$H$761*$AA$761</f>
        <v>0</v>
      </c>
      <c r="AV761">
        <f>$H$761*$AB$761</f>
        <v>0</v>
      </c>
      <c r="AW761">
        <f>$H$761*$AC$761</f>
        <v>34.200000000000003</v>
      </c>
      <c r="AX761">
        <f>$H$761*$AD$761</f>
        <v>34.200000000000003</v>
      </c>
      <c r="AY761">
        <f>$H$761*$AE$761</f>
        <v>34.200000000000003</v>
      </c>
      <c r="AZ761">
        <f>$H$761*$AF$761</f>
        <v>34.200000000000003</v>
      </c>
    </row>
    <row r="762" spans="1:52" x14ac:dyDescent="0.25">
      <c r="A762">
        <v>830</v>
      </c>
      <c r="B762" t="s">
        <v>287</v>
      </c>
      <c r="C762" t="s">
        <v>435</v>
      </c>
      <c r="D762">
        <v>8</v>
      </c>
      <c r="E762">
        <v>106.16</v>
      </c>
      <c r="F762" t="s">
        <v>335</v>
      </c>
      <c r="G762">
        <v>13.27</v>
      </c>
      <c r="H762">
        <v>127.4</v>
      </c>
      <c r="I762" t="s">
        <v>337</v>
      </c>
      <c r="J762" t="s">
        <v>436</v>
      </c>
      <c r="K762" t="s">
        <v>652</v>
      </c>
      <c r="L762" t="s">
        <v>179</v>
      </c>
      <c r="M762" t="s">
        <v>287</v>
      </c>
      <c r="N762" t="s">
        <v>11</v>
      </c>
      <c r="O762" t="s">
        <v>4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1</v>
      </c>
      <c r="Y762">
        <v>1</v>
      </c>
      <c r="Z762">
        <v>1</v>
      </c>
      <c r="AA762">
        <v>1</v>
      </c>
      <c r="AB762">
        <v>1</v>
      </c>
      <c r="AC762">
        <v>1</v>
      </c>
      <c r="AD762">
        <v>1</v>
      </c>
      <c r="AE762">
        <v>1</v>
      </c>
      <c r="AF762">
        <v>1</v>
      </c>
      <c r="AG762" t="s">
        <v>287</v>
      </c>
      <c r="AH762" t="s">
        <v>11</v>
      </c>
      <c r="AI762" t="s">
        <v>4</v>
      </c>
      <c r="AJ762">
        <f>$H$762*$P$762</f>
        <v>0</v>
      </c>
      <c r="AK762">
        <f>$H$762*$Q$762</f>
        <v>0</v>
      </c>
      <c r="AL762">
        <f>$H$762*$R$762</f>
        <v>0</v>
      </c>
      <c r="AM762">
        <f>$H$762*$S$762</f>
        <v>0</v>
      </c>
      <c r="AN762">
        <f>$H$762*$T$762</f>
        <v>0</v>
      </c>
      <c r="AO762">
        <f>$H$762*$U$762</f>
        <v>0</v>
      </c>
      <c r="AP762">
        <f>$H$762*$V$762</f>
        <v>0</v>
      </c>
      <c r="AQ762">
        <f>$H$762*$W$762</f>
        <v>0</v>
      </c>
      <c r="AR762">
        <f>$H$762*$X$762</f>
        <v>127.4</v>
      </c>
      <c r="AS762">
        <f>$H$762*$Y$762</f>
        <v>127.4</v>
      </c>
      <c r="AT762">
        <f>$H$762*$Z$762</f>
        <v>127.4</v>
      </c>
      <c r="AU762">
        <f>$H$762*$AA$762</f>
        <v>127.4</v>
      </c>
      <c r="AV762">
        <f>$H$762*$AB$762</f>
        <v>127.4</v>
      </c>
      <c r="AW762">
        <f>$H$762*$AC$762</f>
        <v>127.4</v>
      </c>
      <c r="AX762">
        <f>$H$762*$AD$762</f>
        <v>127.4</v>
      </c>
      <c r="AY762">
        <f>$H$762*$AE$762</f>
        <v>127.4</v>
      </c>
      <c r="AZ762">
        <f>$H$762*$AF$762</f>
        <v>127.4</v>
      </c>
    </row>
    <row r="763" spans="1:52" x14ac:dyDescent="0.25">
      <c r="A763">
        <v>831</v>
      </c>
      <c r="B763" t="s">
        <v>287</v>
      </c>
      <c r="C763" t="s">
        <v>437</v>
      </c>
      <c r="D763">
        <v>1</v>
      </c>
      <c r="E763">
        <v>98.82</v>
      </c>
      <c r="F763" t="s">
        <v>335</v>
      </c>
      <c r="G763">
        <v>98.82</v>
      </c>
      <c r="H763">
        <v>118.58</v>
      </c>
      <c r="I763" t="s">
        <v>340</v>
      </c>
      <c r="J763" t="s">
        <v>372</v>
      </c>
      <c r="K763" t="s">
        <v>653</v>
      </c>
      <c r="L763" t="s">
        <v>179</v>
      </c>
      <c r="M763" t="s">
        <v>287</v>
      </c>
      <c r="N763" t="s">
        <v>11</v>
      </c>
      <c r="O763" t="s">
        <v>4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1</v>
      </c>
      <c r="AE763">
        <v>1</v>
      </c>
      <c r="AF763">
        <v>1</v>
      </c>
      <c r="AG763" t="s">
        <v>287</v>
      </c>
      <c r="AH763" t="s">
        <v>11</v>
      </c>
      <c r="AI763" t="s">
        <v>4</v>
      </c>
      <c r="AJ763">
        <f>$H$763*$P$763</f>
        <v>0</v>
      </c>
      <c r="AK763">
        <f>$H$763*$Q$763</f>
        <v>0</v>
      </c>
      <c r="AL763">
        <f>$H$763*$R$763</f>
        <v>0</v>
      </c>
      <c r="AM763">
        <f>$H$763*$S$763</f>
        <v>0</v>
      </c>
      <c r="AN763">
        <f>$H$763*$T$763</f>
        <v>0</v>
      </c>
      <c r="AO763">
        <f>$H$763*$U$763</f>
        <v>0</v>
      </c>
      <c r="AP763">
        <f>$H$763*$V$763</f>
        <v>0</v>
      </c>
      <c r="AQ763">
        <f>$H$763*$W$763</f>
        <v>0</v>
      </c>
      <c r="AR763">
        <f>$H$763*$X$763</f>
        <v>0</v>
      </c>
      <c r="AS763">
        <f>$H$763*$Y$763</f>
        <v>0</v>
      </c>
      <c r="AT763">
        <f>$H$763*$Z$763</f>
        <v>0</v>
      </c>
      <c r="AU763">
        <f>$H$763*$AA$763</f>
        <v>0</v>
      </c>
      <c r="AV763">
        <f>$H$763*$AB$763</f>
        <v>0</v>
      </c>
      <c r="AW763">
        <f>$H$763*$AC$763</f>
        <v>0</v>
      </c>
      <c r="AX763">
        <f>$H$763*$AD$763</f>
        <v>118.58</v>
      </c>
      <c r="AY763">
        <f>$H$763*$AE$763</f>
        <v>118.58</v>
      </c>
      <c r="AZ763">
        <f>$H$763*$AF$763</f>
        <v>118.58</v>
      </c>
    </row>
    <row r="764" spans="1:52" x14ac:dyDescent="0.25">
      <c r="A764">
        <v>832</v>
      </c>
      <c r="B764" t="s">
        <v>287</v>
      </c>
      <c r="C764" t="s">
        <v>367</v>
      </c>
      <c r="D764">
        <v>1</v>
      </c>
      <c r="E764">
        <v>62.41</v>
      </c>
      <c r="F764" t="s">
        <v>335</v>
      </c>
      <c r="G764">
        <v>62.41</v>
      </c>
      <c r="H764">
        <v>74.89</v>
      </c>
      <c r="I764" t="s">
        <v>368</v>
      </c>
      <c r="J764" t="s">
        <v>369</v>
      </c>
      <c r="K764" t="s">
        <v>619</v>
      </c>
      <c r="L764" t="s">
        <v>179</v>
      </c>
      <c r="M764" t="s">
        <v>287</v>
      </c>
      <c r="N764" t="s">
        <v>11</v>
      </c>
      <c r="O764" t="s">
        <v>4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1</v>
      </c>
      <c r="AB764">
        <v>1</v>
      </c>
      <c r="AC764">
        <v>1</v>
      </c>
      <c r="AD764">
        <v>1</v>
      </c>
      <c r="AE764">
        <v>1</v>
      </c>
      <c r="AF764">
        <v>1</v>
      </c>
      <c r="AG764" t="s">
        <v>287</v>
      </c>
      <c r="AH764" t="s">
        <v>11</v>
      </c>
      <c r="AI764" t="s">
        <v>4</v>
      </c>
      <c r="AJ764">
        <f>$H$764*$P$764</f>
        <v>0</v>
      </c>
      <c r="AK764">
        <f>$H$764*$Q$764</f>
        <v>0</v>
      </c>
      <c r="AL764">
        <f>$H$764*$R$764</f>
        <v>0</v>
      </c>
      <c r="AM764">
        <f>$H$764*$S$764</f>
        <v>0</v>
      </c>
      <c r="AN764">
        <f>$H$764*$T$764</f>
        <v>0</v>
      </c>
      <c r="AO764">
        <f>$H$764*$U$764</f>
        <v>0</v>
      </c>
      <c r="AP764">
        <f>$H$764*$V$764</f>
        <v>0</v>
      </c>
      <c r="AQ764">
        <f>$H$764*$W$764</f>
        <v>0</v>
      </c>
      <c r="AR764">
        <f>$H$764*$X$764</f>
        <v>0</v>
      </c>
      <c r="AS764">
        <f>$H$764*$Y$764</f>
        <v>0</v>
      </c>
      <c r="AT764">
        <f>$H$764*$Z$764</f>
        <v>0</v>
      </c>
      <c r="AU764">
        <f>$H$764*$AA$764</f>
        <v>74.89</v>
      </c>
      <c r="AV764">
        <f>$H$764*$AB$764</f>
        <v>74.89</v>
      </c>
      <c r="AW764">
        <f>$H$764*$AC$764</f>
        <v>74.89</v>
      </c>
      <c r="AX764">
        <f>$H$764*$AD$764</f>
        <v>74.89</v>
      </c>
      <c r="AY764">
        <f>$H$764*$AE$764</f>
        <v>74.89</v>
      </c>
      <c r="AZ764">
        <f>$H$764*$AF$764</f>
        <v>74.89</v>
      </c>
    </row>
    <row r="765" spans="1:52" x14ac:dyDescent="0.25">
      <c r="A765">
        <v>833</v>
      </c>
      <c r="B765" t="s">
        <v>287</v>
      </c>
      <c r="C765" t="s">
        <v>531</v>
      </c>
      <c r="D765">
        <v>2</v>
      </c>
      <c r="E765">
        <v>110.04</v>
      </c>
      <c r="F765" t="s">
        <v>335</v>
      </c>
      <c r="G765">
        <v>55.02</v>
      </c>
      <c r="H765">
        <v>132.04</v>
      </c>
      <c r="I765" t="s">
        <v>330</v>
      </c>
      <c r="J765" t="s">
        <v>532</v>
      </c>
      <c r="K765" t="s">
        <v>698</v>
      </c>
      <c r="L765" t="s">
        <v>179</v>
      </c>
      <c r="M765" t="s">
        <v>287</v>
      </c>
      <c r="N765" t="s">
        <v>11</v>
      </c>
      <c r="O765" t="s">
        <v>4</v>
      </c>
      <c r="P765">
        <v>0</v>
      </c>
      <c r="Q765">
        <v>0</v>
      </c>
      <c r="R765">
        <v>0</v>
      </c>
      <c r="S765">
        <v>1</v>
      </c>
      <c r="T765">
        <v>1</v>
      </c>
      <c r="U765">
        <v>1</v>
      </c>
      <c r="V765">
        <v>1</v>
      </c>
      <c r="W765">
        <v>1</v>
      </c>
      <c r="X765">
        <v>1</v>
      </c>
      <c r="Y765">
        <v>1</v>
      </c>
      <c r="Z765">
        <v>1</v>
      </c>
      <c r="AA765">
        <v>1</v>
      </c>
      <c r="AB765">
        <v>1</v>
      </c>
      <c r="AC765">
        <v>1</v>
      </c>
      <c r="AD765">
        <v>1</v>
      </c>
      <c r="AE765">
        <v>1</v>
      </c>
      <c r="AF765">
        <v>1</v>
      </c>
      <c r="AG765" t="s">
        <v>287</v>
      </c>
      <c r="AH765" t="s">
        <v>11</v>
      </c>
      <c r="AI765" t="s">
        <v>4</v>
      </c>
      <c r="AJ765">
        <f>$H$765*$P$765</f>
        <v>0</v>
      </c>
      <c r="AK765">
        <f>$H$765*$Q$765</f>
        <v>0</v>
      </c>
      <c r="AL765">
        <f>$H$765*$R$765</f>
        <v>0</v>
      </c>
      <c r="AM765">
        <f>$H$765*$S$765</f>
        <v>132.04</v>
      </c>
      <c r="AN765">
        <f>$H$765*$T$765</f>
        <v>132.04</v>
      </c>
      <c r="AO765">
        <f>$H$765*$U$765</f>
        <v>132.04</v>
      </c>
      <c r="AP765">
        <f>$H$765*$V$765</f>
        <v>132.04</v>
      </c>
      <c r="AQ765">
        <f>$H$765*$W$765</f>
        <v>132.04</v>
      </c>
      <c r="AR765">
        <f>$H$765*$X$765</f>
        <v>132.04</v>
      </c>
      <c r="AS765">
        <f>$H$765*$Y$765</f>
        <v>132.04</v>
      </c>
      <c r="AT765">
        <f>$H$765*$Z$765</f>
        <v>132.04</v>
      </c>
      <c r="AU765">
        <f>$H$765*$AA$765</f>
        <v>132.04</v>
      </c>
      <c r="AV765">
        <f>$H$765*$AB$765</f>
        <v>132.04</v>
      </c>
      <c r="AW765">
        <f>$H$765*$AC$765</f>
        <v>132.04</v>
      </c>
      <c r="AX765">
        <f>$H$765*$AD$765</f>
        <v>132.04</v>
      </c>
      <c r="AY765">
        <f>$H$765*$AE$765</f>
        <v>132.04</v>
      </c>
      <c r="AZ765">
        <f>$H$765*$AF$765</f>
        <v>132.04</v>
      </c>
    </row>
    <row r="766" spans="1:52" x14ac:dyDescent="0.25">
      <c r="A766">
        <v>834</v>
      </c>
      <c r="B766" t="s">
        <v>287</v>
      </c>
      <c r="C766" t="s">
        <v>533</v>
      </c>
      <c r="D766">
        <v>1</v>
      </c>
      <c r="E766">
        <v>434.33</v>
      </c>
      <c r="F766" t="s">
        <v>335</v>
      </c>
      <c r="G766">
        <v>434.33</v>
      </c>
      <c r="H766">
        <v>521.19000000000005</v>
      </c>
      <c r="I766" t="s">
        <v>371</v>
      </c>
      <c r="J766" t="s">
        <v>534</v>
      </c>
      <c r="K766" t="s">
        <v>699</v>
      </c>
      <c r="L766" t="s">
        <v>179</v>
      </c>
      <c r="M766" t="s">
        <v>287</v>
      </c>
      <c r="N766" t="s">
        <v>11</v>
      </c>
      <c r="O766" t="s">
        <v>4</v>
      </c>
      <c r="P766">
        <v>0</v>
      </c>
      <c r="Q766">
        <v>0</v>
      </c>
      <c r="R766">
        <v>0</v>
      </c>
      <c r="S766">
        <v>0</v>
      </c>
      <c r="T766">
        <v>1</v>
      </c>
      <c r="U766">
        <v>1</v>
      </c>
      <c r="V766">
        <v>1</v>
      </c>
      <c r="W766">
        <v>1</v>
      </c>
      <c r="X766">
        <v>1</v>
      </c>
      <c r="Y766">
        <v>1</v>
      </c>
      <c r="Z766">
        <v>1</v>
      </c>
      <c r="AA766">
        <v>1</v>
      </c>
      <c r="AB766">
        <v>1</v>
      </c>
      <c r="AC766">
        <v>1</v>
      </c>
      <c r="AD766">
        <v>1</v>
      </c>
      <c r="AE766">
        <v>1</v>
      </c>
      <c r="AF766">
        <v>1</v>
      </c>
      <c r="AG766" t="s">
        <v>287</v>
      </c>
      <c r="AH766" t="s">
        <v>11</v>
      </c>
      <c r="AI766" t="s">
        <v>4</v>
      </c>
      <c r="AJ766">
        <f>$H$766*$P$766</f>
        <v>0</v>
      </c>
      <c r="AK766">
        <f>$H$766*$Q$766</f>
        <v>0</v>
      </c>
      <c r="AL766">
        <f>$H$766*$R$766</f>
        <v>0</v>
      </c>
      <c r="AM766">
        <f>$H$766*$S$766</f>
        <v>0</v>
      </c>
      <c r="AN766">
        <f>$H$766*$T$766</f>
        <v>521.19000000000005</v>
      </c>
      <c r="AO766">
        <f>$H$766*$U$766</f>
        <v>521.19000000000005</v>
      </c>
      <c r="AP766">
        <f>$H$766*$V$766</f>
        <v>521.19000000000005</v>
      </c>
      <c r="AQ766">
        <f>$H$766*$W$766</f>
        <v>521.19000000000005</v>
      </c>
      <c r="AR766">
        <f>$H$766*$X$766</f>
        <v>521.19000000000005</v>
      </c>
      <c r="AS766">
        <f>$H$766*$Y$766</f>
        <v>521.19000000000005</v>
      </c>
      <c r="AT766">
        <f>$H$766*$Z$766</f>
        <v>521.19000000000005</v>
      </c>
      <c r="AU766">
        <f>$H$766*$AA$766</f>
        <v>521.19000000000005</v>
      </c>
      <c r="AV766">
        <f>$H$766*$AB$766</f>
        <v>521.19000000000005</v>
      </c>
      <c r="AW766">
        <f>$H$766*$AC$766</f>
        <v>521.19000000000005</v>
      </c>
      <c r="AX766">
        <f>$H$766*$AD$766</f>
        <v>521.19000000000005</v>
      </c>
      <c r="AY766">
        <f>$H$766*$AE$766</f>
        <v>521.19000000000005</v>
      </c>
      <c r="AZ766">
        <f>$H$766*$AF$766</f>
        <v>521.19000000000005</v>
      </c>
    </row>
    <row r="767" spans="1:52" x14ac:dyDescent="0.25">
      <c r="A767">
        <v>835</v>
      </c>
      <c r="B767" t="s">
        <v>287</v>
      </c>
      <c r="C767" t="s">
        <v>375</v>
      </c>
      <c r="D767">
        <v>2</v>
      </c>
      <c r="E767">
        <v>77.86</v>
      </c>
      <c r="F767" t="s">
        <v>335</v>
      </c>
      <c r="G767">
        <v>38.93</v>
      </c>
      <c r="H767">
        <v>93.44</v>
      </c>
      <c r="I767" t="s">
        <v>330</v>
      </c>
      <c r="J767" t="s">
        <v>371</v>
      </c>
      <c r="K767" t="s">
        <v>622</v>
      </c>
      <c r="L767" t="s">
        <v>179</v>
      </c>
      <c r="M767" t="s">
        <v>287</v>
      </c>
      <c r="N767" t="s">
        <v>11</v>
      </c>
      <c r="O767" t="s">
        <v>4</v>
      </c>
      <c r="P767">
        <v>0</v>
      </c>
      <c r="Q767">
        <v>0</v>
      </c>
      <c r="R767">
        <v>0</v>
      </c>
      <c r="S767">
        <v>1</v>
      </c>
      <c r="T767">
        <v>1</v>
      </c>
      <c r="U767">
        <v>1</v>
      </c>
      <c r="V767">
        <v>1</v>
      </c>
      <c r="W767">
        <v>1</v>
      </c>
      <c r="X767">
        <v>1</v>
      </c>
      <c r="Y767">
        <v>1</v>
      </c>
      <c r="Z767">
        <v>1</v>
      </c>
      <c r="AA767">
        <v>1</v>
      </c>
      <c r="AB767">
        <v>1</v>
      </c>
      <c r="AC767">
        <v>1</v>
      </c>
      <c r="AD767">
        <v>1</v>
      </c>
      <c r="AE767">
        <v>1</v>
      </c>
      <c r="AF767">
        <v>1</v>
      </c>
      <c r="AG767" t="s">
        <v>287</v>
      </c>
      <c r="AH767" t="s">
        <v>11</v>
      </c>
      <c r="AI767" t="s">
        <v>4</v>
      </c>
      <c r="AJ767">
        <f>$H$767*$P$767</f>
        <v>0</v>
      </c>
      <c r="AK767">
        <f>$H$767*$Q$767</f>
        <v>0</v>
      </c>
      <c r="AL767">
        <f>$H$767*$R$767</f>
        <v>0</v>
      </c>
      <c r="AM767">
        <f>$H$767*$S$767</f>
        <v>93.44</v>
      </c>
      <c r="AN767">
        <f>$H$767*$T$767</f>
        <v>93.44</v>
      </c>
      <c r="AO767">
        <f>$H$767*$U$767</f>
        <v>93.44</v>
      </c>
      <c r="AP767">
        <f>$H$767*$V$767</f>
        <v>93.44</v>
      </c>
      <c r="AQ767">
        <f>$H$767*$W$767</f>
        <v>93.44</v>
      </c>
      <c r="AR767">
        <f>$H$767*$X$767</f>
        <v>93.44</v>
      </c>
      <c r="AS767">
        <f>$H$767*$Y$767</f>
        <v>93.44</v>
      </c>
      <c r="AT767">
        <f>$H$767*$Z$767</f>
        <v>93.44</v>
      </c>
      <c r="AU767">
        <f>$H$767*$AA$767</f>
        <v>93.44</v>
      </c>
      <c r="AV767">
        <f>$H$767*$AB$767</f>
        <v>93.44</v>
      </c>
      <c r="AW767">
        <f>$H$767*$AC$767</f>
        <v>93.44</v>
      </c>
      <c r="AX767">
        <f>$H$767*$AD$767</f>
        <v>93.44</v>
      </c>
      <c r="AY767">
        <f>$H$767*$AE$767</f>
        <v>93.44</v>
      </c>
      <c r="AZ767">
        <f>$H$767*$AF$767</f>
        <v>93.44</v>
      </c>
    </row>
    <row r="768" spans="1:52" x14ac:dyDescent="0.25">
      <c r="A768">
        <v>836</v>
      </c>
      <c r="B768" t="s">
        <v>287</v>
      </c>
      <c r="C768" t="s">
        <v>373</v>
      </c>
      <c r="D768">
        <v>2</v>
      </c>
      <c r="E768">
        <v>62.72</v>
      </c>
      <c r="F768" t="s">
        <v>335</v>
      </c>
      <c r="G768">
        <v>31.36</v>
      </c>
      <c r="H768">
        <v>75.260000000000005</v>
      </c>
      <c r="I768" t="s">
        <v>330</v>
      </c>
      <c r="J768" t="s">
        <v>374</v>
      </c>
      <c r="K768" t="s">
        <v>621</v>
      </c>
      <c r="L768" t="s">
        <v>179</v>
      </c>
      <c r="M768" t="s">
        <v>287</v>
      </c>
      <c r="N768" t="s">
        <v>11</v>
      </c>
      <c r="O768" t="s">
        <v>4</v>
      </c>
      <c r="P768">
        <v>0</v>
      </c>
      <c r="Q768">
        <v>0</v>
      </c>
      <c r="R768">
        <v>0</v>
      </c>
      <c r="S768">
        <v>1</v>
      </c>
      <c r="T768">
        <v>1</v>
      </c>
      <c r="U768">
        <v>1</v>
      </c>
      <c r="V768">
        <v>1</v>
      </c>
      <c r="W768">
        <v>1</v>
      </c>
      <c r="X768">
        <v>1</v>
      </c>
      <c r="Y768">
        <v>1</v>
      </c>
      <c r="Z768">
        <v>1</v>
      </c>
      <c r="AA768">
        <v>1</v>
      </c>
      <c r="AB768">
        <v>1</v>
      </c>
      <c r="AC768">
        <v>1</v>
      </c>
      <c r="AD768">
        <v>1</v>
      </c>
      <c r="AE768">
        <v>1</v>
      </c>
      <c r="AF768">
        <v>1</v>
      </c>
      <c r="AG768" t="s">
        <v>287</v>
      </c>
      <c r="AH768" t="s">
        <v>11</v>
      </c>
      <c r="AI768" t="s">
        <v>4</v>
      </c>
      <c r="AJ768">
        <f>$H$768*$P$768</f>
        <v>0</v>
      </c>
      <c r="AK768">
        <f>$H$768*$Q$768</f>
        <v>0</v>
      </c>
      <c r="AL768">
        <f>$H$768*$R$768</f>
        <v>0</v>
      </c>
      <c r="AM768">
        <f>$H$768*$S$768</f>
        <v>75.260000000000005</v>
      </c>
      <c r="AN768">
        <f>$H$768*$T$768</f>
        <v>75.260000000000005</v>
      </c>
      <c r="AO768">
        <f>$H$768*$U$768</f>
        <v>75.260000000000005</v>
      </c>
      <c r="AP768">
        <f>$H$768*$V$768</f>
        <v>75.260000000000005</v>
      </c>
      <c r="AQ768">
        <f>$H$768*$W$768</f>
        <v>75.260000000000005</v>
      </c>
      <c r="AR768">
        <f>$H$768*$X$768</f>
        <v>75.260000000000005</v>
      </c>
      <c r="AS768">
        <f>$H$768*$Y$768</f>
        <v>75.260000000000005</v>
      </c>
      <c r="AT768">
        <f>$H$768*$Z$768</f>
        <v>75.260000000000005</v>
      </c>
      <c r="AU768">
        <f>$H$768*$AA$768</f>
        <v>75.260000000000005</v>
      </c>
      <c r="AV768">
        <f>$H$768*$AB$768</f>
        <v>75.260000000000005</v>
      </c>
      <c r="AW768">
        <f>$H$768*$AC$768</f>
        <v>75.260000000000005</v>
      </c>
      <c r="AX768">
        <f>$H$768*$AD$768</f>
        <v>75.260000000000005</v>
      </c>
      <c r="AY768">
        <f>$H$768*$AE$768</f>
        <v>75.260000000000005</v>
      </c>
      <c r="AZ768">
        <f>$H$768*$AF$768</f>
        <v>75.260000000000005</v>
      </c>
    </row>
    <row r="769" spans="1:52" x14ac:dyDescent="0.25">
      <c r="A769">
        <v>837</v>
      </c>
      <c r="B769" t="s">
        <v>287</v>
      </c>
      <c r="C769" t="s">
        <v>370</v>
      </c>
      <c r="D769">
        <v>1</v>
      </c>
      <c r="E769">
        <v>366.18</v>
      </c>
      <c r="F769" t="s">
        <v>335</v>
      </c>
      <c r="G769">
        <v>366.18</v>
      </c>
      <c r="H769">
        <v>439.42</v>
      </c>
      <c r="I769" t="s">
        <v>371</v>
      </c>
      <c r="J769" t="s">
        <v>372</v>
      </c>
      <c r="K769" t="s">
        <v>620</v>
      </c>
      <c r="L769" t="s">
        <v>179</v>
      </c>
      <c r="M769" t="s">
        <v>287</v>
      </c>
      <c r="N769" t="s">
        <v>11</v>
      </c>
      <c r="O769" t="s">
        <v>4</v>
      </c>
      <c r="P769">
        <v>0</v>
      </c>
      <c r="Q769">
        <v>0</v>
      </c>
      <c r="R769">
        <v>0</v>
      </c>
      <c r="S769">
        <v>0</v>
      </c>
      <c r="T769">
        <v>1</v>
      </c>
      <c r="U769">
        <v>1</v>
      </c>
      <c r="V769">
        <v>1</v>
      </c>
      <c r="W769">
        <v>1</v>
      </c>
      <c r="X769">
        <v>1</v>
      </c>
      <c r="Y769">
        <v>1</v>
      </c>
      <c r="Z769">
        <v>1</v>
      </c>
      <c r="AA769">
        <v>1</v>
      </c>
      <c r="AB769">
        <v>1</v>
      </c>
      <c r="AC769">
        <v>1</v>
      </c>
      <c r="AD769">
        <v>1</v>
      </c>
      <c r="AE769">
        <v>1</v>
      </c>
      <c r="AF769">
        <v>1</v>
      </c>
      <c r="AG769" t="s">
        <v>287</v>
      </c>
      <c r="AH769" t="s">
        <v>11</v>
      </c>
      <c r="AI769" t="s">
        <v>4</v>
      </c>
      <c r="AJ769">
        <f>$H$769*$P$769</f>
        <v>0</v>
      </c>
      <c r="AK769">
        <f>$H$769*$Q$769</f>
        <v>0</v>
      </c>
      <c r="AL769">
        <f>$H$769*$R$769</f>
        <v>0</v>
      </c>
      <c r="AM769">
        <f>$H$769*$S$769</f>
        <v>0</v>
      </c>
      <c r="AN769">
        <f>$H$769*$T$769</f>
        <v>439.42</v>
      </c>
      <c r="AO769">
        <f>$H$769*$U$769</f>
        <v>439.42</v>
      </c>
      <c r="AP769">
        <f>$H$769*$V$769</f>
        <v>439.42</v>
      </c>
      <c r="AQ769">
        <f>$H$769*$W$769</f>
        <v>439.42</v>
      </c>
      <c r="AR769">
        <f>$H$769*$X$769</f>
        <v>439.42</v>
      </c>
      <c r="AS769">
        <f>$H$769*$Y$769</f>
        <v>439.42</v>
      </c>
      <c r="AT769">
        <f>$H$769*$Z$769</f>
        <v>439.42</v>
      </c>
      <c r="AU769">
        <f>$H$769*$AA$769</f>
        <v>439.42</v>
      </c>
      <c r="AV769">
        <f>$H$769*$AB$769</f>
        <v>439.42</v>
      </c>
      <c r="AW769">
        <f>$H$769*$AC$769</f>
        <v>439.42</v>
      </c>
      <c r="AX769">
        <f>$H$769*$AD$769</f>
        <v>439.42</v>
      </c>
      <c r="AY769">
        <f>$H$769*$AE$769</f>
        <v>439.42</v>
      </c>
      <c r="AZ769">
        <f>$H$769*$AF$769</f>
        <v>439.42</v>
      </c>
    </row>
    <row r="770" spans="1:52" x14ac:dyDescent="0.25">
      <c r="A770">
        <v>838</v>
      </c>
      <c r="B770" t="s">
        <v>287</v>
      </c>
      <c r="C770" t="s">
        <v>438</v>
      </c>
      <c r="D770">
        <v>23.6</v>
      </c>
      <c r="E770">
        <v>61.83</v>
      </c>
      <c r="F770" t="s">
        <v>329</v>
      </c>
      <c r="G770">
        <v>2.62</v>
      </c>
      <c r="H770">
        <v>74.19</v>
      </c>
      <c r="I770" t="s">
        <v>439</v>
      </c>
      <c r="J770" t="s">
        <v>440</v>
      </c>
      <c r="K770" t="s">
        <v>654</v>
      </c>
      <c r="L770" t="s">
        <v>179</v>
      </c>
      <c r="M770" t="s">
        <v>287</v>
      </c>
      <c r="N770" t="s">
        <v>11</v>
      </c>
      <c r="O770" t="s">
        <v>4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1</v>
      </c>
      <c r="AB770">
        <v>1</v>
      </c>
      <c r="AC770">
        <v>1</v>
      </c>
      <c r="AD770">
        <v>1</v>
      </c>
      <c r="AE770">
        <v>1</v>
      </c>
      <c r="AF770">
        <v>1</v>
      </c>
      <c r="AG770" t="s">
        <v>287</v>
      </c>
      <c r="AH770" t="s">
        <v>11</v>
      </c>
      <c r="AI770" t="s">
        <v>4</v>
      </c>
      <c r="AJ770">
        <f>$H$770*$P$770</f>
        <v>0</v>
      </c>
      <c r="AK770">
        <f>$H$770*$Q$770</f>
        <v>0</v>
      </c>
      <c r="AL770">
        <f>$H$770*$R$770</f>
        <v>0</v>
      </c>
      <c r="AM770">
        <f>$H$770*$S$770</f>
        <v>0</v>
      </c>
      <c r="AN770">
        <f>$H$770*$T$770</f>
        <v>0</v>
      </c>
      <c r="AO770">
        <f>$H$770*$U$770</f>
        <v>0</v>
      </c>
      <c r="AP770">
        <f>$H$770*$V$770</f>
        <v>0</v>
      </c>
      <c r="AQ770">
        <f>$H$770*$W$770</f>
        <v>0</v>
      </c>
      <c r="AR770">
        <f>$H$770*$X$770</f>
        <v>0</v>
      </c>
      <c r="AS770">
        <f>$H$770*$Y$770</f>
        <v>0</v>
      </c>
      <c r="AT770">
        <f>$H$770*$Z$770</f>
        <v>0</v>
      </c>
      <c r="AU770">
        <f>$H$770*$AA$770</f>
        <v>74.19</v>
      </c>
      <c r="AV770">
        <f>$H$770*$AB$770</f>
        <v>74.19</v>
      </c>
      <c r="AW770">
        <f>$H$770*$AC$770</f>
        <v>74.19</v>
      </c>
      <c r="AX770">
        <f>$H$770*$AD$770</f>
        <v>74.19</v>
      </c>
      <c r="AY770">
        <f>$H$770*$AE$770</f>
        <v>74.19</v>
      </c>
      <c r="AZ770">
        <f>$H$770*$AF$770</f>
        <v>74.19</v>
      </c>
    </row>
    <row r="771" spans="1:52" x14ac:dyDescent="0.25">
      <c r="A771">
        <v>839</v>
      </c>
      <c r="B771" t="s">
        <v>287</v>
      </c>
      <c r="C771" t="s">
        <v>441</v>
      </c>
      <c r="D771">
        <v>212.4</v>
      </c>
      <c r="E771">
        <v>458.78</v>
      </c>
      <c r="F771" t="s">
        <v>349</v>
      </c>
      <c r="G771">
        <v>2.16</v>
      </c>
      <c r="H771">
        <v>550.54</v>
      </c>
      <c r="I771" t="s">
        <v>439</v>
      </c>
      <c r="J771" t="s">
        <v>442</v>
      </c>
      <c r="K771" t="s">
        <v>655</v>
      </c>
      <c r="L771" t="s">
        <v>179</v>
      </c>
      <c r="M771" t="s">
        <v>287</v>
      </c>
      <c r="N771" t="s">
        <v>11</v>
      </c>
      <c r="O771" t="s">
        <v>4</v>
      </c>
      <c r="P771">
        <v>0</v>
      </c>
      <c r="Q771">
        <v>0</v>
      </c>
      <c r="R771">
        <v>0</v>
      </c>
      <c r="S771">
        <v>1</v>
      </c>
      <c r="T771">
        <v>1</v>
      </c>
      <c r="U771">
        <v>1</v>
      </c>
      <c r="V771">
        <v>1</v>
      </c>
      <c r="W771">
        <v>1</v>
      </c>
      <c r="X771">
        <v>1</v>
      </c>
      <c r="Y771">
        <v>1</v>
      </c>
      <c r="Z771">
        <v>1</v>
      </c>
      <c r="AA771">
        <v>1</v>
      </c>
      <c r="AB771">
        <v>1</v>
      </c>
      <c r="AC771">
        <v>1</v>
      </c>
      <c r="AD771">
        <v>1</v>
      </c>
      <c r="AE771">
        <v>1</v>
      </c>
      <c r="AF771">
        <v>1</v>
      </c>
      <c r="AG771" t="s">
        <v>287</v>
      </c>
      <c r="AH771" t="s">
        <v>11</v>
      </c>
      <c r="AI771" t="s">
        <v>4</v>
      </c>
      <c r="AJ771">
        <f>$H$771*$P$771</f>
        <v>0</v>
      </c>
      <c r="AK771">
        <f>$H$771*$Q$771</f>
        <v>0</v>
      </c>
      <c r="AL771">
        <f>$H$771*$R$771</f>
        <v>0</v>
      </c>
      <c r="AM771">
        <f>$H$771*$S$771</f>
        <v>550.54</v>
      </c>
      <c r="AN771">
        <f>$H$771*$T$771</f>
        <v>550.54</v>
      </c>
      <c r="AO771">
        <f>$H$771*$U$771</f>
        <v>550.54</v>
      </c>
      <c r="AP771">
        <f>$H$771*$V$771</f>
        <v>550.54</v>
      </c>
      <c r="AQ771">
        <f>$H$771*$W$771</f>
        <v>550.54</v>
      </c>
      <c r="AR771">
        <f>$H$771*$X$771</f>
        <v>550.54</v>
      </c>
      <c r="AS771">
        <f>$H$771*$Y$771</f>
        <v>550.54</v>
      </c>
      <c r="AT771">
        <f>$H$771*$Z$771</f>
        <v>550.54</v>
      </c>
      <c r="AU771">
        <f>$H$771*$AA$771</f>
        <v>550.54</v>
      </c>
      <c r="AV771">
        <f>$H$771*$AB$771</f>
        <v>550.54</v>
      </c>
      <c r="AW771">
        <f>$H$771*$AC$771</f>
        <v>550.54</v>
      </c>
      <c r="AX771">
        <f>$H$771*$AD$771</f>
        <v>550.54</v>
      </c>
      <c r="AY771">
        <f>$H$771*$AE$771</f>
        <v>550.54</v>
      </c>
      <c r="AZ771">
        <f>$H$771*$AF$771</f>
        <v>550.54</v>
      </c>
    </row>
    <row r="772" spans="1:52" x14ac:dyDescent="0.25">
      <c r="A772">
        <v>840</v>
      </c>
      <c r="B772" t="s">
        <v>287</v>
      </c>
      <c r="C772" t="s">
        <v>443</v>
      </c>
      <c r="D772">
        <v>212.4</v>
      </c>
      <c r="E772">
        <v>133.81</v>
      </c>
      <c r="F772" t="s">
        <v>349</v>
      </c>
      <c r="G772">
        <v>0.63</v>
      </c>
      <c r="H772">
        <v>160.57</v>
      </c>
      <c r="I772" t="s">
        <v>330</v>
      </c>
      <c r="J772" t="s">
        <v>444</v>
      </c>
      <c r="K772" t="s">
        <v>656</v>
      </c>
      <c r="L772" t="s">
        <v>179</v>
      </c>
      <c r="M772" t="s">
        <v>287</v>
      </c>
      <c r="N772" t="s">
        <v>11</v>
      </c>
      <c r="O772" t="s">
        <v>4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1</v>
      </c>
      <c r="AE772">
        <v>1</v>
      </c>
      <c r="AF772">
        <v>1</v>
      </c>
      <c r="AG772" t="s">
        <v>287</v>
      </c>
      <c r="AH772" t="s">
        <v>11</v>
      </c>
      <c r="AI772" t="s">
        <v>4</v>
      </c>
      <c r="AJ772">
        <f>$H$772*$P$772</f>
        <v>0</v>
      </c>
      <c r="AK772">
        <f>$H$772*$Q$772</f>
        <v>0</v>
      </c>
      <c r="AL772">
        <f>$H$772*$R$772</f>
        <v>0</v>
      </c>
      <c r="AM772">
        <f>$H$772*$S$772</f>
        <v>0</v>
      </c>
      <c r="AN772">
        <f>$H$772*$T$772</f>
        <v>0</v>
      </c>
      <c r="AO772">
        <f>$H$772*$U$772</f>
        <v>0</v>
      </c>
      <c r="AP772">
        <f>$H$772*$V$772</f>
        <v>0</v>
      </c>
      <c r="AQ772">
        <f>$H$772*$W$772</f>
        <v>0</v>
      </c>
      <c r="AR772">
        <f>$H$772*$X$772</f>
        <v>0</v>
      </c>
      <c r="AS772">
        <f>$H$772*$Y$772</f>
        <v>0</v>
      </c>
      <c r="AT772">
        <f>$H$772*$Z$772</f>
        <v>0</v>
      </c>
      <c r="AU772">
        <f>$H$772*$AA$772</f>
        <v>0</v>
      </c>
      <c r="AV772">
        <f>$H$772*$AB$772</f>
        <v>0</v>
      </c>
      <c r="AW772">
        <f>$H$772*$AC$772</f>
        <v>0</v>
      </c>
      <c r="AX772">
        <f>$H$772*$AD$772</f>
        <v>160.57</v>
      </c>
      <c r="AY772">
        <f>$H$772*$AE$772</f>
        <v>160.57</v>
      </c>
      <c r="AZ772">
        <f>$H$772*$AF$772</f>
        <v>160.57</v>
      </c>
    </row>
    <row r="773" spans="1:52" x14ac:dyDescent="0.25">
      <c r="A773">
        <v>841</v>
      </c>
      <c r="B773" t="s">
        <v>287</v>
      </c>
      <c r="C773" t="s">
        <v>362</v>
      </c>
      <c r="D773">
        <v>265.5</v>
      </c>
      <c r="E773">
        <v>260.19</v>
      </c>
      <c r="F773" t="s">
        <v>349</v>
      </c>
      <c r="G773">
        <v>0.98</v>
      </c>
      <c r="H773">
        <v>312.23</v>
      </c>
      <c r="I773" t="s">
        <v>330</v>
      </c>
      <c r="J773" t="s">
        <v>363</v>
      </c>
      <c r="K773" t="s">
        <v>617</v>
      </c>
      <c r="L773" t="s">
        <v>179</v>
      </c>
      <c r="M773" t="s">
        <v>287</v>
      </c>
      <c r="N773" t="s">
        <v>11</v>
      </c>
      <c r="O773" t="s">
        <v>4</v>
      </c>
      <c r="P773">
        <v>0</v>
      </c>
      <c r="Q773">
        <v>0</v>
      </c>
      <c r="R773">
        <v>0</v>
      </c>
      <c r="S773">
        <v>0</v>
      </c>
      <c r="T773">
        <v>1</v>
      </c>
      <c r="U773">
        <v>1</v>
      </c>
      <c r="V773">
        <v>1</v>
      </c>
      <c r="W773">
        <v>1</v>
      </c>
      <c r="X773">
        <v>1</v>
      </c>
      <c r="Y773">
        <v>1</v>
      </c>
      <c r="Z773">
        <v>1</v>
      </c>
      <c r="AA773">
        <v>1</v>
      </c>
      <c r="AB773">
        <v>1</v>
      </c>
      <c r="AC773">
        <v>1</v>
      </c>
      <c r="AD773">
        <v>1</v>
      </c>
      <c r="AE773">
        <v>1</v>
      </c>
      <c r="AF773">
        <v>1</v>
      </c>
      <c r="AG773" t="s">
        <v>287</v>
      </c>
      <c r="AH773" t="s">
        <v>11</v>
      </c>
      <c r="AI773" t="s">
        <v>4</v>
      </c>
      <c r="AJ773">
        <f>$H$773*$P$773</f>
        <v>0</v>
      </c>
      <c r="AK773">
        <f>$H$773*$Q$773</f>
        <v>0</v>
      </c>
      <c r="AL773">
        <f>$H$773*$R$773</f>
        <v>0</v>
      </c>
      <c r="AM773">
        <f>$H$773*$S$773</f>
        <v>0</v>
      </c>
      <c r="AN773">
        <f>$H$773*$T$773</f>
        <v>312.23</v>
      </c>
      <c r="AO773">
        <f>$H$773*$U$773</f>
        <v>312.23</v>
      </c>
      <c r="AP773">
        <f>$H$773*$V$773</f>
        <v>312.23</v>
      </c>
      <c r="AQ773">
        <f>$H$773*$W$773</f>
        <v>312.23</v>
      </c>
      <c r="AR773">
        <f>$H$773*$X$773</f>
        <v>312.23</v>
      </c>
      <c r="AS773">
        <f>$H$773*$Y$773</f>
        <v>312.23</v>
      </c>
      <c r="AT773">
        <f>$H$773*$Z$773</f>
        <v>312.23</v>
      </c>
      <c r="AU773">
        <f>$H$773*$AA$773</f>
        <v>312.23</v>
      </c>
      <c r="AV773">
        <f>$H$773*$AB$773</f>
        <v>312.23</v>
      </c>
      <c r="AW773">
        <f>$H$773*$AC$773</f>
        <v>312.23</v>
      </c>
      <c r="AX773">
        <f>$H$773*$AD$773</f>
        <v>312.23</v>
      </c>
      <c r="AY773">
        <f>$H$773*$AE$773</f>
        <v>312.23</v>
      </c>
      <c r="AZ773">
        <f>$H$773*$AF$773</f>
        <v>312.23</v>
      </c>
    </row>
    <row r="774" spans="1:52" x14ac:dyDescent="0.25">
      <c r="A774">
        <v>842</v>
      </c>
      <c r="B774" t="s">
        <v>287</v>
      </c>
      <c r="C774" t="s">
        <v>445</v>
      </c>
      <c r="D774">
        <v>53.1</v>
      </c>
      <c r="E774">
        <v>199.66</v>
      </c>
      <c r="F774" t="s">
        <v>349</v>
      </c>
      <c r="G774">
        <v>3.76</v>
      </c>
      <c r="H774">
        <v>239.6</v>
      </c>
      <c r="I774" t="s">
        <v>446</v>
      </c>
      <c r="J774" t="s">
        <v>420</v>
      </c>
      <c r="K774" t="s">
        <v>657</v>
      </c>
      <c r="L774" t="s">
        <v>179</v>
      </c>
      <c r="M774" t="s">
        <v>287</v>
      </c>
      <c r="N774" t="s">
        <v>11</v>
      </c>
      <c r="O774" t="s">
        <v>4</v>
      </c>
      <c r="P774">
        <v>0</v>
      </c>
      <c r="Q774">
        <v>0</v>
      </c>
      <c r="R774">
        <v>0</v>
      </c>
      <c r="S774">
        <v>0.25</v>
      </c>
      <c r="T774">
        <v>0.25</v>
      </c>
      <c r="U774">
        <v>0.25</v>
      </c>
      <c r="V774">
        <v>0.25</v>
      </c>
      <c r="W774">
        <v>0.25</v>
      </c>
      <c r="X774">
        <v>0.5</v>
      </c>
      <c r="Y774">
        <v>0.5</v>
      </c>
      <c r="Z774">
        <v>0.5</v>
      </c>
      <c r="AA774">
        <v>1</v>
      </c>
      <c r="AB774">
        <v>1</v>
      </c>
      <c r="AC774">
        <v>1</v>
      </c>
      <c r="AD774">
        <v>1</v>
      </c>
      <c r="AE774">
        <v>1</v>
      </c>
      <c r="AF774">
        <v>1</v>
      </c>
      <c r="AG774" t="s">
        <v>287</v>
      </c>
      <c r="AH774" t="s">
        <v>11</v>
      </c>
      <c r="AI774" t="s">
        <v>4</v>
      </c>
      <c r="AJ774">
        <f>$H$774*$P$774</f>
        <v>0</v>
      </c>
      <c r="AK774">
        <f>$H$774*$Q$774</f>
        <v>0</v>
      </c>
      <c r="AL774">
        <f>$H$774*$R$774</f>
        <v>0</v>
      </c>
      <c r="AM774">
        <f>$H$774*$S$774</f>
        <v>59.9</v>
      </c>
      <c r="AN774">
        <f>$H$774*$T$774</f>
        <v>59.9</v>
      </c>
      <c r="AO774">
        <f>$H$774*$U$774</f>
        <v>59.9</v>
      </c>
      <c r="AP774">
        <f>$H$774*$V$774</f>
        <v>59.9</v>
      </c>
      <c r="AQ774">
        <f>$H$774*$W$774</f>
        <v>59.9</v>
      </c>
      <c r="AR774">
        <f>$H$774*$X$774</f>
        <v>119.8</v>
      </c>
      <c r="AS774">
        <f>$H$774*$Y$774</f>
        <v>119.8</v>
      </c>
      <c r="AT774">
        <f>$H$774*$Z$774</f>
        <v>119.8</v>
      </c>
      <c r="AU774">
        <f>$H$774*$AA$774</f>
        <v>239.6</v>
      </c>
      <c r="AV774">
        <f>$H$774*$AB$774</f>
        <v>239.6</v>
      </c>
      <c r="AW774">
        <f>$H$774*$AC$774</f>
        <v>239.6</v>
      </c>
      <c r="AX774">
        <f>$H$774*$AD$774</f>
        <v>239.6</v>
      </c>
      <c r="AY774">
        <f>$H$774*$AE$774</f>
        <v>239.6</v>
      </c>
      <c r="AZ774">
        <f>$H$774*$AF$774</f>
        <v>239.6</v>
      </c>
    </row>
    <row r="775" spans="1:52" x14ac:dyDescent="0.25">
      <c r="A775">
        <v>843</v>
      </c>
      <c r="B775" t="s">
        <v>287</v>
      </c>
      <c r="C775" t="s">
        <v>364</v>
      </c>
      <c r="D775">
        <v>531</v>
      </c>
      <c r="E775">
        <v>1784.16</v>
      </c>
      <c r="F775" t="s">
        <v>349</v>
      </c>
      <c r="G775">
        <v>3.36</v>
      </c>
      <c r="H775">
        <v>2141</v>
      </c>
      <c r="I775" t="s">
        <v>365</v>
      </c>
      <c r="J775" t="s">
        <v>366</v>
      </c>
      <c r="K775" t="s">
        <v>618</v>
      </c>
      <c r="L775" t="s">
        <v>179</v>
      </c>
      <c r="M775" t="s">
        <v>287</v>
      </c>
      <c r="N775" t="s">
        <v>11</v>
      </c>
      <c r="O775" t="s">
        <v>4</v>
      </c>
      <c r="P775">
        <v>0</v>
      </c>
      <c r="Q775">
        <v>0</v>
      </c>
      <c r="R775">
        <v>0</v>
      </c>
      <c r="S775">
        <v>0.25</v>
      </c>
      <c r="T775">
        <v>0.25</v>
      </c>
      <c r="U775">
        <v>0.25</v>
      </c>
      <c r="V775">
        <v>0.25</v>
      </c>
      <c r="W775">
        <v>0.5</v>
      </c>
      <c r="X775">
        <v>0.5</v>
      </c>
      <c r="Y775">
        <v>0.5</v>
      </c>
      <c r="Z775">
        <v>0.5</v>
      </c>
      <c r="AA775">
        <v>1</v>
      </c>
      <c r="AB775">
        <v>1</v>
      </c>
      <c r="AC775">
        <v>1</v>
      </c>
      <c r="AD775">
        <v>1</v>
      </c>
      <c r="AE775">
        <v>1</v>
      </c>
      <c r="AF775">
        <v>1</v>
      </c>
      <c r="AG775" t="s">
        <v>287</v>
      </c>
      <c r="AH775" t="s">
        <v>11</v>
      </c>
      <c r="AI775" t="s">
        <v>4</v>
      </c>
      <c r="AJ775">
        <f>$H$775*$P$775</f>
        <v>0</v>
      </c>
      <c r="AK775">
        <f>$H$775*$Q$775</f>
        <v>0</v>
      </c>
      <c r="AL775">
        <f>$H$775*$R$775</f>
        <v>0</v>
      </c>
      <c r="AM775">
        <f>$H$775*$S$775</f>
        <v>535.25</v>
      </c>
      <c r="AN775">
        <f>$H$775*$T$775</f>
        <v>535.25</v>
      </c>
      <c r="AO775">
        <f>$H$775*$U$775</f>
        <v>535.25</v>
      </c>
      <c r="AP775">
        <f>$H$775*$V$775</f>
        <v>535.25</v>
      </c>
      <c r="AQ775">
        <f>$H$775*$W$775</f>
        <v>1070.5</v>
      </c>
      <c r="AR775">
        <f>$H$775*$X$775</f>
        <v>1070.5</v>
      </c>
      <c r="AS775">
        <f>$H$775*$Y$775</f>
        <v>1070.5</v>
      </c>
      <c r="AT775">
        <f>$H$775*$Z$775</f>
        <v>1070.5</v>
      </c>
      <c r="AU775">
        <f>$H$775*$AA$775</f>
        <v>2141</v>
      </c>
      <c r="AV775">
        <f>$H$775*$AB$775</f>
        <v>2141</v>
      </c>
      <c r="AW775">
        <f>$H$775*$AC$775</f>
        <v>2141</v>
      </c>
      <c r="AX775">
        <f>$H$775*$AD$775</f>
        <v>2141</v>
      </c>
      <c r="AY775">
        <f>$H$775*$AE$775</f>
        <v>2141</v>
      </c>
      <c r="AZ775">
        <f>$H$775*$AF$775</f>
        <v>2141</v>
      </c>
    </row>
    <row r="776" spans="1:52" x14ac:dyDescent="0.25">
      <c r="A776">
        <v>844</v>
      </c>
      <c r="B776" t="s">
        <v>287</v>
      </c>
      <c r="C776" t="s">
        <v>447</v>
      </c>
      <c r="D776">
        <v>59</v>
      </c>
      <c r="E776">
        <v>61.36</v>
      </c>
      <c r="F776" t="s">
        <v>329</v>
      </c>
      <c r="G776">
        <v>1.04</v>
      </c>
      <c r="H776">
        <v>73.64</v>
      </c>
      <c r="I776" t="s">
        <v>330</v>
      </c>
      <c r="J776" t="s">
        <v>448</v>
      </c>
      <c r="K776" t="s">
        <v>658</v>
      </c>
      <c r="L776" t="s">
        <v>179</v>
      </c>
      <c r="M776" t="s">
        <v>287</v>
      </c>
      <c r="N776" t="s">
        <v>11</v>
      </c>
      <c r="O776" t="s">
        <v>4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1</v>
      </c>
      <c r="AB776">
        <v>1</v>
      </c>
      <c r="AC776">
        <v>1</v>
      </c>
      <c r="AD776">
        <v>1</v>
      </c>
      <c r="AE776">
        <v>1</v>
      </c>
      <c r="AF776">
        <v>1</v>
      </c>
      <c r="AG776" t="s">
        <v>287</v>
      </c>
      <c r="AH776" t="s">
        <v>11</v>
      </c>
      <c r="AI776" t="s">
        <v>4</v>
      </c>
      <c r="AJ776">
        <f>$H$776*$P$776</f>
        <v>0</v>
      </c>
      <c r="AK776">
        <f>$H$776*$Q$776</f>
        <v>0</v>
      </c>
      <c r="AL776">
        <f>$H$776*$R$776</f>
        <v>0</v>
      </c>
      <c r="AM776">
        <f>$H$776*$S$776</f>
        <v>0</v>
      </c>
      <c r="AN776">
        <f>$H$776*$T$776</f>
        <v>0</v>
      </c>
      <c r="AO776">
        <f>$H$776*$U$776</f>
        <v>0</v>
      </c>
      <c r="AP776">
        <f>$H$776*$V$776</f>
        <v>0</v>
      </c>
      <c r="AQ776">
        <f>$H$776*$W$776</f>
        <v>0</v>
      </c>
      <c r="AR776">
        <f>$H$776*$X$776</f>
        <v>0</v>
      </c>
      <c r="AS776">
        <f>$H$776*$Y$776</f>
        <v>0</v>
      </c>
      <c r="AT776">
        <f>$H$776*$Z$776</f>
        <v>0</v>
      </c>
      <c r="AU776">
        <f>$H$776*$AA$776</f>
        <v>73.64</v>
      </c>
      <c r="AV776">
        <f>$H$776*$AB$776</f>
        <v>73.64</v>
      </c>
      <c r="AW776">
        <f>$H$776*$AC$776</f>
        <v>73.64</v>
      </c>
      <c r="AX776">
        <f>$H$776*$AD$776</f>
        <v>73.64</v>
      </c>
      <c r="AY776">
        <f>$H$776*$AE$776</f>
        <v>73.64</v>
      </c>
      <c r="AZ776">
        <f>$H$776*$AF$776</f>
        <v>73.64</v>
      </c>
    </row>
    <row r="777" spans="1:52" x14ac:dyDescent="0.25">
      <c r="A777">
        <v>845</v>
      </c>
      <c r="B777" t="s">
        <v>287</v>
      </c>
      <c r="C777" t="s">
        <v>449</v>
      </c>
      <c r="D777">
        <v>59</v>
      </c>
      <c r="E777">
        <v>473.18</v>
      </c>
      <c r="F777" t="s">
        <v>329</v>
      </c>
      <c r="G777">
        <v>8.02</v>
      </c>
      <c r="H777">
        <v>567.82000000000005</v>
      </c>
      <c r="I777" t="s">
        <v>333</v>
      </c>
      <c r="J777" t="s">
        <v>450</v>
      </c>
      <c r="K777" t="s">
        <v>659</v>
      </c>
      <c r="L777" t="s">
        <v>179</v>
      </c>
      <c r="M777" t="s">
        <v>287</v>
      </c>
      <c r="N777" t="s">
        <v>11</v>
      </c>
      <c r="O777" t="s">
        <v>4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1</v>
      </c>
      <c r="AB777">
        <v>1</v>
      </c>
      <c r="AC777">
        <v>1</v>
      </c>
      <c r="AD777">
        <v>1</v>
      </c>
      <c r="AE777">
        <v>1</v>
      </c>
      <c r="AF777">
        <v>1</v>
      </c>
      <c r="AG777" t="s">
        <v>287</v>
      </c>
      <c r="AH777" t="s">
        <v>11</v>
      </c>
      <c r="AI777" t="s">
        <v>4</v>
      </c>
      <c r="AJ777">
        <f>$H$777*$P$777</f>
        <v>0</v>
      </c>
      <c r="AK777">
        <f>$H$777*$Q$777</f>
        <v>0</v>
      </c>
      <c r="AL777">
        <f>$H$777*$R$777</f>
        <v>0</v>
      </c>
      <c r="AM777">
        <f>$H$777*$S$777</f>
        <v>0</v>
      </c>
      <c r="AN777">
        <f>$H$777*$T$777</f>
        <v>0</v>
      </c>
      <c r="AO777">
        <f>$H$777*$U$777</f>
        <v>0</v>
      </c>
      <c r="AP777">
        <f>$H$777*$V$777</f>
        <v>0</v>
      </c>
      <c r="AQ777">
        <f>$H$777*$W$777</f>
        <v>0</v>
      </c>
      <c r="AR777">
        <f>$H$777*$X$777</f>
        <v>0</v>
      </c>
      <c r="AS777">
        <f>$H$777*$Y$777</f>
        <v>0</v>
      </c>
      <c r="AT777">
        <f>$H$777*$Z$777</f>
        <v>0</v>
      </c>
      <c r="AU777">
        <f>$H$777*$AA$777</f>
        <v>567.82000000000005</v>
      </c>
      <c r="AV777">
        <f>$H$777*$AB$777</f>
        <v>567.82000000000005</v>
      </c>
      <c r="AW777">
        <f>$H$777*$AC$777</f>
        <v>567.82000000000005</v>
      </c>
      <c r="AX777">
        <f>$H$777*$AD$777</f>
        <v>567.82000000000005</v>
      </c>
      <c r="AY777">
        <f>$H$777*$AE$777</f>
        <v>567.82000000000005</v>
      </c>
      <c r="AZ777">
        <f>$H$777*$AF$777</f>
        <v>567.82000000000005</v>
      </c>
    </row>
    <row r="778" spans="1:52" x14ac:dyDescent="0.25">
      <c r="A778">
        <v>846</v>
      </c>
      <c r="B778" t="s">
        <v>287</v>
      </c>
      <c r="C778" t="s">
        <v>455</v>
      </c>
      <c r="D778">
        <v>59</v>
      </c>
      <c r="E778">
        <v>89.09</v>
      </c>
      <c r="F778" t="s">
        <v>329</v>
      </c>
      <c r="G778">
        <v>1.51</v>
      </c>
      <c r="H778">
        <v>106.91</v>
      </c>
      <c r="I778" t="s">
        <v>330</v>
      </c>
      <c r="J778" t="s">
        <v>456</v>
      </c>
      <c r="K778" t="s">
        <v>662</v>
      </c>
      <c r="L778" t="s">
        <v>179</v>
      </c>
      <c r="M778" t="s">
        <v>287</v>
      </c>
      <c r="N778" t="s">
        <v>11</v>
      </c>
      <c r="O778" t="s">
        <v>4</v>
      </c>
      <c r="P778">
        <v>0</v>
      </c>
      <c r="Q778">
        <v>0</v>
      </c>
      <c r="R778">
        <v>0</v>
      </c>
      <c r="S778">
        <v>1</v>
      </c>
      <c r="T778">
        <v>1</v>
      </c>
      <c r="U778">
        <v>1</v>
      </c>
      <c r="V778">
        <v>1</v>
      </c>
      <c r="W778">
        <v>1</v>
      </c>
      <c r="X778">
        <v>1</v>
      </c>
      <c r="Y778">
        <v>1</v>
      </c>
      <c r="Z778">
        <v>1</v>
      </c>
      <c r="AA778">
        <v>1</v>
      </c>
      <c r="AB778">
        <v>1</v>
      </c>
      <c r="AC778">
        <v>1</v>
      </c>
      <c r="AD778">
        <v>1</v>
      </c>
      <c r="AE778">
        <v>1</v>
      </c>
      <c r="AF778">
        <v>1</v>
      </c>
      <c r="AG778" t="s">
        <v>287</v>
      </c>
      <c r="AH778" t="s">
        <v>11</v>
      </c>
      <c r="AI778" t="s">
        <v>4</v>
      </c>
      <c r="AJ778">
        <f>$H$778*$P$778</f>
        <v>0</v>
      </c>
      <c r="AK778">
        <f>$H$778*$Q$778</f>
        <v>0</v>
      </c>
      <c r="AL778">
        <f>$H$778*$R$778</f>
        <v>0</v>
      </c>
      <c r="AM778">
        <f>$H$778*$S$778</f>
        <v>106.91</v>
      </c>
      <c r="AN778">
        <f>$H$778*$T$778</f>
        <v>106.91</v>
      </c>
      <c r="AO778">
        <f>$H$778*$U$778</f>
        <v>106.91</v>
      </c>
      <c r="AP778">
        <f>$H$778*$V$778</f>
        <v>106.91</v>
      </c>
      <c r="AQ778">
        <f>$H$778*$W$778</f>
        <v>106.91</v>
      </c>
      <c r="AR778">
        <f>$H$778*$X$778</f>
        <v>106.91</v>
      </c>
      <c r="AS778">
        <f>$H$778*$Y$778</f>
        <v>106.91</v>
      </c>
      <c r="AT778">
        <f>$H$778*$Z$778</f>
        <v>106.91</v>
      </c>
      <c r="AU778">
        <f>$H$778*$AA$778</f>
        <v>106.91</v>
      </c>
      <c r="AV778">
        <f>$H$778*$AB$778</f>
        <v>106.91</v>
      </c>
      <c r="AW778">
        <f>$H$778*$AC$778</f>
        <v>106.91</v>
      </c>
      <c r="AX778">
        <f>$H$778*$AD$778</f>
        <v>106.91</v>
      </c>
      <c r="AY778">
        <f>$H$778*$AE$778</f>
        <v>106.91</v>
      </c>
      <c r="AZ778">
        <f>$H$778*$AF$778</f>
        <v>106.91</v>
      </c>
    </row>
    <row r="779" spans="1:52" x14ac:dyDescent="0.25">
      <c r="A779">
        <v>847</v>
      </c>
      <c r="B779" t="s">
        <v>287</v>
      </c>
      <c r="C779" t="s">
        <v>457</v>
      </c>
      <c r="D779">
        <v>59</v>
      </c>
      <c r="E779">
        <v>335.12</v>
      </c>
      <c r="F779" t="s">
        <v>329</v>
      </c>
      <c r="G779">
        <v>5.68</v>
      </c>
      <c r="H779">
        <v>402.14</v>
      </c>
      <c r="I779" t="s">
        <v>333</v>
      </c>
      <c r="J779" t="s">
        <v>458</v>
      </c>
      <c r="K779" t="s">
        <v>663</v>
      </c>
      <c r="L779" t="s">
        <v>179</v>
      </c>
      <c r="M779" t="s">
        <v>287</v>
      </c>
      <c r="N779" t="s">
        <v>11</v>
      </c>
      <c r="O779" t="s">
        <v>4</v>
      </c>
      <c r="P779">
        <v>0</v>
      </c>
      <c r="Q779">
        <v>0</v>
      </c>
      <c r="R779">
        <v>0</v>
      </c>
      <c r="S779">
        <v>1</v>
      </c>
      <c r="T779">
        <v>1</v>
      </c>
      <c r="U779">
        <v>1</v>
      </c>
      <c r="V779">
        <v>1</v>
      </c>
      <c r="W779">
        <v>1</v>
      </c>
      <c r="X779">
        <v>1</v>
      </c>
      <c r="Y779">
        <v>1</v>
      </c>
      <c r="Z779">
        <v>1</v>
      </c>
      <c r="AA779">
        <v>1</v>
      </c>
      <c r="AB779">
        <v>1</v>
      </c>
      <c r="AC779">
        <v>1</v>
      </c>
      <c r="AD779">
        <v>1</v>
      </c>
      <c r="AE779">
        <v>1</v>
      </c>
      <c r="AF779">
        <v>1</v>
      </c>
      <c r="AG779" t="s">
        <v>287</v>
      </c>
      <c r="AH779" t="s">
        <v>11</v>
      </c>
      <c r="AI779" t="s">
        <v>4</v>
      </c>
      <c r="AJ779">
        <f>$H$779*$P$779</f>
        <v>0</v>
      </c>
      <c r="AK779">
        <f>$H$779*$Q$779</f>
        <v>0</v>
      </c>
      <c r="AL779">
        <f>$H$779*$R$779</f>
        <v>0</v>
      </c>
      <c r="AM779">
        <f>$H$779*$S$779</f>
        <v>402.14</v>
      </c>
      <c r="AN779">
        <f>$H$779*$T$779</f>
        <v>402.14</v>
      </c>
      <c r="AO779">
        <f>$H$779*$U$779</f>
        <v>402.14</v>
      </c>
      <c r="AP779">
        <f>$H$779*$V$779</f>
        <v>402.14</v>
      </c>
      <c r="AQ779">
        <f>$H$779*$W$779</f>
        <v>402.14</v>
      </c>
      <c r="AR779">
        <f>$H$779*$X$779</f>
        <v>402.14</v>
      </c>
      <c r="AS779">
        <f>$H$779*$Y$779</f>
        <v>402.14</v>
      </c>
      <c r="AT779">
        <f>$H$779*$Z$779</f>
        <v>402.14</v>
      </c>
      <c r="AU779">
        <f>$H$779*$AA$779</f>
        <v>402.14</v>
      </c>
      <c r="AV779">
        <f>$H$779*$AB$779</f>
        <v>402.14</v>
      </c>
      <c r="AW779">
        <f>$H$779*$AC$779</f>
        <v>402.14</v>
      </c>
      <c r="AX779">
        <f>$H$779*$AD$779</f>
        <v>402.14</v>
      </c>
      <c r="AY779">
        <f>$H$779*$AE$779</f>
        <v>402.14</v>
      </c>
      <c r="AZ779">
        <f>$H$779*$AF$779</f>
        <v>402.14</v>
      </c>
    </row>
    <row r="780" spans="1:52" x14ac:dyDescent="0.25">
      <c r="A780">
        <v>848</v>
      </c>
      <c r="B780" t="s">
        <v>287</v>
      </c>
      <c r="C780" t="s">
        <v>364</v>
      </c>
      <c r="D780">
        <v>216.56</v>
      </c>
      <c r="E780">
        <v>727.64</v>
      </c>
      <c r="F780" t="s">
        <v>349</v>
      </c>
      <c r="G780">
        <v>3.36</v>
      </c>
      <c r="H780">
        <v>873.16</v>
      </c>
      <c r="I780" t="s">
        <v>365</v>
      </c>
      <c r="J780" t="s">
        <v>366</v>
      </c>
      <c r="K780" t="s">
        <v>618</v>
      </c>
      <c r="L780" t="s">
        <v>179</v>
      </c>
      <c r="M780" t="s">
        <v>287</v>
      </c>
      <c r="N780" t="s">
        <v>11</v>
      </c>
      <c r="O780" t="s">
        <v>4</v>
      </c>
      <c r="P780">
        <v>0</v>
      </c>
      <c r="Q780">
        <v>0</v>
      </c>
      <c r="R780">
        <v>0</v>
      </c>
      <c r="S780">
        <v>0.25</v>
      </c>
      <c r="T780">
        <v>0.25</v>
      </c>
      <c r="U780">
        <v>0.25</v>
      </c>
      <c r="V780">
        <v>0.25</v>
      </c>
      <c r="W780">
        <v>0.5</v>
      </c>
      <c r="X780">
        <v>0.5</v>
      </c>
      <c r="Y780">
        <v>0.5</v>
      </c>
      <c r="Z780">
        <v>0.5</v>
      </c>
      <c r="AA780">
        <v>1</v>
      </c>
      <c r="AB780">
        <v>1</v>
      </c>
      <c r="AC780">
        <v>1</v>
      </c>
      <c r="AD780">
        <v>1</v>
      </c>
      <c r="AE780">
        <v>1</v>
      </c>
      <c r="AF780">
        <v>1</v>
      </c>
      <c r="AG780" t="s">
        <v>287</v>
      </c>
      <c r="AH780" t="s">
        <v>11</v>
      </c>
      <c r="AI780" t="s">
        <v>4</v>
      </c>
      <c r="AJ780">
        <f>$H$780*$P$780</f>
        <v>0</v>
      </c>
      <c r="AK780">
        <f>$H$780*$Q$780</f>
        <v>0</v>
      </c>
      <c r="AL780">
        <f>$H$780*$R$780</f>
        <v>0</v>
      </c>
      <c r="AM780">
        <f>$H$780*$S$780</f>
        <v>218.29</v>
      </c>
      <c r="AN780">
        <f>$H$780*$T$780</f>
        <v>218.29</v>
      </c>
      <c r="AO780">
        <f>$H$780*$U$780</f>
        <v>218.29</v>
      </c>
      <c r="AP780">
        <f>$H$780*$V$780</f>
        <v>218.29</v>
      </c>
      <c r="AQ780">
        <f>$H$780*$W$780</f>
        <v>436.58</v>
      </c>
      <c r="AR780">
        <f>$H$780*$X$780</f>
        <v>436.58</v>
      </c>
      <c r="AS780">
        <f>$H$780*$Y$780</f>
        <v>436.58</v>
      </c>
      <c r="AT780">
        <f>$H$780*$Z$780</f>
        <v>436.58</v>
      </c>
      <c r="AU780">
        <f>$H$780*$AA$780</f>
        <v>873.16</v>
      </c>
      <c r="AV780">
        <f>$H$780*$AB$780</f>
        <v>873.16</v>
      </c>
      <c r="AW780">
        <f>$H$780*$AC$780</f>
        <v>873.16</v>
      </c>
      <c r="AX780">
        <f>$H$780*$AD$780</f>
        <v>873.16</v>
      </c>
      <c r="AY780">
        <f>$H$780*$AE$780</f>
        <v>873.16</v>
      </c>
      <c r="AZ780">
        <f>$H$780*$AF$780</f>
        <v>873.16</v>
      </c>
    </row>
    <row r="781" spans="1:52" x14ac:dyDescent="0.25">
      <c r="A781">
        <v>849</v>
      </c>
      <c r="B781" t="s">
        <v>287</v>
      </c>
      <c r="C781" t="s">
        <v>443</v>
      </c>
      <c r="D781">
        <v>216.56</v>
      </c>
      <c r="E781">
        <v>136.43</v>
      </c>
      <c r="F781" t="s">
        <v>349</v>
      </c>
      <c r="G781">
        <v>0.63</v>
      </c>
      <c r="H781">
        <v>163.71</v>
      </c>
      <c r="I781" t="s">
        <v>330</v>
      </c>
      <c r="J781" t="s">
        <v>444</v>
      </c>
      <c r="K781" t="s">
        <v>656</v>
      </c>
      <c r="L781" t="s">
        <v>179</v>
      </c>
      <c r="M781" t="s">
        <v>287</v>
      </c>
      <c r="N781" t="s">
        <v>11</v>
      </c>
      <c r="O781" t="s">
        <v>4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1</v>
      </c>
      <c r="AE781">
        <v>1</v>
      </c>
      <c r="AF781">
        <v>1</v>
      </c>
      <c r="AG781" t="s">
        <v>287</v>
      </c>
      <c r="AH781" t="s">
        <v>11</v>
      </c>
      <c r="AI781" t="s">
        <v>4</v>
      </c>
      <c r="AJ781">
        <f>$H$781*$P$781</f>
        <v>0</v>
      </c>
      <c r="AK781">
        <f>$H$781*$Q$781</f>
        <v>0</v>
      </c>
      <c r="AL781">
        <f>$H$781*$R$781</f>
        <v>0</v>
      </c>
      <c r="AM781">
        <f>$H$781*$S$781</f>
        <v>0</v>
      </c>
      <c r="AN781">
        <f>$H$781*$T$781</f>
        <v>0</v>
      </c>
      <c r="AO781">
        <f>$H$781*$U$781</f>
        <v>0</v>
      </c>
      <c r="AP781">
        <f>$H$781*$V$781</f>
        <v>0</v>
      </c>
      <c r="AQ781">
        <f>$H$781*$W$781</f>
        <v>0</v>
      </c>
      <c r="AR781">
        <f>$H$781*$X$781</f>
        <v>0</v>
      </c>
      <c r="AS781">
        <f>$H$781*$Y$781</f>
        <v>0</v>
      </c>
      <c r="AT781">
        <f>$H$781*$Z$781</f>
        <v>0</v>
      </c>
      <c r="AU781">
        <f>$H$781*$AA$781</f>
        <v>0</v>
      </c>
      <c r="AV781">
        <f>$H$781*$AB$781</f>
        <v>0</v>
      </c>
      <c r="AW781">
        <f>$H$781*$AC$781</f>
        <v>0</v>
      </c>
      <c r="AX781">
        <f>$H$781*$AD$781</f>
        <v>163.71</v>
      </c>
      <c r="AY781">
        <f>$H$781*$AE$781</f>
        <v>163.71</v>
      </c>
      <c r="AZ781">
        <f>$H$781*$AF$781</f>
        <v>163.71</v>
      </c>
    </row>
    <row r="782" spans="1:52" x14ac:dyDescent="0.25">
      <c r="A782">
        <v>850</v>
      </c>
      <c r="B782" t="s">
        <v>287</v>
      </c>
      <c r="C782" t="s">
        <v>459</v>
      </c>
      <c r="D782">
        <v>216.56</v>
      </c>
      <c r="E782">
        <v>149.43</v>
      </c>
      <c r="F782" t="s">
        <v>349</v>
      </c>
      <c r="G782">
        <v>0.69</v>
      </c>
      <c r="H782">
        <v>179.31</v>
      </c>
      <c r="I782" t="s">
        <v>330</v>
      </c>
      <c r="J782" t="s">
        <v>460</v>
      </c>
      <c r="K782" t="s">
        <v>664</v>
      </c>
      <c r="L782" t="s">
        <v>179</v>
      </c>
      <c r="M782" t="s">
        <v>287</v>
      </c>
      <c r="N782" t="s">
        <v>11</v>
      </c>
      <c r="O782" t="s">
        <v>4</v>
      </c>
      <c r="P782">
        <v>0</v>
      </c>
      <c r="Q782">
        <v>0</v>
      </c>
      <c r="R782">
        <v>0</v>
      </c>
      <c r="S782">
        <v>1</v>
      </c>
      <c r="T782">
        <v>1</v>
      </c>
      <c r="U782">
        <v>1</v>
      </c>
      <c r="V782">
        <v>1</v>
      </c>
      <c r="W782">
        <v>1</v>
      </c>
      <c r="X782">
        <v>1</v>
      </c>
      <c r="Y782">
        <v>1</v>
      </c>
      <c r="Z782">
        <v>1</v>
      </c>
      <c r="AA782">
        <v>1</v>
      </c>
      <c r="AB782">
        <v>1</v>
      </c>
      <c r="AC782">
        <v>1</v>
      </c>
      <c r="AD782">
        <v>1</v>
      </c>
      <c r="AE782">
        <v>1</v>
      </c>
      <c r="AF782">
        <v>1</v>
      </c>
      <c r="AG782" t="s">
        <v>287</v>
      </c>
      <c r="AH782" t="s">
        <v>11</v>
      </c>
      <c r="AI782" t="s">
        <v>4</v>
      </c>
      <c r="AJ782">
        <f>$H$782*$P$782</f>
        <v>0</v>
      </c>
      <c r="AK782">
        <f>$H$782*$Q$782</f>
        <v>0</v>
      </c>
      <c r="AL782">
        <f>$H$782*$R$782</f>
        <v>0</v>
      </c>
      <c r="AM782">
        <f>$H$782*$S$782</f>
        <v>179.31</v>
      </c>
      <c r="AN782">
        <f>$H$782*$T$782</f>
        <v>179.31</v>
      </c>
      <c r="AO782">
        <f>$H$782*$U$782</f>
        <v>179.31</v>
      </c>
      <c r="AP782">
        <f>$H$782*$V$782</f>
        <v>179.31</v>
      </c>
      <c r="AQ782">
        <f>$H$782*$W$782</f>
        <v>179.31</v>
      </c>
      <c r="AR782">
        <f>$H$782*$X$782</f>
        <v>179.31</v>
      </c>
      <c r="AS782">
        <f>$H$782*$Y$782</f>
        <v>179.31</v>
      </c>
      <c r="AT782">
        <f>$H$782*$Z$782</f>
        <v>179.31</v>
      </c>
      <c r="AU782">
        <f>$H$782*$AA$782</f>
        <v>179.31</v>
      </c>
      <c r="AV782">
        <f>$H$782*$AB$782</f>
        <v>179.31</v>
      </c>
      <c r="AW782">
        <f>$H$782*$AC$782</f>
        <v>179.31</v>
      </c>
      <c r="AX782">
        <f>$H$782*$AD$782</f>
        <v>179.31</v>
      </c>
      <c r="AY782">
        <f>$H$782*$AE$782</f>
        <v>179.31</v>
      </c>
      <c r="AZ782">
        <f>$H$782*$AF$782</f>
        <v>179.31</v>
      </c>
    </row>
    <row r="783" spans="1:52" x14ac:dyDescent="0.25">
      <c r="A783">
        <v>851</v>
      </c>
      <c r="B783" t="s">
        <v>287</v>
      </c>
      <c r="C783" t="s">
        <v>461</v>
      </c>
      <c r="D783">
        <v>43.31</v>
      </c>
      <c r="E783">
        <v>751.43</v>
      </c>
      <c r="F783" t="s">
        <v>349</v>
      </c>
      <c r="G783">
        <v>17.350000000000001</v>
      </c>
      <c r="H783">
        <v>901.71</v>
      </c>
      <c r="I783" t="s">
        <v>462</v>
      </c>
      <c r="J783" t="s">
        <v>463</v>
      </c>
      <c r="K783" t="s">
        <v>665</v>
      </c>
      <c r="L783" t="s">
        <v>179</v>
      </c>
      <c r="M783" t="s">
        <v>287</v>
      </c>
      <c r="N783" t="s">
        <v>11</v>
      </c>
      <c r="O783" t="s">
        <v>4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1</v>
      </c>
      <c r="Z783">
        <v>1</v>
      </c>
      <c r="AA783">
        <v>1</v>
      </c>
      <c r="AB783">
        <v>1</v>
      </c>
      <c r="AC783">
        <v>1</v>
      </c>
      <c r="AD783">
        <v>1</v>
      </c>
      <c r="AE783">
        <v>1</v>
      </c>
      <c r="AF783">
        <v>1</v>
      </c>
      <c r="AG783" t="s">
        <v>287</v>
      </c>
      <c r="AH783" t="s">
        <v>11</v>
      </c>
      <c r="AI783" t="s">
        <v>4</v>
      </c>
      <c r="AJ783">
        <f>$H$783*$P$783</f>
        <v>0</v>
      </c>
      <c r="AK783">
        <f>$H$783*$Q$783</f>
        <v>0</v>
      </c>
      <c r="AL783">
        <f>$H$783*$R$783</f>
        <v>0</v>
      </c>
      <c r="AM783">
        <f>$H$783*$S$783</f>
        <v>0</v>
      </c>
      <c r="AN783">
        <f>$H$783*$T$783</f>
        <v>0</v>
      </c>
      <c r="AO783">
        <f>$H$783*$U$783</f>
        <v>0</v>
      </c>
      <c r="AP783">
        <f>$H$783*$V$783</f>
        <v>0</v>
      </c>
      <c r="AQ783">
        <f>$H$783*$W$783</f>
        <v>0</v>
      </c>
      <c r="AR783">
        <f>$H$783*$X$783</f>
        <v>0</v>
      </c>
      <c r="AS783">
        <f>$H$783*$Y$783</f>
        <v>901.71</v>
      </c>
      <c r="AT783">
        <f>$H$783*$Z$783</f>
        <v>901.71</v>
      </c>
      <c r="AU783">
        <f>$H$783*$AA$783</f>
        <v>901.71</v>
      </c>
      <c r="AV783">
        <f>$H$783*$AB$783</f>
        <v>901.71</v>
      </c>
      <c r="AW783">
        <f>$H$783*$AC$783</f>
        <v>901.71</v>
      </c>
      <c r="AX783">
        <f>$H$783*$AD$783</f>
        <v>901.71</v>
      </c>
      <c r="AY783">
        <f>$H$783*$AE$783</f>
        <v>901.71</v>
      </c>
      <c r="AZ783">
        <f>$H$783*$AF$783</f>
        <v>901.71</v>
      </c>
    </row>
    <row r="784" spans="1:52" x14ac:dyDescent="0.25">
      <c r="A784">
        <v>852</v>
      </c>
      <c r="B784" t="s">
        <v>287</v>
      </c>
      <c r="C784" t="s">
        <v>464</v>
      </c>
      <c r="D784">
        <v>86.63</v>
      </c>
      <c r="E784">
        <v>310.14</v>
      </c>
      <c r="F784" t="s">
        <v>349</v>
      </c>
      <c r="G784">
        <v>3.58</v>
      </c>
      <c r="H784">
        <v>372.16</v>
      </c>
      <c r="I784" t="s">
        <v>465</v>
      </c>
      <c r="J784" t="s">
        <v>466</v>
      </c>
      <c r="K784" t="s">
        <v>666</v>
      </c>
      <c r="L784" t="s">
        <v>179</v>
      </c>
      <c r="M784" t="s">
        <v>287</v>
      </c>
      <c r="N784" t="s">
        <v>11</v>
      </c>
      <c r="O784" t="s">
        <v>4</v>
      </c>
      <c r="P784">
        <v>0</v>
      </c>
      <c r="Q784">
        <v>0</v>
      </c>
      <c r="R784">
        <v>0</v>
      </c>
      <c r="S784">
        <v>1</v>
      </c>
      <c r="T784">
        <v>1</v>
      </c>
      <c r="U784">
        <v>1</v>
      </c>
      <c r="V784">
        <v>1</v>
      </c>
      <c r="W784">
        <v>1</v>
      </c>
      <c r="X784">
        <v>1</v>
      </c>
      <c r="Y784">
        <v>1</v>
      </c>
      <c r="Z784">
        <v>1</v>
      </c>
      <c r="AA784">
        <v>1</v>
      </c>
      <c r="AB784">
        <v>1</v>
      </c>
      <c r="AC784">
        <v>1</v>
      </c>
      <c r="AD784">
        <v>1</v>
      </c>
      <c r="AE784">
        <v>1</v>
      </c>
      <c r="AF784">
        <v>1</v>
      </c>
      <c r="AG784" t="s">
        <v>287</v>
      </c>
      <c r="AH784" t="s">
        <v>11</v>
      </c>
      <c r="AI784" t="s">
        <v>4</v>
      </c>
      <c r="AJ784">
        <f>$H$784*$P$784</f>
        <v>0</v>
      </c>
      <c r="AK784">
        <f>$H$784*$Q$784</f>
        <v>0</v>
      </c>
      <c r="AL784">
        <f>$H$784*$R$784</f>
        <v>0</v>
      </c>
      <c r="AM784">
        <f>$H$784*$S$784</f>
        <v>372.16</v>
      </c>
      <c r="AN784">
        <f>$H$784*$T$784</f>
        <v>372.16</v>
      </c>
      <c r="AO784">
        <f>$H$784*$U$784</f>
        <v>372.16</v>
      </c>
      <c r="AP784">
        <f>$H$784*$V$784</f>
        <v>372.16</v>
      </c>
      <c r="AQ784">
        <f>$H$784*$W$784</f>
        <v>372.16</v>
      </c>
      <c r="AR784">
        <f>$H$784*$X$784</f>
        <v>372.16</v>
      </c>
      <c r="AS784">
        <f>$H$784*$Y$784</f>
        <v>372.16</v>
      </c>
      <c r="AT784">
        <f>$H$784*$Z$784</f>
        <v>372.16</v>
      </c>
      <c r="AU784">
        <f>$H$784*$AA$784</f>
        <v>372.16</v>
      </c>
      <c r="AV784">
        <f>$H$784*$AB$784</f>
        <v>372.16</v>
      </c>
      <c r="AW784">
        <f>$H$784*$AC$784</f>
        <v>372.16</v>
      </c>
      <c r="AX784">
        <f>$H$784*$AD$784</f>
        <v>372.16</v>
      </c>
      <c r="AY784">
        <f>$H$784*$AE$784</f>
        <v>372.16</v>
      </c>
      <c r="AZ784">
        <f>$H$784*$AF$784</f>
        <v>372.16</v>
      </c>
    </row>
    <row r="785" spans="1:52" x14ac:dyDescent="0.25">
      <c r="A785">
        <v>853</v>
      </c>
      <c r="B785" t="s">
        <v>287</v>
      </c>
      <c r="C785" t="s">
        <v>467</v>
      </c>
      <c r="D785">
        <v>86.63</v>
      </c>
      <c r="E785">
        <v>853.31</v>
      </c>
      <c r="F785" t="s">
        <v>349</v>
      </c>
      <c r="G785">
        <v>9.85</v>
      </c>
      <c r="H785">
        <v>1023.97</v>
      </c>
      <c r="I785" t="s">
        <v>465</v>
      </c>
      <c r="J785" t="s">
        <v>372</v>
      </c>
      <c r="K785" t="s">
        <v>667</v>
      </c>
      <c r="L785" t="s">
        <v>179</v>
      </c>
      <c r="M785" t="s">
        <v>287</v>
      </c>
      <c r="N785" t="s">
        <v>11</v>
      </c>
      <c r="O785" t="s">
        <v>4</v>
      </c>
      <c r="P785">
        <v>0</v>
      </c>
      <c r="Q785">
        <v>0</v>
      </c>
      <c r="R785">
        <v>0</v>
      </c>
      <c r="S785">
        <v>1</v>
      </c>
      <c r="T785">
        <v>1</v>
      </c>
      <c r="U785">
        <v>1</v>
      </c>
      <c r="V785">
        <v>1</v>
      </c>
      <c r="W785">
        <v>1</v>
      </c>
      <c r="X785">
        <v>1</v>
      </c>
      <c r="Y785">
        <v>1</v>
      </c>
      <c r="Z785">
        <v>1</v>
      </c>
      <c r="AA785">
        <v>1</v>
      </c>
      <c r="AB785">
        <v>1</v>
      </c>
      <c r="AC785">
        <v>1</v>
      </c>
      <c r="AD785">
        <v>1</v>
      </c>
      <c r="AE785">
        <v>1</v>
      </c>
      <c r="AF785">
        <v>1</v>
      </c>
      <c r="AG785" t="s">
        <v>287</v>
      </c>
      <c r="AH785" t="s">
        <v>11</v>
      </c>
      <c r="AI785" t="s">
        <v>4</v>
      </c>
      <c r="AJ785">
        <f>$H$785*$P$785</f>
        <v>0</v>
      </c>
      <c r="AK785">
        <f>$H$785*$Q$785</f>
        <v>0</v>
      </c>
      <c r="AL785">
        <f>$H$785*$R$785</f>
        <v>0</v>
      </c>
      <c r="AM785">
        <f>$H$785*$S$785</f>
        <v>1023.97</v>
      </c>
      <c r="AN785">
        <f>$H$785*$T$785</f>
        <v>1023.97</v>
      </c>
      <c r="AO785">
        <f>$H$785*$U$785</f>
        <v>1023.97</v>
      </c>
      <c r="AP785">
        <f>$H$785*$V$785</f>
        <v>1023.97</v>
      </c>
      <c r="AQ785">
        <f>$H$785*$W$785</f>
        <v>1023.97</v>
      </c>
      <c r="AR785">
        <f>$H$785*$X$785</f>
        <v>1023.97</v>
      </c>
      <c r="AS785">
        <f>$H$785*$Y$785</f>
        <v>1023.97</v>
      </c>
      <c r="AT785">
        <f>$H$785*$Z$785</f>
        <v>1023.97</v>
      </c>
      <c r="AU785">
        <f>$H$785*$AA$785</f>
        <v>1023.97</v>
      </c>
      <c r="AV785">
        <f>$H$785*$AB$785</f>
        <v>1023.97</v>
      </c>
      <c r="AW785">
        <f>$H$785*$AC$785</f>
        <v>1023.97</v>
      </c>
      <c r="AX785">
        <f>$H$785*$AD$785</f>
        <v>1023.97</v>
      </c>
      <c r="AY785">
        <f>$H$785*$AE$785</f>
        <v>1023.97</v>
      </c>
      <c r="AZ785">
        <f>$H$785*$AF$785</f>
        <v>1023.97</v>
      </c>
    </row>
    <row r="786" spans="1:52" x14ac:dyDescent="0.25">
      <c r="A786">
        <v>854</v>
      </c>
      <c r="B786" t="s">
        <v>287</v>
      </c>
      <c r="C786" t="s">
        <v>468</v>
      </c>
      <c r="D786">
        <v>99.62</v>
      </c>
      <c r="E786">
        <v>101.61</v>
      </c>
      <c r="F786" t="s">
        <v>349</v>
      </c>
      <c r="G786">
        <v>1.02</v>
      </c>
      <c r="H786">
        <v>121.93</v>
      </c>
      <c r="I786" t="s">
        <v>469</v>
      </c>
      <c r="J786" t="s">
        <v>470</v>
      </c>
      <c r="K786" t="s">
        <v>668</v>
      </c>
      <c r="L786" t="s">
        <v>179</v>
      </c>
      <c r="M786" t="s">
        <v>287</v>
      </c>
      <c r="N786" t="s">
        <v>11</v>
      </c>
      <c r="O786" t="s">
        <v>4</v>
      </c>
      <c r="P786">
        <v>0</v>
      </c>
      <c r="Q786">
        <v>0</v>
      </c>
      <c r="R786">
        <v>0</v>
      </c>
      <c r="S786">
        <v>1</v>
      </c>
      <c r="T786">
        <v>1</v>
      </c>
      <c r="U786">
        <v>1</v>
      </c>
      <c r="V786">
        <v>1</v>
      </c>
      <c r="W786">
        <v>1</v>
      </c>
      <c r="X786">
        <v>1</v>
      </c>
      <c r="Y786">
        <v>1</v>
      </c>
      <c r="Z786">
        <v>1</v>
      </c>
      <c r="AA786">
        <v>1</v>
      </c>
      <c r="AB786">
        <v>1</v>
      </c>
      <c r="AC786">
        <v>1</v>
      </c>
      <c r="AD786">
        <v>1</v>
      </c>
      <c r="AE786">
        <v>1</v>
      </c>
      <c r="AF786">
        <v>1</v>
      </c>
      <c r="AG786" t="s">
        <v>287</v>
      </c>
      <c r="AH786" t="s">
        <v>11</v>
      </c>
      <c r="AI786" t="s">
        <v>4</v>
      </c>
      <c r="AJ786">
        <f>$H$786*$P$786</f>
        <v>0</v>
      </c>
      <c r="AK786">
        <f>$H$786*$Q$786</f>
        <v>0</v>
      </c>
      <c r="AL786">
        <f>$H$786*$R$786</f>
        <v>0</v>
      </c>
      <c r="AM786">
        <f>$H$786*$S$786</f>
        <v>121.93</v>
      </c>
      <c r="AN786">
        <f>$H$786*$T$786</f>
        <v>121.93</v>
      </c>
      <c r="AO786">
        <f>$H$786*$U$786</f>
        <v>121.93</v>
      </c>
      <c r="AP786">
        <f>$H$786*$V$786</f>
        <v>121.93</v>
      </c>
      <c r="AQ786">
        <f>$H$786*$W$786</f>
        <v>121.93</v>
      </c>
      <c r="AR786">
        <f>$H$786*$X$786</f>
        <v>121.93</v>
      </c>
      <c r="AS786">
        <f>$H$786*$Y$786</f>
        <v>121.93</v>
      </c>
      <c r="AT786">
        <f>$H$786*$Z$786</f>
        <v>121.93</v>
      </c>
      <c r="AU786">
        <f>$H$786*$AA$786</f>
        <v>121.93</v>
      </c>
      <c r="AV786">
        <f>$H$786*$AB$786</f>
        <v>121.93</v>
      </c>
      <c r="AW786">
        <f>$H$786*$AC$786</f>
        <v>121.93</v>
      </c>
      <c r="AX786">
        <f>$H$786*$AD$786</f>
        <v>121.93</v>
      </c>
      <c r="AY786">
        <f>$H$786*$AE$786</f>
        <v>121.93</v>
      </c>
      <c r="AZ786">
        <f>$H$786*$AF$786</f>
        <v>121.93</v>
      </c>
    </row>
    <row r="787" spans="1:52" x14ac:dyDescent="0.25">
      <c r="A787">
        <v>855</v>
      </c>
      <c r="B787" t="s">
        <v>287</v>
      </c>
      <c r="C787" t="s">
        <v>471</v>
      </c>
      <c r="D787">
        <v>99.62</v>
      </c>
      <c r="E787">
        <v>919.49</v>
      </c>
      <c r="F787" t="s">
        <v>349</v>
      </c>
      <c r="G787">
        <v>9.23</v>
      </c>
      <c r="H787">
        <v>1103.3900000000001</v>
      </c>
      <c r="I787" t="s">
        <v>469</v>
      </c>
      <c r="J787" t="s">
        <v>463</v>
      </c>
      <c r="K787" t="s">
        <v>669</v>
      </c>
      <c r="L787" t="s">
        <v>179</v>
      </c>
      <c r="M787" t="s">
        <v>287</v>
      </c>
      <c r="N787" t="s">
        <v>11</v>
      </c>
      <c r="O787" t="s">
        <v>4</v>
      </c>
      <c r="P787">
        <v>0</v>
      </c>
      <c r="Q787">
        <v>0</v>
      </c>
      <c r="R787">
        <v>0</v>
      </c>
      <c r="S787">
        <v>1</v>
      </c>
      <c r="T787">
        <v>1</v>
      </c>
      <c r="U787">
        <v>1</v>
      </c>
      <c r="V787">
        <v>1</v>
      </c>
      <c r="W787">
        <v>1</v>
      </c>
      <c r="X787">
        <v>1</v>
      </c>
      <c r="Y787">
        <v>1</v>
      </c>
      <c r="Z787">
        <v>1</v>
      </c>
      <c r="AA787">
        <v>1</v>
      </c>
      <c r="AB787">
        <v>1</v>
      </c>
      <c r="AC787">
        <v>1</v>
      </c>
      <c r="AD787">
        <v>1</v>
      </c>
      <c r="AE787">
        <v>1</v>
      </c>
      <c r="AF787">
        <v>1</v>
      </c>
      <c r="AG787" t="s">
        <v>287</v>
      </c>
      <c r="AH787" t="s">
        <v>11</v>
      </c>
      <c r="AI787" t="s">
        <v>4</v>
      </c>
      <c r="AJ787">
        <f>$H$787*$P$787</f>
        <v>0</v>
      </c>
      <c r="AK787">
        <f>$H$787*$Q$787</f>
        <v>0</v>
      </c>
      <c r="AL787">
        <f>$H$787*$R$787</f>
        <v>0</v>
      </c>
      <c r="AM787">
        <f>$H$787*$S$787</f>
        <v>1103.3900000000001</v>
      </c>
      <c r="AN787">
        <f>$H$787*$T$787</f>
        <v>1103.3900000000001</v>
      </c>
      <c r="AO787">
        <f>$H$787*$U$787</f>
        <v>1103.3900000000001</v>
      </c>
      <c r="AP787">
        <f>$H$787*$V$787</f>
        <v>1103.3900000000001</v>
      </c>
      <c r="AQ787">
        <f>$H$787*$W$787</f>
        <v>1103.3900000000001</v>
      </c>
      <c r="AR787">
        <f>$H$787*$X$787</f>
        <v>1103.3900000000001</v>
      </c>
      <c r="AS787">
        <f>$H$787*$Y$787</f>
        <v>1103.3900000000001</v>
      </c>
      <c r="AT787">
        <f>$H$787*$Z$787</f>
        <v>1103.3900000000001</v>
      </c>
      <c r="AU787">
        <f>$H$787*$AA$787</f>
        <v>1103.3900000000001</v>
      </c>
      <c r="AV787">
        <f>$H$787*$AB$787</f>
        <v>1103.3900000000001</v>
      </c>
      <c r="AW787">
        <f>$H$787*$AC$787</f>
        <v>1103.3900000000001</v>
      </c>
      <c r="AX787">
        <f>$H$787*$AD$787</f>
        <v>1103.3900000000001</v>
      </c>
      <c r="AY787">
        <f>$H$787*$AE$787</f>
        <v>1103.3900000000001</v>
      </c>
      <c r="AZ787">
        <f>$H$787*$AF$787</f>
        <v>1103.3900000000001</v>
      </c>
    </row>
    <row r="788" spans="1:52" x14ac:dyDescent="0.25">
      <c r="A788">
        <v>856</v>
      </c>
      <c r="B788" t="s">
        <v>303</v>
      </c>
      <c r="C788" t="s">
        <v>336</v>
      </c>
      <c r="D788">
        <v>1</v>
      </c>
      <c r="E788">
        <v>87.09</v>
      </c>
      <c r="F788" t="s">
        <v>335</v>
      </c>
      <c r="G788">
        <v>87.09</v>
      </c>
      <c r="H788">
        <v>104.51</v>
      </c>
      <c r="I788" t="s">
        <v>337</v>
      </c>
      <c r="J788" t="s">
        <v>338</v>
      </c>
      <c r="K788" t="s">
        <v>606</v>
      </c>
      <c r="L788" t="s">
        <v>179</v>
      </c>
      <c r="M788" t="s">
        <v>303</v>
      </c>
      <c r="N788" t="s">
        <v>11</v>
      </c>
      <c r="O788" t="s">
        <v>6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1</v>
      </c>
      <c r="AE788">
        <v>1</v>
      </c>
      <c r="AF788">
        <v>1</v>
      </c>
      <c r="AG788" t="s">
        <v>303</v>
      </c>
      <c r="AH788" t="s">
        <v>11</v>
      </c>
      <c r="AI788" t="s">
        <v>6</v>
      </c>
      <c r="AJ788">
        <f>$H$788*$P$788</f>
        <v>0</v>
      </c>
      <c r="AK788">
        <f>$H$788*$Q$788</f>
        <v>0</v>
      </c>
      <c r="AL788">
        <f>$H$788*$R$788</f>
        <v>0</v>
      </c>
      <c r="AM788">
        <f>$H$788*$S$788</f>
        <v>0</v>
      </c>
      <c r="AN788">
        <f>$H$788*$T$788</f>
        <v>0</v>
      </c>
      <c r="AO788">
        <f>$H$788*$U$788</f>
        <v>0</v>
      </c>
      <c r="AP788">
        <f>$H$788*$V$788</f>
        <v>0</v>
      </c>
      <c r="AQ788">
        <f>$H$788*$W$788</f>
        <v>0</v>
      </c>
      <c r="AR788">
        <f>$H$788*$X$788</f>
        <v>0</v>
      </c>
      <c r="AS788">
        <f>$H$788*$Y$788</f>
        <v>0</v>
      </c>
      <c r="AT788">
        <f>$H$788*$Z$788</f>
        <v>0</v>
      </c>
      <c r="AU788">
        <f>$H$788*$AA$788</f>
        <v>0</v>
      </c>
      <c r="AV788">
        <f>$H$788*$AB$788</f>
        <v>0</v>
      </c>
      <c r="AW788">
        <f>$H$788*$AC$788</f>
        <v>0</v>
      </c>
      <c r="AX788">
        <f>$H$788*$AD$788</f>
        <v>104.51</v>
      </c>
      <c r="AY788">
        <f>$H$788*$AE$788</f>
        <v>104.51</v>
      </c>
      <c r="AZ788">
        <f>$H$788*$AF$788</f>
        <v>104.51</v>
      </c>
    </row>
    <row r="789" spans="1:52" x14ac:dyDescent="0.25">
      <c r="A789">
        <v>857</v>
      </c>
      <c r="B789" t="s">
        <v>303</v>
      </c>
      <c r="C789" t="s">
        <v>435</v>
      </c>
      <c r="D789">
        <v>3</v>
      </c>
      <c r="E789">
        <v>39.81</v>
      </c>
      <c r="F789" t="s">
        <v>335</v>
      </c>
      <c r="G789">
        <v>13.27</v>
      </c>
      <c r="H789">
        <v>47.77</v>
      </c>
      <c r="I789" t="s">
        <v>337</v>
      </c>
      <c r="J789" t="s">
        <v>436</v>
      </c>
      <c r="K789" t="s">
        <v>652</v>
      </c>
      <c r="L789" t="s">
        <v>179</v>
      </c>
      <c r="M789" t="s">
        <v>303</v>
      </c>
      <c r="N789" t="s">
        <v>11</v>
      </c>
      <c r="O789" t="s">
        <v>6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1</v>
      </c>
      <c r="Y789">
        <v>1</v>
      </c>
      <c r="Z789">
        <v>1</v>
      </c>
      <c r="AA789">
        <v>1</v>
      </c>
      <c r="AB789">
        <v>1</v>
      </c>
      <c r="AC789">
        <v>1</v>
      </c>
      <c r="AD789">
        <v>1</v>
      </c>
      <c r="AE789">
        <v>1</v>
      </c>
      <c r="AF789">
        <v>1</v>
      </c>
      <c r="AG789" t="s">
        <v>303</v>
      </c>
      <c r="AH789" t="s">
        <v>11</v>
      </c>
      <c r="AI789" t="s">
        <v>6</v>
      </c>
      <c r="AJ789">
        <f>$H$789*$P$789</f>
        <v>0</v>
      </c>
      <c r="AK789">
        <f>$H$789*$Q$789</f>
        <v>0</v>
      </c>
      <c r="AL789">
        <f>$H$789*$R$789</f>
        <v>0</v>
      </c>
      <c r="AM789">
        <f>$H$789*$S$789</f>
        <v>0</v>
      </c>
      <c r="AN789">
        <f>$H$789*$T$789</f>
        <v>0</v>
      </c>
      <c r="AO789">
        <f>$H$789*$U$789</f>
        <v>0</v>
      </c>
      <c r="AP789">
        <f>$H$789*$V$789</f>
        <v>0</v>
      </c>
      <c r="AQ789">
        <f>$H$789*$W$789</f>
        <v>0</v>
      </c>
      <c r="AR789">
        <f>$H$789*$X$789</f>
        <v>47.77</v>
      </c>
      <c r="AS789">
        <f>$H$789*$Y$789</f>
        <v>47.77</v>
      </c>
      <c r="AT789">
        <f>$H$789*$Z$789</f>
        <v>47.77</v>
      </c>
      <c r="AU789">
        <f>$H$789*$AA$789</f>
        <v>47.77</v>
      </c>
      <c r="AV789">
        <f>$H$789*$AB$789</f>
        <v>47.77</v>
      </c>
      <c r="AW789">
        <f>$H$789*$AC$789</f>
        <v>47.77</v>
      </c>
      <c r="AX789">
        <f>$H$789*$AD$789</f>
        <v>47.77</v>
      </c>
      <c r="AY789">
        <f>$H$789*$AE$789</f>
        <v>47.77</v>
      </c>
      <c r="AZ789">
        <f>$H$789*$AF$789</f>
        <v>47.77</v>
      </c>
    </row>
    <row r="790" spans="1:52" x14ac:dyDescent="0.25">
      <c r="A790">
        <v>858</v>
      </c>
      <c r="B790" t="s">
        <v>303</v>
      </c>
      <c r="C790" t="s">
        <v>437</v>
      </c>
      <c r="D790">
        <v>1</v>
      </c>
      <c r="E790">
        <v>98.82</v>
      </c>
      <c r="F790" t="s">
        <v>335</v>
      </c>
      <c r="G790">
        <v>98.82</v>
      </c>
      <c r="H790">
        <v>118.58</v>
      </c>
      <c r="I790" t="s">
        <v>340</v>
      </c>
      <c r="J790" t="s">
        <v>372</v>
      </c>
      <c r="K790" t="s">
        <v>653</v>
      </c>
      <c r="L790" t="s">
        <v>179</v>
      </c>
      <c r="M790" t="s">
        <v>303</v>
      </c>
      <c r="N790" t="s">
        <v>11</v>
      </c>
      <c r="O790" t="s">
        <v>6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1</v>
      </c>
      <c r="AE790">
        <v>1</v>
      </c>
      <c r="AF790">
        <v>1</v>
      </c>
      <c r="AG790" t="s">
        <v>303</v>
      </c>
      <c r="AH790" t="s">
        <v>11</v>
      </c>
      <c r="AI790" t="s">
        <v>6</v>
      </c>
      <c r="AJ790">
        <f>$H$790*$P$790</f>
        <v>0</v>
      </c>
      <c r="AK790">
        <f>$H$790*$Q$790</f>
        <v>0</v>
      </c>
      <c r="AL790">
        <f>$H$790*$R$790</f>
        <v>0</v>
      </c>
      <c r="AM790">
        <f>$H$790*$S$790</f>
        <v>0</v>
      </c>
      <c r="AN790">
        <f>$H$790*$T$790</f>
        <v>0</v>
      </c>
      <c r="AO790">
        <f>$H$790*$U$790</f>
        <v>0</v>
      </c>
      <c r="AP790">
        <f>$H$790*$V$790</f>
        <v>0</v>
      </c>
      <c r="AQ790">
        <f>$H$790*$W$790</f>
        <v>0</v>
      </c>
      <c r="AR790">
        <f>$H$790*$X$790</f>
        <v>0</v>
      </c>
      <c r="AS790">
        <f>$H$790*$Y$790</f>
        <v>0</v>
      </c>
      <c r="AT790">
        <f>$H$790*$Z$790</f>
        <v>0</v>
      </c>
      <c r="AU790">
        <f>$H$790*$AA$790</f>
        <v>0</v>
      </c>
      <c r="AV790">
        <f>$H$790*$AB$790</f>
        <v>0</v>
      </c>
      <c r="AW790">
        <f>$H$790*$AC$790</f>
        <v>0</v>
      </c>
      <c r="AX790">
        <f>$H$790*$AD$790</f>
        <v>118.58</v>
      </c>
      <c r="AY790">
        <f>$H$790*$AE$790</f>
        <v>118.58</v>
      </c>
      <c r="AZ790">
        <f>$H$790*$AF$790</f>
        <v>118.58</v>
      </c>
    </row>
    <row r="791" spans="1:52" x14ac:dyDescent="0.25">
      <c r="A791">
        <v>859</v>
      </c>
      <c r="B791" t="s">
        <v>303</v>
      </c>
      <c r="C791" t="s">
        <v>438</v>
      </c>
      <c r="D791">
        <v>14.93</v>
      </c>
      <c r="E791">
        <v>39.119999999999997</v>
      </c>
      <c r="F791" t="s">
        <v>329</v>
      </c>
      <c r="G791">
        <v>2.62</v>
      </c>
      <c r="H791">
        <v>46.94</v>
      </c>
      <c r="I791" t="s">
        <v>439</v>
      </c>
      <c r="J791" t="s">
        <v>440</v>
      </c>
      <c r="K791" t="s">
        <v>654</v>
      </c>
      <c r="L791" t="s">
        <v>179</v>
      </c>
      <c r="M791" t="s">
        <v>303</v>
      </c>
      <c r="N791" t="s">
        <v>11</v>
      </c>
      <c r="O791" t="s">
        <v>6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1</v>
      </c>
      <c r="AB791">
        <v>1</v>
      </c>
      <c r="AC791">
        <v>1</v>
      </c>
      <c r="AD791">
        <v>1</v>
      </c>
      <c r="AE791">
        <v>1</v>
      </c>
      <c r="AF791">
        <v>1</v>
      </c>
      <c r="AG791" t="s">
        <v>303</v>
      </c>
      <c r="AH791" t="s">
        <v>11</v>
      </c>
      <c r="AI791" t="s">
        <v>6</v>
      </c>
      <c r="AJ791">
        <f>$H$791*$P$791</f>
        <v>0</v>
      </c>
      <c r="AK791">
        <f>$H$791*$Q$791</f>
        <v>0</v>
      </c>
      <c r="AL791">
        <f>$H$791*$R$791</f>
        <v>0</v>
      </c>
      <c r="AM791">
        <f>$H$791*$S$791</f>
        <v>0</v>
      </c>
      <c r="AN791">
        <f>$H$791*$T$791</f>
        <v>0</v>
      </c>
      <c r="AO791">
        <f>$H$791*$U$791</f>
        <v>0</v>
      </c>
      <c r="AP791">
        <f>$H$791*$V$791</f>
        <v>0</v>
      </c>
      <c r="AQ791">
        <f>$H$791*$W$791</f>
        <v>0</v>
      </c>
      <c r="AR791">
        <f>$H$791*$X$791</f>
        <v>0</v>
      </c>
      <c r="AS791">
        <f>$H$791*$Y$791</f>
        <v>0</v>
      </c>
      <c r="AT791">
        <f>$H$791*$Z$791</f>
        <v>0</v>
      </c>
      <c r="AU791">
        <f>$H$791*$AA$791</f>
        <v>46.94</v>
      </c>
      <c r="AV791">
        <f>$H$791*$AB$791</f>
        <v>46.94</v>
      </c>
      <c r="AW791">
        <f>$H$791*$AC$791</f>
        <v>46.94</v>
      </c>
      <c r="AX791">
        <f>$H$791*$AD$791</f>
        <v>46.94</v>
      </c>
      <c r="AY791">
        <f>$H$791*$AE$791</f>
        <v>46.94</v>
      </c>
      <c r="AZ791">
        <f>$H$791*$AF$791</f>
        <v>46.94</v>
      </c>
    </row>
    <row r="792" spans="1:52" x14ac:dyDescent="0.25">
      <c r="A792">
        <v>860</v>
      </c>
      <c r="B792" t="s">
        <v>303</v>
      </c>
      <c r="C792" t="s">
        <v>441</v>
      </c>
      <c r="D792">
        <v>134.4</v>
      </c>
      <c r="E792">
        <v>290.3</v>
      </c>
      <c r="F792" t="s">
        <v>349</v>
      </c>
      <c r="G792">
        <v>2.16</v>
      </c>
      <c r="H792">
        <v>348.36</v>
      </c>
      <c r="I792" t="s">
        <v>439</v>
      </c>
      <c r="J792" t="s">
        <v>442</v>
      </c>
      <c r="K792" t="s">
        <v>655</v>
      </c>
      <c r="L792" t="s">
        <v>179</v>
      </c>
      <c r="M792" t="s">
        <v>303</v>
      </c>
      <c r="N792" t="s">
        <v>11</v>
      </c>
      <c r="O792" t="s">
        <v>6</v>
      </c>
      <c r="P792">
        <v>0</v>
      </c>
      <c r="Q792">
        <v>0</v>
      </c>
      <c r="R792">
        <v>0</v>
      </c>
      <c r="S792">
        <v>1</v>
      </c>
      <c r="T792">
        <v>1</v>
      </c>
      <c r="U792">
        <v>1</v>
      </c>
      <c r="V792">
        <v>1</v>
      </c>
      <c r="W792">
        <v>1</v>
      </c>
      <c r="X792">
        <v>1</v>
      </c>
      <c r="Y792">
        <v>1</v>
      </c>
      <c r="Z792">
        <v>1</v>
      </c>
      <c r="AA792">
        <v>1</v>
      </c>
      <c r="AB792">
        <v>1</v>
      </c>
      <c r="AC792">
        <v>1</v>
      </c>
      <c r="AD792">
        <v>1</v>
      </c>
      <c r="AE792">
        <v>1</v>
      </c>
      <c r="AF792">
        <v>1</v>
      </c>
      <c r="AG792" t="s">
        <v>303</v>
      </c>
      <c r="AH792" t="s">
        <v>11</v>
      </c>
      <c r="AI792" t="s">
        <v>6</v>
      </c>
      <c r="AJ792">
        <f>$H$792*$P$792</f>
        <v>0</v>
      </c>
      <c r="AK792">
        <f>$H$792*$Q$792</f>
        <v>0</v>
      </c>
      <c r="AL792">
        <f>$H$792*$R$792</f>
        <v>0</v>
      </c>
      <c r="AM792">
        <f>$H$792*$S$792</f>
        <v>348.36</v>
      </c>
      <c r="AN792">
        <f>$H$792*$T$792</f>
        <v>348.36</v>
      </c>
      <c r="AO792">
        <f>$H$792*$U$792</f>
        <v>348.36</v>
      </c>
      <c r="AP792">
        <f>$H$792*$V$792</f>
        <v>348.36</v>
      </c>
      <c r="AQ792">
        <f>$H$792*$W$792</f>
        <v>348.36</v>
      </c>
      <c r="AR792">
        <f>$H$792*$X$792</f>
        <v>348.36</v>
      </c>
      <c r="AS792">
        <f>$H$792*$Y$792</f>
        <v>348.36</v>
      </c>
      <c r="AT792">
        <f>$H$792*$Z$792</f>
        <v>348.36</v>
      </c>
      <c r="AU792">
        <f>$H$792*$AA$792</f>
        <v>348.36</v>
      </c>
      <c r="AV792">
        <f>$H$792*$AB$792</f>
        <v>348.36</v>
      </c>
      <c r="AW792">
        <f>$H$792*$AC$792</f>
        <v>348.36</v>
      </c>
      <c r="AX792">
        <f>$H$792*$AD$792</f>
        <v>348.36</v>
      </c>
      <c r="AY792">
        <f>$H$792*$AE$792</f>
        <v>348.36</v>
      </c>
      <c r="AZ792">
        <f>$H$792*$AF$792</f>
        <v>348.36</v>
      </c>
    </row>
    <row r="793" spans="1:52" x14ac:dyDescent="0.25">
      <c r="A793">
        <v>861</v>
      </c>
      <c r="B793" t="s">
        <v>303</v>
      </c>
      <c r="C793" t="s">
        <v>443</v>
      </c>
      <c r="D793">
        <v>134.4</v>
      </c>
      <c r="E793">
        <v>84.67</v>
      </c>
      <c r="F793" t="s">
        <v>349</v>
      </c>
      <c r="G793">
        <v>0.63</v>
      </c>
      <c r="H793">
        <v>101.61</v>
      </c>
      <c r="I793" t="s">
        <v>330</v>
      </c>
      <c r="J793" t="s">
        <v>444</v>
      </c>
      <c r="K793" t="s">
        <v>656</v>
      </c>
      <c r="L793" t="s">
        <v>179</v>
      </c>
      <c r="M793" t="s">
        <v>303</v>
      </c>
      <c r="N793" t="s">
        <v>11</v>
      </c>
      <c r="O793" t="s">
        <v>6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1</v>
      </c>
      <c r="AE793">
        <v>1</v>
      </c>
      <c r="AF793">
        <v>1</v>
      </c>
      <c r="AG793" t="s">
        <v>303</v>
      </c>
      <c r="AH793" t="s">
        <v>11</v>
      </c>
      <c r="AI793" t="s">
        <v>6</v>
      </c>
      <c r="AJ793">
        <f>$H$793*$P$793</f>
        <v>0</v>
      </c>
      <c r="AK793">
        <f>$H$793*$Q$793</f>
        <v>0</v>
      </c>
      <c r="AL793">
        <f>$H$793*$R$793</f>
        <v>0</v>
      </c>
      <c r="AM793">
        <f>$H$793*$S$793</f>
        <v>0</v>
      </c>
      <c r="AN793">
        <f>$H$793*$T$793</f>
        <v>0</v>
      </c>
      <c r="AO793">
        <f>$H$793*$U$793</f>
        <v>0</v>
      </c>
      <c r="AP793">
        <f>$H$793*$V$793</f>
        <v>0</v>
      </c>
      <c r="AQ793">
        <f>$H$793*$W$793</f>
        <v>0</v>
      </c>
      <c r="AR793">
        <f>$H$793*$X$793</f>
        <v>0</v>
      </c>
      <c r="AS793">
        <f>$H$793*$Y$793</f>
        <v>0</v>
      </c>
      <c r="AT793">
        <f>$H$793*$Z$793</f>
        <v>0</v>
      </c>
      <c r="AU793">
        <f>$H$793*$AA$793</f>
        <v>0</v>
      </c>
      <c r="AV793">
        <f>$H$793*$AB$793</f>
        <v>0</v>
      </c>
      <c r="AW793">
        <f>$H$793*$AC$793</f>
        <v>0</v>
      </c>
      <c r="AX793">
        <f>$H$793*$AD$793</f>
        <v>101.61</v>
      </c>
      <c r="AY793">
        <f>$H$793*$AE$793</f>
        <v>101.61</v>
      </c>
      <c r="AZ793">
        <f>$H$793*$AF$793</f>
        <v>101.61</v>
      </c>
    </row>
    <row r="794" spans="1:52" x14ac:dyDescent="0.25">
      <c r="A794">
        <v>862</v>
      </c>
      <c r="B794" t="s">
        <v>303</v>
      </c>
      <c r="C794" t="s">
        <v>362</v>
      </c>
      <c r="D794">
        <v>168</v>
      </c>
      <c r="E794">
        <v>164.64</v>
      </c>
      <c r="F794" t="s">
        <v>349</v>
      </c>
      <c r="G794">
        <v>0.98</v>
      </c>
      <c r="H794">
        <v>197.56</v>
      </c>
      <c r="I794" t="s">
        <v>330</v>
      </c>
      <c r="J794" t="s">
        <v>363</v>
      </c>
      <c r="K794" t="s">
        <v>617</v>
      </c>
      <c r="L794" t="s">
        <v>179</v>
      </c>
      <c r="M794" t="s">
        <v>303</v>
      </c>
      <c r="N794" t="s">
        <v>11</v>
      </c>
      <c r="O794" t="s">
        <v>6</v>
      </c>
      <c r="P794">
        <v>0</v>
      </c>
      <c r="Q794">
        <v>0</v>
      </c>
      <c r="R794">
        <v>0</v>
      </c>
      <c r="S794">
        <v>0</v>
      </c>
      <c r="T794">
        <v>1</v>
      </c>
      <c r="U794">
        <v>1</v>
      </c>
      <c r="V794">
        <v>1</v>
      </c>
      <c r="W794">
        <v>1</v>
      </c>
      <c r="X794">
        <v>1</v>
      </c>
      <c r="Y794">
        <v>1</v>
      </c>
      <c r="Z794">
        <v>1</v>
      </c>
      <c r="AA794">
        <v>1</v>
      </c>
      <c r="AB794">
        <v>1</v>
      </c>
      <c r="AC794">
        <v>1</v>
      </c>
      <c r="AD794">
        <v>1</v>
      </c>
      <c r="AE794">
        <v>1</v>
      </c>
      <c r="AF794">
        <v>1</v>
      </c>
      <c r="AG794" t="s">
        <v>303</v>
      </c>
      <c r="AH794" t="s">
        <v>11</v>
      </c>
      <c r="AI794" t="s">
        <v>6</v>
      </c>
      <c r="AJ794">
        <f>$H$794*$P$794</f>
        <v>0</v>
      </c>
      <c r="AK794">
        <f>$H$794*$Q$794</f>
        <v>0</v>
      </c>
      <c r="AL794">
        <f>$H$794*$R$794</f>
        <v>0</v>
      </c>
      <c r="AM794">
        <f>$H$794*$S$794</f>
        <v>0</v>
      </c>
      <c r="AN794">
        <f>$H$794*$T$794</f>
        <v>197.56</v>
      </c>
      <c r="AO794">
        <f>$H$794*$U$794</f>
        <v>197.56</v>
      </c>
      <c r="AP794">
        <f>$H$794*$V$794</f>
        <v>197.56</v>
      </c>
      <c r="AQ794">
        <f>$H$794*$W$794</f>
        <v>197.56</v>
      </c>
      <c r="AR794">
        <f>$H$794*$X$794</f>
        <v>197.56</v>
      </c>
      <c r="AS794">
        <f>$H$794*$Y$794</f>
        <v>197.56</v>
      </c>
      <c r="AT794">
        <f>$H$794*$Z$794</f>
        <v>197.56</v>
      </c>
      <c r="AU794">
        <f>$H$794*$AA$794</f>
        <v>197.56</v>
      </c>
      <c r="AV794">
        <f>$H$794*$AB$794</f>
        <v>197.56</v>
      </c>
      <c r="AW794">
        <f>$H$794*$AC$794</f>
        <v>197.56</v>
      </c>
      <c r="AX794">
        <f>$H$794*$AD$794</f>
        <v>197.56</v>
      </c>
      <c r="AY794">
        <f>$H$794*$AE$794</f>
        <v>197.56</v>
      </c>
      <c r="AZ794">
        <f>$H$794*$AF$794</f>
        <v>197.56</v>
      </c>
    </row>
    <row r="795" spans="1:52" x14ac:dyDescent="0.25">
      <c r="A795">
        <v>863</v>
      </c>
      <c r="B795" t="s">
        <v>303</v>
      </c>
      <c r="C795" t="s">
        <v>445</v>
      </c>
      <c r="D795">
        <v>33.6</v>
      </c>
      <c r="E795">
        <v>126.34</v>
      </c>
      <c r="F795" t="s">
        <v>349</v>
      </c>
      <c r="G795">
        <v>3.76</v>
      </c>
      <c r="H795">
        <v>151.6</v>
      </c>
      <c r="I795" t="s">
        <v>446</v>
      </c>
      <c r="J795" t="s">
        <v>420</v>
      </c>
      <c r="K795" t="s">
        <v>657</v>
      </c>
      <c r="L795" t="s">
        <v>179</v>
      </c>
      <c r="M795" t="s">
        <v>303</v>
      </c>
      <c r="N795" t="s">
        <v>11</v>
      </c>
      <c r="O795" t="s">
        <v>6</v>
      </c>
      <c r="P795">
        <v>0</v>
      </c>
      <c r="Q795">
        <v>0</v>
      </c>
      <c r="R795">
        <v>0</v>
      </c>
      <c r="S795">
        <v>0.25</v>
      </c>
      <c r="T795">
        <v>0.25</v>
      </c>
      <c r="U795">
        <v>0.25</v>
      </c>
      <c r="V795">
        <v>0.25</v>
      </c>
      <c r="W795">
        <v>0.25</v>
      </c>
      <c r="X795">
        <v>0.5</v>
      </c>
      <c r="Y795">
        <v>0.5</v>
      </c>
      <c r="Z795">
        <v>0.5</v>
      </c>
      <c r="AA795">
        <v>1</v>
      </c>
      <c r="AB795">
        <v>1</v>
      </c>
      <c r="AC795">
        <v>1</v>
      </c>
      <c r="AD795">
        <v>1</v>
      </c>
      <c r="AE795">
        <v>1</v>
      </c>
      <c r="AF795">
        <v>1</v>
      </c>
      <c r="AG795" t="s">
        <v>303</v>
      </c>
      <c r="AH795" t="s">
        <v>11</v>
      </c>
      <c r="AI795" t="s">
        <v>6</v>
      </c>
      <c r="AJ795">
        <f>$H$795*$P$795</f>
        <v>0</v>
      </c>
      <c r="AK795">
        <f>$H$795*$Q$795</f>
        <v>0</v>
      </c>
      <c r="AL795">
        <f>$H$795*$R$795</f>
        <v>0</v>
      </c>
      <c r="AM795">
        <f>$H$795*$S$795</f>
        <v>37.9</v>
      </c>
      <c r="AN795">
        <f>$H$795*$T$795</f>
        <v>37.9</v>
      </c>
      <c r="AO795">
        <f>$H$795*$U$795</f>
        <v>37.9</v>
      </c>
      <c r="AP795">
        <f>$H$795*$V$795</f>
        <v>37.9</v>
      </c>
      <c r="AQ795">
        <f>$H$795*$W$795</f>
        <v>37.9</v>
      </c>
      <c r="AR795">
        <f>$H$795*$X$795</f>
        <v>75.8</v>
      </c>
      <c r="AS795">
        <f>$H$795*$Y$795</f>
        <v>75.8</v>
      </c>
      <c r="AT795">
        <f>$H$795*$Z$795</f>
        <v>75.8</v>
      </c>
      <c r="AU795">
        <f>$H$795*$AA$795</f>
        <v>151.6</v>
      </c>
      <c r="AV795">
        <f>$H$795*$AB$795</f>
        <v>151.6</v>
      </c>
      <c r="AW795">
        <f>$H$795*$AC$795</f>
        <v>151.6</v>
      </c>
      <c r="AX795">
        <f>$H$795*$AD$795</f>
        <v>151.6</v>
      </c>
      <c r="AY795">
        <f>$H$795*$AE$795</f>
        <v>151.6</v>
      </c>
      <c r="AZ795">
        <f>$H$795*$AF$795</f>
        <v>151.6</v>
      </c>
    </row>
    <row r="796" spans="1:52" x14ac:dyDescent="0.25">
      <c r="A796">
        <v>864</v>
      </c>
      <c r="B796" t="s">
        <v>303</v>
      </c>
      <c r="C796" t="s">
        <v>364</v>
      </c>
      <c r="D796">
        <v>336</v>
      </c>
      <c r="E796">
        <v>1128.96</v>
      </c>
      <c r="F796" t="s">
        <v>349</v>
      </c>
      <c r="G796">
        <v>3.36</v>
      </c>
      <c r="H796">
        <v>1354.76</v>
      </c>
      <c r="I796" t="s">
        <v>365</v>
      </c>
      <c r="J796" t="s">
        <v>366</v>
      </c>
      <c r="K796" t="s">
        <v>618</v>
      </c>
      <c r="L796" t="s">
        <v>179</v>
      </c>
      <c r="M796" t="s">
        <v>303</v>
      </c>
      <c r="N796" t="s">
        <v>11</v>
      </c>
      <c r="O796" t="s">
        <v>6</v>
      </c>
      <c r="P796">
        <v>0</v>
      </c>
      <c r="Q796">
        <v>0</v>
      </c>
      <c r="R796">
        <v>0</v>
      </c>
      <c r="S796">
        <v>0.25</v>
      </c>
      <c r="T796">
        <v>0.25</v>
      </c>
      <c r="U796">
        <v>0.25</v>
      </c>
      <c r="V796">
        <v>0.25</v>
      </c>
      <c r="W796">
        <v>0.5</v>
      </c>
      <c r="X796">
        <v>0.5</v>
      </c>
      <c r="Y796">
        <v>0.5</v>
      </c>
      <c r="Z796">
        <v>0.5</v>
      </c>
      <c r="AA796">
        <v>1</v>
      </c>
      <c r="AB796">
        <v>1</v>
      </c>
      <c r="AC796">
        <v>1</v>
      </c>
      <c r="AD796">
        <v>1</v>
      </c>
      <c r="AE796">
        <v>1</v>
      </c>
      <c r="AF796">
        <v>1</v>
      </c>
      <c r="AG796" t="s">
        <v>303</v>
      </c>
      <c r="AH796" t="s">
        <v>11</v>
      </c>
      <c r="AI796" t="s">
        <v>6</v>
      </c>
      <c r="AJ796">
        <f>$H$796*$P$796</f>
        <v>0</v>
      </c>
      <c r="AK796">
        <f>$H$796*$Q$796</f>
        <v>0</v>
      </c>
      <c r="AL796">
        <f>$H$796*$R$796</f>
        <v>0</v>
      </c>
      <c r="AM796">
        <f>$H$796*$S$796</f>
        <v>338.69</v>
      </c>
      <c r="AN796">
        <f>$H$796*$T$796</f>
        <v>338.69</v>
      </c>
      <c r="AO796">
        <f>$H$796*$U$796</f>
        <v>338.69</v>
      </c>
      <c r="AP796">
        <f>$H$796*$V$796</f>
        <v>338.69</v>
      </c>
      <c r="AQ796">
        <f>$H$796*$W$796</f>
        <v>677.38</v>
      </c>
      <c r="AR796">
        <f>$H$796*$X$796</f>
        <v>677.38</v>
      </c>
      <c r="AS796">
        <f>$H$796*$Y$796</f>
        <v>677.38</v>
      </c>
      <c r="AT796">
        <f>$H$796*$Z$796</f>
        <v>677.38</v>
      </c>
      <c r="AU796">
        <f>$H$796*$AA$796</f>
        <v>1354.76</v>
      </c>
      <c r="AV796">
        <f>$H$796*$AB$796</f>
        <v>1354.76</v>
      </c>
      <c r="AW796">
        <f>$H$796*$AC$796</f>
        <v>1354.76</v>
      </c>
      <c r="AX796">
        <f>$H$796*$AD$796</f>
        <v>1354.76</v>
      </c>
      <c r="AY796">
        <f>$H$796*$AE$796</f>
        <v>1354.76</v>
      </c>
      <c r="AZ796">
        <f>$H$796*$AF$796</f>
        <v>1354.76</v>
      </c>
    </row>
    <row r="797" spans="1:52" x14ac:dyDescent="0.25">
      <c r="A797">
        <v>865</v>
      </c>
      <c r="B797" t="s">
        <v>303</v>
      </c>
      <c r="C797" t="s">
        <v>447</v>
      </c>
      <c r="D797">
        <v>37.33</v>
      </c>
      <c r="E797">
        <v>38.82</v>
      </c>
      <c r="F797" t="s">
        <v>329</v>
      </c>
      <c r="G797">
        <v>1.04</v>
      </c>
      <c r="H797">
        <v>46.58</v>
      </c>
      <c r="I797" t="s">
        <v>330</v>
      </c>
      <c r="J797" t="s">
        <v>448</v>
      </c>
      <c r="K797" t="s">
        <v>658</v>
      </c>
      <c r="L797" t="s">
        <v>179</v>
      </c>
      <c r="M797" t="s">
        <v>303</v>
      </c>
      <c r="N797" t="s">
        <v>11</v>
      </c>
      <c r="O797" t="s">
        <v>6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1</v>
      </c>
      <c r="AB797">
        <v>1</v>
      </c>
      <c r="AC797">
        <v>1</v>
      </c>
      <c r="AD797">
        <v>1</v>
      </c>
      <c r="AE797">
        <v>1</v>
      </c>
      <c r="AF797">
        <v>1</v>
      </c>
      <c r="AG797" t="s">
        <v>303</v>
      </c>
      <c r="AH797" t="s">
        <v>11</v>
      </c>
      <c r="AI797" t="s">
        <v>6</v>
      </c>
      <c r="AJ797">
        <f>$H$797*$P$797</f>
        <v>0</v>
      </c>
      <c r="AK797">
        <f>$H$797*$Q$797</f>
        <v>0</v>
      </c>
      <c r="AL797">
        <f>$H$797*$R$797</f>
        <v>0</v>
      </c>
      <c r="AM797">
        <f>$H$797*$S$797</f>
        <v>0</v>
      </c>
      <c r="AN797">
        <f>$H$797*$T$797</f>
        <v>0</v>
      </c>
      <c r="AO797">
        <f>$H$797*$U$797</f>
        <v>0</v>
      </c>
      <c r="AP797">
        <f>$H$797*$V$797</f>
        <v>0</v>
      </c>
      <c r="AQ797">
        <f>$H$797*$W$797</f>
        <v>0</v>
      </c>
      <c r="AR797">
        <f>$H$797*$X$797</f>
        <v>0</v>
      </c>
      <c r="AS797">
        <f>$H$797*$Y$797</f>
        <v>0</v>
      </c>
      <c r="AT797">
        <f>$H$797*$Z$797</f>
        <v>0</v>
      </c>
      <c r="AU797">
        <f>$H$797*$AA$797</f>
        <v>46.58</v>
      </c>
      <c r="AV797">
        <f>$H$797*$AB$797</f>
        <v>46.58</v>
      </c>
      <c r="AW797">
        <f>$H$797*$AC$797</f>
        <v>46.58</v>
      </c>
      <c r="AX797">
        <f>$H$797*$AD$797</f>
        <v>46.58</v>
      </c>
      <c r="AY797">
        <f>$H$797*$AE$797</f>
        <v>46.58</v>
      </c>
      <c r="AZ797">
        <f>$H$797*$AF$797</f>
        <v>46.58</v>
      </c>
    </row>
    <row r="798" spans="1:52" x14ac:dyDescent="0.25">
      <c r="A798">
        <v>866</v>
      </c>
      <c r="B798" t="s">
        <v>303</v>
      </c>
      <c r="C798" t="s">
        <v>449</v>
      </c>
      <c r="D798">
        <v>37.33</v>
      </c>
      <c r="E798">
        <v>299.39</v>
      </c>
      <c r="F798" t="s">
        <v>329</v>
      </c>
      <c r="G798">
        <v>8.02</v>
      </c>
      <c r="H798">
        <v>359.27</v>
      </c>
      <c r="I798" t="s">
        <v>333</v>
      </c>
      <c r="J798" t="s">
        <v>450</v>
      </c>
      <c r="K798" t="s">
        <v>659</v>
      </c>
      <c r="L798" t="s">
        <v>179</v>
      </c>
      <c r="M798" t="s">
        <v>303</v>
      </c>
      <c r="N798" t="s">
        <v>11</v>
      </c>
      <c r="O798" t="s">
        <v>6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1</v>
      </c>
      <c r="AB798">
        <v>1</v>
      </c>
      <c r="AC798">
        <v>1</v>
      </c>
      <c r="AD798">
        <v>1</v>
      </c>
      <c r="AE798">
        <v>1</v>
      </c>
      <c r="AF798">
        <v>1</v>
      </c>
      <c r="AG798" t="s">
        <v>303</v>
      </c>
      <c r="AH798" t="s">
        <v>11</v>
      </c>
      <c r="AI798" t="s">
        <v>6</v>
      </c>
      <c r="AJ798">
        <f>$H$798*$P$798</f>
        <v>0</v>
      </c>
      <c r="AK798">
        <f>$H$798*$Q$798</f>
        <v>0</v>
      </c>
      <c r="AL798">
        <f>$H$798*$R$798</f>
        <v>0</v>
      </c>
      <c r="AM798">
        <f>$H$798*$S$798</f>
        <v>0</v>
      </c>
      <c r="AN798">
        <f>$H$798*$T$798</f>
        <v>0</v>
      </c>
      <c r="AO798">
        <f>$H$798*$U$798</f>
        <v>0</v>
      </c>
      <c r="AP798">
        <f>$H$798*$V$798</f>
        <v>0</v>
      </c>
      <c r="AQ798">
        <f>$H$798*$W$798</f>
        <v>0</v>
      </c>
      <c r="AR798">
        <f>$H$798*$X$798</f>
        <v>0</v>
      </c>
      <c r="AS798">
        <f>$H$798*$Y$798</f>
        <v>0</v>
      </c>
      <c r="AT798">
        <f>$H$798*$Z$798</f>
        <v>0</v>
      </c>
      <c r="AU798">
        <f>$H$798*$AA$798</f>
        <v>359.27</v>
      </c>
      <c r="AV798">
        <f>$H$798*$AB$798</f>
        <v>359.27</v>
      </c>
      <c r="AW798">
        <f>$H$798*$AC$798</f>
        <v>359.27</v>
      </c>
      <c r="AX798">
        <f>$H$798*$AD$798</f>
        <v>359.27</v>
      </c>
      <c r="AY798">
        <f>$H$798*$AE$798</f>
        <v>359.27</v>
      </c>
      <c r="AZ798">
        <f>$H$798*$AF$798</f>
        <v>359.27</v>
      </c>
    </row>
    <row r="799" spans="1:52" x14ac:dyDescent="0.25">
      <c r="A799">
        <v>867</v>
      </c>
      <c r="B799" t="s">
        <v>303</v>
      </c>
      <c r="C799" t="s">
        <v>455</v>
      </c>
      <c r="D799">
        <v>37.33</v>
      </c>
      <c r="E799">
        <v>56.37</v>
      </c>
      <c r="F799" t="s">
        <v>329</v>
      </c>
      <c r="G799">
        <v>1.51</v>
      </c>
      <c r="H799">
        <v>67.650000000000006</v>
      </c>
      <c r="I799" t="s">
        <v>330</v>
      </c>
      <c r="J799" t="s">
        <v>456</v>
      </c>
      <c r="K799" t="s">
        <v>662</v>
      </c>
      <c r="L799" t="s">
        <v>179</v>
      </c>
      <c r="M799" t="s">
        <v>303</v>
      </c>
      <c r="N799" t="s">
        <v>11</v>
      </c>
      <c r="O799" t="s">
        <v>6</v>
      </c>
      <c r="P799">
        <v>0</v>
      </c>
      <c r="Q799">
        <v>0</v>
      </c>
      <c r="R799">
        <v>0</v>
      </c>
      <c r="S799">
        <v>1</v>
      </c>
      <c r="T799">
        <v>1</v>
      </c>
      <c r="U799">
        <v>1</v>
      </c>
      <c r="V799">
        <v>1</v>
      </c>
      <c r="W799">
        <v>1</v>
      </c>
      <c r="X799">
        <v>1</v>
      </c>
      <c r="Y799">
        <v>1</v>
      </c>
      <c r="Z799">
        <v>1</v>
      </c>
      <c r="AA799">
        <v>1</v>
      </c>
      <c r="AB799">
        <v>1</v>
      </c>
      <c r="AC799">
        <v>1</v>
      </c>
      <c r="AD799">
        <v>1</v>
      </c>
      <c r="AE799">
        <v>1</v>
      </c>
      <c r="AF799">
        <v>1</v>
      </c>
      <c r="AG799" t="s">
        <v>303</v>
      </c>
      <c r="AH799" t="s">
        <v>11</v>
      </c>
      <c r="AI799" t="s">
        <v>6</v>
      </c>
      <c r="AJ799">
        <f>$H$799*$P$799</f>
        <v>0</v>
      </c>
      <c r="AK799">
        <f>$H$799*$Q$799</f>
        <v>0</v>
      </c>
      <c r="AL799">
        <f>$H$799*$R$799</f>
        <v>0</v>
      </c>
      <c r="AM799">
        <f>$H$799*$S$799</f>
        <v>67.650000000000006</v>
      </c>
      <c r="AN799">
        <f>$H$799*$T$799</f>
        <v>67.650000000000006</v>
      </c>
      <c r="AO799">
        <f>$H$799*$U$799</f>
        <v>67.650000000000006</v>
      </c>
      <c r="AP799">
        <f>$H$799*$V$799</f>
        <v>67.650000000000006</v>
      </c>
      <c r="AQ799">
        <f>$H$799*$W$799</f>
        <v>67.650000000000006</v>
      </c>
      <c r="AR799">
        <f>$H$799*$X$799</f>
        <v>67.650000000000006</v>
      </c>
      <c r="AS799">
        <f>$H$799*$Y$799</f>
        <v>67.650000000000006</v>
      </c>
      <c r="AT799">
        <f>$H$799*$Z$799</f>
        <v>67.650000000000006</v>
      </c>
      <c r="AU799">
        <f>$H$799*$AA$799</f>
        <v>67.650000000000006</v>
      </c>
      <c r="AV799">
        <f>$H$799*$AB$799</f>
        <v>67.650000000000006</v>
      </c>
      <c r="AW799">
        <f>$H$799*$AC$799</f>
        <v>67.650000000000006</v>
      </c>
      <c r="AX799">
        <f>$H$799*$AD$799</f>
        <v>67.650000000000006</v>
      </c>
      <c r="AY799">
        <f>$H$799*$AE$799</f>
        <v>67.650000000000006</v>
      </c>
      <c r="AZ799">
        <f>$H$799*$AF$799</f>
        <v>67.650000000000006</v>
      </c>
    </row>
    <row r="800" spans="1:52" x14ac:dyDescent="0.25">
      <c r="A800">
        <v>868</v>
      </c>
      <c r="B800" t="s">
        <v>303</v>
      </c>
      <c r="C800" t="s">
        <v>457</v>
      </c>
      <c r="D800">
        <v>37.33</v>
      </c>
      <c r="E800">
        <v>212.03</v>
      </c>
      <c r="F800" t="s">
        <v>329</v>
      </c>
      <c r="G800">
        <v>5.68</v>
      </c>
      <c r="H800">
        <v>254.43</v>
      </c>
      <c r="I800" t="s">
        <v>333</v>
      </c>
      <c r="J800" t="s">
        <v>458</v>
      </c>
      <c r="K800" t="s">
        <v>663</v>
      </c>
      <c r="L800" t="s">
        <v>179</v>
      </c>
      <c r="M800" t="s">
        <v>303</v>
      </c>
      <c r="N800" t="s">
        <v>11</v>
      </c>
      <c r="O800" t="s">
        <v>6</v>
      </c>
      <c r="P800">
        <v>0</v>
      </c>
      <c r="Q800">
        <v>0</v>
      </c>
      <c r="R800">
        <v>0</v>
      </c>
      <c r="S800">
        <v>1</v>
      </c>
      <c r="T800">
        <v>1</v>
      </c>
      <c r="U800">
        <v>1</v>
      </c>
      <c r="V800">
        <v>1</v>
      </c>
      <c r="W800">
        <v>1</v>
      </c>
      <c r="X800">
        <v>1</v>
      </c>
      <c r="Y800">
        <v>1</v>
      </c>
      <c r="Z800">
        <v>1</v>
      </c>
      <c r="AA800">
        <v>1</v>
      </c>
      <c r="AB800">
        <v>1</v>
      </c>
      <c r="AC800">
        <v>1</v>
      </c>
      <c r="AD800">
        <v>1</v>
      </c>
      <c r="AE800">
        <v>1</v>
      </c>
      <c r="AF800">
        <v>1</v>
      </c>
      <c r="AG800" t="s">
        <v>303</v>
      </c>
      <c r="AH800" t="s">
        <v>11</v>
      </c>
      <c r="AI800" t="s">
        <v>6</v>
      </c>
      <c r="AJ800">
        <f>$H$800*$P$800</f>
        <v>0</v>
      </c>
      <c r="AK800">
        <f>$H$800*$Q$800</f>
        <v>0</v>
      </c>
      <c r="AL800">
        <f>$H$800*$R$800</f>
        <v>0</v>
      </c>
      <c r="AM800">
        <f>$H$800*$S$800</f>
        <v>254.43</v>
      </c>
      <c r="AN800">
        <f>$H$800*$T$800</f>
        <v>254.43</v>
      </c>
      <c r="AO800">
        <f>$H$800*$U$800</f>
        <v>254.43</v>
      </c>
      <c r="AP800">
        <f>$H$800*$V$800</f>
        <v>254.43</v>
      </c>
      <c r="AQ800">
        <f>$H$800*$W$800</f>
        <v>254.43</v>
      </c>
      <c r="AR800">
        <f>$H$800*$X$800</f>
        <v>254.43</v>
      </c>
      <c r="AS800">
        <f>$H$800*$Y$800</f>
        <v>254.43</v>
      </c>
      <c r="AT800">
        <f>$H$800*$Z$800</f>
        <v>254.43</v>
      </c>
      <c r="AU800">
        <f>$H$800*$AA$800</f>
        <v>254.43</v>
      </c>
      <c r="AV800">
        <f>$H$800*$AB$800</f>
        <v>254.43</v>
      </c>
      <c r="AW800">
        <f>$H$800*$AC$800</f>
        <v>254.43</v>
      </c>
      <c r="AX800">
        <f>$H$800*$AD$800</f>
        <v>254.43</v>
      </c>
      <c r="AY800">
        <f>$H$800*$AE$800</f>
        <v>254.43</v>
      </c>
      <c r="AZ800">
        <f>$H$800*$AF$800</f>
        <v>254.43</v>
      </c>
    </row>
    <row r="801" spans="1:52" x14ac:dyDescent="0.25">
      <c r="A801">
        <v>869</v>
      </c>
      <c r="B801" t="s">
        <v>303</v>
      </c>
      <c r="C801" t="s">
        <v>364</v>
      </c>
      <c r="D801">
        <v>57.77</v>
      </c>
      <c r="E801">
        <v>194.11</v>
      </c>
      <c r="F801" t="s">
        <v>349</v>
      </c>
      <c r="G801">
        <v>3.36</v>
      </c>
      <c r="H801">
        <v>232.93</v>
      </c>
      <c r="I801" t="s">
        <v>365</v>
      </c>
      <c r="J801" t="s">
        <v>366</v>
      </c>
      <c r="K801" t="s">
        <v>618</v>
      </c>
      <c r="L801" t="s">
        <v>179</v>
      </c>
      <c r="M801" t="s">
        <v>303</v>
      </c>
      <c r="N801" t="s">
        <v>11</v>
      </c>
      <c r="O801" t="s">
        <v>6</v>
      </c>
      <c r="P801">
        <v>0</v>
      </c>
      <c r="Q801">
        <v>0</v>
      </c>
      <c r="R801">
        <v>0</v>
      </c>
      <c r="S801">
        <v>0.25</v>
      </c>
      <c r="T801">
        <v>0.25</v>
      </c>
      <c r="U801">
        <v>0.25</v>
      </c>
      <c r="V801">
        <v>0.25</v>
      </c>
      <c r="W801">
        <v>0.5</v>
      </c>
      <c r="X801">
        <v>0.5</v>
      </c>
      <c r="Y801">
        <v>0.5</v>
      </c>
      <c r="Z801">
        <v>0.5</v>
      </c>
      <c r="AA801">
        <v>1</v>
      </c>
      <c r="AB801">
        <v>1</v>
      </c>
      <c r="AC801">
        <v>1</v>
      </c>
      <c r="AD801">
        <v>1</v>
      </c>
      <c r="AE801">
        <v>1</v>
      </c>
      <c r="AF801">
        <v>1</v>
      </c>
      <c r="AG801" t="s">
        <v>303</v>
      </c>
      <c r="AH801" t="s">
        <v>11</v>
      </c>
      <c r="AI801" t="s">
        <v>6</v>
      </c>
      <c r="AJ801">
        <f>$H$801*$P$801</f>
        <v>0</v>
      </c>
      <c r="AK801">
        <f>$H$801*$Q$801</f>
        <v>0</v>
      </c>
      <c r="AL801">
        <f>$H$801*$R$801</f>
        <v>0</v>
      </c>
      <c r="AM801">
        <f>$H$801*$S$801</f>
        <v>58.232500000000002</v>
      </c>
      <c r="AN801">
        <f>$H$801*$T$801</f>
        <v>58.232500000000002</v>
      </c>
      <c r="AO801">
        <f>$H$801*$U$801</f>
        <v>58.232500000000002</v>
      </c>
      <c r="AP801">
        <f>$H$801*$V$801</f>
        <v>58.232500000000002</v>
      </c>
      <c r="AQ801">
        <f>$H$801*$W$801</f>
        <v>116.465</v>
      </c>
      <c r="AR801">
        <f>$H$801*$X$801</f>
        <v>116.465</v>
      </c>
      <c r="AS801">
        <f>$H$801*$Y$801</f>
        <v>116.465</v>
      </c>
      <c r="AT801">
        <f>$H$801*$Z$801</f>
        <v>116.465</v>
      </c>
      <c r="AU801">
        <f>$H$801*$AA$801</f>
        <v>232.93</v>
      </c>
      <c r="AV801">
        <f>$H$801*$AB$801</f>
        <v>232.93</v>
      </c>
      <c r="AW801">
        <f>$H$801*$AC$801</f>
        <v>232.93</v>
      </c>
      <c r="AX801">
        <f>$H$801*$AD$801</f>
        <v>232.93</v>
      </c>
      <c r="AY801">
        <f>$H$801*$AE$801</f>
        <v>232.93</v>
      </c>
      <c r="AZ801">
        <f>$H$801*$AF$801</f>
        <v>232.93</v>
      </c>
    </row>
    <row r="802" spans="1:52" x14ac:dyDescent="0.25">
      <c r="A802">
        <v>870</v>
      </c>
      <c r="B802" t="s">
        <v>303</v>
      </c>
      <c r="C802" t="s">
        <v>443</v>
      </c>
      <c r="D802">
        <v>57.77</v>
      </c>
      <c r="E802">
        <v>36.4</v>
      </c>
      <c r="F802" t="s">
        <v>349</v>
      </c>
      <c r="G802">
        <v>0.63</v>
      </c>
      <c r="H802">
        <v>43.68</v>
      </c>
      <c r="I802" t="s">
        <v>330</v>
      </c>
      <c r="J802" t="s">
        <v>444</v>
      </c>
      <c r="K802" t="s">
        <v>656</v>
      </c>
      <c r="L802" t="s">
        <v>179</v>
      </c>
      <c r="M802" t="s">
        <v>303</v>
      </c>
      <c r="N802" t="s">
        <v>11</v>
      </c>
      <c r="O802" t="s">
        <v>6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1</v>
      </c>
      <c r="AE802">
        <v>1</v>
      </c>
      <c r="AF802">
        <v>1</v>
      </c>
      <c r="AG802" t="s">
        <v>303</v>
      </c>
      <c r="AH802" t="s">
        <v>11</v>
      </c>
      <c r="AI802" t="s">
        <v>6</v>
      </c>
      <c r="AJ802">
        <f>$H$802*$P$802</f>
        <v>0</v>
      </c>
      <c r="AK802">
        <f>$H$802*$Q$802</f>
        <v>0</v>
      </c>
      <c r="AL802">
        <f>$H$802*$R$802</f>
        <v>0</v>
      </c>
      <c r="AM802">
        <f>$H$802*$S$802</f>
        <v>0</v>
      </c>
      <c r="AN802">
        <f>$H$802*$T$802</f>
        <v>0</v>
      </c>
      <c r="AO802">
        <f>$H$802*$U$802</f>
        <v>0</v>
      </c>
      <c r="AP802">
        <f>$H$802*$V$802</f>
        <v>0</v>
      </c>
      <c r="AQ802">
        <f>$H$802*$W$802</f>
        <v>0</v>
      </c>
      <c r="AR802">
        <f>$H$802*$X$802</f>
        <v>0</v>
      </c>
      <c r="AS802">
        <f>$H$802*$Y$802</f>
        <v>0</v>
      </c>
      <c r="AT802">
        <f>$H$802*$Z$802</f>
        <v>0</v>
      </c>
      <c r="AU802">
        <f>$H$802*$AA$802</f>
        <v>0</v>
      </c>
      <c r="AV802">
        <f>$H$802*$AB$802</f>
        <v>0</v>
      </c>
      <c r="AW802">
        <f>$H$802*$AC$802</f>
        <v>0</v>
      </c>
      <c r="AX802">
        <f>$H$802*$AD$802</f>
        <v>43.68</v>
      </c>
      <c r="AY802">
        <f>$H$802*$AE$802</f>
        <v>43.68</v>
      </c>
      <c r="AZ802">
        <f>$H$802*$AF$802</f>
        <v>43.68</v>
      </c>
    </row>
    <row r="803" spans="1:52" x14ac:dyDescent="0.25">
      <c r="A803">
        <v>871</v>
      </c>
      <c r="B803" t="s">
        <v>303</v>
      </c>
      <c r="C803" t="s">
        <v>459</v>
      </c>
      <c r="D803">
        <v>57.77</v>
      </c>
      <c r="E803">
        <v>39.86</v>
      </c>
      <c r="F803" t="s">
        <v>349</v>
      </c>
      <c r="G803">
        <v>0.69</v>
      </c>
      <c r="H803">
        <v>47.84</v>
      </c>
      <c r="I803" t="s">
        <v>330</v>
      </c>
      <c r="J803" t="s">
        <v>460</v>
      </c>
      <c r="K803" t="s">
        <v>664</v>
      </c>
      <c r="L803" t="s">
        <v>179</v>
      </c>
      <c r="M803" t="s">
        <v>303</v>
      </c>
      <c r="N803" t="s">
        <v>11</v>
      </c>
      <c r="O803" t="s">
        <v>6</v>
      </c>
      <c r="P803">
        <v>0</v>
      </c>
      <c r="Q803">
        <v>0</v>
      </c>
      <c r="R803">
        <v>0</v>
      </c>
      <c r="S803">
        <v>1</v>
      </c>
      <c r="T803">
        <v>1</v>
      </c>
      <c r="U803">
        <v>1</v>
      </c>
      <c r="V803">
        <v>1</v>
      </c>
      <c r="W803">
        <v>1</v>
      </c>
      <c r="X803">
        <v>1</v>
      </c>
      <c r="Y803">
        <v>1</v>
      </c>
      <c r="Z803">
        <v>1</v>
      </c>
      <c r="AA803">
        <v>1</v>
      </c>
      <c r="AB803">
        <v>1</v>
      </c>
      <c r="AC803">
        <v>1</v>
      </c>
      <c r="AD803">
        <v>1</v>
      </c>
      <c r="AE803">
        <v>1</v>
      </c>
      <c r="AF803">
        <v>1</v>
      </c>
      <c r="AG803" t="s">
        <v>303</v>
      </c>
      <c r="AH803" t="s">
        <v>11</v>
      </c>
      <c r="AI803" t="s">
        <v>6</v>
      </c>
      <c r="AJ803">
        <f>$H$803*$P$803</f>
        <v>0</v>
      </c>
      <c r="AK803">
        <f>$H$803*$Q$803</f>
        <v>0</v>
      </c>
      <c r="AL803">
        <f>$H$803*$R$803</f>
        <v>0</v>
      </c>
      <c r="AM803">
        <f>$H$803*$S$803</f>
        <v>47.84</v>
      </c>
      <c r="AN803">
        <f>$H$803*$T$803</f>
        <v>47.84</v>
      </c>
      <c r="AO803">
        <f>$H$803*$U$803</f>
        <v>47.84</v>
      </c>
      <c r="AP803">
        <f>$H$803*$V$803</f>
        <v>47.84</v>
      </c>
      <c r="AQ803">
        <f>$H$803*$W$803</f>
        <v>47.84</v>
      </c>
      <c r="AR803">
        <f>$H$803*$X$803</f>
        <v>47.84</v>
      </c>
      <c r="AS803">
        <f>$H$803*$Y$803</f>
        <v>47.84</v>
      </c>
      <c r="AT803">
        <f>$H$803*$Z$803</f>
        <v>47.84</v>
      </c>
      <c r="AU803">
        <f>$H$803*$AA$803</f>
        <v>47.84</v>
      </c>
      <c r="AV803">
        <f>$H$803*$AB$803</f>
        <v>47.84</v>
      </c>
      <c r="AW803">
        <f>$H$803*$AC$803</f>
        <v>47.84</v>
      </c>
      <c r="AX803">
        <f>$H$803*$AD$803</f>
        <v>47.84</v>
      </c>
      <c r="AY803">
        <f>$H$803*$AE$803</f>
        <v>47.84</v>
      </c>
      <c r="AZ803">
        <f>$H$803*$AF$803</f>
        <v>47.84</v>
      </c>
    </row>
    <row r="804" spans="1:52" x14ac:dyDescent="0.25">
      <c r="A804">
        <v>872</v>
      </c>
      <c r="B804" t="s">
        <v>303</v>
      </c>
      <c r="C804" t="s">
        <v>461</v>
      </c>
      <c r="D804">
        <v>11.55</v>
      </c>
      <c r="E804">
        <v>200.39</v>
      </c>
      <c r="F804" t="s">
        <v>349</v>
      </c>
      <c r="G804">
        <v>17.350000000000001</v>
      </c>
      <c r="H804">
        <v>240.47</v>
      </c>
      <c r="I804" t="s">
        <v>462</v>
      </c>
      <c r="J804" t="s">
        <v>463</v>
      </c>
      <c r="K804" t="s">
        <v>665</v>
      </c>
      <c r="L804" t="s">
        <v>179</v>
      </c>
      <c r="M804" t="s">
        <v>303</v>
      </c>
      <c r="N804" t="s">
        <v>11</v>
      </c>
      <c r="O804" t="s">
        <v>6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1</v>
      </c>
      <c r="Z804">
        <v>1</v>
      </c>
      <c r="AA804">
        <v>1</v>
      </c>
      <c r="AB804">
        <v>1</v>
      </c>
      <c r="AC804">
        <v>1</v>
      </c>
      <c r="AD804">
        <v>1</v>
      </c>
      <c r="AE804">
        <v>1</v>
      </c>
      <c r="AF804">
        <v>1</v>
      </c>
      <c r="AG804" t="s">
        <v>303</v>
      </c>
      <c r="AH804" t="s">
        <v>11</v>
      </c>
      <c r="AI804" t="s">
        <v>6</v>
      </c>
      <c r="AJ804">
        <f>$H$804*$P$804</f>
        <v>0</v>
      </c>
      <c r="AK804">
        <f>$H$804*$Q$804</f>
        <v>0</v>
      </c>
      <c r="AL804">
        <f>$H$804*$R$804</f>
        <v>0</v>
      </c>
      <c r="AM804">
        <f>$H$804*$S$804</f>
        <v>0</v>
      </c>
      <c r="AN804">
        <f>$H$804*$T$804</f>
        <v>0</v>
      </c>
      <c r="AO804">
        <f>$H$804*$U$804</f>
        <v>0</v>
      </c>
      <c r="AP804">
        <f>$H$804*$V$804</f>
        <v>0</v>
      </c>
      <c r="AQ804">
        <f>$H$804*$W$804</f>
        <v>0</v>
      </c>
      <c r="AR804">
        <f>$H$804*$X$804</f>
        <v>0</v>
      </c>
      <c r="AS804">
        <f>$H$804*$Y$804</f>
        <v>240.47</v>
      </c>
      <c r="AT804">
        <f>$H$804*$Z$804</f>
        <v>240.47</v>
      </c>
      <c r="AU804">
        <f>$H$804*$AA$804</f>
        <v>240.47</v>
      </c>
      <c r="AV804">
        <f>$H$804*$AB$804</f>
        <v>240.47</v>
      </c>
      <c r="AW804">
        <f>$H$804*$AC$804</f>
        <v>240.47</v>
      </c>
      <c r="AX804">
        <f>$H$804*$AD$804</f>
        <v>240.47</v>
      </c>
      <c r="AY804">
        <f>$H$804*$AE$804</f>
        <v>240.47</v>
      </c>
      <c r="AZ804">
        <f>$H$804*$AF$804</f>
        <v>240.47</v>
      </c>
    </row>
    <row r="805" spans="1:52" x14ac:dyDescent="0.25">
      <c r="A805">
        <v>873</v>
      </c>
      <c r="B805" t="s">
        <v>303</v>
      </c>
      <c r="C805" t="s">
        <v>464</v>
      </c>
      <c r="D805">
        <v>23.11</v>
      </c>
      <c r="E805">
        <v>82.73</v>
      </c>
      <c r="F805" t="s">
        <v>349</v>
      </c>
      <c r="G805">
        <v>3.58</v>
      </c>
      <c r="H805">
        <v>99.27</v>
      </c>
      <c r="I805" t="s">
        <v>465</v>
      </c>
      <c r="J805" t="s">
        <v>466</v>
      </c>
      <c r="K805" t="s">
        <v>666</v>
      </c>
      <c r="L805" t="s">
        <v>179</v>
      </c>
      <c r="M805" t="s">
        <v>303</v>
      </c>
      <c r="N805" t="s">
        <v>11</v>
      </c>
      <c r="O805" t="s">
        <v>6</v>
      </c>
      <c r="P805">
        <v>0</v>
      </c>
      <c r="Q805">
        <v>0</v>
      </c>
      <c r="R805">
        <v>0</v>
      </c>
      <c r="S805">
        <v>1</v>
      </c>
      <c r="T805">
        <v>1</v>
      </c>
      <c r="U805">
        <v>1</v>
      </c>
      <c r="V805">
        <v>1</v>
      </c>
      <c r="W805">
        <v>1</v>
      </c>
      <c r="X805">
        <v>1</v>
      </c>
      <c r="Y805">
        <v>1</v>
      </c>
      <c r="Z805">
        <v>1</v>
      </c>
      <c r="AA805">
        <v>1</v>
      </c>
      <c r="AB805">
        <v>1</v>
      </c>
      <c r="AC805">
        <v>1</v>
      </c>
      <c r="AD805">
        <v>1</v>
      </c>
      <c r="AE805">
        <v>1</v>
      </c>
      <c r="AF805">
        <v>1</v>
      </c>
      <c r="AG805" t="s">
        <v>303</v>
      </c>
      <c r="AH805" t="s">
        <v>11</v>
      </c>
      <c r="AI805" t="s">
        <v>6</v>
      </c>
      <c r="AJ805">
        <f>$H$805*$P$805</f>
        <v>0</v>
      </c>
      <c r="AK805">
        <f>$H$805*$Q$805</f>
        <v>0</v>
      </c>
      <c r="AL805">
        <f>$H$805*$R$805</f>
        <v>0</v>
      </c>
      <c r="AM805">
        <f>$H$805*$S$805</f>
        <v>99.27</v>
      </c>
      <c r="AN805">
        <f>$H$805*$T$805</f>
        <v>99.27</v>
      </c>
      <c r="AO805">
        <f>$H$805*$U$805</f>
        <v>99.27</v>
      </c>
      <c r="AP805">
        <f>$H$805*$V$805</f>
        <v>99.27</v>
      </c>
      <c r="AQ805">
        <f>$H$805*$W$805</f>
        <v>99.27</v>
      </c>
      <c r="AR805">
        <f>$H$805*$X$805</f>
        <v>99.27</v>
      </c>
      <c r="AS805">
        <f>$H$805*$Y$805</f>
        <v>99.27</v>
      </c>
      <c r="AT805">
        <f>$H$805*$Z$805</f>
        <v>99.27</v>
      </c>
      <c r="AU805">
        <f>$H$805*$AA$805</f>
        <v>99.27</v>
      </c>
      <c r="AV805">
        <f>$H$805*$AB$805</f>
        <v>99.27</v>
      </c>
      <c r="AW805">
        <f>$H$805*$AC$805</f>
        <v>99.27</v>
      </c>
      <c r="AX805">
        <f>$H$805*$AD$805</f>
        <v>99.27</v>
      </c>
      <c r="AY805">
        <f>$H$805*$AE$805</f>
        <v>99.27</v>
      </c>
      <c r="AZ805">
        <f>$H$805*$AF$805</f>
        <v>99.27</v>
      </c>
    </row>
    <row r="806" spans="1:52" x14ac:dyDescent="0.25">
      <c r="A806">
        <v>874</v>
      </c>
      <c r="B806" t="s">
        <v>303</v>
      </c>
      <c r="C806" t="s">
        <v>467</v>
      </c>
      <c r="D806">
        <v>23.11</v>
      </c>
      <c r="E806">
        <v>227.63</v>
      </c>
      <c r="F806" t="s">
        <v>349</v>
      </c>
      <c r="G806">
        <v>9.85</v>
      </c>
      <c r="H806">
        <v>273.14999999999998</v>
      </c>
      <c r="I806" t="s">
        <v>465</v>
      </c>
      <c r="J806" t="s">
        <v>372</v>
      </c>
      <c r="K806" t="s">
        <v>667</v>
      </c>
      <c r="L806" t="s">
        <v>179</v>
      </c>
      <c r="M806" t="s">
        <v>303</v>
      </c>
      <c r="N806" t="s">
        <v>11</v>
      </c>
      <c r="O806" t="s">
        <v>6</v>
      </c>
      <c r="P806">
        <v>0</v>
      </c>
      <c r="Q806">
        <v>0</v>
      </c>
      <c r="R806">
        <v>0</v>
      </c>
      <c r="S806">
        <v>1</v>
      </c>
      <c r="T806">
        <v>1</v>
      </c>
      <c r="U806">
        <v>1</v>
      </c>
      <c r="V806">
        <v>1</v>
      </c>
      <c r="W806">
        <v>1</v>
      </c>
      <c r="X806">
        <v>1</v>
      </c>
      <c r="Y806">
        <v>1</v>
      </c>
      <c r="Z806">
        <v>1</v>
      </c>
      <c r="AA806">
        <v>1</v>
      </c>
      <c r="AB806">
        <v>1</v>
      </c>
      <c r="AC806">
        <v>1</v>
      </c>
      <c r="AD806">
        <v>1</v>
      </c>
      <c r="AE806">
        <v>1</v>
      </c>
      <c r="AF806">
        <v>1</v>
      </c>
      <c r="AG806" t="s">
        <v>303</v>
      </c>
      <c r="AH806" t="s">
        <v>11</v>
      </c>
      <c r="AI806" t="s">
        <v>6</v>
      </c>
      <c r="AJ806">
        <f>$H$806*$P$806</f>
        <v>0</v>
      </c>
      <c r="AK806">
        <f>$H$806*$Q$806</f>
        <v>0</v>
      </c>
      <c r="AL806">
        <f>$H$806*$R$806</f>
        <v>0</v>
      </c>
      <c r="AM806">
        <f>$H$806*$S$806</f>
        <v>273.14999999999998</v>
      </c>
      <c r="AN806">
        <f>$H$806*$T$806</f>
        <v>273.14999999999998</v>
      </c>
      <c r="AO806">
        <f>$H$806*$U$806</f>
        <v>273.14999999999998</v>
      </c>
      <c r="AP806">
        <f>$H$806*$V$806</f>
        <v>273.14999999999998</v>
      </c>
      <c r="AQ806">
        <f>$H$806*$W$806</f>
        <v>273.14999999999998</v>
      </c>
      <c r="AR806">
        <f>$H$806*$X$806</f>
        <v>273.14999999999998</v>
      </c>
      <c r="AS806">
        <f>$H$806*$Y$806</f>
        <v>273.14999999999998</v>
      </c>
      <c r="AT806">
        <f>$H$806*$Z$806</f>
        <v>273.14999999999998</v>
      </c>
      <c r="AU806">
        <f>$H$806*$AA$806</f>
        <v>273.14999999999998</v>
      </c>
      <c r="AV806">
        <f>$H$806*$AB$806</f>
        <v>273.14999999999998</v>
      </c>
      <c r="AW806">
        <f>$H$806*$AC$806</f>
        <v>273.14999999999998</v>
      </c>
      <c r="AX806">
        <f>$H$806*$AD$806</f>
        <v>273.14999999999998</v>
      </c>
      <c r="AY806">
        <f>$H$806*$AE$806</f>
        <v>273.14999999999998</v>
      </c>
      <c r="AZ806">
        <f>$H$806*$AF$806</f>
        <v>273.14999999999998</v>
      </c>
    </row>
    <row r="807" spans="1:52" x14ac:dyDescent="0.25">
      <c r="A807">
        <v>875</v>
      </c>
      <c r="B807" t="s">
        <v>303</v>
      </c>
      <c r="C807" t="s">
        <v>468</v>
      </c>
      <c r="D807">
        <v>26.57</v>
      </c>
      <c r="E807">
        <v>27.1</v>
      </c>
      <c r="F807" t="s">
        <v>349</v>
      </c>
      <c r="G807">
        <v>1.02</v>
      </c>
      <c r="H807">
        <v>32.520000000000003</v>
      </c>
      <c r="I807" t="s">
        <v>469</v>
      </c>
      <c r="J807" t="s">
        <v>470</v>
      </c>
      <c r="K807" t="s">
        <v>668</v>
      </c>
      <c r="L807" t="s">
        <v>179</v>
      </c>
      <c r="M807" t="s">
        <v>303</v>
      </c>
      <c r="N807" t="s">
        <v>11</v>
      </c>
      <c r="O807" t="s">
        <v>6</v>
      </c>
      <c r="P807">
        <v>0</v>
      </c>
      <c r="Q807">
        <v>0</v>
      </c>
      <c r="R807">
        <v>0</v>
      </c>
      <c r="S807">
        <v>1</v>
      </c>
      <c r="T807">
        <v>1</v>
      </c>
      <c r="U807">
        <v>1</v>
      </c>
      <c r="V807">
        <v>1</v>
      </c>
      <c r="W807">
        <v>1</v>
      </c>
      <c r="X807">
        <v>1</v>
      </c>
      <c r="Y807">
        <v>1</v>
      </c>
      <c r="Z807">
        <v>1</v>
      </c>
      <c r="AA807">
        <v>1</v>
      </c>
      <c r="AB807">
        <v>1</v>
      </c>
      <c r="AC807">
        <v>1</v>
      </c>
      <c r="AD807">
        <v>1</v>
      </c>
      <c r="AE807">
        <v>1</v>
      </c>
      <c r="AF807">
        <v>1</v>
      </c>
      <c r="AG807" t="s">
        <v>303</v>
      </c>
      <c r="AH807" t="s">
        <v>11</v>
      </c>
      <c r="AI807" t="s">
        <v>6</v>
      </c>
      <c r="AJ807">
        <f>$H$807*$P$807</f>
        <v>0</v>
      </c>
      <c r="AK807">
        <f>$H$807*$Q$807</f>
        <v>0</v>
      </c>
      <c r="AL807">
        <f>$H$807*$R$807</f>
        <v>0</v>
      </c>
      <c r="AM807">
        <f>$H$807*$S$807</f>
        <v>32.520000000000003</v>
      </c>
      <c r="AN807">
        <f>$H$807*$T$807</f>
        <v>32.520000000000003</v>
      </c>
      <c r="AO807">
        <f>$H$807*$U$807</f>
        <v>32.520000000000003</v>
      </c>
      <c r="AP807">
        <f>$H$807*$V$807</f>
        <v>32.520000000000003</v>
      </c>
      <c r="AQ807">
        <f>$H$807*$W$807</f>
        <v>32.520000000000003</v>
      </c>
      <c r="AR807">
        <f>$H$807*$X$807</f>
        <v>32.520000000000003</v>
      </c>
      <c r="AS807">
        <f>$H$807*$Y$807</f>
        <v>32.520000000000003</v>
      </c>
      <c r="AT807">
        <f>$H$807*$Z$807</f>
        <v>32.520000000000003</v>
      </c>
      <c r="AU807">
        <f>$H$807*$AA$807</f>
        <v>32.520000000000003</v>
      </c>
      <c r="AV807">
        <f>$H$807*$AB$807</f>
        <v>32.520000000000003</v>
      </c>
      <c r="AW807">
        <f>$H$807*$AC$807</f>
        <v>32.520000000000003</v>
      </c>
      <c r="AX807">
        <f>$H$807*$AD$807</f>
        <v>32.520000000000003</v>
      </c>
      <c r="AY807">
        <f>$H$807*$AE$807</f>
        <v>32.520000000000003</v>
      </c>
      <c r="AZ807">
        <f>$H$807*$AF$807</f>
        <v>32.520000000000003</v>
      </c>
    </row>
    <row r="808" spans="1:52" x14ac:dyDescent="0.25">
      <c r="A808">
        <v>876</v>
      </c>
      <c r="B808" t="s">
        <v>303</v>
      </c>
      <c r="C808" t="s">
        <v>471</v>
      </c>
      <c r="D808">
        <v>26.57</v>
      </c>
      <c r="E808">
        <v>245.24</v>
      </c>
      <c r="F808" t="s">
        <v>349</v>
      </c>
      <c r="G808">
        <v>9.23</v>
      </c>
      <c r="H808">
        <v>294.27999999999997</v>
      </c>
      <c r="I808" t="s">
        <v>469</v>
      </c>
      <c r="J808" t="s">
        <v>463</v>
      </c>
      <c r="K808" t="s">
        <v>669</v>
      </c>
      <c r="L808" t="s">
        <v>179</v>
      </c>
      <c r="M808" t="s">
        <v>303</v>
      </c>
      <c r="N808" t="s">
        <v>11</v>
      </c>
      <c r="O808" t="s">
        <v>6</v>
      </c>
      <c r="P808">
        <v>0</v>
      </c>
      <c r="Q808">
        <v>0</v>
      </c>
      <c r="R808">
        <v>0</v>
      </c>
      <c r="S808">
        <v>1</v>
      </c>
      <c r="T808">
        <v>1</v>
      </c>
      <c r="U808">
        <v>1</v>
      </c>
      <c r="V808">
        <v>1</v>
      </c>
      <c r="W808">
        <v>1</v>
      </c>
      <c r="X808">
        <v>1</v>
      </c>
      <c r="Y808">
        <v>1</v>
      </c>
      <c r="Z808">
        <v>1</v>
      </c>
      <c r="AA808">
        <v>1</v>
      </c>
      <c r="AB808">
        <v>1</v>
      </c>
      <c r="AC808">
        <v>1</v>
      </c>
      <c r="AD808">
        <v>1</v>
      </c>
      <c r="AE808">
        <v>1</v>
      </c>
      <c r="AF808">
        <v>1</v>
      </c>
      <c r="AG808" t="s">
        <v>303</v>
      </c>
      <c r="AH808" t="s">
        <v>11</v>
      </c>
      <c r="AI808" t="s">
        <v>6</v>
      </c>
      <c r="AJ808">
        <f>$H$808*$P$808</f>
        <v>0</v>
      </c>
      <c r="AK808">
        <f>$H$808*$Q$808</f>
        <v>0</v>
      </c>
      <c r="AL808">
        <f>$H$808*$R$808</f>
        <v>0</v>
      </c>
      <c r="AM808">
        <f>$H$808*$S$808</f>
        <v>294.27999999999997</v>
      </c>
      <c r="AN808">
        <f>$H$808*$T$808</f>
        <v>294.27999999999997</v>
      </c>
      <c r="AO808">
        <f>$H$808*$U$808</f>
        <v>294.27999999999997</v>
      </c>
      <c r="AP808">
        <f>$H$808*$V$808</f>
        <v>294.27999999999997</v>
      </c>
      <c r="AQ808">
        <f>$H$808*$W$808</f>
        <v>294.27999999999997</v>
      </c>
      <c r="AR808">
        <f>$H$808*$X$808</f>
        <v>294.27999999999997</v>
      </c>
      <c r="AS808">
        <f>$H$808*$Y$808</f>
        <v>294.27999999999997</v>
      </c>
      <c r="AT808">
        <f>$H$808*$Z$808</f>
        <v>294.27999999999997</v>
      </c>
      <c r="AU808">
        <f>$H$808*$AA$808</f>
        <v>294.27999999999997</v>
      </c>
      <c r="AV808">
        <f>$H$808*$AB$808</f>
        <v>294.27999999999997</v>
      </c>
      <c r="AW808">
        <f>$H$808*$AC$808</f>
        <v>294.27999999999997</v>
      </c>
      <c r="AX808">
        <f>$H$808*$AD$808</f>
        <v>294.27999999999997</v>
      </c>
      <c r="AY808">
        <f>$H$808*$AE$808</f>
        <v>294.27999999999997</v>
      </c>
      <c r="AZ808">
        <f>$H$808*$AF$808</f>
        <v>294.27999999999997</v>
      </c>
    </row>
    <row r="809" spans="1:52" x14ac:dyDescent="0.25">
      <c r="A809">
        <v>877</v>
      </c>
      <c r="B809" t="s">
        <v>302</v>
      </c>
      <c r="C809" t="s">
        <v>336</v>
      </c>
      <c r="D809">
        <v>1</v>
      </c>
      <c r="E809">
        <v>87.09</v>
      </c>
      <c r="F809" t="s">
        <v>335</v>
      </c>
      <c r="G809">
        <v>87.09</v>
      </c>
      <c r="H809">
        <v>104.51</v>
      </c>
      <c r="I809" t="s">
        <v>337</v>
      </c>
      <c r="J809" t="s">
        <v>338</v>
      </c>
      <c r="K809" t="s">
        <v>606</v>
      </c>
      <c r="L809" t="s">
        <v>179</v>
      </c>
      <c r="M809" t="s">
        <v>302</v>
      </c>
      <c r="N809" t="s">
        <v>12</v>
      </c>
      <c r="O809" t="s">
        <v>6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1</v>
      </c>
      <c r="AE809">
        <v>1</v>
      </c>
      <c r="AF809">
        <v>1</v>
      </c>
      <c r="AG809" t="s">
        <v>302</v>
      </c>
      <c r="AH809" t="s">
        <v>12</v>
      </c>
      <c r="AI809" t="s">
        <v>6</v>
      </c>
      <c r="AJ809">
        <f>$H$809*$P$809</f>
        <v>0</v>
      </c>
      <c r="AK809">
        <f>$H$809*$Q$809</f>
        <v>0</v>
      </c>
      <c r="AL809">
        <f>$H$809*$R$809</f>
        <v>0</v>
      </c>
      <c r="AM809">
        <f>$H$809*$S$809</f>
        <v>0</v>
      </c>
      <c r="AN809">
        <f>$H$809*$T$809</f>
        <v>0</v>
      </c>
      <c r="AO809">
        <f>$H$809*$U$809</f>
        <v>0</v>
      </c>
      <c r="AP809">
        <f>$H$809*$V$809</f>
        <v>0</v>
      </c>
      <c r="AQ809">
        <f>$H$809*$W$809</f>
        <v>0</v>
      </c>
      <c r="AR809">
        <f>$H$809*$X$809</f>
        <v>0</v>
      </c>
      <c r="AS809">
        <f>$H$809*$Y$809</f>
        <v>0</v>
      </c>
      <c r="AT809">
        <f>$H$809*$Z$809</f>
        <v>0</v>
      </c>
      <c r="AU809">
        <f>$H$809*$AA$809</f>
        <v>0</v>
      </c>
      <c r="AV809">
        <f>$H$809*$AB$809</f>
        <v>0</v>
      </c>
      <c r="AW809">
        <f>$H$809*$AC$809</f>
        <v>0</v>
      </c>
      <c r="AX809">
        <f>$H$809*$AD$809</f>
        <v>104.51</v>
      </c>
      <c r="AY809">
        <f>$H$809*$AE$809</f>
        <v>104.51</v>
      </c>
      <c r="AZ809">
        <f>$H$809*$AF$809</f>
        <v>104.51</v>
      </c>
    </row>
    <row r="810" spans="1:52" x14ac:dyDescent="0.25">
      <c r="A810">
        <v>878</v>
      </c>
      <c r="B810" t="s">
        <v>302</v>
      </c>
      <c r="C810" t="s">
        <v>435</v>
      </c>
      <c r="D810">
        <v>3</v>
      </c>
      <c r="E810">
        <v>39.81</v>
      </c>
      <c r="F810" t="s">
        <v>335</v>
      </c>
      <c r="G810">
        <v>13.27</v>
      </c>
      <c r="H810">
        <v>47.77</v>
      </c>
      <c r="I810" t="s">
        <v>337</v>
      </c>
      <c r="J810" t="s">
        <v>436</v>
      </c>
      <c r="K810" t="s">
        <v>652</v>
      </c>
      <c r="L810" t="s">
        <v>179</v>
      </c>
      <c r="M810" t="s">
        <v>302</v>
      </c>
      <c r="N810" t="s">
        <v>12</v>
      </c>
      <c r="O810" t="s">
        <v>6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1</v>
      </c>
      <c r="Y810">
        <v>1</v>
      </c>
      <c r="Z810">
        <v>1</v>
      </c>
      <c r="AA810">
        <v>1</v>
      </c>
      <c r="AB810">
        <v>1</v>
      </c>
      <c r="AC810">
        <v>1</v>
      </c>
      <c r="AD810">
        <v>1</v>
      </c>
      <c r="AE810">
        <v>1</v>
      </c>
      <c r="AF810">
        <v>1</v>
      </c>
      <c r="AG810" t="s">
        <v>302</v>
      </c>
      <c r="AH810" t="s">
        <v>12</v>
      </c>
      <c r="AI810" t="s">
        <v>6</v>
      </c>
      <c r="AJ810">
        <f>$H$810*$P$810</f>
        <v>0</v>
      </c>
      <c r="AK810">
        <f>$H$810*$Q$810</f>
        <v>0</v>
      </c>
      <c r="AL810">
        <f>$H$810*$R$810</f>
        <v>0</v>
      </c>
      <c r="AM810">
        <f>$H$810*$S$810</f>
        <v>0</v>
      </c>
      <c r="AN810">
        <f>$H$810*$T$810</f>
        <v>0</v>
      </c>
      <c r="AO810">
        <f>$H$810*$U$810</f>
        <v>0</v>
      </c>
      <c r="AP810">
        <f>$H$810*$V$810</f>
        <v>0</v>
      </c>
      <c r="AQ810">
        <f>$H$810*$W$810</f>
        <v>0</v>
      </c>
      <c r="AR810">
        <f>$H$810*$X$810</f>
        <v>47.77</v>
      </c>
      <c r="AS810">
        <f>$H$810*$Y$810</f>
        <v>47.77</v>
      </c>
      <c r="AT810">
        <f>$H$810*$Z$810</f>
        <v>47.77</v>
      </c>
      <c r="AU810">
        <f>$H$810*$AA$810</f>
        <v>47.77</v>
      </c>
      <c r="AV810">
        <f>$H$810*$AB$810</f>
        <v>47.77</v>
      </c>
      <c r="AW810">
        <f>$H$810*$AC$810</f>
        <v>47.77</v>
      </c>
      <c r="AX810">
        <f>$H$810*$AD$810</f>
        <v>47.77</v>
      </c>
      <c r="AY810">
        <f>$H$810*$AE$810</f>
        <v>47.77</v>
      </c>
      <c r="AZ810">
        <f>$H$810*$AF$810</f>
        <v>47.77</v>
      </c>
    </row>
    <row r="811" spans="1:52" x14ac:dyDescent="0.25">
      <c r="A811">
        <v>879</v>
      </c>
      <c r="B811" t="s">
        <v>302</v>
      </c>
      <c r="C811" t="s">
        <v>437</v>
      </c>
      <c r="D811">
        <v>1</v>
      </c>
      <c r="E811">
        <v>98.82</v>
      </c>
      <c r="F811" t="s">
        <v>335</v>
      </c>
      <c r="G811">
        <v>98.82</v>
      </c>
      <c r="H811">
        <v>118.58</v>
      </c>
      <c r="I811" t="s">
        <v>340</v>
      </c>
      <c r="J811" t="s">
        <v>372</v>
      </c>
      <c r="K811" t="s">
        <v>653</v>
      </c>
      <c r="L811" t="s">
        <v>179</v>
      </c>
      <c r="M811" t="s">
        <v>302</v>
      </c>
      <c r="N811" t="s">
        <v>12</v>
      </c>
      <c r="O811" t="s">
        <v>6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1</v>
      </c>
      <c r="AE811">
        <v>1</v>
      </c>
      <c r="AF811">
        <v>1</v>
      </c>
      <c r="AG811" t="s">
        <v>302</v>
      </c>
      <c r="AH811" t="s">
        <v>12</v>
      </c>
      <c r="AI811" t="s">
        <v>6</v>
      </c>
      <c r="AJ811">
        <f>$H$811*$P$811</f>
        <v>0</v>
      </c>
      <c r="AK811">
        <f>$H$811*$Q$811</f>
        <v>0</v>
      </c>
      <c r="AL811">
        <f>$H$811*$R$811</f>
        <v>0</v>
      </c>
      <c r="AM811">
        <f>$H$811*$S$811</f>
        <v>0</v>
      </c>
      <c r="AN811">
        <f>$H$811*$T$811</f>
        <v>0</v>
      </c>
      <c r="AO811">
        <f>$H$811*$U$811</f>
        <v>0</v>
      </c>
      <c r="AP811">
        <f>$H$811*$V$811</f>
        <v>0</v>
      </c>
      <c r="AQ811">
        <f>$H$811*$W$811</f>
        <v>0</v>
      </c>
      <c r="AR811">
        <f>$H$811*$X$811</f>
        <v>0</v>
      </c>
      <c r="AS811">
        <f>$H$811*$Y$811</f>
        <v>0</v>
      </c>
      <c r="AT811">
        <f>$H$811*$Z$811</f>
        <v>0</v>
      </c>
      <c r="AU811">
        <f>$H$811*$AA$811</f>
        <v>0</v>
      </c>
      <c r="AV811">
        <f>$H$811*$AB$811</f>
        <v>0</v>
      </c>
      <c r="AW811">
        <f>$H$811*$AC$811</f>
        <v>0</v>
      </c>
      <c r="AX811">
        <f>$H$811*$AD$811</f>
        <v>118.58</v>
      </c>
      <c r="AY811">
        <f>$H$811*$AE$811</f>
        <v>118.58</v>
      </c>
      <c r="AZ811">
        <f>$H$811*$AF$811</f>
        <v>118.58</v>
      </c>
    </row>
    <row r="812" spans="1:52" x14ac:dyDescent="0.25">
      <c r="A812">
        <v>880</v>
      </c>
      <c r="B812" t="s">
        <v>302</v>
      </c>
      <c r="C812" t="s">
        <v>438</v>
      </c>
      <c r="D812">
        <v>16.53</v>
      </c>
      <c r="E812">
        <v>43.31</v>
      </c>
      <c r="F812" t="s">
        <v>329</v>
      </c>
      <c r="G812">
        <v>2.62</v>
      </c>
      <c r="H812">
        <v>51.97</v>
      </c>
      <c r="I812" t="s">
        <v>439</v>
      </c>
      <c r="J812" t="s">
        <v>440</v>
      </c>
      <c r="K812" t="s">
        <v>654</v>
      </c>
      <c r="L812" t="s">
        <v>179</v>
      </c>
      <c r="M812" t="s">
        <v>302</v>
      </c>
      <c r="N812" t="s">
        <v>12</v>
      </c>
      <c r="O812" t="s">
        <v>6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1</v>
      </c>
      <c r="AB812">
        <v>1</v>
      </c>
      <c r="AC812">
        <v>1</v>
      </c>
      <c r="AD812">
        <v>1</v>
      </c>
      <c r="AE812">
        <v>1</v>
      </c>
      <c r="AF812">
        <v>1</v>
      </c>
      <c r="AG812" t="s">
        <v>302</v>
      </c>
      <c r="AH812" t="s">
        <v>12</v>
      </c>
      <c r="AI812" t="s">
        <v>6</v>
      </c>
      <c r="AJ812">
        <f>$H$812*$P$812</f>
        <v>0</v>
      </c>
      <c r="AK812">
        <f>$H$812*$Q$812</f>
        <v>0</v>
      </c>
      <c r="AL812">
        <f>$H$812*$R$812</f>
        <v>0</v>
      </c>
      <c r="AM812">
        <f>$H$812*$S$812</f>
        <v>0</v>
      </c>
      <c r="AN812">
        <f>$H$812*$T$812</f>
        <v>0</v>
      </c>
      <c r="AO812">
        <f>$H$812*$U$812</f>
        <v>0</v>
      </c>
      <c r="AP812">
        <f>$H$812*$V$812</f>
        <v>0</v>
      </c>
      <c r="AQ812">
        <f>$H$812*$W$812</f>
        <v>0</v>
      </c>
      <c r="AR812">
        <f>$H$812*$X$812</f>
        <v>0</v>
      </c>
      <c r="AS812">
        <f>$H$812*$Y$812</f>
        <v>0</v>
      </c>
      <c r="AT812">
        <f>$H$812*$Z$812</f>
        <v>0</v>
      </c>
      <c r="AU812">
        <f>$H$812*$AA$812</f>
        <v>51.97</v>
      </c>
      <c r="AV812">
        <f>$H$812*$AB$812</f>
        <v>51.97</v>
      </c>
      <c r="AW812">
        <f>$H$812*$AC$812</f>
        <v>51.97</v>
      </c>
      <c r="AX812">
        <f>$H$812*$AD$812</f>
        <v>51.97</v>
      </c>
      <c r="AY812">
        <f>$H$812*$AE$812</f>
        <v>51.97</v>
      </c>
      <c r="AZ812">
        <f>$H$812*$AF$812</f>
        <v>51.97</v>
      </c>
    </row>
    <row r="813" spans="1:52" x14ac:dyDescent="0.25">
      <c r="A813">
        <v>881</v>
      </c>
      <c r="B813" t="s">
        <v>302</v>
      </c>
      <c r="C813" t="s">
        <v>441</v>
      </c>
      <c r="D813">
        <v>148.80000000000001</v>
      </c>
      <c r="E813">
        <v>321.41000000000003</v>
      </c>
      <c r="F813" t="s">
        <v>349</v>
      </c>
      <c r="G813">
        <v>2.16</v>
      </c>
      <c r="H813">
        <v>385.69</v>
      </c>
      <c r="I813" t="s">
        <v>439</v>
      </c>
      <c r="J813" t="s">
        <v>442</v>
      </c>
      <c r="K813" t="s">
        <v>655</v>
      </c>
      <c r="L813" t="s">
        <v>179</v>
      </c>
      <c r="M813" t="s">
        <v>302</v>
      </c>
      <c r="N813" t="s">
        <v>12</v>
      </c>
      <c r="O813" t="s">
        <v>6</v>
      </c>
      <c r="P813">
        <v>0</v>
      </c>
      <c r="Q813">
        <v>0</v>
      </c>
      <c r="R813">
        <v>0</v>
      </c>
      <c r="S813">
        <v>1</v>
      </c>
      <c r="T813">
        <v>1</v>
      </c>
      <c r="U813">
        <v>1</v>
      </c>
      <c r="V813">
        <v>1</v>
      </c>
      <c r="W813">
        <v>1</v>
      </c>
      <c r="X813">
        <v>1</v>
      </c>
      <c r="Y813">
        <v>1</v>
      </c>
      <c r="Z813">
        <v>1</v>
      </c>
      <c r="AA813">
        <v>1</v>
      </c>
      <c r="AB813">
        <v>1</v>
      </c>
      <c r="AC813">
        <v>1</v>
      </c>
      <c r="AD813">
        <v>1</v>
      </c>
      <c r="AE813">
        <v>1</v>
      </c>
      <c r="AF813">
        <v>1</v>
      </c>
      <c r="AG813" t="s">
        <v>302</v>
      </c>
      <c r="AH813" t="s">
        <v>12</v>
      </c>
      <c r="AI813" t="s">
        <v>6</v>
      </c>
      <c r="AJ813">
        <f>$H$813*$P$813</f>
        <v>0</v>
      </c>
      <c r="AK813">
        <f>$H$813*$Q$813</f>
        <v>0</v>
      </c>
      <c r="AL813">
        <f>$H$813*$R$813</f>
        <v>0</v>
      </c>
      <c r="AM813">
        <f>$H$813*$S$813</f>
        <v>385.69</v>
      </c>
      <c r="AN813">
        <f>$H$813*$T$813</f>
        <v>385.69</v>
      </c>
      <c r="AO813">
        <f>$H$813*$U$813</f>
        <v>385.69</v>
      </c>
      <c r="AP813">
        <f>$H$813*$V$813</f>
        <v>385.69</v>
      </c>
      <c r="AQ813">
        <f>$H$813*$W$813</f>
        <v>385.69</v>
      </c>
      <c r="AR813">
        <f>$H$813*$X$813</f>
        <v>385.69</v>
      </c>
      <c r="AS813">
        <f>$H$813*$Y$813</f>
        <v>385.69</v>
      </c>
      <c r="AT813">
        <f>$H$813*$Z$813</f>
        <v>385.69</v>
      </c>
      <c r="AU813">
        <f>$H$813*$AA$813</f>
        <v>385.69</v>
      </c>
      <c r="AV813">
        <f>$H$813*$AB$813</f>
        <v>385.69</v>
      </c>
      <c r="AW813">
        <f>$H$813*$AC$813</f>
        <v>385.69</v>
      </c>
      <c r="AX813">
        <f>$H$813*$AD$813</f>
        <v>385.69</v>
      </c>
      <c r="AY813">
        <f>$H$813*$AE$813</f>
        <v>385.69</v>
      </c>
      <c r="AZ813">
        <f>$H$813*$AF$813</f>
        <v>385.69</v>
      </c>
    </row>
    <row r="814" spans="1:52" x14ac:dyDescent="0.25">
      <c r="A814">
        <v>882</v>
      </c>
      <c r="B814" t="s">
        <v>302</v>
      </c>
      <c r="C814" t="s">
        <v>443</v>
      </c>
      <c r="D814">
        <v>148.80000000000001</v>
      </c>
      <c r="E814">
        <v>93.74</v>
      </c>
      <c r="F814" t="s">
        <v>349</v>
      </c>
      <c r="G814">
        <v>0.63</v>
      </c>
      <c r="H814">
        <v>112.48</v>
      </c>
      <c r="I814" t="s">
        <v>330</v>
      </c>
      <c r="J814" t="s">
        <v>444</v>
      </c>
      <c r="K814" t="s">
        <v>656</v>
      </c>
      <c r="L814" t="s">
        <v>179</v>
      </c>
      <c r="M814" t="s">
        <v>302</v>
      </c>
      <c r="N814" t="s">
        <v>12</v>
      </c>
      <c r="O814" t="s">
        <v>6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1</v>
      </c>
      <c r="AE814">
        <v>1</v>
      </c>
      <c r="AF814">
        <v>1</v>
      </c>
      <c r="AG814" t="s">
        <v>302</v>
      </c>
      <c r="AH814" t="s">
        <v>12</v>
      </c>
      <c r="AI814" t="s">
        <v>6</v>
      </c>
      <c r="AJ814">
        <f>$H$814*$P$814</f>
        <v>0</v>
      </c>
      <c r="AK814">
        <f>$H$814*$Q$814</f>
        <v>0</v>
      </c>
      <c r="AL814">
        <f>$H$814*$R$814</f>
        <v>0</v>
      </c>
      <c r="AM814">
        <f>$H$814*$S$814</f>
        <v>0</v>
      </c>
      <c r="AN814">
        <f>$H$814*$T$814</f>
        <v>0</v>
      </c>
      <c r="AO814">
        <f>$H$814*$U$814</f>
        <v>0</v>
      </c>
      <c r="AP814">
        <f>$H$814*$V$814</f>
        <v>0</v>
      </c>
      <c r="AQ814">
        <f>$H$814*$W$814</f>
        <v>0</v>
      </c>
      <c r="AR814">
        <f>$H$814*$X$814</f>
        <v>0</v>
      </c>
      <c r="AS814">
        <f>$H$814*$Y$814</f>
        <v>0</v>
      </c>
      <c r="AT814">
        <f>$H$814*$Z$814</f>
        <v>0</v>
      </c>
      <c r="AU814">
        <f>$H$814*$AA$814</f>
        <v>0</v>
      </c>
      <c r="AV814">
        <f>$H$814*$AB$814</f>
        <v>0</v>
      </c>
      <c r="AW814">
        <f>$H$814*$AC$814</f>
        <v>0</v>
      </c>
      <c r="AX814">
        <f>$H$814*$AD$814</f>
        <v>112.48</v>
      </c>
      <c r="AY814">
        <f>$H$814*$AE$814</f>
        <v>112.48</v>
      </c>
      <c r="AZ814">
        <f>$H$814*$AF$814</f>
        <v>112.48</v>
      </c>
    </row>
    <row r="815" spans="1:52" x14ac:dyDescent="0.25">
      <c r="A815">
        <v>883</v>
      </c>
      <c r="B815" t="s">
        <v>302</v>
      </c>
      <c r="C815" t="s">
        <v>362</v>
      </c>
      <c r="D815">
        <v>186</v>
      </c>
      <c r="E815">
        <v>182.28</v>
      </c>
      <c r="F815" t="s">
        <v>349</v>
      </c>
      <c r="G815">
        <v>0.98</v>
      </c>
      <c r="H815">
        <v>218.74</v>
      </c>
      <c r="I815" t="s">
        <v>330</v>
      </c>
      <c r="J815" t="s">
        <v>363</v>
      </c>
      <c r="K815" t="s">
        <v>617</v>
      </c>
      <c r="L815" t="s">
        <v>179</v>
      </c>
      <c r="M815" t="s">
        <v>302</v>
      </c>
      <c r="N815" t="s">
        <v>12</v>
      </c>
      <c r="O815" t="s">
        <v>6</v>
      </c>
      <c r="P815">
        <v>0</v>
      </c>
      <c r="Q815">
        <v>0</v>
      </c>
      <c r="R815">
        <v>0</v>
      </c>
      <c r="S815">
        <v>0</v>
      </c>
      <c r="T815">
        <v>1</v>
      </c>
      <c r="U815">
        <v>1</v>
      </c>
      <c r="V815">
        <v>1</v>
      </c>
      <c r="W815">
        <v>1</v>
      </c>
      <c r="X815">
        <v>1</v>
      </c>
      <c r="Y815">
        <v>1</v>
      </c>
      <c r="Z815">
        <v>1</v>
      </c>
      <c r="AA815">
        <v>1</v>
      </c>
      <c r="AB815">
        <v>1</v>
      </c>
      <c r="AC815">
        <v>1</v>
      </c>
      <c r="AD815">
        <v>1</v>
      </c>
      <c r="AE815">
        <v>1</v>
      </c>
      <c r="AF815">
        <v>1</v>
      </c>
      <c r="AG815" t="s">
        <v>302</v>
      </c>
      <c r="AH815" t="s">
        <v>12</v>
      </c>
      <c r="AI815" t="s">
        <v>6</v>
      </c>
      <c r="AJ815">
        <f>$H$815*$P$815</f>
        <v>0</v>
      </c>
      <c r="AK815">
        <f>$H$815*$Q$815</f>
        <v>0</v>
      </c>
      <c r="AL815">
        <f>$H$815*$R$815</f>
        <v>0</v>
      </c>
      <c r="AM815">
        <f>$H$815*$S$815</f>
        <v>0</v>
      </c>
      <c r="AN815">
        <f>$H$815*$T$815</f>
        <v>218.74</v>
      </c>
      <c r="AO815">
        <f>$H$815*$U$815</f>
        <v>218.74</v>
      </c>
      <c r="AP815">
        <f>$H$815*$V$815</f>
        <v>218.74</v>
      </c>
      <c r="AQ815">
        <f>$H$815*$W$815</f>
        <v>218.74</v>
      </c>
      <c r="AR815">
        <f>$H$815*$X$815</f>
        <v>218.74</v>
      </c>
      <c r="AS815">
        <f>$H$815*$Y$815</f>
        <v>218.74</v>
      </c>
      <c r="AT815">
        <f>$H$815*$Z$815</f>
        <v>218.74</v>
      </c>
      <c r="AU815">
        <f>$H$815*$AA$815</f>
        <v>218.74</v>
      </c>
      <c r="AV815">
        <f>$H$815*$AB$815</f>
        <v>218.74</v>
      </c>
      <c r="AW815">
        <f>$H$815*$AC$815</f>
        <v>218.74</v>
      </c>
      <c r="AX815">
        <f>$H$815*$AD$815</f>
        <v>218.74</v>
      </c>
      <c r="AY815">
        <f>$H$815*$AE$815</f>
        <v>218.74</v>
      </c>
      <c r="AZ815">
        <f>$H$815*$AF$815</f>
        <v>218.74</v>
      </c>
    </row>
    <row r="816" spans="1:52" x14ac:dyDescent="0.25">
      <c r="A816">
        <v>884</v>
      </c>
      <c r="B816" t="s">
        <v>302</v>
      </c>
      <c r="C816" t="s">
        <v>445</v>
      </c>
      <c r="D816">
        <v>37.200000000000003</v>
      </c>
      <c r="E816">
        <v>139.87</v>
      </c>
      <c r="F816" t="s">
        <v>349</v>
      </c>
      <c r="G816">
        <v>3.76</v>
      </c>
      <c r="H816">
        <v>167.85</v>
      </c>
      <c r="I816" t="s">
        <v>446</v>
      </c>
      <c r="J816" t="s">
        <v>420</v>
      </c>
      <c r="K816" t="s">
        <v>657</v>
      </c>
      <c r="L816" t="s">
        <v>179</v>
      </c>
      <c r="M816" t="s">
        <v>302</v>
      </c>
      <c r="N816" t="s">
        <v>12</v>
      </c>
      <c r="O816" t="s">
        <v>6</v>
      </c>
      <c r="P816">
        <v>0</v>
      </c>
      <c r="Q816">
        <v>0</v>
      </c>
      <c r="R816">
        <v>0</v>
      </c>
      <c r="S816">
        <v>0.25</v>
      </c>
      <c r="T816">
        <v>0.25</v>
      </c>
      <c r="U816">
        <v>0.25</v>
      </c>
      <c r="V816">
        <v>0.25</v>
      </c>
      <c r="W816">
        <v>0.25</v>
      </c>
      <c r="X816">
        <v>0.5</v>
      </c>
      <c r="Y816">
        <v>0.5</v>
      </c>
      <c r="Z816">
        <v>0.5</v>
      </c>
      <c r="AA816">
        <v>1</v>
      </c>
      <c r="AB816">
        <v>1</v>
      </c>
      <c r="AC816">
        <v>1</v>
      </c>
      <c r="AD816">
        <v>1</v>
      </c>
      <c r="AE816">
        <v>1</v>
      </c>
      <c r="AF816">
        <v>1</v>
      </c>
      <c r="AG816" t="s">
        <v>302</v>
      </c>
      <c r="AH816" t="s">
        <v>12</v>
      </c>
      <c r="AI816" t="s">
        <v>6</v>
      </c>
      <c r="AJ816">
        <f>$H$816*$P$816</f>
        <v>0</v>
      </c>
      <c r="AK816">
        <f>$H$816*$Q$816</f>
        <v>0</v>
      </c>
      <c r="AL816">
        <f>$H$816*$R$816</f>
        <v>0</v>
      </c>
      <c r="AM816">
        <f>$H$816*$S$816</f>
        <v>41.962499999999999</v>
      </c>
      <c r="AN816">
        <f>$H$816*$T$816</f>
        <v>41.962499999999999</v>
      </c>
      <c r="AO816">
        <f>$H$816*$U$816</f>
        <v>41.962499999999999</v>
      </c>
      <c r="AP816">
        <f>$H$816*$V$816</f>
        <v>41.962499999999999</v>
      </c>
      <c r="AQ816">
        <f>$H$816*$W$816</f>
        <v>41.962499999999999</v>
      </c>
      <c r="AR816">
        <f>$H$816*$X$816</f>
        <v>83.924999999999997</v>
      </c>
      <c r="AS816">
        <f>$H$816*$Y$816</f>
        <v>83.924999999999997</v>
      </c>
      <c r="AT816">
        <f>$H$816*$Z$816</f>
        <v>83.924999999999997</v>
      </c>
      <c r="AU816">
        <f>$H$816*$AA$816</f>
        <v>167.85</v>
      </c>
      <c r="AV816">
        <f>$H$816*$AB$816</f>
        <v>167.85</v>
      </c>
      <c r="AW816">
        <f>$H$816*$AC$816</f>
        <v>167.85</v>
      </c>
      <c r="AX816">
        <f>$H$816*$AD$816</f>
        <v>167.85</v>
      </c>
      <c r="AY816">
        <f>$H$816*$AE$816</f>
        <v>167.85</v>
      </c>
      <c r="AZ816">
        <f>$H$816*$AF$816</f>
        <v>167.85</v>
      </c>
    </row>
    <row r="817" spans="1:52" x14ac:dyDescent="0.25">
      <c r="A817">
        <v>885</v>
      </c>
      <c r="B817" t="s">
        <v>302</v>
      </c>
      <c r="C817" t="s">
        <v>364</v>
      </c>
      <c r="D817">
        <v>372</v>
      </c>
      <c r="E817">
        <v>1249.92</v>
      </c>
      <c r="F817" t="s">
        <v>349</v>
      </c>
      <c r="G817">
        <v>3.36</v>
      </c>
      <c r="H817">
        <v>1499.9</v>
      </c>
      <c r="I817" t="s">
        <v>365</v>
      </c>
      <c r="J817" t="s">
        <v>366</v>
      </c>
      <c r="K817" t="s">
        <v>618</v>
      </c>
      <c r="L817" t="s">
        <v>179</v>
      </c>
      <c r="M817" t="s">
        <v>302</v>
      </c>
      <c r="N817" t="s">
        <v>12</v>
      </c>
      <c r="O817" t="s">
        <v>6</v>
      </c>
      <c r="P817">
        <v>0</v>
      </c>
      <c r="Q817">
        <v>0</v>
      </c>
      <c r="R817">
        <v>0</v>
      </c>
      <c r="S817">
        <v>0.25</v>
      </c>
      <c r="T817">
        <v>0.25</v>
      </c>
      <c r="U817">
        <v>0.25</v>
      </c>
      <c r="V817">
        <v>0.25</v>
      </c>
      <c r="W817">
        <v>0.5</v>
      </c>
      <c r="X817">
        <v>0.5</v>
      </c>
      <c r="Y817">
        <v>0.5</v>
      </c>
      <c r="Z817">
        <v>0.5</v>
      </c>
      <c r="AA817">
        <v>1</v>
      </c>
      <c r="AB817">
        <v>1</v>
      </c>
      <c r="AC817">
        <v>1</v>
      </c>
      <c r="AD817">
        <v>1</v>
      </c>
      <c r="AE817">
        <v>1</v>
      </c>
      <c r="AF817">
        <v>1</v>
      </c>
      <c r="AG817" t="s">
        <v>302</v>
      </c>
      <c r="AH817" t="s">
        <v>12</v>
      </c>
      <c r="AI817" t="s">
        <v>6</v>
      </c>
      <c r="AJ817">
        <f>$H$817*$P$817</f>
        <v>0</v>
      </c>
      <c r="AK817">
        <f>$H$817*$Q$817</f>
        <v>0</v>
      </c>
      <c r="AL817">
        <f>$H$817*$R$817</f>
        <v>0</v>
      </c>
      <c r="AM817">
        <f>$H$817*$S$817</f>
        <v>374.97500000000002</v>
      </c>
      <c r="AN817">
        <f>$H$817*$T$817</f>
        <v>374.97500000000002</v>
      </c>
      <c r="AO817">
        <f>$H$817*$U$817</f>
        <v>374.97500000000002</v>
      </c>
      <c r="AP817">
        <f>$H$817*$V$817</f>
        <v>374.97500000000002</v>
      </c>
      <c r="AQ817">
        <f>$H$817*$W$817</f>
        <v>749.95</v>
      </c>
      <c r="AR817">
        <f>$H$817*$X$817</f>
        <v>749.95</v>
      </c>
      <c r="AS817">
        <f>$H$817*$Y$817</f>
        <v>749.95</v>
      </c>
      <c r="AT817">
        <f>$H$817*$Z$817</f>
        <v>749.95</v>
      </c>
      <c r="AU817">
        <f>$H$817*$AA$817</f>
        <v>1499.9</v>
      </c>
      <c r="AV817">
        <f>$H$817*$AB$817</f>
        <v>1499.9</v>
      </c>
      <c r="AW817">
        <f>$H$817*$AC$817</f>
        <v>1499.9</v>
      </c>
      <c r="AX817">
        <f>$H$817*$AD$817</f>
        <v>1499.9</v>
      </c>
      <c r="AY817">
        <f>$H$817*$AE$817</f>
        <v>1499.9</v>
      </c>
      <c r="AZ817">
        <f>$H$817*$AF$817</f>
        <v>1499.9</v>
      </c>
    </row>
    <row r="818" spans="1:52" x14ac:dyDescent="0.25">
      <c r="A818">
        <v>886</v>
      </c>
      <c r="B818" t="s">
        <v>302</v>
      </c>
      <c r="C818" t="s">
        <v>447</v>
      </c>
      <c r="D818">
        <v>41.33</v>
      </c>
      <c r="E818">
        <v>42.98</v>
      </c>
      <c r="F818" t="s">
        <v>329</v>
      </c>
      <c r="G818">
        <v>1.04</v>
      </c>
      <c r="H818">
        <v>51.58</v>
      </c>
      <c r="I818" t="s">
        <v>330</v>
      </c>
      <c r="J818" t="s">
        <v>448</v>
      </c>
      <c r="K818" t="s">
        <v>658</v>
      </c>
      <c r="L818" t="s">
        <v>179</v>
      </c>
      <c r="M818" t="s">
        <v>302</v>
      </c>
      <c r="N818" t="s">
        <v>12</v>
      </c>
      <c r="O818" t="s">
        <v>6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1</v>
      </c>
      <c r="AB818">
        <v>1</v>
      </c>
      <c r="AC818">
        <v>1</v>
      </c>
      <c r="AD818">
        <v>1</v>
      </c>
      <c r="AE818">
        <v>1</v>
      </c>
      <c r="AF818">
        <v>1</v>
      </c>
      <c r="AG818" t="s">
        <v>302</v>
      </c>
      <c r="AH818" t="s">
        <v>12</v>
      </c>
      <c r="AI818" t="s">
        <v>6</v>
      </c>
      <c r="AJ818">
        <f>$H$818*$P$818</f>
        <v>0</v>
      </c>
      <c r="AK818">
        <f>$H$818*$Q$818</f>
        <v>0</v>
      </c>
      <c r="AL818">
        <f>$H$818*$R$818</f>
        <v>0</v>
      </c>
      <c r="AM818">
        <f>$H$818*$S$818</f>
        <v>0</v>
      </c>
      <c r="AN818">
        <f>$H$818*$T$818</f>
        <v>0</v>
      </c>
      <c r="AO818">
        <f>$H$818*$U$818</f>
        <v>0</v>
      </c>
      <c r="AP818">
        <f>$H$818*$V$818</f>
        <v>0</v>
      </c>
      <c r="AQ818">
        <f>$H$818*$W$818</f>
        <v>0</v>
      </c>
      <c r="AR818">
        <f>$H$818*$X$818</f>
        <v>0</v>
      </c>
      <c r="AS818">
        <f>$H$818*$Y$818</f>
        <v>0</v>
      </c>
      <c r="AT818">
        <f>$H$818*$Z$818</f>
        <v>0</v>
      </c>
      <c r="AU818">
        <f>$H$818*$AA$818</f>
        <v>51.58</v>
      </c>
      <c r="AV818">
        <f>$H$818*$AB$818</f>
        <v>51.58</v>
      </c>
      <c r="AW818">
        <f>$H$818*$AC$818</f>
        <v>51.58</v>
      </c>
      <c r="AX818">
        <f>$H$818*$AD$818</f>
        <v>51.58</v>
      </c>
      <c r="AY818">
        <f>$H$818*$AE$818</f>
        <v>51.58</v>
      </c>
      <c r="AZ818">
        <f>$H$818*$AF$818</f>
        <v>51.58</v>
      </c>
    </row>
    <row r="819" spans="1:52" x14ac:dyDescent="0.25">
      <c r="A819">
        <v>887</v>
      </c>
      <c r="B819" t="s">
        <v>302</v>
      </c>
      <c r="C819" t="s">
        <v>449</v>
      </c>
      <c r="D819">
        <v>41.33</v>
      </c>
      <c r="E819">
        <v>331.47</v>
      </c>
      <c r="F819" t="s">
        <v>329</v>
      </c>
      <c r="G819">
        <v>8.02</v>
      </c>
      <c r="H819">
        <v>397.77</v>
      </c>
      <c r="I819" t="s">
        <v>333</v>
      </c>
      <c r="J819" t="s">
        <v>450</v>
      </c>
      <c r="K819" t="s">
        <v>659</v>
      </c>
      <c r="L819" t="s">
        <v>179</v>
      </c>
      <c r="M819" t="s">
        <v>302</v>
      </c>
      <c r="N819" t="s">
        <v>12</v>
      </c>
      <c r="O819" t="s">
        <v>6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1</v>
      </c>
      <c r="AB819">
        <v>1</v>
      </c>
      <c r="AC819">
        <v>1</v>
      </c>
      <c r="AD819">
        <v>1</v>
      </c>
      <c r="AE819">
        <v>1</v>
      </c>
      <c r="AF819">
        <v>1</v>
      </c>
      <c r="AG819" t="s">
        <v>302</v>
      </c>
      <c r="AH819" t="s">
        <v>12</v>
      </c>
      <c r="AI819" t="s">
        <v>6</v>
      </c>
      <c r="AJ819">
        <f>$H$819*$P$819</f>
        <v>0</v>
      </c>
      <c r="AK819">
        <f>$H$819*$Q$819</f>
        <v>0</v>
      </c>
      <c r="AL819">
        <f>$H$819*$R$819</f>
        <v>0</v>
      </c>
      <c r="AM819">
        <f>$H$819*$S$819</f>
        <v>0</v>
      </c>
      <c r="AN819">
        <f>$H$819*$T$819</f>
        <v>0</v>
      </c>
      <c r="AO819">
        <f>$H$819*$U$819</f>
        <v>0</v>
      </c>
      <c r="AP819">
        <f>$H$819*$V$819</f>
        <v>0</v>
      </c>
      <c r="AQ819">
        <f>$H$819*$W$819</f>
        <v>0</v>
      </c>
      <c r="AR819">
        <f>$H$819*$X$819</f>
        <v>0</v>
      </c>
      <c r="AS819">
        <f>$H$819*$Y$819</f>
        <v>0</v>
      </c>
      <c r="AT819">
        <f>$H$819*$Z$819</f>
        <v>0</v>
      </c>
      <c r="AU819">
        <f>$H$819*$AA$819</f>
        <v>397.77</v>
      </c>
      <c r="AV819">
        <f>$H$819*$AB$819</f>
        <v>397.77</v>
      </c>
      <c r="AW819">
        <f>$H$819*$AC$819</f>
        <v>397.77</v>
      </c>
      <c r="AX819">
        <f>$H$819*$AD$819</f>
        <v>397.77</v>
      </c>
      <c r="AY819">
        <f>$H$819*$AE$819</f>
        <v>397.77</v>
      </c>
      <c r="AZ819">
        <f>$H$819*$AF$819</f>
        <v>397.77</v>
      </c>
    </row>
    <row r="820" spans="1:52" x14ac:dyDescent="0.25">
      <c r="A820">
        <v>888</v>
      </c>
      <c r="B820" t="s">
        <v>302</v>
      </c>
      <c r="C820" t="s">
        <v>455</v>
      </c>
      <c r="D820">
        <v>41.33</v>
      </c>
      <c r="E820">
        <v>62.41</v>
      </c>
      <c r="F820" t="s">
        <v>329</v>
      </c>
      <c r="G820">
        <v>1.51</v>
      </c>
      <c r="H820">
        <v>74.89</v>
      </c>
      <c r="I820" t="s">
        <v>330</v>
      </c>
      <c r="J820" t="s">
        <v>456</v>
      </c>
      <c r="K820" t="s">
        <v>662</v>
      </c>
      <c r="L820" t="s">
        <v>179</v>
      </c>
      <c r="M820" t="s">
        <v>302</v>
      </c>
      <c r="N820" t="s">
        <v>12</v>
      </c>
      <c r="O820" t="s">
        <v>6</v>
      </c>
      <c r="P820">
        <v>0</v>
      </c>
      <c r="Q820">
        <v>0</v>
      </c>
      <c r="R820">
        <v>0</v>
      </c>
      <c r="S820">
        <v>1</v>
      </c>
      <c r="T820">
        <v>1</v>
      </c>
      <c r="U820">
        <v>1</v>
      </c>
      <c r="V820">
        <v>1</v>
      </c>
      <c r="W820">
        <v>1</v>
      </c>
      <c r="X820">
        <v>1</v>
      </c>
      <c r="Y820">
        <v>1</v>
      </c>
      <c r="Z820">
        <v>1</v>
      </c>
      <c r="AA820">
        <v>1</v>
      </c>
      <c r="AB820">
        <v>1</v>
      </c>
      <c r="AC820">
        <v>1</v>
      </c>
      <c r="AD820">
        <v>1</v>
      </c>
      <c r="AE820">
        <v>1</v>
      </c>
      <c r="AF820">
        <v>1</v>
      </c>
      <c r="AG820" t="s">
        <v>302</v>
      </c>
      <c r="AH820" t="s">
        <v>12</v>
      </c>
      <c r="AI820" t="s">
        <v>6</v>
      </c>
      <c r="AJ820">
        <f>$H$820*$P$820</f>
        <v>0</v>
      </c>
      <c r="AK820">
        <f>$H$820*$Q$820</f>
        <v>0</v>
      </c>
      <c r="AL820">
        <f>$H$820*$R$820</f>
        <v>0</v>
      </c>
      <c r="AM820">
        <f>$H$820*$S$820</f>
        <v>74.89</v>
      </c>
      <c r="AN820">
        <f>$H$820*$T$820</f>
        <v>74.89</v>
      </c>
      <c r="AO820">
        <f>$H$820*$U$820</f>
        <v>74.89</v>
      </c>
      <c r="AP820">
        <f>$H$820*$V$820</f>
        <v>74.89</v>
      </c>
      <c r="AQ820">
        <f>$H$820*$W$820</f>
        <v>74.89</v>
      </c>
      <c r="AR820">
        <f>$H$820*$X$820</f>
        <v>74.89</v>
      </c>
      <c r="AS820">
        <f>$H$820*$Y$820</f>
        <v>74.89</v>
      </c>
      <c r="AT820">
        <f>$H$820*$Z$820</f>
        <v>74.89</v>
      </c>
      <c r="AU820">
        <f>$H$820*$AA$820</f>
        <v>74.89</v>
      </c>
      <c r="AV820">
        <f>$H$820*$AB$820</f>
        <v>74.89</v>
      </c>
      <c r="AW820">
        <f>$H$820*$AC$820</f>
        <v>74.89</v>
      </c>
      <c r="AX820">
        <f>$H$820*$AD$820</f>
        <v>74.89</v>
      </c>
      <c r="AY820">
        <f>$H$820*$AE$820</f>
        <v>74.89</v>
      </c>
      <c r="AZ820">
        <f>$H$820*$AF$820</f>
        <v>74.89</v>
      </c>
    </row>
    <row r="821" spans="1:52" x14ac:dyDescent="0.25">
      <c r="A821">
        <v>889</v>
      </c>
      <c r="B821" t="s">
        <v>302</v>
      </c>
      <c r="C821" t="s">
        <v>457</v>
      </c>
      <c r="D821">
        <v>41.33</v>
      </c>
      <c r="E821">
        <v>234.75</v>
      </c>
      <c r="F821" t="s">
        <v>329</v>
      </c>
      <c r="G821">
        <v>5.68</v>
      </c>
      <c r="H821">
        <v>281.70999999999998</v>
      </c>
      <c r="I821" t="s">
        <v>333</v>
      </c>
      <c r="J821" t="s">
        <v>458</v>
      </c>
      <c r="K821" t="s">
        <v>663</v>
      </c>
      <c r="L821" t="s">
        <v>179</v>
      </c>
      <c r="M821" t="s">
        <v>302</v>
      </c>
      <c r="N821" t="s">
        <v>12</v>
      </c>
      <c r="O821" t="s">
        <v>6</v>
      </c>
      <c r="P821">
        <v>0</v>
      </c>
      <c r="Q821">
        <v>0</v>
      </c>
      <c r="R821">
        <v>0</v>
      </c>
      <c r="S821">
        <v>1</v>
      </c>
      <c r="T821">
        <v>1</v>
      </c>
      <c r="U821">
        <v>1</v>
      </c>
      <c r="V821">
        <v>1</v>
      </c>
      <c r="W821">
        <v>1</v>
      </c>
      <c r="X821">
        <v>1</v>
      </c>
      <c r="Y821">
        <v>1</v>
      </c>
      <c r="Z821">
        <v>1</v>
      </c>
      <c r="AA821">
        <v>1</v>
      </c>
      <c r="AB821">
        <v>1</v>
      </c>
      <c r="AC821">
        <v>1</v>
      </c>
      <c r="AD821">
        <v>1</v>
      </c>
      <c r="AE821">
        <v>1</v>
      </c>
      <c r="AF821">
        <v>1</v>
      </c>
      <c r="AG821" t="s">
        <v>302</v>
      </c>
      <c r="AH821" t="s">
        <v>12</v>
      </c>
      <c r="AI821" t="s">
        <v>6</v>
      </c>
      <c r="AJ821">
        <f>$H$821*$P$821</f>
        <v>0</v>
      </c>
      <c r="AK821">
        <f>$H$821*$Q$821</f>
        <v>0</v>
      </c>
      <c r="AL821">
        <f>$H$821*$R$821</f>
        <v>0</v>
      </c>
      <c r="AM821">
        <f>$H$821*$S$821</f>
        <v>281.70999999999998</v>
      </c>
      <c r="AN821">
        <f>$H$821*$T$821</f>
        <v>281.70999999999998</v>
      </c>
      <c r="AO821">
        <f>$H$821*$U$821</f>
        <v>281.70999999999998</v>
      </c>
      <c r="AP821">
        <f>$H$821*$V$821</f>
        <v>281.70999999999998</v>
      </c>
      <c r="AQ821">
        <f>$H$821*$W$821</f>
        <v>281.70999999999998</v>
      </c>
      <c r="AR821">
        <f>$H$821*$X$821</f>
        <v>281.70999999999998</v>
      </c>
      <c r="AS821">
        <f>$H$821*$Y$821</f>
        <v>281.70999999999998</v>
      </c>
      <c r="AT821">
        <f>$H$821*$Z$821</f>
        <v>281.70999999999998</v>
      </c>
      <c r="AU821">
        <f>$H$821*$AA$821</f>
        <v>281.70999999999998</v>
      </c>
      <c r="AV821">
        <f>$H$821*$AB$821</f>
        <v>281.70999999999998</v>
      </c>
      <c r="AW821">
        <f>$H$821*$AC$821</f>
        <v>281.70999999999998</v>
      </c>
      <c r="AX821">
        <f>$H$821*$AD$821</f>
        <v>281.70999999999998</v>
      </c>
      <c r="AY821">
        <f>$H$821*$AE$821</f>
        <v>281.70999999999998</v>
      </c>
      <c r="AZ821">
        <f>$H$821*$AF$821</f>
        <v>281.70999999999998</v>
      </c>
    </row>
    <row r="822" spans="1:52" x14ac:dyDescent="0.25">
      <c r="A822">
        <v>890</v>
      </c>
      <c r="B822" t="s">
        <v>302</v>
      </c>
      <c r="C822" t="s">
        <v>364</v>
      </c>
      <c r="D822">
        <v>87.27</v>
      </c>
      <c r="E822">
        <v>293.23</v>
      </c>
      <c r="F822" t="s">
        <v>349</v>
      </c>
      <c r="G822">
        <v>3.36</v>
      </c>
      <c r="H822">
        <v>351.87</v>
      </c>
      <c r="I822" t="s">
        <v>365</v>
      </c>
      <c r="J822" t="s">
        <v>366</v>
      </c>
      <c r="K822" t="s">
        <v>618</v>
      </c>
      <c r="L822" t="s">
        <v>179</v>
      </c>
      <c r="M822" t="s">
        <v>302</v>
      </c>
      <c r="N822" t="s">
        <v>12</v>
      </c>
      <c r="O822" t="s">
        <v>6</v>
      </c>
      <c r="P822">
        <v>0</v>
      </c>
      <c r="Q822">
        <v>0</v>
      </c>
      <c r="R822">
        <v>0</v>
      </c>
      <c r="S822">
        <v>0.25</v>
      </c>
      <c r="T822">
        <v>0.25</v>
      </c>
      <c r="U822">
        <v>0.25</v>
      </c>
      <c r="V822">
        <v>0.25</v>
      </c>
      <c r="W822">
        <v>0.5</v>
      </c>
      <c r="X822">
        <v>0.5</v>
      </c>
      <c r="Y822">
        <v>0.5</v>
      </c>
      <c r="Z822">
        <v>0.5</v>
      </c>
      <c r="AA822">
        <v>1</v>
      </c>
      <c r="AB822">
        <v>1</v>
      </c>
      <c r="AC822">
        <v>1</v>
      </c>
      <c r="AD822">
        <v>1</v>
      </c>
      <c r="AE822">
        <v>1</v>
      </c>
      <c r="AF822">
        <v>1</v>
      </c>
      <c r="AG822" t="s">
        <v>302</v>
      </c>
      <c r="AH822" t="s">
        <v>12</v>
      </c>
      <c r="AI822" t="s">
        <v>6</v>
      </c>
      <c r="AJ822">
        <f>$H$822*$P$822</f>
        <v>0</v>
      </c>
      <c r="AK822">
        <f>$H$822*$Q$822</f>
        <v>0</v>
      </c>
      <c r="AL822">
        <f>$H$822*$R$822</f>
        <v>0</v>
      </c>
      <c r="AM822">
        <f>$H$822*$S$822</f>
        <v>87.967500000000001</v>
      </c>
      <c r="AN822">
        <f>$H$822*$T$822</f>
        <v>87.967500000000001</v>
      </c>
      <c r="AO822">
        <f>$H$822*$U$822</f>
        <v>87.967500000000001</v>
      </c>
      <c r="AP822">
        <f>$H$822*$V$822</f>
        <v>87.967500000000001</v>
      </c>
      <c r="AQ822">
        <f>$H$822*$W$822</f>
        <v>175.935</v>
      </c>
      <c r="AR822">
        <f>$H$822*$X$822</f>
        <v>175.935</v>
      </c>
      <c r="AS822">
        <f>$H$822*$Y$822</f>
        <v>175.935</v>
      </c>
      <c r="AT822">
        <f>$H$822*$Z$822</f>
        <v>175.935</v>
      </c>
      <c r="AU822">
        <f>$H$822*$AA$822</f>
        <v>351.87</v>
      </c>
      <c r="AV822">
        <f>$H$822*$AB$822</f>
        <v>351.87</v>
      </c>
      <c r="AW822">
        <f>$H$822*$AC$822</f>
        <v>351.87</v>
      </c>
      <c r="AX822">
        <f>$H$822*$AD$822</f>
        <v>351.87</v>
      </c>
      <c r="AY822">
        <f>$H$822*$AE$822</f>
        <v>351.87</v>
      </c>
      <c r="AZ822">
        <f>$H$822*$AF$822</f>
        <v>351.87</v>
      </c>
    </row>
    <row r="823" spans="1:52" x14ac:dyDescent="0.25">
      <c r="A823">
        <v>891</v>
      </c>
      <c r="B823" t="s">
        <v>302</v>
      </c>
      <c r="C823" t="s">
        <v>443</v>
      </c>
      <c r="D823">
        <v>87.27</v>
      </c>
      <c r="E823">
        <v>54.98</v>
      </c>
      <c r="F823" t="s">
        <v>349</v>
      </c>
      <c r="G823">
        <v>0.63</v>
      </c>
      <c r="H823">
        <v>65.98</v>
      </c>
      <c r="I823" t="s">
        <v>330</v>
      </c>
      <c r="J823" t="s">
        <v>444</v>
      </c>
      <c r="K823" t="s">
        <v>656</v>
      </c>
      <c r="L823" t="s">
        <v>179</v>
      </c>
      <c r="M823" t="s">
        <v>302</v>
      </c>
      <c r="N823" t="s">
        <v>12</v>
      </c>
      <c r="O823" t="s">
        <v>6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1</v>
      </c>
      <c r="AE823">
        <v>1</v>
      </c>
      <c r="AF823">
        <v>1</v>
      </c>
      <c r="AG823" t="s">
        <v>302</v>
      </c>
      <c r="AH823" t="s">
        <v>12</v>
      </c>
      <c r="AI823" t="s">
        <v>6</v>
      </c>
      <c r="AJ823">
        <f>$H$823*$P$823</f>
        <v>0</v>
      </c>
      <c r="AK823">
        <f>$H$823*$Q$823</f>
        <v>0</v>
      </c>
      <c r="AL823">
        <f>$H$823*$R$823</f>
        <v>0</v>
      </c>
      <c r="AM823">
        <f>$H$823*$S$823</f>
        <v>0</v>
      </c>
      <c r="AN823">
        <f>$H$823*$T$823</f>
        <v>0</v>
      </c>
      <c r="AO823">
        <f>$H$823*$U$823</f>
        <v>0</v>
      </c>
      <c r="AP823">
        <f>$H$823*$V$823</f>
        <v>0</v>
      </c>
      <c r="AQ823">
        <f>$H$823*$W$823</f>
        <v>0</v>
      </c>
      <c r="AR823">
        <f>$H$823*$X$823</f>
        <v>0</v>
      </c>
      <c r="AS823">
        <f>$H$823*$Y$823</f>
        <v>0</v>
      </c>
      <c r="AT823">
        <f>$H$823*$Z$823</f>
        <v>0</v>
      </c>
      <c r="AU823">
        <f>$H$823*$AA$823</f>
        <v>0</v>
      </c>
      <c r="AV823">
        <f>$H$823*$AB$823</f>
        <v>0</v>
      </c>
      <c r="AW823">
        <f>$H$823*$AC$823</f>
        <v>0</v>
      </c>
      <c r="AX823">
        <f>$H$823*$AD$823</f>
        <v>65.98</v>
      </c>
      <c r="AY823">
        <f>$H$823*$AE$823</f>
        <v>65.98</v>
      </c>
      <c r="AZ823">
        <f>$H$823*$AF$823</f>
        <v>65.98</v>
      </c>
    </row>
    <row r="824" spans="1:52" x14ac:dyDescent="0.25">
      <c r="A824">
        <v>892</v>
      </c>
      <c r="B824" t="s">
        <v>302</v>
      </c>
      <c r="C824" t="s">
        <v>459</v>
      </c>
      <c r="D824">
        <v>87.27</v>
      </c>
      <c r="E824">
        <v>60.22</v>
      </c>
      <c r="F824" t="s">
        <v>349</v>
      </c>
      <c r="G824">
        <v>0.69</v>
      </c>
      <c r="H824">
        <v>72.260000000000005</v>
      </c>
      <c r="I824" t="s">
        <v>330</v>
      </c>
      <c r="J824" t="s">
        <v>460</v>
      </c>
      <c r="K824" t="s">
        <v>664</v>
      </c>
      <c r="L824" t="s">
        <v>179</v>
      </c>
      <c r="M824" t="s">
        <v>302</v>
      </c>
      <c r="N824" t="s">
        <v>12</v>
      </c>
      <c r="O824" t="s">
        <v>6</v>
      </c>
      <c r="P824">
        <v>0</v>
      </c>
      <c r="Q824">
        <v>0</v>
      </c>
      <c r="R824">
        <v>0</v>
      </c>
      <c r="S824">
        <v>1</v>
      </c>
      <c r="T824">
        <v>1</v>
      </c>
      <c r="U824">
        <v>1</v>
      </c>
      <c r="V824">
        <v>1</v>
      </c>
      <c r="W824">
        <v>1</v>
      </c>
      <c r="X824">
        <v>1</v>
      </c>
      <c r="Y824">
        <v>1</v>
      </c>
      <c r="Z824">
        <v>1</v>
      </c>
      <c r="AA824">
        <v>1</v>
      </c>
      <c r="AB824">
        <v>1</v>
      </c>
      <c r="AC824">
        <v>1</v>
      </c>
      <c r="AD824">
        <v>1</v>
      </c>
      <c r="AE824">
        <v>1</v>
      </c>
      <c r="AF824">
        <v>1</v>
      </c>
      <c r="AG824" t="s">
        <v>302</v>
      </c>
      <c r="AH824" t="s">
        <v>12</v>
      </c>
      <c r="AI824" t="s">
        <v>6</v>
      </c>
      <c r="AJ824">
        <f>$H$824*$P$824</f>
        <v>0</v>
      </c>
      <c r="AK824">
        <f>$H$824*$Q$824</f>
        <v>0</v>
      </c>
      <c r="AL824">
        <f>$H$824*$R$824</f>
        <v>0</v>
      </c>
      <c r="AM824">
        <f>$H$824*$S$824</f>
        <v>72.260000000000005</v>
      </c>
      <c r="AN824">
        <f>$H$824*$T$824</f>
        <v>72.260000000000005</v>
      </c>
      <c r="AO824">
        <f>$H$824*$U$824</f>
        <v>72.260000000000005</v>
      </c>
      <c r="AP824">
        <f>$H$824*$V$824</f>
        <v>72.260000000000005</v>
      </c>
      <c r="AQ824">
        <f>$H$824*$W$824</f>
        <v>72.260000000000005</v>
      </c>
      <c r="AR824">
        <f>$H$824*$X$824</f>
        <v>72.260000000000005</v>
      </c>
      <c r="AS824">
        <f>$H$824*$Y$824</f>
        <v>72.260000000000005</v>
      </c>
      <c r="AT824">
        <f>$H$824*$Z$824</f>
        <v>72.260000000000005</v>
      </c>
      <c r="AU824">
        <f>$H$824*$AA$824</f>
        <v>72.260000000000005</v>
      </c>
      <c r="AV824">
        <f>$H$824*$AB$824</f>
        <v>72.260000000000005</v>
      </c>
      <c r="AW824">
        <f>$H$824*$AC$824</f>
        <v>72.260000000000005</v>
      </c>
      <c r="AX824">
        <f>$H$824*$AD$824</f>
        <v>72.260000000000005</v>
      </c>
      <c r="AY824">
        <f>$H$824*$AE$824</f>
        <v>72.260000000000005</v>
      </c>
      <c r="AZ824">
        <f>$H$824*$AF$824</f>
        <v>72.260000000000005</v>
      </c>
    </row>
    <row r="825" spans="1:52" x14ac:dyDescent="0.25">
      <c r="A825">
        <v>893</v>
      </c>
      <c r="B825" t="s">
        <v>302</v>
      </c>
      <c r="C825" t="s">
        <v>461</v>
      </c>
      <c r="D825">
        <v>17.45</v>
      </c>
      <c r="E825">
        <v>302.76</v>
      </c>
      <c r="F825" t="s">
        <v>349</v>
      </c>
      <c r="G825">
        <v>17.350000000000001</v>
      </c>
      <c r="H825">
        <v>363.32</v>
      </c>
      <c r="I825" t="s">
        <v>462</v>
      </c>
      <c r="J825" t="s">
        <v>463</v>
      </c>
      <c r="K825" t="s">
        <v>665</v>
      </c>
      <c r="L825" t="s">
        <v>179</v>
      </c>
      <c r="M825" t="s">
        <v>302</v>
      </c>
      <c r="N825" t="s">
        <v>12</v>
      </c>
      <c r="O825" t="s">
        <v>6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1</v>
      </c>
      <c r="Z825">
        <v>1</v>
      </c>
      <c r="AA825">
        <v>1</v>
      </c>
      <c r="AB825">
        <v>1</v>
      </c>
      <c r="AC825">
        <v>1</v>
      </c>
      <c r="AD825">
        <v>1</v>
      </c>
      <c r="AE825">
        <v>1</v>
      </c>
      <c r="AF825">
        <v>1</v>
      </c>
      <c r="AG825" t="s">
        <v>302</v>
      </c>
      <c r="AH825" t="s">
        <v>12</v>
      </c>
      <c r="AI825" t="s">
        <v>6</v>
      </c>
      <c r="AJ825">
        <f>$H$825*$P$825</f>
        <v>0</v>
      </c>
      <c r="AK825">
        <f>$H$825*$Q$825</f>
        <v>0</v>
      </c>
      <c r="AL825">
        <f>$H$825*$R$825</f>
        <v>0</v>
      </c>
      <c r="AM825">
        <f>$H$825*$S$825</f>
        <v>0</v>
      </c>
      <c r="AN825">
        <f>$H$825*$T$825</f>
        <v>0</v>
      </c>
      <c r="AO825">
        <f>$H$825*$U$825</f>
        <v>0</v>
      </c>
      <c r="AP825">
        <f>$H$825*$V$825</f>
        <v>0</v>
      </c>
      <c r="AQ825">
        <f>$H$825*$W$825</f>
        <v>0</v>
      </c>
      <c r="AR825">
        <f>$H$825*$X$825</f>
        <v>0</v>
      </c>
      <c r="AS825">
        <f>$H$825*$Y$825</f>
        <v>363.32</v>
      </c>
      <c r="AT825">
        <f>$H$825*$Z$825</f>
        <v>363.32</v>
      </c>
      <c r="AU825">
        <f>$H$825*$AA$825</f>
        <v>363.32</v>
      </c>
      <c r="AV825">
        <f>$H$825*$AB$825</f>
        <v>363.32</v>
      </c>
      <c r="AW825">
        <f>$H$825*$AC$825</f>
        <v>363.32</v>
      </c>
      <c r="AX825">
        <f>$H$825*$AD$825</f>
        <v>363.32</v>
      </c>
      <c r="AY825">
        <f>$H$825*$AE$825</f>
        <v>363.32</v>
      </c>
      <c r="AZ825">
        <f>$H$825*$AF$825</f>
        <v>363.32</v>
      </c>
    </row>
    <row r="826" spans="1:52" x14ac:dyDescent="0.25">
      <c r="A826">
        <v>894</v>
      </c>
      <c r="B826" t="s">
        <v>302</v>
      </c>
      <c r="C826" t="s">
        <v>464</v>
      </c>
      <c r="D826">
        <v>34.909999999999997</v>
      </c>
      <c r="E826">
        <v>124.98</v>
      </c>
      <c r="F826" t="s">
        <v>349</v>
      </c>
      <c r="G826">
        <v>3.58</v>
      </c>
      <c r="H826">
        <v>149.97999999999999</v>
      </c>
      <c r="I826" t="s">
        <v>465</v>
      </c>
      <c r="J826" t="s">
        <v>466</v>
      </c>
      <c r="K826" t="s">
        <v>666</v>
      </c>
      <c r="L826" t="s">
        <v>179</v>
      </c>
      <c r="M826" t="s">
        <v>302</v>
      </c>
      <c r="N826" t="s">
        <v>12</v>
      </c>
      <c r="O826" t="s">
        <v>6</v>
      </c>
      <c r="P826">
        <v>0</v>
      </c>
      <c r="Q826">
        <v>0</v>
      </c>
      <c r="R826">
        <v>0</v>
      </c>
      <c r="S826">
        <v>1</v>
      </c>
      <c r="T826">
        <v>1</v>
      </c>
      <c r="U826">
        <v>1</v>
      </c>
      <c r="V826">
        <v>1</v>
      </c>
      <c r="W826">
        <v>1</v>
      </c>
      <c r="X826">
        <v>1</v>
      </c>
      <c r="Y826">
        <v>1</v>
      </c>
      <c r="Z826">
        <v>1</v>
      </c>
      <c r="AA826">
        <v>1</v>
      </c>
      <c r="AB826">
        <v>1</v>
      </c>
      <c r="AC826">
        <v>1</v>
      </c>
      <c r="AD826">
        <v>1</v>
      </c>
      <c r="AE826">
        <v>1</v>
      </c>
      <c r="AF826">
        <v>1</v>
      </c>
      <c r="AG826" t="s">
        <v>302</v>
      </c>
      <c r="AH826" t="s">
        <v>12</v>
      </c>
      <c r="AI826" t="s">
        <v>6</v>
      </c>
      <c r="AJ826">
        <f>$H$826*$P$826</f>
        <v>0</v>
      </c>
      <c r="AK826">
        <f>$H$826*$Q$826</f>
        <v>0</v>
      </c>
      <c r="AL826">
        <f>$H$826*$R$826</f>
        <v>0</v>
      </c>
      <c r="AM826">
        <f>$H$826*$S$826</f>
        <v>149.97999999999999</v>
      </c>
      <c r="AN826">
        <f>$H$826*$T$826</f>
        <v>149.97999999999999</v>
      </c>
      <c r="AO826">
        <f>$H$826*$U$826</f>
        <v>149.97999999999999</v>
      </c>
      <c r="AP826">
        <f>$H$826*$V$826</f>
        <v>149.97999999999999</v>
      </c>
      <c r="AQ826">
        <f>$H$826*$W$826</f>
        <v>149.97999999999999</v>
      </c>
      <c r="AR826">
        <f>$H$826*$X$826</f>
        <v>149.97999999999999</v>
      </c>
      <c r="AS826">
        <f>$H$826*$Y$826</f>
        <v>149.97999999999999</v>
      </c>
      <c r="AT826">
        <f>$H$826*$Z$826</f>
        <v>149.97999999999999</v>
      </c>
      <c r="AU826">
        <f>$H$826*$AA$826</f>
        <v>149.97999999999999</v>
      </c>
      <c r="AV826">
        <f>$H$826*$AB$826</f>
        <v>149.97999999999999</v>
      </c>
      <c r="AW826">
        <f>$H$826*$AC$826</f>
        <v>149.97999999999999</v>
      </c>
      <c r="AX826">
        <f>$H$826*$AD$826</f>
        <v>149.97999999999999</v>
      </c>
      <c r="AY826">
        <f>$H$826*$AE$826</f>
        <v>149.97999999999999</v>
      </c>
      <c r="AZ826">
        <f>$H$826*$AF$826</f>
        <v>149.97999999999999</v>
      </c>
    </row>
    <row r="827" spans="1:52" x14ac:dyDescent="0.25">
      <c r="A827">
        <v>895</v>
      </c>
      <c r="B827" t="s">
        <v>302</v>
      </c>
      <c r="C827" t="s">
        <v>467</v>
      </c>
      <c r="D827">
        <v>34.909999999999997</v>
      </c>
      <c r="E827">
        <v>343.86</v>
      </c>
      <c r="F827" t="s">
        <v>349</v>
      </c>
      <c r="G827">
        <v>9.85</v>
      </c>
      <c r="H827">
        <v>412.64</v>
      </c>
      <c r="I827" t="s">
        <v>465</v>
      </c>
      <c r="J827" t="s">
        <v>372</v>
      </c>
      <c r="K827" t="s">
        <v>667</v>
      </c>
      <c r="L827" t="s">
        <v>179</v>
      </c>
      <c r="M827" t="s">
        <v>302</v>
      </c>
      <c r="N827" t="s">
        <v>12</v>
      </c>
      <c r="O827" t="s">
        <v>6</v>
      </c>
      <c r="P827">
        <v>0</v>
      </c>
      <c r="Q827">
        <v>0</v>
      </c>
      <c r="R827">
        <v>0</v>
      </c>
      <c r="S827">
        <v>1</v>
      </c>
      <c r="T827">
        <v>1</v>
      </c>
      <c r="U827">
        <v>1</v>
      </c>
      <c r="V827">
        <v>1</v>
      </c>
      <c r="W827">
        <v>1</v>
      </c>
      <c r="X827">
        <v>1</v>
      </c>
      <c r="Y827">
        <v>1</v>
      </c>
      <c r="Z827">
        <v>1</v>
      </c>
      <c r="AA827">
        <v>1</v>
      </c>
      <c r="AB827">
        <v>1</v>
      </c>
      <c r="AC827">
        <v>1</v>
      </c>
      <c r="AD827">
        <v>1</v>
      </c>
      <c r="AE827">
        <v>1</v>
      </c>
      <c r="AF827">
        <v>1</v>
      </c>
      <c r="AG827" t="s">
        <v>302</v>
      </c>
      <c r="AH827" t="s">
        <v>12</v>
      </c>
      <c r="AI827" t="s">
        <v>6</v>
      </c>
      <c r="AJ827">
        <f>$H$827*$P$827</f>
        <v>0</v>
      </c>
      <c r="AK827">
        <f>$H$827*$Q$827</f>
        <v>0</v>
      </c>
      <c r="AL827">
        <f>$H$827*$R$827</f>
        <v>0</v>
      </c>
      <c r="AM827">
        <f>$H$827*$S$827</f>
        <v>412.64</v>
      </c>
      <c r="AN827">
        <f>$H$827*$T$827</f>
        <v>412.64</v>
      </c>
      <c r="AO827">
        <f>$H$827*$U$827</f>
        <v>412.64</v>
      </c>
      <c r="AP827">
        <f>$H$827*$V$827</f>
        <v>412.64</v>
      </c>
      <c r="AQ827">
        <f>$H$827*$W$827</f>
        <v>412.64</v>
      </c>
      <c r="AR827">
        <f>$H$827*$X$827</f>
        <v>412.64</v>
      </c>
      <c r="AS827">
        <f>$H$827*$Y$827</f>
        <v>412.64</v>
      </c>
      <c r="AT827">
        <f>$H$827*$Z$827</f>
        <v>412.64</v>
      </c>
      <c r="AU827">
        <f>$H$827*$AA$827</f>
        <v>412.64</v>
      </c>
      <c r="AV827">
        <f>$H$827*$AB$827</f>
        <v>412.64</v>
      </c>
      <c r="AW827">
        <f>$H$827*$AC$827</f>
        <v>412.64</v>
      </c>
      <c r="AX827">
        <f>$H$827*$AD$827</f>
        <v>412.64</v>
      </c>
      <c r="AY827">
        <f>$H$827*$AE$827</f>
        <v>412.64</v>
      </c>
      <c r="AZ827">
        <f>$H$827*$AF$827</f>
        <v>412.64</v>
      </c>
    </row>
    <row r="828" spans="1:52" x14ac:dyDescent="0.25">
      <c r="A828">
        <v>896</v>
      </c>
      <c r="B828" t="s">
        <v>302</v>
      </c>
      <c r="C828" t="s">
        <v>468</v>
      </c>
      <c r="D828">
        <v>40.14</v>
      </c>
      <c r="E828">
        <v>40.94</v>
      </c>
      <c r="F828" t="s">
        <v>349</v>
      </c>
      <c r="G828">
        <v>1.02</v>
      </c>
      <c r="H828">
        <v>49.12</v>
      </c>
      <c r="I828" t="s">
        <v>469</v>
      </c>
      <c r="J828" t="s">
        <v>470</v>
      </c>
      <c r="K828" t="s">
        <v>668</v>
      </c>
      <c r="L828" t="s">
        <v>179</v>
      </c>
      <c r="M828" t="s">
        <v>302</v>
      </c>
      <c r="N828" t="s">
        <v>12</v>
      </c>
      <c r="O828" t="s">
        <v>6</v>
      </c>
      <c r="P828">
        <v>0</v>
      </c>
      <c r="Q828">
        <v>0</v>
      </c>
      <c r="R828">
        <v>0</v>
      </c>
      <c r="S828">
        <v>1</v>
      </c>
      <c r="T828">
        <v>1</v>
      </c>
      <c r="U828">
        <v>1</v>
      </c>
      <c r="V828">
        <v>1</v>
      </c>
      <c r="W828">
        <v>1</v>
      </c>
      <c r="X828">
        <v>1</v>
      </c>
      <c r="Y828">
        <v>1</v>
      </c>
      <c r="Z828">
        <v>1</v>
      </c>
      <c r="AA828">
        <v>1</v>
      </c>
      <c r="AB828">
        <v>1</v>
      </c>
      <c r="AC828">
        <v>1</v>
      </c>
      <c r="AD828">
        <v>1</v>
      </c>
      <c r="AE828">
        <v>1</v>
      </c>
      <c r="AF828">
        <v>1</v>
      </c>
      <c r="AG828" t="s">
        <v>302</v>
      </c>
      <c r="AH828" t="s">
        <v>12</v>
      </c>
      <c r="AI828" t="s">
        <v>6</v>
      </c>
      <c r="AJ828">
        <f>$H$828*$P$828</f>
        <v>0</v>
      </c>
      <c r="AK828">
        <f>$H$828*$Q$828</f>
        <v>0</v>
      </c>
      <c r="AL828">
        <f>$H$828*$R$828</f>
        <v>0</v>
      </c>
      <c r="AM828">
        <f>$H$828*$S$828</f>
        <v>49.12</v>
      </c>
      <c r="AN828">
        <f>$H$828*$T$828</f>
        <v>49.12</v>
      </c>
      <c r="AO828">
        <f>$H$828*$U$828</f>
        <v>49.12</v>
      </c>
      <c r="AP828">
        <f>$H$828*$V$828</f>
        <v>49.12</v>
      </c>
      <c r="AQ828">
        <f>$H$828*$W$828</f>
        <v>49.12</v>
      </c>
      <c r="AR828">
        <f>$H$828*$X$828</f>
        <v>49.12</v>
      </c>
      <c r="AS828">
        <f>$H$828*$Y$828</f>
        <v>49.12</v>
      </c>
      <c r="AT828">
        <f>$H$828*$Z$828</f>
        <v>49.12</v>
      </c>
      <c r="AU828">
        <f>$H$828*$AA$828</f>
        <v>49.12</v>
      </c>
      <c r="AV828">
        <f>$H$828*$AB$828</f>
        <v>49.12</v>
      </c>
      <c r="AW828">
        <f>$H$828*$AC$828</f>
        <v>49.12</v>
      </c>
      <c r="AX828">
        <f>$H$828*$AD$828</f>
        <v>49.12</v>
      </c>
      <c r="AY828">
        <f>$H$828*$AE$828</f>
        <v>49.12</v>
      </c>
      <c r="AZ828">
        <f>$H$828*$AF$828</f>
        <v>49.12</v>
      </c>
    </row>
    <row r="829" spans="1:52" x14ac:dyDescent="0.25">
      <c r="A829">
        <v>897</v>
      </c>
      <c r="B829" t="s">
        <v>302</v>
      </c>
      <c r="C829" t="s">
        <v>471</v>
      </c>
      <c r="D829">
        <v>40.14</v>
      </c>
      <c r="E829">
        <v>370.49</v>
      </c>
      <c r="F829" t="s">
        <v>349</v>
      </c>
      <c r="G829">
        <v>9.23</v>
      </c>
      <c r="H829">
        <v>444.59</v>
      </c>
      <c r="I829" t="s">
        <v>469</v>
      </c>
      <c r="J829" t="s">
        <v>463</v>
      </c>
      <c r="K829" t="s">
        <v>669</v>
      </c>
      <c r="L829" t="s">
        <v>179</v>
      </c>
      <c r="M829" t="s">
        <v>302</v>
      </c>
      <c r="N829" t="s">
        <v>12</v>
      </c>
      <c r="O829" t="s">
        <v>6</v>
      </c>
      <c r="P829">
        <v>0</v>
      </c>
      <c r="Q829">
        <v>0</v>
      </c>
      <c r="R829">
        <v>0</v>
      </c>
      <c r="S829">
        <v>1</v>
      </c>
      <c r="T829">
        <v>1</v>
      </c>
      <c r="U829">
        <v>1</v>
      </c>
      <c r="V829">
        <v>1</v>
      </c>
      <c r="W829">
        <v>1</v>
      </c>
      <c r="X829">
        <v>1</v>
      </c>
      <c r="Y829">
        <v>1</v>
      </c>
      <c r="Z829">
        <v>1</v>
      </c>
      <c r="AA829">
        <v>1</v>
      </c>
      <c r="AB829">
        <v>1</v>
      </c>
      <c r="AC829">
        <v>1</v>
      </c>
      <c r="AD829">
        <v>1</v>
      </c>
      <c r="AE829">
        <v>1</v>
      </c>
      <c r="AF829">
        <v>1</v>
      </c>
      <c r="AG829" t="s">
        <v>302</v>
      </c>
      <c r="AH829" t="s">
        <v>12</v>
      </c>
      <c r="AI829" t="s">
        <v>6</v>
      </c>
      <c r="AJ829">
        <f>$H$829*$P$829</f>
        <v>0</v>
      </c>
      <c r="AK829">
        <f>$H$829*$Q$829</f>
        <v>0</v>
      </c>
      <c r="AL829">
        <f>$H$829*$R$829</f>
        <v>0</v>
      </c>
      <c r="AM829">
        <f>$H$829*$S$829</f>
        <v>444.59</v>
      </c>
      <c r="AN829">
        <f>$H$829*$T$829</f>
        <v>444.59</v>
      </c>
      <c r="AO829">
        <f>$H$829*$U$829</f>
        <v>444.59</v>
      </c>
      <c r="AP829">
        <f>$H$829*$V$829</f>
        <v>444.59</v>
      </c>
      <c r="AQ829">
        <f>$H$829*$W$829</f>
        <v>444.59</v>
      </c>
      <c r="AR829">
        <f>$H$829*$X$829</f>
        <v>444.59</v>
      </c>
      <c r="AS829">
        <f>$H$829*$Y$829</f>
        <v>444.59</v>
      </c>
      <c r="AT829">
        <f>$H$829*$Z$829</f>
        <v>444.59</v>
      </c>
      <c r="AU829">
        <f>$H$829*$AA$829</f>
        <v>444.59</v>
      </c>
      <c r="AV829">
        <f>$H$829*$AB$829</f>
        <v>444.59</v>
      </c>
      <c r="AW829">
        <f>$H$829*$AC$829</f>
        <v>444.59</v>
      </c>
      <c r="AX829">
        <f>$H$829*$AD$829</f>
        <v>444.59</v>
      </c>
      <c r="AY829">
        <f>$H$829*$AE$829</f>
        <v>444.59</v>
      </c>
      <c r="AZ829">
        <f>$H$829*$AF$829</f>
        <v>444.59</v>
      </c>
    </row>
    <row r="830" spans="1:52" x14ac:dyDescent="0.25">
      <c r="A830">
        <v>898</v>
      </c>
      <c r="B830" t="s">
        <v>288</v>
      </c>
      <c r="C830" t="s">
        <v>336</v>
      </c>
      <c r="D830">
        <v>1</v>
      </c>
      <c r="E830">
        <v>87.09</v>
      </c>
      <c r="F830" t="s">
        <v>335</v>
      </c>
      <c r="G830">
        <v>87.09</v>
      </c>
      <c r="H830">
        <v>104.51</v>
      </c>
      <c r="I830" t="s">
        <v>337</v>
      </c>
      <c r="J830" t="s">
        <v>338</v>
      </c>
      <c r="K830" t="s">
        <v>606</v>
      </c>
      <c r="L830" t="s">
        <v>179</v>
      </c>
      <c r="M830" t="s">
        <v>288</v>
      </c>
      <c r="N830" t="s">
        <v>11</v>
      </c>
      <c r="O830" t="s">
        <v>4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1</v>
      </c>
      <c r="AE830">
        <v>1</v>
      </c>
      <c r="AF830">
        <v>1</v>
      </c>
      <c r="AG830" t="s">
        <v>288</v>
      </c>
      <c r="AH830" t="s">
        <v>11</v>
      </c>
      <c r="AI830" t="s">
        <v>4</v>
      </c>
      <c r="AJ830">
        <f>$H$830*$P$830</f>
        <v>0</v>
      </c>
      <c r="AK830">
        <f>$H$830*$Q$830</f>
        <v>0</v>
      </c>
      <c r="AL830">
        <f>$H$830*$R$830</f>
        <v>0</v>
      </c>
      <c r="AM830">
        <f>$H$830*$S$830</f>
        <v>0</v>
      </c>
      <c r="AN830">
        <f>$H$830*$T$830</f>
        <v>0</v>
      </c>
      <c r="AO830">
        <f>$H$830*$U$830</f>
        <v>0</v>
      </c>
      <c r="AP830">
        <f>$H$830*$V$830</f>
        <v>0</v>
      </c>
      <c r="AQ830">
        <f>$H$830*$W$830</f>
        <v>0</v>
      </c>
      <c r="AR830">
        <f>$H$830*$X$830</f>
        <v>0</v>
      </c>
      <c r="AS830">
        <f>$H$830*$Y$830</f>
        <v>0</v>
      </c>
      <c r="AT830">
        <f>$H$830*$Z$830</f>
        <v>0</v>
      </c>
      <c r="AU830">
        <f>$H$830*$AA$830</f>
        <v>0</v>
      </c>
      <c r="AV830">
        <f>$H$830*$AB$830</f>
        <v>0</v>
      </c>
      <c r="AW830">
        <f>$H$830*$AC$830</f>
        <v>0</v>
      </c>
      <c r="AX830">
        <f>$H$830*$AD$830</f>
        <v>104.51</v>
      </c>
      <c r="AY830">
        <f>$H$830*$AE$830</f>
        <v>104.51</v>
      </c>
      <c r="AZ830">
        <f>$H$830*$AF$830</f>
        <v>104.51</v>
      </c>
    </row>
    <row r="831" spans="1:52" x14ac:dyDescent="0.25">
      <c r="A831">
        <v>899</v>
      </c>
      <c r="B831" t="s">
        <v>288</v>
      </c>
      <c r="C831" t="s">
        <v>358</v>
      </c>
      <c r="D831">
        <v>12</v>
      </c>
      <c r="E831">
        <v>53.28</v>
      </c>
      <c r="F831" t="s">
        <v>329</v>
      </c>
      <c r="G831">
        <v>4.4400000000000004</v>
      </c>
      <c r="H831">
        <v>63.94</v>
      </c>
      <c r="I831" t="s">
        <v>330</v>
      </c>
      <c r="J831" t="s">
        <v>359</v>
      </c>
      <c r="K831" t="s">
        <v>615</v>
      </c>
      <c r="L831" t="s">
        <v>179</v>
      </c>
      <c r="M831" t="s">
        <v>288</v>
      </c>
      <c r="N831" t="s">
        <v>11</v>
      </c>
      <c r="O831" t="s">
        <v>4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1</v>
      </c>
      <c r="AB831">
        <v>1</v>
      </c>
      <c r="AC831">
        <v>1</v>
      </c>
      <c r="AD831">
        <v>1</v>
      </c>
      <c r="AE831">
        <v>1</v>
      </c>
      <c r="AF831">
        <v>1</v>
      </c>
      <c r="AG831" t="s">
        <v>288</v>
      </c>
      <c r="AH831" t="s">
        <v>11</v>
      </c>
      <c r="AI831" t="s">
        <v>4</v>
      </c>
      <c r="AJ831">
        <f>$H$831*$P$831</f>
        <v>0</v>
      </c>
      <c r="AK831">
        <f>$H$831*$Q$831</f>
        <v>0</v>
      </c>
      <c r="AL831">
        <f>$H$831*$R$831</f>
        <v>0</v>
      </c>
      <c r="AM831">
        <f>$H$831*$S$831</f>
        <v>0</v>
      </c>
      <c r="AN831">
        <f>$H$831*$T$831</f>
        <v>0</v>
      </c>
      <c r="AO831">
        <f>$H$831*$U$831</f>
        <v>0</v>
      </c>
      <c r="AP831">
        <f>$H$831*$V$831</f>
        <v>0</v>
      </c>
      <c r="AQ831">
        <f>$H$831*$W$831</f>
        <v>0</v>
      </c>
      <c r="AR831">
        <f>$H$831*$X$831</f>
        <v>0</v>
      </c>
      <c r="AS831">
        <f>$H$831*$Y$831</f>
        <v>0</v>
      </c>
      <c r="AT831">
        <f>$H$831*$Z$831</f>
        <v>0</v>
      </c>
      <c r="AU831">
        <f>$H$831*$AA$831</f>
        <v>63.94</v>
      </c>
      <c r="AV831">
        <f>$H$831*$AB$831</f>
        <v>63.94</v>
      </c>
      <c r="AW831">
        <f>$H$831*$AC$831</f>
        <v>63.94</v>
      </c>
      <c r="AX831">
        <f>$H$831*$AD$831</f>
        <v>63.94</v>
      </c>
      <c r="AY831">
        <f>$H$831*$AE$831</f>
        <v>63.94</v>
      </c>
      <c r="AZ831">
        <f>$H$831*$AF$831</f>
        <v>63.94</v>
      </c>
    </row>
    <row r="832" spans="1:52" x14ac:dyDescent="0.25">
      <c r="A832">
        <v>900</v>
      </c>
      <c r="B832" t="s">
        <v>288</v>
      </c>
      <c r="C832" t="s">
        <v>472</v>
      </c>
      <c r="D832">
        <v>6</v>
      </c>
      <c r="E832">
        <v>64.56</v>
      </c>
      <c r="F832" t="s">
        <v>329</v>
      </c>
      <c r="G832">
        <v>10.76</v>
      </c>
      <c r="H832">
        <v>77.48</v>
      </c>
      <c r="I832" t="s">
        <v>333</v>
      </c>
      <c r="J832" t="s">
        <v>473</v>
      </c>
      <c r="K832" t="s">
        <v>670</v>
      </c>
      <c r="L832" t="s">
        <v>179</v>
      </c>
      <c r="M832" t="s">
        <v>288</v>
      </c>
      <c r="N832" t="s">
        <v>11</v>
      </c>
      <c r="O832" t="s">
        <v>4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1</v>
      </c>
      <c r="AA832">
        <v>1</v>
      </c>
      <c r="AB832">
        <v>1</v>
      </c>
      <c r="AC832">
        <v>1</v>
      </c>
      <c r="AD832">
        <v>1</v>
      </c>
      <c r="AE832">
        <v>1</v>
      </c>
      <c r="AF832">
        <v>1</v>
      </c>
      <c r="AG832" t="s">
        <v>288</v>
      </c>
      <c r="AH832" t="s">
        <v>11</v>
      </c>
      <c r="AI832" t="s">
        <v>4</v>
      </c>
      <c r="AJ832">
        <f>$H$832*$P$832</f>
        <v>0</v>
      </c>
      <c r="AK832">
        <f>$H$832*$Q$832</f>
        <v>0</v>
      </c>
      <c r="AL832">
        <f>$H$832*$R$832</f>
        <v>0</v>
      </c>
      <c r="AM832">
        <f>$H$832*$S$832</f>
        <v>0</v>
      </c>
      <c r="AN832">
        <f>$H$832*$T$832</f>
        <v>0</v>
      </c>
      <c r="AO832">
        <f>$H$832*$U$832</f>
        <v>0</v>
      </c>
      <c r="AP832">
        <f>$H$832*$V$832</f>
        <v>0</v>
      </c>
      <c r="AQ832">
        <f>$H$832*$W$832</f>
        <v>0</v>
      </c>
      <c r="AR832">
        <f>$H$832*$X$832</f>
        <v>0</v>
      </c>
      <c r="AS832">
        <f>$H$832*$Y$832</f>
        <v>0</v>
      </c>
      <c r="AT832">
        <f>$H$832*$Z$832</f>
        <v>77.48</v>
      </c>
      <c r="AU832">
        <f>$H$832*$AA$832</f>
        <v>77.48</v>
      </c>
      <c r="AV832">
        <f>$H$832*$AB$832</f>
        <v>77.48</v>
      </c>
      <c r="AW832">
        <f>$H$832*$AC$832</f>
        <v>77.48</v>
      </c>
      <c r="AX832">
        <f>$H$832*$AD$832</f>
        <v>77.48</v>
      </c>
      <c r="AY832">
        <f>$H$832*$AE$832</f>
        <v>77.48</v>
      </c>
      <c r="AZ832">
        <f>$H$832*$AF$832</f>
        <v>77.48</v>
      </c>
    </row>
    <row r="833" spans="1:52" x14ac:dyDescent="0.25">
      <c r="A833">
        <v>901</v>
      </c>
      <c r="B833" t="s">
        <v>288</v>
      </c>
      <c r="C833" t="s">
        <v>360</v>
      </c>
      <c r="D833">
        <v>6</v>
      </c>
      <c r="E833">
        <v>69.3</v>
      </c>
      <c r="F833" t="s">
        <v>329</v>
      </c>
      <c r="G833">
        <v>11.55</v>
      </c>
      <c r="H833">
        <v>83.16</v>
      </c>
      <c r="I833" t="s">
        <v>333</v>
      </c>
      <c r="J833" t="s">
        <v>361</v>
      </c>
      <c r="K833" t="s">
        <v>616</v>
      </c>
      <c r="L833" t="s">
        <v>179</v>
      </c>
      <c r="M833" t="s">
        <v>288</v>
      </c>
      <c r="N833" t="s">
        <v>11</v>
      </c>
      <c r="O833" t="s">
        <v>4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1</v>
      </c>
      <c r="AB833">
        <v>1</v>
      </c>
      <c r="AC833">
        <v>1</v>
      </c>
      <c r="AD833">
        <v>1</v>
      </c>
      <c r="AE833">
        <v>1</v>
      </c>
      <c r="AF833">
        <v>1</v>
      </c>
      <c r="AG833" t="s">
        <v>288</v>
      </c>
      <c r="AH833" t="s">
        <v>11</v>
      </c>
      <c r="AI833" t="s">
        <v>4</v>
      </c>
      <c r="AJ833">
        <f>$H$833*$P$833</f>
        <v>0</v>
      </c>
      <c r="AK833">
        <f>$H$833*$Q$833</f>
        <v>0</v>
      </c>
      <c r="AL833">
        <f>$H$833*$R$833</f>
        <v>0</v>
      </c>
      <c r="AM833">
        <f>$H$833*$S$833</f>
        <v>0</v>
      </c>
      <c r="AN833">
        <f>$H$833*$T$833</f>
        <v>0</v>
      </c>
      <c r="AO833">
        <f>$H$833*$U$833</f>
        <v>0</v>
      </c>
      <c r="AP833">
        <f>$H$833*$V$833</f>
        <v>0</v>
      </c>
      <c r="AQ833">
        <f>$H$833*$W$833</f>
        <v>0</v>
      </c>
      <c r="AR833">
        <f>$H$833*$X$833</f>
        <v>0</v>
      </c>
      <c r="AS833">
        <f>$H$833*$Y$833</f>
        <v>0</v>
      </c>
      <c r="AT833">
        <f>$H$833*$Z$833</f>
        <v>0</v>
      </c>
      <c r="AU833">
        <f>$H$833*$AA$833</f>
        <v>83.16</v>
      </c>
      <c r="AV833">
        <f>$H$833*$AB$833</f>
        <v>83.16</v>
      </c>
      <c r="AW833">
        <f>$H$833*$AC$833</f>
        <v>83.16</v>
      </c>
      <c r="AX833">
        <f>$H$833*$AD$833</f>
        <v>83.16</v>
      </c>
      <c r="AY833">
        <f>$H$833*$AE$833</f>
        <v>83.16</v>
      </c>
      <c r="AZ833">
        <f>$H$833*$AF$833</f>
        <v>83.16</v>
      </c>
    </row>
    <row r="834" spans="1:52" x14ac:dyDescent="0.25">
      <c r="A834">
        <v>902</v>
      </c>
      <c r="B834" t="s">
        <v>288</v>
      </c>
      <c r="C834" t="s">
        <v>431</v>
      </c>
      <c r="D834">
        <v>6</v>
      </c>
      <c r="E834">
        <v>28.5</v>
      </c>
      <c r="F834" t="s">
        <v>329</v>
      </c>
      <c r="G834">
        <v>4.75</v>
      </c>
      <c r="H834">
        <v>34.200000000000003</v>
      </c>
      <c r="I834" t="s">
        <v>333</v>
      </c>
      <c r="J834" t="s">
        <v>432</v>
      </c>
      <c r="K834" t="s">
        <v>650</v>
      </c>
      <c r="L834" t="s">
        <v>179</v>
      </c>
      <c r="M834" t="s">
        <v>288</v>
      </c>
      <c r="N834" t="s">
        <v>11</v>
      </c>
      <c r="O834" t="s">
        <v>4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1</v>
      </c>
      <c r="AD834">
        <v>1</v>
      </c>
      <c r="AE834">
        <v>1</v>
      </c>
      <c r="AF834">
        <v>1</v>
      </c>
      <c r="AG834" t="s">
        <v>288</v>
      </c>
      <c r="AH834" t="s">
        <v>11</v>
      </c>
      <c r="AI834" t="s">
        <v>4</v>
      </c>
      <c r="AJ834">
        <f>$H$834*$P$834</f>
        <v>0</v>
      </c>
      <c r="AK834">
        <f>$H$834*$Q$834</f>
        <v>0</v>
      </c>
      <c r="AL834">
        <f>$H$834*$R$834</f>
        <v>0</v>
      </c>
      <c r="AM834">
        <f>$H$834*$S$834</f>
        <v>0</v>
      </c>
      <c r="AN834">
        <f>$H$834*$T$834</f>
        <v>0</v>
      </c>
      <c r="AO834">
        <f>$H$834*$U$834</f>
        <v>0</v>
      </c>
      <c r="AP834">
        <f>$H$834*$V$834</f>
        <v>0</v>
      </c>
      <c r="AQ834">
        <f>$H$834*$W$834</f>
        <v>0</v>
      </c>
      <c r="AR834">
        <f>$H$834*$X$834</f>
        <v>0</v>
      </c>
      <c r="AS834">
        <f>$H$834*$Y$834</f>
        <v>0</v>
      </c>
      <c r="AT834">
        <f>$H$834*$Z$834</f>
        <v>0</v>
      </c>
      <c r="AU834">
        <f>$H$834*$AA$834</f>
        <v>0</v>
      </c>
      <c r="AV834">
        <f>$H$834*$AB$834</f>
        <v>0</v>
      </c>
      <c r="AW834">
        <f>$H$834*$AC$834</f>
        <v>34.200000000000003</v>
      </c>
      <c r="AX834">
        <f>$H$834*$AD$834</f>
        <v>34.200000000000003</v>
      </c>
      <c r="AY834">
        <f>$H$834*$AE$834</f>
        <v>34.200000000000003</v>
      </c>
      <c r="AZ834">
        <f>$H$834*$AF$834</f>
        <v>34.200000000000003</v>
      </c>
    </row>
    <row r="835" spans="1:52" x14ac:dyDescent="0.25">
      <c r="A835">
        <v>903</v>
      </c>
      <c r="B835" t="s">
        <v>288</v>
      </c>
      <c r="C835" t="s">
        <v>435</v>
      </c>
      <c r="D835">
        <v>8</v>
      </c>
      <c r="E835">
        <v>106.16</v>
      </c>
      <c r="F835" t="s">
        <v>335</v>
      </c>
      <c r="G835">
        <v>13.27</v>
      </c>
      <c r="H835">
        <v>127.4</v>
      </c>
      <c r="I835" t="s">
        <v>337</v>
      </c>
      <c r="J835" t="s">
        <v>436</v>
      </c>
      <c r="K835" t="s">
        <v>652</v>
      </c>
      <c r="L835" t="s">
        <v>179</v>
      </c>
      <c r="M835" t="s">
        <v>288</v>
      </c>
      <c r="N835" t="s">
        <v>11</v>
      </c>
      <c r="O835" t="s">
        <v>4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1</v>
      </c>
      <c r="Y835">
        <v>1</v>
      </c>
      <c r="Z835">
        <v>1</v>
      </c>
      <c r="AA835">
        <v>1</v>
      </c>
      <c r="AB835">
        <v>1</v>
      </c>
      <c r="AC835">
        <v>1</v>
      </c>
      <c r="AD835">
        <v>1</v>
      </c>
      <c r="AE835">
        <v>1</v>
      </c>
      <c r="AF835">
        <v>1</v>
      </c>
      <c r="AG835" t="s">
        <v>288</v>
      </c>
      <c r="AH835" t="s">
        <v>11</v>
      </c>
      <c r="AI835" t="s">
        <v>4</v>
      </c>
      <c r="AJ835">
        <f>$H$835*$P$835</f>
        <v>0</v>
      </c>
      <c r="AK835">
        <f>$H$835*$Q$835</f>
        <v>0</v>
      </c>
      <c r="AL835">
        <f>$H$835*$R$835</f>
        <v>0</v>
      </c>
      <c r="AM835">
        <f>$H$835*$S$835</f>
        <v>0</v>
      </c>
      <c r="AN835">
        <f>$H$835*$T$835</f>
        <v>0</v>
      </c>
      <c r="AO835">
        <f>$H$835*$U$835</f>
        <v>0</v>
      </c>
      <c r="AP835">
        <f>$H$835*$V$835</f>
        <v>0</v>
      </c>
      <c r="AQ835">
        <f>$H$835*$W$835</f>
        <v>0</v>
      </c>
      <c r="AR835">
        <f>$H$835*$X$835</f>
        <v>127.4</v>
      </c>
      <c r="AS835">
        <f>$H$835*$Y$835</f>
        <v>127.4</v>
      </c>
      <c r="AT835">
        <f>$H$835*$Z$835</f>
        <v>127.4</v>
      </c>
      <c r="AU835">
        <f>$H$835*$AA$835</f>
        <v>127.4</v>
      </c>
      <c r="AV835">
        <f>$H$835*$AB$835</f>
        <v>127.4</v>
      </c>
      <c r="AW835">
        <f>$H$835*$AC$835</f>
        <v>127.4</v>
      </c>
      <c r="AX835">
        <f>$H$835*$AD$835</f>
        <v>127.4</v>
      </c>
      <c r="AY835">
        <f>$H$835*$AE$835</f>
        <v>127.4</v>
      </c>
      <c r="AZ835">
        <f>$H$835*$AF$835</f>
        <v>127.4</v>
      </c>
    </row>
    <row r="836" spans="1:52" x14ac:dyDescent="0.25">
      <c r="A836">
        <v>904</v>
      </c>
      <c r="B836" t="s">
        <v>288</v>
      </c>
      <c r="C836" t="s">
        <v>437</v>
      </c>
      <c r="D836">
        <v>1</v>
      </c>
      <c r="E836">
        <v>98.82</v>
      </c>
      <c r="F836" t="s">
        <v>335</v>
      </c>
      <c r="G836">
        <v>98.82</v>
      </c>
      <c r="H836">
        <v>118.58</v>
      </c>
      <c r="I836" t="s">
        <v>340</v>
      </c>
      <c r="J836" t="s">
        <v>372</v>
      </c>
      <c r="K836" t="s">
        <v>653</v>
      </c>
      <c r="L836" t="s">
        <v>179</v>
      </c>
      <c r="M836" t="s">
        <v>288</v>
      </c>
      <c r="N836" t="s">
        <v>11</v>
      </c>
      <c r="O836" t="s">
        <v>4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1</v>
      </c>
      <c r="AE836">
        <v>1</v>
      </c>
      <c r="AF836">
        <v>1</v>
      </c>
      <c r="AG836" t="s">
        <v>288</v>
      </c>
      <c r="AH836" t="s">
        <v>11</v>
      </c>
      <c r="AI836" t="s">
        <v>4</v>
      </c>
      <c r="AJ836">
        <f>$H$836*$P$836</f>
        <v>0</v>
      </c>
      <c r="AK836">
        <f>$H$836*$Q$836</f>
        <v>0</v>
      </c>
      <c r="AL836">
        <f>$H$836*$R$836</f>
        <v>0</v>
      </c>
      <c r="AM836">
        <f>$H$836*$S$836</f>
        <v>0</v>
      </c>
      <c r="AN836">
        <f>$H$836*$T$836</f>
        <v>0</v>
      </c>
      <c r="AO836">
        <f>$H$836*$U$836</f>
        <v>0</v>
      </c>
      <c r="AP836">
        <f>$H$836*$V$836</f>
        <v>0</v>
      </c>
      <c r="AQ836">
        <f>$H$836*$W$836</f>
        <v>0</v>
      </c>
      <c r="AR836">
        <f>$H$836*$X$836</f>
        <v>0</v>
      </c>
      <c r="AS836">
        <f>$H$836*$Y$836</f>
        <v>0</v>
      </c>
      <c r="AT836">
        <f>$H$836*$Z$836</f>
        <v>0</v>
      </c>
      <c r="AU836">
        <f>$H$836*$AA$836</f>
        <v>0</v>
      </c>
      <c r="AV836">
        <f>$H$836*$AB$836</f>
        <v>0</v>
      </c>
      <c r="AW836">
        <f>$H$836*$AC$836</f>
        <v>0</v>
      </c>
      <c r="AX836">
        <f>$H$836*$AD$836</f>
        <v>118.58</v>
      </c>
      <c r="AY836">
        <f>$H$836*$AE$836</f>
        <v>118.58</v>
      </c>
      <c r="AZ836">
        <f>$H$836*$AF$836</f>
        <v>118.58</v>
      </c>
    </row>
    <row r="837" spans="1:52" x14ac:dyDescent="0.25">
      <c r="A837">
        <v>905</v>
      </c>
      <c r="B837" t="s">
        <v>288</v>
      </c>
      <c r="C837" t="s">
        <v>367</v>
      </c>
      <c r="D837">
        <v>1</v>
      </c>
      <c r="E837">
        <v>62.41</v>
      </c>
      <c r="F837" t="s">
        <v>335</v>
      </c>
      <c r="G837">
        <v>62.41</v>
      </c>
      <c r="H837">
        <v>74.89</v>
      </c>
      <c r="I837" t="s">
        <v>368</v>
      </c>
      <c r="J837" t="s">
        <v>369</v>
      </c>
      <c r="K837" t="s">
        <v>619</v>
      </c>
      <c r="L837" t="s">
        <v>179</v>
      </c>
      <c r="M837" t="s">
        <v>288</v>
      </c>
      <c r="N837" t="s">
        <v>11</v>
      </c>
      <c r="O837" t="s">
        <v>4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1</v>
      </c>
      <c r="AB837">
        <v>1</v>
      </c>
      <c r="AC837">
        <v>1</v>
      </c>
      <c r="AD837">
        <v>1</v>
      </c>
      <c r="AE837">
        <v>1</v>
      </c>
      <c r="AF837">
        <v>1</v>
      </c>
      <c r="AG837" t="s">
        <v>288</v>
      </c>
      <c r="AH837" t="s">
        <v>11</v>
      </c>
      <c r="AI837" t="s">
        <v>4</v>
      </c>
      <c r="AJ837">
        <f>$H$837*$P$837</f>
        <v>0</v>
      </c>
      <c r="AK837">
        <f>$H$837*$Q$837</f>
        <v>0</v>
      </c>
      <c r="AL837">
        <f>$H$837*$R$837</f>
        <v>0</v>
      </c>
      <c r="AM837">
        <f>$H$837*$S$837</f>
        <v>0</v>
      </c>
      <c r="AN837">
        <f>$H$837*$T$837</f>
        <v>0</v>
      </c>
      <c r="AO837">
        <f>$H$837*$U$837</f>
        <v>0</v>
      </c>
      <c r="AP837">
        <f>$H$837*$V$837</f>
        <v>0</v>
      </c>
      <c r="AQ837">
        <f>$H$837*$W$837</f>
        <v>0</v>
      </c>
      <c r="AR837">
        <f>$H$837*$X$837</f>
        <v>0</v>
      </c>
      <c r="AS837">
        <f>$H$837*$Y$837</f>
        <v>0</v>
      </c>
      <c r="AT837">
        <f>$H$837*$Z$837</f>
        <v>0</v>
      </c>
      <c r="AU837">
        <f>$H$837*$AA$837</f>
        <v>74.89</v>
      </c>
      <c r="AV837">
        <f>$H$837*$AB$837</f>
        <v>74.89</v>
      </c>
      <c r="AW837">
        <f>$H$837*$AC$837</f>
        <v>74.89</v>
      </c>
      <c r="AX837">
        <f>$H$837*$AD$837</f>
        <v>74.89</v>
      </c>
      <c r="AY837">
        <f>$H$837*$AE$837</f>
        <v>74.89</v>
      </c>
      <c r="AZ837">
        <f>$H$837*$AF$837</f>
        <v>74.89</v>
      </c>
    </row>
    <row r="838" spans="1:52" x14ac:dyDescent="0.25">
      <c r="A838">
        <v>906</v>
      </c>
      <c r="B838" t="s">
        <v>288</v>
      </c>
      <c r="C838" t="s">
        <v>531</v>
      </c>
      <c r="D838">
        <v>2</v>
      </c>
      <c r="E838">
        <v>110.04</v>
      </c>
      <c r="F838" t="s">
        <v>335</v>
      </c>
      <c r="G838">
        <v>55.02</v>
      </c>
      <c r="H838">
        <v>132.04</v>
      </c>
      <c r="I838" t="s">
        <v>330</v>
      </c>
      <c r="J838" t="s">
        <v>532</v>
      </c>
      <c r="K838" t="s">
        <v>698</v>
      </c>
      <c r="L838" t="s">
        <v>179</v>
      </c>
      <c r="M838" t="s">
        <v>288</v>
      </c>
      <c r="N838" t="s">
        <v>11</v>
      </c>
      <c r="O838" t="s">
        <v>4</v>
      </c>
      <c r="P838">
        <v>0</v>
      </c>
      <c r="Q838">
        <v>0</v>
      </c>
      <c r="R838">
        <v>0</v>
      </c>
      <c r="S838">
        <v>1</v>
      </c>
      <c r="T838">
        <v>1</v>
      </c>
      <c r="U838">
        <v>1</v>
      </c>
      <c r="V838">
        <v>1</v>
      </c>
      <c r="W838">
        <v>1</v>
      </c>
      <c r="X838">
        <v>1</v>
      </c>
      <c r="Y838">
        <v>1</v>
      </c>
      <c r="Z838">
        <v>1</v>
      </c>
      <c r="AA838">
        <v>1</v>
      </c>
      <c r="AB838">
        <v>1</v>
      </c>
      <c r="AC838">
        <v>1</v>
      </c>
      <c r="AD838">
        <v>1</v>
      </c>
      <c r="AE838">
        <v>1</v>
      </c>
      <c r="AF838">
        <v>1</v>
      </c>
      <c r="AG838" t="s">
        <v>288</v>
      </c>
      <c r="AH838" t="s">
        <v>11</v>
      </c>
      <c r="AI838" t="s">
        <v>4</v>
      </c>
      <c r="AJ838">
        <f>$H$838*$P$838</f>
        <v>0</v>
      </c>
      <c r="AK838">
        <f>$H$838*$Q$838</f>
        <v>0</v>
      </c>
      <c r="AL838">
        <f>$H$838*$R$838</f>
        <v>0</v>
      </c>
      <c r="AM838">
        <f>$H$838*$S$838</f>
        <v>132.04</v>
      </c>
      <c r="AN838">
        <f>$H$838*$T$838</f>
        <v>132.04</v>
      </c>
      <c r="AO838">
        <f>$H$838*$U$838</f>
        <v>132.04</v>
      </c>
      <c r="AP838">
        <f>$H$838*$V$838</f>
        <v>132.04</v>
      </c>
      <c r="AQ838">
        <f>$H$838*$W$838</f>
        <v>132.04</v>
      </c>
      <c r="AR838">
        <f>$H$838*$X$838</f>
        <v>132.04</v>
      </c>
      <c r="AS838">
        <f>$H$838*$Y$838</f>
        <v>132.04</v>
      </c>
      <c r="AT838">
        <f>$H$838*$Z$838</f>
        <v>132.04</v>
      </c>
      <c r="AU838">
        <f>$H$838*$AA$838</f>
        <v>132.04</v>
      </c>
      <c r="AV838">
        <f>$H$838*$AB$838</f>
        <v>132.04</v>
      </c>
      <c r="AW838">
        <f>$H$838*$AC$838</f>
        <v>132.04</v>
      </c>
      <c r="AX838">
        <f>$H$838*$AD$838</f>
        <v>132.04</v>
      </c>
      <c r="AY838">
        <f>$H$838*$AE$838</f>
        <v>132.04</v>
      </c>
      <c r="AZ838">
        <f>$H$838*$AF$838</f>
        <v>132.04</v>
      </c>
    </row>
    <row r="839" spans="1:52" x14ac:dyDescent="0.25">
      <c r="A839">
        <v>907</v>
      </c>
      <c r="B839" t="s">
        <v>288</v>
      </c>
      <c r="C839" t="s">
        <v>533</v>
      </c>
      <c r="D839">
        <v>1</v>
      </c>
      <c r="E839">
        <v>434.33</v>
      </c>
      <c r="F839" t="s">
        <v>335</v>
      </c>
      <c r="G839">
        <v>434.33</v>
      </c>
      <c r="H839">
        <v>521.19000000000005</v>
      </c>
      <c r="I839" t="s">
        <v>371</v>
      </c>
      <c r="J839" t="s">
        <v>534</v>
      </c>
      <c r="K839" t="s">
        <v>699</v>
      </c>
      <c r="L839" t="s">
        <v>179</v>
      </c>
      <c r="M839" t="s">
        <v>288</v>
      </c>
      <c r="N839" t="s">
        <v>11</v>
      </c>
      <c r="O839" t="s">
        <v>4</v>
      </c>
      <c r="P839">
        <v>0</v>
      </c>
      <c r="Q839">
        <v>0</v>
      </c>
      <c r="R839">
        <v>0</v>
      </c>
      <c r="S839">
        <v>0</v>
      </c>
      <c r="T839">
        <v>1</v>
      </c>
      <c r="U839">
        <v>1</v>
      </c>
      <c r="V839">
        <v>1</v>
      </c>
      <c r="W839">
        <v>1</v>
      </c>
      <c r="X839">
        <v>1</v>
      </c>
      <c r="Y839">
        <v>1</v>
      </c>
      <c r="Z839">
        <v>1</v>
      </c>
      <c r="AA839">
        <v>1</v>
      </c>
      <c r="AB839">
        <v>1</v>
      </c>
      <c r="AC839">
        <v>1</v>
      </c>
      <c r="AD839">
        <v>1</v>
      </c>
      <c r="AE839">
        <v>1</v>
      </c>
      <c r="AF839">
        <v>1</v>
      </c>
      <c r="AG839" t="s">
        <v>288</v>
      </c>
      <c r="AH839" t="s">
        <v>11</v>
      </c>
      <c r="AI839" t="s">
        <v>4</v>
      </c>
      <c r="AJ839">
        <f>$H$839*$P$839</f>
        <v>0</v>
      </c>
      <c r="AK839">
        <f>$H$839*$Q$839</f>
        <v>0</v>
      </c>
      <c r="AL839">
        <f>$H$839*$R$839</f>
        <v>0</v>
      </c>
      <c r="AM839">
        <f>$H$839*$S$839</f>
        <v>0</v>
      </c>
      <c r="AN839">
        <f>$H$839*$T$839</f>
        <v>521.19000000000005</v>
      </c>
      <c r="AO839">
        <f>$H$839*$U$839</f>
        <v>521.19000000000005</v>
      </c>
      <c r="AP839">
        <f>$H$839*$V$839</f>
        <v>521.19000000000005</v>
      </c>
      <c r="AQ839">
        <f>$H$839*$W$839</f>
        <v>521.19000000000005</v>
      </c>
      <c r="AR839">
        <f>$H$839*$X$839</f>
        <v>521.19000000000005</v>
      </c>
      <c r="AS839">
        <f>$H$839*$Y$839</f>
        <v>521.19000000000005</v>
      </c>
      <c r="AT839">
        <f>$H$839*$Z$839</f>
        <v>521.19000000000005</v>
      </c>
      <c r="AU839">
        <f>$H$839*$AA$839</f>
        <v>521.19000000000005</v>
      </c>
      <c r="AV839">
        <f>$H$839*$AB$839</f>
        <v>521.19000000000005</v>
      </c>
      <c r="AW839">
        <f>$H$839*$AC$839</f>
        <v>521.19000000000005</v>
      </c>
      <c r="AX839">
        <f>$H$839*$AD$839</f>
        <v>521.19000000000005</v>
      </c>
      <c r="AY839">
        <f>$H$839*$AE$839</f>
        <v>521.19000000000005</v>
      </c>
      <c r="AZ839">
        <f>$H$839*$AF$839</f>
        <v>521.19000000000005</v>
      </c>
    </row>
    <row r="840" spans="1:52" x14ac:dyDescent="0.25">
      <c r="A840">
        <v>908</v>
      </c>
      <c r="B840" t="s">
        <v>288</v>
      </c>
      <c r="C840" t="s">
        <v>375</v>
      </c>
      <c r="D840">
        <v>2</v>
      </c>
      <c r="E840">
        <v>77.86</v>
      </c>
      <c r="F840" t="s">
        <v>335</v>
      </c>
      <c r="G840">
        <v>38.93</v>
      </c>
      <c r="H840">
        <v>93.44</v>
      </c>
      <c r="I840" t="s">
        <v>330</v>
      </c>
      <c r="J840" t="s">
        <v>371</v>
      </c>
      <c r="K840" t="s">
        <v>622</v>
      </c>
      <c r="L840" t="s">
        <v>179</v>
      </c>
      <c r="M840" t="s">
        <v>288</v>
      </c>
      <c r="N840" t="s">
        <v>11</v>
      </c>
      <c r="O840" t="s">
        <v>4</v>
      </c>
      <c r="P840">
        <v>0</v>
      </c>
      <c r="Q840">
        <v>0</v>
      </c>
      <c r="R840">
        <v>0</v>
      </c>
      <c r="S840">
        <v>1</v>
      </c>
      <c r="T840">
        <v>1</v>
      </c>
      <c r="U840">
        <v>1</v>
      </c>
      <c r="V840">
        <v>1</v>
      </c>
      <c r="W840">
        <v>1</v>
      </c>
      <c r="X840">
        <v>1</v>
      </c>
      <c r="Y840">
        <v>1</v>
      </c>
      <c r="Z840">
        <v>1</v>
      </c>
      <c r="AA840">
        <v>1</v>
      </c>
      <c r="AB840">
        <v>1</v>
      </c>
      <c r="AC840">
        <v>1</v>
      </c>
      <c r="AD840">
        <v>1</v>
      </c>
      <c r="AE840">
        <v>1</v>
      </c>
      <c r="AF840">
        <v>1</v>
      </c>
      <c r="AG840" t="s">
        <v>288</v>
      </c>
      <c r="AH840" t="s">
        <v>11</v>
      </c>
      <c r="AI840" t="s">
        <v>4</v>
      </c>
      <c r="AJ840">
        <f>$H$840*$P$840</f>
        <v>0</v>
      </c>
      <c r="AK840">
        <f>$H$840*$Q$840</f>
        <v>0</v>
      </c>
      <c r="AL840">
        <f>$H$840*$R$840</f>
        <v>0</v>
      </c>
      <c r="AM840">
        <f>$H$840*$S$840</f>
        <v>93.44</v>
      </c>
      <c r="AN840">
        <f>$H$840*$T$840</f>
        <v>93.44</v>
      </c>
      <c r="AO840">
        <f>$H$840*$U$840</f>
        <v>93.44</v>
      </c>
      <c r="AP840">
        <f>$H$840*$V$840</f>
        <v>93.44</v>
      </c>
      <c r="AQ840">
        <f>$H$840*$W$840</f>
        <v>93.44</v>
      </c>
      <c r="AR840">
        <f>$H$840*$X$840</f>
        <v>93.44</v>
      </c>
      <c r="AS840">
        <f>$H$840*$Y$840</f>
        <v>93.44</v>
      </c>
      <c r="AT840">
        <f>$H$840*$Z$840</f>
        <v>93.44</v>
      </c>
      <c r="AU840">
        <f>$H$840*$AA$840</f>
        <v>93.44</v>
      </c>
      <c r="AV840">
        <f>$H$840*$AB$840</f>
        <v>93.44</v>
      </c>
      <c r="AW840">
        <f>$H$840*$AC$840</f>
        <v>93.44</v>
      </c>
      <c r="AX840">
        <f>$H$840*$AD$840</f>
        <v>93.44</v>
      </c>
      <c r="AY840">
        <f>$H$840*$AE$840</f>
        <v>93.44</v>
      </c>
      <c r="AZ840">
        <f>$H$840*$AF$840</f>
        <v>93.44</v>
      </c>
    </row>
    <row r="841" spans="1:52" x14ac:dyDescent="0.25">
      <c r="A841">
        <v>909</v>
      </c>
      <c r="B841" t="s">
        <v>288</v>
      </c>
      <c r="C841" t="s">
        <v>373</v>
      </c>
      <c r="D841">
        <v>2</v>
      </c>
      <c r="E841">
        <v>62.72</v>
      </c>
      <c r="F841" t="s">
        <v>335</v>
      </c>
      <c r="G841">
        <v>31.36</v>
      </c>
      <c r="H841">
        <v>75.260000000000005</v>
      </c>
      <c r="I841" t="s">
        <v>330</v>
      </c>
      <c r="J841" t="s">
        <v>374</v>
      </c>
      <c r="K841" t="s">
        <v>621</v>
      </c>
      <c r="L841" t="s">
        <v>179</v>
      </c>
      <c r="M841" t="s">
        <v>288</v>
      </c>
      <c r="N841" t="s">
        <v>11</v>
      </c>
      <c r="O841" t="s">
        <v>4</v>
      </c>
      <c r="P841">
        <v>0</v>
      </c>
      <c r="Q841">
        <v>0</v>
      </c>
      <c r="R841">
        <v>0</v>
      </c>
      <c r="S841">
        <v>1</v>
      </c>
      <c r="T841">
        <v>1</v>
      </c>
      <c r="U841">
        <v>1</v>
      </c>
      <c r="V841">
        <v>1</v>
      </c>
      <c r="W841">
        <v>1</v>
      </c>
      <c r="X841">
        <v>1</v>
      </c>
      <c r="Y841">
        <v>1</v>
      </c>
      <c r="Z841">
        <v>1</v>
      </c>
      <c r="AA841">
        <v>1</v>
      </c>
      <c r="AB841">
        <v>1</v>
      </c>
      <c r="AC841">
        <v>1</v>
      </c>
      <c r="AD841">
        <v>1</v>
      </c>
      <c r="AE841">
        <v>1</v>
      </c>
      <c r="AF841">
        <v>1</v>
      </c>
      <c r="AG841" t="s">
        <v>288</v>
      </c>
      <c r="AH841" t="s">
        <v>11</v>
      </c>
      <c r="AI841" t="s">
        <v>4</v>
      </c>
      <c r="AJ841">
        <f>$H$841*$P$841</f>
        <v>0</v>
      </c>
      <c r="AK841">
        <f>$H$841*$Q$841</f>
        <v>0</v>
      </c>
      <c r="AL841">
        <f>$H$841*$R$841</f>
        <v>0</v>
      </c>
      <c r="AM841">
        <f>$H$841*$S$841</f>
        <v>75.260000000000005</v>
      </c>
      <c r="AN841">
        <f>$H$841*$T$841</f>
        <v>75.260000000000005</v>
      </c>
      <c r="AO841">
        <f>$H$841*$U$841</f>
        <v>75.260000000000005</v>
      </c>
      <c r="AP841">
        <f>$H$841*$V$841</f>
        <v>75.260000000000005</v>
      </c>
      <c r="AQ841">
        <f>$H$841*$W$841</f>
        <v>75.260000000000005</v>
      </c>
      <c r="AR841">
        <f>$H$841*$X$841</f>
        <v>75.260000000000005</v>
      </c>
      <c r="AS841">
        <f>$H$841*$Y$841</f>
        <v>75.260000000000005</v>
      </c>
      <c r="AT841">
        <f>$H$841*$Z$841</f>
        <v>75.260000000000005</v>
      </c>
      <c r="AU841">
        <f>$H$841*$AA$841</f>
        <v>75.260000000000005</v>
      </c>
      <c r="AV841">
        <f>$H$841*$AB$841</f>
        <v>75.260000000000005</v>
      </c>
      <c r="AW841">
        <f>$H$841*$AC$841</f>
        <v>75.260000000000005</v>
      </c>
      <c r="AX841">
        <f>$H$841*$AD$841</f>
        <v>75.260000000000005</v>
      </c>
      <c r="AY841">
        <f>$H$841*$AE$841</f>
        <v>75.260000000000005</v>
      </c>
      <c r="AZ841">
        <f>$H$841*$AF$841</f>
        <v>75.260000000000005</v>
      </c>
    </row>
    <row r="842" spans="1:52" x14ac:dyDescent="0.25">
      <c r="A842">
        <v>910</v>
      </c>
      <c r="B842" t="s">
        <v>288</v>
      </c>
      <c r="C842" t="s">
        <v>370</v>
      </c>
      <c r="D842">
        <v>1</v>
      </c>
      <c r="E842">
        <v>366.18</v>
      </c>
      <c r="F842" t="s">
        <v>335</v>
      </c>
      <c r="G842">
        <v>366.18</v>
      </c>
      <c r="H842">
        <v>439.42</v>
      </c>
      <c r="I842" t="s">
        <v>371</v>
      </c>
      <c r="J842" t="s">
        <v>372</v>
      </c>
      <c r="K842" t="s">
        <v>620</v>
      </c>
      <c r="L842" t="s">
        <v>179</v>
      </c>
      <c r="M842" t="s">
        <v>288</v>
      </c>
      <c r="N842" t="s">
        <v>11</v>
      </c>
      <c r="O842" t="s">
        <v>4</v>
      </c>
      <c r="P842">
        <v>0</v>
      </c>
      <c r="Q842">
        <v>0</v>
      </c>
      <c r="R842">
        <v>0</v>
      </c>
      <c r="S842">
        <v>0</v>
      </c>
      <c r="T842">
        <v>1</v>
      </c>
      <c r="U842">
        <v>1</v>
      </c>
      <c r="V842">
        <v>1</v>
      </c>
      <c r="W842">
        <v>1</v>
      </c>
      <c r="X842">
        <v>1</v>
      </c>
      <c r="Y842">
        <v>1</v>
      </c>
      <c r="Z842">
        <v>1</v>
      </c>
      <c r="AA842">
        <v>1</v>
      </c>
      <c r="AB842">
        <v>1</v>
      </c>
      <c r="AC842">
        <v>1</v>
      </c>
      <c r="AD842">
        <v>1</v>
      </c>
      <c r="AE842">
        <v>1</v>
      </c>
      <c r="AF842">
        <v>1</v>
      </c>
      <c r="AG842" t="s">
        <v>288</v>
      </c>
      <c r="AH842" t="s">
        <v>11</v>
      </c>
      <c r="AI842" t="s">
        <v>4</v>
      </c>
      <c r="AJ842">
        <f>$H$842*$P$842</f>
        <v>0</v>
      </c>
      <c r="AK842">
        <f>$H$842*$Q$842</f>
        <v>0</v>
      </c>
      <c r="AL842">
        <f>$H$842*$R$842</f>
        <v>0</v>
      </c>
      <c r="AM842">
        <f>$H$842*$S$842</f>
        <v>0</v>
      </c>
      <c r="AN842">
        <f>$H$842*$T$842</f>
        <v>439.42</v>
      </c>
      <c r="AO842">
        <f>$H$842*$U$842</f>
        <v>439.42</v>
      </c>
      <c r="AP842">
        <f>$H$842*$V$842</f>
        <v>439.42</v>
      </c>
      <c r="AQ842">
        <f>$H$842*$W$842</f>
        <v>439.42</v>
      </c>
      <c r="AR842">
        <f>$H$842*$X$842</f>
        <v>439.42</v>
      </c>
      <c r="AS842">
        <f>$H$842*$Y$842</f>
        <v>439.42</v>
      </c>
      <c r="AT842">
        <f>$H$842*$Z$842</f>
        <v>439.42</v>
      </c>
      <c r="AU842">
        <f>$H$842*$AA$842</f>
        <v>439.42</v>
      </c>
      <c r="AV842">
        <f>$H$842*$AB$842</f>
        <v>439.42</v>
      </c>
      <c r="AW842">
        <f>$H$842*$AC$842</f>
        <v>439.42</v>
      </c>
      <c r="AX842">
        <f>$H$842*$AD$842</f>
        <v>439.42</v>
      </c>
      <c r="AY842">
        <f>$H$842*$AE$842</f>
        <v>439.42</v>
      </c>
      <c r="AZ842">
        <f>$H$842*$AF$842</f>
        <v>439.42</v>
      </c>
    </row>
    <row r="843" spans="1:52" x14ac:dyDescent="0.25">
      <c r="A843">
        <v>911</v>
      </c>
      <c r="B843" t="s">
        <v>288</v>
      </c>
      <c r="C843" t="s">
        <v>438</v>
      </c>
      <c r="D843">
        <v>23.6</v>
      </c>
      <c r="E843">
        <v>61.83</v>
      </c>
      <c r="F843" t="s">
        <v>329</v>
      </c>
      <c r="G843">
        <v>2.62</v>
      </c>
      <c r="H843">
        <v>74.19</v>
      </c>
      <c r="I843" t="s">
        <v>439</v>
      </c>
      <c r="J843" t="s">
        <v>440</v>
      </c>
      <c r="K843" t="s">
        <v>654</v>
      </c>
      <c r="L843" t="s">
        <v>179</v>
      </c>
      <c r="M843" t="s">
        <v>288</v>
      </c>
      <c r="N843" t="s">
        <v>11</v>
      </c>
      <c r="O843" t="s">
        <v>4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1</v>
      </c>
      <c r="AB843">
        <v>1</v>
      </c>
      <c r="AC843">
        <v>1</v>
      </c>
      <c r="AD843">
        <v>1</v>
      </c>
      <c r="AE843">
        <v>1</v>
      </c>
      <c r="AF843">
        <v>1</v>
      </c>
      <c r="AG843" t="s">
        <v>288</v>
      </c>
      <c r="AH843" t="s">
        <v>11</v>
      </c>
      <c r="AI843" t="s">
        <v>4</v>
      </c>
      <c r="AJ843">
        <f>$H$843*$P$843</f>
        <v>0</v>
      </c>
      <c r="AK843">
        <f>$H$843*$Q$843</f>
        <v>0</v>
      </c>
      <c r="AL843">
        <f>$H$843*$R$843</f>
        <v>0</v>
      </c>
      <c r="AM843">
        <f>$H$843*$S$843</f>
        <v>0</v>
      </c>
      <c r="AN843">
        <f>$H$843*$T$843</f>
        <v>0</v>
      </c>
      <c r="AO843">
        <f>$H$843*$U$843</f>
        <v>0</v>
      </c>
      <c r="AP843">
        <f>$H$843*$V$843</f>
        <v>0</v>
      </c>
      <c r="AQ843">
        <f>$H$843*$W$843</f>
        <v>0</v>
      </c>
      <c r="AR843">
        <f>$H$843*$X$843</f>
        <v>0</v>
      </c>
      <c r="AS843">
        <f>$H$843*$Y$843</f>
        <v>0</v>
      </c>
      <c r="AT843">
        <f>$H$843*$Z$843</f>
        <v>0</v>
      </c>
      <c r="AU843">
        <f>$H$843*$AA$843</f>
        <v>74.19</v>
      </c>
      <c r="AV843">
        <f>$H$843*$AB$843</f>
        <v>74.19</v>
      </c>
      <c r="AW843">
        <f>$H$843*$AC$843</f>
        <v>74.19</v>
      </c>
      <c r="AX843">
        <f>$H$843*$AD$843</f>
        <v>74.19</v>
      </c>
      <c r="AY843">
        <f>$H$843*$AE$843</f>
        <v>74.19</v>
      </c>
      <c r="AZ843">
        <f>$H$843*$AF$843</f>
        <v>74.19</v>
      </c>
    </row>
    <row r="844" spans="1:52" x14ac:dyDescent="0.25">
      <c r="A844">
        <v>912</v>
      </c>
      <c r="B844" t="s">
        <v>288</v>
      </c>
      <c r="C844" t="s">
        <v>441</v>
      </c>
      <c r="D844">
        <v>212.4</v>
      </c>
      <c r="E844">
        <v>458.78</v>
      </c>
      <c r="F844" t="s">
        <v>349</v>
      </c>
      <c r="G844">
        <v>2.16</v>
      </c>
      <c r="H844">
        <v>550.54</v>
      </c>
      <c r="I844" t="s">
        <v>439</v>
      </c>
      <c r="J844" t="s">
        <v>442</v>
      </c>
      <c r="K844" t="s">
        <v>655</v>
      </c>
      <c r="L844" t="s">
        <v>179</v>
      </c>
      <c r="M844" t="s">
        <v>288</v>
      </c>
      <c r="N844" t="s">
        <v>11</v>
      </c>
      <c r="O844" t="s">
        <v>4</v>
      </c>
      <c r="P844">
        <v>0</v>
      </c>
      <c r="Q844">
        <v>0</v>
      </c>
      <c r="R844">
        <v>0</v>
      </c>
      <c r="S844">
        <v>1</v>
      </c>
      <c r="T844">
        <v>1</v>
      </c>
      <c r="U844">
        <v>1</v>
      </c>
      <c r="V844">
        <v>1</v>
      </c>
      <c r="W844">
        <v>1</v>
      </c>
      <c r="X844">
        <v>1</v>
      </c>
      <c r="Y844">
        <v>1</v>
      </c>
      <c r="Z844">
        <v>1</v>
      </c>
      <c r="AA844">
        <v>1</v>
      </c>
      <c r="AB844">
        <v>1</v>
      </c>
      <c r="AC844">
        <v>1</v>
      </c>
      <c r="AD844">
        <v>1</v>
      </c>
      <c r="AE844">
        <v>1</v>
      </c>
      <c r="AF844">
        <v>1</v>
      </c>
      <c r="AG844" t="s">
        <v>288</v>
      </c>
      <c r="AH844" t="s">
        <v>11</v>
      </c>
      <c r="AI844" t="s">
        <v>4</v>
      </c>
      <c r="AJ844">
        <f>$H$844*$P$844</f>
        <v>0</v>
      </c>
      <c r="AK844">
        <f>$H$844*$Q$844</f>
        <v>0</v>
      </c>
      <c r="AL844">
        <f>$H$844*$R$844</f>
        <v>0</v>
      </c>
      <c r="AM844">
        <f>$H$844*$S$844</f>
        <v>550.54</v>
      </c>
      <c r="AN844">
        <f>$H$844*$T$844</f>
        <v>550.54</v>
      </c>
      <c r="AO844">
        <f>$H$844*$U$844</f>
        <v>550.54</v>
      </c>
      <c r="AP844">
        <f>$H$844*$V$844</f>
        <v>550.54</v>
      </c>
      <c r="AQ844">
        <f>$H$844*$W$844</f>
        <v>550.54</v>
      </c>
      <c r="AR844">
        <f>$H$844*$X$844</f>
        <v>550.54</v>
      </c>
      <c r="AS844">
        <f>$H$844*$Y$844</f>
        <v>550.54</v>
      </c>
      <c r="AT844">
        <f>$H$844*$Z$844</f>
        <v>550.54</v>
      </c>
      <c r="AU844">
        <f>$H$844*$AA$844</f>
        <v>550.54</v>
      </c>
      <c r="AV844">
        <f>$H$844*$AB$844</f>
        <v>550.54</v>
      </c>
      <c r="AW844">
        <f>$H$844*$AC$844</f>
        <v>550.54</v>
      </c>
      <c r="AX844">
        <f>$H$844*$AD$844</f>
        <v>550.54</v>
      </c>
      <c r="AY844">
        <f>$H$844*$AE$844</f>
        <v>550.54</v>
      </c>
      <c r="AZ844">
        <f>$H$844*$AF$844</f>
        <v>550.54</v>
      </c>
    </row>
    <row r="845" spans="1:52" x14ac:dyDescent="0.25">
      <c r="A845">
        <v>913</v>
      </c>
      <c r="B845" t="s">
        <v>288</v>
      </c>
      <c r="C845" t="s">
        <v>443</v>
      </c>
      <c r="D845">
        <v>212.4</v>
      </c>
      <c r="E845">
        <v>133.81</v>
      </c>
      <c r="F845" t="s">
        <v>349</v>
      </c>
      <c r="G845">
        <v>0.63</v>
      </c>
      <c r="H845">
        <v>160.57</v>
      </c>
      <c r="I845" t="s">
        <v>330</v>
      </c>
      <c r="J845" t="s">
        <v>444</v>
      </c>
      <c r="K845" t="s">
        <v>656</v>
      </c>
      <c r="L845" t="s">
        <v>179</v>
      </c>
      <c r="M845" t="s">
        <v>288</v>
      </c>
      <c r="N845" t="s">
        <v>11</v>
      </c>
      <c r="O845" t="s">
        <v>4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1</v>
      </c>
      <c r="AE845">
        <v>1</v>
      </c>
      <c r="AF845">
        <v>1</v>
      </c>
      <c r="AG845" t="s">
        <v>288</v>
      </c>
      <c r="AH845" t="s">
        <v>11</v>
      </c>
      <c r="AI845" t="s">
        <v>4</v>
      </c>
      <c r="AJ845">
        <f>$H$845*$P$845</f>
        <v>0</v>
      </c>
      <c r="AK845">
        <f>$H$845*$Q$845</f>
        <v>0</v>
      </c>
      <c r="AL845">
        <f>$H$845*$R$845</f>
        <v>0</v>
      </c>
      <c r="AM845">
        <f>$H$845*$S$845</f>
        <v>0</v>
      </c>
      <c r="AN845">
        <f>$H$845*$T$845</f>
        <v>0</v>
      </c>
      <c r="AO845">
        <f>$H$845*$U$845</f>
        <v>0</v>
      </c>
      <c r="AP845">
        <f>$H$845*$V$845</f>
        <v>0</v>
      </c>
      <c r="AQ845">
        <f>$H$845*$W$845</f>
        <v>0</v>
      </c>
      <c r="AR845">
        <f>$H$845*$X$845</f>
        <v>0</v>
      </c>
      <c r="AS845">
        <f>$H$845*$Y$845</f>
        <v>0</v>
      </c>
      <c r="AT845">
        <f>$H$845*$Z$845</f>
        <v>0</v>
      </c>
      <c r="AU845">
        <f>$H$845*$AA$845</f>
        <v>0</v>
      </c>
      <c r="AV845">
        <f>$H$845*$AB$845</f>
        <v>0</v>
      </c>
      <c r="AW845">
        <f>$H$845*$AC$845</f>
        <v>0</v>
      </c>
      <c r="AX845">
        <f>$H$845*$AD$845</f>
        <v>160.57</v>
      </c>
      <c r="AY845">
        <f>$H$845*$AE$845</f>
        <v>160.57</v>
      </c>
      <c r="AZ845">
        <f>$H$845*$AF$845</f>
        <v>160.57</v>
      </c>
    </row>
    <row r="846" spans="1:52" x14ac:dyDescent="0.25">
      <c r="A846">
        <v>914</v>
      </c>
      <c r="B846" t="s">
        <v>288</v>
      </c>
      <c r="C846" t="s">
        <v>362</v>
      </c>
      <c r="D846">
        <v>265.5</v>
      </c>
      <c r="E846">
        <v>260.19</v>
      </c>
      <c r="F846" t="s">
        <v>349</v>
      </c>
      <c r="G846">
        <v>0.98</v>
      </c>
      <c r="H846">
        <v>312.23</v>
      </c>
      <c r="I846" t="s">
        <v>330</v>
      </c>
      <c r="J846" t="s">
        <v>363</v>
      </c>
      <c r="K846" t="s">
        <v>617</v>
      </c>
      <c r="L846" t="s">
        <v>179</v>
      </c>
      <c r="M846" t="s">
        <v>288</v>
      </c>
      <c r="N846" t="s">
        <v>11</v>
      </c>
      <c r="O846" t="s">
        <v>4</v>
      </c>
      <c r="P846">
        <v>0</v>
      </c>
      <c r="Q846">
        <v>0</v>
      </c>
      <c r="R846">
        <v>0</v>
      </c>
      <c r="S846">
        <v>0</v>
      </c>
      <c r="T846">
        <v>1</v>
      </c>
      <c r="U846">
        <v>1</v>
      </c>
      <c r="V846">
        <v>1</v>
      </c>
      <c r="W846">
        <v>1</v>
      </c>
      <c r="X846">
        <v>1</v>
      </c>
      <c r="Y846">
        <v>1</v>
      </c>
      <c r="Z846">
        <v>1</v>
      </c>
      <c r="AA846">
        <v>1</v>
      </c>
      <c r="AB846">
        <v>1</v>
      </c>
      <c r="AC846">
        <v>1</v>
      </c>
      <c r="AD846">
        <v>1</v>
      </c>
      <c r="AE846">
        <v>1</v>
      </c>
      <c r="AF846">
        <v>1</v>
      </c>
      <c r="AG846" t="s">
        <v>288</v>
      </c>
      <c r="AH846" t="s">
        <v>11</v>
      </c>
      <c r="AI846" t="s">
        <v>4</v>
      </c>
      <c r="AJ846">
        <f>$H$846*$P$846</f>
        <v>0</v>
      </c>
      <c r="AK846">
        <f>$H$846*$Q$846</f>
        <v>0</v>
      </c>
      <c r="AL846">
        <f>$H$846*$R$846</f>
        <v>0</v>
      </c>
      <c r="AM846">
        <f>$H$846*$S$846</f>
        <v>0</v>
      </c>
      <c r="AN846">
        <f>$H$846*$T$846</f>
        <v>312.23</v>
      </c>
      <c r="AO846">
        <f>$H$846*$U$846</f>
        <v>312.23</v>
      </c>
      <c r="AP846">
        <f>$H$846*$V$846</f>
        <v>312.23</v>
      </c>
      <c r="AQ846">
        <f>$H$846*$W$846</f>
        <v>312.23</v>
      </c>
      <c r="AR846">
        <f>$H$846*$X$846</f>
        <v>312.23</v>
      </c>
      <c r="AS846">
        <f>$H$846*$Y$846</f>
        <v>312.23</v>
      </c>
      <c r="AT846">
        <f>$H$846*$Z$846</f>
        <v>312.23</v>
      </c>
      <c r="AU846">
        <f>$H$846*$AA$846</f>
        <v>312.23</v>
      </c>
      <c r="AV846">
        <f>$H$846*$AB$846</f>
        <v>312.23</v>
      </c>
      <c r="AW846">
        <f>$H$846*$AC$846</f>
        <v>312.23</v>
      </c>
      <c r="AX846">
        <f>$H$846*$AD$846</f>
        <v>312.23</v>
      </c>
      <c r="AY846">
        <f>$H$846*$AE$846</f>
        <v>312.23</v>
      </c>
      <c r="AZ846">
        <f>$H$846*$AF$846</f>
        <v>312.23</v>
      </c>
    </row>
    <row r="847" spans="1:52" x14ac:dyDescent="0.25">
      <c r="A847">
        <v>915</v>
      </c>
      <c r="B847" t="s">
        <v>288</v>
      </c>
      <c r="C847" t="s">
        <v>445</v>
      </c>
      <c r="D847">
        <v>53.1</v>
      </c>
      <c r="E847">
        <v>199.66</v>
      </c>
      <c r="F847" t="s">
        <v>349</v>
      </c>
      <c r="G847">
        <v>3.76</v>
      </c>
      <c r="H847">
        <v>239.6</v>
      </c>
      <c r="I847" t="s">
        <v>446</v>
      </c>
      <c r="J847" t="s">
        <v>420</v>
      </c>
      <c r="K847" t="s">
        <v>657</v>
      </c>
      <c r="L847" t="s">
        <v>179</v>
      </c>
      <c r="M847" t="s">
        <v>288</v>
      </c>
      <c r="N847" t="s">
        <v>11</v>
      </c>
      <c r="O847" t="s">
        <v>4</v>
      </c>
      <c r="P847">
        <v>0</v>
      </c>
      <c r="Q847">
        <v>0</v>
      </c>
      <c r="R847">
        <v>0</v>
      </c>
      <c r="S847">
        <v>0.25</v>
      </c>
      <c r="T847">
        <v>0.25</v>
      </c>
      <c r="U847">
        <v>0.25</v>
      </c>
      <c r="V847">
        <v>0.25</v>
      </c>
      <c r="W847">
        <v>0.25</v>
      </c>
      <c r="X847">
        <v>0.5</v>
      </c>
      <c r="Y847">
        <v>0.5</v>
      </c>
      <c r="Z847">
        <v>0.5</v>
      </c>
      <c r="AA847">
        <v>1</v>
      </c>
      <c r="AB847">
        <v>1</v>
      </c>
      <c r="AC847">
        <v>1</v>
      </c>
      <c r="AD847">
        <v>1</v>
      </c>
      <c r="AE847">
        <v>1</v>
      </c>
      <c r="AF847">
        <v>1</v>
      </c>
      <c r="AG847" t="s">
        <v>288</v>
      </c>
      <c r="AH847" t="s">
        <v>11</v>
      </c>
      <c r="AI847" t="s">
        <v>4</v>
      </c>
      <c r="AJ847">
        <f>$H$847*$P$847</f>
        <v>0</v>
      </c>
      <c r="AK847">
        <f>$H$847*$Q$847</f>
        <v>0</v>
      </c>
      <c r="AL847">
        <f>$H$847*$R$847</f>
        <v>0</v>
      </c>
      <c r="AM847">
        <f>$H$847*$S$847</f>
        <v>59.9</v>
      </c>
      <c r="AN847">
        <f>$H$847*$T$847</f>
        <v>59.9</v>
      </c>
      <c r="AO847">
        <f>$H$847*$U$847</f>
        <v>59.9</v>
      </c>
      <c r="AP847">
        <f>$H$847*$V$847</f>
        <v>59.9</v>
      </c>
      <c r="AQ847">
        <f>$H$847*$W$847</f>
        <v>59.9</v>
      </c>
      <c r="AR847">
        <f>$H$847*$X$847</f>
        <v>119.8</v>
      </c>
      <c r="AS847">
        <f>$H$847*$Y$847</f>
        <v>119.8</v>
      </c>
      <c r="AT847">
        <f>$H$847*$Z$847</f>
        <v>119.8</v>
      </c>
      <c r="AU847">
        <f>$H$847*$AA$847</f>
        <v>239.6</v>
      </c>
      <c r="AV847">
        <f>$H$847*$AB$847</f>
        <v>239.6</v>
      </c>
      <c r="AW847">
        <f>$H$847*$AC$847</f>
        <v>239.6</v>
      </c>
      <c r="AX847">
        <f>$H$847*$AD$847</f>
        <v>239.6</v>
      </c>
      <c r="AY847">
        <f>$H$847*$AE$847</f>
        <v>239.6</v>
      </c>
      <c r="AZ847">
        <f>$H$847*$AF$847</f>
        <v>239.6</v>
      </c>
    </row>
    <row r="848" spans="1:52" x14ac:dyDescent="0.25">
      <c r="A848">
        <v>916</v>
      </c>
      <c r="B848" t="s">
        <v>288</v>
      </c>
      <c r="C848" t="s">
        <v>364</v>
      </c>
      <c r="D848">
        <v>531</v>
      </c>
      <c r="E848">
        <v>1784.16</v>
      </c>
      <c r="F848" t="s">
        <v>349</v>
      </c>
      <c r="G848">
        <v>3.36</v>
      </c>
      <c r="H848">
        <v>2141</v>
      </c>
      <c r="I848" t="s">
        <v>365</v>
      </c>
      <c r="J848" t="s">
        <v>366</v>
      </c>
      <c r="K848" t="s">
        <v>618</v>
      </c>
      <c r="L848" t="s">
        <v>179</v>
      </c>
      <c r="M848" t="s">
        <v>288</v>
      </c>
      <c r="N848" t="s">
        <v>11</v>
      </c>
      <c r="O848" t="s">
        <v>4</v>
      </c>
      <c r="P848">
        <v>0</v>
      </c>
      <c r="Q848">
        <v>0</v>
      </c>
      <c r="R848">
        <v>0</v>
      </c>
      <c r="S848">
        <v>0.25</v>
      </c>
      <c r="T848">
        <v>0.25</v>
      </c>
      <c r="U848">
        <v>0.25</v>
      </c>
      <c r="V848">
        <v>0.25</v>
      </c>
      <c r="W848">
        <v>0.5</v>
      </c>
      <c r="X848">
        <v>0.5</v>
      </c>
      <c r="Y848">
        <v>0.5</v>
      </c>
      <c r="Z848">
        <v>0.5</v>
      </c>
      <c r="AA848">
        <v>1</v>
      </c>
      <c r="AB848">
        <v>1</v>
      </c>
      <c r="AC848">
        <v>1</v>
      </c>
      <c r="AD848">
        <v>1</v>
      </c>
      <c r="AE848">
        <v>1</v>
      </c>
      <c r="AF848">
        <v>1</v>
      </c>
      <c r="AG848" t="s">
        <v>288</v>
      </c>
      <c r="AH848" t="s">
        <v>11</v>
      </c>
      <c r="AI848" t="s">
        <v>4</v>
      </c>
      <c r="AJ848">
        <f>$H$848*$P$848</f>
        <v>0</v>
      </c>
      <c r="AK848">
        <f>$H$848*$Q$848</f>
        <v>0</v>
      </c>
      <c r="AL848">
        <f>$H$848*$R$848</f>
        <v>0</v>
      </c>
      <c r="AM848">
        <f>$H$848*$S$848</f>
        <v>535.25</v>
      </c>
      <c r="AN848">
        <f>$H$848*$T$848</f>
        <v>535.25</v>
      </c>
      <c r="AO848">
        <f>$H$848*$U$848</f>
        <v>535.25</v>
      </c>
      <c r="AP848">
        <f>$H$848*$V$848</f>
        <v>535.25</v>
      </c>
      <c r="AQ848">
        <f>$H$848*$W$848</f>
        <v>1070.5</v>
      </c>
      <c r="AR848">
        <f>$H$848*$X$848</f>
        <v>1070.5</v>
      </c>
      <c r="AS848">
        <f>$H$848*$Y$848</f>
        <v>1070.5</v>
      </c>
      <c r="AT848">
        <f>$H$848*$Z$848</f>
        <v>1070.5</v>
      </c>
      <c r="AU848">
        <f>$H$848*$AA$848</f>
        <v>2141</v>
      </c>
      <c r="AV848">
        <f>$H$848*$AB$848</f>
        <v>2141</v>
      </c>
      <c r="AW848">
        <f>$H$848*$AC$848</f>
        <v>2141</v>
      </c>
      <c r="AX848">
        <f>$H$848*$AD$848</f>
        <v>2141</v>
      </c>
      <c r="AY848">
        <f>$H$848*$AE$848</f>
        <v>2141</v>
      </c>
      <c r="AZ848">
        <f>$H$848*$AF$848</f>
        <v>2141</v>
      </c>
    </row>
    <row r="849" spans="1:52" x14ac:dyDescent="0.25">
      <c r="A849">
        <v>917</v>
      </c>
      <c r="B849" t="s">
        <v>288</v>
      </c>
      <c r="C849" t="s">
        <v>447</v>
      </c>
      <c r="D849">
        <v>59</v>
      </c>
      <c r="E849">
        <v>61.36</v>
      </c>
      <c r="F849" t="s">
        <v>329</v>
      </c>
      <c r="G849">
        <v>1.04</v>
      </c>
      <c r="H849">
        <v>73.64</v>
      </c>
      <c r="I849" t="s">
        <v>330</v>
      </c>
      <c r="J849" t="s">
        <v>448</v>
      </c>
      <c r="K849" t="s">
        <v>658</v>
      </c>
      <c r="L849" t="s">
        <v>179</v>
      </c>
      <c r="M849" t="s">
        <v>288</v>
      </c>
      <c r="N849" t="s">
        <v>11</v>
      </c>
      <c r="O849" t="s">
        <v>4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1</v>
      </c>
      <c r="AB849">
        <v>1</v>
      </c>
      <c r="AC849">
        <v>1</v>
      </c>
      <c r="AD849">
        <v>1</v>
      </c>
      <c r="AE849">
        <v>1</v>
      </c>
      <c r="AF849">
        <v>1</v>
      </c>
      <c r="AG849" t="s">
        <v>288</v>
      </c>
      <c r="AH849" t="s">
        <v>11</v>
      </c>
      <c r="AI849" t="s">
        <v>4</v>
      </c>
      <c r="AJ849">
        <f>$H$849*$P$849</f>
        <v>0</v>
      </c>
      <c r="AK849">
        <f>$H$849*$Q$849</f>
        <v>0</v>
      </c>
      <c r="AL849">
        <f>$H$849*$R$849</f>
        <v>0</v>
      </c>
      <c r="AM849">
        <f>$H$849*$S$849</f>
        <v>0</v>
      </c>
      <c r="AN849">
        <f>$H$849*$T$849</f>
        <v>0</v>
      </c>
      <c r="AO849">
        <f>$H$849*$U$849</f>
        <v>0</v>
      </c>
      <c r="AP849">
        <f>$H$849*$V$849</f>
        <v>0</v>
      </c>
      <c r="AQ849">
        <f>$H$849*$W$849</f>
        <v>0</v>
      </c>
      <c r="AR849">
        <f>$H$849*$X$849</f>
        <v>0</v>
      </c>
      <c r="AS849">
        <f>$H$849*$Y$849</f>
        <v>0</v>
      </c>
      <c r="AT849">
        <f>$H$849*$Z$849</f>
        <v>0</v>
      </c>
      <c r="AU849">
        <f>$H$849*$AA$849</f>
        <v>73.64</v>
      </c>
      <c r="AV849">
        <f>$H$849*$AB$849</f>
        <v>73.64</v>
      </c>
      <c r="AW849">
        <f>$H$849*$AC$849</f>
        <v>73.64</v>
      </c>
      <c r="AX849">
        <f>$H$849*$AD$849</f>
        <v>73.64</v>
      </c>
      <c r="AY849">
        <f>$H$849*$AE$849</f>
        <v>73.64</v>
      </c>
      <c r="AZ849">
        <f>$H$849*$AF$849</f>
        <v>73.64</v>
      </c>
    </row>
    <row r="850" spans="1:52" x14ac:dyDescent="0.25">
      <c r="A850">
        <v>918</v>
      </c>
      <c r="B850" t="s">
        <v>288</v>
      </c>
      <c r="C850" t="s">
        <v>449</v>
      </c>
      <c r="D850">
        <v>59</v>
      </c>
      <c r="E850">
        <v>473.18</v>
      </c>
      <c r="F850" t="s">
        <v>329</v>
      </c>
      <c r="G850">
        <v>8.02</v>
      </c>
      <c r="H850">
        <v>567.82000000000005</v>
      </c>
      <c r="I850" t="s">
        <v>333</v>
      </c>
      <c r="J850" t="s">
        <v>450</v>
      </c>
      <c r="K850" t="s">
        <v>659</v>
      </c>
      <c r="L850" t="s">
        <v>179</v>
      </c>
      <c r="M850" t="s">
        <v>288</v>
      </c>
      <c r="N850" t="s">
        <v>11</v>
      </c>
      <c r="O850" t="s">
        <v>4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1</v>
      </c>
      <c r="AB850">
        <v>1</v>
      </c>
      <c r="AC850">
        <v>1</v>
      </c>
      <c r="AD850">
        <v>1</v>
      </c>
      <c r="AE850">
        <v>1</v>
      </c>
      <c r="AF850">
        <v>1</v>
      </c>
      <c r="AG850" t="s">
        <v>288</v>
      </c>
      <c r="AH850" t="s">
        <v>11</v>
      </c>
      <c r="AI850" t="s">
        <v>4</v>
      </c>
      <c r="AJ850">
        <f>$H$850*$P$850</f>
        <v>0</v>
      </c>
      <c r="AK850">
        <f>$H$850*$Q$850</f>
        <v>0</v>
      </c>
      <c r="AL850">
        <f>$H$850*$R$850</f>
        <v>0</v>
      </c>
      <c r="AM850">
        <f>$H$850*$S$850</f>
        <v>0</v>
      </c>
      <c r="AN850">
        <f>$H$850*$T$850</f>
        <v>0</v>
      </c>
      <c r="AO850">
        <f>$H$850*$U$850</f>
        <v>0</v>
      </c>
      <c r="AP850">
        <f>$H$850*$V$850</f>
        <v>0</v>
      </c>
      <c r="AQ850">
        <f>$H$850*$W$850</f>
        <v>0</v>
      </c>
      <c r="AR850">
        <f>$H$850*$X$850</f>
        <v>0</v>
      </c>
      <c r="AS850">
        <f>$H$850*$Y$850</f>
        <v>0</v>
      </c>
      <c r="AT850">
        <f>$H$850*$Z$850</f>
        <v>0</v>
      </c>
      <c r="AU850">
        <f>$H$850*$AA$850</f>
        <v>567.82000000000005</v>
      </c>
      <c r="AV850">
        <f>$H$850*$AB$850</f>
        <v>567.82000000000005</v>
      </c>
      <c r="AW850">
        <f>$H$850*$AC$850</f>
        <v>567.82000000000005</v>
      </c>
      <c r="AX850">
        <f>$H$850*$AD$850</f>
        <v>567.82000000000005</v>
      </c>
      <c r="AY850">
        <f>$H$850*$AE$850</f>
        <v>567.82000000000005</v>
      </c>
      <c r="AZ850">
        <f>$H$850*$AF$850</f>
        <v>567.82000000000005</v>
      </c>
    </row>
    <row r="851" spans="1:52" x14ac:dyDescent="0.25">
      <c r="A851">
        <v>919</v>
      </c>
      <c r="B851" t="s">
        <v>288</v>
      </c>
      <c r="C851" t="s">
        <v>455</v>
      </c>
      <c r="D851">
        <v>59</v>
      </c>
      <c r="E851">
        <v>89.09</v>
      </c>
      <c r="F851" t="s">
        <v>329</v>
      </c>
      <c r="G851">
        <v>1.51</v>
      </c>
      <c r="H851">
        <v>106.91</v>
      </c>
      <c r="I851" t="s">
        <v>330</v>
      </c>
      <c r="J851" t="s">
        <v>456</v>
      </c>
      <c r="K851" t="s">
        <v>662</v>
      </c>
      <c r="L851" t="s">
        <v>179</v>
      </c>
      <c r="M851" t="s">
        <v>288</v>
      </c>
      <c r="N851" t="s">
        <v>11</v>
      </c>
      <c r="O851" t="s">
        <v>4</v>
      </c>
      <c r="P851">
        <v>0</v>
      </c>
      <c r="Q851">
        <v>0</v>
      </c>
      <c r="R851">
        <v>0</v>
      </c>
      <c r="S851">
        <v>1</v>
      </c>
      <c r="T851">
        <v>1</v>
      </c>
      <c r="U851">
        <v>1</v>
      </c>
      <c r="V851">
        <v>1</v>
      </c>
      <c r="W851">
        <v>1</v>
      </c>
      <c r="X851">
        <v>1</v>
      </c>
      <c r="Y851">
        <v>1</v>
      </c>
      <c r="Z851">
        <v>1</v>
      </c>
      <c r="AA851">
        <v>1</v>
      </c>
      <c r="AB851">
        <v>1</v>
      </c>
      <c r="AC851">
        <v>1</v>
      </c>
      <c r="AD851">
        <v>1</v>
      </c>
      <c r="AE851">
        <v>1</v>
      </c>
      <c r="AF851">
        <v>1</v>
      </c>
      <c r="AG851" t="s">
        <v>288</v>
      </c>
      <c r="AH851" t="s">
        <v>11</v>
      </c>
      <c r="AI851" t="s">
        <v>4</v>
      </c>
      <c r="AJ851">
        <f>$H$851*$P$851</f>
        <v>0</v>
      </c>
      <c r="AK851">
        <f>$H$851*$Q$851</f>
        <v>0</v>
      </c>
      <c r="AL851">
        <f>$H$851*$R$851</f>
        <v>0</v>
      </c>
      <c r="AM851">
        <f>$H$851*$S$851</f>
        <v>106.91</v>
      </c>
      <c r="AN851">
        <f>$H$851*$T$851</f>
        <v>106.91</v>
      </c>
      <c r="AO851">
        <f>$H$851*$U$851</f>
        <v>106.91</v>
      </c>
      <c r="AP851">
        <f>$H$851*$V$851</f>
        <v>106.91</v>
      </c>
      <c r="AQ851">
        <f>$H$851*$W$851</f>
        <v>106.91</v>
      </c>
      <c r="AR851">
        <f>$H$851*$X$851</f>
        <v>106.91</v>
      </c>
      <c r="AS851">
        <f>$H$851*$Y$851</f>
        <v>106.91</v>
      </c>
      <c r="AT851">
        <f>$H$851*$Z$851</f>
        <v>106.91</v>
      </c>
      <c r="AU851">
        <f>$H$851*$AA$851</f>
        <v>106.91</v>
      </c>
      <c r="AV851">
        <f>$H$851*$AB$851</f>
        <v>106.91</v>
      </c>
      <c r="AW851">
        <f>$H$851*$AC$851</f>
        <v>106.91</v>
      </c>
      <c r="AX851">
        <f>$H$851*$AD$851</f>
        <v>106.91</v>
      </c>
      <c r="AY851">
        <f>$H$851*$AE$851</f>
        <v>106.91</v>
      </c>
      <c r="AZ851">
        <f>$H$851*$AF$851</f>
        <v>106.91</v>
      </c>
    </row>
    <row r="852" spans="1:52" x14ac:dyDescent="0.25">
      <c r="A852">
        <v>920</v>
      </c>
      <c r="B852" t="s">
        <v>288</v>
      </c>
      <c r="C852" t="s">
        <v>457</v>
      </c>
      <c r="D852">
        <v>59</v>
      </c>
      <c r="E852">
        <v>335.12</v>
      </c>
      <c r="F852" t="s">
        <v>329</v>
      </c>
      <c r="G852">
        <v>5.68</v>
      </c>
      <c r="H852">
        <v>402.14</v>
      </c>
      <c r="I852" t="s">
        <v>333</v>
      </c>
      <c r="J852" t="s">
        <v>458</v>
      </c>
      <c r="K852" t="s">
        <v>663</v>
      </c>
      <c r="L852" t="s">
        <v>179</v>
      </c>
      <c r="M852" t="s">
        <v>288</v>
      </c>
      <c r="N852" t="s">
        <v>11</v>
      </c>
      <c r="O852" t="s">
        <v>4</v>
      </c>
      <c r="P852">
        <v>0</v>
      </c>
      <c r="Q852">
        <v>0</v>
      </c>
      <c r="R852">
        <v>0</v>
      </c>
      <c r="S852">
        <v>1</v>
      </c>
      <c r="T852">
        <v>1</v>
      </c>
      <c r="U852">
        <v>1</v>
      </c>
      <c r="V852">
        <v>1</v>
      </c>
      <c r="W852">
        <v>1</v>
      </c>
      <c r="X852">
        <v>1</v>
      </c>
      <c r="Y852">
        <v>1</v>
      </c>
      <c r="Z852">
        <v>1</v>
      </c>
      <c r="AA852">
        <v>1</v>
      </c>
      <c r="AB852">
        <v>1</v>
      </c>
      <c r="AC852">
        <v>1</v>
      </c>
      <c r="AD852">
        <v>1</v>
      </c>
      <c r="AE852">
        <v>1</v>
      </c>
      <c r="AF852">
        <v>1</v>
      </c>
      <c r="AG852" t="s">
        <v>288</v>
      </c>
      <c r="AH852" t="s">
        <v>11</v>
      </c>
      <c r="AI852" t="s">
        <v>4</v>
      </c>
      <c r="AJ852">
        <f>$H$852*$P$852</f>
        <v>0</v>
      </c>
      <c r="AK852">
        <f>$H$852*$Q$852</f>
        <v>0</v>
      </c>
      <c r="AL852">
        <f>$H$852*$R$852</f>
        <v>0</v>
      </c>
      <c r="AM852">
        <f>$H$852*$S$852</f>
        <v>402.14</v>
      </c>
      <c r="AN852">
        <f>$H$852*$T$852</f>
        <v>402.14</v>
      </c>
      <c r="AO852">
        <f>$H$852*$U$852</f>
        <v>402.14</v>
      </c>
      <c r="AP852">
        <f>$H$852*$V$852</f>
        <v>402.14</v>
      </c>
      <c r="AQ852">
        <f>$H$852*$W$852</f>
        <v>402.14</v>
      </c>
      <c r="AR852">
        <f>$H$852*$X$852</f>
        <v>402.14</v>
      </c>
      <c r="AS852">
        <f>$H$852*$Y$852</f>
        <v>402.14</v>
      </c>
      <c r="AT852">
        <f>$H$852*$Z$852</f>
        <v>402.14</v>
      </c>
      <c r="AU852">
        <f>$H$852*$AA$852</f>
        <v>402.14</v>
      </c>
      <c r="AV852">
        <f>$H$852*$AB$852</f>
        <v>402.14</v>
      </c>
      <c r="AW852">
        <f>$H$852*$AC$852</f>
        <v>402.14</v>
      </c>
      <c r="AX852">
        <f>$H$852*$AD$852</f>
        <v>402.14</v>
      </c>
      <c r="AY852">
        <f>$H$852*$AE$852</f>
        <v>402.14</v>
      </c>
      <c r="AZ852">
        <f>$H$852*$AF$852</f>
        <v>402.14</v>
      </c>
    </row>
    <row r="853" spans="1:52" x14ac:dyDescent="0.25">
      <c r="A853">
        <v>921</v>
      </c>
      <c r="B853" t="s">
        <v>288</v>
      </c>
      <c r="C853" t="s">
        <v>364</v>
      </c>
      <c r="D853">
        <v>216.56</v>
      </c>
      <c r="E853">
        <v>727.64</v>
      </c>
      <c r="F853" t="s">
        <v>349</v>
      </c>
      <c r="G853">
        <v>3.36</v>
      </c>
      <c r="H853">
        <v>873.16</v>
      </c>
      <c r="I853" t="s">
        <v>365</v>
      </c>
      <c r="J853" t="s">
        <v>366</v>
      </c>
      <c r="K853" t="s">
        <v>618</v>
      </c>
      <c r="L853" t="s">
        <v>179</v>
      </c>
      <c r="M853" t="s">
        <v>288</v>
      </c>
      <c r="N853" t="s">
        <v>11</v>
      </c>
      <c r="O853" t="s">
        <v>4</v>
      </c>
      <c r="P853">
        <v>0</v>
      </c>
      <c r="Q853">
        <v>0</v>
      </c>
      <c r="R853">
        <v>0</v>
      </c>
      <c r="S853">
        <v>0.25</v>
      </c>
      <c r="T853">
        <v>0.25</v>
      </c>
      <c r="U853">
        <v>0.25</v>
      </c>
      <c r="V853">
        <v>0.25</v>
      </c>
      <c r="W853">
        <v>0.5</v>
      </c>
      <c r="X853">
        <v>0.5</v>
      </c>
      <c r="Y853">
        <v>0.5</v>
      </c>
      <c r="Z853">
        <v>0.5</v>
      </c>
      <c r="AA853">
        <v>1</v>
      </c>
      <c r="AB853">
        <v>1</v>
      </c>
      <c r="AC853">
        <v>1</v>
      </c>
      <c r="AD853">
        <v>1</v>
      </c>
      <c r="AE853">
        <v>1</v>
      </c>
      <c r="AF853">
        <v>1</v>
      </c>
      <c r="AG853" t="s">
        <v>288</v>
      </c>
      <c r="AH853" t="s">
        <v>11</v>
      </c>
      <c r="AI853" t="s">
        <v>4</v>
      </c>
      <c r="AJ853">
        <f>$H$853*$P$853</f>
        <v>0</v>
      </c>
      <c r="AK853">
        <f>$H$853*$Q$853</f>
        <v>0</v>
      </c>
      <c r="AL853">
        <f>$H$853*$R$853</f>
        <v>0</v>
      </c>
      <c r="AM853">
        <f>$H$853*$S$853</f>
        <v>218.29</v>
      </c>
      <c r="AN853">
        <f>$H$853*$T$853</f>
        <v>218.29</v>
      </c>
      <c r="AO853">
        <f>$H$853*$U$853</f>
        <v>218.29</v>
      </c>
      <c r="AP853">
        <f>$H$853*$V$853</f>
        <v>218.29</v>
      </c>
      <c r="AQ853">
        <f>$H$853*$W$853</f>
        <v>436.58</v>
      </c>
      <c r="AR853">
        <f>$H$853*$X$853</f>
        <v>436.58</v>
      </c>
      <c r="AS853">
        <f>$H$853*$Y$853</f>
        <v>436.58</v>
      </c>
      <c r="AT853">
        <f>$H$853*$Z$853</f>
        <v>436.58</v>
      </c>
      <c r="AU853">
        <f>$H$853*$AA$853</f>
        <v>873.16</v>
      </c>
      <c r="AV853">
        <f>$H$853*$AB$853</f>
        <v>873.16</v>
      </c>
      <c r="AW853">
        <f>$H$853*$AC$853</f>
        <v>873.16</v>
      </c>
      <c r="AX853">
        <f>$H$853*$AD$853</f>
        <v>873.16</v>
      </c>
      <c r="AY853">
        <f>$H$853*$AE$853</f>
        <v>873.16</v>
      </c>
      <c r="AZ853">
        <f>$H$853*$AF$853</f>
        <v>873.16</v>
      </c>
    </row>
    <row r="854" spans="1:52" x14ac:dyDescent="0.25">
      <c r="A854">
        <v>922</v>
      </c>
      <c r="B854" t="s">
        <v>288</v>
      </c>
      <c r="C854" t="s">
        <v>443</v>
      </c>
      <c r="D854">
        <v>216.56</v>
      </c>
      <c r="E854">
        <v>136.43</v>
      </c>
      <c r="F854" t="s">
        <v>349</v>
      </c>
      <c r="G854">
        <v>0.63</v>
      </c>
      <c r="H854">
        <v>163.71</v>
      </c>
      <c r="I854" t="s">
        <v>330</v>
      </c>
      <c r="J854" t="s">
        <v>444</v>
      </c>
      <c r="K854" t="s">
        <v>656</v>
      </c>
      <c r="L854" t="s">
        <v>179</v>
      </c>
      <c r="M854" t="s">
        <v>288</v>
      </c>
      <c r="N854" t="s">
        <v>11</v>
      </c>
      <c r="O854" t="s">
        <v>4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1</v>
      </c>
      <c r="AE854">
        <v>1</v>
      </c>
      <c r="AF854">
        <v>1</v>
      </c>
      <c r="AG854" t="s">
        <v>288</v>
      </c>
      <c r="AH854" t="s">
        <v>11</v>
      </c>
      <c r="AI854" t="s">
        <v>4</v>
      </c>
      <c r="AJ854">
        <f>$H$854*$P$854</f>
        <v>0</v>
      </c>
      <c r="AK854">
        <f>$H$854*$Q$854</f>
        <v>0</v>
      </c>
      <c r="AL854">
        <f>$H$854*$R$854</f>
        <v>0</v>
      </c>
      <c r="AM854">
        <f>$H$854*$S$854</f>
        <v>0</v>
      </c>
      <c r="AN854">
        <f>$H$854*$T$854</f>
        <v>0</v>
      </c>
      <c r="AO854">
        <f>$H$854*$U$854</f>
        <v>0</v>
      </c>
      <c r="AP854">
        <f>$H$854*$V$854</f>
        <v>0</v>
      </c>
      <c r="AQ854">
        <f>$H$854*$W$854</f>
        <v>0</v>
      </c>
      <c r="AR854">
        <f>$H$854*$X$854</f>
        <v>0</v>
      </c>
      <c r="AS854">
        <f>$H$854*$Y$854</f>
        <v>0</v>
      </c>
      <c r="AT854">
        <f>$H$854*$Z$854</f>
        <v>0</v>
      </c>
      <c r="AU854">
        <f>$H$854*$AA$854</f>
        <v>0</v>
      </c>
      <c r="AV854">
        <f>$H$854*$AB$854</f>
        <v>0</v>
      </c>
      <c r="AW854">
        <f>$H$854*$AC$854</f>
        <v>0</v>
      </c>
      <c r="AX854">
        <f>$H$854*$AD$854</f>
        <v>163.71</v>
      </c>
      <c r="AY854">
        <f>$H$854*$AE$854</f>
        <v>163.71</v>
      </c>
      <c r="AZ854">
        <f>$H$854*$AF$854</f>
        <v>163.71</v>
      </c>
    </row>
    <row r="855" spans="1:52" x14ac:dyDescent="0.25">
      <c r="A855">
        <v>923</v>
      </c>
      <c r="B855" t="s">
        <v>288</v>
      </c>
      <c r="C855" t="s">
        <v>459</v>
      </c>
      <c r="D855">
        <v>216.56</v>
      </c>
      <c r="E855">
        <v>149.43</v>
      </c>
      <c r="F855" t="s">
        <v>349</v>
      </c>
      <c r="G855">
        <v>0.69</v>
      </c>
      <c r="H855">
        <v>179.31</v>
      </c>
      <c r="I855" t="s">
        <v>330</v>
      </c>
      <c r="J855" t="s">
        <v>460</v>
      </c>
      <c r="K855" t="s">
        <v>664</v>
      </c>
      <c r="L855" t="s">
        <v>179</v>
      </c>
      <c r="M855" t="s">
        <v>288</v>
      </c>
      <c r="N855" t="s">
        <v>11</v>
      </c>
      <c r="O855" t="s">
        <v>4</v>
      </c>
      <c r="P855">
        <v>0</v>
      </c>
      <c r="Q855">
        <v>0</v>
      </c>
      <c r="R855">
        <v>0</v>
      </c>
      <c r="S855">
        <v>1</v>
      </c>
      <c r="T855">
        <v>1</v>
      </c>
      <c r="U855">
        <v>1</v>
      </c>
      <c r="V855">
        <v>1</v>
      </c>
      <c r="W855">
        <v>1</v>
      </c>
      <c r="X855">
        <v>1</v>
      </c>
      <c r="Y855">
        <v>1</v>
      </c>
      <c r="Z855">
        <v>1</v>
      </c>
      <c r="AA855">
        <v>1</v>
      </c>
      <c r="AB855">
        <v>1</v>
      </c>
      <c r="AC855">
        <v>1</v>
      </c>
      <c r="AD855">
        <v>1</v>
      </c>
      <c r="AE855">
        <v>1</v>
      </c>
      <c r="AF855">
        <v>1</v>
      </c>
      <c r="AG855" t="s">
        <v>288</v>
      </c>
      <c r="AH855" t="s">
        <v>11</v>
      </c>
      <c r="AI855" t="s">
        <v>4</v>
      </c>
      <c r="AJ855">
        <f>$H$855*$P$855</f>
        <v>0</v>
      </c>
      <c r="AK855">
        <f>$H$855*$Q$855</f>
        <v>0</v>
      </c>
      <c r="AL855">
        <f>$H$855*$R$855</f>
        <v>0</v>
      </c>
      <c r="AM855">
        <f>$H$855*$S$855</f>
        <v>179.31</v>
      </c>
      <c r="AN855">
        <f>$H$855*$T$855</f>
        <v>179.31</v>
      </c>
      <c r="AO855">
        <f>$H$855*$U$855</f>
        <v>179.31</v>
      </c>
      <c r="AP855">
        <f>$H$855*$V$855</f>
        <v>179.31</v>
      </c>
      <c r="AQ855">
        <f>$H$855*$W$855</f>
        <v>179.31</v>
      </c>
      <c r="AR855">
        <f>$H$855*$X$855</f>
        <v>179.31</v>
      </c>
      <c r="AS855">
        <f>$H$855*$Y$855</f>
        <v>179.31</v>
      </c>
      <c r="AT855">
        <f>$H$855*$Z$855</f>
        <v>179.31</v>
      </c>
      <c r="AU855">
        <f>$H$855*$AA$855</f>
        <v>179.31</v>
      </c>
      <c r="AV855">
        <f>$H$855*$AB$855</f>
        <v>179.31</v>
      </c>
      <c r="AW855">
        <f>$H$855*$AC$855</f>
        <v>179.31</v>
      </c>
      <c r="AX855">
        <f>$H$855*$AD$855</f>
        <v>179.31</v>
      </c>
      <c r="AY855">
        <f>$H$855*$AE$855</f>
        <v>179.31</v>
      </c>
      <c r="AZ855">
        <f>$H$855*$AF$855</f>
        <v>179.31</v>
      </c>
    </row>
    <row r="856" spans="1:52" x14ac:dyDescent="0.25">
      <c r="A856">
        <v>924</v>
      </c>
      <c r="B856" t="s">
        <v>288</v>
      </c>
      <c r="C856" t="s">
        <v>461</v>
      </c>
      <c r="D856">
        <v>43.31</v>
      </c>
      <c r="E856">
        <v>751.43</v>
      </c>
      <c r="F856" t="s">
        <v>349</v>
      </c>
      <c r="G856">
        <v>17.350000000000001</v>
      </c>
      <c r="H856">
        <v>901.71</v>
      </c>
      <c r="I856" t="s">
        <v>462</v>
      </c>
      <c r="J856" t="s">
        <v>463</v>
      </c>
      <c r="K856" t="s">
        <v>665</v>
      </c>
      <c r="L856" t="s">
        <v>179</v>
      </c>
      <c r="M856" t="s">
        <v>288</v>
      </c>
      <c r="N856" t="s">
        <v>11</v>
      </c>
      <c r="O856" t="s">
        <v>4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1</v>
      </c>
      <c r="Z856">
        <v>1</v>
      </c>
      <c r="AA856">
        <v>1</v>
      </c>
      <c r="AB856">
        <v>1</v>
      </c>
      <c r="AC856">
        <v>1</v>
      </c>
      <c r="AD856">
        <v>1</v>
      </c>
      <c r="AE856">
        <v>1</v>
      </c>
      <c r="AF856">
        <v>1</v>
      </c>
      <c r="AG856" t="s">
        <v>288</v>
      </c>
      <c r="AH856" t="s">
        <v>11</v>
      </c>
      <c r="AI856" t="s">
        <v>4</v>
      </c>
      <c r="AJ856">
        <f>$H$856*$P$856</f>
        <v>0</v>
      </c>
      <c r="AK856">
        <f>$H$856*$Q$856</f>
        <v>0</v>
      </c>
      <c r="AL856">
        <f>$H$856*$R$856</f>
        <v>0</v>
      </c>
      <c r="AM856">
        <f>$H$856*$S$856</f>
        <v>0</v>
      </c>
      <c r="AN856">
        <f>$H$856*$T$856</f>
        <v>0</v>
      </c>
      <c r="AO856">
        <f>$H$856*$U$856</f>
        <v>0</v>
      </c>
      <c r="AP856">
        <f>$H$856*$V$856</f>
        <v>0</v>
      </c>
      <c r="AQ856">
        <f>$H$856*$W$856</f>
        <v>0</v>
      </c>
      <c r="AR856">
        <f>$H$856*$X$856</f>
        <v>0</v>
      </c>
      <c r="AS856">
        <f>$H$856*$Y$856</f>
        <v>901.71</v>
      </c>
      <c r="AT856">
        <f>$H$856*$Z$856</f>
        <v>901.71</v>
      </c>
      <c r="AU856">
        <f>$H$856*$AA$856</f>
        <v>901.71</v>
      </c>
      <c r="AV856">
        <f>$H$856*$AB$856</f>
        <v>901.71</v>
      </c>
      <c r="AW856">
        <f>$H$856*$AC$856</f>
        <v>901.71</v>
      </c>
      <c r="AX856">
        <f>$H$856*$AD$856</f>
        <v>901.71</v>
      </c>
      <c r="AY856">
        <f>$H$856*$AE$856</f>
        <v>901.71</v>
      </c>
      <c r="AZ856">
        <f>$H$856*$AF$856</f>
        <v>901.71</v>
      </c>
    </row>
    <row r="857" spans="1:52" x14ac:dyDescent="0.25">
      <c r="A857">
        <v>925</v>
      </c>
      <c r="B857" t="s">
        <v>288</v>
      </c>
      <c r="C857" t="s">
        <v>464</v>
      </c>
      <c r="D857">
        <v>86.63</v>
      </c>
      <c r="E857">
        <v>310.14</v>
      </c>
      <c r="F857" t="s">
        <v>349</v>
      </c>
      <c r="G857">
        <v>3.58</v>
      </c>
      <c r="H857">
        <v>372.16</v>
      </c>
      <c r="I857" t="s">
        <v>465</v>
      </c>
      <c r="J857" t="s">
        <v>466</v>
      </c>
      <c r="K857" t="s">
        <v>666</v>
      </c>
      <c r="L857" t="s">
        <v>179</v>
      </c>
      <c r="M857" t="s">
        <v>288</v>
      </c>
      <c r="N857" t="s">
        <v>11</v>
      </c>
      <c r="O857" t="s">
        <v>4</v>
      </c>
      <c r="P857">
        <v>0</v>
      </c>
      <c r="Q857">
        <v>0</v>
      </c>
      <c r="R857">
        <v>0</v>
      </c>
      <c r="S857">
        <v>1</v>
      </c>
      <c r="T857">
        <v>1</v>
      </c>
      <c r="U857">
        <v>1</v>
      </c>
      <c r="V857">
        <v>1</v>
      </c>
      <c r="W857">
        <v>1</v>
      </c>
      <c r="X857">
        <v>1</v>
      </c>
      <c r="Y857">
        <v>1</v>
      </c>
      <c r="Z857">
        <v>1</v>
      </c>
      <c r="AA857">
        <v>1</v>
      </c>
      <c r="AB857">
        <v>1</v>
      </c>
      <c r="AC857">
        <v>1</v>
      </c>
      <c r="AD857">
        <v>1</v>
      </c>
      <c r="AE857">
        <v>1</v>
      </c>
      <c r="AF857">
        <v>1</v>
      </c>
      <c r="AG857" t="s">
        <v>288</v>
      </c>
      <c r="AH857" t="s">
        <v>11</v>
      </c>
      <c r="AI857" t="s">
        <v>4</v>
      </c>
      <c r="AJ857">
        <f>$H$857*$P$857</f>
        <v>0</v>
      </c>
      <c r="AK857">
        <f>$H$857*$Q$857</f>
        <v>0</v>
      </c>
      <c r="AL857">
        <f>$H$857*$R$857</f>
        <v>0</v>
      </c>
      <c r="AM857">
        <f>$H$857*$S$857</f>
        <v>372.16</v>
      </c>
      <c r="AN857">
        <f>$H$857*$T$857</f>
        <v>372.16</v>
      </c>
      <c r="AO857">
        <f>$H$857*$U$857</f>
        <v>372.16</v>
      </c>
      <c r="AP857">
        <f>$H$857*$V$857</f>
        <v>372.16</v>
      </c>
      <c r="AQ857">
        <f>$H$857*$W$857</f>
        <v>372.16</v>
      </c>
      <c r="AR857">
        <f>$H$857*$X$857</f>
        <v>372.16</v>
      </c>
      <c r="AS857">
        <f>$H$857*$Y$857</f>
        <v>372.16</v>
      </c>
      <c r="AT857">
        <f>$H$857*$Z$857</f>
        <v>372.16</v>
      </c>
      <c r="AU857">
        <f>$H$857*$AA$857</f>
        <v>372.16</v>
      </c>
      <c r="AV857">
        <f>$H$857*$AB$857</f>
        <v>372.16</v>
      </c>
      <c r="AW857">
        <f>$H$857*$AC$857</f>
        <v>372.16</v>
      </c>
      <c r="AX857">
        <f>$H$857*$AD$857</f>
        <v>372.16</v>
      </c>
      <c r="AY857">
        <f>$H$857*$AE$857</f>
        <v>372.16</v>
      </c>
      <c r="AZ857">
        <f>$H$857*$AF$857</f>
        <v>372.16</v>
      </c>
    </row>
    <row r="858" spans="1:52" x14ac:dyDescent="0.25">
      <c r="A858">
        <v>926</v>
      </c>
      <c r="B858" t="s">
        <v>288</v>
      </c>
      <c r="C858" t="s">
        <v>467</v>
      </c>
      <c r="D858">
        <v>86.63</v>
      </c>
      <c r="E858">
        <v>853.31</v>
      </c>
      <c r="F858" t="s">
        <v>349</v>
      </c>
      <c r="G858">
        <v>9.85</v>
      </c>
      <c r="H858">
        <v>1023.97</v>
      </c>
      <c r="I858" t="s">
        <v>465</v>
      </c>
      <c r="J858" t="s">
        <v>372</v>
      </c>
      <c r="K858" t="s">
        <v>667</v>
      </c>
      <c r="L858" t="s">
        <v>179</v>
      </c>
      <c r="M858" t="s">
        <v>288</v>
      </c>
      <c r="N858" t="s">
        <v>11</v>
      </c>
      <c r="O858" t="s">
        <v>4</v>
      </c>
      <c r="P858">
        <v>0</v>
      </c>
      <c r="Q858">
        <v>0</v>
      </c>
      <c r="R858">
        <v>0</v>
      </c>
      <c r="S858">
        <v>1</v>
      </c>
      <c r="T858">
        <v>1</v>
      </c>
      <c r="U858">
        <v>1</v>
      </c>
      <c r="V858">
        <v>1</v>
      </c>
      <c r="W858">
        <v>1</v>
      </c>
      <c r="X858">
        <v>1</v>
      </c>
      <c r="Y858">
        <v>1</v>
      </c>
      <c r="Z858">
        <v>1</v>
      </c>
      <c r="AA858">
        <v>1</v>
      </c>
      <c r="AB858">
        <v>1</v>
      </c>
      <c r="AC858">
        <v>1</v>
      </c>
      <c r="AD858">
        <v>1</v>
      </c>
      <c r="AE858">
        <v>1</v>
      </c>
      <c r="AF858">
        <v>1</v>
      </c>
      <c r="AG858" t="s">
        <v>288</v>
      </c>
      <c r="AH858" t="s">
        <v>11</v>
      </c>
      <c r="AI858" t="s">
        <v>4</v>
      </c>
      <c r="AJ858">
        <f>$H$858*$P$858</f>
        <v>0</v>
      </c>
      <c r="AK858">
        <f>$H$858*$Q$858</f>
        <v>0</v>
      </c>
      <c r="AL858">
        <f>$H$858*$R$858</f>
        <v>0</v>
      </c>
      <c r="AM858">
        <f>$H$858*$S$858</f>
        <v>1023.97</v>
      </c>
      <c r="AN858">
        <f>$H$858*$T$858</f>
        <v>1023.97</v>
      </c>
      <c r="AO858">
        <f>$H$858*$U$858</f>
        <v>1023.97</v>
      </c>
      <c r="AP858">
        <f>$H$858*$V$858</f>
        <v>1023.97</v>
      </c>
      <c r="AQ858">
        <f>$H$858*$W$858</f>
        <v>1023.97</v>
      </c>
      <c r="AR858">
        <f>$H$858*$X$858</f>
        <v>1023.97</v>
      </c>
      <c r="AS858">
        <f>$H$858*$Y$858</f>
        <v>1023.97</v>
      </c>
      <c r="AT858">
        <f>$H$858*$Z$858</f>
        <v>1023.97</v>
      </c>
      <c r="AU858">
        <f>$H$858*$AA$858</f>
        <v>1023.97</v>
      </c>
      <c r="AV858">
        <f>$H$858*$AB$858</f>
        <v>1023.97</v>
      </c>
      <c r="AW858">
        <f>$H$858*$AC$858</f>
        <v>1023.97</v>
      </c>
      <c r="AX858">
        <f>$H$858*$AD$858</f>
        <v>1023.97</v>
      </c>
      <c r="AY858">
        <f>$H$858*$AE$858</f>
        <v>1023.97</v>
      </c>
      <c r="AZ858">
        <f>$H$858*$AF$858</f>
        <v>1023.97</v>
      </c>
    </row>
    <row r="859" spans="1:52" x14ac:dyDescent="0.25">
      <c r="A859">
        <v>927</v>
      </c>
      <c r="B859" t="s">
        <v>288</v>
      </c>
      <c r="C859" t="s">
        <v>468</v>
      </c>
      <c r="D859">
        <v>99.62</v>
      </c>
      <c r="E859">
        <v>101.61</v>
      </c>
      <c r="F859" t="s">
        <v>349</v>
      </c>
      <c r="G859">
        <v>1.02</v>
      </c>
      <c r="H859">
        <v>121.93</v>
      </c>
      <c r="I859" t="s">
        <v>469</v>
      </c>
      <c r="J859" t="s">
        <v>470</v>
      </c>
      <c r="K859" t="s">
        <v>668</v>
      </c>
      <c r="L859" t="s">
        <v>179</v>
      </c>
      <c r="M859" t="s">
        <v>288</v>
      </c>
      <c r="N859" t="s">
        <v>11</v>
      </c>
      <c r="O859" t="s">
        <v>4</v>
      </c>
      <c r="P859">
        <v>0</v>
      </c>
      <c r="Q859">
        <v>0</v>
      </c>
      <c r="R859">
        <v>0</v>
      </c>
      <c r="S859">
        <v>1</v>
      </c>
      <c r="T859">
        <v>1</v>
      </c>
      <c r="U859">
        <v>1</v>
      </c>
      <c r="V859">
        <v>1</v>
      </c>
      <c r="W859">
        <v>1</v>
      </c>
      <c r="X859">
        <v>1</v>
      </c>
      <c r="Y859">
        <v>1</v>
      </c>
      <c r="Z859">
        <v>1</v>
      </c>
      <c r="AA859">
        <v>1</v>
      </c>
      <c r="AB859">
        <v>1</v>
      </c>
      <c r="AC859">
        <v>1</v>
      </c>
      <c r="AD859">
        <v>1</v>
      </c>
      <c r="AE859">
        <v>1</v>
      </c>
      <c r="AF859">
        <v>1</v>
      </c>
      <c r="AG859" t="s">
        <v>288</v>
      </c>
      <c r="AH859" t="s">
        <v>11</v>
      </c>
      <c r="AI859" t="s">
        <v>4</v>
      </c>
      <c r="AJ859">
        <f>$H$859*$P$859</f>
        <v>0</v>
      </c>
      <c r="AK859">
        <f>$H$859*$Q$859</f>
        <v>0</v>
      </c>
      <c r="AL859">
        <f>$H$859*$R$859</f>
        <v>0</v>
      </c>
      <c r="AM859">
        <f>$H$859*$S$859</f>
        <v>121.93</v>
      </c>
      <c r="AN859">
        <f>$H$859*$T$859</f>
        <v>121.93</v>
      </c>
      <c r="AO859">
        <f>$H$859*$U$859</f>
        <v>121.93</v>
      </c>
      <c r="AP859">
        <f>$H$859*$V$859</f>
        <v>121.93</v>
      </c>
      <c r="AQ859">
        <f>$H$859*$W$859</f>
        <v>121.93</v>
      </c>
      <c r="AR859">
        <f>$H$859*$X$859</f>
        <v>121.93</v>
      </c>
      <c r="AS859">
        <f>$H$859*$Y$859</f>
        <v>121.93</v>
      </c>
      <c r="AT859">
        <f>$H$859*$Z$859</f>
        <v>121.93</v>
      </c>
      <c r="AU859">
        <f>$H$859*$AA$859</f>
        <v>121.93</v>
      </c>
      <c r="AV859">
        <f>$H$859*$AB$859</f>
        <v>121.93</v>
      </c>
      <c r="AW859">
        <f>$H$859*$AC$859</f>
        <v>121.93</v>
      </c>
      <c r="AX859">
        <f>$H$859*$AD$859</f>
        <v>121.93</v>
      </c>
      <c r="AY859">
        <f>$H$859*$AE$859</f>
        <v>121.93</v>
      </c>
      <c r="AZ859">
        <f>$H$859*$AF$859</f>
        <v>121.93</v>
      </c>
    </row>
    <row r="860" spans="1:52" x14ac:dyDescent="0.25">
      <c r="A860">
        <v>928</v>
      </c>
      <c r="B860" t="s">
        <v>288</v>
      </c>
      <c r="C860" t="s">
        <v>471</v>
      </c>
      <c r="D860">
        <v>99.62</v>
      </c>
      <c r="E860">
        <v>919.49</v>
      </c>
      <c r="F860" t="s">
        <v>349</v>
      </c>
      <c r="G860">
        <v>9.23</v>
      </c>
      <c r="H860">
        <v>1103.3900000000001</v>
      </c>
      <c r="I860" t="s">
        <v>469</v>
      </c>
      <c r="J860" t="s">
        <v>463</v>
      </c>
      <c r="K860" t="s">
        <v>669</v>
      </c>
      <c r="L860" t="s">
        <v>179</v>
      </c>
      <c r="M860" t="s">
        <v>288</v>
      </c>
      <c r="N860" t="s">
        <v>11</v>
      </c>
      <c r="O860" t="s">
        <v>4</v>
      </c>
      <c r="P860">
        <v>0</v>
      </c>
      <c r="Q860">
        <v>0</v>
      </c>
      <c r="R860">
        <v>0</v>
      </c>
      <c r="S860">
        <v>1</v>
      </c>
      <c r="T860">
        <v>1</v>
      </c>
      <c r="U860">
        <v>1</v>
      </c>
      <c r="V860">
        <v>1</v>
      </c>
      <c r="W860">
        <v>1</v>
      </c>
      <c r="X860">
        <v>1</v>
      </c>
      <c r="Y860">
        <v>1</v>
      </c>
      <c r="Z860">
        <v>1</v>
      </c>
      <c r="AA860">
        <v>1</v>
      </c>
      <c r="AB860">
        <v>1</v>
      </c>
      <c r="AC860">
        <v>1</v>
      </c>
      <c r="AD860">
        <v>1</v>
      </c>
      <c r="AE860">
        <v>1</v>
      </c>
      <c r="AF860">
        <v>1</v>
      </c>
      <c r="AG860" t="s">
        <v>288</v>
      </c>
      <c r="AH860" t="s">
        <v>11</v>
      </c>
      <c r="AI860" t="s">
        <v>4</v>
      </c>
      <c r="AJ860">
        <f>$H$860*$P$860</f>
        <v>0</v>
      </c>
      <c r="AK860">
        <f>$H$860*$Q$860</f>
        <v>0</v>
      </c>
      <c r="AL860">
        <f>$H$860*$R$860</f>
        <v>0</v>
      </c>
      <c r="AM860">
        <f>$H$860*$S$860</f>
        <v>1103.3900000000001</v>
      </c>
      <c r="AN860">
        <f>$H$860*$T$860</f>
        <v>1103.3900000000001</v>
      </c>
      <c r="AO860">
        <f>$H$860*$U$860</f>
        <v>1103.3900000000001</v>
      </c>
      <c r="AP860">
        <f>$H$860*$V$860</f>
        <v>1103.3900000000001</v>
      </c>
      <c r="AQ860">
        <f>$H$860*$W$860</f>
        <v>1103.3900000000001</v>
      </c>
      <c r="AR860">
        <f>$H$860*$X$860</f>
        <v>1103.3900000000001</v>
      </c>
      <c r="AS860">
        <f>$H$860*$Y$860</f>
        <v>1103.3900000000001</v>
      </c>
      <c r="AT860">
        <f>$H$860*$Z$860</f>
        <v>1103.3900000000001</v>
      </c>
      <c r="AU860">
        <f>$H$860*$AA$860</f>
        <v>1103.3900000000001</v>
      </c>
      <c r="AV860">
        <f>$H$860*$AB$860</f>
        <v>1103.3900000000001</v>
      </c>
      <c r="AW860">
        <f>$H$860*$AC$860</f>
        <v>1103.3900000000001</v>
      </c>
      <c r="AX860">
        <f>$H$860*$AD$860</f>
        <v>1103.3900000000001</v>
      </c>
      <c r="AY860">
        <f>$H$860*$AE$860</f>
        <v>1103.3900000000001</v>
      </c>
      <c r="AZ860">
        <f>$H$860*$AF$860</f>
        <v>1103.3900000000001</v>
      </c>
    </row>
    <row r="861" spans="1:52" x14ac:dyDescent="0.25">
      <c r="A861">
        <v>929</v>
      </c>
      <c r="B861" t="s">
        <v>283</v>
      </c>
      <c r="C861" t="s">
        <v>336</v>
      </c>
      <c r="D861">
        <v>1</v>
      </c>
      <c r="E861">
        <v>87.09</v>
      </c>
      <c r="F861" t="s">
        <v>335</v>
      </c>
      <c r="G861">
        <v>87.09</v>
      </c>
      <c r="H861">
        <v>104.51</v>
      </c>
      <c r="I861" t="s">
        <v>337</v>
      </c>
      <c r="J861" t="s">
        <v>338</v>
      </c>
      <c r="K861" t="s">
        <v>606</v>
      </c>
      <c r="L861" t="s">
        <v>179</v>
      </c>
      <c r="M861" t="s">
        <v>283</v>
      </c>
      <c r="N861" t="s">
        <v>12</v>
      </c>
      <c r="O861" t="s">
        <v>4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1</v>
      </c>
      <c r="AE861">
        <v>1</v>
      </c>
      <c r="AF861">
        <v>1</v>
      </c>
      <c r="AG861" t="s">
        <v>283</v>
      </c>
      <c r="AH861" t="s">
        <v>12</v>
      </c>
      <c r="AI861" t="s">
        <v>4</v>
      </c>
      <c r="AJ861">
        <f>$H$861*$P$861</f>
        <v>0</v>
      </c>
      <c r="AK861">
        <f>$H$861*$Q$861</f>
        <v>0</v>
      </c>
      <c r="AL861">
        <f>$H$861*$R$861</f>
        <v>0</v>
      </c>
      <c r="AM861">
        <f>$H$861*$S$861</f>
        <v>0</v>
      </c>
      <c r="AN861">
        <f>$H$861*$T$861</f>
        <v>0</v>
      </c>
      <c r="AO861">
        <f>$H$861*$U$861</f>
        <v>0</v>
      </c>
      <c r="AP861">
        <f>$H$861*$V$861</f>
        <v>0</v>
      </c>
      <c r="AQ861">
        <f>$H$861*$W$861</f>
        <v>0</v>
      </c>
      <c r="AR861">
        <f>$H$861*$X$861</f>
        <v>0</v>
      </c>
      <c r="AS861">
        <f>$H$861*$Y$861</f>
        <v>0</v>
      </c>
      <c r="AT861">
        <f>$H$861*$Z$861</f>
        <v>0</v>
      </c>
      <c r="AU861">
        <f>$H$861*$AA$861</f>
        <v>0</v>
      </c>
      <c r="AV861">
        <f>$H$861*$AB$861</f>
        <v>0</v>
      </c>
      <c r="AW861">
        <f>$H$861*$AC$861</f>
        <v>0</v>
      </c>
      <c r="AX861">
        <f>$H$861*$AD$861</f>
        <v>104.51</v>
      </c>
      <c r="AY861">
        <f>$H$861*$AE$861</f>
        <v>104.51</v>
      </c>
      <c r="AZ861">
        <f>$H$861*$AF$861</f>
        <v>104.51</v>
      </c>
    </row>
    <row r="862" spans="1:52" x14ac:dyDescent="0.25">
      <c r="A862">
        <v>930</v>
      </c>
      <c r="B862" t="s">
        <v>283</v>
      </c>
      <c r="C862" t="s">
        <v>358</v>
      </c>
      <c r="D862">
        <v>12</v>
      </c>
      <c r="E862">
        <v>53.28</v>
      </c>
      <c r="F862" t="s">
        <v>329</v>
      </c>
      <c r="G862">
        <v>4.4400000000000004</v>
      </c>
      <c r="H862">
        <v>63.94</v>
      </c>
      <c r="I862" t="s">
        <v>330</v>
      </c>
      <c r="J862" t="s">
        <v>359</v>
      </c>
      <c r="K862" t="s">
        <v>615</v>
      </c>
      <c r="L862" t="s">
        <v>179</v>
      </c>
      <c r="M862" t="s">
        <v>283</v>
      </c>
      <c r="N862" t="s">
        <v>12</v>
      </c>
      <c r="O862" t="s">
        <v>4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1</v>
      </c>
      <c r="AB862">
        <v>1</v>
      </c>
      <c r="AC862">
        <v>1</v>
      </c>
      <c r="AD862">
        <v>1</v>
      </c>
      <c r="AE862">
        <v>1</v>
      </c>
      <c r="AF862">
        <v>1</v>
      </c>
      <c r="AG862" t="s">
        <v>283</v>
      </c>
      <c r="AH862" t="s">
        <v>12</v>
      </c>
      <c r="AI862" t="s">
        <v>4</v>
      </c>
      <c r="AJ862">
        <f>$H$862*$P$862</f>
        <v>0</v>
      </c>
      <c r="AK862">
        <f>$H$862*$Q$862</f>
        <v>0</v>
      </c>
      <c r="AL862">
        <f>$H$862*$R$862</f>
        <v>0</v>
      </c>
      <c r="AM862">
        <f>$H$862*$S$862</f>
        <v>0</v>
      </c>
      <c r="AN862">
        <f>$H$862*$T$862</f>
        <v>0</v>
      </c>
      <c r="AO862">
        <f>$H$862*$U$862</f>
        <v>0</v>
      </c>
      <c r="AP862">
        <f>$H$862*$V$862</f>
        <v>0</v>
      </c>
      <c r="AQ862">
        <f>$H$862*$W$862</f>
        <v>0</v>
      </c>
      <c r="AR862">
        <f>$H$862*$X$862</f>
        <v>0</v>
      </c>
      <c r="AS862">
        <f>$H$862*$Y$862</f>
        <v>0</v>
      </c>
      <c r="AT862">
        <f>$H$862*$Z$862</f>
        <v>0</v>
      </c>
      <c r="AU862">
        <f>$H$862*$AA$862</f>
        <v>63.94</v>
      </c>
      <c r="AV862">
        <f>$H$862*$AB$862</f>
        <v>63.94</v>
      </c>
      <c r="AW862">
        <f>$H$862*$AC$862</f>
        <v>63.94</v>
      </c>
      <c r="AX862">
        <f>$H$862*$AD$862</f>
        <v>63.94</v>
      </c>
      <c r="AY862">
        <f>$H$862*$AE$862</f>
        <v>63.94</v>
      </c>
      <c r="AZ862">
        <f>$H$862*$AF$862</f>
        <v>63.94</v>
      </c>
    </row>
    <row r="863" spans="1:52" x14ac:dyDescent="0.25">
      <c r="A863">
        <v>931</v>
      </c>
      <c r="B863" t="s">
        <v>283</v>
      </c>
      <c r="C863" t="s">
        <v>472</v>
      </c>
      <c r="D863">
        <v>6</v>
      </c>
      <c r="E863">
        <v>64.56</v>
      </c>
      <c r="F863" t="s">
        <v>329</v>
      </c>
      <c r="G863">
        <v>10.76</v>
      </c>
      <c r="H863">
        <v>77.48</v>
      </c>
      <c r="I863" t="s">
        <v>333</v>
      </c>
      <c r="J863" t="s">
        <v>473</v>
      </c>
      <c r="K863" t="s">
        <v>670</v>
      </c>
      <c r="L863" t="s">
        <v>179</v>
      </c>
      <c r="M863" t="s">
        <v>283</v>
      </c>
      <c r="N863" t="s">
        <v>12</v>
      </c>
      <c r="O863" t="s">
        <v>4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1</v>
      </c>
      <c r="AA863">
        <v>1</v>
      </c>
      <c r="AB863">
        <v>1</v>
      </c>
      <c r="AC863">
        <v>1</v>
      </c>
      <c r="AD863">
        <v>1</v>
      </c>
      <c r="AE863">
        <v>1</v>
      </c>
      <c r="AF863">
        <v>1</v>
      </c>
      <c r="AG863" t="s">
        <v>283</v>
      </c>
      <c r="AH863" t="s">
        <v>12</v>
      </c>
      <c r="AI863" t="s">
        <v>4</v>
      </c>
      <c r="AJ863">
        <f>$H$863*$P$863</f>
        <v>0</v>
      </c>
      <c r="AK863">
        <f>$H$863*$Q$863</f>
        <v>0</v>
      </c>
      <c r="AL863">
        <f>$H$863*$R$863</f>
        <v>0</v>
      </c>
      <c r="AM863">
        <f>$H$863*$S$863</f>
        <v>0</v>
      </c>
      <c r="AN863">
        <f>$H$863*$T$863</f>
        <v>0</v>
      </c>
      <c r="AO863">
        <f>$H$863*$U$863</f>
        <v>0</v>
      </c>
      <c r="AP863">
        <f>$H$863*$V$863</f>
        <v>0</v>
      </c>
      <c r="AQ863">
        <f>$H$863*$W$863</f>
        <v>0</v>
      </c>
      <c r="AR863">
        <f>$H$863*$X$863</f>
        <v>0</v>
      </c>
      <c r="AS863">
        <f>$H$863*$Y$863</f>
        <v>0</v>
      </c>
      <c r="AT863">
        <f>$H$863*$Z$863</f>
        <v>77.48</v>
      </c>
      <c r="AU863">
        <f>$H$863*$AA$863</f>
        <v>77.48</v>
      </c>
      <c r="AV863">
        <f>$H$863*$AB$863</f>
        <v>77.48</v>
      </c>
      <c r="AW863">
        <f>$H$863*$AC$863</f>
        <v>77.48</v>
      </c>
      <c r="AX863">
        <f>$H$863*$AD$863</f>
        <v>77.48</v>
      </c>
      <c r="AY863">
        <f>$H$863*$AE$863</f>
        <v>77.48</v>
      </c>
      <c r="AZ863">
        <f>$H$863*$AF$863</f>
        <v>77.48</v>
      </c>
    </row>
    <row r="864" spans="1:52" x14ac:dyDescent="0.25">
      <c r="A864">
        <v>932</v>
      </c>
      <c r="B864" t="s">
        <v>283</v>
      </c>
      <c r="C864" t="s">
        <v>360</v>
      </c>
      <c r="D864">
        <v>6</v>
      </c>
      <c r="E864">
        <v>69.3</v>
      </c>
      <c r="F864" t="s">
        <v>329</v>
      </c>
      <c r="G864">
        <v>11.55</v>
      </c>
      <c r="H864">
        <v>83.16</v>
      </c>
      <c r="I864" t="s">
        <v>333</v>
      </c>
      <c r="J864" t="s">
        <v>361</v>
      </c>
      <c r="K864" t="s">
        <v>616</v>
      </c>
      <c r="L864" t="s">
        <v>179</v>
      </c>
      <c r="M864" t="s">
        <v>283</v>
      </c>
      <c r="N864" t="s">
        <v>12</v>
      </c>
      <c r="O864" t="s">
        <v>4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1</v>
      </c>
      <c r="AB864">
        <v>1</v>
      </c>
      <c r="AC864">
        <v>1</v>
      </c>
      <c r="AD864">
        <v>1</v>
      </c>
      <c r="AE864">
        <v>1</v>
      </c>
      <c r="AF864">
        <v>1</v>
      </c>
      <c r="AG864" t="s">
        <v>283</v>
      </c>
      <c r="AH864" t="s">
        <v>12</v>
      </c>
      <c r="AI864" t="s">
        <v>4</v>
      </c>
      <c r="AJ864">
        <f>$H$864*$P$864</f>
        <v>0</v>
      </c>
      <c r="AK864">
        <f>$H$864*$Q$864</f>
        <v>0</v>
      </c>
      <c r="AL864">
        <f>$H$864*$R$864</f>
        <v>0</v>
      </c>
      <c r="AM864">
        <f>$H$864*$S$864</f>
        <v>0</v>
      </c>
      <c r="AN864">
        <f>$H$864*$T$864</f>
        <v>0</v>
      </c>
      <c r="AO864">
        <f>$H$864*$U$864</f>
        <v>0</v>
      </c>
      <c r="AP864">
        <f>$H$864*$V$864</f>
        <v>0</v>
      </c>
      <c r="AQ864">
        <f>$H$864*$W$864</f>
        <v>0</v>
      </c>
      <c r="AR864">
        <f>$H$864*$X$864</f>
        <v>0</v>
      </c>
      <c r="AS864">
        <f>$H$864*$Y$864</f>
        <v>0</v>
      </c>
      <c r="AT864">
        <f>$H$864*$Z$864</f>
        <v>0</v>
      </c>
      <c r="AU864">
        <f>$H$864*$AA$864</f>
        <v>83.16</v>
      </c>
      <c r="AV864">
        <f>$H$864*$AB$864</f>
        <v>83.16</v>
      </c>
      <c r="AW864">
        <f>$H$864*$AC$864</f>
        <v>83.16</v>
      </c>
      <c r="AX864">
        <f>$H$864*$AD$864</f>
        <v>83.16</v>
      </c>
      <c r="AY864">
        <f>$H$864*$AE$864</f>
        <v>83.16</v>
      </c>
      <c r="AZ864">
        <f>$H$864*$AF$864</f>
        <v>83.16</v>
      </c>
    </row>
    <row r="865" spans="1:52" x14ac:dyDescent="0.25">
      <c r="A865">
        <v>933</v>
      </c>
      <c r="B865" t="s">
        <v>283</v>
      </c>
      <c r="C865" t="s">
        <v>431</v>
      </c>
      <c r="D865">
        <v>6</v>
      </c>
      <c r="E865">
        <v>28.5</v>
      </c>
      <c r="F865" t="s">
        <v>329</v>
      </c>
      <c r="G865">
        <v>4.75</v>
      </c>
      <c r="H865">
        <v>34.200000000000003</v>
      </c>
      <c r="I865" t="s">
        <v>333</v>
      </c>
      <c r="J865" t="s">
        <v>432</v>
      </c>
      <c r="K865" t="s">
        <v>650</v>
      </c>
      <c r="L865" t="s">
        <v>179</v>
      </c>
      <c r="M865" t="s">
        <v>283</v>
      </c>
      <c r="N865" t="s">
        <v>12</v>
      </c>
      <c r="O865" t="s">
        <v>4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1</v>
      </c>
      <c r="AD865">
        <v>1</v>
      </c>
      <c r="AE865">
        <v>1</v>
      </c>
      <c r="AF865">
        <v>1</v>
      </c>
      <c r="AG865" t="s">
        <v>283</v>
      </c>
      <c r="AH865" t="s">
        <v>12</v>
      </c>
      <c r="AI865" t="s">
        <v>4</v>
      </c>
      <c r="AJ865">
        <f>$H$865*$P$865</f>
        <v>0</v>
      </c>
      <c r="AK865">
        <f>$H$865*$Q$865</f>
        <v>0</v>
      </c>
      <c r="AL865">
        <f>$H$865*$R$865</f>
        <v>0</v>
      </c>
      <c r="AM865">
        <f>$H$865*$S$865</f>
        <v>0</v>
      </c>
      <c r="AN865">
        <f>$H$865*$T$865</f>
        <v>0</v>
      </c>
      <c r="AO865">
        <f>$H$865*$U$865</f>
        <v>0</v>
      </c>
      <c r="AP865">
        <f>$H$865*$V$865</f>
        <v>0</v>
      </c>
      <c r="AQ865">
        <f>$H$865*$W$865</f>
        <v>0</v>
      </c>
      <c r="AR865">
        <f>$H$865*$X$865</f>
        <v>0</v>
      </c>
      <c r="AS865">
        <f>$H$865*$Y$865</f>
        <v>0</v>
      </c>
      <c r="AT865">
        <f>$H$865*$Z$865</f>
        <v>0</v>
      </c>
      <c r="AU865">
        <f>$H$865*$AA$865</f>
        <v>0</v>
      </c>
      <c r="AV865">
        <f>$H$865*$AB$865</f>
        <v>0</v>
      </c>
      <c r="AW865">
        <f>$H$865*$AC$865</f>
        <v>34.200000000000003</v>
      </c>
      <c r="AX865">
        <f>$H$865*$AD$865</f>
        <v>34.200000000000003</v>
      </c>
      <c r="AY865">
        <f>$H$865*$AE$865</f>
        <v>34.200000000000003</v>
      </c>
      <c r="AZ865">
        <f>$H$865*$AF$865</f>
        <v>34.200000000000003</v>
      </c>
    </row>
    <row r="866" spans="1:52" x14ac:dyDescent="0.25">
      <c r="A866">
        <v>934</v>
      </c>
      <c r="B866" t="s">
        <v>283</v>
      </c>
      <c r="C866" t="s">
        <v>435</v>
      </c>
      <c r="D866">
        <v>8</v>
      </c>
      <c r="E866">
        <v>106.16</v>
      </c>
      <c r="F866" t="s">
        <v>335</v>
      </c>
      <c r="G866">
        <v>13.27</v>
      </c>
      <c r="H866">
        <v>127.4</v>
      </c>
      <c r="I866" t="s">
        <v>337</v>
      </c>
      <c r="J866" t="s">
        <v>436</v>
      </c>
      <c r="K866" t="s">
        <v>652</v>
      </c>
      <c r="L866" t="s">
        <v>179</v>
      </c>
      <c r="M866" t="s">
        <v>283</v>
      </c>
      <c r="N866" t="s">
        <v>12</v>
      </c>
      <c r="O866" t="s">
        <v>4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1</v>
      </c>
      <c r="Y866">
        <v>1</v>
      </c>
      <c r="Z866">
        <v>1</v>
      </c>
      <c r="AA866">
        <v>1</v>
      </c>
      <c r="AB866">
        <v>1</v>
      </c>
      <c r="AC866">
        <v>1</v>
      </c>
      <c r="AD866">
        <v>1</v>
      </c>
      <c r="AE866">
        <v>1</v>
      </c>
      <c r="AF866">
        <v>1</v>
      </c>
      <c r="AG866" t="s">
        <v>283</v>
      </c>
      <c r="AH866" t="s">
        <v>12</v>
      </c>
      <c r="AI866" t="s">
        <v>4</v>
      </c>
      <c r="AJ866">
        <f>$H$866*$P$866</f>
        <v>0</v>
      </c>
      <c r="AK866">
        <f>$H$866*$Q$866</f>
        <v>0</v>
      </c>
      <c r="AL866">
        <f>$H$866*$R$866</f>
        <v>0</v>
      </c>
      <c r="AM866">
        <f>$H$866*$S$866</f>
        <v>0</v>
      </c>
      <c r="AN866">
        <f>$H$866*$T$866</f>
        <v>0</v>
      </c>
      <c r="AO866">
        <f>$H$866*$U$866</f>
        <v>0</v>
      </c>
      <c r="AP866">
        <f>$H$866*$V$866</f>
        <v>0</v>
      </c>
      <c r="AQ866">
        <f>$H$866*$W$866</f>
        <v>0</v>
      </c>
      <c r="AR866">
        <f>$H$866*$X$866</f>
        <v>127.4</v>
      </c>
      <c r="AS866">
        <f>$H$866*$Y$866</f>
        <v>127.4</v>
      </c>
      <c r="AT866">
        <f>$H$866*$Z$866</f>
        <v>127.4</v>
      </c>
      <c r="AU866">
        <f>$H$866*$AA$866</f>
        <v>127.4</v>
      </c>
      <c r="AV866">
        <f>$H$866*$AB$866</f>
        <v>127.4</v>
      </c>
      <c r="AW866">
        <f>$H$866*$AC$866</f>
        <v>127.4</v>
      </c>
      <c r="AX866">
        <f>$H$866*$AD$866</f>
        <v>127.4</v>
      </c>
      <c r="AY866">
        <f>$H$866*$AE$866</f>
        <v>127.4</v>
      </c>
      <c r="AZ866">
        <f>$H$866*$AF$866</f>
        <v>127.4</v>
      </c>
    </row>
    <row r="867" spans="1:52" x14ac:dyDescent="0.25">
      <c r="A867">
        <v>935</v>
      </c>
      <c r="B867" t="s">
        <v>283</v>
      </c>
      <c r="C867" t="s">
        <v>437</v>
      </c>
      <c r="D867">
        <v>1</v>
      </c>
      <c r="E867">
        <v>98.82</v>
      </c>
      <c r="F867" t="s">
        <v>335</v>
      </c>
      <c r="G867">
        <v>98.82</v>
      </c>
      <c r="H867">
        <v>118.58</v>
      </c>
      <c r="I867" t="s">
        <v>340</v>
      </c>
      <c r="J867" t="s">
        <v>372</v>
      </c>
      <c r="K867" t="s">
        <v>653</v>
      </c>
      <c r="L867" t="s">
        <v>179</v>
      </c>
      <c r="M867" t="s">
        <v>283</v>
      </c>
      <c r="N867" t="s">
        <v>12</v>
      </c>
      <c r="O867" t="s">
        <v>4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1</v>
      </c>
      <c r="AE867">
        <v>1</v>
      </c>
      <c r="AF867">
        <v>1</v>
      </c>
      <c r="AG867" t="s">
        <v>283</v>
      </c>
      <c r="AH867" t="s">
        <v>12</v>
      </c>
      <c r="AI867" t="s">
        <v>4</v>
      </c>
      <c r="AJ867">
        <f>$H$867*$P$867</f>
        <v>0</v>
      </c>
      <c r="AK867">
        <f>$H$867*$Q$867</f>
        <v>0</v>
      </c>
      <c r="AL867">
        <f>$H$867*$R$867</f>
        <v>0</v>
      </c>
      <c r="AM867">
        <f>$H$867*$S$867</f>
        <v>0</v>
      </c>
      <c r="AN867">
        <f>$H$867*$T$867</f>
        <v>0</v>
      </c>
      <c r="AO867">
        <f>$H$867*$U$867</f>
        <v>0</v>
      </c>
      <c r="AP867">
        <f>$H$867*$V$867</f>
        <v>0</v>
      </c>
      <c r="AQ867">
        <f>$H$867*$W$867</f>
        <v>0</v>
      </c>
      <c r="AR867">
        <f>$H$867*$X$867</f>
        <v>0</v>
      </c>
      <c r="AS867">
        <f>$H$867*$Y$867</f>
        <v>0</v>
      </c>
      <c r="AT867">
        <f>$H$867*$Z$867</f>
        <v>0</v>
      </c>
      <c r="AU867">
        <f>$H$867*$AA$867</f>
        <v>0</v>
      </c>
      <c r="AV867">
        <f>$H$867*$AB$867</f>
        <v>0</v>
      </c>
      <c r="AW867">
        <f>$H$867*$AC$867</f>
        <v>0</v>
      </c>
      <c r="AX867">
        <f>$H$867*$AD$867</f>
        <v>118.58</v>
      </c>
      <c r="AY867">
        <f>$H$867*$AE$867</f>
        <v>118.58</v>
      </c>
      <c r="AZ867">
        <f>$H$867*$AF$867</f>
        <v>118.58</v>
      </c>
    </row>
    <row r="868" spans="1:52" x14ac:dyDescent="0.25">
      <c r="A868">
        <v>936</v>
      </c>
      <c r="B868" t="s">
        <v>283</v>
      </c>
      <c r="C868" t="s">
        <v>367</v>
      </c>
      <c r="D868">
        <v>1</v>
      </c>
      <c r="E868">
        <v>62.41</v>
      </c>
      <c r="F868" t="s">
        <v>335</v>
      </c>
      <c r="G868">
        <v>62.41</v>
      </c>
      <c r="H868">
        <v>74.89</v>
      </c>
      <c r="I868" t="s">
        <v>368</v>
      </c>
      <c r="J868" t="s">
        <v>369</v>
      </c>
      <c r="K868" t="s">
        <v>619</v>
      </c>
      <c r="L868" t="s">
        <v>179</v>
      </c>
      <c r="M868" t="s">
        <v>283</v>
      </c>
      <c r="N868" t="s">
        <v>12</v>
      </c>
      <c r="O868" t="s">
        <v>4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1</v>
      </c>
      <c r="AB868">
        <v>1</v>
      </c>
      <c r="AC868">
        <v>1</v>
      </c>
      <c r="AD868">
        <v>1</v>
      </c>
      <c r="AE868">
        <v>1</v>
      </c>
      <c r="AF868">
        <v>1</v>
      </c>
      <c r="AG868" t="s">
        <v>283</v>
      </c>
      <c r="AH868" t="s">
        <v>12</v>
      </c>
      <c r="AI868" t="s">
        <v>4</v>
      </c>
      <c r="AJ868">
        <f>$H$868*$P$868</f>
        <v>0</v>
      </c>
      <c r="AK868">
        <f>$H$868*$Q$868</f>
        <v>0</v>
      </c>
      <c r="AL868">
        <f>$H$868*$R$868</f>
        <v>0</v>
      </c>
      <c r="AM868">
        <f>$H$868*$S$868</f>
        <v>0</v>
      </c>
      <c r="AN868">
        <f>$H$868*$T$868</f>
        <v>0</v>
      </c>
      <c r="AO868">
        <f>$H$868*$U$868</f>
        <v>0</v>
      </c>
      <c r="AP868">
        <f>$H$868*$V$868</f>
        <v>0</v>
      </c>
      <c r="AQ868">
        <f>$H$868*$W$868</f>
        <v>0</v>
      </c>
      <c r="AR868">
        <f>$H$868*$X$868</f>
        <v>0</v>
      </c>
      <c r="AS868">
        <f>$H$868*$Y$868</f>
        <v>0</v>
      </c>
      <c r="AT868">
        <f>$H$868*$Z$868</f>
        <v>0</v>
      </c>
      <c r="AU868">
        <f>$H$868*$AA$868</f>
        <v>74.89</v>
      </c>
      <c r="AV868">
        <f>$H$868*$AB$868</f>
        <v>74.89</v>
      </c>
      <c r="AW868">
        <f>$H$868*$AC$868</f>
        <v>74.89</v>
      </c>
      <c r="AX868">
        <f>$H$868*$AD$868</f>
        <v>74.89</v>
      </c>
      <c r="AY868">
        <f>$H$868*$AE$868</f>
        <v>74.89</v>
      </c>
      <c r="AZ868">
        <f>$H$868*$AF$868</f>
        <v>74.89</v>
      </c>
    </row>
    <row r="869" spans="1:52" x14ac:dyDescent="0.25">
      <c r="A869">
        <v>937</v>
      </c>
      <c r="B869" t="s">
        <v>283</v>
      </c>
      <c r="C869" t="s">
        <v>531</v>
      </c>
      <c r="D869">
        <v>2</v>
      </c>
      <c r="E869">
        <v>110.04</v>
      </c>
      <c r="F869" t="s">
        <v>335</v>
      </c>
      <c r="G869">
        <v>55.02</v>
      </c>
      <c r="H869">
        <v>132.04</v>
      </c>
      <c r="I869" t="s">
        <v>330</v>
      </c>
      <c r="J869" t="s">
        <v>532</v>
      </c>
      <c r="K869" t="s">
        <v>698</v>
      </c>
      <c r="L869" t="s">
        <v>179</v>
      </c>
      <c r="M869" t="s">
        <v>283</v>
      </c>
      <c r="N869" t="s">
        <v>12</v>
      </c>
      <c r="O869" t="s">
        <v>4</v>
      </c>
      <c r="P869">
        <v>0</v>
      </c>
      <c r="Q869">
        <v>0</v>
      </c>
      <c r="R869">
        <v>0</v>
      </c>
      <c r="S869">
        <v>1</v>
      </c>
      <c r="T869">
        <v>1</v>
      </c>
      <c r="U869">
        <v>1</v>
      </c>
      <c r="V869">
        <v>1</v>
      </c>
      <c r="W869">
        <v>1</v>
      </c>
      <c r="X869">
        <v>1</v>
      </c>
      <c r="Y869">
        <v>1</v>
      </c>
      <c r="Z869">
        <v>1</v>
      </c>
      <c r="AA869">
        <v>1</v>
      </c>
      <c r="AB869">
        <v>1</v>
      </c>
      <c r="AC869">
        <v>1</v>
      </c>
      <c r="AD869">
        <v>1</v>
      </c>
      <c r="AE869">
        <v>1</v>
      </c>
      <c r="AF869">
        <v>1</v>
      </c>
      <c r="AG869" t="s">
        <v>283</v>
      </c>
      <c r="AH869" t="s">
        <v>12</v>
      </c>
      <c r="AI869" t="s">
        <v>4</v>
      </c>
      <c r="AJ869">
        <f>$H$869*$P$869</f>
        <v>0</v>
      </c>
      <c r="AK869">
        <f>$H$869*$Q$869</f>
        <v>0</v>
      </c>
      <c r="AL869">
        <f>$H$869*$R$869</f>
        <v>0</v>
      </c>
      <c r="AM869">
        <f>$H$869*$S$869</f>
        <v>132.04</v>
      </c>
      <c r="AN869">
        <f>$H$869*$T$869</f>
        <v>132.04</v>
      </c>
      <c r="AO869">
        <f>$H$869*$U$869</f>
        <v>132.04</v>
      </c>
      <c r="AP869">
        <f>$H$869*$V$869</f>
        <v>132.04</v>
      </c>
      <c r="AQ869">
        <f>$H$869*$W$869</f>
        <v>132.04</v>
      </c>
      <c r="AR869">
        <f>$H$869*$X$869</f>
        <v>132.04</v>
      </c>
      <c r="AS869">
        <f>$H$869*$Y$869</f>
        <v>132.04</v>
      </c>
      <c r="AT869">
        <f>$H$869*$Z$869</f>
        <v>132.04</v>
      </c>
      <c r="AU869">
        <f>$H$869*$AA$869</f>
        <v>132.04</v>
      </c>
      <c r="AV869">
        <f>$H$869*$AB$869</f>
        <v>132.04</v>
      </c>
      <c r="AW869">
        <f>$H$869*$AC$869</f>
        <v>132.04</v>
      </c>
      <c r="AX869">
        <f>$H$869*$AD$869</f>
        <v>132.04</v>
      </c>
      <c r="AY869">
        <f>$H$869*$AE$869</f>
        <v>132.04</v>
      </c>
      <c r="AZ869">
        <f>$H$869*$AF$869</f>
        <v>132.04</v>
      </c>
    </row>
    <row r="870" spans="1:52" x14ac:dyDescent="0.25">
      <c r="A870">
        <v>938</v>
      </c>
      <c r="B870" t="s">
        <v>283</v>
      </c>
      <c r="C870" t="s">
        <v>533</v>
      </c>
      <c r="D870">
        <v>1</v>
      </c>
      <c r="E870">
        <v>434.33</v>
      </c>
      <c r="F870" t="s">
        <v>335</v>
      </c>
      <c r="G870">
        <v>434.33</v>
      </c>
      <c r="H870">
        <v>521.19000000000005</v>
      </c>
      <c r="I870" t="s">
        <v>371</v>
      </c>
      <c r="J870" t="s">
        <v>534</v>
      </c>
      <c r="K870" t="s">
        <v>699</v>
      </c>
      <c r="L870" t="s">
        <v>179</v>
      </c>
      <c r="M870" t="s">
        <v>283</v>
      </c>
      <c r="N870" t="s">
        <v>12</v>
      </c>
      <c r="O870" t="s">
        <v>4</v>
      </c>
      <c r="P870">
        <v>0</v>
      </c>
      <c r="Q870">
        <v>0</v>
      </c>
      <c r="R870">
        <v>0</v>
      </c>
      <c r="S870">
        <v>0</v>
      </c>
      <c r="T870">
        <v>1</v>
      </c>
      <c r="U870">
        <v>1</v>
      </c>
      <c r="V870">
        <v>1</v>
      </c>
      <c r="W870">
        <v>1</v>
      </c>
      <c r="X870">
        <v>1</v>
      </c>
      <c r="Y870">
        <v>1</v>
      </c>
      <c r="Z870">
        <v>1</v>
      </c>
      <c r="AA870">
        <v>1</v>
      </c>
      <c r="AB870">
        <v>1</v>
      </c>
      <c r="AC870">
        <v>1</v>
      </c>
      <c r="AD870">
        <v>1</v>
      </c>
      <c r="AE870">
        <v>1</v>
      </c>
      <c r="AF870">
        <v>1</v>
      </c>
      <c r="AG870" t="s">
        <v>283</v>
      </c>
      <c r="AH870" t="s">
        <v>12</v>
      </c>
      <c r="AI870" t="s">
        <v>4</v>
      </c>
      <c r="AJ870">
        <f>$H$870*$P$870</f>
        <v>0</v>
      </c>
      <c r="AK870">
        <f>$H$870*$Q$870</f>
        <v>0</v>
      </c>
      <c r="AL870">
        <f>$H$870*$R$870</f>
        <v>0</v>
      </c>
      <c r="AM870">
        <f>$H$870*$S$870</f>
        <v>0</v>
      </c>
      <c r="AN870">
        <f>$H$870*$T$870</f>
        <v>521.19000000000005</v>
      </c>
      <c r="AO870">
        <f>$H$870*$U$870</f>
        <v>521.19000000000005</v>
      </c>
      <c r="AP870">
        <f>$H$870*$V$870</f>
        <v>521.19000000000005</v>
      </c>
      <c r="AQ870">
        <f>$H$870*$W$870</f>
        <v>521.19000000000005</v>
      </c>
      <c r="AR870">
        <f>$H$870*$X$870</f>
        <v>521.19000000000005</v>
      </c>
      <c r="AS870">
        <f>$H$870*$Y$870</f>
        <v>521.19000000000005</v>
      </c>
      <c r="AT870">
        <f>$H$870*$Z$870</f>
        <v>521.19000000000005</v>
      </c>
      <c r="AU870">
        <f>$H$870*$AA$870</f>
        <v>521.19000000000005</v>
      </c>
      <c r="AV870">
        <f>$H$870*$AB$870</f>
        <v>521.19000000000005</v>
      </c>
      <c r="AW870">
        <f>$H$870*$AC$870</f>
        <v>521.19000000000005</v>
      </c>
      <c r="AX870">
        <f>$H$870*$AD$870</f>
        <v>521.19000000000005</v>
      </c>
      <c r="AY870">
        <f>$H$870*$AE$870</f>
        <v>521.19000000000005</v>
      </c>
      <c r="AZ870">
        <f>$H$870*$AF$870</f>
        <v>521.19000000000005</v>
      </c>
    </row>
    <row r="871" spans="1:52" x14ac:dyDescent="0.25">
      <c r="A871">
        <v>939</v>
      </c>
      <c r="B871" t="s">
        <v>283</v>
      </c>
      <c r="C871" t="s">
        <v>375</v>
      </c>
      <c r="D871">
        <v>2</v>
      </c>
      <c r="E871">
        <v>77.86</v>
      </c>
      <c r="F871" t="s">
        <v>335</v>
      </c>
      <c r="G871">
        <v>38.93</v>
      </c>
      <c r="H871">
        <v>93.44</v>
      </c>
      <c r="I871" t="s">
        <v>330</v>
      </c>
      <c r="J871" t="s">
        <v>371</v>
      </c>
      <c r="K871" t="s">
        <v>622</v>
      </c>
      <c r="L871" t="s">
        <v>179</v>
      </c>
      <c r="M871" t="s">
        <v>283</v>
      </c>
      <c r="N871" t="s">
        <v>12</v>
      </c>
      <c r="O871" t="s">
        <v>4</v>
      </c>
      <c r="P871">
        <v>0</v>
      </c>
      <c r="Q871">
        <v>0</v>
      </c>
      <c r="R871">
        <v>0</v>
      </c>
      <c r="S871">
        <v>1</v>
      </c>
      <c r="T871">
        <v>1</v>
      </c>
      <c r="U871">
        <v>1</v>
      </c>
      <c r="V871">
        <v>1</v>
      </c>
      <c r="W871">
        <v>1</v>
      </c>
      <c r="X871">
        <v>1</v>
      </c>
      <c r="Y871">
        <v>1</v>
      </c>
      <c r="Z871">
        <v>1</v>
      </c>
      <c r="AA871">
        <v>1</v>
      </c>
      <c r="AB871">
        <v>1</v>
      </c>
      <c r="AC871">
        <v>1</v>
      </c>
      <c r="AD871">
        <v>1</v>
      </c>
      <c r="AE871">
        <v>1</v>
      </c>
      <c r="AF871">
        <v>1</v>
      </c>
      <c r="AG871" t="s">
        <v>283</v>
      </c>
      <c r="AH871" t="s">
        <v>12</v>
      </c>
      <c r="AI871" t="s">
        <v>4</v>
      </c>
      <c r="AJ871">
        <f>$H$871*$P$871</f>
        <v>0</v>
      </c>
      <c r="AK871">
        <f>$H$871*$Q$871</f>
        <v>0</v>
      </c>
      <c r="AL871">
        <f>$H$871*$R$871</f>
        <v>0</v>
      </c>
      <c r="AM871">
        <f>$H$871*$S$871</f>
        <v>93.44</v>
      </c>
      <c r="AN871">
        <f>$H$871*$T$871</f>
        <v>93.44</v>
      </c>
      <c r="AO871">
        <f>$H$871*$U$871</f>
        <v>93.44</v>
      </c>
      <c r="AP871">
        <f>$H$871*$V$871</f>
        <v>93.44</v>
      </c>
      <c r="AQ871">
        <f>$H$871*$W$871</f>
        <v>93.44</v>
      </c>
      <c r="AR871">
        <f>$H$871*$X$871</f>
        <v>93.44</v>
      </c>
      <c r="AS871">
        <f>$H$871*$Y$871</f>
        <v>93.44</v>
      </c>
      <c r="AT871">
        <f>$H$871*$Z$871</f>
        <v>93.44</v>
      </c>
      <c r="AU871">
        <f>$H$871*$AA$871</f>
        <v>93.44</v>
      </c>
      <c r="AV871">
        <f>$H$871*$AB$871</f>
        <v>93.44</v>
      </c>
      <c r="AW871">
        <f>$H$871*$AC$871</f>
        <v>93.44</v>
      </c>
      <c r="AX871">
        <f>$H$871*$AD$871</f>
        <v>93.44</v>
      </c>
      <c r="AY871">
        <f>$H$871*$AE$871</f>
        <v>93.44</v>
      </c>
      <c r="AZ871">
        <f>$H$871*$AF$871</f>
        <v>93.44</v>
      </c>
    </row>
    <row r="872" spans="1:52" x14ac:dyDescent="0.25">
      <c r="A872">
        <v>940</v>
      </c>
      <c r="B872" t="s">
        <v>283</v>
      </c>
      <c r="C872" t="s">
        <v>373</v>
      </c>
      <c r="D872">
        <v>2</v>
      </c>
      <c r="E872">
        <v>62.72</v>
      </c>
      <c r="F872" t="s">
        <v>335</v>
      </c>
      <c r="G872">
        <v>31.36</v>
      </c>
      <c r="H872">
        <v>75.260000000000005</v>
      </c>
      <c r="I872" t="s">
        <v>330</v>
      </c>
      <c r="J872" t="s">
        <v>374</v>
      </c>
      <c r="K872" t="s">
        <v>621</v>
      </c>
      <c r="L872" t="s">
        <v>179</v>
      </c>
      <c r="M872" t="s">
        <v>283</v>
      </c>
      <c r="N872" t="s">
        <v>12</v>
      </c>
      <c r="O872" t="s">
        <v>4</v>
      </c>
      <c r="P872">
        <v>0</v>
      </c>
      <c r="Q872">
        <v>0</v>
      </c>
      <c r="R872">
        <v>0</v>
      </c>
      <c r="S872">
        <v>1</v>
      </c>
      <c r="T872">
        <v>1</v>
      </c>
      <c r="U872">
        <v>1</v>
      </c>
      <c r="V872">
        <v>1</v>
      </c>
      <c r="W872">
        <v>1</v>
      </c>
      <c r="X872">
        <v>1</v>
      </c>
      <c r="Y872">
        <v>1</v>
      </c>
      <c r="Z872">
        <v>1</v>
      </c>
      <c r="AA872">
        <v>1</v>
      </c>
      <c r="AB872">
        <v>1</v>
      </c>
      <c r="AC872">
        <v>1</v>
      </c>
      <c r="AD872">
        <v>1</v>
      </c>
      <c r="AE872">
        <v>1</v>
      </c>
      <c r="AF872">
        <v>1</v>
      </c>
      <c r="AG872" t="s">
        <v>283</v>
      </c>
      <c r="AH872" t="s">
        <v>12</v>
      </c>
      <c r="AI872" t="s">
        <v>4</v>
      </c>
      <c r="AJ872">
        <f>$H$872*$P$872</f>
        <v>0</v>
      </c>
      <c r="AK872">
        <f>$H$872*$Q$872</f>
        <v>0</v>
      </c>
      <c r="AL872">
        <f>$H$872*$R$872</f>
        <v>0</v>
      </c>
      <c r="AM872">
        <f>$H$872*$S$872</f>
        <v>75.260000000000005</v>
      </c>
      <c r="AN872">
        <f>$H$872*$T$872</f>
        <v>75.260000000000005</v>
      </c>
      <c r="AO872">
        <f>$H$872*$U$872</f>
        <v>75.260000000000005</v>
      </c>
      <c r="AP872">
        <f>$H$872*$V$872</f>
        <v>75.260000000000005</v>
      </c>
      <c r="AQ872">
        <f>$H$872*$W$872</f>
        <v>75.260000000000005</v>
      </c>
      <c r="AR872">
        <f>$H$872*$X$872</f>
        <v>75.260000000000005</v>
      </c>
      <c r="AS872">
        <f>$H$872*$Y$872</f>
        <v>75.260000000000005</v>
      </c>
      <c r="AT872">
        <f>$H$872*$Z$872</f>
        <v>75.260000000000005</v>
      </c>
      <c r="AU872">
        <f>$H$872*$AA$872</f>
        <v>75.260000000000005</v>
      </c>
      <c r="AV872">
        <f>$H$872*$AB$872</f>
        <v>75.260000000000005</v>
      </c>
      <c r="AW872">
        <f>$H$872*$AC$872</f>
        <v>75.260000000000005</v>
      </c>
      <c r="AX872">
        <f>$H$872*$AD$872</f>
        <v>75.260000000000005</v>
      </c>
      <c r="AY872">
        <f>$H$872*$AE$872</f>
        <v>75.260000000000005</v>
      </c>
      <c r="AZ872">
        <f>$H$872*$AF$872</f>
        <v>75.260000000000005</v>
      </c>
    </row>
    <row r="873" spans="1:52" x14ac:dyDescent="0.25">
      <c r="A873">
        <v>941</v>
      </c>
      <c r="B873" t="s">
        <v>283</v>
      </c>
      <c r="C873" t="s">
        <v>370</v>
      </c>
      <c r="D873">
        <v>1</v>
      </c>
      <c r="E873">
        <v>366.18</v>
      </c>
      <c r="F873" t="s">
        <v>335</v>
      </c>
      <c r="G873">
        <v>366.18</v>
      </c>
      <c r="H873">
        <v>439.42</v>
      </c>
      <c r="I873" t="s">
        <v>371</v>
      </c>
      <c r="J873" t="s">
        <v>372</v>
      </c>
      <c r="K873" t="s">
        <v>620</v>
      </c>
      <c r="L873" t="s">
        <v>179</v>
      </c>
      <c r="M873" t="s">
        <v>283</v>
      </c>
      <c r="N873" t="s">
        <v>12</v>
      </c>
      <c r="O873" t="s">
        <v>4</v>
      </c>
      <c r="P873">
        <v>0</v>
      </c>
      <c r="Q873">
        <v>0</v>
      </c>
      <c r="R873">
        <v>0</v>
      </c>
      <c r="S873">
        <v>0</v>
      </c>
      <c r="T873">
        <v>1</v>
      </c>
      <c r="U873">
        <v>1</v>
      </c>
      <c r="V873">
        <v>1</v>
      </c>
      <c r="W873">
        <v>1</v>
      </c>
      <c r="X873">
        <v>1</v>
      </c>
      <c r="Y873">
        <v>1</v>
      </c>
      <c r="Z873">
        <v>1</v>
      </c>
      <c r="AA873">
        <v>1</v>
      </c>
      <c r="AB873">
        <v>1</v>
      </c>
      <c r="AC873">
        <v>1</v>
      </c>
      <c r="AD873">
        <v>1</v>
      </c>
      <c r="AE873">
        <v>1</v>
      </c>
      <c r="AF873">
        <v>1</v>
      </c>
      <c r="AG873" t="s">
        <v>283</v>
      </c>
      <c r="AH873" t="s">
        <v>12</v>
      </c>
      <c r="AI873" t="s">
        <v>4</v>
      </c>
      <c r="AJ873">
        <f>$H$873*$P$873</f>
        <v>0</v>
      </c>
      <c r="AK873">
        <f>$H$873*$Q$873</f>
        <v>0</v>
      </c>
      <c r="AL873">
        <f>$H$873*$R$873</f>
        <v>0</v>
      </c>
      <c r="AM873">
        <f>$H$873*$S$873</f>
        <v>0</v>
      </c>
      <c r="AN873">
        <f>$H$873*$T$873</f>
        <v>439.42</v>
      </c>
      <c r="AO873">
        <f>$H$873*$U$873</f>
        <v>439.42</v>
      </c>
      <c r="AP873">
        <f>$H$873*$V$873</f>
        <v>439.42</v>
      </c>
      <c r="AQ873">
        <f>$H$873*$W$873</f>
        <v>439.42</v>
      </c>
      <c r="AR873">
        <f>$H$873*$X$873</f>
        <v>439.42</v>
      </c>
      <c r="AS873">
        <f>$H$873*$Y$873</f>
        <v>439.42</v>
      </c>
      <c r="AT873">
        <f>$H$873*$Z$873</f>
        <v>439.42</v>
      </c>
      <c r="AU873">
        <f>$H$873*$AA$873</f>
        <v>439.42</v>
      </c>
      <c r="AV873">
        <f>$H$873*$AB$873</f>
        <v>439.42</v>
      </c>
      <c r="AW873">
        <f>$H$873*$AC$873</f>
        <v>439.42</v>
      </c>
      <c r="AX873">
        <f>$H$873*$AD$873</f>
        <v>439.42</v>
      </c>
      <c r="AY873">
        <f>$H$873*$AE$873</f>
        <v>439.42</v>
      </c>
      <c r="AZ873">
        <f>$H$873*$AF$873</f>
        <v>439.42</v>
      </c>
    </row>
    <row r="874" spans="1:52" x14ac:dyDescent="0.25">
      <c r="A874">
        <v>942</v>
      </c>
      <c r="B874" t="s">
        <v>283</v>
      </c>
      <c r="C874" t="s">
        <v>438</v>
      </c>
      <c r="D874">
        <v>23.6</v>
      </c>
      <c r="E874">
        <v>61.83</v>
      </c>
      <c r="F874" t="s">
        <v>329</v>
      </c>
      <c r="G874">
        <v>2.62</v>
      </c>
      <c r="H874">
        <v>74.19</v>
      </c>
      <c r="I874" t="s">
        <v>439</v>
      </c>
      <c r="J874" t="s">
        <v>440</v>
      </c>
      <c r="K874" t="s">
        <v>654</v>
      </c>
      <c r="L874" t="s">
        <v>179</v>
      </c>
      <c r="M874" t="s">
        <v>283</v>
      </c>
      <c r="N874" t="s">
        <v>12</v>
      </c>
      <c r="O874" t="s">
        <v>4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1</v>
      </c>
      <c r="AB874">
        <v>1</v>
      </c>
      <c r="AC874">
        <v>1</v>
      </c>
      <c r="AD874">
        <v>1</v>
      </c>
      <c r="AE874">
        <v>1</v>
      </c>
      <c r="AF874">
        <v>1</v>
      </c>
      <c r="AG874" t="s">
        <v>283</v>
      </c>
      <c r="AH874" t="s">
        <v>12</v>
      </c>
      <c r="AI874" t="s">
        <v>4</v>
      </c>
      <c r="AJ874">
        <f>$H$874*$P$874</f>
        <v>0</v>
      </c>
      <c r="AK874">
        <f>$H$874*$Q$874</f>
        <v>0</v>
      </c>
      <c r="AL874">
        <f>$H$874*$R$874</f>
        <v>0</v>
      </c>
      <c r="AM874">
        <f>$H$874*$S$874</f>
        <v>0</v>
      </c>
      <c r="AN874">
        <f>$H$874*$T$874</f>
        <v>0</v>
      </c>
      <c r="AO874">
        <f>$H$874*$U$874</f>
        <v>0</v>
      </c>
      <c r="AP874">
        <f>$H$874*$V$874</f>
        <v>0</v>
      </c>
      <c r="AQ874">
        <f>$H$874*$W$874</f>
        <v>0</v>
      </c>
      <c r="AR874">
        <f>$H$874*$X$874</f>
        <v>0</v>
      </c>
      <c r="AS874">
        <f>$H$874*$Y$874</f>
        <v>0</v>
      </c>
      <c r="AT874">
        <f>$H$874*$Z$874</f>
        <v>0</v>
      </c>
      <c r="AU874">
        <f>$H$874*$AA$874</f>
        <v>74.19</v>
      </c>
      <c r="AV874">
        <f>$H$874*$AB$874</f>
        <v>74.19</v>
      </c>
      <c r="AW874">
        <f>$H$874*$AC$874</f>
        <v>74.19</v>
      </c>
      <c r="AX874">
        <f>$H$874*$AD$874</f>
        <v>74.19</v>
      </c>
      <c r="AY874">
        <f>$H$874*$AE$874</f>
        <v>74.19</v>
      </c>
      <c r="AZ874">
        <f>$H$874*$AF$874</f>
        <v>74.19</v>
      </c>
    </row>
    <row r="875" spans="1:52" x14ac:dyDescent="0.25">
      <c r="A875">
        <v>943</v>
      </c>
      <c r="B875" t="s">
        <v>283</v>
      </c>
      <c r="C875" t="s">
        <v>441</v>
      </c>
      <c r="D875">
        <v>212.4</v>
      </c>
      <c r="E875">
        <v>458.78</v>
      </c>
      <c r="F875" t="s">
        <v>349</v>
      </c>
      <c r="G875">
        <v>2.16</v>
      </c>
      <c r="H875">
        <v>550.54</v>
      </c>
      <c r="I875" t="s">
        <v>439</v>
      </c>
      <c r="J875" t="s">
        <v>442</v>
      </c>
      <c r="K875" t="s">
        <v>655</v>
      </c>
      <c r="L875" t="s">
        <v>179</v>
      </c>
      <c r="M875" t="s">
        <v>283</v>
      </c>
      <c r="N875" t="s">
        <v>12</v>
      </c>
      <c r="O875" t="s">
        <v>4</v>
      </c>
      <c r="P875">
        <v>0</v>
      </c>
      <c r="Q875">
        <v>0</v>
      </c>
      <c r="R875">
        <v>0</v>
      </c>
      <c r="S875">
        <v>1</v>
      </c>
      <c r="T875">
        <v>1</v>
      </c>
      <c r="U875">
        <v>1</v>
      </c>
      <c r="V875">
        <v>1</v>
      </c>
      <c r="W875">
        <v>1</v>
      </c>
      <c r="X875">
        <v>1</v>
      </c>
      <c r="Y875">
        <v>1</v>
      </c>
      <c r="Z875">
        <v>1</v>
      </c>
      <c r="AA875">
        <v>1</v>
      </c>
      <c r="AB875">
        <v>1</v>
      </c>
      <c r="AC875">
        <v>1</v>
      </c>
      <c r="AD875">
        <v>1</v>
      </c>
      <c r="AE875">
        <v>1</v>
      </c>
      <c r="AF875">
        <v>1</v>
      </c>
      <c r="AG875" t="s">
        <v>283</v>
      </c>
      <c r="AH875" t="s">
        <v>12</v>
      </c>
      <c r="AI875" t="s">
        <v>4</v>
      </c>
      <c r="AJ875">
        <f>$H$875*$P$875</f>
        <v>0</v>
      </c>
      <c r="AK875">
        <f>$H$875*$Q$875</f>
        <v>0</v>
      </c>
      <c r="AL875">
        <f>$H$875*$R$875</f>
        <v>0</v>
      </c>
      <c r="AM875">
        <f>$H$875*$S$875</f>
        <v>550.54</v>
      </c>
      <c r="AN875">
        <f>$H$875*$T$875</f>
        <v>550.54</v>
      </c>
      <c r="AO875">
        <f>$H$875*$U$875</f>
        <v>550.54</v>
      </c>
      <c r="AP875">
        <f>$H$875*$V$875</f>
        <v>550.54</v>
      </c>
      <c r="AQ875">
        <f>$H$875*$W$875</f>
        <v>550.54</v>
      </c>
      <c r="AR875">
        <f>$H$875*$X$875</f>
        <v>550.54</v>
      </c>
      <c r="AS875">
        <f>$H$875*$Y$875</f>
        <v>550.54</v>
      </c>
      <c r="AT875">
        <f>$H$875*$Z$875</f>
        <v>550.54</v>
      </c>
      <c r="AU875">
        <f>$H$875*$AA$875</f>
        <v>550.54</v>
      </c>
      <c r="AV875">
        <f>$H$875*$AB$875</f>
        <v>550.54</v>
      </c>
      <c r="AW875">
        <f>$H$875*$AC$875</f>
        <v>550.54</v>
      </c>
      <c r="AX875">
        <f>$H$875*$AD$875</f>
        <v>550.54</v>
      </c>
      <c r="AY875">
        <f>$H$875*$AE$875</f>
        <v>550.54</v>
      </c>
      <c r="AZ875">
        <f>$H$875*$AF$875</f>
        <v>550.54</v>
      </c>
    </row>
    <row r="876" spans="1:52" x14ac:dyDescent="0.25">
      <c r="A876">
        <v>944</v>
      </c>
      <c r="B876" t="s">
        <v>283</v>
      </c>
      <c r="C876" t="s">
        <v>443</v>
      </c>
      <c r="D876">
        <v>212.4</v>
      </c>
      <c r="E876">
        <v>133.81</v>
      </c>
      <c r="F876" t="s">
        <v>349</v>
      </c>
      <c r="G876">
        <v>0.63</v>
      </c>
      <c r="H876">
        <v>160.57</v>
      </c>
      <c r="I876" t="s">
        <v>330</v>
      </c>
      <c r="J876" t="s">
        <v>444</v>
      </c>
      <c r="K876" t="s">
        <v>656</v>
      </c>
      <c r="L876" t="s">
        <v>179</v>
      </c>
      <c r="M876" t="s">
        <v>283</v>
      </c>
      <c r="N876" t="s">
        <v>12</v>
      </c>
      <c r="O876" t="s">
        <v>4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1</v>
      </c>
      <c r="AE876">
        <v>1</v>
      </c>
      <c r="AF876">
        <v>1</v>
      </c>
      <c r="AG876" t="s">
        <v>283</v>
      </c>
      <c r="AH876" t="s">
        <v>12</v>
      </c>
      <c r="AI876" t="s">
        <v>4</v>
      </c>
      <c r="AJ876">
        <f>$H$876*$P$876</f>
        <v>0</v>
      </c>
      <c r="AK876">
        <f>$H$876*$Q$876</f>
        <v>0</v>
      </c>
      <c r="AL876">
        <f>$H$876*$R$876</f>
        <v>0</v>
      </c>
      <c r="AM876">
        <f>$H$876*$S$876</f>
        <v>0</v>
      </c>
      <c r="AN876">
        <f>$H$876*$T$876</f>
        <v>0</v>
      </c>
      <c r="AO876">
        <f>$H$876*$U$876</f>
        <v>0</v>
      </c>
      <c r="AP876">
        <f>$H$876*$V$876</f>
        <v>0</v>
      </c>
      <c r="AQ876">
        <f>$H$876*$W$876</f>
        <v>0</v>
      </c>
      <c r="AR876">
        <f>$H$876*$X$876</f>
        <v>0</v>
      </c>
      <c r="AS876">
        <f>$H$876*$Y$876</f>
        <v>0</v>
      </c>
      <c r="AT876">
        <f>$H$876*$Z$876</f>
        <v>0</v>
      </c>
      <c r="AU876">
        <f>$H$876*$AA$876</f>
        <v>0</v>
      </c>
      <c r="AV876">
        <f>$H$876*$AB$876</f>
        <v>0</v>
      </c>
      <c r="AW876">
        <f>$H$876*$AC$876</f>
        <v>0</v>
      </c>
      <c r="AX876">
        <f>$H$876*$AD$876</f>
        <v>160.57</v>
      </c>
      <c r="AY876">
        <f>$H$876*$AE$876</f>
        <v>160.57</v>
      </c>
      <c r="AZ876">
        <f>$H$876*$AF$876</f>
        <v>160.57</v>
      </c>
    </row>
    <row r="877" spans="1:52" x14ac:dyDescent="0.25">
      <c r="A877">
        <v>945</v>
      </c>
      <c r="B877" t="s">
        <v>283</v>
      </c>
      <c r="C877" t="s">
        <v>362</v>
      </c>
      <c r="D877">
        <v>265.5</v>
      </c>
      <c r="E877">
        <v>260.19</v>
      </c>
      <c r="F877" t="s">
        <v>349</v>
      </c>
      <c r="G877">
        <v>0.98</v>
      </c>
      <c r="H877">
        <v>312.23</v>
      </c>
      <c r="I877" t="s">
        <v>330</v>
      </c>
      <c r="J877" t="s">
        <v>363</v>
      </c>
      <c r="K877" t="s">
        <v>617</v>
      </c>
      <c r="L877" t="s">
        <v>179</v>
      </c>
      <c r="M877" t="s">
        <v>283</v>
      </c>
      <c r="N877" t="s">
        <v>12</v>
      </c>
      <c r="O877" t="s">
        <v>4</v>
      </c>
      <c r="P877">
        <v>0</v>
      </c>
      <c r="Q877">
        <v>0</v>
      </c>
      <c r="R877">
        <v>0</v>
      </c>
      <c r="S877">
        <v>0</v>
      </c>
      <c r="T877">
        <v>1</v>
      </c>
      <c r="U877">
        <v>1</v>
      </c>
      <c r="V877">
        <v>1</v>
      </c>
      <c r="W877">
        <v>1</v>
      </c>
      <c r="X877">
        <v>1</v>
      </c>
      <c r="Y877">
        <v>1</v>
      </c>
      <c r="Z877">
        <v>1</v>
      </c>
      <c r="AA877">
        <v>1</v>
      </c>
      <c r="AB877">
        <v>1</v>
      </c>
      <c r="AC877">
        <v>1</v>
      </c>
      <c r="AD877">
        <v>1</v>
      </c>
      <c r="AE877">
        <v>1</v>
      </c>
      <c r="AF877">
        <v>1</v>
      </c>
      <c r="AG877" t="s">
        <v>283</v>
      </c>
      <c r="AH877" t="s">
        <v>12</v>
      </c>
      <c r="AI877" t="s">
        <v>4</v>
      </c>
      <c r="AJ877">
        <f>$H$877*$P$877</f>
        <v>0</v>
      </c>
      <c r="AK877">
        <f>$H$877*$Q$877</f>
        <v>0</v>
      </c>
      <c r="AL877">
        <f>$H$877*$R$877</f>
        <v>0</v>
      </c>
      <c r="AM877">
        <f>$H$877*$S$877</f>
        <v>0</v>
      </c>
      <c r="AN877">
        <f>$H$877*$T$877</f>
        <v>312.23</v>
      </c>
      <c r="AO877">
        <f>$H$877*$U$877</f>
        <v>312.23</v>
      </c>
      <c r="AP877">
        <f>$H$877*$V$877</f>
        <v>312.23</v>
      </c>
      <c r="AQ877">
        <f>$H$877*$W$877</f>
        <v>312.23</v>
      </c>
      <c r="AR877">
        <f>$H$877*$X$877</f>
        <v>312.23</v>
      </c>
      <c r="AS877">
        <f>$H$877*$Y$877</f>
        <v>312.23</v>
      </c>
      <c r="AT877">
        <f>$H$877*$Z$877</f>
        <v>312.23</v>
      </c>
      <c r="AU877">
        <f>$H$877*$AA$877</f>
        <v>312.23</v>
      </c>
      <c r="AV877">
        <f>$H$877*$AB$877</f>
        <v>312.23</v>
      </c>
      <c r="AW877">
        <f>$H$877*$AC$877</f>
        <v>312.23</v>
      </c>
      <c r="AX877">
        <f>$H$877*$AD$877</f>
        <v>312.23</v>
      </c>
      <c r="AY877">
        <f>$H$877*$AE$877</f>
        <v>312.23</v>
      </c>
      <c r="AZ877">
        <f>$H$877*$AF$877</f>
        <v>312.23</v>
      </c>
    </row>
    <row r="878" spans="1:52" x14ac:dyDescent="0.25">
      <c r="A878">
        <v>946</v>
      </c>
      <c r="B878" t="s">
        <v>283</v>
      </c>
      <c r="C878" t="s">
        <v>445</v>
      </c>
      <c r="D878">
        <v>53.1</v>
      </c>
      <c r="E878">
        <v>199.66</v>
      </c>
      <c r="F878" t="s">
        <v>349</v>
      </c>
      <c r="G878">
        <v>3.76</v>
      </c>
      <c r="H878">
        <v>239.6</v>
      </c>
      <c r="I878" t="s">
        <v>446</v>
      </c>
      <c r="J878" t="s">
        <v>420</v>
      </c>
      <c r="K878" t="s">
        <v>657</v>
      </c>
      <c r="L878" t="s">
        <v>179</v>
      </c>
      <c r="M878" t="s">
        <v>283</v>
      </c>
      <c r="N878" t="s">
        <v>12</v>
      </c>
      <c r="O878" t="s">
        <v>4</v>
      </c>
      <c r="P878">
        <v>0</v>
      </c>
      <c r="Q878">
        <v>0</v>
      </c>
      <c r="R878">
        <v>0</v>
      </c>
      <c r="S878">
        <v>0.25</v>
      </c>
      <c r="T878">
        <v>0.25</v>
      </c>
      <c r="U878">
        <v>0.25</v>
      </c>
      <c r="V878">
        <v>0.25</v>
      </c>
      <c r="W878">
        <v>0.25</v>
      </c>
      <c r="X878">
        <v>0.5</v>
      </c>
      <c r="Y878">
        <v>0.5</v>
      </c>
      <c r="Z878">
        <v>0.5</v>
      </c>
      <c r="AA878">
        <v>1</v>
      </c>
      <c r="AB878">
        <v>1</v>
      </c>
      <c r="AC878">
        <v>1</v>
      </c>
      <c r="AD878">
        <v>1</v>
      </c>
      <c r="AE878">
        <v>1</v>
      </c>
      <c r="AF878">
        <v>1</v>
      </c>
      <c r="AG878" t="s">
        <v>283</v>
      </c>
      <c r="AH878" t="s">
        <v>12</v>
      </c>
      <c r="AI878" t="s">
        <v>4</v>
      </c>
      <c r="AJ878">
        <f>$H$878*$P$878</f>
        <v>0</v>
      </c>
      <c r="AK878">
        <f>$H$878*$Q$878</f>
        <v>0</v>
      </c>
      <c r="AL878">
        <f>$H$878*$R$878</f>
        <v>0</v>
      </c>
      <c r="AM878">
        <f>$H$878*$S$878</f>
        <v>59.9</v>
      </c>
      <c r="AN878">
        <f>$H$878*$T$878</f>
        <v>59.9</v>
      </c>
      <c r="AO878">
        <f>$H$878*$U$878</f>
        <v>59.9</v>
      </c>
      <c r="AP878">
        <f>$H$878*$V$878</f>
        <v>59.9</v>
      </c>
      <c r="AQ878">
        <f>$H$878*$W$878</f>
        <v>59.9</v>
      </c>
      <c r="AR878">
        <f>$H$878*$X$878</f>
        <v>119.8</v>
      </c>
      <c r="AS878">
        <f>$H$878*$Y$878</f>
        <v>119.8</v>
      </c>
      <c r="AT878">
        <f>$H$878*$Z$878</f>
        <v>119.8</v>
      </c>
      <c r="AU878">
        <f>$H$878*$AA$878</f>
        <v>239.6</v>
      </c>
      <c r="AV878">
        <f>$H$878*$AB$878</f>
        <v>239.6</v>
      </c>
      <c r="AW878">
        <f>$H$878*$AC$878</f>
        <v>239.6</v>
      </c>
      <c r="AX878">
        <f>$H$878*$AD$878</f>
        <v>239.6</v>
      </c>
      <c r="AY878">
        <f>$H$878*$AE$878</f>
        <v>239.6</v>
      </c>
      <c r="AZ878">
        <f>$H$878*$AF$878</f>
        <v>239.6</v>
      </c>
    </row>
    <row r="879" spans="1:52" x14ac:dyDescent="0.25">
      <c r="A879">
        <v>947</v>
      </c>
      <c r="B879" t="s">
        <v>283</v>
      </c>
      <c r="C879" t="s">
        <v>364</v>
      </c>
      <c r="D879">
        <v>531</v>
      </c>
      <c r="E879">
        <v>1784.16</v>
      </c>
      <c r="F879" t="s">
        <v>349</v>
      </c>
      <c r="G879">
        <v>3.36</v>
      </c>
      <c r="H879">
        <v>2141</v>
      </c>
      <c r="I879" t="s">
        <v>365</v>
      </c>
      <c r="J879" t="s">
        <v>366</v>
      </c>
      <c r="K879" t="s">
        <v>618</v>
      </c>
      <c r="L879" t="s">
        <v>179</v>
      </c>
      <c r="M879" t="s">
        <v>283</v>
      </c>
      <c r="N879" t="s">
        <v>12</v>
      </c>
      <c r="O879" t="s">
        <v>4</v>
      </c>
      <c r="P879">
        <v>0</v>
      </c>
      <c r="Q879">
        <v>0</v>
      </c>
      <c r="R879">
        <v>0</v>
      </c>
      <c r="S879">
        <v>0.25</v>
      </c>
      <c r="T879">
        <v>0.25</v>
      </c>
      <c r="U879">
        <v>0.25</v>
      </c>
      <c r="V879">
        <v>0.25</v>
      </c>
      <c r="W879">
        <v>0.5</v>
      </c>
      <c r="X879">
        <v>0.5</v>
      </c>
      <c r="Y879">
        <v>0.5</v>
      </c>
      <c r="Z879">
        <v>0.5</v>
      </c>
      <c r="AA879">
        <v>1</v>
      </c>
      <c r="AB879">
        <v>1</v>
      </c>
      <c r="AC879">
        <v>1</v>
      </c>
      <c r="AD879">
        <v>1</v>
      </c>
      <c r="AE879">
        <v>1</v>
      </c>
      <c r="AF879">
        <v>1</v>
      </c>
      <c r="AG879" t="s">
        <v>283</v>
      </c>
      <c r="AH879" t="s">
        <v>12</v>
      </c>
      <c r="AI879" t="s">
        <v>4</v>
      </c>
      <c r="AJ879">
        <f>$H$879*$P$879</f>
        <v>0</v>
      </c>
      <c r="AK879">
        <f>$H$879*$Q$879</f>
        <v>0</v>
      </c>
      <c r="AL879">
        <f>$H$879*$R$879</f>
        <v>0</v>
      </c>
      <c r="AM879">
        <f>$H$879*$S$879</f>
        <v>535.25</v>
      </c>
      <c r="AN879">
        <f>$H$879*$T$879</f>
        <v>535.25</v>
      </c>
      <c r="AO879">
        <f>$H$879*$U$879</f>
        <v>535.25</v>
      </c>
      <c r="AP879">
        <f>$H$879*$V$879</f>
        <v>535.25</v>
      </c>
      <c r="AQ879">
        <f>$H$879*$W$879</f>
        <v>1070.5</v>
      </c>
      <c r="AR879">
        <f>$H$879*$X$879</f>
        <v>1070.5</v>
      </c>
      <c r="AS879">
        <f>$H$879*$Y$879</f>
        <v>1070.5</v>
      </c>
      <c r="AT879">
        <f>$H$879*$Z$879</f>
        <v>1070.5</v>
      </c>
      <c r="AU879">
        <f>$H$879*$AA$879</f>
        <v>2141</v>
      </c>
      <c r="AV879">
        <f>$H$879*$AB$879</f>
        <v>2141</v>
      </c>
      <c r="AW879">
        <f>$H$879*$AC$879</f>
        <v>2141</v>
      </c>
      <c r="AX879">
        <f>$H$879*$AD$879</f>
        <v>2141</v>
      </c>
      <c r="AY879">
        <f>$H$879*$AE$879</f>
        <v>2141</v>
      </c>
      <c r="AZ879">
        <f>$H$879*$AF$879</f>
        <v>2141</v>
      </c>
    </row>
    <row r="880" spans="1:52" x14ac:dyDescent="0.25">
      <c r="A880">
        <v>948</v>
      </c>
      <c r="B880" t="s">
        <v>283</v>
      </c>
      <c r="C880" t="s">
        <v>447</v>
      </c>
      <c r="D880">
        <v>59</v>
      </c>
      <c r="E880">
        <v>61.36</v>
      </c>
      <c r="F880" t="s">
        <v>329</v>
      </c>
      <c r="G880">
        <v>1.04</v>
      </c>
      <c r="H880">
        <v>73.64</v>
      </c>
      <c r="I880" t="s">
        <v>330</v>
      </c>
      <c r="J880" t="s">
        <v>448</v>
      </c>
      <c r="K880" t="s">
        <v>658</v>
      </c>
      <c r="L880" t="s">
        <v>179</v>
      </c>
      <c r="M880" t="s">
        <v>283</v>
      </c>
      <c r="N880" t="s">
        <v>12</v>
      </c>
      <c r="O880" t="s">
        <v>4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1</v>
      </c>
      <c r="AB880">
        <v>1</v>
      </c>
      <c r="AC880">
        <v>1</v>
      </c>
      <c r="AD880">
        <v>1</v>
      </c>
      <c r="AE880">
        <v>1</v>
      </c>
      <c r="AF880">
        <v>1</v>
      </c>
      <c r="AG880" t="s">
        <v>283</v>
      </c>
      <c r="AH880" t="s">
        <v>12</v>
      </c>
      <c r="AI880" t="s">
        <v>4</v>
      </c>
      <c r="AJ880">
        <f>$H$880*$P$880</f>
        <v>0</v>
      </c>
      <c r="AK880">
        <f>$H$880*$Q$880</f>
        <v>0</v>
      </c>
      <c r="AL880">
        <f>$H$880*$R$880</f>
        <v>0</v>
      </c>
      <c r="AM880">
        <f>$H$880*$S$880</f>
        <v>0</v>
      </c>
      <c r="AN880">
        <f>$H$880*$T$880</f>
        <v>0</v>
      </c>
      <c r="AO880">
        <f>$H$880*$U$880</f>
        <v>0</v>
      </c>
      <c r="AP880">
        <f>$H$880*$V$880</f>
        <v>0</v>
      </c>
      <c r="AQ880">
        <f>$H$880*$W$880</f>
        <v>0</v>
      </c>
      <c r="AR880">
        <f>$H$880*$X$880</f>
        <v>0</v>
      </c>
      <c r="AS880">
        <f>$H$880*$Y$880</f>
        <v>0</v>
      </c>
      <c r="AT880">
        <f>$H$880*$Z$880</f>
        <v>0</v>
      </c>
      <c r="AU880">
        <f>$H$880*$AA$880</f>
        <v>73.64</v>
      </c>
      <c r="AV880">
        <f>$H$880*$AB$880</f>
        <v>73.64</v>
      </c>
      <c r="AW880">
        <f>$H$880*$AC$880</f>
        <v>73.64</v>
      </c>
      <c r="AX880">
        <f>$H$880*$AD$880</f>
        <v>73.64</v>
      </c>
      <c r="AY880">
        <f>$H$880*$AE$880</f>
        <v>73.64</v>
      </c>
      <c r="AZ880">
        <f>$H$880*$AF$880</f>
        <v>73.64</v>
      </c>
    </row>
    <row r="881" spans="1:52" x14ac:dyDescent="0.25">
      <c r="A881">
        <v>949</v>
      </c>
      <c r="B881" t="s">
        <v>283</v>
      </c>
      <c r="C881" t="s">
        <v>449</v>
      </c>
      <c r="D881">
        <v>59</v>
      </c>
      <c r="E881">
        <v>473.18</v>
      </c>
      <c r="F881" t="s">
        <v>329</v>
      </c>
      <c r="G881">
        <v>8.02</v>
      </c>
      <c r="H881">
        <v>567.82000000000005</v>
      </c>
      <c r="I881" t="s">
        <v>333</v>
      </c>
      <c r="J881" t="s">
        <v>450</v>
      </c>
      <c r="K881" t="s">
        <v>659</v>
      </c>
      <c r="L881" t="s">
        <v>179</v>
      </c>
      <c r="M881" t="s">
        <v>283</v>
      </c>
      <c r="N881" t="s">
        <v>12</v>
      </c>
      <c r="O881" t="s">
        <v>4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1</v>
      </c>
      <c r="AB881">
        <v>1</v>
      </c>
      <c r="AC881">
        <v>1</v>
      </c>
      <c r="AD881">
        <v>1</v>
      </c>
      <c r="AE881">
        <v>1</v>
      </c>
      <c r="AF881">
        <v>1</v>
      </c>
      <c r="AG881" t="s">
        <v>283</v>
      </c>
      <c r="AH881" t="s">
        <v>12</v>
      </c>
      <c r="AI881" t="s">
        <v>4</v>
      </c>
      <c r="AJ881">
        <f>$H$881*$P$881</f>
        <v>0</v>
      </c>
      <c r="AK881">
        <f>$H$881*$Q$881</f>
        <v>0</v>
      </c>
      <c r="AL881">
        <f>$H$881*$R$881</f>
        <v>0</v>
      </c>
      <c r="AM881">
        <f>$H$881*$S$881</f>
        <v>0</v>
      </c>
      <c r="AN881">
        <f>$H$881*$T$881</f>
        <v>0</v>
      </c>
      <c r="AO881">
        <f>$H$881*$U$881</f>
        <v>0</v>
      </c>
      <c r="AP881">
        <f>$H$881*$V$881</f>
        <v>0</v>
      </c>
      <c r="AQ881">
        <f>$H$881*$W$881</f>
        <v>0</v>
      </c>
      <c r="AR881">
        <f>$H$881*$X$881</f>
        <v>0</v>
      </c>
      <c r="AS881">
        <f>$H$881*$Y$881</f>
        <v>0</v>
      </c>
      <c r="AT881">
        <f>$H$881*$Z$881</f>
        <v>0</v>
      </c>
      <c r="AU881">
        <f>$H$881*$AA$881</f>
        <v>567.82000000000005</v>
      </c>
      <c r="AV881">
        <f>$H$881*$AB$881</f>
        <v>567.82000000000005</v>
      </c>
      <c r="AW881">
        <f>$H$881*$AC$881</f>
        <v>567.82000000000005</v>
      </c>
      <c r="AX881">
        <f>$H$881*$AD$881</f>
        <v>567.82000000000005</v>
      </c>
      <c r="AY881">
        <f>$H$881*$AE$881</f>
        <v>567.82000000000005</v>
      </c>
      <c r="AZ881">
        <f>$H$881*$AF$881</f>
        <v>567.82000000000005</v>
      </c>
    </row>
    <row r="882" spans="1:52" x14ac:dyDescent="0.25">
      <c r="A882">
        <v>950</v>
      </c>
      <c r="B882" t="s">
        <v>283</v>
      </c>
      <c r="C882" t="s">
        <v>455</v>
      </c>
      <c r="D882">
        <v>59</v>
      </c>
      <c r="E882">
        <v>89.09</v>
      </c>
      <c r="F882" t="s">
        <v>329</v>
      </c>
      <c r="G882">
        <v>1.51</v>
      </c>
      <c r="H882">
        <v>106.91</v>
      </c>
      <c r="I882" t="s">
        <v>330</v>
      </c>
      <c r="J882" t="s">
        <v>456</v>
      </c>
      <c r="K882" t="s">
        <v>662</v>
      </c>
      <c r="L882" t="s">
        <v>179</v>
      </c>
      <c r="M882" t="s">
        <v>283</v>
      </c>
      <c r="N882" t="s">
        <v>12</v>
      </c>
      <c r="O882" t="s">
        <v>4</v>
      </c>
      <c r="P882">
        <v>0</v>
      </c>
      <c r="Q882">
        <v>0</v>
      </c>
      <c r="R882">
        <v>0</v>
      </c>
      <c r="S882">
        <v>1</v>
      </c>
      <c r="T882">
        <v>1</v>
      </c>
      <c r="U882">
        <v>1</v>
      </c>
      <c r="V882">
        <v>1</v>
      </c>
      <c r="W882">
        <v>1</v>
      </c>
      <c r="X882">
        <v>1</v>
      </c>
      <c r="Y882">
        <v>1</v>
      </c>
      <c r="Z882">
        <v>1</v>
      </c>
      <c r="AA882">
        <v>1</v>
      </c>
      <c r="AB882">
        <v>1</v>
      </c>
      <c r="AC882">
        <v>1</v>
      </c>
      <c r="AD882">
        <v>1</v>
      </c>
      <c r="AE882">
        <v>1</v>
      </c>
      <c r="AF882">
        <v>1</v>
      </c>
      <c r="AG882" t="s">
        <v>283</v>
      </c>
      <c r="AH882" t="s">
        <v>12</v>
      </c>
      <c r="AI882" t="s">
        <v>4</v>
      </c>
      <c r="AJ882">
        <f>$H$882*$P$882</f>
        <v>0</v>
      </c>
      <c r="AK882">
        <f>$H$882*$Q$882</f>
        <v>0</v>
      </c>
      <c r="AL882">
        <f>$H$882*$R$882</f>
        <v>0</v>
      </c>
      <c r="AM882">
        <f>$H$882*$S$882</f>
        <v>106.91</v>
      </c>
      <c r="AN882">
        <f>$H$882*$T$882</f>
        <v>106.91</v>
      </c>
      <c r="AO882">
        <f>$H$882*$U$882</f>
        <v>106.91</v>
      </c>
      <c r="AP882">
        <f>$H$882*$V$882</f>
        <v>106.91</v>
      </c>
      <c r="AQ882">
        <f>$H$882*$W$882</f>
        <v>106.91</v>
      </c>
      <c r="AR882">
        <f>$H$882*$X$882</f>
        <v>106.91</v>
      </c>
      <c r="AS882">
        <f>$H$882*$Y$882</f>
        <v>106.91</v>
      </c>
      <c r="AT882">
        <f>$H$882*$Z$882</f>
        <v>106.91</v>
      </c>
      <c r="AU882">
        <f>$H$882*$AA$882</f>
        <v>106.91</v>
      </c>
      <c r="AV882">
        <f>$H$882*$AB$882</f>
        <v>106.91</v>
      </c>
      <c r="AW882">
        <f>$H$882*$AC$882</f>
        <v>106.91</v>
      </c>
      <c r="AX882">
        <f>$H$882*$AD$882</f>
        <v>106.91</v>
      </c>
      <c r="AY882">
        <f>$H$882*$AE$882</f>
        <v>106.91</v>
      </c>
      <c r="AZ882">
        <f>$H$882*$AF$882</f>
        <v>106.91</v>
      </c>
    </row>
    <row r="883" spans="1:52" x14ac:dyDescent="0.25">
      <c r="A883">
        <v>951</v>
      </c>
      <c r="B883" t="s">
        <v>283</v>
      </c>
      <c r="C883" t="s">
        <v>457</v>
      </c>
      <c r="D883">
        <v>59</v>
      </c>
      <c r="E883">
        <v>335.12</v>
      </c>
      <c r="F883" t="s">
        <v>329</v>
      </c>
      <c r="G883">
        <v>5.68</v>
      </c>
      <c r="H883">
        <v>402.14</v>
      </c>
      <c r="I883" t="s">
        <v>333</v>
      </c>
      <c r="J883" t="s">
        <v>458</v>
      </c>
      <c r="K883" t="s">
        <v>663</v>
      </c>
      <c r="L883" t="s">
        <v>179</v>
      </c>
      <c r="M883" t="s">
        <v>283</v>
      </c>
      <c r="N883" t="s">
        <v>12</v>
      </c>
      <c r="O883" t="s">
        <v>4</v>
      </c>
      <c r="P883">
        <v>0</v>
      </c>
      <c r="Q883">
        <v>0</v>
      </c>
      <c r="R883">
        <v>0</v>
      </c>
      <c r="S883">
        <v>1</v>
      </c>
      <c r="T883">
        <v>1</v>
      </c>
      <c r="U883">
        <v>1</v>
      </c>
      <c r="V883">
        <v>1</v>
      </c>
      <c r="W883">
        <v>1</v>
      </c>
      <c r="X883">
        <v>1</v>
      </c>
      <c r="Y883">
        <v>1</v>
      </c>
      <c r="Z883">
        <v>1</v>
      </c>
      <c r="AA883">
        <v>1</v>
      </c>
      <c r="AB883">
        <v>1</v>
      </c>
      <c r="AC883">
        <v>1</v>
      </c>
      <c r="AD883">
        <v>1</v>
      </c>
      <c r="AE883">
        <v>1</v>
      </c>
      <c r="AF883">
        <v>1</v>
      </c>
      <c r="AG883" t="s">
        <v>283</v>
      </c>
      <c r="AH883" t="s">
        <v>12</v>
      </c>
      <c r="AI883" t="s">
        <v>4</v>
      </c>
      <c r="AJ883">
        <f>$H$883*$P$883</f>
        <v>0</v>
      </c>
      <c r="AK883">
        <f>$H$883*$Q$883</f>
        <v>0</v>
      </c>
      <c r="AL883">
        <f>$H$883*$R$883</f>
        <v>0</v>
      </c>
      <c r="AM883">
        <f>$H$883*$S$883</f>
        <v>402.14</v>
      </c>
      <c r="AN883">
        <f>$H$883*$T$883</f>
        <v>402.14</v>
      </c>
      <c r="AO883">
        <f>$H$883*$U$883</f>
        <v>402.14</v>
      </c>
      <c r="AP883">
        <f>$H$883*$V$883</f>
        <v>402.14</v>
      </c>
      <c r="AQ883">
        <f>$H$883*$W$883</f>
        <v>402.14</v>
      </c>
      <c r="AR883">
        <f>$H$883*$X$883</f>
        <v>402.14</v>
      </c>
      <c r="AS883">
        <f>$H$883*$Y$883</f>
        <v>402.14</v>
      </c>
      <c r="AT883">
        <f>$H$883*$Z$883</f>
        <v>402.14</v>
      </c>
      <c r="AU883">
        <f>$H$883*$AA$883</f>
        <v>402.14</v>
      </c>
      <c r="AV883">
        <f>$H$883*$AB$883</f>
        <v>402.14</v>
      </c>
      <c r="AW883">
        <f>$H$883*$AC$883</f>
        <v>402.14</v>
      </c>
      <c r="AX883">
        <f>$H$883*$AD$883</f>
        <v>402.14</v>
      </c>
      <c r="AY883">
        <f>$H$883*$AE$883</f>
        <v>402.14</v>
      </c>
      <c r="AZ883">
        <f>$H$883*$AF$883</f>
        <v>402.14</v>
      </c>
    </row>
    <row r="884" spans="1:52" x14ac:dyDescent="0.25">
      <c r="A884">
        <v>952</v>
      </c>
      <c r="B884" t="s">
        <v>283</v>
      </c>
      <c r="C884" t="s">
        <v>364</v>
      </c>
      <c r="D884">
        <v>306.22000000000003</v>
      </c>
      <c r="E884">
        <v>1028.9000000000001</v>
      </c>
      <c r="F884" t="s">
        <v>349</v>
      </c>
      <c r="G884">
        <v>3.36</v>
      </c>
      <c r="H884">
        <v>1234.68</v>
      </c>
      <c r="I884" t="s">
        <v>365</v>
      </c>
      <c r="J884" t="s">
        <v>366</v>
      </c>
      <c r="K884" t="s">
        <v>618</v>
      </c>
      <c r="L884" t="s">
        <v>179</v>
      </c>
      <c r="M884" t="s">
        <v>283</v>
      </c>
      <c r="N884" t="s">
        <v>12</v>
      </c>
      <c r="O884" t="s">
        <v>4</v>
      </c>
      <c r="P884">
        <v>0</v>
      </c>
      <c r="Q884">
        <v>0</v>
      </c>
      <c r="R884">
        <v>0</v>
      </c>
      <c r="S884">
        <v>0.25</v>
      </c>
      <c r="T884">
        <v>0.25</v>
      </c>
      <c r="U884">
        <v>0.25</v>
      </c>
      <c r="V884">
        <v>0.25</v>
      </c>
      <c r="W884">
        <v>0.5</v>
      </c>
      <c r="X884">
        <v>0.5</v>
      </c>
      <c r="Y884">
        <v>0.5</v>
      </c>
      <c r="Z884">
        <v>0.5</v>
      </c>
      <c r="AA884">
        <v>1</v>
      </c>
      <c r="AB884">
        <v>1</v>
      </c>
      <c r="AC884">
        <v>1</v>
      </c>
      <c r="AD884">
        <v>1</v>
      </c>
      <c r="AE884">
        <v>1</v>
      </c>
      <c r="AF884">
        <v>1</v>
      </c>
      <c r="AG884" t="s">
        <v>283</v>
      </c>
      <c r="AH884" t="s">
        <v>12</v>
      </c>
      <c r="AI884" t="s">
        <v>4</v>
      </c>
      <c r="AJ884">
        <f>$H$884*$P$884</f>
        <v>0</v>
      </c>
      <c r="AK884">
        <f>$H$884*$Q$884</f>
        <v>0</v>
      </c>
      <c r="AL884">
        <f>$H$884*$R$884</f>
        <v>0</v>
      </c>
      <c r="AM884">
        <f>$H$884*$S$884</f>
        <v>308.67</v>
      </c>
      <c r="AN884">
        <f>$H$884*$T$884</f>
        <v>308.67</v>
      </c>
      <c r="AO884">
        <f>$H$884*$U$884</f>
        <v>308.67</v>
      </c>
      <c r="AP884">
        <f>$H$884*$V$884</f>
        <v>308.67</v>
      </c>
      <c r="AQ884">
        <f>$H$884*$W$884</f>
        <v>617.34</v>
      </c>
      <c r="AR884">
        <f>$H$884*$X$884</f>
        <v>617.34</v>
      </c>
      <c r="AS884">
        <f>$H$884*$Y$884</f>
        <v>617.34</v>
      </c>
      <c r="AT884">
        <f>$H$884*$Z$884</f>
        <v>617.34</v>
      </c>
      <c r="AU884">
        <f>$H$884*$AA$884</f>
        <v>1234.68</v>
      </c>
      <c r="AV884">
        <f>$H$884*$AB$884</f>
        <v>1234.68</v>
      </c>
      <c r="AW884">
        <f>$H$884*$AC$884</f>
        <v>1234.68</v>
      </c>
      <c r="AX884">
        <f>$H$884*$AD$884</f>
        <v>1234.68</v>
      </c>
      <c r="AY884">
        <f>$H$884*$AE$884</f>
        <v>1234.68</v>
      </c>
      <c r="AZ884">
        <f>$H$884*$AF$884</f>
        <v>1234.68</v>
      </c>
    </row>
    <row r="885" spans="1:52" x14ac:dyDescent="0.25">
      <c r="A885">
        <v>953</v>
      </c>
      <c r="B885" t="s">
        <v>283</v>
      </c>
      <c r="C885" t="s">
        <v>443</v>
      </c>
      <c r="D885">
        <v>306.22000000000003</v>
      </c>
      <c r="E885">
        <v>192.92</v>
      </c>
      <c r="F885" t="s">
        <v>349</v>
      </c>
      <c r="G885">
        <v>0.63</v>
      </c>
      <c r="H885">
        <v>231.5</v>
      </c>
      <c r="I885" t="s">
        <v>330</v>
      </c>
      <c r="J885" t="s">
        <v>444</v>
      </c>
      <c r="K885" t="s">
        <v>656</v>
      </c>
      <c r="L885" t="s">
        <v>179</v>
      </c>
      <c r="M885" t="s">
        <v>283</v>
      </c>
      <c r="N885" t="s">
        <v>12</v>
      </c>
      <c r="O885" t="s">
        <v>4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1</v>
      </c>
      <c r="AE885">
        <v>1</v>
      </c>
      <c r="AF885">
        <v>1</v>
      </c>
      <c r="AG885" t="s">
        <v>283</v>
      </c>
      <c r="AH885" t="s">
        <v>12</v>
      </c>
      <c r="AI885" t="s">
        <v>4</v>
      </c>
      <c r="AJ885">
        <f>$H$885*$P$885</f>
        <v>0</v>
      </c>
      <c r="AK885">
        <f>$H$885*$Q$885</f>
        <v>0</v>
      </c>
      <c r="AL885">
        <f>$H$885*$R$885</f>
        <v>0</v>
      </c>
      <c r="AM885">
        <f>$H$885*$S$885</f>
        <v>0</v>
      </c>
      <c r="AN885">
        <f>$H$885*$T$885</f>
        <v>0</v>
      </c>
      <c r="AO885">
        <f>$H$885*$U$885</f>
        <v>0</v>
      </c>
      <c r="AP885">
        <f>$H$885*$V$885</f>
        <v>0</v>
      </c>
      <c r="AQ885">
        <f>$H$885*$W$885</f>
        <v>0</v>
      </c>
      <c r="AR885">
        <f>$H$885*$X$885</f>
        <v>0</v>
      </c>
      <c r="AS885">
        <f>$H$885*$Y$885</f>
        <v>0</v>
      </c>
      <c r="AT885">
        <f>$H$885*$Z$885</f>
        <v>0</v>
      </c>
      <c r="AU885">
        <f>$H$885*$AA$885</f>
        <v>0</v>
      </c>
      <c r="AV885">
        <f>$H$885*$AB$885</f>
        <v>0</v>
      </c>
      <c r="AW885">
        <f>$H$885*$AC$885</f>
        <v>0</v>
      </c>
      <c r="AX885">
        <f>$H$885*$AD$885</f>
        <v>231.5</v>
      </c>
      <c r="AY885">
        <f>$H$885*$AE$885</f>
        <v>231.5</v>
      </c>
      <c r="AZ885">
        <f>$H$885*$AF$885</f>
        <v>231.5</v>
      </c>
    </row>
    <row r="886" spans="1:52" x14ac:dyDescent="0.25">
      <c r="A886">
        <v>954</v>
      </c>
      <c r="B886" t="s">
        <v>283</v>
      </c>
      <c r="C886" t="s">
        <v>459</v>
      </c>
      <c r="D886">
        <v>306.22000000000003</v>
      </c>
      <c r="E886">
        <v>211.29</v>
      </c>
      <c r="F886" t="s">
        <v>349</v>
      </c>
      <c r="G886">
        <v>0.69</v>
      </c>
      <c r="H886">
        <v>253.55</v>
      </c>
      <c r="I886" t="s">
        <v>330</v>
      </c>
      <c r="J886" t="s">
        <v>460</v>
      </c>
      <c r="K886" t="s">
        <v>664</v>
      </c>
      <c r="L886" t="s">
        <v>179</v>
      </c>
      <c r="M886" t="s">
        <v>283</v>
      </c>
      <c r="N886" t="s">
        <v>12</v>
      </c>
      <c r="O886" t="s">
        <v>4</v>
      </c>
      <c r="P886">
        <v>0</v>
      </c>
      <c r="Q886">
        <v>0</v>
      </c>
      <c r="R886">
        <v>0</v>
      </c>
      <c r="S886">
        <v>1</v>
      </c>
      <c r="T886">
        <v>1</v>
      </c>
      <c r="U886">
        <v>1</v>
      </c>
      <c r="V886">
        <v>1</v>
      </c>
      <c r="W886">
        <v>1</v>
      </c>
      <c r="X886">
        <v>1</v>
      </c>
      <c r="Y886">
        <v>1</v>
      </c>
      <c r="Z886">
        <v>1</v>
      </c>
      <c r="AA886">
        <v>1</v>
      </c>
      <c r="AB886">
        <v>1</v>
      </c>
      <c r="AC886">
        <v>1</v>
      </c>
      <c r="AD886">
        <v>1</v>
      </c>
      <c r="AE886">
        <v>1</v>
      </c>
      <c r="AF886">
        <v>1</v>
      </c>
      <c r="AG886" t="s">
        <v>283</v>
      </c>
      <c r="AH886" t="s">
        <v>12</v>
      </c>
      <c r="AI886" t="s">
        <v>4</v>
      </c>
      <c r="AJ886">
        <f>$H$886*$P$886</f>
        <v>0</v>
      </c>
      <c r="AK886">
        <f>$H$886*$Q$886</f>
        <v>0</v>
      </c>
      <c r="AL886">
        <f>$H$886*$R$886</f>
        <v>0</v>
      </c>
      <c r="AM886">
        <f>$H$886*$S$886</f>
        <v>253.55</v>
      </c>
      <c r="AN886">
        <f>$H$886*$T$886</f>
        <v>253.55</v>
      </c>
      <c r="AO886">
        <f>$H$886*$U$886</f>
        <v>253.55</v>
      </c>
      <c r="AP886">
        <f>$H$886*$V$886</f>
        <v>253.55</v>
      </c>
      <c r="AQ886">
        <f>$H$886*$W$886</f>
        <v>253.55</v>
      </c>
      <c r="AR886">
        <f>$H$886*$X$886</f>
        <v>253.55</v>
      </c>
      <c r="AS886">
        <f>$H$886*$Y$886</f>
        <v>253.55</v>
      </c>
      <c r="AT886">
        <f>$H$886*$Z$886</f>
        <v>253.55</v>
      </c>
      <c r="AU886">
        <f>$H$886*$AA$886</f>
        <v>253.55</v>
      </c>
      <c r="AV886">
        <f>$H$886*$AB$886</f>
        <v>253.55</v>
      </c>
      <c r="AW886">
        <f>$H$886*$AC$886</f>
        <v>253.55</v>
      </c>
      <c r="AX886">
        <f>$H$886*$AD$886</f>
        <v>253.55</v>
      </c>
      <c r="AY886">
        <f>$H$886*$AE$886</f>
        <v>253.55</v>
      </c>
      <c r="AZ886">
        <f>$H$886*$AF$886</f>
        <v>253.55</v>
      </c>
    </row>
    <row r="887" spans="1:52" x14ac:dyDescent="0.25">
      <c r="A887">
        <v>955</v>
      </c>
      <c r="B887" t="s">
        <v>283</v>
      </c>
      <c r="C887" t="s">
        <v>461</v>
      </c>
      <c r="D887">
        <v>43.31</v>
      </c>
      <c r="E887">
        <v>751.43</v>
      </c>
      <c r="F887" t="s">
        <v>349</v>
      </c>
      <c r="G887">
        <v>17.350000000000001</v>
      </c>
      <c r="H887">
        <v>901.71</v>
      </c>
      <c r="I887" t="s">
        <v>462</v>
      </c>
      <c r="J887" t="s">
        <v>463</v>
      </c>
      <c r="K887" t="s">
        <v>665</v>
      </c>
      <c r="L887" t="s">
        <v>179</v>
      </c>
      <c r="M887" t="s">
        <v>283</v>
      </c>
      <c r="N887" t="s">
        <v>12</v>
      </c>
      <c r="O887" t="s">
        <v>4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1</v>
      </c>
      <c r="Z887">
        <v>1</v>
      </c>
      <c r="AA887">
        <v>1</v>
      </c>
      <c r="AB887">
        <v>1</v>
      </c>
      <c r="AC887">
        <v>1</v>
      </c>
      <c r="AD887">
        <v>1</v>
      </c>
      <c r="AE887">
        <v>1</v>
      </c>
      <c r="AF887">
        <v>1</v>
      </c>
      <c r="AG887" t="s">
        <v>283</v>
      </c>
      <c r="AH887" t="s">
        <v>12</v>
      </c>
      <c r="AI887" t="s">
        <v>4</v>
      </c>
      <c r="AJ887">
        <f>$H$887*$P$887</f>
        <v>0</v>
      </c>
      <c r="AK887">
        <f>$H$887*$Q$887</f>
        <v>0</v>
      </c>
      <c r="AL887">
        <f>$H$887*$R$887</f>
        <v>0</v>
      </c>
      <c r="AM887">
        <f>$H$887*$S$887</f>
        <v>0</v>
      </c>
      <c r="AN887">
        <f>$H$887*$T$887</f>
        <v>0</v>
      </c>
      <c r="AO887">
        <f>$H$887*$U$887</f>
        <v>0</v>
      </c>
      <c r="AP887">
        <f>$H$887*$V$887</f>
        <v>0</v>
      </c>
      <c r="AQ887">
        <f>$H$887*$W$887</f>
        <v>0</v>
      </c>
      <c r="AR887">
        <f>$H$887*$X$887</f>
        <v>0</v>
      </c>
      <c r="AS887">
        <f>$H$887*$Y$887</f>
        <v>901.71</v>
      </c>
      <c r="AT887">
        <f>$H$887*$Z$887</f>
        <v>901.71</v>
      </c>
      <c r="AU887">
        <f>$H$887*$AA$887</f>
        <v>901.71</v>
      </c>
      <c r="AV887">
        <f>$H$887*$AB$887</f>
        <v>901.71</v>
      </c>
      <c r="AW887">
        <f>$H$887*$AC$887</f>
        <v>901.71</v>
      </c>
      <c r="AX887">
        <f>$H$887*$AD$887</f>
        <v>901.71</v>
      </c>
      <c r="AY887">
        <f>$H$887*$AE$887</f>
        <v>901.71</v>
      </c>
      <c r="AZ887">
        <f>$H$887*$AF$887</f>
        <v>901.71</v>
      </c>
    </row>
    <row r="888" spans="1:52" x14ac:dyDescent="0.25">
      <c r="A888">
        <v>956</v>
      </c>
      <c r="B888" t="s">
        <v>283</v>
      </c>
      <c r="C888" t="s">
        <v>464</v>
      </c>
      <c r="D888">
        <v>86.63</v>
      </c>
      <c r="E888">
        <v>310.14</v>
      </c>
      <c r="F888" t="s">
        <v>349</v>
      </c>
      <c r="G888">
        <v>3.58</v>
      </c>
      <c r="H888">
        <v>372.16</v>
      </c>
      <c r="I888" t="s">
        <v>465</v>
      </c>
      <c r="J888" t="s">
        <v>466</v>
      </c>
      <c r="K888" t="s">
        <v>666</v>
      </c>
      <c r="L888" t="s">
        <v>179</v>
      </c>
      <c r="M888" t="s">
        <v>283</v>
      </c>
      <c r="N888" t="s">
        <v>12</v>
      </c>
      <c r="O888" t="s">
        <v>4</v>
      </c>
      <c r="P888">
        <v>0</v>
      </c>
      <c r="Q888">
        <v>0</v>
      </c>
      <c r="R888">
        <v>0</v>
      </c>
      <c r="S888">
        <v>1</v>
      </c>
      <c r="T888">
        <v>1</v>
      </c>
      <c r="U888">
        <v>1</v>
      </c>
      <c r="V888">
        <v>1</v>
      </c>
      <c r="W888">
        <v>1</v>
      </c>
      <c r="X888">
        <v>1</v>
      </c>
      <c r="Y888">
        <v>1</v>
      </c>
      <c r="Z888">
        <v>1</v>
      </c>
      <c r="AA888">
        <v>1</v>
      </c>
      <c r="AB888">
        <v>1</v>
      </c>
      <c r="AC888">
        <v>1</v>
      </c>
      <c r="AD888">
        <v>1</v>
      </c>
      <c r="AE888">
        <v>1</v>
      </c>
      <c r="AF888">
        <v>1</v>
      </c>
      <c r="AG888" t="s">
        <v>283</v>
      </c>
      <c r="AH888" t="s">
        <v>12</v>
      </c>
      <c r="AI888" t="s">
        <v>4</v>
      </c>
      <c r="AJ888">
        <f>$H$888*$P$888</f>
        <v>0</v>
      </c>
      <c r="AK888">
        <f>$H$888*$Q$888</f>
        <v>0</v>
      </c>
      <c r="AL888">
        <f>$H$888*$R$888</f>
        <v>0</v>
      </c>
      <c r="AM888">
        <f>$H$888*$S$888</f>
        <v>372.16</v>
      </c>
      <c r="AN888">
        <f>$H$888*$T$888</f>
        <v>372.16</v>
      </c>
      <c r="AO888">
        <f>$H$888*$U$888</f>
        <v>372.16</v>
      </c>
      <c r="AP888">
        <f>$H$888*$V$888</f>
        <v>372.16</v>
      </c>
      <c r="AQ888">
        <f>$H$888*$W$888</f>
        <v>372.16</v>
      </c>
      <c r="AR888">
        <f>$H$888*$X$888</f>
        <v>372.16</v>
      </c>
      <c r="AS888">
        <f>$H$888*$Y$888</f>
        <v>372.16</v>
      </c>
      <c r="AT888">
        <f>$H$888*$Z$888</f>
        <v>372.16</v>
      </c>
      <c r="AU888">
        <f>$H$888*$AA$888</f>
        <v>372.16</v>
      </c>
      <c r="AV888">
        <f>$H$888*$AB$888</f>
        <v>372.16</v>
      </c>
      <c r="AW888">
        <f>$H$888*$AC$888</f>
        <v>372.16</v>
      </c>
      <c r="AX888">
        <f>$H$888*$AD$888</f>
        <v>372.16</v>
      </c>
      <c r="AY888">
        <f>$H$888*$AE$888</f>
        <v>372.16</v>
      </c>
      <c r="AZ888">
        <f>$H$888*$AF$888</f>
        <v>372.16</v>
      </c>
    </row>
    <row r="889" spans="1:52" x14ac:dyDescent="0.25">
      <c r="A889">
        <v>957</v>
      </c>
      <c r="B889" t="s">
        <v>283</v>
      </c>
      <c r="C889" t="s">
        <v>467</v>
      </c>
      <c r="D889">
        <v>86.63</v>
      </c>
      <c r="E889">
        <v>853.31</v>
      </c>
      <c r="F889" t="s">
        <v>349</v>
      </c>
      <c r="G889">
        <v>9.85</v>
      </c>
      <c r="H889">
        <v>1023.97</v>
      </c>
      <c r="I889" t="s">
        <v>465</v>
      </c>
      <c r="J889" t="s">
        <v>372</v>
      </c>
      <c r="K889" t="s">
        <v>667</v>
      </c>
      <c r="L889" t="s">
        <v>179</v>
      </c>
      <c r="M889" t="s">
        <v>283</v>
      </c>
      <c r="N889" t="s">
        <v>12</v>
      </c>
      <c r="O889" t="s">
        <v>4</v>
      </c>
      <c r="P889">
        <v>0</v>
      </c>
      <c r="Q889">
        <v>0</v>
      </c>
      <c r="R889">
        <v>0</v>
      </c>
      <c r="S889">
        <v>1</v>
      </c>
      <c r="T889">
        <v>1</v>
      </c>
      <c r="U889">
        <v>1</v>
      </c>
      <c r="V889">
        <v>1</v>
      </c>
      <c r="W889">
        <v>1</v>
      </c>
      <c r="X889">
        <v>1</v>
      </c>
      <c r="Y889">
        <v>1</v>
      </c>
      <c r="Z889">
        <v>1</v>
      </c>
      <c r="AA889">
        <v>1</v>
      </c>
      <c r="AB889">
        <v>1</v>
      </c>
      <c r="AC889">
        <v>1</v>
      </c>
      <c r="AD889">
        <v>1</v>
      </c>
      <c r="AE889">
        <v>1</v>
      </c>
      <c r="AF889">
        <v>1</v>
      </c>
      <c r="AG889" t="s">
        <v>283</v>
      </c>
      <c r="AH889" t="s">
        <v>12</v>
      </c>
      <c r="AI889" t="s">
        <v>4</v>
      </c>
      <c r="AJ889">
        <f>$H$889*$P$889</f>
        <v>0</v>
      </c>
      <c r="AK889">
        <f>$H$889*$Q$889</f>
        <v>0</v>
      </c>
      <c r="AL889">
        <f>$H$889*$R$889</f>
        <v>0</v>
      </c>
      <c r="AM889">
        <f>$H$889*$S$889</f>
        <v>1023.97</v>
      </c>
      <c r="AN889">
        <f>$H$889*$T$889</f>
        <v>1023.97</v>
      </c>
      <c r="AO889">
        <f>$H$889*$U$889</f>
        <v>1023.97</v>
      </c>
      <c r="AP889">
        <f>$H$889*$V$889</f>
        <v>1023.97</v>
      </c>
      <c r="AQ889">
        <f>$H$889*$W$889</f>
        <v>1023.97</v>
      </c>
      <c r="AR889">
        <f>$H$889*$X$889</f>
        <v>1023.97</v>
      </c>
      <c r="AS889">
        <f>$H$889*$Y$889</f>
        <v>1023.97</v>
      </c>
      <c r="AT889">
        <f>$H$889*$Z$889</f>
        <v>1023.97</v>
      </c>
      <c r="AU889">
        <f>$H$889*$AA$889</f>
        <v>1023.97</v>
      </c>
      <c r="AV889">
        <f>$H$889*$AB$889</f>
        <v>1023.97</v>
      </c>
      <c r="AW889">
        <f>$H$889*$AC$889</f>
        <v>1023.97</v>
      </c>
      <c r="AX889">
        <f>$H$889*$AD$889</f>
        <v>1023.97</v>
      </c>
      <c r="AY889">
        <f>$H$889*$AE$889</f>
        <v>1023.97</v>
      </c>
      <c r="AZ889">
        <f>$H$889*$AF$889</f>
        <v>1023.97</v>
      </c>
    </row>
    <row r="890" spans="1:52" x14ac:dyDescent="0.25">
      <c r="A890">
        <v>958</v>
      </c>
      <c r="B890" t="s">
        <v>283</v>
      </c>
      <c r="C890" t="s">
        <v>468</v>
      </c>
      <c r="D890">
        <v>99.62</v>
      </c>
      <c r="E890">
        <v>101.61</v>
      </c>
      <c r="F890" t="s">
        <v>349</v>
      </c>
      <c r="G890">
        <v>1.02</v>
      </c>
      <c r="H890">
        <v>121.93</v>
      </c>
      <c r="I890" t="s">
        <v>469</v>
      </c>
      <c r="J890" t="s">
        <v>470</v>
      </c>
      <c r="K890" t="s">
        <v>668</v>
      </c>
      <c r="L890" t="s">
        <v>179</v>
      </c>
      <c r="M890" t="s">
        <v>283</v>
      </c>
      <c r="N890" t="s">
        <v>12</v>
      </c>
      <c r="O890" t="s">
        <v>4</v>
      </c>
      <c r="P890">
        <v>0</v>
      </c>
      <c r="Q890">
        <v>0</v>
      </c>
      <c r="R890">
        <v>0</v>
      </c>
      <c r="S890">
        <v>1</v>
      </c>
      <c r="T890">
        <v>1</v>
      </c>
      <c r="U890">
        <v>1</v>
      </c>
      <c r="V890">
        <v>1</v>
      </c>
      <c r="W890">
        <v>1</v>
      </c>
      <c r="X890">
        <v>1</v>
      </c>
      <c r="Y890">
        <v>1</v>
      </c>
      <c r="Z890">
        <v>1</v>
      </c>
      <c r="AA890">
        <v>1</v>
      </c>
      <c r="AB890">
        <v>1</v>
      </c>
      <c r="AC890">
        <v>1</v>
      </c>
      <c r="AD890">
        <v>1</v>
      </c>
      <c r="AE890">
        <v>1</v>
      </c>
      <c r="AF890">
        <v>1</v>
      </c>
      <c r="AG890" t="s">
        <v>283</v>
      </c>
      <c r="AH890" t="s">
        <v>12</v>
      </c>
      <c r="AI890" t="s">
        <v>4</v>
      </c>
      <c r="AJ890">
        <f>$H$890*$P$890</f>
        <v>0</v>
      </c>
      <c r="AK890">
        <f>$H$890*$Q$890</f>
        <v>0</v>
      </c>
      <c r="AL890">
        <f>$H$890*$R$890</f>
        <v>0</v>
      </c>
      <c r="AM890">
        <f>$H$890*$S$890</f>
        <v>121.93</v>
      </c>
      <c r="AN890">
        <f>$H$890*$T$890</f>
        <v>121.93</v>
      </c>
      <c r="AO890">
        <f>$H$890*$U$890</f>
        <v>121.93</v>
      </c>
      <c r="AP890">
        <f>$H$890*$V$890</f>
        <v>121.93</v>
      </c>
      <c r="AQ890">
        <f>$H$890*$W$890</f>
        <v>121.93</v>
      </c>
      <c r="AR890">
        <f>$H$890*$X$890</f>
        <v>121.93</v>
      </c>
      <c r="AS890">
        <f>$H$890*$Y$890</f>
        <v>121.93</v>
      </c>
      <c r="AT890">
        <f>$H$890*$Z$890</f>
        <v>121.93</v>
      </c>
      <c r="AU890">
        <f>$H$890*$AA$890</f>
        <v>121.93</v>
      </c>
      <c r="AV890">
        <f>$H$890*$AB$890</f>
        <v>121.93</v>
      </c>
      <c r="AW890">
        <f>$H$890*$AC$890</f>
        <v>121.93</v>
      </c>
      <c r="AX890">
        <f>$H$890*$AD$890</f>
        <v>121.93</v>
      </c>
      <c r="AY890">
        <f>$H$890*$AE$890</f>
        <v>121.93</v>
      </c>
      <c r="AZ890">
        <f>$H$890*$AF$890</f>
        <v>121.93</v>
      </c>
    </row>
    <row r="891" spans="1:52" x14ac:dyDescent="0.25">
      <c r="A891">
        <v>959</v>
      </c>
      <c r="B891" t="s">
        <v>283</v>
      </c>
      <c r="C891" t="s">
        <v>471</v>
      </c>
      <c r="D891">
        <v>99.62</v>
      </c>
      <c r="E891">
        <v>919.49</v>
      </c>
      <c r="F891" t="s">
        <v>349</v>
      </c>
      <c r="G891">
        <v>9.23</v>
      </c>
      <c r="H891">
        <v>1103.3900000000001</v>
      </c>
      <c r="I891" t="s">
        <v>469</v>
      </c>
      <c r="J891" t="s">
        <v>463</v>
      </c>
      <c r="K891" t="s">
        <v>669</v>
      </c>
      <c r="L891" t="s">
        <v>179</v>
      </c>
      <c r="M891" t="s">
        <v>283</v>
      </c>
      <c r="N891" t="s">
        <v>12</v>
      </c>
      <c r="O891" t="s">
        <v>4</v>
      </c>
      <c r="P891">
        <v>0</v>
      </c>
      <c r="Q891">
        <v>0</v>
      </c>
      <c r="R891">
        <v>0</v>
      </c>
      <c r="S891">
        <v>1</v>
      </c>
      <c r="T891">
        <v>1</v>
      </c>
      <c r="U891">
        <v>1</v>
      </c>
      <c r="V891">
        <v>1</v>
      </c>
      <c r="W891">
        <v>1</v>
      </c>
      <c r="X891">
        <v>1</v>
      </c>
      <c r="Y891">
        <v>1</v>
      </c>
      <c r="Z891">
        <v>1</v>
      </c>
      <c r="AA891">
        <v>1</v>
      </c>
      <c r="AB891">
        <v>1</v>
      </c>
      <c r="AC891">
        <v>1</v>
      </c>
      <c r="AD891">
        <v>1</v>
      </c>
      <c r="AE891">
        <v>1</v>
      </c>
      <c r="AF891">
        <v>1</v>
      </c>
      <c r="AG891" t="s">
        <v>283</v>
      </c>
      <c r="AH891" t="s">
        <v>12</v>
      </c>
      <c r="AI891" t="s">
        <v>4</v>
      </c>
      <c r="AJ891">
        <f>$H$891*$P$891</f>
        <v>0</v>
      </c>
      <c r="AK891">
        <f>$H$891*$Q$891</f>
        <v>0</v>
      </c>
      <c r="AL891">
        <f>$H$891*$R$891</f>
        <v>0</v>
      </c>
      <c r="AM891">
        <f>$H$891*$S$891</f>
        <v>1103.3900000000001</v>
      </c>
      <c r="AN891">
        <f>$H$891*$T$891</f>
        <v>1103.3900000000001</v>
      </c>
      <c r="AO891">
        <f>$H$891*$U$891</f>
        <v>1103.3900000000001</v>
      </c>
      <c r="AP891">
        <f>$H$891*$V$891</f>
        <v>1103.3900000000001</v>
      </c>
      <c r="AQ891">
        <f>$H$891*$W$891</f>
        <v>1103.3900000000001</v>
      </c>
      <c r="AR891">
        <f>$H$891*$X$891</f>
        <v>1103.3900000000001</v>
      </c>
      <c r="AS891">
        <f>$H$891*$Y$891</f>
        <v>1103.3900000000001</v>
      </c>
      <c r="AT891">
        <f>$H$891*$Z$891</f>
        <v>1103.3900000000001</v>
      </c>
      <c r="AU891">
        <f>$H$891*$AA$891</f>
        <v>1103.3900000000001</v>
      </c>
      <c r="AV891">
        <f>$H$891*$AB$891</f>
        <v>1103.3900000000001</v>
      </c>
      <c r="AW891">
        <f>$H$891*$AC$891</f>
        <v>1103.3900000000001</v>
      </c>
      <c r="AX891">
        <f>$H$891*$AD$891</f>
        <v>1103.3900000000001</v>
      </c>
      <c r="AY891">
        <f>$H$891*$AE$891</f>
        <v>1103.3900000000001</v>
      </c>
      <c r="AZ891">
        <f>$H$891*$AF$891</f>
        <v>1103.3900000000001</v>
      </c>
    </row>
    <row r="892" spans="1:52" x14ac:dyDescent="0.25">
      <c r="A892">
        <v>960</v>
      </c>
      <c r="B892" t="s">
        <v>285</v>
      </c>
      <c r="C892" t="s">
        <v>336</v>
      </c>
      <c r="D892">
        <v>1</v>
      </c>
      <c r="E892">
        <v>87.09</v>
      </c>
      <c r="F892" t="s">
        <v>335</v>
      </c>
      <c r="G892">
        <v>87.09</v>
      </c>
      <c r="H892">
        <v>104.51</v>
      </c>
      <c r="I892" t="s">
        <v>337</v>
      </c>
      <c r="J892" t="s">
        <v>338</v>
      </c>
      <c r="K892" t="s">
        <v>606</v>
      </c>
      <c r="L892" t="s">
        <v>179</v>
      </c>
      <c r="M892" t="s">
        <v>285</v>
      </c>
      <c r="N892" t="s">
        <v>11</v>
      </c>
      <c r="O892" t="s">
        <v>4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1</v>
      </c>
      <c r="AE892">
        <v>1</v>
      </c>
      <c r="AF892">
        <v>1</v>
      </c>
      <c r="AG892" t="s">
        <v>285</v>
      </c>
      <c r="AH892" t="s">
        <v>11</v>
      </c>
      <c r="AI892" t="s">
        <v>4</v>
      </c>
      <c r="AJ892">
        <f>$H$892*$P$892</f>
        <v>0</v>
      </c>
      <c r="AK892">
        <f>$H$892*$Q$892</f>
        <v>0</v>
      </c>
      <c r="AL892">
        <f>$H$892*$R$892</f>
        <v>0</v>
      </c>
      <c r="AM892">
        <f>$H$892*$S$892</f>
        <v>0</v>
      </c>
      <c r="AN892">
        <f>$H$892*$T$892</f>
        <v>0</v>
      </c>
      <c r="AO892">
        <f>$H$892*$U$892</f>
        <v>0</v>
      </c>
      <c r="AP892">
        <f>$H$892*$V$892</f>
        <v>0</v>
      </c>
      <c r="AQ892">
        <f>$H$892*$W$892</f>
        <v>0</v>
      </c>
      <c r="AR892">
        <f>$H$892*$X$892</f>
        <v>0</v>
      </c>
      <c r="AS892">
        <f>$H$892*$Y$892</f>
        <v>0</v>
      </c>
      <c r="AT892">
        <f>$H$892*$Z$892</f>
        <v>0</v>
      </c>
      <c r="AU892">
        <f>$H$892*$AA$892</f>
        <v>0</v>
      </c>
      <c r="AV892">
        <f>$H$892*$AB$892</f>
        <v>0</v>
      </c>
      <c r="AW892">
        <f>$H$892*$AC$892</f>
        <v>0</v>
      </c>
      <c r="AX892">
        <f>$H$892*$AD$892</f>
        <v>104.51</v>
      </c>
      <c r="AY892">
        <f>$H$892*$AE$892</f>
        <v>104.51</v>
      </c>
      <c r="AZ892">
        <f>$H$892*$AF$892</f>
        <v>104.51</v>
      </c>
    </row>
    <row r="893" spans="1:52" x14ac:dyDescent="0.25">
      <c r="A893">
        <v>961</v>
      </c>
      <c r="B893" t="s">
        <v>285</v>
      </c>
      <c r="C893" t="s">
        <v>358</v>
      </c>
      <c r="D893">
        <v>12</v>
      </c>
      <c r="E893">
        <v>53.28</v>
      </c>
      <c r="F893" t="s">
        <v>329</v>
      </c>
      <c r="G893">
        <v>4.4400000000000004</v>
      </c>
      <c r="H893">
        <v>63.94</v>
      </c>
      <c r="I893" t="s">
        <v>330</v>
      </c>
      <c r="J893" t="s">
        <v>359</v>
      </c>
      <c r="K893" t="s">
        <v>615</v>
      </c>
      <c r="L893" t="s">
        <v>179</v>
      </c>
      <c r="M893" t="s">
        <v>285</v>
      </c>
      <c r="N893" t="s">
        <v>11</v>
      </c>
      <c r="O893" t="s">
        <v>4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1</v>
      </c>
      <c r="AB893">
        <v>1</v>
      </c>
      <c r="AC893">
        <v>1</v>
      </c>
      <c r="AD893">
        <v>1</v>
      </c>
      <c r="AE893">
        <v>1</v>
      </c>
      <c r="AF893">
        <v>1</v>
      </c>
      <c r="AG893" t="s">
        <v>285</v>
      </c>
      <c r="AH893" t="s">
        <v>11</v>
      </c>
      <c r="AI893" t="s">
        <v>4</v>
      </c>
      <c r="AJ893">
        <f>$H$893*$P$893</f>
        <v>0</v>
      </c>
      <c r="AK893">
        <f>$H$893*$Q$893</f>
        <v>0</v>
      </c>
      <c r="AL893">
        <f>$H$893*$R$893</f>
        <v>0</v>
      </c>
      <c r="AM893">
        <f>$H$893*$S$893</f>
        <v>0</v>
      </c>
      <c r="AN893">
        <f>$H$893*$T$893</f>
        <v>0</v>
      </c>
      <c r="AO893">
        <f>$H$893*$U$893</f>
        <v>0</v>
      </c>
      <c r="AP893">
        <f>$H$893*$V$893</f>
        <v>0</v>
      </c>
      <c r="AQ893">
        <f>$H$893*$W$893</f>
        <v>0</v>
      </c>
      <c r="AR893">
        <f>$H$893*$X$893</f>
        <v>0</v>
      </c>
      <c r="AS893">
        <f>$H$893*$Y$893</f>
        <v>0</v>
      </c>
      <c r="AT893">
        <f>$H$893*$Z$893</f>
        <v>0</v>
      </c>
      <c r="AU893">
        <f>$H$893*$AA$893</f>
        <v>63.94</v>
      </c>
      <c r="AV893">
        <f>$H$893*$AB$893</f>
        <v>63.94</v>
      </c>
      <c r="AW893">
        <f>$H$893*$AC$893</f>
        <v>63.94</v>
      </c>
      <c r="AX893">
        <f>$H$893*$AD$893</f>
        <v>63.94</v>
      </c>
      <c r="AY893">
        <f>$H$893*$AE$893</f>
        <v>63.94</v>
      </c>
      <c r="AZ893">
        <f>$H$893*$AF$893</f>
        <v>63.94</v>
      </c>
    </row>
    <row r="894" spans="1:52" x14ac:dyDescent="0.25">
      <c r="A894">
        <v>962</v>
      </c>
      <c r="B894" t="s">
        <v>285</v>
      </c>
      <c r="C894" t="s">
        <v>472</v>
      </c>
      <c r="D894">
        <v>6</v>
      </c>
      <c r="E894">
        <v>64.56</v>
      </c>
      <c r="F894" t="s">
        <v>329</v>
      </c>
      <c r="G894">
        <v>10.76</v>
      </c>
      <c r="H894">
        <v>77.48</v>
      </c>
      <c r="I894" t="s">
        <v>333</v>
      </c>
      <c r="J894" t="s">
        <v>473</v>
      </c>
      <c r="K894" t="s">
        <v>670</v>
      </c>
      <c r="L894" t="s">
        <v>179</v>
      </c>
      <c r="M894" t="s">
        <v>285</v>
      </c>
      <c r="N894" t="s">
        <v>11</v>
      </c>
      <c r="O894" t="s">
        <v>4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1</v>
      </c>
      <c r="AA894">
        <v>1</v>
      </c>
      <c r="AB894">
        <v>1</v>
      </c>
      <c r="AC894">
        <v>1</v>
      </c>
      <c r="AD894">
        <v>1</v>
      </c>
      <c r="AE894">
        <v>1</v>
      </c>
      <c r="AF894">
        <v>1</v>
      </c>
      <c r="AG894" t="s">
        <v>285</v>
      </c>
      <c r="AH894" t="s">
        <v>11</v>
      </c>
      <c r="AI894" t="s">
        <v>4</v>
      </c>
      <c r="AJ894">
        <f>$H$894*$P$894</f>
        <v>0</v>
      </c>
      <c r="AK894">
        <f>$H$894*$Q$894</f>
        <v>0</v>
      </c>
      <c r="AL894">
        <f>$H$894*$R$894</f>
        <v>0</v>
      </c>
      <c r="AM894">
        <f>$H$894*$S$894</f>
        <v>0</v>
      </c>
      <c r="AN894">
        <f>$H$894*$T$894</f>
        <v>0</v>
      </c>
      <c r="AO894">
        <f>$H$894*$U$894</f>
        <v>0</v>
      </c>
      <c r="AP894">
        <f>$H$894*$V$894</f>
        <v>0</v>
      </c>
      <c r="AQ894">
        <f>$H$894*$W$894</f>
        <v>0</v>
      </c>
      <c r="AR894">
        <f>$H$894*$X$894</f>
        <v>0</v>
      </c>
      <c r="AS894">
        <f>$H$894*$Y$894</f>
        <v>0</v>
      </c>
      <c r="AT894">
        <f>$H$894*$Z$894</f>
        <v>77.48</v>
      </c>
      <c r="AU894">
        <f>$H$894*$AA$894</f>
        <v>77.48</v>
      </c>
      <c r="AV894">
        <f>$H$894*$AB$894</f>
        <v>77.48</v>
      </c>
      <c r="AW894">
        <f>$H$894*$AC$894</f>
        <v>77.48</v>
      </c>
      <c r="AX894">
        <f>$H$894*$AD$894</f>
        <v>77.48</v>
      </c>
      <c r="AY894">
        <f>$H$894*$AE$894</f>
        <v>77.48</v>
      </c>
      <c r="AZ894">
        <f>$H$894*$AF$894</f>
        <v>77.48</v>
      </c>
    </row>
    <row r="895" spans="1:52" x14ac:dyDescent="0.25">
      <c r="A895">
        <v>963</v>
      </c>
      <c r="B895" t="s">
        <v>285</v>
      </c>
      <c r="C895" t="s">
        <v>360</v>
      </c>
      <c r="D895">
        <v>6</v>
      </c>
      <c r="E895">
        <v>69.3</v>
      </c>
      <c r="F895" t="s">
        <v>329</v>
      </c>
      <c r="G895">
        <v>11.55</v>
      </c>
      <c r="H895">
        <v>83.16</v>
      </c>
      <c r="I895" t="s">
        <v>333</v>
      </c>
      <c r="J895" t="s">
        <v>361</v>
      </c>
      <c r="K895" t="s">
        <v>616</v>
      </c>
      <c r="L895" t="s">
        <v>179</v>
      </c>
      <c r="M895" t="s">
        <v>285</v>
      </c>
      <c r="N895" t="s">
        <v>11</v>
      </c>
      <c r="O895" t="s">
        <v>4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1</v>
      </c>
      <c r="AB895">
        <v>1</v>
      </c>
      <c r="AC895">
        <v>1</v>
      </c>
      <c r="AD895">
        <v>1</v>
      </c>
      <c r="AE895">
        <v>1</v>
      </c>
      <c r="AF895">
        <v>1</v>
      </c>
      <c r="AG895" t="s">
        <v>285</v>
      </c>
      <c r="AH895" t="s">
        <v>11</v>
      </c>
      <c r="AI895" t="s">
        <v>4</v>
      </c>
      <c r="AJ895">
        <f>$H$895*$P$895</f>
        <v>0</v>
      </c>
      <c r="AK895">
        <f>$H$895*$Q$895</f>
        <v>0</v>
      </c>
      <c r="AL895">
        <f>$H$895*$R$895</f>
        <v>0</v>
      </c>
      <c r="AM895">
        <f>$H$895*$S$895</f>
        <v>0</v>
      </c>
      <c r="AN895">
        <f>$H$895*$T$895</f>
        <v>0</v>
      </c>
      <c r="AO895">
        <f>$H$895*$U$895</f>
        <v>0</v>
      </c>
      <c r="AP895">
        <f>$H$895*$V$895</f>
        <v>0</v>
      </c>
      <c r="AQ895">
        <f>$H$895*$W$895</f>
        <v>0</v>
      </c>
      <c r="AR895">
        <f>$H$895*$X$895</f>
        <v>0</v>
      </c>
      <c r="AS895">
        <f>$H$895*$Y$895</f>
        <v>0</v>
      </c>
      <c r="AT895">
        <f>$H$895*$Z$895</f>
        <v>0</v>
      </c>
      <c r="AU895">
        <f>$H$895*$AA$895</f>
        <v>83.16</v>
      </c>
      <c r="AV895">
        <f>$H$895*$AB$895</f>
        <v>83.16</v>
      </c>
      <c r="AW895">
        <f>$H$895*$AC$895</f>
        <v>83.16</v>
      </c>
      <c r="AX895">
        <f>$H$895*$AD$895</f>
        <v>83.16</v>
      </c>
      <c r="AY895">
        <f>$H$895*$AE$895</f>
        <v>83.16</v>
      </c>
      <c r="AZ895">
        <f>$H$895*$AF$895</f>
        <v>83.16</v>
      </c>
    </row>
    <row r="896" spans="1:52" x14ac:dyDescent="0.25">
      <c r="A896">
        <v>964</v>
      </c>
      <c r="B896" t="s">
        <v>285</v>
      </c>
      <c r="C896" t="s">
        <v>431</v>
      </c>
      <c r="D896">
        <v>6</v>
      </c>
      <c r="E896">
        <v>28.5</v>
      </c>
      <c r="F896" t="s">
        <v>329</v>
      </c>
      <c r="G896">
        <v>4.75</v>
      </c>
      <c r="H896">
        <v>34.200000000000003</v>
      </c>
      <c r="I896" t="s">
        <v>333</v>
      </c>
      <c r="J896" t="s">
        <v>432</v>
      </c>
      <c r="K896" t="s">
        <v>650</v>
      </c>
      <c r="L896" t="s">
        <v>179</v>
      </c>
      <c r="M896" t="s">
        <v>285</v>
      </c>
      <c r="N896" t="s">
        <v>11</v>
      </c>
      <c r="O896" t="s">
        <v>4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1</v>
      </c>
      <c r="AD896">
        <v>1</v>
      </c>
      <c r="AE896">
        <v>1</v>
      </c>
      <c r="AF896">
        <v>1</v>
      </c>
      <c r="AG896" t="s">
        <v>285</v>
      </c>
      <c r="AH896" t="s">
        <v>11</v>
      </c>
      <c r="AI896" t="s">
        <v>4</v>
      </c>
      <c r="AJ896">
        <f>$H$896*$P$896</f>
        <v>0</v>
      </c>
      <c r="AK896">
        <f>$H$896*$Q$896</f>
        <v>0</v>
      </c>
      <c r="AL896">
        <f>$H$896*$R$896</f>
        <v>0</v>
      </c>
      <c r="AM896">
        <f>$H$896*$S$896</f>
        <v>0</v>
      </c>
      <c r="AN896">
        <f>$H$896*$T$896</f>
        <v>0</v>
      </c>
      <c r="AO896">
        <f>$H$896*$U$896</f>
        <v>0</v>
      </c>
      <c r="AP896">
        <f>$H$896*$V$896</f>
        <v>0</v>
      </c>
      <c r="AQ896">
        <f>$H$896*$W$896</f>
        <v>0</v>
      </c>
      <c r="AR896">
        <f>$H$896*$X$896</f>
        <v>0</v>
      </c>
      <c r="AS896">
        <f>$H$896*$Y$896</f>
        <v>0</v>
      </c>
      <c r="AT896">
        <f>$H$896*$Z$896</f>
        <v>0</v>
      </c>
      <c r="AU896">
        <f>$H$896*$AA$896</f>
        <v>0</v>
      </c>
      <c r="AV896">
        <f>$H$896*$AB$896</f>
        <v>0</v>
      </c>
      <c r="AW896">
        <f>$H$896*$AC$896</f>
        <v>34.200000000000003</v>
      </c>
      <c r="AX896">
        <f>$H$896*$AD$896</f>
        <v>34.200000000000003</v>
      </c>
      <c r="AY896">
        <f>$H$896*$AE$896</f>
        <v>34.200000000000003</v>
      </c>
      <c r="AZ896">
        <f>$H$896*$AF$896</f>
        <v>34.200000000000003</v>
      </c>
    </row>
    <row r="897" spans="1:52" x14ac:dyDescent="0.25">
      <c r="A897">
        <v>965</v>
      </c>
      <c r="B897" t="s">
        <v>285</v>
      </c>
      <c r="C897" t="s">
        <v>435</v>
      </c>
      <c r="D897">
        <v>8</v>
      </c>
      <c r="E897">
        <v>106.16</v>
      </c>
      <c r="F897" t="s">
        <v>335</v>
      </c>
      <c r="G897">
        <v>13.27</v>
      </c>
      <c r="H897">
        <v>127.4</v>
      </c>
      <c r="I897" t="s">
        <v>337</v>
      </c>
      <c r="J897" t="s">
        <v>436</v>
      </c>
      <c r="K897" t="s">
        <v>652</v>
      </c>
      <c r="L897" t="s">
        <v>179</v>
      </c>
      <c r="M897" t="s">
        <v>285</v>
      </c>
      <c r="N897" t="s">
        <v>11</v>
      </c>
      <c r="O897" t="s">
        <v>4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1</v>
      </c>
      <c r="Y897">
        <v>1</v>
      </c>
      <c r="Z897">
        <v>1</v>
      </c>
      <c r="AA897">
        <v>1</v>
      </c>
      <c r="AB897">
        <v>1</v>
      </c>
      <c r="AC897">
        <v>1</v>
      </c>
      <c r="AD897">
        <v>1</v>
      </c>
      <c r="AE897">
        <v>1</v>
      </c>
      <c r="AF897">
        <v>1</v>
      </c>
      <c r="AG897" t="s">
        <v>285</v>
      </c>
      <c r="AH897" t="s">
        <v>11</v>
      </c>
      <c r="AI897" t="s">
        <v>4</v>
      </c>
      <c r="AJ897">
        <f>$H$897*$P$897</f>
        <v>0</v>
      </c>
      <c r="AK897">
        <f>$H$897*$Q$897</f>
        <v>0</v>
      </c>
      <c r="AL897">
        <f>$H$897*$R$897</f>
        <v>0</v>
      </c>
      <c r="AM897">
        <f>$H$897*$S$897</f>
        <v>0</v>
      </c>
      <c r="AN897">
        <f>$H$897*$T$897</f>
        <v>0</v>
      </c>
      <c r="AO897">
        <f>$H$897*$U$897</f>
        <v>0</v>
      </c>
      <c r="AP897">
        <f>$H$897*$V$897</f>
        <v>0</v>
      </c>
      <c r="AQ897">
        <f>$H$897*$W$897</f>
        <v>0</v>
      </c>
      <c r="AR897">
        <f>$H$897*$X$897</f>
        <v>127.4</v>
      </c>
      <c r="AS897">
        <f>$H$897*$Y$897</f>
        <v>127.4</v>
      </c>
      <c r="AT897">
        <f>$H$897*$Z$897</f>
        <v>127.4</v>
      </c>
      <c r="AU897">
        <f>$H$897*$AA$897</f>
        <v>127.4</v>
      </c>
      <c r="AV897">
        <f>$H$897*$AB$897</f>
        <v>127.4</v>
      </c>
      <c r="AW897">
        <f>$H$897*$AC$897</f>
        <v>127.4</v>
      </c>
      <c r="AX897">
        <f>$H$897*$AD$897</f>
        <v>127.4</v>
      </c>
      <c r="AY897">
        <f>$H$897*$AE$897</f>
        <v>127.4</v>
      </c>
      <c r="AZ897">
        <f>$H$897*$AF$897</f>
        <v>127.4</v>
      </c>
    </row>
    <row r="898" spans="1:52" x14ac:dyDescent="0.25">
      <c r="A898">
        <v>966</v>
      </c>
      <c r="B898" t="s">
        <v>285</v>
      </c>
      <c r="C898" t="s">
        <v>437</v>
      </c>
      <c r="D898">
        <v>1</v>
      </c>
      <c r="E898">
        <v>98.82</v>
      </c>
      <c r="F898" t="s">
        <v>335</v>
      </c>
      <c r="G898">
        <v>98.82</v>
      </c>
      <c r="H898">
        <v>118.58</v>
      </c>
      <c r="I898" t="s">
        <v>340</v>
      </c>
      <c r="J898" t="s">
        <v>372</v>
      </c>
      <c r="K898" t="s">
        <v>653</v>
      </c>
      <c r="L898" t="s">
        <v>179</v>
      </c>
      <c r="M898" t="s">
        <v>285</v>
      </c>
      <c r="N898" t="s">
        <v>11</v>
      </c>
      <c r="O898" t="s">
        <v>4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1</v>
      </c>
      <c r="AE898">
        <v>1</v>
      </c>
      <c r="AF898">
        <v>1</v>
      </c>
      <c r="AG898" t="s">
        <v>285</v>
      </c>
      <c r="AH898" t="s">
        <v>11</v>
      </c>
      <c r="AI898" t="s">
        <v>4</v>
      </c>
      <c r="AJ898">
        <f>$H$898*$P$898</f>
        <v>0</v>
      </c>
      <c r="AK898">
        <f>$H$898*$Q$898</f>
        <v>0</v>
      </c>
      <c r="AL898">
        <f>$H$898*$R$898</f>
        <v>0</v>
      </c>
      <c r="AM898">
        <f>$H$898*$S$898</f>
        <v>0</v>
      </c>
      <c r="AN898">
        <f>$H$898*$T$898</f>
        <v>0</v>
      </c>
      <c r="AO898">
        <f>$H$898*$U$898</f>
        <v>0</v>
      </c>
      <c r="AP898">
        <f>$H$898*$V$898</f>
        <v>0</v>
      </c>
      <c r="AQ898">
        <f>$H$898*$W$898</f>
        <v>0</v>
      </c>
      <c r="AR898">
        <f>$H$898*$X$898</f>
        <v>0</v>
      </c>
      <c r="AS898">
        <f>$H$898*$Y$898</f>
        <v>0</v>
      </c>
      <c r="AT898">
        <f>$H$898*$Z$898</f>
        <v>0</v>
      </c>
      <c r="AU898">
        <f>$H$898*$AA$898</f>
        <v>0</v>
      </c>
      <c r="AV898">
        <f>$H$898*$AB$898</f>
        <v>0</v>
      </c>
      <c r="AW898">
        <f>$H$898*$AC$898</f>
        <v>0</v>
      </c>
      <c r="AX898">
        <f>$H$898*$AD$898</f>
        <v>118.58</v>
      </c>
      <c r="AY898">
        <f>$H$898*$AE$898</f>
        <v>118.58</v>
      </c>
      <c r="AZ898">
        <f>$H$898*$AF$898</f>
        <v>118.58</v>
      </c>
    </row>
    <row r="899" spans="1:52" x14ac:dyDescent="0.25">
      <c r="A899">
        <v>967</v>
      </c>
      <c r="B899" t="s">
        <v>285</v>
      </c>
      <c r="C899" t="s">
        <v>367</v>
      </c>
      <c r="D899">
        <v>1</v>
      </c>
      <c r="E899">
        <v>62.41</v>
      </c>
      <c r="F899" t="s">
        <v>335</v>
      </c>
      <c r="G899">
        <v>62.41</v>
      </c>
      <c r="H899">
        <v>74.89</v>
      </c>
      <c r="I899" t="s">
        <v>368</v>
      </c>
      <c r="J899" t="s">
        <v>369</v>
      </c>
      <c r="K899" t="s">
        <v>619</v>
      </c>
      <c r="L899" t="s">
        <v>179</v>
      </c>
      <c r="M899" t="s">
        <v>285</v>
      </c>
      <c r="N899" t="s">
        <v>11</v>
      </c>
      <c r="O899" t="s">
        <v>4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1</v>
      </c>
      <c r="AB899">
        <v>1</v>
      </c>
      <c r="AC899">
        <v>1</v>
      </c>
      <c r="AD899">
        <v>1</v>
      </c>
      <c r="AE899">
        <v>1</v>
      </c>
      <c r="AF899">
        <v>1</v>
      </c>
      <c r="AG899" t="s">
        <v>285</v>
      </c>
      <c r="AH899" t="s">
        <v>11</v>
      </c>
      <c r="AI899" t="s">
        <v>4</v>
      </c>
      <c r="AJ899">
        <f>$H$899*$P$899</f>
        <v>0</v>
      </c>
      <c r="AK899">
        <f>$H$899*$Q$899</f>
        <v>0</v>
      </c>
      <c r="AL899">
        <f>$H$899*$R$899</f>
        <v>0</v>
      </c>
      <c r="AM899">
        <f>$H$899*$S$899</f>
        <v>0</v>
      </c>
      <c r="AN899">
        <f>$H$899*$T$899</f>
        <v>0</v>
      </c>
      <c r="AO899">
        <f>$H$899*$U$899</f>
        <v>0</v>
      </c>
      <c r="AP899">
        <f>$H$899*$V$899</f>
        <v>0</v>
      </c>
      <c r="AQ899">
        <f>$H$899*$W$899</f>
        <v>0</v>
      </c>
      <c r="AR899">
        <f>$H$899*$X$899</f>
        <v>0</v>
      </c>
      <c r="AS899">
        <f>$H$899*$Y$899</f>
        <v>0</v>
      </c>
      <c r="AT899">
        <f>$H$899*$Z$899</f>
        <v>0</v>
      </c>
      <c r="AU899">
        <f>$H$899*$AA$899</f>
        <v>74.89</v>
      </c>
      <c r="AV899">
        <f>$H$899*$AB$899</f>
        <v>74.89</v>
      </c>
      <c r="AW899">
        <f>$H$899*$AC$899</f>
        <v>74.89</v>
      </c>
      <c r="AX899">
        <f>$H$899*$AD$899</f>
        <v>74.89</v>
      </c>
      <c r="AY899">
        <f>$H$899*$AE$899</f>
        <v>74.89</v>
      </c>
      <c r="AZ899">
        <f>$H$899*$AF$899</f>
        <v>74.89</v>
      </c>
    </row>
    <row r="900" spans="1:52" x14ac:dyDescent="0.25">
      <c r="A900">
        <v>968</v>
      </c>
      <c r="B900" t="s">
        <v>285</v>
      </c>
      <c r="C900" t="s">
        <v>531</v>
      </c>
      <c r="D900">
        <v>2</v>
      </c>
      <c r="E900">
        <v>110.04</v>
      </c>
      <c r="F900" t="s">
        <v>335</v>
      </c>
      <c r="G900">
        <v>55.02</v>
      </c>
      <c r="H900">
        <v>132.04</v>
      </c>
      <c r="I900" t="s">
        <v>330</v>
      </c>
      <c r="J900" t="s">
        <v>532</v>
      </c>
      <c r="K900" t="s">
        <v>698</v>
      </c>
      <c r="L900" t="s">
        <v>179</v>
      </c>
      <c r="M900" t="s">
        <v>285</v>
      </c>
      <c r="N900" t="s">
        <v>11</v>
      </c>
      <c r="O900" t="s">
        <v>4</v>
      </c>
      <c r="P900">
        <v>0</v>
      </c>
      <c r="Q900">
        <v>0</v>
      </c>
      <c r="R900">
        <v>0</v>
      </c>
      <c r="S900">
        <v>1</v>
      </c>
      <c r="T900">
        <v>1</v>
      </c>
      <c r="U900">
        <v>1</v>
      </c>
      <c r="V900">
        <v>1</v>
      </c>
      <c r="W900">
        <v>1</v>
      </c>
      <c r="X900">
        <v>1</v>
      </c>
      <c r="Y900">
        <v>1</v>
      </c>
      <c r="Z900">
        <v>1</v>
      </c>
      <c r="AA900">
        <v>1</v>
      </c>
      <c r="AB900">
        <v>1</v>
      </c>
      <c r="AC900">
        <v>1</v>
      </c>
      <c r="AD900">
        <v>1</v>
      </c>
      <c r="AE900">
        <v>1</v>
      </c>
      <c r="AF900">
        <v>1</v>
      </c>
      <c r="AG900" t="s">
        <v>285</v>
      </c>
      <c r="AH900" t="s">
        <v>11</v>
      </c>
      <c r="AI900" t="s">
        <v>4</v>
      </c>
      <c r="AJ900">
        <f>$H$900*$P$900</f>
        <v>0</v>
      </c>
      <c r="AK900">
        <f>$H$900*$Q$900</f>
        <v>0</v>
      </c>
      <c r="AL900">
        <f>$H$900*$R$900</f>
        <v>0</v>
      </c>
      <c r="AM900">
        <f>$H$900*$S$900</f>
        <v>132.04</v>
      </c>
      <c r="AN900">
        <f>$H$900*$T$900</f>
        <v>132.04</v>
      </c>
      <c r="AO900">
        <f>$H$900*$U$900</f>
        <v>132.04</v>
      </c>
      <c r="AP900">
        <f>$H$900*$V$900</f>
        <v>132.04</v>
      </c>
      <c r="AQ900">
        <f>$H$900*$W$900</f>
        <v>132.04</v>
      </c>
      <c r="AR900">
        <f>$H$900*$X$900</f>
        <v>132.04</v>
      </c>
      <c r="AS900">
        <f>$H$900*$Y$900</f>
        <v>132.04</v>
      </c>
      <c r="AT900">
        <f>$H$900*$Z$900</f>
        <v>132.04</v>
      </c>
      <c r="AU900">
        <f>$H$900*$AA$900</f>
        <v>132.04</v>
      </c>
      <c r="AV900">
        <f>$H$900*$AB$900</f>
        <v>132.04</v>
      </c>
      <c r="AW900">
        <f>$H$900*$AC$900</f>
        <v>132.04</v>
      </c>
      <c r="AX900">
        <f>$H$900*$AD$900</f>
        <v>132.04</v>
      </c>
      <c r="AY900">
        <f>$H$900*$AE$900</f>
        <v>132.04</v>
      </c>
      <c r="AZ900">
        <f>$H$900*$AF$900</f>
        <v>132.04</v>
      </c>
    </row>
    <row r="901" spans="1:52" x14ac:dyDescent="0.25">
      <c r="A901">
        <v>969</v>
      </c>
      <c r="B901" t="s">
        <v>285</v>
      </c>
      <c r="C901" t="s">
        <v>533</v>
      </c>
      <c r="D901">
        <v>1</v>
      </c>
      <c r="E901">
        <v>434.33</v>
      </c>
      <c r="F901" t="s">
        <v>335</v>
      </c>
      <c r="G901">
        <v>434.33</v>
      </c>
      <c r="H901">
        <v>521.19000000000005</v>
      </c>
      <c r="I901" t="s">
        <v>371</v>
      </c>
      <c r="J901" t="s">
        <v>534</v>
      </c>
      <c r="K901" t="s">
        <v>699</v>
      </c>
      <c r="L901" t="s">
        <v>179</v>
      </c>
      <c r="M901" t="s">
        <v>285</v>
      </c>
      <c r="N901" t="s">
        <v>11</v>
      </c>
      <c r="O901" t="s">
        <v>4</v>
      </c>
      <c r="P901">
        <v>0</v>
      </c>
      <c r="Q901">
        <v>0</v>
      </c>
      <c r="R901">
        <v>0</v>
      </c>
      <c r="S901">
        <v>0</v>
      </c>
      <c r="T901">
        <v>1</v>
      </c>
      <c r="U901">
        <v>1</v>
      </c>
      <c r="V901">
        <v>1</v>
      </c>
      <c r="W901">
        <v>1</v>
      </c>
      <c r="X901">
        <v>1</v>
      </c>
      <c r="Y901">
        <v>1</v>
      </c>
      <c r="Z901">
        <v>1</v>
      </c>
      <c r="AA901">
        <v>1</v>
      </c>
      <c r="AB901">
        <v>1</v>
      </c>
      <c r="AC901">
        <v>1</v>
      </c>
      <c r="AD901">
        <v>1</v>
      </c>
      <c r="AE901">
        <v>1</v>
      </c>
      <c r="AF901">
        <v>1</v>
      </c>
      <c r="AG901" t="s">
        <v>285</v>
      </c>
      <c r="AH901" t="s">
        <v>11</v>
      </c>
      <c r="AI901" t="s">
        <v>4</v>
      </c>
      <c r="AJ901">
        <f>$H$901*$P$901</f>
        <v>0</v>
      </c>
      <c r="AK901">
        <f>$H$901*$Q$901</f>
        <v>0</v>
      </c>
      <c r="AL901">
        <f>$H$901*$R$901</f>
        <v>0</v>
      </c>
      <c r="AM901">
        <f>$H$901*$S$901</f>
        <v>0</v>
      </c>
      <c r="AN901">
        <f>$H$901*$T$901</f>
        <v>521.19000000000005</v>
      </c>
      <c r="AO901">
        <f>$H$901*$U$901</f>
        <v>521.19000000000005</v>
      </c>
      <c r="AP901">
        <f>$H$901*$V$901</f>
        <v>521.19000000000005</v>
      </c>
      <c r="AQ901">
        <f>$H$901*$W$901</f>
        <v>521.19000000000005</v>
      </c>
      <c r="AR901">
        <f>$H$901*$X$901</f>
        <v>521.19000000000005</v>
      </c>
      <c r="AS901">
        <f>$H$901*$Y$901</f>
        <v>521.19000000000005</v>
      </c>
      <c r="AT901">
        <f>$H$901*$Z$901</f>
        <v>521.19000000000005</v>
      </c>
      <c r="AU901">
        <f>$H$901*$AA$901</f>
        <v>521.19000000000005</v>
      </c>
      <c r="AV901">
        <f>$H$901*$AB$901</f>
        <v>521.19000000000005</v>
      </c>
      <c r="AW901">
        <f>$H$901*$AC$901</f>
        <v>521.19000000000005</v>
      </c>
      <c r="AX901">
        <f>$H$901*$AD$901</f>
        <v>521.19000000000005</v>
      </c>
      <c r="AY901">
        <f>$H$901*$AE$901</f>
        <v>521.19000000000005</v>
      </c>
      <c r="AZ901">
        <f>$H$901*$AF$901</f>
        <v>521.19000000000005</v>
      </c>
    </row>
    <row r="902" spans="1:52" x14ac:dyDescent="0.25">
      <c r="A902">
        <v>970</v>
      </c>
      <c r="B902" t="s">
        <v>285</v>
      </c>
      <c r="C902" t="s">
        <v>375</v>
      </c>
      <c r="D902">
        <v>2</v>
      </c>
      <c r="E902">
        <v>77.86</v>
      </c>
      <c r="F902" t="s">
        <v>335</v>
      </c>
      <c r="G902">
        <v>38.93</v>
      </c>
      <c r="H902">
        <v>93.44</v>
      </c>
      <c r="I902" t="s">
        <v>330</v>
      </c>
      <c r="J902" t="s">
        <v>371</v>
      </c>
      <c r="K902" t="s">
        <v>622</v>
      </c>
      <c r="L902" t="s">
        <v>179</v>
      </c>
      <c r="M902" t="s">
        <v>285</v>
      </c>
      <c r="N902" t="s">
        <v>11</v>
      </c>
      <c r="O902" t="s">
        <v>4</v>
      </c>
      <c r="P902">
        <v>0</v>
      </c>
      <c r="Q902">
        <v>0</v>
      </c>
      <c r="R902">
        <v>0</v>
      </c>
      <c r="S902">
        <v>1</v>
      </c>
      <c r="T902">
        <v>1</v>
      </c>
      <c r="U902">
        <v>1</v>
      </c>
      <c r="V902">
        <v>1</v>
      </c>
      <c r="W902">
        <v>1</v>
      </c>
      <c r="X902">
        <v>1</v>
      </c>
      <c r="Y902">
        <v>1</v>
      </c>
      <c r="Z902">
        <v>1</v>
      </c>
      <c r="AA902">
        <v>1</v>
      </c>
      <c r="AB902">
        <v>1</v>
      </c>
      <c r="AC902">
        <v>1</v>
      </c>
      <c r="AD902">
        <v>1</v>
      </c>
      <c r="AE902">
        <v>1</v>
      </c>
      <c r="AF902">
        <v>1</v>
      </c>
      <c r="AG902" t="s">
        <v>285</v>
      </c>
      <c r="AH902" t="s">
        <v>11</v>
      </c>
      <c r="AI902" t="s">
        <v>4</v>
      </c>
      <c r="AJ902">
        <f>$H$902*$P$902</f>
        <v>0</v>
      </c>
      <c r="AK902">
        <f>$H$902*$Q$902</f>
        <v>0</v>
      </c>
      <c r="AL902">
        <f>$H$902*$R$902</f>
        <v>0</v>
      </c>
      <c r="AM902">
        <f>$H$902*$S$902</f>
        <v>93.44</v>
      </c>
      <c r="AN902">
        <f>$H$902*$T$902</f>
        <v>93.44</v>
      </c>
      <c r="AO902">
        <f>$H$902*$U$902</f>
        <v>93.44</v>
      </c>
      <c r="AP902">
        <f>$H$902*$V$902</f>
        <v>93.44</v>
      </c>
      <c r="AQ902">
        <f>$H$902*$W$902</f>
        <v>93.44</v>
      </c>
      <c r="AR902">
        <f>$H$902*$X$902</f>
        <v>93.44</v>
      </c>
      <c r="AS902">
        <f>$H$902*$Y$902</f>
        <v>93.44</v>
      </c>
      <c r="AT902">
        <f>$H$902*$Z$902</f>
        <v>93.44</v>
      </c>
      <c r="AU902">
        <f>$H$902*$AA$902</f>
        <v>93.44</v>
      </c>
      <c r="AV902">
        <f>$H$902*$AB$902</f>
        <v>93.44</v>
      </c>
      <c r="AW902">
        <f>$H$902*$AC$902</f>
        <v>93.44</v>
      </c>
      <c r="AX902">
        <f>$H$902*$AD$902</f>
        <v>93.44</v>
      </c>
      <c r="AY902">
        <f>$H$902*$AE$902</f>
        <v>93.44</v>
      </c>
      <c r="AZ902">
        <f>$H$902*$AF$902</f>
        <v>93.44</v>
      </c>
    </row>
    <row r="903" spans="1:52" x14ac:dyDescent="0.25">
      <c r="A903">
        <v>971</v>
      </c>
      <c r="B903" t="s">
        <v>285</v>
      </c>
      <c r="C903" t="s">
        <v>373</v>
      </c>
      <c r="D903">
        <v>2</v>
      </c>
      <c r="E903">
        <v>62.72</v>
      </c>
      <c r="F903" t="s">
        <v>335</v>
      </c>
      <c r="G903">
        <v>31.36</v>
      </c>
      <c r="H903">
        <v>75.260000000000005</v>
      </c>
      <c r="I903" t="s">
        <v>330</v>
      </c>
      <c r="J903" t="s">
        <v>374</v>
      </c>
      <c r="K903" t="s">
        <v>621</v>
      </c>
      <c r="L903" t="s">
        <v>179</v>
      </c>
      <c r="M903" t="s">
        <v>285</v>
      </c>
      <c r="N903" t="s">
        <v>11</v>
      </c>
      <c r="O903" t="s">
        <v>4</v>
      </c>
      <c r="P903">
        <v>0</v>
      </c>
      <c r="Q903">
        <v>0</v>
      </c>
      <c r="R903">
        <v>0</v>
      </c>
      <c r="S903">
        <v>1</v>
      </c>
      <c r="T903">
        <v>1</v>
      </c>
      <c r="U903">
        <v>1</v>
      </c>
      <c r="V903">
        <v>1</v>
      </c>
      <c r="W903">
        <v>1</v>
      </c>
      <c r="X903">
        <v>1</v>
      </c>
      <c r="Y903">
        <v>1</v>
      </c>
      <c r="Z903">
        <v>1</v>
      </c>
      <c r="AA903">
        <v>1</v>
      </c>
      <c r="AB903">
        <v>1</v>
      </c>
      <c r="AC903">
        <v>1</v>
      </c>
      <c r="AD903">
        <v>1</v>
      </c>
      <c r="AE903">
        <v>1</v>
      </c>
      <c r="AF903">
        <v>1</v>
      </c>
      <c r="AG903" t="s">
        <v>285</v>
      </c>
      <c r="AH903" t="s">
        <v>11</v>
      </c>
      <c r="AI903" t="s">
        <v>4</v>
      </c>
      <c r="AJ903">
        <f>$H$903*$P$903</f>
        <v>0</v>
      </c>
      <c r="AK903">
        <f>$H$903*$Q$903</f>
        <v>0</v>
      </c>
      <c r="AL903">
        <f>$H$903*$R$903</f>
        <v>0</v>
      </c>
      <c r="AM903">
        <f>$H$903*$S$903</f>
        <v>75.260000000000005</v>
      </c>
      <c r="AN903">
        <f>$H$903*$T$903</f>
        <v>75.260000000000005</v>
      </c>
      <c r="AO903">
        <f>$H$903*$U$903</f>
        <v>75.260000000000005</v>
      </c>
      <c r="AP903">
        <f>$H$903*$V$903</f>
        <v>75.260000000000005</v>
      </c>
      <c r="AQ903">
        <f>$H$903*$W$903</f>
        <v>75.260000000000005</v>
      </c>
      <c r="AR903">
        <f>$H$903*$X$903</f>
        <v>75.260000000000005</v>
      </c>
      <c r="AS903">
        <f>$H$903*$Y$903</f>
        <v>75.260000000000005</v>
      </c>
      <c r="AT903">
        <f>$H$903*$Z$903</f>
        <v>75.260000000000005</v>
      </c>
      <c r="AU903">
        <f>$H$903*$AA$903</f>
        <v>75.260000000000005</v>
      </c>
      <c r="AV903">
        <f>$H$903*$AB$903</f>
        <v>75.260000000000005</v>
      </c>
      <c r="AW903">
        <f>$H$903*$AC$903</f>
        <v>75.260000000000005</v>
      </c>
      <c r="AX903">
        <f>$H$903*$AD$903</f>
        <v>75.260000000000005</v>
      </c>
      <c r="AY903">
        <f>$H$903*$AE$903</f>
        <v>75.260000000000005</v>
      </c>
      <c r="AZ903">
        <f>$H$903*$AF$903</f>
        <v>75.260000000000005</v>
      </c>
    </row>
    <row r="904" spans="1:52" x14ac:dyDescent="0.25">
      <c r="A904">
        <v>972</v>
      </c>
      <c r="B904" t="s">
        <v>285</v>
      </c>
      <c r="C904" t="s">
        <v>370</v>
      </c>
      <c r="D904">
        <v>1</v>
      </c>
      <c r="E904">
        <v>366.18</v>
      </c>
      <c r="F904" t="s">
        <v>335</v>
      </c>
      <c r="G904">
        <v>366.18</v>
      </c>
      <c r="H904">
        <v>439.42</v>
      </c>
      <c r="I904" t="s">
        <v>371</v>
      </c>
      <c r="J904" t="s">
        <v>372</v>
      </c>
      <c r="K904" t="s">
        <v>620</v>
      </c>
      <c r="L904" t="s">
        <v>179</v>
      </c>
      <c r="M904" t="s">
        <v>285</v>
      </c>
      <c r="N904" t="s">
        <v>11</v>
      </c>
      <c r="O904" t="s">
        <v>4</v>
      </c>
      <c r="P904">
        <v>0</v>
      </c>
      <c r="Q904">
        <v>0</v>
      </c>
      <c r="R904">
        <v>0</v>
      </c>
      <c r="S904">
        <v>0</v>
      </c>
      <c r="T904">
        <v>1</v>
      </c>
      <c r="U904">
        <v>1</v>
      </c>
      <c r="V904">
        <v>1</v>
      </c>
      <c r="W904">
        <v>1</v>
      </c>
      <c r="X904">
        <v>1</v>
      </c>
      <c r="Y904">
        <v>1</v>
      </c>
      <c r="Z904">
        <v>1</v>
      </c>
      <c r="AA904">
        <v>1</v>
      </c>
      <c r="AB904">
        <v>1</v>
      </c>
      <c r="AC904">
        <v>1</v>
      </c>
      <c r="AD904">
        <v>1</v>
      </c>
      <c r="AE904">
        <v>1</v>
      </c>
      <c r="AF904">
        <v>1</v>
      </c>
      <c r="AG904" t="s">
        <v>285</v>
      </c>
      <c r="AH904" t="s">
        <v>11</v>
      </c>
      <c r="AI904" t="s">
        <v>4</v>
      </c>
      <c r="AJ904">
        <f>$H$904*$P$904</f>
        <v>0</v>
      </c>
      <c r="AK904">
        <f>$H$904*$Q$904</f>
        <v>0</v>
      </c>
      <c r="AL904">
        <f>$H$904*$R$904</f>
        <v>0</v>
      </c>
      <c r="AM904">
        <f>$H$904*$S$904</f>
        <v>0</v>
      </c>
      <c r="AN904">
        <f>$H$904*$T$904</f>
        <v>439.42</v>
      </c>
      <c r="AO904">
        <f>$H$904*$U$904</f>
        <v>439.42</v>
      </c>
      <c r="AP904">
        <f>$H$904*$V$904</f>
        <v>439.42</v>
      </c>
      <c r="AQ904">
        <f>$H$904*$W$904</f>
        <v>439.42</v>
      </c>
      <c r="AR904">
        <f>$H$904*$X$904</f>
        <v>439.42</v>
      </c>
      <c r="AS904">
        <f>$H$904*$Y$904</f>
        <v>439.42</v>
      </c>
      <c r="AT904">
        <f>$H$904*$Z$904</f>
        <v>439.42</v>
      </c>
      <c r="AU904">
        <f>$H$904*$AA$904</f>
        <v>439.42</v>
      </c>
      <c r="AV904">
        <f>$H$904*$AB$904</f>
        <v>439.42</v>
      </c>
      <c r="AW904">
        <f>$H$904*$AC$904</f>
        <v>439.42</v>
      </c>
      <c r="AX904">
        <f>$H$904*$AD$904</f>
        <v>439.42</v>
      </c>
      <c r="AY904">
        <f>$H$904*$AE$904</f>
        <v>439.42</v>
      </c>
      <c r="AZ904">
        <f>$H$904*$AF$904</f>
        <v>439.42</v>
      </c>
    </row>
    <row r="905" spans="1:52" x14ac:dyDescent="0.25">
      <c r="A905">
        <v>973</v>
      </c>
      <c r="B905" t="s">
        <v>285</v>
      </c>
      <c r="C905" t="s">
        <v>438</v>
      </c>
      <c r="D905">
        <v>20.47</v>
      </c>
      <c r="E905">
        <v>53.63</v>
      </c>
      <c r="F905" t="s">
        <v>329</v>
      </c>
      <c r="G905">
        <v>2.62</v>
      </c>
      <c r="H905">
        <v>64.349999999999994</v>
      </c>
      <c r="I905" t="s">
        <v>439</v>
      </c>
      <c r="J905" t="s">
        <v>440</v>
      </c>
      <c r="K905" t="s">
        <v>654</v>
      </c>
      <c r="L905" t="s">
        <v>179</v>
      </c>
      <c r="M905" t="s">
        <v>285</v>
      </c>
      <c r="N905" t="s">
        <v>11</v>
      </c>
      <c r="O905" t="s">
        <v>4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1</v>
      </c>
      <c r="AB905">
        <v>1</v>
      </c>
      <c r="AC905">
        <v>1</v>
      </c>
      <c r="AD905">
        <v>1</v>
      </c>
      <c r="AE905">
        <v>1</v>
      </c>
      <c r="AF905">
        <v>1</v>
      </c>
      <c r="AG905" t="s">
        <v>285</v>
      </c>
      <c r="AH905" t="s">
        <v>11</v>
      </c>
      <c r="AI905" t="s">
        <v>4</v>
      </c>
      <c r="AJ905">
        <f>$H$905*$P$905</f>
        <v>0</v>
      </c>
      <c r="AK905">
        <f>$H$905*$Q$905</f>
        <v>0</v>
      </c>
      <c r="AL905">
        <f>$H$905*$R$905</f>
        <v>0</v>
      </c>
      <c r="AM905">
        <f>$H$905*$S$905</f>
        <v>0</v>
      </c>
      <c r="AN905">
        <f>$H$905*$T$905</f>
        <v>0</v>
      </c>
      <c r="AO905">
        <f>$H$905*$U$905</f>
        <v>0</v>
      </c>
      <c r="AP905">
        <f>$H$905*$V$905</f>
        <v>0</v>
      </c>
      <c r="AQ905">
        <f>$H$905*$W$905</f>
        <v>0</v>
      </c>
      <c r="AR905">
        <f>$H$905*$X$905</f>
        <v>0</v>
      </c>
      <c r="AS905">
        <f>$H$905*$Y$905</f>
        <v>0</v>
      </c>
      <c r="AT905">
        <f>$H$905*$Z$905</f>
        <v>0</v>
      </c>
      <c r="AU905">
        <f>$H$905*$AA$905</f>
        <v>64.349999999999994</v>
      </c>
      <c r="AV905">
        <f>$H$905*$AB$905</f>
        <v>64.349999999999994</v>
      </c>
      <c r="AW905">
        <f>$H$905*$AC$905</f>
        <v>64.349999999999994</v>
      </c>
      <c r="AX905">
        <f>$H$905*$AD$905</f>
        <v>64.349999999999994</v>
      </c>
      <c r="AY905">
        <f>$H$905*$AE$905</f>
        <v>64.349999999999994</v>
      </c>
      <c r="AZ905">
        <f>$H$905*$AF$905</f>
        <v>64.349999999999994</v>
      </c>
    </row>
    <row r="906" spans="1:52" x14ac:dyDescent="0.25">
      <c r="A906">
        <v>974</v>
      </c>
      <c r="B906" t="s">
        <v>285</v>
      </c>
      <c r="C906" t="s">
        <v>441</v>
      </c>
      <c r="D906">
        <v>184.2</v>
      </c>
      <c r="E906">
        <v>397.87</v>
      </c>
      <c r="F906" t="s">
        <v>349</v>
      </c>
      <c r="G906">
        <v>2.16</v>
      </c>
      <c r="H906">
        <v>477.45</v>
      </c>
      <c r="I906" t="s">
        <v>439</v>
      </c>
      <c r="J906" t="s">
        <v>442</v>
      </c>
      <c r="K906" t="s">
        <v>655</v>
      </c>
      <c r="L906" t="s">
        <v>179</v>
      </c>
      <c r="M906" t="s">
        <v>285</v>
      </c>
      <c r="N906" t="s">
        <v>11</v>
      </c>
      <c r="O906" t="s">
        <v>4</v>
      </c>
      <c r="P906">
        <v>0</v>
      </c>
      <c r="Q906">
        <v>0</v>
      </c>
      <c r="R906">
        <v>0</v>
      </c>
      <c r="S906">
        <v>1</v>
      </c>
      <c r="T906">
        <v>1</v>
      </c>
      <c r="U906">
        <v>1</v>
      </c>
      <c r="V906">
        <v>1</v>
      </c>
      <c r="W906">
        <v>1</v>
      </c>
      <c r="X906">
        <v>1</v>
      </c>
      <c r="Y906">
        <v>1</v>
      </c>
      <c r="Z906">
        <v>1</v>
      </c>
      <c r="AA906">
        <v>1</v>
      </c>
      <c r="AB906">
        <v>1</v>
      </c>
      <c r="AC906">
        <v>1</v>
      </c>
      <c r="AD906">
        <v>1</v>
      </c>
      <c r="AE906">
        <v>1</v>
      </c>
      <c r="AF906">
        <v>1</v>
      </c>
      <c r="AG906" t="s">
        <v>285</v>
      </c>
      <c r="AH906" t="s">
        <v>11</v>
      </c>
      <c r="AI906" t="s">
        <v>4</v>
      </c>
      <c r="AJ906">
        <f>$H$906*$P$906</f>
        <v>0</v>
      </c>
      <c r="AK906">
        <f>$H$906*$Q$906</f>
        <v>0</v>
      </c>
      <c r="AL906">
        <f>$H$906*$R$906</f>
        <v>0</v>
      </c>
      <c r="AM906">
        <f>$H$906*$S$906</f>
        <v>477.45</v>
      </c>
      <c r="AN906">
        <f>$H$906*$T$906</f>
        <v>477.45</v>
      </c>
      <c r="AO906">
        <f>$H$906*$U$906</f>
        <v>477.45</v>
      </c>
      <c r="AP906">
        <f>$H$906*$V$906</f>
        <v>477.45</v>
      </c>
      <c r="AQ906">
        <f>$H$906*$W$906</f>
        <v>477.45</v>
      </c>
      <c r="AR906">
        <f>$H$906*$X$906</f>
        <v>477.45</v>
      </c>
      <c r="AS906">
        <f>$H$906*$Y$906</f>
        <v>477.45</v>
      </c>
      <c r="AT906">
        <f>$H$906*$Z$906</f>
        <v>477.45</v>
      </c>
      <c r="AU906">
        <f>$H$906*$AA$906</f>
        <v>477.45</v>
      </c>
      <c r="AV906">
        <f>$H$906*$AB$906</f>
        <v>477.45</v>
      </c>
      <c r="AW906">
        <f>$H$906*$AC$906</f>
        <v>477.45</v>
      </c>
      <c r="AX906">
        <f>$H$906*$AD$906</f>
        <v>477.45</v>
      </c>
      <c r="AY906">
        <f>$H$906*$AE$906</f>
        <v>477.45</v>
      </c>
      <c r="AZ906">
        <f>$H$906*$AF$906</f>
        <v>477.45</v>
      </c>
    </row>
    <row r="907" spans="1:52" x14ac:dyDescent="0.25">
      <c r="A907">
        <v>975</v>
      </c>
      <c r="B907" t="s">
        <v>285</v>
      </c>
      <c r="C907" t="s">
        <v>443</v>
      </c>
      <c r="D907">
        <v>184.2</v>
      </c>
      <c r="E907">
        <v>116.05</v>
      </c>
      <c r="F907" t="s">
        <v>349</v>
      </c>
      <c r="G907">
        <v>0.63</v>
      </c>
      <c r="H907">
        <v>139.27000000000001</v>
      </c>
      <c r="I907" t="s">
        <v>330</v>
      </c>
      <c r="J907" t="s">
        <v>444</v>
      </c>
      <c r="K907" t="s">
        <v>656</v>
      </c>
      <c r="L907" t="s">
        <v>179</v>
      </c>
      <c r="M907" t="s">
        <v>285</v>
      </c>
      <c r="N907" t="s">
        <v>11</v>
      </c>
      <c r="O907" t="s">
        <v>4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1</v>
      </c>
      <c r="AE907">
        <v>1</v>
      </c>
      <c r="AF907">
        <v>1</v>
      </c>
      <c r="AG907" t="s">
        <v>285</v>
      </c>
      <c r="AH907" t="s">
        <v>11</v>
      </c>
      <c r="AI907" t="s">
        <v>4</v>
      </c>
      <c r="AJ907">
        <f>$H$907*$P$907</f>
        <v>0</v>
      </c>
      <c r="AK907">
        <f>$H$907*$Q$907</f>
        <v>0</v>
      </c>
      <c r="AL907">
        <f>$H$907*$R$907</f>
        <v>0</v>
      </c>
      <c r="AM907">
        <f>$H$907*$S$907</f>
        <v>0</v>
      </c>
      <c r="AN907">
        <f>$H$907*$T$907</f>
        <v>0</v>
      </c>
      <c r="AO907">
        <f>$H$907*$U$907</f>
        <v>0</v>
      </c>
      <c r="AP907">
        <f>$H$907*$V$907</f>
        <v>0</v>
      </c>
      <c r="AQ907">
        <f>$H$907*$W$907</f>
        <v>0</v>
      </c>
      <c r="AR907">
        <f>$H$907*$X$907</f>
        <v>0</v>
      </c>
      <c r="AS907">
        <f>$H$907*$Y$907</f>
        <v>0</v>
      </c>
      <c r="AT907">
        <f>$H$907*$Z$907</f>
        <v>0</v>
      </c>
      <c r="AU907">
        <f>$H$907*$AA$907</f>
        <v>0</v>
      </c>
      <c r="AV907">
        <f>$H$907*$AB$907</f>
        <v>0</v>
      </c>
      <c r="AW907">
        <f>$H$907*$AC$907</f>
        <v>0</v>
      </c>
      <c r="AX907">
        <f>$H$907*$AD$907</f>
        <v>139.27000000000001</v>
      </c>
      <c r="AY907">
        <f>$H$907*$AE$907</f>
        <v>139.27000000000001</v>
      </c>
      <c r="AZ907">
        <f>$H$907*$AF$907</f>
        <v>139.27000000000001</v>
      </c>
    </row>
    <row r="908" spans="1:52" x14ac:dyDescent="0.25">
      <c r="A908">
        <v>976</v>
      </c>
      <c r="B908" t="s">
        <v>285</v>
      </c>
      <c r="C908" t="s">
        <v>362</v>
      </c>
      <c r="D908">
        <v>230.25</v>
      </c>
      <c r="E908">
        <v>225.65</v>
      </c>
      <c r="F908" t="s">
        <v>349</v>
      </c>
      <c r="G908">
        <v>0.98</v>
      </c>
      <c r="H908">
        <v>270.79000000000002</v>
      </c>
      <c r="I908" t="s">
        <v>330</v>
      </c>
      <c r="J908" t="s">
        <v>363</v>
      </c>
      <c r="K908" t="s">
        <v>617</v>
      </c>
      <c r="L908" t="s">
        <v>179</v>
      </c>
      <c r="M908" t="s">
        <v>285</v>
      </c>
      <c r="N908" t="s">
        <v>11</v>
      </c>
      <c r="O908" t="s">
        <v>4</v>
      </c>
      <c r="P908">
        <v>0</v>
      </c>
      <c r="Q908">
        <v>0</v>
      </c>
      <c r="R908">
        <v>0</v>
      </c>
      <c r="S908">
        <v>0</v>
      </c>
      <c r="T908">
        <v>1</v>
      </c>
      <c r="U908">
        <v>1</v>
      </c>
      <c r="V908">
        <v>1</v>
      </c>
      <c r="W908">
        <v>1</v>
      </c>
      <c r="X908">
        <v>1</v>
      </c>
      <c r="Y908">
        <v>1</v>
      </c>
      <c r="Z908">
        <v>1</v>
      </c>
      <c r="AA908">
        <v>1</v>
      </c>
      <c r="AB908">
        <v>1</v>
      </c>
      <c r="AC908">
        <v>1</v>
      </c>
      <c r="AD908">
        <v>1</v>
      </c>
      <c r="AE908">
        <v>1</v>
      </c>
      <c r="AF908">
        <v>1</v>
      </c>
      <c r="AG908" t="s">
        <v>285</v>
      </c>
      <c r="AH908" t="s">
        <v>11</v>
      </c>
      <c r="AI908" t="s">
        <v>4</v>
      </c>
      <c r="AJ908">
        <f>$H$908*$P$908</f>
        <v>0</v>
      </c>
      <c r="AK908">
        <f>$H$908*$Q$908</f>
        <v>0</v>
      </c>
      <c r="AL908">
        <f>$H$908*$R$908</f>
        <v>0</v>
      </c>
      <c r="AM908">
        <f>$H$908*$S$908</f>
        <v>0</v>
      </c>
      <c r="AN908">
        <f>$H$908*$T$908</f>
        <v>270.79000000000002</v>
      </c>
      <c r="AO908">
        <f>$H$908*$U$908</f>
        <v>270.79000000000002</v>
      </c>
      <c r="AP908">
        <f>$H$908*$V$908</f>
        <v>270.79000000000002</v>
      </c>
      <c r="AQ908">
        <f>$H$908*$W$908</f>
        <v>270.79000000000002</v>
      </c>
      <c r="AR908">
        <f>$H$908*$X$908</f>
        <v>270.79000000000002</v>
      </c>
      <c r="AS908">
        <f>$H$908*$Y$908</f>
        <v>270.79000000000002</v>
      </c>
      <c r="AT908">
        <f>$H$908*$Z$908</f>
        <v>270.79000000000002</v>
      </c>
      <c r="AU908">
        <f>$H$908*$AA$908</f>
        <v>270.79000000000002</v>
      </c>
      <c r="AV908">
        <f>$H$908*$AB$908</f>
        <v>270.79000000000002</v>
      </c>
      <c r="AW908">
        <f>$H$908*$AC$908</f>
        <v>270.79000000000002</v>
      </c>
      <c r="AX908">
        <f>$H$908*$AD$908</f>
        <v>270.79000000000002</v>
      </c>
      <c r="AY908">
        <f>$H$908*$AE$908</f>
        <v>270.79000000000002</v>
      </c>
      <c r="AZ908">
        <f>$H$908*$AF$908</f>
        <v>270.79000000000002</v>
      </c>
    </row>
    <row r="909" spans="1:52" x14ac:dyDescent="0.25">
      <c r="A909">
        <v>977</v>
      </c>
      <c r="B909" t="s">
        <v>285</v>
      </c>
      <c r="C909" t="s">
        <v>445</v>
      </c>
      <c r="D909">
        <v>46.05</v>
      </c>
      <c r="E909">
        <v>173.15</v>
      </c>
      <c r="F909" t="s">
        <v>349</v>
      </c>
      <c r="G909">
        <v>3.76</v>
      </c>
      <c r="H909">
        <v>207.79</v>
      </c>
      <c r="I909" t="s">
        <v>446</v>
      </c>
      <c r="J909" t="s">
        <v>420</v>
      </c>
      <c r="K909" t="s">
        <v>657</v>
      </c>
      <c r="L909" t="s">
        <v>179</v>
      </c>
      <c r="M909" t="s">
        <v>285</v>
      </c>
      <c r="N909" t="s">
        <v>11</v>
      </c>
      <c r="O909" t="s">
        <v>4</v>
      </c>
      <c r="P909">
        <v>0</v>
      </c>
      <c r="Q909">
        <v>0</v>
      </c>
      <c r="R909">
        <v>0</v>
      </c>
      <c r="S909">
        <v>0.25</v>
      </c>
      <c r="T909">
        <v>0.25</v>
      </c>
      <c r="U909">
        <v>0.25</v>
      </c>
      <c r="V909">
        <v>0.25</v>
      </c>
      <c r="W909">
        <v>0.25</v>
      </c>
      <c r="X909">
        <v>0.5</v>
      </c>
      <c r="Y909">
        <v>0.5</v>
      </c>
      <c r="Z909">
        <v>0.5</v>
      </c>
      <c r="AA909">
        <v>1</v>
      </c>
      <c r="AB909">
        <v>1</v>
      </c>
      <c r="AC909">
        <v>1</v>
      </c>
      <c r="AD909">
        <v>1</v>
      </c>
      <c r="AE909">
        <v>1</v>
      </c>
      <c r="AF909">
        <v>1</v>
      </c>
      <c r="AG909" t="s">
        <v>285</v>
      </c>
      <c r="AH909" t="s">
        <v>11</v>
      </c>
      <c r="AI909" t="s">
        <v>4</v>
      </c>
      <c r="AJ909">
        <f>$H$909*$P$909</f>
        <v>0</v>
      </c>
      <c r="AK909">
        <f>$H$909*$Q$909</f>
        <v>0</v>
      </c>
      <c r="AL909">
        <f>$H$909*$R$909</f>
        <v>0</v>
      </c>
      <c r="AM909">
        <f>$H$909*$S$909</f>
        <v>51.947499999999998</v>
      </c>
      <c r="AN909">
        <f>$H$909*$T$909</f>
        <v>51.947499999999998</v>
      </c>
      <c r="AO909">
        <f>$H$909*$U$909</f>
        <v>51.947499999999998</v>
      </c>
      <c r="AP909">
        <f>$H$909*$V$909</f>
        <v>51.947499999999998</v>
      </c>
      <c r="AQ909">
        <f>$H$909*$W$909</f>
        <v>51.947499999999998</v>
      </c>
      <c r="AR909">
        <f>$H$909*$X$909</f>
        <v>103.895</v>
      </c>
      <c r="AS909">
        <f>$H$909*$Y$909</f>
        <v>103.895</v>
      </c>
      <c r="AT909">
        <f>$H$909*$Z$909</f>
        <v>103.895</v>
      </c>
      <c r="AU909">
        <f>$H$909*$AA$909</f>
        <v>207.79</v>
      </c>
      <c r="AV909">
        <f>$H$909*$AB$909</f>
        <v>207.79</v>
      </c>
      <c r="AW909">
        <f>$H$909*$AC$909</f>
        <v>207.79</v>
      </c>
      <c r="AX909">
        <f>$H$909*$AD$909</f>
        <v>207.79</v>
      </c>
      <c r="AY909">
        <f>$H$909*$AE$909</f>
        <v>207.79</v>
      </c>
      <c r="AZ909">
        <f>$H$909*$AF$909</f>
        <v>207.79</v>
      </c>
    </row>
    <row r="910" spans="1:52" x14ac:dyDescent="0.25">
      <c r="A910">
        <v>978</v>
      </c>
      <c r="B910" t="s">
        <v>285</v>
      </c>
      <c r="C910" t="s">
        <v>364</v>
      </c>
      <c r="D910">
        <v>460.5</v>
      </c>
      <c r="E910">
        <v>1547.28</v>
      </c>
      <c r="F910" t="s">
        <v>349</v>
      </c>
      <c r="G910">
        <v>3.36</v>
      </c>
      <c r="H910">
        <v>1856.74</v>
      </c>
      <c r="I910" t="s">
        <v>365</v>
      </c>
      <c r="J910" t="s">
        <v>366</v>
      </c>
      <c r="K910" t="s">
        <v>618</v>
      </c>
      <c r="L910" t="s">
        <v>179</v>
      </c>
      <c r="M910" t="s">
        <v>285</v>
      </c>
      <c r="N910" t="s">
        <v>11</v>
      </c>
      <c r="O910" t="s">
        <v>4</v>
      </c>
      <c r="P910">
        <v>0</v>
      </c>
      <c r="Q910">
        <v>0</v>
      </c>
      <c r="R910">
        <v>0</v>
      </c>
      <c r="S910">
        <v>0.25</v>
      </c>
      <c r="T910">
        <v>0.25</v>
      </c>
      <c r="U910">
        <v>0.25</v>
      </c>
      <c r="V910">
        <v>0.25</v>
      </c>
      <c r="W910">
        <v>0.5</v>
      </c>
      <c r="X910">
        <v>0.5</v>
      </c>
      <c r="Y910">
        <v>0.5</v>
      </c>
      <c r="Z910">
        <v>0.5</v>
      </c>
      <c r="AA910">
        <v>1</v>
      </c>
      <c r="AB910">
        <v>1</v>
      </c>
      <c r="AC910">
        <v>1</v>
      </c>
      <c r="AD910">
        <v>1</v>
      </c>
      <c r="AE910">
        <v>1</v>
      </c>
      <c r="AF910">
        <v>1</v>
      </c>
      <c r="AG910" t="s">
        <v>285</v>
      </c>
      <c r="AH910" t="s">
        <v>11</v>
      </c>
      <c r="AI910" t="s">
        <v>4</v>
      </c>
      <c r="AJ910">
        <f>$H$910*$P$910</f>
        <v>0</v>
      </c>
      <c r="AK910">
        <f>$H$910*$Q$910</f>
        <v>0</v>
      </c>
      <c r="AL910">
        <f>$H$910*$R$910</f>
        <v>0</v>
      </c>
      <c r="AM910">
        <f>$H$910*$S$910</f>
        <v>464.185</v>
      </c>
      <c r="AN910">
        <f>$H$910*$T$910</f>
        <v>464.185</v>
      </c>
      <c r="AO910">
        <f>$H$910*$U$910</f>
        <v>464.185</v>
      </c>
      <c r="AP910">
        <f>$H$910*$V$910</f>
        <v>464.185</v>
      </c>
      <c r="AQ910">
        <f>$H$910*$W$910</f>
        <v>928.37</v>
      </c>
      <c r="AR910">
        <f>$H$910*$X$910</f>
        <v>928.37</v>
      </c>
      <c r="AS910">
        <f>$H$910*$Y$910</f>
        <v>928.37</v>
      </c>
      <c r="AT910">
        <f>$H$910*$Z$910</f>
        <v>928.37</v>
      </c>
      <c r="AU910">
        <f>$H$910*$AA$910</f>
        <v>1856.74</v>
      </c>
      <c r="AV910">
        <f>$H$910*$AB$910</f>
        <v>1856.74</v>
      </c>
      <c r="AW910">
        <f>$H$910*$AC$910</f>
        <v>1856.74</v>
      </c>
      <c r="AX910">
        <f>$H$910*$AD$910</f>
        <v>1856.74</v>
      </c>
      <c r="AY910">
        <f>$H$910*$AE$910</f>
        <v>1856.74</v>
      </c>
      <c r="AZ910">
        <f>$H$910*$AF$910</f>
        <v>1856.74</v>
      </c>
    </row>
    <row r="911" spans="1:52" x14ac:dyDescent="0.25">
      <c r="A911">
        <v>979</v>
      </c>
      <c r="B911" t="s">
        <v>285</v>
      </c>
      <c r="C911" t="s">
        <v>447</v>
      </c>
      <c r="D911">
        <v>51.17</v>
      </c>
      <c r="E911">
        <v>53.22</v>
      </c>
      <c r="F911" t="s">
        <v>329</v>
      </c>
      <c r="G911">
        <v>1.04</v>
      </c>
      <c r="H911">
        <v>63.86</v>
      </c>
      <c r="I911" t="s">
        <v>330</v>
      </c>
      <c r="J911" t="s">
        <v>448</v>
      </c>
      <c r="K911" t="s">
        <v>658</v>
      </c>
      <c r="L911" t="s">
        <v>179</v>
      </c>
      <c r="M911" t="s">
        <v>285</v>
      </c>
      <c r="N911" t="s">
        <v>11</v>
      </c>
      <c r="O911" t="s">
        <v>4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1</v>
      </c>
      <c r="AB911">
        <v>1</v>
      </c>
      <c r="AC911">
        <v>1</v>
      </c>
      <c r="AD911">
        <v>1</v>
      </c>
      <c r="AE911">
        <v>1</v>
      </c>
      <c r="AF911">
        <v>1</v>
      </c>
      <c r="AG911" t="s">
        <v>285</v>
      </c>
      <c r="AH911" t="s">
        <v>11</v>
      </c>
      <c r="AI911" t="s">
        <v>4</v>
      </c>
      <c r="AJ911">
        <f>$H$911*$P$911</f>
        <v>0</v>
      </c>
      <c r="AK911">
        <f>$H$911*$Q$911</f>
        <v>0</v>
      </c>
      <c r="AL911">
        <f>$H$911*$R$911</f>
        <v>0</v>
      </c>
      <c r="AM911">
        <f>$H$911*$S$911</f>
        <v>0</v>
      </c>
      <c r="AN911">
        <f>$H$911*$T$911</f>
        <v>0</v>
      </c>
      <c r="AO911">
        <f>$H$911*$U$911</f>
        <v>0</v>
      </c>
      <c r="AP911">
        <f>$H$911*$V$911</f>
        <v>0</v>
      </c>
      <c r="AQ911">
        <f>$H$911*$W$911</f>
        <v>0</v>
      </c>
      <c r="AR911">
        <f>$H$911*$X$911</f>
        <v>0</v>
      </c>
      <c r="AS911">
        <f>$H$911*$Y$911</f>
        <v>0</v>
      </c>
      <c r="AT911">
        <f>$H$911*$Z$911</f>
        <v>0</v>
      </c>
      <c r="AU911">
        <f>$H$911*$AA$911</f>
        <v>63.86</v>
      </c>
      <c r="AV911">
        <f>$H$911*$AB$911</f>
        <v>63.86</v>
      </c>
      <c r="AW911">
        <f>$H$911*$AC$911</f>
        <v>63.86</v>
      </c>
      <c r="AX911">
        <f>$H$911*$AD$911</f>
        <v>63.86</v>
      </c>
      <c r="AY911">
        <f>$H$911*$AE$911</f>
        <v>63.86</v>
      </c>
      <c r="AZ911">
        <f>$H$911*$AF$911</f>
        <v>63.86</v>
      </c>
    </row>
    <row r="912" spans="1:52" x14ac:dyDescent="0.25">
      <c r="A912">
        <v>980</v>
      </c>
      <c r="B912" t="s">
        <v>285</v>
      </c>
      <c r="C912" t="s">
        <v>449</v>
      </c>
      <c r="D912">
        <v>51.17</v>
      </c>
      <c r="E912">
        <v>410.38</v>
      </c>
      <c r="F912" t="s">
        <v>329</v>
      </c>
      <c r="G912">
        <v>8.02</v>
      </c>
      <c r="H912">
        <v>492.46</v>
      </c>
      <c r="I912" t="s">
        <v>333</v>
      </c>
      <c r="J912" t="s">
        <v>450</v>
      </c>
      <c r="K912" t="s">
        <v>659</v>
      </c>
      <c r="L912" t="s">
        <v>179</v>
      </c>
      <c r="M912" t="s">
        <v>285</v>
      </c>
      <c r="N912" t="s">
        <v>11</v>
      </c>
      <c r="O912" t="s">
        <v>4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1</v>
      </c>
      <c r="AB912">
        <v>1</v>
      </c>
      <c r="AC912">
        <v>1</v>
      </c>
      <c r="AD912">
        <v>1</v>
      </c>
      <c r="AE912">
        <v>1</v>
      </c>
      <c r="AF912">
        <v>1</v>
      </c>
      <c r="AG912" t="s">
        <v>285</v>
      </c>
      <c r="AH912" t="s">
        <v>11</v>
      </c>
      <c r="AI912" t="s">
        <v>4</v>
      </c>
      <c r="AJ912">
        <f>$H$912*$P$912</f>
        <v>0</v>
      </c>
      <c r="AK912">
        <f>$H$912*$Q$912</f>
        <v>0</v>
      </c>
      <c r="AL912">
        <f>$H$912*$R$912</f>
        <v>0</v>
      </c>
      <c r="AM912">
        <f>$H$912*$S$912</f>
        <v>0</v>
      </c>
      <c r="AN912">
        <f>$H$912*$T$912</f>
        <v>0</v>
      </c>
      <c r="AO912">
        <f>$H$912*$U$912</f>
        <v>0</v>
      </c>
      <c r="AP912">
        <f>$H$912*$V$912</f>
        <v>0</v>
      </c>
      <c r="AQ912">
        <f>$H$912*$W$912</f>
        <v>0</v>
      </c>
      <c r="AR912">
        <f>$H$912*$X$912</f>
        <v>0</v>
      </c>
      <c r="AS912">
        <f>$H$912*$Y$912</f>
        <v>0</v>
      </c>
      <c r="AT912">
        <f>$H$912*$Z$912</f>
        <v>0</v>
      </c>
      <c r="AU912">
        <f>$H$912*$AA$912</f>
        <v>492.46</v>
      </c>
      <c r="AV912">
        <f>$H$912*$AB$912</f>
        <v>492.46</v>
      </c>
      <c r="AW912">
        <f>$H$912*$AC$912</f>
        <v>492.46</v>
      </c>
      <c r="AX912">
        <f>$H$912*$AD$912</f>
        <v>492.46</v>
      </c>
      <c r="AY912">
        <f>$H$912*$AE$912</f>
        <v>492.46</v>
      </c>
      <c r="AZ912">
        <f>$H$912*$AF$912</f>
        <v>492.46</v>
      </c>
    </row>
    <row r="913" spans="1:52" x14ac:dyDescent="0.25">
      <c r="A913">
        <v>981</v>
      </c>
      <c r="B913" t="s">
        <v>285</v>
      </c>
      <c r="C913" t="s">
        <v>455</v>
      </c>
      <c r="D913">
        <v>51.17</v>
      </c>
      <c r="E913">
        <v>77.27</v>
      </c>
      <c r="F913" t="s">
        <v>329</v>
      </c>
      <c r="G913">
        <v>1.51</v>
      </c>
      <c r="H913">
        <v>92.73</v>
      </c>
      <c r="I913" t="s">
        <v>330</v>
      </c>
      <c r="J913" t="s">
        <v>456</v>
      </c>
      <c r="K913" t="s">
        <v>662</v>
      </c>
      <c r="L913" t="s">
        <v>179</v>
      </c>
      <c r="M913" t="s">
        <v>285</v>
      </c>
      <c r="N913" t="s">
        <v>11</v>
      </c>
      <c r="O913" t="s">
        <v>4</v>
      </c>
      <c r="P913">
        <v>0</v>
      </c>
      <c r="Q913">
        <v>0</v>
      </c>
      <c r="R913">
        <v>0</v>
      </c>
      <c r="S913">
        <v>1</v>
      </c>
      <c r="T913">
        <v>1</v>
      </c>
      <c r="U913">
        <v>1</v>
      </c>
      <c r="V913">
        <v>1</v>
      </c>
      <c r="W913">
        <v>1</v>
      </c>
      <c r="X913">
        <v>1</v>
      </c>
      <c r="Y913">
        <v>1</v>
      </c>
      <c r="Z913">
        <v>1</v>
      </c>
      <c r="AA913">
        <v>1</v>
      </c>
      <c r="AB913">
        <v>1</v>
      </c>
      <c r="AC913">
        <v>1</v>
      </c>
      <c r="AD913">
        <v>1</v>
      </c>
      <c r="AE913">
        <v>1</v>
      </c>
      <c r="AF913">
        <v>1</v>
      </c>
      <c r="AG913" t="s">
        <v>285</v>
      </c>
      <c r="AH913" t="s">
        <v>11</v>
      </c>
      <c r="AI913" t="s">
        <v>4</v>
      </c>
      <c r="AJ913">
        <f>$H$913*$P$913</f>
        <v>0</v>
      </c>
      <c r="AK913">
        <f>$H$913*$Q$913</f>
        <v>0</v>
      </c>
      <c r="AL913">
        <f>$H$913*$R$913</f>
        <v>0</v>
      </c>
      <c r="AM913">
        <f>$H$913*$S$913</f>
        <v>92.73</v>
      </c>
      <c r="AN913">
        <f>$H$913*$T$913</f>
        <v>92.73</v>
      </c>
      <c r="AO913">
        <f>$H$913*$U$913</f>
        <v>92.73</v>
      </c>
      <c r="AP913">
        <f>$H$913*$V$913</f>
        <v>92.73</v>
      </c>
      <c r="AQ913">
        <f>$H$913*$W$913</f>
        <v>92.73</v>
      </c>
      <c r="AR913">
        <f>$H$913*$X$913</f>
        <v>92.73</v>
      </c>
      <c r="AS913">
        <f>$H$913*$Y$913</f>
        <v>92.73</v>
      </c>
      <c r="AT913">
        <f>$H$913*$Z$913</f>
        <v>92.73</v>
      </c>
      <c r="AU913">
        <f>$H$913*$AA$913</f>
        <v>92.73</v>
      </c>
      <c r="AV913">
        <f>$H$913*$AB$913</f>
        <v>92.73</v>
      </c>
      <c r="AW913">
        <f>$H$913*$AC$913</f>
        <v>92.73</v>
      </c>
      <c r="AX913">
        <f>$H$913*$AD$913</f>
        <v>92.73</v>
      </c>
      <c r="AY913">
        <f>$H$913*$AE$913</f>
        <v>92.73</v>
      </c>
      <c r="AZ913">
        <f>$H$913*$AF$913</f>
        <v>92.73</v>
      </c>
    </row>
    <row r="914" spans="1:52" x14ac:dyDescent="0.25">
      <c r="A914">
        <v>982</v>
      </c>
      <c r="B914" t="s">
        <v>285</v>
      </c>
      <c r="C914" t="s">
        <v>457</v>
      </c>
      <c r="D914">
        <v>51.17</v>
      </c>
      <c r="E914">
        <v>290.64999999999998</v>
      </c>
      <c r="F914" t="s">
        <v>329</v>
      </c>
      <c r="G914">
        <v>5.68</v>
      </c>
      <c r="H914">
        <v>348.79</v>
      </c>
      <c r="I914" t="s">
        <v>333</v>
      </c>
      <c r="J914" t="s">
        <v>458</v>
      </c>
      <c r="K914" t="s">
        <v>663</v>
      </c>
      <c r="L914" t="s">
        <v>179</v>
      </c>
      <c r="M914" t="s">
        <v>285</v>
      </c>
      <c r="N914" t="s">
        <v>11</v>
      </c>
      <c r="O914" t="s">
        <v>4</v>
      </c>
      <c r="P914">
        <v>0</v>
      </c>
      <c r="Q914">
        <v>0</v>
      </c>
      <c r="R914">
        <v>0</v>
      </c>
      <c r="S914">
        <v>1</v>
      </c>
      <c r="T914">
        <v>1</v>
      </c>
      <c r="U914">
        <v>1</v>
      </c>
      <c r="V914">
        <v>1</v>
      </c>
      <c r="W914">
        <v>1</v>
      </c>
      <c r="X914">
        <v>1</v>
      </c>
      <c r="Y914">
        <v>1</v>
      </c>
      <c r="Z914">
        <v>1</v>
      </c>
      <c r="AA914">
        <v>1</v>
      </c>
      <c r="AB914">
        <v>1</v>
      </c>
      <c r="AC914">
        <v>1</v>
      </c>
      <c r="AD914">
        <v>1</v>
      </c>
      <c r="AE914">
        <v>1</v>
      </c>
      <c r="AF914">
        <v>1</v>
      </c>
      <c r="AG914" t="s">
        <v>285</v>
      </c>
      <c r="AH914" t="s">
        <v>11</v>
      </c>
      <c r="AI914" t="s">
        <v>4</v>
      </c>
      <c r="AJ914">
        <f>$H$914*$P$914</f>
        <v>0</v>
      </c>
      <c r="AK914">
        <f>$H$914*$Q$914</f>
        <v>0</v>
      </c>
      <c r="AL914">
        <f>$H$914*$R$914</f>
        <v>0</v>
      </c>
      <c r="AM914">
        <f>$H$914*$S$914</f>
        <v>348.79</v>
      </c>
      <c r="AN914">
        <f>$H$914*$T$914</f>
        <v>348.79</v>
      </c>
      <c r="AO914">
        <f>$H$914*$U$914</f>
        <v>348.79</v>
      </c>
      <c r="AP914">
        <f>$H$914*$V$914</f>
        <v>348.79</v>
      </c>
      <c r="AQ914">
        <f>$H$914*$W$914</f>
        <v>348.79</v>
      </c>
      <c r="AR914">
        <f>$H$914*$X$914</f>
        <v>348.79</v>
      </c>
      <c r="AS914">
        <f>$H$914*$Y$914</f>
        <v>348.79</v>
      </c>
      <c r="AT914">
        <f>$H$914*$Z$914</f>
        <v>348.79</v>
      </c>
      <c r="AU914">
        <f>$H$914*$AA$914</f>
        <v>348.79</v>
      </c>
      <c r="AV914">
        <f>$H$914*$AB$914</f>
        <v>348.79</v>
      </c>
      <c r="AW914">
        <f>$H$914*$AC$914</f>
        <v>348.79</v>
      </c>
      <c r="AX914">
        <f>$H$914*$AD$914</f>
        <v>348.79</v>
      </c>
      <c r="AY914">
        <f>$H$914*$AE$914</f>
        <v>348.79</v>
      </c>
      <c r="AZ914">
        <f>$H$914*$AF$914</f>
        <v>348.79</v>
      </c>
    </row>
    <row r="915" spans="1:52" x14ac:dyDescent="0.25">
      <c r="A915">
        <v>983</v>
      </c>
      <c r="B915" t="s">
        <v>285</v>
      </c>
      <c r="C915" t="s">
        <v>364</v>
      </c>
      <c r="D915">
        <v>162.71</v>
      </c>
      <c r="E915">
        <v>546.71</v>
      </c>
      <c r="F915" t="s">
        <v>349</v>
      </c>
      <c r="G915">
        <v>3.36</v>
      </c>
      <c r="H915">
        <v>656.05</v>
      </c>
      <c r="I915" t="s">
        <v>365</v>
      </c>
      <c r="J915" t="s">
        <v>366</v>
      </c>
      <c r="K915" t="s">
        <v>618</v>
      </c>
      <c r="L915" t="s">
        <v>179</v>
      </c>
      <c r="M915" t="s">
        <v>285</v>
      </c>
      <c r="N915" t="s">
        <v>11</v>
      </c>
      <c r="O915" t="s">
        <v>4</v>
      </c>
      <c r="P915">
        <v>0</v>
      </c>
      <c r="Q915">
        <v>0</v>
      </c>
      <c r="R915">
        <v>0</v>
      </c>
      <c r="S915">
        <v>0.25</v>
      </c>
      <c r="T915">
        <v>0.25</v>
      </c>
      <c r="U915">
        <v>0.25</v>
      </c>
      <c r="V915">
        <v>0.25</v>
      </c>
      <c r="W915">
        <v>0.5</v>
      </c>
      <c r="X915">
        <v>0.5</v>
      </c>
      <c r="Y915">
        <v>0.5</v>
      </c>
      <c r="Z915">
        <v>0.5</v>
      </c>
      <c r="AA915">
        <v>1</v>
      </c>
      <c r="AB915">
        <v>1</v>
      </c>
      <c r="AC915">
        <v>1</v>
      </c>
      <c r="AD915">
        <v>1</v>
      </c>
      <c r="AE915">
        <v>1</v>
      </c>
      <c r="AF915">
        <v>1</v>
      </c>
      <c r="AG915" t="s">
        <v>285</v>
      </c>
      <c r="AH915" t="s">
        <v>11</v>
      </c>
      <c r="AI915" t="s">
        <v>4</v>
      </c>
      <c r="AJ915">
        <f>$H$915*$P$915</f>
        <v>0</v>
      </c>
      <c r="AK915">
        <f>$H$915*$Q$915</f>
        <v>0</v>
      </c>
      <c r="AL915">
        <f>$H$915*$R$915</f>
        <v>0</v>
      </c>
      <c r="AM915">
        <f>$H$915*$S$915</f>
        <v>164.01249999999999</v>
      </c>
      <c r="AN915">
        <f>$H$915*$T$915</f>
        <v>164.01249999999999</v>
      </c>
      <c r="AO915">
        <f>$H$915*$U$915</f>
        <v>164.01249999999999</v>
      </c>
      <c r="AP915">
        <f>$H$915*$V$915</f>
        <v>164.01249999999999</v>
      </c>
      <c r="AQ915">
        <f>$H$915*$W$915</f>
        <v>328.02499999999998</v>
      </c>
      <c r="AR915">
        <f>$H$915*$X$915</f>
        <v>328.02499999999998</v>
      </c>
      <c r="AS915">
        <f>$H$915*$Y$915</f>
        <v>328.02499999999998</v>
      </c>
      <c r="AT915">
        <f>$H$915*$Z$915</f>
        <v>328.02499999999998</v>
      </c>
      <c r="AU915">
        <f>$H$915*$AA$915</f>
        <v>656.05</v>
      </c>
      <c r="AV915">
        <f>$H$915*$AB$915</f>
        <v>656.05</v>
      </c>
      <c r="AW915">
        <f>$H$915*$AC$915</f>
        <v>656.05</v>
      </c>
      <c r="AX915">
        <f>$H$915*$AD$915</f>
        <v>656.05</v>
      </c>
      <c r="AY915">
        <f>$H$915*$AE$915</f>
        <v>656.05</v>
      </c>
      <c r="AZ915">
        <f>$H$915*$AF$915</f>
        <v>656.05</v>
      </c>
    </row>
    <row r="916" spans="1:52" x14ac:dyDescent="0.25">
      <c r="A916">
        <v>984</v>
      </c>
      <c r="B916" t="s">
        <v>285</v>
      </c>
      <c r="C916" t="s">
        <v>443</v>
      </c>
      <c r="D916">
        <v>162.71</v>
      </c>
      <c r="E916">
        <v>102.51</v>
      </c>
      <c r="F916" t="s">
        <v>349</v>
      </c>
      <c r="G916">
        <v>0.63</v>
      </c>
      <c r="H916">
        <v>123.01</v>
      </c>
      <c r="I916" t="s">
        <v>330</v>
      </c>
      <c r="J916" t="s">
        <v>444</v>
      </c>
      <c r="K916" t="s">
        <v>656</v>
      </c>
      <c r="L916" t="s">
        <v>179</v>
      </c>
      <c r="M916" t="s">
        <v>285</v>
      </c>
      <c r="N916" t="s">
        <v>11</v>
      </c>
      <c r="O916" t="s">
        <v>4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1</v>
      </c>
      <c r="AE916">
        <v>1</v>
      </c>
      <c r="AF916">
        <v>1</v>
      </c>
      <c r="AG916" t="s">
        <v>285</v>
      </c>
      <c r="AH916" t="s">
        <v>11</v>
      </c>
      <c r="AI916" t="s">
        <v>4</v>
      </c>
      <c r="AJ916">
        <f>$H$916*$P$916</f>
        <v>0</v>
      </c>
      <c r="AK916">
        <f>$H$916*$Q$916</f>
        <v>0</v>
      </c>
      <c r="AL916">
        <f>$H$916*$R$916</f>
        <v>0</v>
      </c>
      <c r="AM916">
        <f>$H$916*$S$916</f>
        <v>0</v>
      </c>
      <c r="AN916">
        <f>$H$916*$T$916</f>
        <v>0</v>
      </c>
      <c r="AO916">
        <f>$H$916*$U$916</f>
        <v>0</v>
      </c>
      <c r="AP916">
        <f>$H$916*$V$916</f>
        <v>0</v>
      </c>
      <c r="AQ916">
        <f>$H$916*$W$916</f>
        <v>0</v>
      </c>
      <c r="AR916">
        <f>$H$916*$X$916</f>
        <v>0</v>
      </c>
      <c r="AS916">
        <f>$H$916*$Y$916</f>
        <v>0</v>
      </c>
      <c r="AT916">
        <f>$H$916*$Z$916</f>
        <v>0</v>
      </c>
      <c r="AU916">
        <f>$H$916*$AA$916</f>
        <v>0</v>
      </c>
      <c r="AV916">
        <f>$H$916*$AB$916</f>
        <v>0</v>
      </c>
      <c r="AW916">
        <f>$H$916*$AC$916</f>
        <v>0</v>
      </c>
      <c r="AX916">
        <f>$H$916*$AD$916</f>
        <v>123.01</v>
      </c>
      <c r="AY916">
        <f>$H$916*$AE$916</f>
        <v>123.01</v>
      </c>
      <c r="AZ916">
        <f>$H$916*$AF$916</f>
        <v>123.01</v>
      </c>
    </row>
    <row r="917" spans="1:52" x14ac:dyDescent="0.25">
      <c r="A917">
        <v>985</v>
      </c>
      <c r="B917" t="s">
        <v>285</v>
      </c>
      <c r="C917" t="s">
        <v>459</v>
      </c>
      <c r="D917">
        <v>162.71</v>
      </c>
      <c r="E917">
        <v>112.27</v>
      </c>
      <c r="F917" t="s">
        <v>349</v>
      </c>
      <c r="G917">
        <v>0.69</v>
      </c>
      <c r="H917">
        <v>134.72999999999999</v>
      </c>
      <c r="I917" t="s">
        <v>330</v>
      </c>
      <c r="J917" t="s">
        <v>460</v>
      </c>
      <c r="K917" t="s">
        <v>664</v>
      </c>
      <c r="L917" t="s">
        <v>179</v>
      </c>
      <c r="M917" t="s">
        <v>285</v>
      </c>
      <c r="N917" t="s">
        <v>11</v>
      </c>
      <c r="O917" t="s">
        <v>4</v>
      </c>
      <c r="P917">
        <v>0</v>
      </c>
      <c r="Q917">
        <v>0</v>
      </c>
      <c r="R917">
        <v>0</v>
      </c>
      <c r="S917">
        <v>1</v>
      </c>
      <c r="T917">
        <v>1</v>
      </c>
      <c r="U917">
        <v>1</v>
      </c>
      <c r="V917">
        <v>1</v>
      </c>
      <c r="W917">
        <v>1</v>
      </c>
      <c r="X917">
        <v>1</v>
      </c>
      <c r="Y917">
        <v>1</v>
      </c>
      <c r="Z917">
        <v>1</v>
      </c>
      <c r="AA917">
        <v>1</v>
      </c>
      <c r="AB917">
        <v>1</v>
      </c>
      <c r="AC917">
        <v>1</v>
      </c>
      <c r="AD917">
        <v>1</v>
      </c>
      <c r="AE917">
        <v>1</v>
      </c>
      <c r="AF917">
        <v>1</v>
      </c>
      <c r="AG917" t="s">
        <v>285</v>
      </c>
      <c r="AH917" t="s">
        <v>11</v>
      </c>
      <c r="AI917" t="s">
        <v>4</v>
      </c>
      <c r="AJ917">
        <f>$H$917*$P$917</f>
        <v>0</v>
      </c>
      <c r="AK917">
        <f>$H$917*$Q$917</f>
        <v>0</v>
      </c>
      <c r="AL917">
        <f>$H$917*$R$917</f>
        <v>0</v>
      </c>
      <c r="AM917">
        <f>$H$917*$S$917</f>
        <v>134.72999999999999</v>
      </c>
      <c r="AN917">
        <f>$H$917*$T$917</f>
        <v>134.72999999999999</v>
      </c>
      <c r="AO917">
        <f>$H$917*$U$917</f>
        <v>134.72999999999999</v>
      </c>
      <c r="AP917">
        <f>$H$917*$V$917</f>
        <v>134.72999999999999</v>
      </c>
      <c r="AQ917">
        <f>$H$917*$W$917</f>
        <v>134.72999999999999</v>
      </c>
      <c r="AR917">
        <f>$H$917*$X$917</f>
        <v>134.72999999999999</v>
      </c>
      <c r="AS917">
        <f>$H$917*$Y$917</f>
        <v>134.72999999999999</v>
      </c>
      <c r="AT917">
        <f>$H$917*$Z$917</f>
        <v>134.72999999999999</v>
      </c>
      <c r="AU917">
        <f>$H$917*$AA$917</f>
        <v>134.72999999999999</v>
      </c>
      <c r="AV917">
        <f>$H$917*$AB$917</f>
        <v>134.72999999999999</v>
      </c>
      <c r="AW917">
        <f>$H$917*$AC$917</f>
        <v>134.72999999999999</v>
      </c>
      <c r="AX917">
        <f>$H$917*$AD$917</f>
        <v>134.72999999999999</v>
      </c>
      <c r="AY917">
        <f>$H$917*$AE$917</f>
        <v>134.72999999999999</v>
      </c>
      <c r="AZ917">
        <f>$H$917*$AF$917</f>
        <v>134.72999999999999</v>
      </c>
    </row>
    <row r="918" spans="1:52" x14ac:dyDescent="0.25">
      <c r="A918">
        <v>986</v>
      </c>
      <c r="B918" t="s">
        <v>285</v>
      </c>
      <c r="C918" t="s">
        <v>461</v>
      </c>
      <c r="D918">
        <v>32.54</v>
      </c>
      <c r="E918">
        <v>564.57000000000005</v>
      </c>
      <c r="F918" t="s">
        <v>349</v>
      </c>
      <c r="G918">
        <v>17.350000000000001</v>
      </c>
      <c r="H918">
        <v>677.49</v>
      </c>
      <c r="I918" t="s">
        <v>462</v>
      </c>
      <c r="J918" t="s">
        <v>463</v>
      </c>
      <c r="K918" t="s">
        <v>665</v>
      </c>
      <c r="L918" t="s">
        <v>179</v>
      </c>
      <c r="M918" t="s">
        <v>285</v>
      </c>
      <c r="N918" t="s">
        <v>11</v>
      </c>
      <c r="O918" t="s">
        <v>4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1</v>
      </c>
      <c r="Z918">
        <v>1</v>
      </c>
      <c r="AA918">
        <v>1</v>
      </c>
      <c r="AB918">
        <v>1</v>
      </c>
      <c r="AC918">
        <v>1</v>
      </c>
      <c r="AD918">
        <v>1</v>
      </c>
      <c r="AE918">
        <v>1</v>
      </c>
      <c r="AF918">
        <v>1</v>
      </c>
      <c r="AG918" t="s">
        <v>285</v>
      </c>
      <c r="AH918" t="s">
        <v>11</v>
      </c>
      <c r="AI918" t="s">
        <v>4</v>
      </c>
      <c r="AJ918">
        <f>$H$918*$P$918</f>
        <v>0</v>
      </c>
      <c r="AK918">
        <f>$H$918*$Q$918</f>
        <v>0</v>
      </c>
      <c r="AL918">
        <f>$H$918*$R$918</f>
        <v>0</v>
      </c>
      <c r="AM918">
        <f>$H$918*$S$918</f>
        <v>0</v>
      </c>
      <c r="AN918">
        <f>$H$918*$T$918</f>
        <v>0</v>
      </c>
      <c r="AO918">
        <f>$H$918*$U$918</f>
        <v>0</v>
      </c>
      <c r="AP918">
        <f>$H$918*$V$918</f>
        <v>0</v>
      </c>
      <c r="AQ918">
        <f>$H$918*$W$918</f>
        <v>0</v>
      </c>
      <c r="AR918">
        <f>$H$918*$X$918</f>
        <v>0</v>
      </c>
      <c r="AS918">
        <f>$H$918*$Y$918</f>
        <v>677.49</v>
      </c>
      <c r="AT918">
        <f>$H$918*$Z$918</f>
        <v>677.49</v>
      </c>
      <c r="AU918">
        <f>$H$918*$AA$918</f>
        <v>677.49</v>
      </c>
      <c r="AV918">
        <f>$H$918*$AB$918</f>
        <v>677.49</v>
      </c>
      <c r="AW918">
        <f>$H$918*$AC$918</f>
        <v>677.49</v>
      </c>
      <c r="AX918">
        <f>$H$918*$AD$918</f>
        <v>677.49</v>
      </c>
      <c r="AY918">
        <f>$H$918*$AE$918</f>
        <v>677.49</v>
      </c>
      <c r="AZ918">
        <f>$H$918*$AF$918</f>
        <v>677.49</v>
      </c>
    </row>
    <row r="919" spans="1:52" x14ac:dyDescent="0.25">
      <c r="A919">
        <v>987</v>
      </c>
      <c r="B919" t="s">
        <v>285</v>
      </c>
      <c r="C919" t="s">
        <v>464</v>
      </c>
      <c r="D919">
        <v>65.08</v>
      </c>
      <c r="E919">
        <v>232.99</v>
      </c>
      <c r="F919" t="s">
        <v>349</v>
      </c>
      <c r="G919">
        <v>3.58</v>
      </c>
      <c r="H919">
        <v>279.58999999999997</v>
      </c>
      <c r="I919" t="s">
        <v>465</v>
      </c>
      <c r="J919" t="s">
        <v>466</v>
      </c>
      <c r="K919" t="s">
        <v>666</v>
      </c>
      <c r="L919" t="s">
        <v>179</v>
      </c>
      <c r="M919" t="s">
        <v>285</v>
      </c>
      <c r="N919" t="s">
        <v>11</v>
      </c>
      <c r="O919" t="s">
        <v>4</v>
      </c>
      <c r="P919">
        <v>0</v>
      </c>
      <c r="Q919">
        <v>0</v>
      </c>
      <c r="R919">
        <v>0</v>
      </c>
      <c r="S919">
        <v>1</v>
      </c>
      <c r="T919">
        <v>1</v>
      </c>
      <c r="U919">
        <v>1</v>
      </c>
      <c r="V919">
        <v>1</v>
      </c>
      <c r="W919">
        <v>1</v>
      </c>
      <c r="X919">
        <v>1</v>
      </c>
      <c r="Y919">
        <v>1</v>
      </c>
      <c r="Z919">
        <v>1</v>
      </c>
      <c r="AA919">
        <v>1</v>
      </c>
      <c r="AB919">
        <v>1</v>
      </c>
      <c r="AC919">
        <v>1</v>
      </c>
      <c r="AD919">
        <v>1</v>
      </c>
      <c r="AE919">
        <v>1</v>
      </c>
      <c r="AF919">
        <v>1</v>
      </c>
      <c r="AG919" t="s">
        <v>285</v>
      </c>
      <c r="AH919" t="s">
        <v>11</v>
      </c>
      <c r="AI919" t="s">
        <v>4</v>
      </c>
      <c r="AJ919">
        <f>$H$919*$P$919</f>
        <v>0</v>
      </c>
      <c r="AK919">
        <f>$H$919*$Q$919</f>
        <v>0</v>
      </c>
      <c r="AL919">
        <f>$H$919*$R$919</f>
        <v>0</v>
      </c>
      <c r="AM919">
        <f>$H$919*$S$919</f>
        <v>279.58999999999997</v>
      </c>
      <c r="AN919">
        <f>$H$919*$T$919</f>
        <v>279.58999999999997</v>
      </c>
      <c r="AO919">
        <f>$H$919*$U$919</f>
        <v>279.58999999999997</v>
      </c>
      <c r="AP919">
        <f>$H$919*$V$919</f>
        <v>279.58999999999997</v>
      </c>
      <c r="AQ919">
        <f>$H$919*$W$919</f>
        <v>279.58999999999997</v>
      </c>
      <c r="AR919">
        <f>$H$919*$X$919</f>
        <v>279.58999999999997</v>
      </c>
      <c r="AS919">
        <f>$H$919*$Y$919</f>
        <v>279.58999999999997</v>
      </c>
      <c r="AT919">
        <f>$H$919*$Z$919</f>
        <v>279.58999999999997</v>
      </c>
      <c r="AU919">
        <f>$H$919*$AA$919</f>
        <v>279.58999999999997</v>
      </c>
      <c r="AV919">
        <f>$H$919*$AB$919</f>
        <v>279.58999999999997</v>
      </c>
      <c r="AW919">
        <f>$H$919*$AC$919</f>
        <v>279.58999999999997</v>
      </c>
      <c r="AX919">
        <f>$H$919*$AD$919</f>
        <v>279.58999999999997</v>
      </c>
      <c r="AY919">
        <f>$H$919*$AE$919</f>
        <v>279.58999999999997</v>
      </c>
      <c r="AZ919">
        <f>$H$919*$AF$919</f>
        <v>279.58999999999997</v>
      </c>
    </row>
    <row r="920" spans="1:52" x14ac:dyDescent="0.25">
      <c r="A920">
        <v>988</v>
      </c>
      <c r="B920" t="s">
        <v>285</v>
      </c>
      <c r="C920" t="s">
        <v>467</v>
      </c>
      <c r="D920">
        <v>65.08</v>
      </c>
      <c r="E920">
        <v>641.04</v>
      </c>
      <c r="F920" t="s">
        <v>349</v>
      </c>
      <c r="G920">
        <v>9.85</v>
      </c>
      <c r="H920">
        <v>769.24</v>
      </c>
      <c r="I920" t="s">
        <v>465</v>
      </c>
      <c r="J920" t="s">
        <v>372</v>
      </c>
      <c r="K920" t="s">
        <v>667</v>
      </c>
      <c r="L920" t="s">
        <v>179</v>
      </c>
      <c r="M920" t="s">
        <v>285</v>
      </c>
      <c r="N920" t="s">
        <v>11</v>
      </c>
      <c r="O920" t="s">
        <v>4</v>
      </c>
      <c r="P920">
        <v>0</v>
      </c>
      <c r="Q920">
        <v>0</v>
      </c>
      <c r="R920">
        <v>0</v>
      </c>
      <c r="S920">
        <v>1</v>
      </c>
      <c r="T920">
        <v>1</v>
      </c>
      <c r="U920">
        <v>1</v>
      </c>
      <c r="V920">
        <v>1</v>
      </c>
      <c r="W920">
        <v>1</v>
      </c>
      <c r="X920">
        <v>1</v>
      </c>
      <c r="Y920">
        <v>1</v>
      </c>
      <c r="Z920">
        <v>1</v>
      </c>
      <c r="AA920">
        <v>1</v>
      </c>
      <c r="AB920">
        <v>1</v>
      </c>
      <c r="AC920">
        <v>1</v>
      </c>
      <c r="AD920">
        <v>1</v>
      </c>
      <c r="AE920">
        <v>1</v>
      </c>
      <c r="AF920">
        <v>1</v>
      </c>
      <c r="AG920" t="s">
        <v>285</v>
      </c>
      <c r="AH920" t="s">
        <v>11</v>
      </c>
      <c r="AI920" t="s">
        <v>4</v>
      </c>
      <c r="AJ920">
        <f>$H$920*$P$920</f>
        <v>0</v>
      </c>
      <c r="AK920">
        <f>$H$920*$Q$920</f>
        <v>0</v>
      </c>
      <c r="AL920">
        <f>$H$920*$R$920</f>
        <v>0</v>
      </c>
      <c r="AM920">
        <f>$H$920*$S$920</f>
        <v>769.24</v>
      </c>
      <c r="AN920">
        <f>$H$920*$T$920</f>
        <v>769.24</v>
      </c>
      <c r="AO920">
        <f>$H$920*$U$920</f>
        <v>769.24</v>
      </c>
      <c r="AP920">
        <f>$H$920*$V$920</f>
        <v>769.24</v>
      </c>
      <c r="AQ920">
        <f>$H$920*$W$920</f>
        <v>769.24</v>
      </c>
      <c r="AR920">
        <f>$H$920*$X$920</f>
        <v>769.24</v>
      </c>
      <c r="AS920">
        <f>$H$920*$Y$920</f>
        <v>769.24</v>
      </c>
      <c r="AT920">
        <f>$H$920*$Z$920</f>
        <v>769.24</v>
      </c>
      <c r="AU920">
        <f>$H$920*$AA$920</f>
        <v>769.24</v>
      </c>
      <c r="AV920">
        <f>$H$920*$AB$920</f>
        <v>769.24</v>
      </c>
      <c r="AW920">
        <f>$H$920*$AC$920</f>
        <v>769.24</v>
      </c>
      <c r="AX920">
        <f>$H$920*$AD$920</f>
        <v>769.24</v>
      </c>
      <c r="AY920">
        <f>$H$920*$AE$920</f>
        <v>769.24</v>
      </c>
      <c r="AZ920">
        <f>$H$920*$AF$920</f>
        <v>769.24</v>
      </c>
    </row>
    <row r="921" spans="1:52" x14ac:dyDescent="0.25">
      <c r="A921">
        <v>989</v>
      </c>
      <c r="B921" t="s">
        <v>285</v>
      </c>
      <c r="C921" t="s">
        <v>468</v>
      </c>
      <c r="D921">
        <v>74.849999999999994</v>
      </c>
      <c r="E921">
        <v>76.349999999999994</v>
      </c>
      <c r="F921" t="s">
        <v>349</v>
      </c>
      <c r="G921">
        <v>1.02</v>
      </c>
      <c r="H921">
        <v>91.63</v>
      </c>
      <c r="I921" t="s">
        <v>469</v>
      </c>
      <c r="J921" t="s">
        <v>470</v>
      </c>
      <c r="K921" t="s">
        <v>668</v>
      </c>
      <c r="L921" t="s">
        <v>179</v>
      </c>
      <c r="M921" t="s">
        <v>285</v>
      </c>
      <c r="N921" t="s">
        <v>11</v>
      </c>
      <c r="O921" t="s">
        <v>4</v>
      </c>
      <c r="P921">
        <v>0</v>
      </c>
      <c r="Q921">
        <v>0</v>
      </c>
      <c r="R921">
        <v>0</v>
      </c>
      <c r="S921">
        <v>1</v>
      </c>
      <c r="T921">
        <v>1</v>
      </c>
      <c r="U921">
        <v>1</v>
      </c>
      <c r="V921">
        <v>1</v>
      </c>
      <c r="W921">
        <v>1</v>
      </c>
      <c r="X921">
        <v>1</v>
      </c>
      <c r="Y921">
        <v>1</v>
      </c>
      <c r="Z921">
        <v>1</v>
      </c>
      <c r="AA921">
        <v>1</v>
      </c>
      <c r="AB921">
        <v>1</v>
      </c>
      <c r="AC921">
        <v>1</v>
      </c>
      <c r="AD921">
        <v>1</v>
      </c>
      <c r="AE921">
        <v>1</v>
      </c>
      <c r="AF921">
        <v>1</v>
      </c>
      <c r="AG921" t="s">
        <v>285</v>
      </c>
      <c r="AH921" t="s">
        <v>11</v>
      </c>
      <c r="AI921" t="s">
        <v>4</v>
      </c>
      <c r="AJ921">
        <f>$H$921*$P$921</f>
        <v>0</v>
      </c>
      <c r="AK921">
        <f>$H$921*$Q$921</f>
        <v>0</v>
      </c>
      <c r="AL921">
        <f>$H$921*$R$921</f>
        <v>0</v>
      </c>
      <c r="AM921">
        <f>$H$921*$S$921</f>
        <v>91.63</v>
      </c>
      <c r="AN921">
        <f>$H$921*$T$921</f>
        <v>91.63</v>
      </c>
      <c r="AO921">
        <f>$H$921*$U$921</f>
        <v>91.63</v>
      </c>
      <c r="AP921">
        <f>$H$921*$V$921</f>
        <v>91.63</v>
      </c>
      <c r="AQ921">
        <f>$H$921*$W$921</f>
        <v>91.63</v>
      </c>
      <c r="AR921">
        <f>$H$921*$X$921</f>
        <v>91.63</v>
      </c>
      <c r="AS921">
        <f>$H$921*$Y$921</f>
        <v>91.63</v>
      </c>
      <c r="AT921">
        <f>$H$921*$Z$921</f>
        <v>91.63</v>
      </c>
      <c r="AU921">
        <f>$H$921*$AA$921</f>
        <v>91.63</v>
      </c>
      <c r="AV921">
        <f>$H$921*$AB$921</f>
        <v>91.63</v>
      </c>
      <c r="AW921">
        <f>$H$921*$AC$921</f>
        <v>91.63</v>
      </c>
      <c r="AX921">
        <f>$H$921*$AD$921</f>
        <v>91.63</v>
      </c>
      <c r="AY921">
        <f>$H$921*$AE$921</f>
        <v>91.63</v>
      </c>
      <c r="AZ921">
        <f>$H$921*$AF$921</f>
        <v>91.63</v>
      </c>
    </row>
    <row r="922" spans="1:52" x14ac:dyDescent="0.25">
      <c r="A922">
        <v>990</v>
      </c>
      <c r="B922" t="s">
        <v>285</v>
      </c>
      <c r="C922" t="s">
        <v>471</v>
      </c>
      <c r="D922">
        <v>74.849999999999994</v>
      </c>
      <c r="E922">
        <v>690.87</v>
      </c>
      <c r="F922" t="s">
        <v>349</v>
      </c>
      <c r="G922">
        <v>9.23</v>
      </c>
      <c r="H922">
        <v>829.05</v>
      </c>
      <c r="I922" t="s">
        <v>469</v>
      </c>
      <c r="J922" t="s">
        <v>463</v>
      </c>
      <c r="K922" t="s">
        <v>669</v>
      </c>
      <c r="L922" t="s">
        <v>179</v>
      </c>
      <c r="M922" t="s">
        <v>285</v>
      </c>
      <c r="N922" t="s">
        <v>11</v>
      </c>
      <c r="O922" t="s">
        <v>4</v>
      </c>
      <c r="P922">
        <v>0</v>
      </c>
      <c r="Q922">
        <v>0</v>
      </c>
      <c r="R922">
        <v>0</v>
      </c>
      <c r="S922">
        <v>1</v>
      </c>
      <c r="T922">
        <v>1</v>
      </c>
      <c r="U922">
        <v>1</v>
      </c>
      <c r="V922">
        <v>1</v>
      </c>
      <c r="W922">
        <v>1</v>
      </c>
      <c r="X922">
        <v>1</v>
      </c>
      <c r="Y922">
        <v>1</v>
      </c>
      <c r="Z922">
        <v>1</v>
      </c>
      <c r="AA922">
        <v>1</v>
      </c>
      <c r="AB922">
        <v>1</v>
      </c>
      <c r="AC922">
        <v>1</v>
      </c>
      <c r="AD922">
        <v>1</v>
      </c>
      <c r="AE922">
        <v>1</v>
      </c>
      <c r="AF922">
        <v>1</v>
      </c>
      <c r="AG922" t="s">
        <v>285</v>
      </c>
      <c r="AH922" t="s">
        <v>11</v>
      </c>
      <c r="AI922" t="s">
        <v>4</v>
      </c>
      <c r="AJ922">
        <f>$H$922*$P$922</f>
        <v>0</v>
      </c>
      <c r="AK922">
        <f>$H$922*$Q$922</f>
        <v>0</v>
      </c>
      <c r="AL922">
        <f>$H$922*$R$922</f>
        <v>0</v>
      </c>
      <c r="AM922">
        <f>$H$922*$S$922</f>
        <v>829.05</v>
      </c>
      <c r="AN922">
        <f>$H$922*$T$922</f>
        <v>829.05</v>
      </c>
      <c r="AO922">
        <f>$H$922*$U$922</f>
        <v>829.05</v>
      </c>
      <c r="AP922">
        <f>$H$922*$V$922</f>
        <v>829.05</v>
      </c>
      <c r="AQ922">
        <f>$H$922*$W$922</f>
        <v>829.05</v>
      </c>
      <c r="AR922">
        <f>$H$922*$X$922</f>
        <v>829.05</v>
      </c>
      <c r="AS922">
        <f>$H$922*$Y$922</f>
        <v>829.05</v>
      </c>
      <c r="AT922">
        <f>$H$922*$Z$922</f>
        <v>829.05</v>
      </c>
      <c r="AU922">
        <f>$H$922*$AA$922</f>
        <v>829.05</v>
      </c>
      <c r="AV922">
        <f>$H$922*$AB$922</f>
        <v>829.05</v>
      </c>
      <c r="AW922">
        <f>$H$922*$AC$922</f>
        <v>829.05</v>
      </c>
      <c r="AX922">
        <f>$H$922*$AD$922</f>
        <v>829.05</v>
      </c>
      <c r="AY922">
        <f>$H$922*$AE$922</f>
        <v>829.05</v>
      </c>
      <c r="AZ922">
        <f>$H$922*$AF$922</f>
        <v>829.05</v>
      </c>
    </row>
    <row r="923" spans="1:52" x14ac:dyDescent="0.25">
      <c r="A923">
        <v>991</v>
      </c>
      <c r="B923" t="s">
        <v>304</v>
      </c>
      <c r="C923" t="s">
        <v>336</v>
      </c>
      <c r="D923">
        <v>1</v>
      </c>
      <c r="E923">
        <v>87.09</v>
      </c>
      <c r="F923" t="s">
        <v>335</v>
      </c>
      <c r="G923">
        <v>87.09</v>
      </c>
      <c r="H923">
        <v>104.51</v>
      </c>
      <c r="I923" t="s">
        <v>337</v>
      </c>
      <c r="J923" t="s">
        <v>338</v>
      </c>
      <c r="K923" t="s">
        <v>606</v>
      </c>
      <c r="L923" t="s">
        <v>179</v>
      </c>
      <c r="M923" t="s">
        <v>304</v>
      </c>
      <c r="N923" t="s">
        <v>11</v>
      </c>
      <c r="O923" t="s">
        <v>6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1</v>
      </c>
      <c r="AE923">
        <v>1</v>
      </c>
      <c r="AF923">
        <v>1</v>
      </c>
      <c r="AG923" t="s">
        <v>304</v>
      </c>
      <c r="AH923" t="s">
        <v>11</v>
      </c>
      <c r="AI923" t="s">
        <v>6</v>
      </c>
      <c r="AJ923">
        <f>$H$923*$P$923</f>
        <v>0</v>
      </c>
      <c r="AK923">
        <f>$H$923*$Q$923</f>
        <v>0</v>
      </c>
      <c r="AL923">
        <f>$H$923*$R$923</f>
        <v>0</v>
      </c>
      <c r="AM923">
        <f>$H$923*$S$923</f>
        <v>0</v>
      </c>
      <c r="AN923">
        <f>$H$923*$T$923</f>
        <v>0</v>
      </c>
      <c r="AO923">
        <f>$H$923*$U$923</f>
        <v>0</v>
      </c>
      <c r="AP923">
        <f>$H$923*$V$923</f>
        <v>0</v>
      </c>
      <c r="AQ923">
        <f>$H$923*$W$923</f>
        <v>0</v>
      </c>
      <c r="AR923">
        <f>$H$923*$X$923</f>
        <v>0</v>
      </c>
      <c r="AS923">
        <f>$H$923*$Y$923</f>
        <v>0</v>
      </c>
      <c r="AT923">
        <f>$H$923*$Z$923</f>
        <v>0</v>
      </c>
      <c r="AU923">
        <f>$H$923*$AA$923</f>
        <v>0</v>
      </c>
      <c r="AV923">
        <f>$H$923*$AB$923</f>
        <v>0</v>
      </c>
      <c r="AW923">
        <f>$H$923*$AC$923</f>
        <v>0</v>
      </c>
      <c r="AX923">
        <f>$H$923*$AD$923</f>
        <v>104.51</v>
      </c>
      <c r="AY923">
        <f>$H$923*$AE$923</f>
        <v>104.51</v>
      </c>
      <c r="AZ923">
        <f>$H$923*$AF$923</f>
        <v>104.51</v>
      </c>
    </row>
    <row r="924" spans="1:52" x14ac:dyDescent="0.25">
      <c r="A924">
        <v>992</v>
      </c>
      <c r="B924" t="s">
        <v>304</v>
      </c>
      <c r="C924" t="s">
        <v>435</v>
      </c>
      <c r="D924">
        <v>3</v>
      </c>
      <c r="E924">
        <v>39.81</v>
      </c>
      <c r="F924" t="s">
        <v>335</v>
      </c>
      <c r="G924">
        <v>13.27</v>
      </c>
      <c r="H924">
        <v>47.77</v>
      </c>
      <c r="I924" t="s">
        <v>337</v>
      </c>
      <c r="J924" t="s">
        <v>436</v>
      </c>
      <c r="K924" t="s">
        <v>652</v>
      </c>
      <c r="L924" t="s">
        <v>179</v>
      </c>
      <c r="M924" t="s">
        <v>304</v>
      </c>
      <c r="N924" t="s">
        <v>11</v>
      </c>
      <c r="O924" t="s">
        <v>6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1</v>
      </c>
      <c r="Y924">
        <v>1</v>
      </c>
      <c r="Z924">
        <v>1</v>
      </c>
      <c r="AA924">
        <v>1</v>
      </c>
      <c r="AB924">
        <v>1</v>
      </c>
      <c r="AC924">
        <v>1</v>
      </c>
      <c r="AD924">
        <v>1</v>
      </c>
      <c r="AE924">
        <v>1</v>
      </c>
      <c r="AF924">
        <v>1</v>
      </c>
      <c r="AG924" t="s">
        <v>304</v>
      </c>
      <c r="AH924" t="s">
        <v>11</v>
      </c>
      <c r="AI924" t="s">
        <v>6</v>
      </c>
      <c r="AJ924">
        <f>$H$924*$P$924</f>
        <v>0</v>
      </c>
      <c r="AK924">
        <f>$H$924*$Q$924</f>
        <v>0</v>
      </c>
      <c r="AL924">
        <f>$H$924*$R$924</f>
        <v>0</v>
      </c>
      <c r="AM924">
        <f>$H$924*$S$924</f>
        <v>0</v>
      </c>
      <c r="AN924">
        <f>$H$924*$T$924</f>
        <v>0</v>
      </c>
      <c r="AO924">
        <f>$H$924*$U$924</f>
        <v>0</v>
      </c>
      <c r="AP924">
        <f>$H$924*$V$924</f>
        <v>0</v>
      </c>
      <c r="AQ924">
        <f>$H$924*$W$924</f>
        <v>0</v>
      </c>
      <c r="AR924">
        <f>$H$924*$X$924</f>
        <v>47.77</v>
      </c>
      <c r="AS924">
        <f>$H$924*$Y$924</f>
        <v>47.77</v>
      </c>
      <c r="AT924">
        <f>$H$924*$Z$924</f>
        <v>47.77</v>
      </c>
      <c r="AU924">
        <f>$H$924*$AA$924</f>
        <v>47.77</v>
      </c>
      <c r="AV924">
        <f>$H$924*$AB$924</f>
        <v>47.77</v>
      </c>
      <c r="AW924">
        <f>$H$924*$AC$924</f>
        <v>47.77</v>
      </c>
      <c r="AX924">
        <f>$H$924*$AD$924</f>
        <v>47.77</v>
      </c>
      <c r="AY924">
        <f>$H$924*$AE$924</f>
        <v>47.77</v>
      </c>
      <c r="AZ924">
        <f>$H$924*$AF$924</f>
        <v>47.77</v>
      </c>
    </row>
    <row r="925" spans="1:52" x14ac:dyDescent="0.25">
      <c r="A925">
        <v>993</v>
      </c>
      <c r="B925" t="s">
        <v>304</v>
      </c>
      <c r="C925" t="s">
        <v>437</v>
      </c>
      <c r="D925">
        <v>1</v>
      </c>
      <c r="E925">
        <v>98.82</v>
      </c>
      <c r="F925" t="s">
        <v>335</v>
      </c>
      <c r="G925">
        <v>98.82</v>
      </c>
      <c r="H925">
        <v>118.58</v>
      </c>
      <c r="I925" t="s">
        <v>340</v>
      </c>
      <c r="J925" t="s">
        <v>372</v>
      </c>
      <c r="K925" t="s">
        <v>653</v>
      </c>
      <c r="L925" t="s">
        <v>179</v>
      </c>
      <c r="M925" t="s">
        <v>304</v>
      </c>
      <c r="N925" t="s">
        <v>11</v>
      </c>
      <c r="O925" t="s">
        <v>6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1</v>
      </c>
      <c r="AE925">
        <v>1</v>
      </c>
      <c r="AF925">
        <v>1</v>
      </c>
      <c r="AG925" t="s">
        <v>304</v>
      </c>
      <c r="AH925" t="s">
        <v>11</v>
      </c>
      <c r="AI925" t="s">
        <v>6</v>
      </c>
      <c r="AJ925">
        <f>$H$925*$P$925</f>
        <v>0</v>
      </c>
      <c r="AK925">
        <f>$H$925*$Q$925</f>
        <v>0</v>
      </c>
      <c r="AL925">
        <f>$H$925*$R$925</f>
        <v>0</v>
      </c>
      <c r="AM925">
        <f>$H$925*$S$925</f>
        <v>0</v>
      </c>
      <c r="AN925">
        <f>$H$925*$T$925</f>
        <v>0</v>
      </c>
      <c r="AO925">
        <f>$H$925*$U$925</f>
        <v>0</v>
      </c>
      <c r="AP925">
        <f>$H$925*$V$925</f>
        <v>0</v>
      </c>
      <c r="AQ925">
        <f>$H$925*$W$925</f>
        <v>0</v>
      </c>
      <c r="AR925">
        <f>$H$925*$X$925</f>
        <v>0</v>
      </c>
      <c r="AS925">
        <f>$H$925*$Y$925</f>
        <v>0</v>
      </c>
      <c r="AT925">
        <f>$H$925*$Z$925</f>
        <v>0</v>
      </c>
      <c r="AU925">
        <f>$H$925*$AA$925</f>
        <v>0</v>
      </c>
      <c r="AV925">
        <f>$H$925*$AB$925</f>
        <v>0</v>
      </c>
      <c r="AW925">
        <f>$H$925*$AC$925</f>
        <v>0</v>
      </c>
      <c r="AX925">
        <f>$H$925*$AD$925</f>
        <v>118.58</v>
      </c>
      <c r="AY925">
        <f>$H$925*$AE$925</f>
        <v>118.58</v>
      </c>
      <c r="AZ925">
        <f>$H$925*$AF$925</f>
        <v>118.58</v>
      </c>
    </row>
    <row r="926" spans="1:52" x14ac:dyDescent="0.25">
      <c r="A926">
        <v>994</v>
      </c>
      <c r="B926" t="s">
        <v>304</v>
      </c>
      <c r="C926" t="s">
        <v>438</v>
      </c>
      <c r="D926">
        <v>16.53</v>
      </c>
      <c r="E926">
        <v>43.31</v>
      </c>
      <c r="F926" t="s">
        <v>329</v>
      </c>
      <c r="G926">
        <v>2.62</v>
      </c>
      <c r="H926">
        <v>51.97</v>
      </c>
      <c r="I926" t="s">
        <v>439</v>
      </c>
      <c r="J926" t="s">
        <v>440</v>
      </c>
      <c r="K926" t="s">
        <v>654</v>
      </c>
      <c r="L926" t="s">
        <v>179</v>
      </c>
      <c r="M926" t="s">
        <v>304</v>
      </c>
      <c r="N926" t="s">
        <v>11</v>
      </c>
      <c r="O926" t="s">
        <v>6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1</v>
      </c>
      <c r="AB926">
        <v>1</v>
      </c>
      <c r="AC926">
        <v>1</v>
      </c>
      <c r="AD926">
        <v>1</v>
      </c>
      <c r="AE926">
        <v>1</v>
      </c>
      <c r="AF926">
        <v>1</v>
      </c>
      <c r="AG926" t="s">
        <v>304</v>
      </c>
      <c r="AH926" t="s">
        <v>11</v>
      </c>
      <c r="AI926" t="s">
        <v>6</v>
      </c>
      <c r="AJ926">
        <f>$H$926*$P$926</f>
        <v>0</v>
      </c>
      <c r="AK926">
        <f>$H$926*$Q$926</f>
        <v>0</v>
      </c>
      <c r="AL926">
        <f>$H$926*$R$926</f>
        <v>0</v>
      </c>
      <c r="AM926">
        <f>$H$926*$S$926</f>
        <v>0</v>
      </c>
      <c r="AN926">
        <f>$H$926*$T$926</f>
        <v>0</v>
      </c>
      <c r="AO926">
        <f>$H$926*$U$926</f>
        <v>0</v>
      </c>
      <c r="AP926">
        <f>$H$926*$V$926</f>
        <v>0</v>
      </c>
      <c r="AQ926">
        <f>$H$926*$W$926</f>
        <v>0</v>
      </c>
      <c r="AR926">
        <f>$H$926*$X$926</f>
        <v>0</v>
      </c>
      <c r="AS926">
        <f>$H$926*$Y$926</f>
        <v>0</v>
      </c>
      <c r="AT926">
        <f>$H$926*$Z$926</f>
        <v>0</v>
      </c>
      <c r="AU926">
        <f>$H$926*$AA$926</f>
        <v>51.97</v>
      </c>
      <c r="AV926">
        <f>$H$926*$AB$926</f>
        <v>51.97</v>
      </c>
      <c r="AW926">
        <f>$H$926*$AC$926</f>
        <v>51.97</v>
      </c>
      <c r="AX926">
        <f>$H$926*$AD$926</f>
        <v>51.97</v>
      </c>
      <c r="AY926">
        <f>$H$926*$AE$926</f>
        <v>51.97</v>
      </c>
      <c r="AZ926">
        <f>$H$926*$AF$926</f>
        <v>51.97</v>
      </c>
    </row>
    <row r="927" spans="1:52" x14ac:dyDescent="0.25">
      <c r="A927">
        <v>995</v>
      </c>
      <c r="B927" t="s">
        <v>304</v>
      </c>
      <c r="C927" t="s">
        <v>441</v>
      </c>
      <c r="D927">
        <v>148.80000000000001</v>
      </c>
      <c r="E927">
        <v>321.41000000000003</v>
      </c>
      <c r="F927" t="s">
        <v>349</v>
      </c>
      <c r="G927">
        <v>2.16</v>
      </c>
      <c r="H927">
        <v>385.69</v>
      </c>
      <c r="I927" t="s">
        <v>439</v>
      </c>
      <c r="J927" t="s">
        <v>442</v>
      </c>
      <c r="K927" t="s">
        <v>655</v>
      </c>
      <c r="L927" t="s">
        <v>179</v>
      </c>
      <c r="M927" t="s">
        <v>304</v>
      </c>
      <c r="N927" t="s">
        <v>11</v>
      </c>
      <c r="O927" t="s">
        <v>6</v>
      </c>
      <c r="P927">
        <v>0</v>
      </c>
      <c r="Q927">
        <v>0</v>
      </c>
      <c r="R927">
        <v>0</v>
      </c>
      <c r="S927">
        <v>1</v>
      </c>
      <c r="T927">
        <v>1</v>
      </c>
      <c r="U927">
        <v>1</v>
      </c>
      <c r="V927">
        <v>1</v>
      </c>
      <c r="W927">
        <v>1</v>
      </c>
      <c r="X927">
        <v>1</v>
      </c>
      <c r="Y927">
        <v>1</v>
      </c>
      <c r="Z927">
        <v>1</v>
      </c>
      <c r="AA927">
        <v>1</v>
      </c>
      <c r="AB927">
        <v>1</v>
      </c>
      <c r="AC927">
        <v>1</v>
      </c>
      <c r="AD927">
        <v>1</v>
      </c>
      <c r="AE927">
        <v>1</v>
      </c>
      <c r="AF927">
        <v>1</v>
      </c>
      <c r="AG927" t="s">
        <v>304</v>
      </c>
      <c r="AH927" t="s">
        <v>11</v>
      </c>
      <c r="AI927" t="s">
        <v>6</v>
      </c>
      <c r="AJ927">
        <f>$H$927*$P$927</f>
        <v>0</v>
      </c>
      <c r="AK927">
        <f>$H$927*$Q$927</f>
        <v>0</v>
      </c>
      <c r="AL927">
        <f>$H$927*$R$927</f>
        <v>0</v>
      </c>
      <c r="AM927">
        <f>$H$927*$S$927</f>
        <v>385.69</v>
      </c>
      <c r="AN927">
        <f>$H$927*$T$927</f>
        <v>385.69</v>
      </c>
      <c r="AO927">
        <f>$H$927*$U$927</f>
        <v>385.69</v>
      </c>
      <c r="AP927">
        <f>$H$927*$V$927</f>
        <v>385.69</v>
      </c>
      <c r="AQ927">
        <f>$H$927*$W$927</f>
        <v>385.69</v>
      </c>
      <c r="AR927">
        <f>$H$927*$X$927</f>
        <v>385.69</v>
      </c>
      <c r="AS927">
        <f>$H$927*$Y$927</f>
        <v>385.69</v>
      </c>
      <c r="AT927">
        <f>$H$927*$Z$927</f>
        <v>385.69</v>
      </c>
      <c r="AU927">
        <f>$H$927*$AA$927</f>
        <v>385.69</v>
      </c>
      <c r="AV927">
        <f>$H$927*$AB$927</f>
        <v>385.69</v>
      </c>
      <c r="AW927">
        <f>$H$927*$AC$927</f>
        <v>385.69</v>
      </c>
      <c r="AX927">
        <f>$H$927*$AD$927</f>
        <v>385.69</v>
      </c>
      <c r="AY927">
        <f>$H$927*$AE$927</f>
        <v>385.69</v>
      </c>
      <c r="AZ927">
        <f>$H$927*$AF$927</f>
        <v>385.69</v>
      </c>
    </row>
    <row r="928" spans="1:52" x14ac:dyDescent="0.25">
      <c r="A928">
        <v>996</v>
      </c>
      <c r="B928" t="s">
        <v>304</v>
      </c>
      <c r="C928" t="s">
        <v>443</v>
      </c>
      <c r="D928">
        <v>148.80000000000001</v>
      </c>
      <c r="E928">
        <v>93.74</v>
      </c>
      <c r="F928" t="s">
        <v>349</v>
      </c>
      <c r="G928">
        <v>0.63</v>
      </c>
      <c r="H928">
        <v>112.48</v>
      </c>
      <c r="I928" t="s">
        <v>330</v>
      </c>
      <c r="J928" t="s">
        <v>444</v>
      </c>
      <c r="K928" t="s">
        <v>656</v>
      </c>
      <c r="L928" t="s">
        <v>179</v>
      </c>
      <c r="M928" t="s">
        <v>304</v>
      </c>
      <c r="N928" t="s">
        <v>11</v>
      </c>
      <c r="O928" t="s">
        <v>6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1</v>
      </c>
      <c r="AE928">
        <v>1</v>
      </c>
      <c r="AF928">
        <v>1</v>
      </c>
      <c r="AG928" t="s">
        <v>304</v>
      </c>
      <c r="AH928" t="s">
        <v>11</v>
      </c>
      <c r="AI928" t="s">
        <v>6</v>
      </c>
      <c r="AJ928">
        <f>$H$928*$P$928</f>
        <v>0</v>
      </c>
      <c r="AK928">
        <f>$H$928*$Q$928</f>
        <v>0</v>
      </c>
      <c r="AL928">
        <f>$H$928*$R$928</f>
        <v>0</v>
      </c>
      <c r="AM928">
        <f>$H$928*$S$928</f>
        <v>0</v>
      </c>
      <c r="AN928">
        <f>$H$928*$T$928</f>
        <v>0</v>
      </c>
      <c r="AO928">
        <f>$H$928*$U$928</f>
        <v>0</v>
      </c>
      <c r="AP928">
        <f>$H$928*$V$928</f>
        <v>0</v>
      </c>
      <c r="AQ928">
        <f>$H$928*$W$928</f>
        <v>0</v>
      </c>
      <c r="AR928">
        <f>$H$928*$X$928</f>
        <v>0</v>
      </c>
      <c r="AS928">
        <f>$H$928*$Y$928</f>
        <v>0</v>
      </c>
      <c r="AT928">
        <f>$H$928*$Z$928</f>
        <v>0</v>
      </c>
      <c r="AU928">
        <f>$H$928*$AA$928</f>
        <v>0</v>
      </c>
      <c r="AV928">
        <f>$H$928*$AB$928</f>
        <v>0</v>
      </c>
      <c r="AW928">
        <f>$H$928*$AC$928</f>
        <v>0</v>
      </c>
      <c r="AX928">
        <f>$H$928*$AD$928</f>
        <v>112.48</v>
      </c>
      <c r="AY928">
        <f>$H$928*$AE$928</f>
        <v>112.48</v>
      </c>
      <c r="AZ928">
        <f>$H$928*$AF$928</f>
        <v>112.48</v>
      </c>
    </row>
    <row r="929" spans="1:52" x14ac:dyDescent="0.25">
      <c r="A929">
        <v>997</v>
      </c>
      <c r="B929" t="s">
        <v>304</v>
      </c>
      <c r="C929" t="s">
        <v>362</v>
      </c>
      <c r="D929">
        <v>186</v>
      </c>
      <c r="E929">
        <v>182.28</v>
      </c>
      <c r="F929" t="s">
        <v>349</v>
      </c>
      <c r="G929">
        <v>0.98</v>
      </c>
      <c r="H929">
        <v>218.74</v>
      </c>
      <c r="I929" t="s">
        <v>330</v>
      </c>
      <c r="J929" t="s">
        <v>363</v>
      </c>
      <c r="K929" t="s">
        <v>617</v>
      </c>
      <c r="L929" t="s">
        <v>179</v>
      </c>
      <c r="M929" t="s">
        <v>304</v>
      </c>
      <c r="N929" t="s">
        <v>11</v>
      </c>
      <c r="O929" t="s">
        <v>6</v>
      </c>
      <c r="P929">
        <v>0</v>
      </c>
      <c r="Q929">
        <v>0</v>
      </c>
      <c r="R929">
        <v>0</v>
      </c>
      <c r="S929">
        <v>0</v>
      </c>
      <c r="T929">
        <v>1</v>
      </c>
      <c r="U929">
        <v>1</v>
      </c>
      <c r="V929">
        <v>1</v>
      </c>
      <c r="W929">
        <v>1</v>
      </c>
      <c r="X929">
        <v>1</v>
      </c>
      <c r="Y929">
        <v>1</v>
      </c>
      <c r="Z929">
        <v>1</v>
      </c>
      <c r="AA929">
        <v>1</v>
      </c>
      <c r="AB929">
        <v>1</v>
      </c>
      <c r="AC929">
        <v>1</v>
      </c>
      <c r="AD929">
        <v>1</v>
      </c>
      <c r="AE929">
        <v>1</v>
      </c>
      <c r="AF929">
        <v>1</v>
      </c>
      <c r="AG929" t="s">
        <v>304</v>
      </c>
      <c r="AH929" t="s">
        <v>11</v>
      </c>
      <c r="AI929" t="s">
        <v>6</v>
      </c>
      <c r="AJ929">
        <f>$H$929*$P$929</f>
        <v>0</v>
      </c>
      <c r="AK929">
        <f>$H$929*$Q$929</f>
        <v>0</v>
      </c>
      <c r="AL929">
        <f>$H$929*$R$929</f>
        <v>0</v>
      </c>
      <c r="AM929">
        <f>$H$929*$S$929</f>
        <v>0</v>
      </c>
      <c r="AN929">
        <f>$H$929*$T$929</f>
        <v>218.74</v>
      </c>
      <c r="AO929">
        <f>$H$929*$U$929</f>
        <v>218.74</v>
      </c>
      <c r="AP929">
        <f>$H$929*$V$929</f>
        <v>218.74</v>
      </c>
      <c r="AQ929">
        <f>$H$929*$W$929</f>
        <v>218.74</v>
      </c>
      <c r="AR929">
        <f>$H$929*$X$929</f>
        <v>218.74</v>
      </c>
      <c r="AS929">
        <f>$H$929*$Y$929</f>
        <v>218.74</v>
      </c>
      <c r="AT929">
        <f>$H$929*$Z$929</f>
        <v>218.74</v>
      </c>
      <c r="AU929">
        <f>$H$929*$AA$929</f>
        <v>218.74</v>
      </c>
      <c r="AV929">
        <f>$H$929*$AB$929</f>
        <v>218.74</v>
      </c>
      <c r="AW929">
        <f>$H$929*$AC$929</f>
        <v>218.74</v>
      </c>
      <c r="AX929">
        <f>$H$929*$AD$929</f>
        <v>218.74</v>
      </c>
      <c r="AY929">
        <f>$H$929*$AE$929</f>
        <v>218.74</v>
      </c>
      <c r="AZ929">
        <f>$H$929*$AF$929</f>
        <v>218.74</v>
      </c>
    </row>
    <row r="930" spans="1:52" x14ac:dyDescent="0.25">
      <c r="A930">
        <v>998</v>
      </c>
      <c r="B930" t="s">
        <v>304</v>
      </c>
      <c r="C930" t="s">
        <v>445</v>
      </c>
      <c r="D930">
        <v>37.200000000000003</v>
      </c>
      <c r="E930">
        <v>139.87</v>
      </c>
      <c r="F930" t="s">
        <v>349</v>
      </c>
      <c r="G930">
        <v>3.76</v>
      </c>
      <c r="H930">
        <v>167.85</v>
      </c>
      <c r="I930" t="s">
        <v>446</v>
      </c>
      <c r="J930" t="s">
        <v>420</v>
      </c>
      <c r="K930" t="s">
        <v>657</v>
      </c>
      <c r="L930" t="s">
        <v>179</v>
      </c>
      <c r="M930" t="s">
        <v>304</v>
      </c>
      <c r="N930" t="s">
        <v>11</v>
      </c>
      <c r="O930" t="s">
        <v>6</v>
      </c>
      <c r="P930">
        <v>0</v>
      </c>
      <c r="Q930">
        <v>0</v>
      </c>
      <c r="R930">
        <v>0</v>
      </c>
      <c r="S930">
        <v>0.25</v>
      </c>
      <c r="T930">
        <v>0.25</v>
      </c>
      <c r="U930">
        <v>0.25</v>
      </c>
      <c r="V930">
        <v>0.25</v>
      </c>
      <c r="W930">
        <v>0.25</v>
      </c>
      <c r="X930">
        <v>0.5</v>
      </c>
      <c r="Y930">
        <v>0.5</v>
      </c>
      <c r="Z930">
        <v>0.5</v>
      </c>
      <c r="AA930">
        <v>1</v>
      </c>
      <c r="AB930">
        <v>1</v>
      </c>
      <c r="AC930">
        <v>1</v>
      </c>
      <c r="AD930">
        <v>1</v>
      </c>
      <c r="AE930">
        <v>1</v>
      </c>
      <c r="AF930">
        <v>1</v>
      </c>
      <c r="AG930" t="s">
        <v>304</v>
      </c>
      <c r="AH930" t="s">
        <v>11</v>
      </c>
      <c r="AI930" t="s">
        <v>6</v>
      </c>
      <c r="AJ930">
        <f>$H$930*$P$930</f>
        <v>0</v>
      </c>
      <c r="AK930">
        <f>$H$930*$Q$930</f>
        <v>0</v>
      </c>
      <c r="AL930">
        <f>$H$930*$R$930</f>
        <v>0</v>
      </c>
      <c r="AM930">
        <f>$H$930*$S$930</f>
        <v>41.962499999999999</v>
      </c>
      <c r="AN930">
        <f>$H$930*$T$930</f>
        <v>41.962499999999999</v>
      </c>
      <c r="AO930">
        <f>$H$930*$U$930</f>
        <v>41.962499999999999</v>
      </c>
      <c r="AP930">
        <f>$H$930*$V$930</f>
        <v>41.962499999999999</v>
      </c>
      <c r="AQ930">
        <f>$H$930*$W$930</f>
        <v>41.962499999999999</v>
      </c>
      <c r="AR930">
        <f>$H$930*$X$930</f>
        <v>83.924999999999997</v>
      </c>
      <c r="AS930">
        <f>$H$930*$Y$930</f>
        <v>83.924999999999997</v>
      </c>
      <c r="AT930">
        <f>$H$930*$Z$930</f>
        <v>83.924999999999997</v>
      </c>
      <c r="AU930">
        <f>$H$930*$AA$930</f>
        <v>167.85</v>
      </c>
      <c r="AV930">
        <f>$H$930*$AB$930</f>
        <v>167.85</v>
      </c>
      <c r="AW930">
        <f>$H$930*$AC$930</f>
        <v>167.85</v>
      </c>
      <c r="AX930">
        <f>$H$930*$AD$930</f>
        <v>167.85</v>
      </c>
      <c r="AY930">
        <f>$H$930*$AE$930</f>
        <v>167.85</v>
      </c>
      <c r="AZ930">
        <f>$H$930*$AF$930</f>
        <v>167.85</v>
      </c>
    </row>
    <row r="931" spans="1:52" x14ac:dyDescent="0.25">
      <c r="A931">
        <v>999</v>
      </c>
      <c r="B931" t="s">
        <v>304</v>
      </c>
      <c r="C931" t="s">
        <v>364</v>
      </c>
      <c r="D931">
        <v>372</v>
      </c>
      <c r="E931">
        <v>1249.92</v>
      </c>
      <c r="F931" t="s">
        <v>349</v>
      </c>
      <c r="G931">
        <v>3.36</v>
      </c>
      <c r="H931">
        <v>1499.9</v>
      </c>
      <c r="I931" t="s">
        <v>365</v>
      </c>
      <c r="J931" t="s">
        <v>366</v>
      </c>
      <c r="K931" t="s">
        <v>618</v>
      </c>
      <c r="L931" t="s">
        <v>179</v>
      </c>
      <c r="M931" t="s">
        <v>304</v>
      </c>
      <c r="N931" t="s">
        <v>11</v>
      </c>
      <c r="O931" t="s">
        <v>6</v>
      </c>
      <c r="P931">
        <v>0</v>
      </c>
      <c r="Q931">
        <v>0</v>
      </c>
      <c r="R931">
        <v>0</v>
      </c>
      <c r="S931">
        <v>0.25</v>
      </c>
      <c r="T931">
        <v>0.25</v>
      </c>
      <c r="U931">
        <v>0.25</v>
      </c>
      <c r="V931">
        <v>0.25</v>
      </c>
      <c r="W931">
        <v>0.5</v>
      </c>
      <c r="X931">
        <v>0.5</v>
      </c>
      <c r="Y931">
        <v>0.5</v>
      </c>
      <c r="Z931">
        <v>0.5</v>
      </c>
      <c r="AA931">
        <v>1</v>
      </c>
      <c r="AB931">
        <v>1</v>
      </c>
      <c r="AC931">
        <v>1</v>
      </c>
      <c r="AD931">
        <v>1</v>
      </c>
      <c r="AE931">
        <v>1</v>
      </c>
      <c r="AF931">
        <v>1</v>
      </c>
      <c r="AG931" t="s">
        <v>304</v>
      </c>
      <c r="AH931" t="s">
        <v>11</v>
      </c>
      <c r="AI931" t="s">
        <v>6</v>
      </c>
      <c r="AJ931">
        <f>$H$931*$P$931</f>
        <v>0</v>
      </c>
      <c r="AK931">
        <f>$H$931*$Q$931</f>
        <v>0</v>
      </c>
      <c r="AL931">
        <f>$H$931*$R$931</f>
        <v>0</v>
      </c>
      <c r="AM931">
        <f>$H$931*$S$931</f>
        <v>374.97500000000002</v>
      </c>
      <c r="AN931">
        <f>$H$931*$T$931</f>
        <v>374.97500000000002</v>
      </c>
      <c r="AO931">
        <f>$H$931*$U$931</f>
        <v>374.97500000000002</v>
      </c>
      <c r="AP931">
        <f>$H$931*$V$931</f>
        <v>374.97500000000002</v>
      </c>
      <c r="AQ931">
        <f>$H$931*$W$931</f>
        <v>749.95</v>
      </c>
      <c r="AR931">
        <f>$H$931*$X$931</f>
        <v>749.95</v>
      </c>
      <c r="AS931">
        <f>$H$931*$Y$931</f>
        <v>749.95</v>
      </c>
      <c r="AT931">
        <f>$H$931*$Z$931</f>
        <v>749.95</v>
      </c>
      <c r="AU931">
        <f>$H$931*$AA$931</f>
        <v>1499.9</v>
      </c>
      <c r="AV931">
        <f>$H$931*$AB$931</f>
        <v>1499.9</v>
      </c>
      <c r="AW931">
        <f>$H$931*$AC$931</f>
        <v>1499.9</v>
      </c>
      <c r="AX931">
        <f>$H$931*$AD$931</f>
        <v>1499.9</v>
      </c>
      <c r="AY931">
        <f>$H$931*$AE$931</f>
        <v>1499.9</v>
      </c>
      <c r="AZ931">
        <f>$H$931*$AF$931</f>
        <v>1499.9</v>
      </c>
    </row>
    <row r="932" spans="1:52" x14ac:dyDescent="0.25">
      <c r="A932">
        <v>1000</v>
      </c>
      <c r="B932" t="s">
        <v>304</v>
      </c>
      <c r="C932" t="s">
        <v>447</v>
      </c>
      <c r="D932">
        <v>41.33</v>
      </c>
      <c r="E932">
        <v>42.98</v>
      </c>
      <c r="F932" t="s">
        <v>329</v>
      </c>
      <c r="G932">
        <v>1.04</v>
      </c>
      <c r="H932">
        <v>51.58</v>
      </c>
      <c r="I932" t="s">
        <v>330</v>
      </c>
      <c r="J932" t="s">
        <v>448</v>
      </c>
      <c r="K932" t="s">
        <v>658</v>
      </c>
      <c r="L932" t="s">
        <v>179</v>
      </c>
      <c r="M932" t="s">
        <v>304</v>
      </c>
      <c r="N932" t="s">
        <v>11</v>
      </c>
      <c r="O932" t="s">
        <v>6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1</v>
      </c>
      <c r="AB932">
        <v>1</v>
      </c>
      <c r="AC932">
        <v>1</v>
      </c>
      <c r="AD932">
        <v>1</v>
      </c>
      <c r="AE932">
        <v>1</v>
      </c>
      <c r="AF932">
        <v>1</v>
      </c>
      <c r="AG932" t="s">
        <v>304</v>
      </c>
      <c r="AH932" t="s">
        <v>11</v>
      </c>
      <c r="AI932" t="s">
        <v>6</v>
      </c>
      <c r="AJ932">
        <f>$H$932*$P$932</f>
        <v>0</v>
      </c>
      <c r="AK932">
        <f>$H$932*$Q$932</f>
        <v>0</v>
      </c>
      <c r="AL932">
        <f>$H$932*$R$932</f>
        <v>0</v>
      </c>
      <c r="AM932">
        <f>$H$932*$S$932</f>
        <v>0</v>
      </c>
      <c r="AN932">
        <f>$H$932*$T$932</f>
        <v>0</v>
      </c>
      <c r="AO932">
        <f>$H$932*$U$932</f>
        <v>0</v>
      </c>
      <c r="AP932">
        <f>$H$932*$V$932</f>
        <v>0</v>
      </c>
      <c r="AQ932">
        <f>$H$932*$W$932</f>
        <v>0</v>
      </c>
      <c r="AR932">
        <f>$H$932*$X$932</f>
        <v>0</v>
      </c>
      <c r="AS932">
        <f>$H$932*$Y$932</f>
        <v>0</v>
      </c>
      <c r="AT932">
        <f>$H$932*$Z$932</f>
        <v>0</v>
      </c>
      <c r="AU932">
        <f>$H$932*$AA$932</f>
        <v>51.58</v>
      </c>
      <c r="AV932">
        <f>$H$932*$AB$932</f>
        <v>51.58</v>
      </c>
      <c r="AW932">
        <f>$H$932*$AC$932</f>
        <v>51.58</v>
      </c>
      <c r="AX932">
        <f>$H$932*$AD$932</f>
        <v>51.58</v>
      </c>
      <c r="AY932">
        <f>$H$932*$AE$932</f>
        <v>51.58</v>
      </c>
      <c r="AZ932">
        <f>$H$932*$AF$932</f>
        <v>51.58</v>
      </c>
    </row>
    <row r="933" spans="1:52" x14ac:dyDescent="0.25">
      <c r="A933">
        <v>1001</v>
      </c>
      <c r="B933" t="s">
        <v>304</v>
      </c>
      <c r="C933" t="s">
        <v>449</v>
      </c>
      <c r="D933">
        <v>41.33</v>
      </c>
      <c r="E933">
        <v>331.47</v>
      </c>
      <c r="F933" t="s">
        <v>329</v>
      </c>
      <c r="G933">
        <v>8.02</v>
      </c>
      <c r="H933">
        <v>397.77</v>
      </c>
      <c r="I933" t="s">
        <v>333</v>
      </c>
      <c r="J933" t="s">
        <v>450</v>
      </c>
      <c r="K933" t="s">
        <v>659</v>
      </c>
      <c r="L933" t="s">
        <v>179</v>
      </c>
      <c r="M933" t="s">
        <v>304</v>
      </c>
      <c r="N933" t="s">
        <v>11</v>
      </c>
      <c r="O933" t="s">
        <v>6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1</v>
      </c>
      <c r="AB933">
        <v>1</v>
      </c>
      <c r="AC933">
        <v>1</v>
      </c>
      <c r="AD933">
        <v>1</v>
      </c>
      <c r="AE933">
        <v>1</v>
      </c>
      <c r="AF933">
        <v>1</v>
      </c>
      <c r="AG933" t="s">
        <v>304</v>
      </c>
      <c r="AH933" t="s">
        <v>11</v>
      </c>
      <c r="AI933" t="s">
        <v>6</v>
      </c>
      <c r="AJ933">
        <f>$H$933*$P$933</f>
        <v>0</v>
      </c>
      <c r="AK933">
        <f>$H$933*$Q$933</f>
        <v>0</v>
      </c>
      <c r="AL933">
        <f>$H$933*$R$933</f>
        <v>0</v>
      </c>
      <c r="AM933">
        <f>$H$933*$S$933</f>
        <v>0</v>
      </c>
      <c r="AN933">
        <f>$H$933*$T$933</f>
        <v>0</v>
      </c>
      <c r="AO933">
        <f>$H$933*$U$933</f>
        <v>0</v>
      </c>
      <c r="AP933">
        <f>$H$933*$V$933</f>
        <v>0</v>
      </c>
      <c r="AQ933">
        <f>$H$933*$W$933</f>
        <v>0</v>
      </c>
      <c r="AR933">
        <f>$H$933*$X$933</f>
        <v>0</v>
      </c>
      <c r="AS933">
        <f>$H$933*$Y$933</f>
        <v>0</v>
      </c>
      <c r="AT933">
        <f>$H$933*$Z$933</f>
        <v>0</v>
      </c>
      <c r="AU933">
        <f>$H$933*$AA$933</f>
        <v>397.77</v>
      </c>
      <c r="AV933">
        <f>$H$933*$AB$933</f>
        <v>397.77</v>
      </c>
      <c r="AW933">
        <f>$H$933*$AC$933</f>
        <v>397.77</v>
      </c>
      <c r="AX933">
        <f>$H$933*$AD$933</f>
        <v>397.77</v>
      </c>
      <c r="AY933">
        <f>$H$933*$AE$933</f>
        <v>397.77</v>
      </c>
      <c r="AZ933">
        <f>$H$933*$AF$933</f>
        <v>397.77</v>
      </c>
    </row>
    <row r="934" spans="1:52" x14ac:dyDescent="0.25">
      <c r="A934">
        <v>1002</v>
      </c>
      <c r="B934" t="s">
        <v>304</v>
      </c>
      <c r="C934" t="s">
        <v>455</v>
      </c>
      <c r="D934">
        <v>41.33</v>
      </c>
      <c r="E934">
        <v>62.41</v>
      </c>
      <c r="F934" t="s">
        <v>329</v>
      </c>
      <c r="G934">
        <v>1.51</v>
      </c>
      <c r="H934">
        <v>74.89</v>
      </c>
      <c r="I934" t="s">
        <v>330</v>
      </c>
      <c r="J934" t="s">
        <v>456</v>
      </c>
      <c r="K934" t="s">
        <v>662</v>
      </c>
      <c r="L934" t="s">
        <v>179</v>
      </c>
      <c r="M934" t="s">
        <v>304</v>
      </c>
      <c r="N934" t="s">
        <v>11</v>
      </c>
      <c r="O934" t="s">
        <v>6</v>
      </c>
      <c r="P934">
        <v>0</v>
      </c>
      <c r="Q934">
        <v>0</v>
      </c>
      <c r="R934">
        <v>0</v>
      </c>
      <c r="S934">
        <v>1</v>
      </c>
      <c r="T934">
        <v>1</v>
      </c>
      <c r="U934">
        <v>1</v>
      </c>
      <c r="V934">
        <v>1</v>
      </c>
      <c r="W934">
        <v>1</v>
      </c>
      <c r="X934">
        <v>1</v>
      </c>
      <c r="Y934">
        <v>1</v>
      </c>
      <c r="Z934">
        <v>1</v>
      </c>
      <c r="AA934">
        <v>1</v>
      </c>
      <c r="AB934">
        <v>1</v>
      </c>
      <c r="AC934">
        <v>1</v>
      </c>
      <c r="AD934">
        <v>1</v>
      </c>
      <c r="AE934">
        <v>1</v>
      </c>
      <c r="AF934">
        <v>1</v>
      </c>
      <c r="AG934" t="s">
        <v>304</v>
      </c>
      <c r="AH934" t="s">
        <v>11</v>
      </c>
      <c r="AI934" t="s">
        <v>6</v>
      </c>
      <c r="AJ934">
        <f>$H$934*$P$934</f>
        <v>0</v>
      </c>
      <c r="AK934">
        <f>$H$934*$Q$934</f>
        <v>0</v>
      </c>
      <c r="AL934">
        <f>$H$934*$R$934</f>
        <v>0</v>
      </c>
      <c r="AM934">
        <f>$H$934*$S$934</f>
        <v>74.89</v>
      </c>
      <c r="AN934">
        <f>$H$934*$T$934</f>
        <v>74.89</v>
      </c>
      <c r="AO934">
        <f>$H$934*$U$934</f>
        <v>74.89</v>
      </c>
      <c r="AP934">
        <f>$H$934*$V$934</f>
        <v>74.89</v>
      </c>
      <c r="AQ934">
        <f>$H$934*$W$934</f>
        <v>74.89</v>
      </c>
      <c r="AR934">
        <f>$H$934*$X$934</f>
        <v>74.89</v>
      </c>
      <c r="AS934">
        <f>$H$934*$Y$934</f>
        <v>74.89</v>
      </c>
      <c r="AT934">
        <f>$H$934*$Z$934</f>
        <v>74.89</v>
      </c>
      <c r="AU934">
        <f>$H$934*$AA$934</f>
        <v>74.89</v>
      </c>
      <c r="AV934">
        <f>$H$934*$AB$934</f>
        <v>74.89</v>
      </c>
      <c r="AW934">
        <f>$H$934*$AC$934</f>
        <v>74.89</v>
      </c>
      <c r="AX934">
        <f>$H$934*$AD$934</f>
        <v>74.89</v>
      </c>
      <c r="AY934">
        <f>$H$934*$AE$934</f>
        <v>74.89</v>
      </c>
      <c r="AZ934">
        <f>$H$934*$AF$934</f>
        <v>74.89</v>
      </c>
    </row>
    <row r="935" spans="1:52" x14ac:dyDescent="0.25">
      <c r="A935">
        <v>1003</v>
      </c>
      <c r="B935" t="s">
        <v>304</v>
      </c>
      <c r="C935" t="s">
        <v>457</v>
      </c>
      <c r="D935">
        <v>41.33</v>
      </c>
      <c r="E935">
        <v>234.75</v>
      </c>
      <c r="F935" t="s">
        <v>329</v>
      </c>
      <c r="G935">
        <v>5.68</v>
      </c>
      <c r="H935">
        <v>281.70999999999998</v>
      </c>
      <c r="I935" t="s">
        <v>333</v>
      </c>
      <c r="J935" t="s">
        <v>458</v>
      </c>
      <c r="K935" t="s">
        <v>663</v>
      </c>
      <c r="L935" t="s">
        <v>179</v>
      </c>
      <c r="M935" t="s">
        <v>304</v>
      </c>
      <c r="N935" t="s">
        <v>11</v>
      </c>
      <c r="O935" t="s">
        <v>6</v>
      </c>
      <c r="P935">
        <v>0</v>
      </c>
      <c r="Q935">
        <v>0</v>
      </c>
      <c r="R935">
        <v>0</v>
      </c>
      <c r="S935">
        <v>1</v>
      </c>
      <c r="T935">
        <v>1</v>
      </c>
      <c r="U935">
        <v>1</v>
      </c>
      <c r="V935">
        <v>1</v>
      </c>
      <c r="W935">
        <v>1</v>
      </c>
      <c r="X935">
        <v>1</v>
      </c>
      <c r="Y935">
        <v>1</v>
      </c>
      <c r="Z935">
        <v>1</v>
      </c>
      <c r="AA935">
        <v>1</v>
      </c>
      <c r="AB935">
        <v>1</v>
      </c>
      <c r="AC935">
        <v>1</v>
      </c>
      <c r="AD935">
        <v>1</v>
      </c>
      <c r="AE935">
        <v>1</v>
      </c>
      <c r="AF935">
        <v>1</v>
      </c>
      <c r="AG935" t="s">
        <v>304</v>
      </c>
      <c r="AH935" t="s">
        <v>11</v>
      </c>
      <c r="AI935" t="s">
        <v>6</v>
      </c>
      <c r="AJ935">
        <f>$H$935*$P$935</f>
        <v>0</v>
      </c>
      <c r="AK935">
        <f>$H$935*$Q$935</f>
        <v>0</v>
      </c>
      <c r="AL935">
        <f>$H$935*$R$935</f>
        <v>0</v>
      </c>
      <c r="AM935">
        <f>$H$935*$S$935</f>
        <v>281.70999999999998</v>
      </c>
      <c r="AN935">
        <f>$H$935*$T$935</f>
        <v>281.70999999999998</v>
      </c>
      <c r="AO935">
        <f>$H$935*$U$935</f>
        <v>281.70999999999998</v>
      </c>
      <c r="AP935">
        <f>$H$935*$V$935</f>
        <v>281.70999999999998</v>
      </c>
      <c r="AQ935">
        <f>$H$935*$W$935</f>
        <v>281.70999999999998</v>
      </c>
      <c r="AR935">
        <f>$H$935*$X$935</f>
        <v>281.70999999999998</v>
      </c>
      <c r="AS935">
        <f>$H$935*$Y$935</f>
        <v>281.70999999999998</v>
      </c>
      <c r="AT935">
        <f>$H$935*$Z$935</f>
        <v>281.70999999999998</v>
      </c>
      <c r="AU935">
        <f>$H$935*$AA$935</f>
        <v>281.70999999999998</v>
      </c>
      <c r="AV935">
        <f>$H$935*$AB$935</f>
        <v>281.70999999999998</v>
      </c>
      <c r="AW935">
        <f>$H$935*$AC$935</f>
        <v>281.70999999999998</v>
      </c>
      <c r="AX935">
        <f>$H$935*$AD$935</f>
        <v>281.70999999999998</v>
      </c>
      <c r="AY935">
        <f>$H$935*$AE$935</f>
        <v>281.70999999999998</v>
      </c>
      <c r="AZ935">
        <f>$H$935*$AF$935</f>
        <v>281.70999999999998</v>
      </c>
    </row>
    <row r="936" spans="1:52" x14ac:dyDescent="0.25">
      <c r="A936">
        <v>1004</v>
      </c>
      <c r="B936" t="s">
        <v>304</v>
      </c>
      <c r="C936" t="s">
        <v>364</v>
      </c>
      <c r="D936">
        <v>87.27</v>
      </c>
      <c r="E936">
        <v>293.23</v>
      </c>
      <c r="F936" t="s">
        <v>349</v>
      </c>
      <c r="G936">
        <v>3.36</v>
      </c>
      <c r="H936">
        <v>351.87</v>
      </c>
      <c r="I936" t="s">
        <v>365</v>
      </c>
      <c r="J936" t="s">
        <v>366</v>
      </c>
      <c r="K936" t="s">
        <v>618</v>
      </c>
      <c r="L936" t="s">
        <v>179</v>
      </c>
      <c r="M936" t="s">
        <v>304</v>
      </c>
      <c r="N936" t="s">
        <v>11</v>
      </c>
      <c r="O936" t="s">
        <v>6</v>
      </c>
      <c r="P936">
        <v>0</v>
      </c>
      <c r="Q936">
        <v>0</v>
      </c>
      <c r="R936">
        <v>0</v>
      </c>
      <c r="S936">
        <v>0.25</v>
      </c>
      <c r="T936">
        <v>0.25</v>
      </c>
      <c r="U936">
        <v>0.25</v>
      </c>
      <c r="V936">
        <v>0.25</v>
      </c>
      <c r="W936">
        <v>0.5</v>
      </c>
      <c r="X936">
        <v>0.5</v>
      </c>
      <c r="Y936">
        <v>0.5</v>
      </c>
      <c r="Z936">
        <v>0.5</v>
      </c>
      <c r="AA936">
        <v>1</v>
      </c>
      <c r="AB936">
        <v>1</v>
      </c>
      <c r="AC936">
        <v>1</v>
      </c>
      <c r="AD936">
        <v>1</v>
      </c>
      <c r="AE936">
        <v>1</v>
      </c>
      <c r="AF936">
        <v>1</v>
      </c>
      <c r="AG936" t="s">
        <v>304</v>
      </c>
      <c r="AH936" t="s">
        <v>11</v>
      </c>
      <c r="AI936" t="s">
        <v>6</v>
      </c>
      <c r="AJ936">
        <f>$H$936*$P$936</f>
        <v>0</v>
      </c>
      <c r="AK936">
        <f>$H$936*$Q$936</f>
        <v>0</v>
      </c>
      <c r="AL936">
        <f>$H$936*$R$936</f>
        <v>0</v>
      </c>
      <c r="AM936">
        <f>$H$936*$S$936</f>
        <v>87.967500000000001</v>
      </c>
      <c r="AN936">
        <f>$H$936*$T$936</f>
        <v>87.967500000000001</v>
      </c>
      <c r="AO936">
        <f>$H$936*$U$936</f>
        <v>87.967500000000001</v>
      </c>
      <c r="AP936">
        <f>$H$936*$V$936</f>
        <v>87.967500000000001</v>
      </c>
      <c r="AQ936">
        <f>$H$936*$W$936</f>
        <v>175.935</v>
      </c>
      <c r="AR936">
        <f>$H$936*$X$936</f>
        <v>175.935</v>
      </c>
      <c r="AS936">
        <f>$H$936*$Y$936</f>
        <v>175.935</v>
      </c>
      <c r="AT936">
        <f>$H$936*$Z$936</f>
        <v>175.935</v>
      </c>
      <c r="AU936">
        <f>$H$936*$AA$936</f>
        <v>351.87</v>
      </c>
      <c r="AV936">
        <f>$H$936*$AB$936</f>
        <v>351.87</v>
      </c>
      <c r="AW936">
        <f>$H$936*$AC$936</f>
        <v>351.87</v>
      </c>
      <c r="AX936">
        <f>$H$936*$AD$936</f>
        <v>351.87</v>
      </c>
      <c r="AY936">
        <f>$H$936*$AE$936</f>
        <v>351.87</v>
      </c>
      <c r="AZ936">
        <f>$H$936*$AF$936</f>
        <v>351.87</v>
      </c>
    </row>
    <row r="937" spans="1:52" x14ac:dyDescent="0.25">
      <c r="A937">
        <v>1005</v>
      </c>
      <c r="B937" t="s">
        <v>304</v>
      </c>
      <c r="C937" t="s">
        <v>443</v>
      </c>
      <c r="D937">
        <v>87.27</v>
      </c>
      <c r="E937">
        <v>54.98</v>
      </c>
      <c r="F937" t="s">
        <v>349</v>
      </c>
      <c r="G937">
        <v>0.63</v>
      </c>
      <c r="H937">
        <v>65.98</v>
      </c>
      <c r="I937" t="s">
        <v>330</v>
      </c>
      <c r="J937" t="s">
        <v>444</v>
      </c>
      <c r="K937" t="s">
        <v>656</v>
      </c>
      <c r="L937" t="s">
        <v>179</v>
      </c>
      <c r="M937" t="s">
        <v>304</v>
      </c>
      <c r="N937" t="s">
        <v>11</v>
      </c>
      <c r="O937" t="s">
        <v>6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1</v>
      </c>
      <c r="AE937">
        <v>1</v>
      </c>
      <c r="AF937">
        <v>1</v>
      </c>
      <c r="AG937" t="s">
        <v>304</v>
      </c>
      <c r="AH937" t="s">
        <v>11</v>
      </c>
      <c r="AI937" t="s">
        <v>6</v>
      </c>
      <c r="AJ937">
        <f>$H$937*$P$937</f>
        <v>0</v>
      </c>
      <c r="AK937">
        <f>$H$937*$Q$937</f>
        <v>0</v>
      </c>
      <c r="AL937">
        <f>$H$937*$R$937</f>
        <v>0</v>
      </c>
      <c r="AM937">
        <f>$H$937*$S$937</f>
        <v>0</v>
      </c>
      <c r="AN937">
        <f>$H$937*$T$937</f>
        <v>0</v>
      </c>
      <c r="AO937">
        <f>$H$937*$U$937</f>
        <v>0</v>
      </c>
      <c r="AP937">
        <f>$H$937*$V$937</f>
        <v>0</v>
      </c>
      <c r="AQ937">
        <f>$H$937*$W$937</f>
        <v>0</v>
      </c>
      <c r="AR937">
        <f>$H$937*$X$937</f>
        <v>0</v>
      </c>
      <c r="AS937">
        <f>$H$937*$Y$937</f>
        <v>0</v>
      </c>
      <c r="AT937">
        <f>$H$937*$Z$937</f>
        <v>0</v>
      </c>
      <c r="AU937">
        <f>$H$937*$AA$937</f>
        <v>0</v>
      </c>
      <c r="AV937">
        <f>$H$937*$AB$937</f>
        <v>0</v>
      </c>
      <c r="AW937">
        <f>$H$937*$AC$937</f>
        <v>0</v>
      </c>
      <c r="AX937">
        <f>$H$937*$AD$937</f>
        <v>65.98</v>
      </c>
      <c r="AY937">
        <f>$H$937*$AE$937</f>
        <v>65.98</v>
      </c>
      <c r="AZ937">
        <f>$H$937*$AF$937</f>
        <v>65.98</v>
      </c>
    </row>
    <row r="938" spans="1:52" x14ac:dyDescent="0.25">
      <c r="A938">
        <v>1006</v>
      </c>
      <c r="B938" t="s">
        <v>304</v>
      </c>
      <c r="C938" t="s">
        <v>459</v>
      </c>
      <c r="D938">
        <v>87.27</v>
      </c>
      <c r="E938">
        <v>60.22</v>
      </c>
      <c r="F938" t="s">
        <v>349</v>
      </c>
      <c r="G938">
        <v>0.69</v>
      </c>
      <c r="H938">
        <v>72.260000000000005</v>
      </c>
      <c r="I938" t="s">
        <v>330</v>
      </c>
      <c r="J938" t="s">
        <v>460</v>
      </c>
      <c r="K938" t="s">
        <v>664</v>
      </c>
      <c r="L938" t="s">
        <v>179</v>
      </c>
      <c r="M938" t="s">
        <v>304</v>
      </c>
      <c r="N938" t="s">
        <v>11</v>
      </c>
      <c r="O938" t="s">
        <v>6</v>
      </c>
      <c r="P938">
        <v>0</v>
      </c>
      <c r="Q938">
        <v>0</v>
      </c>
      <c r="R938">
        <v>0</v>
      </c>
      <c r="S938">
        <v>1</v>
      </c>
      <c r="T938">
        <v>1</v>
      </c>
      <c r="U938">
        <v>1</v>
      </c>
      <c r="V938">
        <v>1</v>
      </c>
      <c r="W938">
        <v>1</v>
      </c>
      <c r="X938">
        <v>1</v>
      </c>
      <c r="Y938">
        <v>1</v>
      </c>
      <c r="Z938">
        <v>1</v>
      </c>
      <c r="AA938">
        <v>1</v>
      </c>
      <c r="AB938">
        <v>1</v>
      </c>
      <c r="AC938">
        <v>1</v>
      </c>
      <c r="AD938">
        <v>1</v>
      </c>
      <c r="AE938">
        <v>1</v>
      </c>
      <c r="AF938">
        <v>1</v>
      </c>
      <c r="AG938" t="s">
        <v>304</v>
      </c>
      <c r="AH938" t="s">
        <v>11</v>
      </c>
      <c r="AI938" t="s">
        <v>6</v>
      </c>
      <c r="AJ938">
        <f>$H$938*$P$938</f>
        <v>0</v>
      </c>
      <c r="AK938">
        <f>$H$938*$Q$938</f>
        <v>0</v>
      </c>
      <c r="AL938">
        <f>$H$938*$R$938</f>
        <v>0</v>
      </c>
      <c r="AM938">
        <f>$H$938*$S$938</f>
        <v>72.260000000000005</v>
      </c>
      <c r="AN938">
        <f>$H$938*$T$938</f>
        <v>72.260000000000005</v>
      </c>
      <c r="AO938">
        <f>$H$938*$U$938</f>
        <v>72.260000000000005</v>
      </c>
      <c r="AP938">
        <f>$H$938*$V$938</f>
        <v>72.260000000000005</v>
      </c>
      <c r="AQ938">
        <f>$H$938*$W$938</f>
        <v>72.260000000000005</v>
      </c>
      <c r="AR938">
        <f>$H$938*$X$938</f>
        <v>72.260000000000005</v>
      </c>
      <c r="AS938">
        <f>$H$938*$Y$938</f>
        <v>72.260000000000005</v>
      </c>
      <c r="AT938">
        <f>$H$938*$Z$938</f>
        <v>72.260000000000005</v>
      </c>
      <c r="AU938">
        <f>$H$938*$AA$938</f>
        <v>72.260000000000005</v>
      </c>
      <c r="AV938">
        <f>$H$938*$AB$938</f>
        <v>72.260000000000005</v>
      </c>
      <c r="AW938">
        <f>$H$938*$AC$938</f>
        <v>72.260000000000005</v>
      </c>
      <c r="AX938">
        <f>$H$938*$AD$938</f>
        <v>72.260000000000005</v>
      </c>
      <c r="AY938">
        <f>$H$938*$AE$938</f>
        <v>72.260000000000005</v>
      </c>
      <c r="AZ938">
        <f>$H$938*$AF$938</f>
        <v>72.260000000000005</v>
      </c>
    </row>
    <row r="939" spans="1:52" x14ac:dyDescent="0.25">
      <c r="A939">
        <v>1007</v>
      </c>
      <c r="B939" t="s">
        <v>304</v>
      </c>
      <c r="C939" t="s">
        <v>461</v>
      </c>
      <c r="D939">
        <v>17.45</v>
      </c>
      <c r="E939">
        <v>302.76</v>
      </c>
      <c r="F939" t="s">
        <v>349</v>
      </c>
      <c r="G939">
        <v>17.350000000000001</v>
      </c>
      <c r="H939">
        <v>363.32</v>
      </c>
      <c r="I939" t="s">
        <v>462</v>
      </c>
      <c r="J939" t="s">
        <v>463</v>
      </c>
      <c r="K939" t="s">
        <v>665</v>
      </c>
      <c r="L939" t="s">
        <v>179</v>
      </c>
      <c r="M939" t="s">
        <v>304</v>
      </c>
      <c r="N939" t="s">
        <v>11</v>
      </c>
      <c r="O939" t="s">
        <v>6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1</v>
      </c>
      <c r="Z939">
        <v>1</v>
      </c>
      <c r="AA939">
        <v>1</v>
      </c>
      <c r="AB939">
        <v>1</v>
      </c>
      <c r="AC939">
        <v>1</v>
      </c>
      <c r="AD939">
        <v>1</v>
      </c>
      <c r="AE939">
        <v>1</v>
      </c>
      <c r="AF939">
        <v>1</v>
      </c>
      <c r="AG939" t="s">
        <v>304</v>
      </c>
      <c r="AH939" t="s">
        <v>11</v>
      </c>
      <c r="AI939" t="s">
        <v>6</v>
      </c>
      <c r="AJ939">
        <f>$H$939*$P$939</f>
        <v>0</v>
      </c>
      <c r="AK939">
        <f>$H$939*$Q$939</f>
        <v>0</v>
      </c>
      <c r="AL939">
        <f>$H$939*$R$939</f>
        <v>0</v>
      </c>
      <c r="AM939">
        <f>$H$939*$S$939</f>
        <v>0</v>
      </c>
      <c r="AN939">
        <f>$H$939*$T$939</f>
        <v>0</v>
      </c>
      <c r="AO939">
        <f>$H$939*$U$939</f>
        <v>0</v>
      </c>
      <c r="AP939">
        <f>$H$939*$V$939</f>
        <v>0</v>
      </c>
      <c r="AQ939">
        <f>$H$939*$W$939</f>
        <v>0</v>
      </c>
      <c r="AR939">
        <f>$H$939*$X$939</f>
        <v>0</v>
      </c>
      <c r="AS939">
        <f>$H$939*$Y$939</f>
        <v>363.32</v>
      </c>
      <c r="AT939">
        <f>$H$939*$Z$939</f>
        <v>363.32</v>
      </c>
      <c r="AU939">
        <f>$H$939*$AA$939</f>
        <v>363.32</v>
      </c>
      <c r="AV939">
        <f>$H$939*$AB$939</f>
        <v>363.32</v>
      </c>
      <c r="AW939">
        <f>$H$939*$AC$939</f>
        <v>363.32</v>
      </c>
      <c r="AX939">
        <f>$H$939*$AD$939</f>
        <v>363.32</v>
      </c>
      <c r="AY939">
        <f>$H$939*$AE$939</f>
        <v>363.32</v>
      </c>
      <c r="AZ939">
        <f>$H$939*$AF$939</f>
        <v>363.32</v>
      </c>
    </row>
    <row r="940" spans="1:52" x14ac:dyDescent="0.25">
      <c r="A940">
        <v>1008</v>
      </c>
      <c r="B940" t="s">
        <v>304</v>
      </c>
      <c r="C940" t="s">
        <v>464</v>
      </c>
      <c r="D940">
        <v>34.909999999999997</v>
      </c>
      <c r="E940">
        <v>124.98</v>
      </c>
      <c r="F940" t="s">
        <v>349</v>
      </c>
      <c r="G940">
        <v>3.58</v>
      </c>
      <c r="H940">
        <v>149.97999999999999</v>
      </c>
      <c r="I940" t="s">
        <v>465</v>
      </c>
      <c r="J940" t="s">
        <v>466</v>
      </c>
      <c r="K940" t="s">
        <v>666</v>
      </c>
      <c r="L940" t="s">
        <v>179</v>
      </c>
      <c r="M940" t="s">
        <v>304</v>
      </c>
      <c r="N940" t="s">
        <v>11</v>
      </c>
      <c r="O940" t="s">
        <v>6</v>
      </c>
      <c r="P940">
        <v>0</v>
      </c>
      <c r="Q940">
        <v>0</v>
      </c>
      <c r="R940">
        <v>0</v>
      </c>
      <c r="S940">
        <v>1</v>
      </c>
      <c r="T940">
        <v>1</v>
      </c>
      <c r="U940">
        <v>1</v>
      </c>
      <c r="V940">
        <v>1</v>
      </c>
      <c r="W940">
        <v>1</v>
      </c>
      <c r="X940">
        <v>1</v>
      </c>
      <c r="Y940">
        <v>1</v>
      </c>
      <c r="Z940">
        <v>1</v>
      </c>
      <c r="AA940">
        <v>1</v>
      </c>
      <c r="AB940">
        <v>1</v>
      </c>
      <c r="AC940">
        <v>1</v>
      </c>
      <c r="AD940">
        <v>1</v>
      </c>
      <c r="AE940">
        <v>1</v>
      </c>
      <c r="AF940">
        <v>1</v>
      </c>
      <c r="AG940" t="s">
        <v>304</v>
      </c>
      <c r="AH940" t="s">
        <v>11</v>
      </c>
      <c r="AI940" t="s">
        <v>6</v>
      </c>
      <c r="AJ940">
        <f>$H$940*$P$940</f>
        <v>0</v>
      </c>
      <c r="AK940">
        <f>$H$940*$Q$940</f>
        <v>0</v>
      </c>
      <c r="AL940">
        <f>$H$940*$R$940</f>
        <v>0</v>
      </c>
      <c r="AM940">
        <f>$H$940*$S$940</f>
        <v>149.97999999999999</v>
      </c>
      <c r="AN940">
        <f>$H$940*$T$940</f>
        <v>149.97999999999999</v>
      </c>
      <c r="AO940">
        <f>$H$940*$U$940</f>
        <v>149.97999999999999</v>
      </c>
      <c r="AP940">
        <f>$H$940*$V$940</f>
        <v>149.97999999999999</v>
      </c>
      <c r="AQ940">
        <f>$H$940*$W$940</f>
        <v>149.97999999999999</v>
      </c>
      <c r="AR940">
        <f>$H$940*$X$940</f>
        <v>149.97999999999999</v>
      </c>
      <c r="AS940">
        <f>$H$940*$Y$940</f>
        <v>149.97999999999999</v>
      </c>
      <c r="AT940">
        <f>$H$940*$Z$940</f>
        <v>149.97999999999999</v>
      </c>
      <c r="AU940">
        <f>$H$940*$AA$940</f>
        <v>149.97999999999999</v>
      </c>
      <c r="AV940">
        <f>$H$940*$AB$940</f>
        <v>149.97999999999999</v>
      </c>
      <c r="AW940">
        <f>$H$940*$AC$940</f>
        <v>149.97999999999999</v>
      </c>
      <c r="AX940">
        <f>$H$940*$AD$940</f>
        <v>149.97999999999999</v>
      </c>
      <c r="AY940">
        <f>$H$940*$AE$940</f>
        <v>149.97999999999999</v>
      </c>
      <c r="AZ940">
        <f>$H$940*$AF$940</f>
        <v>149.97999999999999</v>
      </c>
    </row>
    <row r="941" spans="1:52" x14ac:dyDescent="0.25">
      <c r="A941">
        <v>1009</v>
      </c>
      <c r="B941" t="s">
        <v>304</v>
      </c>
      <c r="C941" t="s">
        <v>467</v>
      </c>
      <c r="D941">
        <v>34.909999999999997</v>
      </c>
      <c r="E941">
        <v>343.86</v>
      </c>
      <c r="F941" t="s">
        <v>349</v>
      </c>
      <c r="G941">
        <v>9.85</v>
      </c>
      <c r="H941">
        <v>412.64</v>
      </c>
      <c r="I941" t="s">
        <v>465</v>
      </c>
      <c r="J941" t="s">
        <v>372</v>
      </c>
      <c r="K941" t="s">
        <v>667</v>
      </c>
      <c r="L941" t="s">
        <v>179</v>
      </c>
      <c r="M941" t="s">
        <v>304</v>
      </c>
      <c r="N941" t="s">
        <v>11</v>
      </c>
      <c r="O941" t="s">
        <v>6</v>
      </c>
      <c r="P941">
        <v>0</v>
      </c>
      <c r="Q941">
        <v>0</v>
      </c>
      <c r="R941">
        <v>0</v>
      </c>
      <c r="S941">
        <v>1</v>
      </c>
      <c r="T941">
        <v>1</v>
      </c>
      <c r="U941">
        <v>1</v>
      </c>
      <c r="V941">
        <v>1</v>
      </c>
      <c r="W941">
        <v>1</v>
      </c>
      <c r="X941">
        <v>1</v>
      </c>
      <c r="Y941">
        <v>1</v>
      </c>
      <c r="Z941">
        <v>1</v>
      </c>
      <c r="AA941">
        <v>1</v>
      </c>
      <c r="AB941">
        <v>1</v>
      </c>
      <c r="AC941">
        <v>1</v>
      </c>
      <c r="AD941">
        <v>1</v>
      </c>
      <c r="AE941">
        <v>1</v>
      </c>
      <c r="AF941">
        <v>1</v>
      </c>
      <c r="AG941" t="s">
        <v>304</v>
      </c>
      <c r="AH941" t="s">
        <v>11</v>
      </c>
      <c r="AI941" t="s">
        <v>6</v>
      </c>
      <c r="AJ941">
        <f>$H$941*$P$941</f>
        <v>0</v>
      </c>
      <c r="AK941">
        <f>$H$941*$Q$941</f>
        <v>0</v>
      </c>
      <c r="AL941">
        <f>$H$941*$R$941</f>
        <v>0</v>
      </c>
      <c r="AM941">
        <f>$H$941*$S$941</f>
        <v>412.64</v>
      </c>
      <c r="AN941">
        <f>$H$941*$T$941</f>
        <v>412.64</v>
      </c>
      <c r="AO941">
        <f>$H$941*$U$941</f>
        <v>412.64</v>
      </c>
      <c r="AP941">
        <f>$H$941*$V$941</f>
        <v>412.64</v>
      </c>
      <c r="AQ941">
        <f>$H$941*$W$941</f>
        <v>412.64</v>
      </c>
      <c r="AR941">
        <f>$H$941*$X$941</f>
        <v>412.64</v>
      </c>
      <c r="AS941">
        <f>$H$941*$Y$941</f>
        <v>412.64</v>
      </c>
      <c r="AT941">
        <f>$H$941*$Z$941</f>
        <v>412.64</v>
      </c>
      <c r="AU941">
        <f>$H$941*$AA$941</f>
        <v>412.64</v>
      </c>
      <c r="AV941">
        <f>$H$941*$AB$941</f>
        <v>412.64</v>
      </c>
      <c r="AW941">
        <f>$H$941*$AC$941</f>
        <v>412.64</v>
      </c>
      <c r="AX941">
        <f>$H$941*$AD$941</f>
        <v>412.64</v>
      </c>
      <c r="AY941">
        <f>$H$941*$AE$941</f>
        <v>412.64</v>
      </c>
      <c r="AZ941">
        <f>$H$941*$AF$941</f>
        <v>412.64</v>
      </c>
    </row>
    <row r="942" spans="1:52" x14ac:dyDescent="0.25">
      <c r="A942">
        <v>1010</v>
      </c>
      <c r="B942" t="s">
        <v>304</v>
      </c>
      <c r="C942" t="s">
        <v>468</v>
      </c>
      <c r="D942">
        <v>40.14</v>
      </c>
      <c r="E942">
        <v>40.94</v>
      </c>
      <c r="F942" t="s">
        <v>349</v>
      </c>
      <c r="G942">
        <v>1.02</v>
      </c>
      <c r="H942">
        <v>49.12</v>
      </c>
      <c r="I942" t="s">
        <v>469</v>
      </c>
      <c r="J942" t="s">
        <v>470</v>
      </c>
      <c r="K942" t="s">
        <v>668</v>
      </c>
      <c r="L942" t="s">
        <v>179</v>
      </c>
      <c r="M942" t="s">
        <v>304</v>
      </c>
      <c r="N942" t="s">
        <v>11</v>
      </c>
      <c r="O942" t="s">
        <v>6</v>
      </c>
      <c r="P942">
        <v>0</v>
      </c>
      <c r="Q942">
        <v>0</v>
      </c>
      <c r="R942">
        <v>0</v>
      </c>
      <c r="S942">
        <v>1</v>
      </c>
      <c r="T942">
        <v>1</v>
      </c>
      <c r="U942">
        <v>1</v>
      </c>
      <c r="V942">
        <v>1</v>
      </c>
      <c r="W942">
        <v>1</v>
      </c>
      <c r="X942">
        <v>1</v>
      </c>
      <c r="Y942">
        <v>1</v>
      </c>
      <c r="Z942">
        <v>1</v>
      </c>
      <c r="AA942">
        <v>1</v>
      </c>
      <c r="AB942">
        <v>1</v>
      </c>
      <c r="AC942">
        <v>1</v>
      </c>
      <c r="AD942">
        <v>1</v>
      </c>
      <c r="AE942">
        <v>1</v>
      </c>
      <c r="AF942">
        <v>1</v>
      </c>
      <c r="AG942" t="s">
        <v>304</v>
      </c>
      <c r="AH942" t="s">
        <v>11</v>
      </c>
      <c r="AI942" t="s">
        <v>6</v>
      </c>
      <c r="AJ942">
        <f>$H$942*$P$942</f>
        <v>0</v>
      </c>
      <c r="AK942">
        <f>$H$942*$Q$942</f>
        <v>0</v>
      </c>
      <c r="AL942">
        <f>$H$942*$R$942</f>
        <v>0</v>
      </c>
      <c r="AM942">
        <f>$H$942*$S$942</f>
        <v>49.12</v>
      </c>
      <c r="AN942">
        <f>$H$942*$T$942</f>
        <v>49.12</v>
      </c>
      <c r="AO942">
        <f>$H$942*$U$942</f>
        <v>49.12</v>
      </c>
      <c r="AP942">
        <f>$H$942*$V$942</f>
        <v>49.12</v>
      </c>
      <c r="AQ942">
        <f>$H$942*$W$942</f>
        <v>49.12</v>
      </c>
      <c r="AR942">
        <f>$H$942*$X$942</f>
        <v>49.12</v>
      </c>
      <c r="AS942">
        <f>$H$942*$Y$942</f>
        <v>49.12</v>
      </c>
      <c r="AT942">
        <f>$H$942*$Z$942</f>
        <v>49.12</v>
      </c>
      <c r="AU942">
        <f>$H$942*$AA$942</f>
        <v>49.12</v>
      </c>
      <c r="AV942">
        <f>$H$942*$AB$942</f>
        <v>49.12</v>
      </c>
      <c r="AW942">
        <f>$H$942*$AC$942</f>
        <v>49.12</v>
      </c>
      <c r="AX942">
        <f>$H$942*$AD$942</f>
        <v>49.12</v>
      </c>
      <c r="AY942">
        <f>$H$942*$AE$942</f>
        <v>49.12</v>
      </c>
      <c r="AZ942">
        <f>$H$942*$AF$942</f>
        <v>49.12</v>
      </c>
    </row>
    <row r="943" spans="1:52" x14ac:dyDescent="0.25">
      <c r="A943">
        <v>1011</v>
      </c>
      <c r="B943" t="s">
        <v>304</v>
      </c>
      <c r="C943" t="s">
        <v>471</v>
      </c>
      <c r="D943">
        <v>40.14</v>
      </c>
      <c r="E943">
        <v>370.49</v>
      </c>
      <c r="F943" t="s">
        <v>349</v>
      </c>
      <c r="G943">
        <v>9.23</v>
      </c>
      <c r="H943">
        <v>444.59</v>
      </c>
      <c r="I943" t="s">
        <v>469</v>
      </c>
      <c r="J943" t="s">
        <v>463</v>
      </c>
      <c r="K943" t="s">
        <v>669</v>
      </c>
      <c r="L943" t="s">
        <v>179</v>
      </c>
      <c r="M943" t="s">
        <v>304</v>
      </c>
      <c r="N943" t="s">
        <v>11</v>
      </c>
      <c r="O943" t="s">
        <v>6</v>
      </c>
      <c r="P943">
        <v>0</v>
      </c>
      <c r="Q943">
        <v>0</v>
      </c>
      <c r="R943">
        <v>0</v>
      </c>
      <c r="S943">
        <v>1</v>
      </c>
      <c r="T943">
        <v>1</v>
      </c>
      <c r="U943">
        <v>1</v>
      </c>
      <c r="V943">
        <v>1</v>
      </c>
      <c r="W943">
        <v>1</v>
      </c>
      <c r="X943">
        <v>1</v>
      </c>
      <c r="Y943">
        <v>1</v>
      </c>
      <c r="Z943">
        <v>1</v>
      </c>
      <c r="AA943">
        <v>1</v>
      </c>
      <c r="AB943">
        <v>1</v>
      </c>
      <c r="AC943">
        <v>1</v>
      </c>
      <c r="AD943">
        <v>1</v>
      </c>
      <c r="AE943">
        <v>1</v>
      </c>
      <c r="AF943">
        <v>1</v>
      </c>
      <c r="AG943" t="s">
        <v>304</v>
      </c>
      <c r="AH943" t="s">
        <v>11</v>
      </c>
      <c r="AI943" t="s">
        <v>6</v>
      </c>
      <c r="AJ943">
        <f>$H$943*$P$943</f>
        <v>0</v>
      </c>
      <c r="AK943">
        <f>$H$943*$Q$943</f>
        <v>0</v>
      </c>
      <c r="AL943">
        <f>$H$943*$R$943</f>
        <v>0</v>
      </c>
      <c r="AM943">
        <f>$H$943*$S$943</f>
        <v>444.59</v>
      </c>
      <c r="AN943">
        <f>$H$943*$T$943</f>
        <v>444.59</v>
      </c>
      <c r="AO943">
        <f>$H$943*$U$943</f>
        <v>444.59</v>
      </c>
      <c r="AP943">
        <f>$H$943*$V$943</f>
        <v>444.59</v>
      </c>
      <c r="AQ943">
        <f>$H$943*$W$943</f>
        <v>444.59</v>
      </c>
      <c r="AR943">
        <f>$H$943*$X$943</f>
        <v>444.59</v>
      </c>
      <c r="AS943">
        <f>$H$943*$Y$943</f>
        <v>444.59</v>
      </c>
      <c r="AT943">
        <f>$H$943*$Z$943</f>
        <v>444.59</v>
      </c>
      <c r="AU943">
        <f>$H$943*$AA$943</f>
        <v>444.59</v>
      </c>
      <c r="AV943">
        <f>$H$943*$AB$943</f>
        <v>444.59</v>
      </c>
      <c r="AW943">
        <f>$H$943*$AC$943</f>
        <v>444.59</v>
      </c>
      <c r="AX943">
        <f>$H$943*$AD$943</f>
        <v>444.59</v>
      </c>
      <c r="AY943">
        <f>$H$943*$AE$943</f>
        <v>444.59</v>
      </c>
      <c r="AZ943">
        <f>$H$943*$AF$943</f>
        <v>444.59</v>
      </c>
    </row>
    <row r="944" spans="1:52" x14ac:dyDescent="0.25">
      <c r="A944">
        <v>1012</v>
      </c>
      <c r="B944" t="s">
        <v>295</v>
      </c>
      <c r="C944" t="s">
        <v>435</v>
      </c>
      <c r="D944">
        <v>11</v>
      </c>
      <c r="E944">
        <v>145.97</v>
      </c>
      <c r="F944" t="s">
        <v>335</v>
      </c>
      <c r="G944">
        <v>13.27</v>
      </c>
      <c r="H944">
        <v>175.17</v>
      </c>
      <c r="I944" t="s">
        <v>337</v>
      </c>
      <c r="J944" t="s">
        <v>436</v>
      </c>
      <c r="K944" t="s">
        <v>652</v>
      </c>
      <c r="L944" t="s">
        <v>179</v>
      </c>
      <c r="M944" t="s">
        <v>295</v>
      </c>
      <c r="N944" t="s">
        <v>11</v>
      </c>
      <c r="O944" t="s">
        <v>14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1</v>
      </c>
      <c r="Y944">
        <v>1</v>
      </c>
      <c r="Z944">
        <v>1</v>
      </c>
      <c r="AA944">
        <v>1</v>
      </c>
      <c r="AB944">
        <v>1</v>
      </c>
      <c r="AC944">
        <v>1</v>
      </c>
      <c r="AD944">
        <v>1</v>
      </c>
      <c r="AE944">
        <v>1</v>
      </c>
      <c r="AF944">
        <v>1</v>
      </c>
      <c r="AG944" t="s">
        <v>295</v>
      </c>
      <c r="AH944" t="s">
        <v>11</v>
      </c>
      <c r="AI944" t="s">
        <v>14</v>
      </c>
      <c r="AJ944">
        <f>$H$944*$P$944</f>
        <v>0</v>
      </c>
      <c r="AK944">
        <f>$H$944*$Q$944</f>
        <v>0</v>
      </c>
      <c r="AL944">
        <f>$H$944*$R$944</f>
        <v>0</v>
      </c>
      <c r="AM944">
        <f>$H$944*$S$944</f>
        <v>0</v>
      </c>
      <c r="AN944">
        <f>$H$944*$T$944</f>
        <v>0</v>
      </c>
      <c r="AO944">
        <f>$H$944*$U$944</f>
        <v>0</v>
      </c>
      <c r="AP944">
        <f>$H$944*$V$944</f>
        <v>0</v>
      </c>
      <c r="AQ944">
        <f>$H$944*$W$944</f>
        <v>0</v>
      </c>
      <c r="AR944">
        <f>$H$944*$X$944</f>
        <v>175.17</v>
      </c>
      <c r="AS944">
        <f>$H$944*$Y$944</f>
        <v>175.17</v>
      </c>
      <c r="AT944">
        <f>$H$944*$Z$944</f>
        <v>175.17</v>
      </c>
      <c r="AU944">
        <f>$H$944*$AA$944</f>
        <v>175.17</v>
      </c>
      <c r="AV944">
        <f>$H$944*$AB$944</f>
        <v>175.17</v>
      </c>
      <c r="AW944">
        <f>$H$944*$AC$944</f>
        <v>175.17</v>
      </c>
      <c r="AX944">
        <f>$H$944*$AD$944</f>
        <v>175.17</v>
      </c>
      <c r="AY944">
        <f>$H$944*$AE$944</f>
        <v>175.17</v>
      </c>
      <c r="AZ944">
        <f>$H$944*$AF$944</f>
        <v>175.17</v>
      </c>
    </row>
    <row r="945" spans="1:52" x14ac:dyDescent="0.25">
      <c r="A945">
        <v>1013</v>
      </c>
      <c r="B945" t="s">
        <v>295</v>
      </c>
      <c r="C945" t="s">
        <v>437</v>
      </c>
      <c r="D945">
        <v>1</v>
      </c>
      <c r="E945">
        <v>98.82</v>
      </c>
      <c r="F945" t="s">
        <v>335</v>
      </c>
      <c r="G945">
        <v>98.82</v>
      </c>
      <c r="H945">
        <v>118.58</v>
      </c>
      <c r="I945" t="s">
        <v>340</v>
      </c>
      <c r="J945" t="s">
        <v>372</v>
      </c>
      <c r="K945" t="s">
        <v>653</v>
      </c>
      <c r="L945" t="s">
        <v>179</v>
      </c>
      <c r="M945" t="s">
        <v>295</v>
      </c>
      <c r="N945" t="s">
        <v>11</v>
      </c>
      <c r="O945" t="s">
        <v>14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1</v>
      </c>
      <c r="AE945">
        <v>1</v>
      </c>
      <c r="AF945">
        <v>1</v>
      </c>
      <c r="AG945" t="s">
        <v>295</v>
      </c>
      <c r="AH945" t="s">
        <v>11</v>
      </c>
      <c r="AI945" t="s">
        <v>14</v>
      </c>
      <c r="AJ945">
        <f>$H$945*$P$945</f>
        <v>0</v>
      </c>
      <c r="AK945">
        <f>$H$945*$Q$945</f>
        <v>0</v>
      </c>
      <c r="AL945">
        <f>$H$945*$R$945</f>
        <v>0</v>
      </c>
      <c r="AM945">
        <f>$H$945*$S$945</f>
        <v>0</v>
      </c>
      <c r="AN945">
        <f>$H$945*$T$945</f>
        <v>0</v>
      </c>
      <c r="AO945">
        <f>$H$945*$U$945</f>
        <v>0</v>
      </c>
      <c r="AP945">
        <f>$H$945*$V$945</f>
        <v>0</v>
      </c>
      <c r="AQ945">
        <f>$H$945*$W$945</f>
        <v>0</v>
      </c>
      <c r="AR945">
        <f>$H$945*$X$945</f>
        <v>0</v>
      </c>
      <c r="AS945">
        <f>$H$945*$Y$945</f>
        <v>0</v>
      </c>
      <c r="AT945">
        <f>$H$945*$Z$945</f>
        <v>0</v>
      </c>
      <c r="AU945">
        <f>$H$945*$AA$945</f>
        <v>0</v>
      </c>
      <c r="AV945">
        <f>$H$945*$AB$945</f>
        <v>0</v>
      </c>
      <c r="AW945">
        <f>$H$945*$AC$945</f>
        <v>0</v>
      </c>
      <c r="AX945">
        <f>$H$945*$AD$945</f>
        <v>118.58</v>
      </c>
      <c r="AY945">
        <f>$H$945*$AE$945</f>
        <v>118.58</v>
      </c>
      <c r="AZ945">
        <f>$H$945*$AF$945</f>
        <v>118.58</v>
      </c>
    </row>
    <row r="946" spans="1:52" x14ac:dyDescent="0.25">
      <c r="A946">
        <v>1014</v>
      </c>
      <c r="B946" t="s">
        <v>295</v>
      </c>
      <c r="C946" t="s">
        <v>438</v>
      </c>
      <c r="D946">
        <v>26.73</v>
      </c>
      <c r="E946">
        <v>70.03</v>
      </c>
      <c r="F946" t="s">
        <v>329</v>
      </c>
      <c r="G946">
        <v>2.62</v>
      </c>
      <c r="H946">
        <v>84.03</v>
      </c>
      <c r="I946" t="s">
        <v>439</v>
      </c>
      <c r="J946" t="s">
        <v>440</v>
      </c>
      <c r="K946" t="s">
        <v>654</v>
      </c>
      <c r="L946" t="s">
        <v>179</v>
      </c>
      <c r="M946" t="s">
        <v>295</v>
      </c>
      <c r="N946" t="s">
        <v>11</v>
      </c>
      <c r="O946" t="s">
        <v>14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1</v>
      </c>
      <c r="AB946">
        <v>1</v>
      </c>
      <c r="AC946">
        <v>1</v>
      </c>
      <c r="AD946">
        <v>1</v>
      </c>
      <c r="AE946">
        <v>1</v>
      </c>
      <c r="AF946">
        <v>1</v>
      </c>
      <c r="AG946" t="s">
        <v>295</v>
      </c>
      <c r="AH946" t="s">
        <v>11</v>
      </c>
      <c r="AI946" t="s">
        <v>14</v>
      </c>
      <c r="AJ946">
        <f>$H$946*$P$946</f>
        <v>0</v>
      </c>
      <c r="AK946">
        <f>$H$946*$Q$946</f>
        <v>0</v>
      </c>
      <c r="AL946">
        <f>$H$946*$R$946</f>
        <v>0</v>
      </c>
      <c r="AM946">
        <f>$H$946*$S$946</f>
        <v>0</v>
      </c>
      <c r="AN946">
        <f>$H$946*$T$946</f>
        <v>0</v>
      </c>
      <c r="AO946">
        <f>$H$946*$U$946</f>
        <v>0</v>
      </c>
      <c r="AP946">
        <f>$H$946*$V$946</f>
        <v>0</v>
      </c>
      <c r="AQ946">
        <f>$H$946*$W$946</f>
        <v>0</v>
      </c>
      <c r="AR946">
        <f>$H$946*$X$946</f>
        <v>0</v>
      </c>
      <c r="AS946">
        <f>$H$946*$Y$946</f>
        <v>0</v>
      </c>
      <c r="AT946">
        <f>$H$946*$Z$946</f>
        <v>0</v>
      </c>
      <c r="AU946">
        <f>$H$946*$AA$946</f>
        <v>84.03</v>
      </c>
      <c r="AV946">
        <f>$H$946*$AB$946</f>
        <v>84.03</v>
      </c>
      <c r="AW946">
        <f>$H$946*$AC$946</f>
        <v>84.03</v>
      </c>
      <c r="AX946">
        <f>$H$946*$AD$946</f>
        <v>84.03</v>
      </c>
      <c r="AY946">
        <f>$H$946*$AE$946</f>
        <v>84.03</v>
      </c>
      <c r="AZ946">
        <f>$H$946*$AF$946</f>
        <v>84.03</v>
      </c>
    </row>
    <row r="947" spans="1:52" x14ac:dyDescent="0.25">
      <c r="A947">
        <v>1015</v>
      </c>
      <c r="B947" t="s">
        <v>295</v>
      </c>
      <c r="C947" t="s">
        <v>441</v>
      </c>
      <c r="D947">
        <v>240.6</v>
      </c>
      <c r="E947">
        <v>519.70000000000005</v>
      </c>
      <c r="F947" t="s">
        <v>349</v>
      </c>
      <c r="G947">
        <v>2.16</v>
      </c>
      <c r="H947">
        <v>623.64</v>
      </c>
      <c r="I947" t="s">
        <v>439</v>
      </c>
      <c r="J947" t="s">
        <v>442</v>
      </c>
      <c r="K947" t="s">
        <v>655</v>
      </c>
      <c r="L947" t="s">
        <v>179</v>
      </c>
      <c r="M947" t="s">
        <v>295</v>
      </c>
      <c r="N947" t="s">
        <v>11</v>
      </c>
      <c r="O947" t="s">
        <v>14</v>
      </c>
      <c r="P947">
        <v>0</v>
      </c>
      <c r="Q947">
        <v>0</v>
      </c>
      <c r="R947">
        <v>0</v>
      </c>
      <c r="S947">
        <v>1</v>
      </c>
      <c r="T947">
        <v>1</v>
      </c>
      <c r="U947">
        <v>1</v>
      </c>
      <c r="V947">
        <v>1</v>
      </c>
      <c r="W947">
        <v>1</v>
      </c>
      <c r="X947">
        <v>1</v>
      </c>
      <c r="Y947">
        <v>1</v>
      </c>
      <c r="Z947">
        <v>1</v>
      </c>
      <c r="AA947">
        <v>1</v>
      </c>
      <c r="AB947">
        <v>1</v>
      </c>
      <c r="AC947">
        <v>1</v>
      </c>
      <c r="AD947">
        <v>1</v>
      </c>
      <c r="AE947">
        <v>1</v>
      </c>
      <c r="AF947">
        <v>1</v>
      </c>
      <c r="AG947" t="s">
        <v>295</v>
      </c>
      <c r="AH947" t="s">
        <v>11</v>
      </c>
      <c r="AI947" t="s">
        <v>14</v>
      </c>
      <c r="AJ947">
        <f>$H$947*$P$947</f>
        <v>0</v>
      </c>
      <c r="AK947">
        <f>$H$947*$Q$947</f>
        <v>0</v>
      </c>
      <c r="AL947">
        <f>$H$947*$R$947</f>
        <v>0</v>
      </c>
      <c r="AM947">
        <f>$H$947*$S$947</f>
        <v>623.64</v>
      </c>
      <c r="AN947">
        <f>$H$947*$T$947</f>
        <v>623.64</v>
      </c>
      <c r="AO947">
        <f>$H$947*$U$947</f>
        <v>623.64</v>
      </c>
      <c r="AP947">
        <f>$H$947*$V$947</f>
        <v>623.64</v>
      </c>
      <c r="AQ947">
        <f>$H$947*$W$947</f>
        <v>623.64</v>
      </c>
      <c r="AR947">
        <f>$H$947*$X$947</f>
        <v>623.64</v>
      </c>
      <c r="AS947">
        <f>$H$947*$Y$947</f>
        <v>623.64</v>
      </c>
      <c r="AT947">
        <f>$H$947*$Z$947</f>
        <v>623.64</v>
      </c>
      <c r="AU947">
        <f>$H$947*$AA$947</f>
        <v>623.64</v>
      </c>
      <c r="AV947">
        <f>$H$947*$AB$947</f>
        <v>623.64</v>
      </c>
      <c r="AW947">
        <f>$H$947*$AC$947</f>
        <v>623.64</v>
      </c>
      <c r="AX947">
        <f>$H$947*$AD$947</f>
        <v>623.64</v>
      </c>
      <c r="AY947">
        <f>$H$947*$AE$947</f>
        <v>623.64</v>
      </c>
      <c r="AZ947">
        <f>$H$947*$AF$947</f>
        <v>623.64</v>
      </c>
    </row>
    <row r="948" spans="1:52" x14ac:dyDescent="0.25">
      <c r="A948">
        <v>1016</v>
      </c>
      <c r="B948" t="s">
        <v>295</v>
      </c>
      <c r="C948" t="s">
        <v>443</v>
      </c>
      <c r="D948">
        <v>240.6</v>
      </c>
      <c r="E948">
        <v>151.58000000000001</v>
      </c>
      <c r="F948" t="s">
        <v>349</v>
      </c>
      <c r="G948">
        <v>0.63</v>
      </c>
      <c r="H948">
        <v>181.9</v>
      </c>
      <c r="I948" t="s">
        <v>330</v>
      </c>
      <c r="J948" t="s">
        <v>444</v>
      </c>
      <c r="K948" t="s">
        <v>656</v>
      </c>
      <c r="L948" t="s">
        <v>179</v>
      </c>
      <c r="M948" t="s">
        <v>295</v>
      </c>
      <c r="N948" t="s">
        <v>11</v>
      </c>
      <c r="O948" t="s">
        <v>14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1</v>
      </c>
      <c r="AE948">
        <v>1</v>
      </c>
      <c r="AF948">
        <v>1</v>
      </c>
      <c r="AG948" t="s">
        <v>295</v>
      </c>
      <c r="AH948" t="s">
        <v>11</v>
      </c>
      <c r="AI948" t="s">
        <v>14</v>
      </c>
      <c r="AJ948">
        <f>$H$948*$P$948</f>
        <v>0</v>
      </c>
      <c r="AK948">
        <f>$H$948*$Q$948</f>
        <v>0</v>
      </c>
      <c r="AL948">
        <f>$H$948*$R$948</f>
        <v>0</v>
      </c>
      <c r="AM948">
        <f>$H$948*$S$948</f>
        <v>0</v>
      </c>
      <c r="AN948">
        <f>$H$948*$T$948</f>
        <v>0</v>
      </c>
      <c r="AO948">
        <f>$H$948*$U$948</f>
        <v>0</v>
      </c>
      <c r="AP948">
        <f>$H$948*$V$948</f>
        <v>0</v>
      </c>
      <c r="AQ948">
        <f>$H$948*$W$948</f>
        <v>0</v>
      </c>
      <c r="AR948">
        <f>$H$948*$X$948</f>
        <v>0</v>
      </c>
      <c r="AS948">
        <f>$H$948*$Y$948</f>
        <v>0</v>
      </c>
      <c r="AT948">
        <f>$H$948*$Z$948</f>
        <v>0</v>
      </c>
      <c r="AU948">
        <f>$H$948*$AA$948</f>
        <v>0</v>
      </c>
      <c r="AV948">
        <f>$H$948*$AB$948</f>
        <v>0</v>
      </c>
      <c r="AW948">
        <f>$H$948*$AC$948</f>
        <v>0</v>
      </c>
      <c r="AX948">
        <f>$H$948*$AD$948</f>
        <v>181.9</v>
      </c>
      <c r="AY948">
        <f>$H$948*$AE$948</f>
        <v>181.9</v>
      </c>
      <c r="AZ948">
        <f>$H$948*$AF$948</f>
        <v>181.9</v>
      </c>
    </row>
    <row r="949" spans="1:52" x14ac:dyDescent="0.25">
      <c r="A949">
        <v>1017</v>
      </c>
      <c r="B949" t="s">
        <v>295</v>
      </c>
      <c r="C949" t="s">
        <v>362</v>
      </c>
      <c r="D949">
        <v>300.75</v>
      </c>
      <c r="E949">
        <v>294.74</v>
      </c>
      <c r="F949" t="s">
        <v>349</v>
      </c>
      <c r="G949">
        <v>0.98</v>
      </c>
      <c r="H949">
        <v>353.68</v>
      </c>
      <c r="I949" t="s">
        <v>330</v>
      </c>
      <c r="J949" t="s">
        <v>363</v>
      </c>
      <c r="K949" t="s">
        <v>617</v>
      </c>
      <c r="L949" t="s">
        <v>179</v>
      </c>
      <c r="M949" t="s">
        <v>295</v>
      </c>
      <c r="N949" t="s">
        <v>11</v>
      </c>
      <c r="O949" t="s">
        <v>14</v>
      </c>
      <c r="P949">
        <v>0</v>
      </c>
      <c r="Q949">
        <v>0</v>
      </c>
      <c r="R949">
        <v>0</v>
      </c>
      <c r="S949">
        <v>0</v>
      </c>
      <c r="T949">
        <v>1</v>
      </c>
      <c r="U949">
        <v>1</v>
      </c>
      <c r="V949">
        <v>1</v>
      </c>
      <c r="W949">
        <v>1</v>
      </c>
      <c r="X949">
        <v>1</v>
      </c>
      <c r="Y949">
        <v>1</v>
      </c>
      <c r="Z949">
        <v>1</v>
      </c>
      <c r="AA949">
        <v>1</v>
      </c>
      <c r="AB949">
        <v>1</v>
      </c>
      <c r="AC949">
        <v>1</v>
      </c>
      <c r="AD949">
        <v>1</v>
      </c>
      <c r="AE949">
        <v>1</v>
      </c>
      <c r="AF949">
        <v>1</v>
      </c>
      <c r="AG949" t="s">
        <v>295</v>
      </c>
      <c r="AH949" t="s">
        <v>11</v>
      </c>
      <c r="AI949" t="s">
        <v>14</v>
      </c>
      <c r="AJ949">
        <f>$H$949*$P$949</f>
        <v>0</v>
      </c>
      <c r="AK949">
        <f>$H$949*$Q$949</f>
        <v>0</v>
      </c>
      <c r="AL949">
        <f>$H$949*$R$949</f>
        <v>0</v>
      </c>
      <c r="AM949">
        <f>$H$949*$S$949</f>
        <v>0</v>
      </c>
      <c r="AN949">
        <f>$H$949*$T$949</f>
        <v>353.68</v>
      </c>
      <c r="AO949">
        <f>$H$949*$U$949</f>
        <v>353.68</v>
      </c>
      <c r="AP949">
        <f>$H$949*$V$949</f>
        <v>353.68</v>
      </c>
      <c r="AQ949">
        <f>$H$949*$W$949</f>
        <v>353.68</v>
      </c>
      <c r="AR949">
        <f>$H$949*$X$949</f>
        <v>353.68</v>
      </c>
      <c r="AS949">
        <f>$H$949*$Y$949</f>
        <v>353.68</v>
      </c>
      <c r="AT949">
        <f>$H$949*$Z$949</f>
        <v>353.68</v>
      </c>
      <c r="AU949">
        <f>$H$949*$AA$949</f>
        <v>353.68</v>
      </c>
      <c r="AV949">
        <f>$H$949*$AB$949</f>
        <v>353.68</v>
      </c>
      <c r="AW949">
        <f>$H$949*$AC$949</f>
        <v>353.68</v>
      </c>
      <c r="AX949">
        <f>$H$949*$AD$949</f>
        <v>353.68</v>
      </c>
      <c r="AY949">
        <f>$H$949*$AE$949</f>
        <v>353.68</v>
      </c>
      <c r="AZ949">
        <f>$H$949*$AF$949</f>
        <v>353.68</v>
      </c>
    </row>
    <row r="950" spans="1:52" x14ac:dyDescent="0.25">
      <c r="A950">
        <v>1018</v>
      </c>
      <c r="B950" t="s">
        <v>295</v>
      </c>
      <c r="C950" t="s">
        <v>445</v>
      </c>
      <c r="D950">
        <v>60.15</v>
      </c>
      <c r="E950">
        <v>226.16</v>
      </c>
      <c r="F950" t="s">
        <v>349</v>
      </c>
      <c r="G950">
        <v>3.76</v>
      </c>
      <c r="H950">
        <v>271.39999999999998</v>
      </c>
      <c r="I950" t="s">
        <v>446</v>
      </c>
      <c r="J950" t="s">
        <v>420</v>
      </c>
      <c r="K950" t="s">
        <v>657</v>
      </c>
      <c r="L950" t="s">
        <v>179</v>
      </c>
      <c r="M950" t="s">
        <v>295</v>
      </c>
      <c r="N950" t="s">
        <v>11</v>
      </c>
      <c r="O950" t="s">
        <v>14</v>
      </c>
      <c r="P950">
        <v>0</v>
      </c>
      <c r="Q950">
        <v>0</v>
      </c>
      <c r="R950">
        <v>0</v>
      </c>
      <c r="S950">
        <v>0.25</v>
      </c>
      <c r="T950">
        <v>0.25</v>
      </c>
      <c r="U950">
        <v>0.25</v>
      </c>
      <c r="V950">
        <v>0.25</v>
      </c>
      <c r="W950">
        <v>0.25</v>
      </c>
      <c r="X950">
        <v>0.5</v>
      </c>
      <c r="Y950">
        <v>0.5</v>
      </c>
      <c r="Z950">
        <v>0.5</v>
      </c>
      <c r="AA950">
        <v>1</v>
      </c>
      <c r="AB950">
        <v>1</v>
      </c>
      <c r="AC950">
        <v>1</v>
      </c>
      <c r="AD950">
        <v>1</v>
      </c>
      <c r="AE950">
        <v>1</v>
      </c>
      <c r="AF950">
        <v>1</v>
      </c>
      <c r="AG950" t="s">
        <v>295</v>
      </c>
      <c r="AH950" t="s">
        <v>11</v>
      </c>
      <c r="AI950" t="s">
        <v>14</v>
      </c>
      <c r="AJ950">
        <f>$H$950*$P$950</f>
        <v>0</v>
      </c>
      <c r="AK950">
        <f>$H$950*$Q$950</f>
        <v>0</v>
      </c>
      <c r="AL950">
        <f>$H$950*$R$950</f>
        <v>0</v>
      </c>
      <c r="AM950">
        <f>$H$950*$S$950</f>
        <v>67.849999999999994</v>
      </c>
      <c r="AN950">
        <f>$H$950*$T$950</f>
        <v>67.849999999999994</v>
      </c>
      <c r="AO950">
        <f>$H$950*$U$950</f>
        <v>67.849999999999994</v>
      </c>
      <c r="AP950">
        <f>$H$950*$V$950</f>
        <v>67.849999999999994</v>
      </c>
      <c r="AQ950">
        <f>$H$950*$W$950</f>
        <v>67.849999999999994</v>
      </c>
      <c r="AR950">
        <f>$H$950*$X$950</f>
        <v>135.69999999999999</v>
      </c>
      <c r="AS950">
        <f>$H$950*$Y$950</f>
        <v>135.69999999999999</v>
      </c>
      <c r="AT950">
        <f>$H$950*$Z$950</f>
        <v>135.69999999999999</v>
      </c>
      <c r="AU950">
        <f>$H$950*$AA$950</f>
        <v>271.39999999999998</v>
      </c>
      <c r="AV950">
        <f>$H$950*$AB$950</f>
        <v>271.39999999999998</v>
      </c>
      <c r="AW950">
        <f>$H$950*$AC$950</f>
        <v>271.39999999999998</v>
      </c>
      <c r="AX950">
        <f>$H$950*$AD$950</f>
        <v>271.39999999999998</v>
      </c>
      <c r="AY950">
        <f>$H$950*$AE$950</f>
        <v>271.39999999999998</v>
      </c>
      <c r="AZ950">
        <f>$H$950*$AF$950</f>
        <v>271.39999999999998</v>
      </c>
    </row>
    <row r="951" spans="1:52" x14ac:dyDescent="0.25">
      <c r="A951">
        <v>1019</v>
      </c>
      <c r="B951" t="s">
        <v>295</v>
      </c>
      <c r="C951" t="s">
        <v>364</v>
      </c>
      <c r="D951">
        <v>601.5</v>
      </c>
      <c r="E951">
        <v>2021.04</v>
      </c>
      <c r="F951" t="s">
        <v>349</v>
      </c>
      <c r="G951">
        <v>3.36</v>
      </c>
      <c r="H951">
        <v>2425.2399999999998</v>
      </c>
      <c r="I951" t="s">
        <v>365</v>
      </c>
      <c r="J951" t="s">
        <v>366</v>
      </c>
      <c r="K951" t="s">
        <v>618</v>
      </c>
      <c r="L951" t="s">
        <v>179</v>
      </c>
      <c r="M951" t="s">
        <v>295</v>
      </c>
      <c r="N951" t="s">
        <v>11</v>
      </c>
      <c r="O951" t="s">
        <v>14</v>
      </c>
      <c r="P951">
        <v>0</v>
      </c>
      <c r="Q951">
        <v>0</v>
      </c>
      <c r="R951">
        <v>0</v>
      </c>
      <c r="S951">
        <v>0.25</v>
      </c>
      <c r="T951">
        <v>0.25</v>
      </c>
      <c r="U951">
        <v>0.25</v>
      </c>
      <c r="V951">
        <v>0.25</v>
      </c>
      <c r="W951">
        <v>0.5</v>
      </c>
      <c r="X951">
        <v>0.5</v>
      </c>
      <c r="Y951">
        <v>0.5</v>
      </c>
      <c r="Z951">
        <v>0.5</v>
      </c>
      <c r="AA951">
        <v>1</v>
      </c>
      <c r="AB951">
        <v>1</v>
      </c>
      <c r="AC951">
        <v>1</v>
      </c>
      <c r="AD951">
        <v>1</v>
      </c>
      <c r="AE951">
        <v>1</v>
      </c>
      <c r="AF951">
        <v>1</v>
      </c>
      <c r="AG951" t="s">
        <v>295</v>
      </c>
      <c r="AH951" t="s">
        <v>11</v>
      </c>
      <c r="AI951" t="s">
        <v>14</v>
      </c>
      <c r="AJ951">
        <f>$H$951*$P$951</f>
        <v>0</v>
      </c>
      <c r="AK951">
        <f>$H$951*$Q$951</f>
        <v>0</v>
      </c>
      <c r="AL951">
        <f>$H$951*$R$951</f>
        <v>0</v>
      </c>
      <c r="AM951">
        <f>$H$951*$S$951</f>
        <v>606.30999999999995</v>
      </c>
      <c r="AN951">
        <f>$H$951*$T$951</f>
        <v>606.30999999999995</v>
      </c>
      <c r="AO951">
        <f>$H$951*$U$951</f>
        <v>606.30999999999995</v>
      </c>
      <c r="AP951">
        <f>$H$951*$V$951</f>
        <v>606.30999999999995</v>
      </c>
      <c r="AQ951">
        <f>$H$951*$W$951</f>
        <v>1212.6199999999999</v>
      </c>
      <c r="AR951">
        <f>$H$951*$X$951</f>
        <v>1212.6199999999999</v>
      </c>
      <c r="AS951">
        <f>$H$951*$Y$951</f>
        <v>1212.6199999999999</v>
      </c>
      <c r="AT951">
        <f>$H$951*$Z$951</f>
        <v>1212.6199999999999</v>
      </c>
      <c r="AU951">
        <f>$H$951*$AA$951</f>
        <v>2425.2399999999998</v>
      </c>
      <c r="AV951">
        <f>$H$951*$AB$951</f>
        <v>2425.2399999999998</v>
      </c>
      <c r="AW951">
        <f>$H$951*$AC$951</f>
        <v>2425.2399999999998</v>
      </c>
      <c r="AX951">
        <f>$H$951*$AD$951</f>
        <v>2425.2399999999998</v>
      </c>
      <c r="AY951">
        <f>$H$951*$AE$951</f>
        <v>2425.2399999999998</v>
      </c>
      <c r="AZ951">
        <f>$H$951*$AF$951</f>
        <v>2425.2399999999998</v>
      </c>
    </row>
    <row r="952" spans="1:52" x14ac:dyDescent="0.25">
      <c r="A952">
        <v>1020</v>
      </c>
      <c r="B952" t="s">
        <v>295</v>
      </c>
      <c r="C952" t="s">
        <v>527</v>
      </c>
      <c r="D952">
        <v>19.670000000000002</v>
      </c>
      <c r="E952">
        <v>160.9</v>
      </c>
      <c r="F952" t="s">
        <v>329</v>
      </c>
      <c r="G952">
        <v>8.18</v>
      </c>
      <c r="H952">
        <v>193.08</v>
      </c>
      <c r="I952" t="s">
        <v>333</v>
      </c>
      <c r="J952" t="s">
        <v>528</v>
      </c>
      <c r="K952" t="s">
        <v>696</v>
      </c>
      <c r="L952" t="s">
        <v>179</v>
      </c>
      <c r="M952" t="s">
        <v>295</v>
      </c>
      <c r="N952" t="s">
        <v>11</v>
      </c>
      <c r="O952" t="s">
        <v>14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1</v>
      </c>
      <c r="AB952">
        <v>1</v>
      </c>
      <c r="AC952">
        <v>1</v>
      </c>
      <c r="AD952">
        <v>1</v>
      </c>
      <c r="AE952">
        <v>1</v>
      </c>
      <c r="AF952">
        <v>1</v>
      </c>
      <c r="AG952" t="s">
        <v>295</v>
      </c>
      <c r="AH952" t="s">
        <v>11</v>
      </c>
      <c r="AI952" t="s">
        <v>14</v>
      </c>
      <c r="AJ952">
        <f>$H$952*$P$952</f>
        <v>0</v>
      </c>
      <c r="AK952">
        <f>$H$952*$Q$952</f>
        <v>0</v>
      </c>
      <c r="AL952">
        <f>$H$952*$R$952</f>
        <v>0</v>
      </c>
      <c r="AM952">
        <f>$H$952*$S$952</f>
        <v>0</v>
      </c>
      <c r="AN952">
        <f>$H$952*$T$952</f>
        <v>0</v>
      </c>
      <c r="AO952">
        <f>$H$952*$U$952</f>
        <v>0</v>
      </c>
      <c r="AP952">
        <f>$H$952*$V$952</f>
        <v>0</v>
      </c>
      <c r="AQ952">
        <f>$H$952*$W$952</f>
        <v>0</v>
      </c>
      <c r="AR952">
        <f>$H$952*$X$952</f>
        <v>0</v>
      </c>
      <c r="AS952">
        <f>$H$952*$Y$952</f>
        <v>0</v>
      </c>
      <c r="AT952">
        <f>$H$952*$Z$952</f>
        <v>0</v>
      </c>
      <c r="AU952">
        <f>$H$952*$AA$952</f>
        <v>193.08</v>
      </c>
      <c r="AV952">
        <f>$H$952*$AB$952</f>
        <v>193.08</v>
      </c>
      <c r="AW952">
        <f>$H$952*$AC$952</f>
        <v>193.08</v>
      </c>
      <c r="AX952">
        <f>$H$952*$AD$952</f>
        <v>193.08</v>
      </c>
      <c r="AY952">
        <f>$H$952*$AE$952</f>
        <v>193.08</v>
      </c>
      <c r="AZ952">
        <f>$H$952*$AF$952</f>
        <v>193.08</v>
      </c>
    </row>
    <row r="953" spans="1:52" x14ac:dyDescent="0.25">
      <c r="A953">
        <v>1021</v>
      </c>
      <c r="B953" t="s">
        <v>295</v>
      </c>
      <c r="C953" t="s">
        <v>529</v>
      </c>
      <c r="D953">
        <v>39.33</v>
      </c>
      <c r="E953">
        <v>599.78</v>
      </c>
      <c r="F953" t="s">
        <v>329</v>
      </c>
      <c r="G953">
        <v>15.25</v>
      </c>
      <c r="H953">
        <v>719.74</v>
      </c>
      <c r="I953" t="s">
        <v>333</v>
      </c>
      <c r="J953" t="s">
        <v>530</v>
      </c>
      <c r="K953" t="s">
        <v>697</v>
      </c>
      <c r="L953" t="s">
        <v>179</v>
      </c>
      <c r="M953" t="s">
        <v>295</v>
      </c>
      <c r="N953" t="s">
        <v>11</v>
      </c>
      <c r="O953" t="s">
        <v>14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1</v>
      </c>
      <c r="AB953">
        <v>1</v>
      </c>
      <c r="AC953">
        <v>1</v>
      </c>
      <c r="AD953">
        <v>1</v>
      </c>
      <c r="AE953">
        <v>1</v>
      </c>
      <c r="AF953">
        <v>1</v>
      </c>
      <c r="AG953" t="s">
        <v>295</v>
      </c>
      <c r="AH953" t="s">
        <v>11</v>
      </c>
      <c r="AI953" t="s">
        <v>14</v>
      </c>
      <c r="AJ953">
        <f>$H$953*$P$953</f>
        <v>0</v>
      </c>
      <c r="AK953">
        <f>$H$953*$Q$953</f>
        <v>0</v>
      </c>
      <c r="AL953">
        <f>$H$953*$R$953</f>
        <v>0</v>
      </c>
      <c r="AM953">
        <f>$H$953*$S$953</f>
        <v>0</v>
      </c>
      <c r="AN953">
        <f>$H$953*$T$953</f>
        <v>0</v>
      </c>
      <c r="AO953">
        <f>$H$953*$U$953</f>
        <v>0</v>
      </c>
      <c r="AP953">
        <f>$H$953*$V$953</f>
        <v>0</v>
      </c>
      <c r="AQ953">
        <f>$H$953*$W$953</f>
        <v>0</v>
      </c>
      <c r="AR953">
        <f>$H$953*$X$953</f>
        <v>0</v>
      </c>
      <c r="AS953">
        <f>$H$953*$Y$953</f>
        <v>0</v>
      </c>
      <c r="AT953">
        <f>$H$953*$Z$953</f>
        <v>0</v>
      </c>
      <c r="AU953">
        <f>$H$953*$AA$953</f>
        <v>719.74</v>
      </c>
      <c r="AV953">
        <f>$H$953*$AB$953</f>
        <v>719.74</v>
      </c>
      <c r="AW953">
        <f>$H$953*$AC$953</f>
        <v>719.74</v>
      </c>
      <c r="AX953">
        <f>$H$953*$AD$953</f>
        <v>719.74</v>
      </c>
      <c r="AY953">
        <f>$H$953*$AE$953</f>
        <v>719.74</v>
      </c>
      <c r="AZ953">
        <f>$H$953*$AF$953</f>
        <v>719.74</v>
      </c>
    </row>
    <row r="954" spans="1:52" x14ac:dyDescent="0.25">
      <c r="A954">
        <v>1023</v>
      </c>
      <c r="B954" t="s">
        <v>295</v>
      </c>
      <c r="C954" t="s">
        <v>447</v>
      </c>
      <c r="D954">
        <v>66.83</v>
      </c>
      <c r="E954">
        <v>69.5</v>
      </c>
      <c r="F954" t="s">
        <v>329</v>
      </c>
      <c r="G954">
        <v>1.04</v>
      </c>
      <c r="H954">
        <v>83.4</v>
      </c>
      <c r="I954" t="s">
        <v>330</v>
      </c>
      <c r="J954" t="s">
        <v>448</v>
      </c>
      <c r="K954" t="s">
        <v>658</v>
      </c>
      <c r="L954" t="s">
        <v>179</v>
      </c>
      <c r="M954" t="s">
        <v>295</v>
      </c>
      <c r="N954" t="s">
        <v>11</v>
      </c>
      <c r="O954" t="s">
        <v>14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1</v>
      </c>
      <c r="AB954">
        <v>1</v>
      </c>
      <c r="AC954">
        <v>1</v>
      </c>
      <c r="AD954">
        <v>1</v>
      </c>
      <c r="AE954">
        <v>1</v>
      </c>
      <c r="AF954">
        <v>1</v>
      </c>
      <c r="AG954" t="s">
        <v>295</v>
      </c>
      <c r="AH954" t="s">
        <v>11</v>
      </c>
      <c r="AI954" t="s">
        <v>14</v>
      </c>
      <c r="AJ954">
        <f>$H$954*$P$954</f>
        <v>0</v>
      </c>
      <c r="AK954">
        <f>$H$954*$Q$954</f>
        <v>0</v>
      </c>
      <c r="AL954">
        <f>$H$954*$R$954</f>
        <v>0</v>
      </c>
      <c r="AM954">
        <f>$H$954*$S$954</f>
        <v>0</v>
      </c>
      <c r="AN954">
        <f>$H$954*$T$954</f>
        <v>0</v>
      </c>
      <c r="AO954">
        <f>$H$954*$U$954</f>
        <v>0</v>
      </c>
      <c r="AP954">
        <f>$H$954*$V$954</f>
        <v>0</v>
      </c>
      <c r="AQ954">
        <f>$H$954*$W$954</f>
        <v>0</v>
      </c>
      <c r="AR954">
        <f>$H$954*$X$954</f>
        <v>0</v>
      </c>
      <c r="AS954">
        <f>$H$954*$Y$954</f>
        <v>0</v>
      </c>
      <c r="AT954">
        <f>$H$954*$Z$954</f>
        <v>0</v>
      </c>
      <c r="AU954">
        <f>$H$954*$AA$954</f>
        <v>83.4</v>
      </c>
      <c r="AV954">
        <f>$H$954*$AB$954</f>
        <v>83.4</v>
      </c>
      <c r="AW954">
        <f>$H$954*$AC$954</f>
        <v>83.4</v>
      </c>
      <c r="AX954">
        <f>$H$954*$AD$954</f>
        <v>83.4</v>
      </c>
      <c r="AY954">
        <f>$H$954*$AE$954</f>
        <v>83.4</v>
      </c>
      <c r="AZ954">
        <f>$H$954*$AF$954</f>
        <v>83.4</v>
      </c>
    </row>
    <row r="955" spans="1:52" x14ac:dyDescent="0.25">
      <c r="A955">
        <v>1024</v>
      </c>
      <c r="B955" t="s">
        <v>295</v>
      </c>
      <c r="C955" t="s">
        <v>449</v>
      </c>
      <c r="D955">
        <v>66.83</v>
      </c>
      <c r="E955">
        <v>535.98</v>
      </c>
      <c r="F955" t="s">
        <v>329</v>
      </c>
      <c r="G955">
        <v>8.02</v>
      </c>
      <c r="H955">
        <v>643.17999999999995</v>
      </c>
      <c r="I955" t="s">
        <v>333</v>
      </c>
      <c r="J955" t="s">
        <v>450</v>
      </c>
      <c r="K955" t="s">
        <v>659</v>
      </c>
      <c r="L955" t="s">
        <v>179</v>
      </c>
      <c r="M955" t="s">
        <v>295</v>
      </c>
      <c r="N955" t="s">
        <v>11</v>
      </c>
      <c r="O955" t="s">
        <v>14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1</v>
      </c>
      <c r="AB955">
        <v>1</v>
      </c>
      <c r="AC955">
        <v>1</v>
      </c>
      <c r="AD955">
        <v>1</v>
      </c>
      <c r="AE955">
        <v>1</v>
      </c>
      <c r="AF955">
        <v>1</v>
      </c>
      <c r="AG955" t="s">
        <v>295</v>
      </c>
      <c r="AH955" t="s">
        <v>11</v>
      </c>
      <c r="AI955" t="s">
        <v>14</v>
      </c>
      <c r="AJ955">
        <f>$H$955*$P$955</f>
        <v>0</v>
      </c>
      <c r="AK955">
        <f>$H$955*$Q$955</f>
        <v>0</v>
      </c>
      <c r="AL955">
        <f>$H$955*$R$955</f>
        <v>0</v>
      </c>
      <c r="AM955">
        <f>$H$955*$S$955</f>
        <v>0</v>
      </c>
      <c r="AN955">
        <f>$H$955*$T$955</f>
        <v>0</v>
      </c>
      <c r="AO955">
        <f>$H$955*$U$955</f>
        <v>0</v>
      </c>
      <c r="AP955">
        <f>$H$955*$V$955</f>
        <v>0</v>
      </c>
      <c r="AQ955">
        <f>$H$955*$W$955</f>
        <v>0</v>
      </c>
      <c r="AR955">
        <f>$H$955*$X$955</f>
        <v>0</v>
      </c>
      <c r="AS955">
        <f>$H$955*$Y$955</f>
        <v>0</v>
      </c>
      <c r="AT955">
        <f>$H$955*$Z$955</f>
        <v>0</v>
      </c>
      <c r="AU955">
        <f>$H$955*$AA$955</f>
        <v>643.17999999999995</v>
      </c>
      <c r="AV955">
        <f>$H$955*$AB$955</f>
        <v>643.17999999999995</v>
      </c>
      <c r="AW955">
        <f>$H$955*$AC$955</f>
        <v>643.17999999999995</v>
      </c>
      <c r="AX955">
        <f>$H$955*$AD$955</f>
        <v>643.17999999999995</v>
      </c>
      <c r="AY955">
        <f>$H$955*$AE$955</f>
        <v>643.17999999999995</v>
      </c>
      <c r="AZ955">
        <f>$H$955*$AF$955</f>
        <v>643.17999999999995</v>
      </c>
    </row>
    <row r="956" spans="1:52" x14ac:dyDescent="0.25">
      <c r="A956">
        <v>1025</v>
      </c>
      <c r="B956" t="s">
        <v>295</v>
      </c>
      <c r="C956" t="s">
        <v>455</v>
      </c>
      <c r="D956">
        <v>66.83</v>
      </c>
      <c r="E956">
        <v>100.91</v>
      </c>
      <c r="F956" t="s">
        <v>329</v>
      </c>
      <c r="G956">
        <v>1.51</v>
      </c>
      <c r="H956">
        <v>121.09</v>
      </c>
      <c r="I956" t="s">
        <v>330</v>
      </c>
      <c r="J956" t="s">
        <v>456</v>
      </c>
      <c r="K956" t="s">
        <v>662</v>
      </c>
      <c r="L956" t="s">
        <v>179</v>
      </c>
      <c r="M956" t="s">
        <v>295</v>
      </c>
      <c r="N956" t="s">
        <v>11</v>
      </c>
      <c r="O956" t="s">
        <v>14</v>
      </c>
      <c r="P956">
        <v>0</v>
      </c>
      <c r="Q956">
        <v>0</v>
      </c>
      <c r="R956">
        <v>0</v>
      </c>
      <c r="S956">
        <v>1</v>
      </c>
      <c r="T956">
        <v>1</v>
      </c>
      <c r="U956">
        <v>1</v>
      </c>
      <c r="V956">
        <v>1</v>
      </c>
      <c r="W956">
        <v>1</v>
      </c>
      <c r="X956">
        <v>1</v>
      </c>
      <c r="Y956">
        <v>1</v>
      </c>
      <c r="Z956">
        <v>1</v>
      </c>
      <c r="AA956">
        <v>1</v>
      </c>
      <c r="AB956">
        <v>1</v>
      </c>
      <c r="AC956">
        <v>1</v>
      </c>
      <c r="AD956">
        <v>1</v>
      </c>
      <c r="AE956">
        <v>1</v>
      </c>
      <c r="AF956">
        <v>1</v>
      </c>
      <c r="AG956" t="s">
        <v>295</v>
      </c>
      <c r="AH956" t="s">
        <v>11</v>
      </c>
      <c r="AI956" t="s">
        <v>14</v>
      </c>
      <c r="AJ956">
        <f>$H$956*$P$956</f>
        <v>0</v>
      </c>
      <c r="AK956">
        <f>$H$956*$Q$956</f>
        <v>0</v>
      </c>
      <c r="AL956">
        <f>$H$956*$R$956</f>
        <v>0</v>
      </c>
      <c r="AM956">
        <f>$H$956*$S$956</f>
        <v>121.09</v>
      </c>
      <c r="AN956">
        <f>$H$956*$T$956</f>
        <v>121.09</v>
      </c>
      <c r="AO956">
        <f>$H$956*$U$956</f>
        <v>121.09</v>
      </c>
      <c r="AP956">
        <f>$H$956*$V$956</f>
        <v>121.09</v>
      </c>
      <c r="AQ956">
        <f>$H$956*$W$956</f>
        <v>121.09</v>
      </c>
      <c r="AR956">
        <f>$H$956*$X$956</f>
        <v>121.09</v>
      </c>
      <c r="AS956">
        <f>$H$956*$Y$956</f>
        <v>121.09</v>
      </c>
      <c r="AT956">
        <f>$H$956*$Z$956</f>
        <v>121.09</v>
      </c>
      <c r="AU956">
        <f>$H$956*$AA$956</f>
        <v>121.09</v>
      </c>
      <c r="AV956">
        <f>$H$956*$AB$956</f>
        <v>121.09</v>
      </c>
      <c r="AW956">
        <f>$H$956*$AC$956</f>
        <v>121.09</v>
      </c>
      <c r="AX956">
        <f>$H$956*$AD$956</f>
        <v>121.09</v>
      </c>
      <c r="AY956">
        <f>$H$956*$AE$956</f>
        <v>121.09</v>
      </c>
      <c r="AZ956">
        <f>$H$956*$AF$956</f>
        <v>121.09</v>
      </c>
    </row>
    <row r="957" spans="1:52" x14ac:dyDescent="0.25">
      <c r="A957">
        <v>1026</v>
      </c>
      <c r="B957" t="s">
        <v>295</v>
      </c>
      <c r="C957" t="s">
        <v>457</v>
      </c>
      <c r="D957">
        <v>66.83</v>
      </c>
      <c r="E957">
        <v>379.59</v>
      </c>
      <c r="F957" t="s">
        <v>329</v>
      </c>
      <c r="G957">
        <v>5.68</v>
      </c>
      <c r="H957">
        <v>455.51</v>
      </c>
      <c r="I957" t="s">
        <v>333</v>
      </c>
      <c r="J957" t="s">
        <v>458</v>
      </c>
      <c r="K957" t="s">
        <v>663</v>
      </c>
      <c r="L957" t="s">
        <v>179</v>
      </c>
      <c r="M957" t="s">
        <v>295</v>
      </c>
      <c r="N957" t="s">
        <v>11</v>
      </c>
      <c r="O957" t="s">
        <v>14</v>
      </c>
      <c r="P957">
        <v>0</v>
      </c>
      <c r="Q957">
        <v>0</v>
      </c>
      <c r="R957">
        <v>0</v>
      </c>
      <c r="S957">
        <v>1</v>
      </c>
      <c r="T957">
        <v>1</v>
      </c>
      <c r="U957">
        <v>1</v>
      </c>
      <c r="V957">
        <v>1</v>
      </c>
      <c r="W957">
        <v>1</v>
      </c>
      <c r="X957">
        <v>1</v>
      </c>
      <c r="Y957">
        <v>1</v>
      </c>
      <c r="Z957">
        <v>1</v>
      </c>
      <c r="AA957">
        <v>1</v>
      </c>
      <c r="AB957">
        <v>1</v>
      </c>
      <c r="AC957">
        <v>1</v>
      </c>
      <c r="AD957">
        <v>1</v>
      </c>
      <c r="AE957">
        <v>1</v>
      </c>
      <c r="AF957">
        <v>1</v>
      </c>
      <c r="AG957" t="s">
        <v>295</v>
      </c>
      <c r="AH957" t="s">
        <v>11</v>
      </c>
      <c r="AI957" t="s">
        <v>14</v>
      </c>
      <c r="AJ957">
        <f>$H$957*$P$957</f>
        <v>0</v>
      </c>
      <c r="AK957">
        <f>$H$957*$Q$957</f>
        <v>0</v>
      </c>
      <c r="AL957">
        <f>$H$957*$R$957</f>
        <v>0</v>
      </c>
      <c r="AM957">
        <f>$H$957*$S$957</f>
        <v>455.51</v>
      </c>
      <c r="AN957">
        <f>$H$957*$T$957</f>
        <v>455.51</v>
      </c>
      <c r="AO957">
        <f>$H$957*$U$957</f>
        <v>455.51</v>
      </c>
      <c r="AP957">
        <f>$H$957*$V$957</f>
        <v>455.51</v>
      </c>
      <c r="AQ957">
        <f>$H$957*$W$957</f>
        <v>455.51</v>
      </c>
      <c r="AR957">
        <f>$H$957*$X$957</f>
        <v>455.51</v>
      </c>
      <c r="AS957">
        <f>$H$957*$Y$957</f>
        <v>455.51</v>
      </c>
      <c r="AT957">
        <f>$H$957*$Z$957</f>
        <v>455.51</v>
      </c>
      <c r="AU957">
        <f>$H$957*$AA$957</f>
        <v>455.51</v>
      </c>
      <c r="AV957">
        <f>$H$957*$AB$957</f>
        <v>455.51</v>
      </c>
      <c r="AW957">
        <f>$H$957*$AC$957</f>
        <v>455.51</v>
      </c>
      <c r="AX957">
        <f>$H$957*$AD$957</f>
        <v>455.51</v>
      </c>
      <c r="AY957">
        <f>$H$957*$AE$957</f>
        <v>455.51</v>
      </c>
      <c r="AZ957">
        <f>$H$957*$AF$957</f>
        <v>455.51</v>
      </c>
    </row>
    <row r="958" spans="1:52" x14ac:dyDescent="0.25">
      <c r="A958">
        <v>1027</v>
      </c>
      <c r="B958" t="s">
        <v>295</v>
      </c>
      <c r="C958" t="s">
        <v>364</v>
      </c>
      <c r="D958">
        <v>270.42</v>
      </c>
      <c r="E958">
        <v>908.61</v>
      </c>
      <c r="F958" t="s">
        <v>349</v>
      </c>
      <c r="G958">
        <v>3.36</v>
      </c>
      <c r="H958">
        <v>1090.33</v>
      </c>
      <c r="I958" t="s">
        <v>365</v>
      </c>
      <c r="J958" t="s">
        <v>366</v>
      </c>
      <c r="K958" t="s">
        <v>618</v>
      </c>
      <c r="L958" t="s">
        <v>179</v>
      </c>
      <c r="M958" t="s">
        <v>295</v>
      </c>
      <c r="N958" t="s">
        <v>11</v>
      </c>
      <c r="O958" t="s">
        <v>14</v>
      </c>
      <c r="P958">
        <v>0</v>
      </c>
      <c r="Q958">
        <v>0</v>
      </c>
      <c r="R958">
        <v>0</v>
      </c>
      <c r="S958">
        <v>0.25</v>
      </c>
      <c r="T958">
        <v>0.25</v>
      </c>
      <c r="U958">
        <v>0.25</v>
      </c>
      <c r="V958">
        <v>0.25</v>
      </c>
      <c r="W958">
        <v>0.5</v>
      </c>
      <c r="X958">
        <v>0.5</v>
      </c>
      <c r="Y958">
        <v>0.5</v>
      </c>
      <c r="Z958">
        <v>0.5</v>
      </c>
      <c r="AA958">
        <v>1</v>
      </c>
      <c r="AB958">
        <v>1</v>
      </c>
      <c r="AC958">
        <v>1</v>
      </c>
      <c r="AD958">
        <v>1</v>
      </c>
      <c r="AE958">
        <v>1</v>
      </c>
      <c r="AF958">
        <v>1</v>
      </c>
      <c r="AG958" t="s">
        <v>295</v>
      </c>
      <c r="AH958" t="s">
        <v>11</v>
      </c>
      <c r="AI958" t="s">
        <v>14</v>
      </c>
      <c r="AJ958">
        <f>$H$958*$P$958</f>
        <v>0</v>
      </c>
      <c r="AK958">
        <f>$H$958*$Q$958</f>
        <v>0</v>
      </c>
      <c r="AL958">
        <f>$H$958*$R$958</f>
        <v>0</v>
      </c>
      <c r="AM958">
        <f>$H$958*$S$958</f>
        <v>272.58249999999998</v>
      </c>
      <c r="AN958">
        <f>$H$958*$T$958</f>
        <v>272.58249999999998</v>
      </c>
      <c r="AO958">
        <f>$H$958*$U$958</f>
        <v>272.58249999999998</v>
      </c>
      <c r="AP958">
        <f>$H$958*$V$958</f>
        <v>272.58249999999998</v>
      </c>
      <c r="AQ958">
        <f>$H$958*$W$958</f>
        <v>545.16499999999996</v>
      </c>
      <c r="AR958">
        <f>$H$958*$X$958</f>
        <v>545.16499999999996</v>
      </c>
      <c r="AS958">
        <f>$H$958*$Y$958</f>
        <v>545.16499999999996</v>
      </c>
      <c r="AT958">
        <f>$H$958*$Z$958</f>
        <v>545.16499999999996</v>
      </c>
      <c r="AU958">
        <f>$H$958*$AA$958</f>
        <v>1090.33</v>
      </c>
      <c r="AV958">
        <f>$H$958*$AB$958</f>
        <v>1090.33</v>
      </c>
      <c r="AW958">
        <f>$H$958*$AC$958</f>
        <v>1090.33</v>
      </c>
      <c r="AX958">
        <f>$H$958*$AD$958</f>
        <v>1090.33</v>
      </c>
      <c r="AY958">
        <f>$H$958*$AE$958</f>
        <v>1090.33</v>
      </c>
      <c r="AZ958">
        <f>$H$958*$AF$958</f>
        <v>1090.33</v>
      </c>
    </row>
    <row r="959" spans="1:52" x14ac:dyDescent="0.25">
      <c r="A959">
        <v>1028</v>
      </c>
      <c r="B959" t="s">
        <v>295</v>
      </c>
      <c r="C959" t="s">
        <v>443</v>
      </c>
      <c r="D959">
        <v>270.42</v>
      </c>
      <c r="E959">
        <v>170.36</v>
      </c>
      <c r="F959" t="s">
        <v>349</v>
      </c>
      <c r="G959">
        <v>0.63</v>
      </c>
      <c r="H959">
        <v>204.44</v>
      </c>
      <c r="I959" t="s">
        <v>330</v>
      </c>
      <c r="J959" t="s">
        <v>444</v>
      </c>
      <c r="K959" t="s">
        <v>656</v>
      </c>
      <c r="L959" t="s">
        <v>179</v>
      </c>
      <c r="M959" t="s">
        <v>295</v>
      </c>
      <c r="N959" t="s">
        <v>11</v>
      </c>
      <c r="O959" t="s">
        <v>14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1</v>
      </c>
      <c r="AE959">
        <v>1</v>
      </c>
      <c r="AF959">
        <v>1</v>
      </c>
      <c r="AG959" t="s">
        <v>295</v>
      </c>
      <c r="AH959" t="s">
        <v>11</v>
      </c>
      <c r="AI959" t="s">
        <v>14</v>
      </c>
      <c r="AJ959">
        <f>$H$959*$P$959</f>
        <v>0</v>
      </c>
      <c r="AK959">
        <f>$H$959*$Q$959</f>
        <v>0</v>
      </c>
      <c r="AL959">
        <f>$H$959*$R$959</f>
        <v>0</v>
      </c>
      <c r="AM959">
        <f>$H$959*$S$959</f>
        <v>0</v>
      </c>
      <c r="AN959">
        <f>$H$959*$T$959</f>
        <v>0</v>
      </c>
      <c r="AO959">
        <f>$H$959*$U$959</f>
        <v>0</v>
      </c>
      <c r="AP959">
        <f>$H$959*$V$959</f>
        <v>0</v>
      </c>
      <c r="AQ959">
        <f>$H$959*$W$959</f>
        <v>0</v>
      </c>
      <c r="AR959">
        <f>$H$959*$X$959</f>
        <v>0</v>
      </c>
      <c r="AS959">
        <f>$H$959*$Y$959</f>
        <v>0</v>
      </c>
      <c r="AT959">
        <f>$H$959*$Z$959</f>
        <v>0</v>
      </c>
      <c r="AU959">
        <f>$H$959*$AA$959</f>
        <v>0</v>
      </c>
      <c r="AV959">
        <f>$H$959*$AB$959</f>
        <v>0</v>
      </c>
      <c r="AW959">
        <f>$H$959*$AC$959</f>
        <v>0</v>
      </c>
      <c r="AX959">
        <f>$H$959*$AD$959</f>
        <v>204.44</v>
      </c>
      <c r="AY959">
        <f>$H$959*$AE$959</f>
        <v>204.44</v>
      </c>
      <c r="AZ959">
        <f>$H$959*$AF$959</f>
        <v>204.44</v>
      </c>
    </row>
    <row r="960" spans="1:52" x14ac:dyDescent="0.25">
      <c r="A960">
        <v>1029</v>
      </c>
      <c r="B960" t="s">
        <v>295</v>
      </c>
      <c r="C960" t="s">
        <v>459</v>
      </c>
      <c r="D960">
        <v>270.42</v>
      </c>
      <c r="E960">
        <v>186.59</v>
      </c>
      <c r="F960" t="s">
        <v>349</v>
      </c>
      <c r="G960">
        <v>0.69</v>
      </c>
      <c r="H960">
        <v>223.91</v>
      </c>
      <c r="I960" t="s">
        <v>330</v>
      </c>
      <c r="J960" t="s">
        <v>460</v>
      </c>
      <c r="K960" t="s">
        <v>664</v>
      </c>
      <c r="L960" t="s">
        <v>179</v>
      </c>
      <c r="M960" t="s">
        <v>295</v>
      </c>
      <c r="N960" t="s">
        <v>11</v>
      </c>
      <c r="O960" t="s">
        <v>14</v>
      </c>
      <c r="P960">
        <v>0</v>
      </c>
      <c r="Q960">
        <v>0</v>
      </c>
      <c r="R960">
        <v>0</v>
      </c>
      <c r="S960">
        <v>1</v>
      </c>
      <c r="T960">
        <v>1</v>
      </c>
      <c r="U960">
        <v>1</v>
      </c>
      <c r="V960">
        <v>1</v>
      </c>
      <c r="W960">
        <v>1</v>
      </c>
      <c r="X960">
        <v>1</v>
      </c>
      <c r="Y960">
        <v>1</v>
      </c>
      <c r="Z960">
        <v>1</v>
      </c>
      <c r="AA960">
        <v>1</v>
      </c>
      <c r="AB960">
        <v>1</v>
      </c>
      <c r="AC960">
        <v>1</v>
      </c>
      <c r="AD960">
        <v>1</v>
      </c>
      <c r="AE960">
        <v>1</v>
      </c>
      <c r="AF960">
        <v>1</v>
      </c>
      <c r="AG960" t="s">
        <v>295</v>
      </c>
      <c r="AH960" t="s">
        <v>11</v>
      </c>
      <c r="AI960" t="s">
        <v>14</v>
      </c>
      <c r="AJ960">
        <f>$H$960*$P$960</f>
        <v>0</v>
      </c>
      <c r="AK960">
        <f>$H$960*$Q$960</f>
        <v>0</v>
      </c>
      <c r="AL960">
        <f>$H$960*$R$960</f>
        <v>0</v>
      </c>
      <c r="AM960">
        <f>$H$960*$S$960</f>
        <v>223.91</v>
      </c>
      <c r="AN960">
        <f>$H$960*$T$960</f>
        <v>223.91</v>
      </c>
      <c r="AO960">
        <f>$H$960*$U$960</f>
        <v>223.91</v>
      </c>
      <c r="AP960">
        <f>$H$960*$V$960</f>
        <v>223.91</v>
      </c>
      <c r="AQ960">
        <f>$H$960*$W$960</f>
        <v>223.91</v>
      </c>
      <c r="AR960">
        <f>$H$960*$X$960</f>
        <v>223.91</v>
      </c>
      <c r="AS960">
        <f>$H$960*$Y$960</f>
        <v>223.91</v>
      </c>
      <c r="AT960">
        <f>$H$960*$Z$960</f>
        <v>223.91</v>
      </c>
      <c r="AU960">
        <f>$H$960*$AA$960</f>
        <v>223.91</v>
      </c>
      <c r="AV960">
        <f>$H$960*$AB$960</f>
        <v>223.91</v>
      </c>
      <c r="AW960">
        <f>$H$960*$AC$960</f>
        <v>223.91</v>
      </c>
      <c r="AX960">
        <f>$H$960*$AD$960</f>
        <v>223.91</v>
      </c>
      <c r="AY960">
        <f>$H$960*$AE$960</f>
        <v>223.91</v>
      </c>
      <c r="AZ960">
        <f>$H$960*$AF$960</f>
        <v>223.91</v>
      </c>
    </row>
    <row r="961" spans="1:52" x14ac:dyDescent="0.25">
      <c r="A961">
        <v>1030</v>
      </c>
      <c r="B961" t="s">
        <v>295</v>
      </c>
      <c r="C961" t="s">
        <v>461</v>
      </c>
      <c r="D961">
        <v>54.08</v>
      </c>
      <c r="E961">
        <v>938.29</v>
      </c>
      <c r="F961" t="s">
        <v>349</v>
      </c>
      <c r="G961">
        <v>17.350000000000001</v>
      </c>
      <c r="H961">
        <v>1125.95</v>
      </c>
      <c r="I961" t="s">
        <v>462</v>
      </c>
      <c r="J961" t="s">
        <v>463</v>
      </c>
      <c r="K961" t="s">
        <v>665</v>
      </c>
      <c r="L961" t="s">
        <v>179</v>
      </c>
      <c r="M961" t="s">
        <v>295</v>
      </c>
      <c r="N961" t="s">
        <v>11</v>
      </c>
      <c r="O961" t="s">
        <v>14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1</v>
      </c>
      <c r="Z961">
        <v>1</v>
      </c>
      <c r="AA961">
        <v>1</v>
      </c>
      <c r="AB961">
        <v>1</v>
      </c>
      <c r="AC961">
        <v>1</v>
      </c>
      <c r="AD961">
        <v>1</v>
      </c>
      <c r="AE961">
        <v>1</v>
      </c>
      <c r="AF961">
        <v>1</v>
      </c>
      <c r="AG961" t="s">
        <v>295</v>
      </c>
      <c r="AH961" t="s">
        <v>11</v>
      </c>
      <c r="AI961" t="s">
        <v>14</v>
      </c>
      <c r="AJ961">
        <f>$H$961*$P$961</f>
        <v>0</v>
      </c>
      <c r="AK961">
        <f>$H$961*$Q$961</f>
        <v>0</v>
      </c>
      <c r="AL961">
        <f>$H$961*$R$961</f>
        <v>0</v>
      </c>
      <c r="AM961">
        <f>$H$961*$S$961</f>
        <v>0</v>
      </c>
      <c r="AN961">
        <f>$H$961*$T$961</f>
        <v>0</v>
      </c>
      <c r="AO961">
        <f>$H$961*$U$961</f>
        <v>0</v>
      </c>
      <c r="AP961">
        <f>$H$961*$V$961</f>
        <v>0</v>
      </c>
      <c r="AQ961">
        <f>$H$961*$W$961</f>
        <v>0</v>
      </c>
      <c r="AR961">
        <f>$H$961*$X$961</f>
        <v>0</v>
      </c>
      <c r="AS961">
        <f>$H$961*$Y$961</f>
        <v>1125.95</v>
      </c>
      <c r="AT961">
        <f>$H$961*$Z$961</f>
        <v>1125.95</v>
      </c>
      <c r="AU961">
        <f>$H$961*$AA$961</f>
        <v>1125.95</v>
      </c>
      <c r="AV961">
        <f>$H$961*$AB$961</f>
        <v>1125.95</v>
      </c>
      <c r="AW961">
        <f>$H$961*$AC$961</f>
        <v>1125.95</v>
      </c>
      <c r="AX961">
        <f>$H$961*$AD$961</f>
        <v>1125.95</v>
      </c>
      <c r="AY961">
        <f>$H$961*$AE$961</f>
        <v>1125.95</v>
      </c>
      <c r="AZ961">
        <f>$H$961*$AF$961</f>
        <v>1125.95</v>
      </c>
    </row>
    <row r="962" spans="1:52" x14ac:dyDescent="0.25">
      <c r="A962">
        <v>1031</v>
      </c>
      <c r="B962" t="s">
        <v>295</v>
      </c>
      <c r="C962" t="s">
        <v>464</v>
      </c>
      <c r="D962">
        <v>108.17</v>
      </c>
      <c r="E962">
        <v>387.25</v>
      </c>
      <c r="F962" t="s">
        <v>349</v>
      </c>
      <c r="G962">
        <v>3.58</v>
      </c>
      <c r="H962">
        <v>464.71</v>
      </c>
      <c r="I962" t="s">
        <v>465</v>
      </c>
      <c r="J962" t="s">
        <v>466</v>
      </c>
      <c r="K962" t="s">
        <v>666</v>
      </c>
      <c r="L962" t="s">
        <v>179</v>
      </c>
      <c r="M962" t="s">
        <v>295</v>
      </c>
      <c r="N962" t="s">
        <v>11</v>
      </c>
      <c r="O962" t="s">
        <v>14</v>
      </c>
      <c r="P962">
        <v>0</v>
      </c>
      <c r="Q962">
        <v>0</v>
      </c>
      <c r="R962">
        <v>0</v>
      </c>
      <c r="S962">
        <v>1</v>
      </c>
      <c r="T962">
        <v>1</v>
      </c>
      <c r="U962">
        <v>1</v>
      </c>
      <c r="V962">
        <v>1</v>
      </c>
      <c r="W962">
        <v>1</v>
      </c>
      <c r="X962">
        <v>1</v>
      </c>
      <c r="Y962">
        <v>1</v>
      </c>
      <c r="Z962">
        <v>1</v>
      </c>
      <c r="AA962">
        <v>1</v>
      </c>
      <c r="AB962">
        <v>1</v>
      </c>
      <c r="AC962">
        <v>1</v>
      </c>
      <c r="AD962">
        <v>1</v>
      </c>
      <c r="AE962">
        <v>1</v>
      </c>
      <c r="AF962">
        <v>1</v>
      </c>
      <c r="AG962" t="s">
        <v>295</v>
      </c>
      <c r="AH962" t="s">
        <v>11</v>
      </c>
      <c r="AI962" t="s">
        <v>14</v>
      </c>
      <c r="AJ962">
        <f>$H$962*$P$962</f>
        <v>0</v>
      </c>
      <c r="AK962">
        <f>$H$962*$Q$962</f>
        <v>0</v>
      </c>
      <c r="AL962">
        <f>$H$962*$R$962</f>
        <v>0</v>
      </c>
      <c r="AM962">
        <f>$H$962*$S$962</f>
        <v>464.71</v>
      </c>
      <c r="AN962">
        <f>$H$962*$T$962</f>
        <v>464.71</v>
      </c>
      <c r="AO962">
        <f>$H$962*$U$962</f>
        <v>464.71</v>
      </c>
      <c r="AP962">
        <f>$H$962*$V$962</f>
        <v>464.71</v>
      </c>
      <c r="AQ962">
        <f>$H$962*$W$962</f>
        <v>464.71</v>
      </c>
      <c r="AR962">
        <f>$H$962*$X$962</f>
        <v>464.71</v>
      </c>
      <c r="AS962">
        <f>$H$962*$Y$962</f>
        <v>464.71</v>
      </c>
      <c r="AT962">
        <f>$H$962*$Z$962</f>
        <v>464.71</v>
      </c>
      <c r="AU962">
        <f>$H$962*$AA$962</f>
        <v>464.71</v>
      </c>
      <c r="AV962">
        <f>$H$962*$AB$962</f>
        <v>464.71</v>
      </c>
      <c r="AW962">
        <f>$H$962*$AC$962</f>
        <v>464.71</v>
      </c>
      <c r="AX962">
        <f>$H$962*$AD$962</f>
        <v>464.71</v>
      </c>
      <c r="AY962">
        <f>$H$962*$AE$962</f>
        <v>464.71</v>
      </c>
      <c r="AZ962">
        <f>$H$962*$AF$962</f>
        <v>464.71</v>
      </c>
    </row>
    <row r="963" spans="1:52" x14ac:dyDescent="0.25">
      <c r="A963">
        <v>1032</v>
      </c>
      <c r="B963" t="s">
        <v>295</v>
      </c>
      <c r="C963" t="s">
        <v>467</v>
      </c>
      <c r="D963">
        <v>108.17</v>
      </c>
      <c r="E963">
        <v>1065.47</v>
      </c>
      <c r="F963" t="s">
        <v>349</v>
      </c>
      <c r="G963">
        <v>9.85</v>
      </c>
      <c r="H963">
        <v>1278.57</v>
      </c>
      <c r="I963" t="s">
        <v>465</v>
      </c>
      <c r="J963" t="s">
        <v>372</v>
      </c>
      <c r="K963" t="s">
        <v>667</v>
      </c>
      <c r="L963" t="s">
        <v>179</v>
      </c>
      <c r="M963" t="s">
        <v>295</v>
      </c>
      <c r="N963" t="s">
        <v>11</v>
      </c>
      <c r="O963" t="s">
        <v>14</v>
      </c>
      <c r="P963">
        <v>0</v>
      </c>
      <c r="Q963">
        <v>0</v>
      </c>
      <c r="R963">
        <v>0</v>
      </c>
      <c r="S963">
        <v>1</v>
      </c>
      <c r="T963">
        <v>1</v>
      </c>
      <c r="U963">
        <v>1</v>
      </c>
      <c r="V963">
        <v>1</v>
      </c>
      <c r="W963">
        <v>1</v>
      </c>
      <c r="X963">
        <v>1</v>
      </c>
      <c r="Y963">
        <v>1</v>
      </c>
      <c r="Z963">
        <v>1</v>
      </c>
      <c r="AA963">
        <v>1</v>
      </c>
      <c r="AB963">
        <v>1</v>
      </c>
      <c r="AC963">
        <v>1</v>
      </c>
      <c r="AD963">
        <v>1</v>
      </c>
      <c r="AE963">
        <v>1</v>
      </c>
      <c r="AF963">
        <v>1</v>
      </c>
      <c r="AG963" t="s">
        <v>295</v>
      </c>
      <c r="AH963" t="s">
        <v>11</v>
      </c>
      <c r="AI963" t="s">
        <v>14</v>
      </c>
      <c r="AJ963">
        <f>$H$963*$P$963</f>
        <v>0</v>
      </c>
      <c r="AK963">
        <f>$H$963*$Q$963</f>
        <v>0</v>
      </c>
      <c r="AL963">
        <f>$H$963*$R$963</f>
        <v>0</v>
      </c>
      <c r="AM963">
        <f>$H$963*$S$963</f>
        <v>1278.57</v>
      </c>
      <c r="AN963">
        <f>$H$963*$T$963</f>
        <v>1278.57</v>
      </c>
      <c r="AO963">
        <f>$H$963*$U$963</f>
        <v>1278.57</v>
      </c>
      <c r="AP963">
        <f>$H$963*$V$963</f>
        <v>1278.57</v>
      </c>
      <c r="AQ963">
        <f>$H$963*$W$963</f>
        <v>1278.57</v>
      </c>
      <c r="AR963">
        <f>$H$963*$X$963</f>
        <v>1278.57</v>
      </c>
      <c r="AS963">
        <f>$H$963*$Y$963</f>
        <v>1278.57</v>
      </c>
      <c r="AT963">
        <f>$H$963*$Z$963</f>
        <v>1278.57</v>
      </c>
      <c r="AU963">
        <f>$H$963*$AA$963</f>
        <v>1278.57</v>
      </c>
      <c r="AV963">
        <f>$H$963*$AB$963</f>
        <v>1278.57</v>
      </c>
      <c r="AW963">
        <f>$H$963*$AC$963</f>
        <v>1278.57</v>
      </c>
      <c r="AX963">
        <f>$H$963*$AD$963</f>
        <v>1278.57</v>
      </c>
      <c r="AY963">
        <f>$H$963*$AE$963</f>
        <v>1278.57</v>
      </c>
      <c r="AZ963">
        <f>$H$963*$AF$963</f>
        <v>1278.57</v>
      </c>
    </row>
    <row r="964" spans="1:52" x14ac:dyDescent="0.25">
      <c r="A964">
        <v>1033</v>
      </c>
      <c r="B964" t="s">
        <v>295</v>
      </c>
      <c r="C964" t="s">
        <v>468</v>
      </c>
      <c r="D964">
        <v>124.39</v>
      </c>
      <c r="E964">
        <v>126.88</v>
      </c>
      <c r="F964" t="s">
        <v>349</v>
      </c>
      <c r="G964">
        <v>1.02</v>
      </c>
      <c r="H964">
        <v>152.26</v>
      </c>
      <c r="I964" t="s">
        <v>469</v>
      </c>
      <c r="J964" t="s">
        <v>470</v>
      </c>
      <c r="K964" t="s">
        <v>668</v>
      </c>
      <c r="L964" t="s">
        <v>179</v>
      </c>
      <c r="M964" t="s">
        <v>295</v>
      </c>
      <c r="N964" t="s">
        <v>11</v>
      </c>
      <c r="O964" t="s">
        <v>14</v>
      </c>
      <c r="P964">
        <v>0</v>
      </c>
      <c r="Q964">
        <v>0</v>
      </c>
      <c r="R964">
        <v>0</v>
      </c>
      <c r="S964">
        <v>1</v>
      </c>
      <c r="T964">
        <v>1</v>
      </c>
      <c r="U964">
        <v>1</v>
      </c>
      <c r="V964">
        <v>1</v>
      </c>
      <c r="W964">
        <v>1</v>
      </c>
      <c r="X964">
        <v>1</v>
      </c>
      <c r="Y964">
        <v>1</v>
      </c>
      <c r="Z964">
        <v>1</v>
      </c>
      <c r="AA964">
        <v>1</v>
      </c>
      <c r="AB964">
        <v>1</v>
      </c>
      <c r="AC964">
        <v>1</v>
      </c>
      <c r="AD964">
        <v>1</v>
      </c>
      <c r="AE964">
        <v>1</v>
      </c>
      <c r="AF964">
        <v>1</v>
      </c>
      <c r="AG964" t="s">
        <v>295</v>
      </c>
      <c r="AH964" t="s">
        <v>11</v>
      </c>
      <c r="AI964" t="s">
        <v>14</v>
      </c>
      <c r="AJ964">
        <f>$H$964*$P$964</f>
        <v>0</v>
      </c>
      <c r="AK964">
        <f>$H$964*$Q$964</f>
        <v>0</v>
      </c>
      <c r="AL964">
        <f>$H$964*$R$964</f>
        <v>0</v>
      </c>
      <c r="AM964">
        <f>$H$964*$S$964</f>
        <v>152.26</v>
      </c>
      <c r="AN964">
        <f>$H$964*$T$964</f>
        <v>152.26</v>
      </c>
      <c r="AO964">
        <f>$H$964*$U$964</f>
        <v>152.26</v>
      </c>
      <c r="AP964">
        <f>$H$964*$V$964</f>
        <v>152.26</v>
      </c>
      <c r="AQ964">
        <f>$H$964*$W$964</f>
        <v>152.26</v>
      </c>
      <c r="AR964">
        <f>$H$964*$X$964</f>
        <v>152.26</v>
      </c>
      <c r="AS964">
        <f>$H$964*$Y$964</f>
        <v>152.26</v>
      </c>
      <c r="AT964">
        <f>$H$964*$Z$964</f>
        <v>152.26</v>
      </c>
      <c r="AU964">
        <f>$H$964*$AA$964</f>
        <v>152.26</v>
      </c>
      <c r="AV964">
        <f>$H$964*$AB$964</f>
        <v>152.26</v>
      </c>
      <c r="AW964">
        <f>$H$964*$AC$964</f>
        <v>152.26</v>
      </c>
      <c r="AX964">
        <f>$H$964*$AD$964</f>
        <v>152.26</v>
      </c>
      <c r="AY964">
        <f>$H$964*$AE$964</f>
        <v>152.26</v>
      </c>
      <c r="AZ964">
        <f>$H$964*$AF$964</f>
        <v>152.26</v>
      </c>
    </row>
    <row r="965" spans="1:52" x14ac:dyDescent="0.25">
      <c r="A965">
        <v>1034</v>
      </c>
      <c r="B965" t="s">
        <v>295</v>
      </c>
      <c r="C965" t="s">
        <v>471</v>
      </c>
      <c r="D965">
        <v>124.39</v>
      </c>
      <c r="E965">
        <v>1148.1199999999999</v>
      </c>
      <c r="F965" t="s">
        <v>349</v>
      </c>
      <c r="G965">
        <v>9.23</v>
      </c>
      <c r="H965">
        <v>1377.74</v>
      </c>
      <c r="I965" t="s">
        <v>469</v>
      </c>
      <c r="J965" t="s">
        <v>463</v>
      </c>
      <c r="K965" t="s">
        <v>669</v>
      </c>
      <c r="L965" t="s">
        <v>179</v>
      </c>
      <c r="M965" t="s">
        <v>295</v>
      </c>
      <c r="N965" t="s">
        <v>11</v>
      </c>
      <c r="O965" t="s">
        <v>14</v>
      </c>
      <c r="P965">
        <v>0</v>
      </c>
      <c r="Q965">
        <v>0</v>
      </c>
      <c r="R965">
        <v>0</v>
      </c>
      <c r="S965">
        <v>1</v>
      </c>
      <c r="T965">
        <v>1</v>
      </c>
      <c r="U965">
        <v>1</v>
      </c>
      <c r="V965">
        <v>1</v>
      </c>
      <c r="W965">
        <v>1</v>
      </c>
      <c r="X965">
        <v>1</v>
      </c>
      <c r="Y965">
        <v>1</v>
      </c>
      <c r="Z965">
        <v>1</v>
      </c>
      <c r="AA965">
        <v>1</v>
      </c>
      <c r="AB965">
        <v>1</v>
      </c>
      <c r="AC965">
        <v>1</v>
      </c>
      <c r="AD965">
        <v>1</v>
      </c>
      <c r="AE965">
        <v>1</v>
      </c>
      <c r="AF965">
        <v>1</v>
      </c>
      <c r="AG965" t="s">
        <v>295</v>
      </c>
      <c r="AH965" t="s">
        <v>11</v>
      </c>
      <c r="AI965" t="s">
        <v>14</v>
      </c>
      <c r="AJ965">
        <f>$H$965*$P$965</f>
        <v>0</v>
      </c>
      <c r="AK965">
        <f>$H$965*$Q$965</f>
        <v>0</v>
      </c>
      <c r="AL965">
        <f>$H$965*$R$965</f>
        <v>0</v>
      </c>
      <c r="AM965">
        <f>$H$965*$S$965</f>
        <v>1377.74</v>
      </c>
      <c r="AN965">
        <f>$H$965*$T$965</f>
        <v>1377.74</v>
      </c>
      <c r="AO965">
        <f>$H$965*$U$965</f>
        <v>1377.74</v>
      </c>
      <c r="AP965">
        <f>$H$965*$V$965</f>
        <v>1377.74</v>
      </c>
      <c r="AQ965">
        <f>$H$965*$W$965</f>
        <v>1377.74</v>
      </c>
      <c r="AR965">
        <f>$H$965*$X$965</f>
        <v>1377.74</v>
      </c>
      <c r="AS965">
        <f>$H$965*$Y$965</f>
        <v>1377.74</v>
      </c>
      <c r="AT965">
        <f>$H$965*$Z$965</f>
        <v>1377.74</v>
      </c>
      <c r="AU965">
        <f>$H$965*$AA$965</f>
        <v>1377.74</v>
      </c>
      <c r="AV965">
        <f>$H$965*$AB$965</f>
        <v>1377.74</v>
      </c>
      <c r="AW965">
        <f>$H$965*$AC$965</f>
        <v>1377.74</v>
      </c>
      <c r="AX965">
        <f>$H$965*$AD$965</f>
        <v>1377.74</v>
      </c>
      <c r="AY965">
        <f>$H$965*$AE$965</f>
        <v>1377.74</v>
      </c>
      <c r="AZ965">
        <f>$H$965*$AF$965</f>
        <v>1377.74</v>
      </c>
    </row>
    <row r="966" spans="1:52" x14ac:dyDescent="0.25">
      <c r="A966">
        <v>1037</v>
      </c>
      <c r="B966" t="s">
        <v>598</v>
      </c>
      <c r="C966" t="s">
        <v>599</v>
      </c>
      <c r="D966">
        <v>1</v>
      </c>
      <c r="E966">
        <v>432.23</v>
      </c>
      <c r="F966" t="s">
        <v>335</v>
      </c>
      <c r="G966">
        <v>432.23</v>
      </c>
      <c r="H966">
        <v>518.66999999999996</v>
      </c>
      <c r="I966" t="s">
        <v>371</v>
      </c>
      <c r="J966" t="s">
        <v>600</v>
      </c>
      <c r="K966" t="s">
        <v>731</v>
      </c>
      <c r="L966" t="s">
        <v>179</v>
      </c>
      <c r="M966" t="s">
        <v>630</v>
      </c>
      <c r="N966" t="s">
        <v>12</v>
      </c>
      <c r="O966" t="s">
        <v>68</v>
      </c>
      <c r="P966">
        <v>0</v>
      </c>
      <c r="Q966">
        <v>0</v>
      </c>
      <c r="R966">
        <v>0</v>
      </c>
      <c r="S966">
        <v>0</v>
      </c>
      <c r="T966">
        <v>1</v>
      </c>
      <c r="U966">
        <v>1</v>
      </c>
      <c r="V966">
        <v>1</v>
      </c>
      <c r="W966">
        <v>1</v>
      </c>
      <c r="X966">
        <v>1</v>
      </c>
      <c r="Y966">
        <v>1</v>
      </c>
      <c r="Z966">
        <v>1</v>
      </c>
      <c r="AA966">
        <v>1</v>
      </c>
      <c r="AB966">
        <v>1</v>
      </c>
      <c r="AC966">
        <v>1</v>
      </c>
      <c r="AD966">
        <v>1</v>
      </c>
      <c r="AE966">
        <v>1</v>
      </c>
      <c r="AF966">
        <v>1</v>
      </c>
      <c r="AG966" t="s">
        <v>630</v>
      </c>
      <c r="AH966" t="s">
        <v>12</v>
      </c>
      <c r="AI966" t="s">
        <v>68</v>
      </c>
      <c r="AJ966">
        <f>$H$966*$P$966</f>
        <v>0</v>
      </c>
      <c r="AK966">
        <f>$H$966*$Q$966</f>
        <v>0</v>
      </c>
      <c r="AL966">
        <f>$H$966*$R$966</f>
        <v>0</v>
      </c>
      <c r="AM966">
        <f>$H$966*$S$966</f>
        <v>0</v>
      </c>
      <c r="AN966">
        <f>$H$966*$T$966</f>
        <v>518.66999999999996</v>
      </c>
      <c r="AO966">
        <f>$H$966*$U$966</f>
        <v>518.66999999999996</v>
      </c>
      <c r="AP966">
        <f>$H$966*$V$966</f>
        <v>518.66999999999996</v>
      </c>
      <c r="AQ966">
        <f>$H$966*$W$966</f>
        <v>518.66999999999996</v>
      </c>
      <c r="AR966">
        <f>$H$966*$X$966</f>
        <v>518.66999999999996</v>
      </c>
      <c r="AS966">
        <f>$H$966*$Y$966</f>
        <v>518.66999999999996</v>
      </c>
      <c r="AT966">
        <f>$H$966*$Z$966</f>
        <v>518.66999999999996</v>
      </c>
      <c r="AU966">
        <f>$H$966*$AA$966</f>
        <v>518.66999999999996</v>
      </c>
      <c r="AV966">
        <f>$H$966*$AB$966</f>
        <v>518.66999999999996</v>
      </c>
      <c r="AW966">
        <f>$H$966*$AC$966</f>
        <v>518.66999999999996</v>
      </c>
      <c r="AX966">
        <f>$H$966*$AD$966</f>
        <v>518.66999999999996</v>
      </c>
      <c r="AY966">
        <f>$H$966*$AE$966</f>
        <v>518.66999999999996</v>
      </c>
      <c r="AZ966">
        <f>$H$966*$AF$966</f>
        <v>518.66999999999996</v>
      </c>
    </row>
    <row r="967" spans="1:52" x14ac:dyDescent="0.25">
      <c r="A967">
        <v>1044</v>
      </c>
      <c r="B967" t="s">
        <v>598</v>
      </c>
      <c r="C967" t="s">
        <v>435</v>
      </c>
      <c r="D967">
        <v>1</v>
      </c>
      <c r="E967">
        <v>13.27</v>
      </c>
      <c r="F967" t="s">
        <v>335</v>
      </c>
      <c r="G967">
        <v>13.27</v>
      </c>
      <c r="H967">
        <v>15.93</v>
      </c>
      <c r="I967" t="s">
        <v>337</v>
      </c>
      <c r="J967" t="s">
        <v>436</v>
      </c>
      <c r="K967" t="s">
        <v>652</v>
      </c>
      <c r="L967" t="s">
        <v>179</v>
      </c>
      <c r="M967" t="s">
        <v>630</v>
      </c>
      <c r="N967" t="s">
        <v>12</v>
      </c>
      <c r="O967" t="s">
        <v>68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1</v>
      </c>
      <c r="Y967">
        <v>1</v>
      </c>
      <c r="Z967">
        <v>1</v>
      </c>
      <c r="AA967">
        <v>1</v>
      </c>
      <c r="AB967">
        <v>1</v>
      </c>
      <c r="AC967">
        <v>1</v>
      </c>
      <c r="AD967">
        <v>1</v>
      </c>
      <c r="AE967">
        <v>1</v>
      </c>
      <c r="AF967">
        <v>1</v>
      </c>
      <c r="AG967" t="s">
        <v>630</v>
      </c>
      <c r="AH967" t="s">
        <v>12</v>
      </c>
      <c r="AI967" t="s">
        <v>68</v>
      </c>
      <c r="AJ967">
        <f>$H$967*$P$967</f>
        <v>0</v>
      </c>
      <c r="AK967">
        <f>$H$967*$Q$967</f>
        <v>0</v>
      </c>
      <c r="AL967">
        <f>$H$967*$R$967</f>
        <v>0</v>
      </c>
      <c r="AM967">
        <f>$H$967*$S$967</f>
        <v>0</v>
      </c>
      <c r="AN967">
        <f>$H$967*$T$967</f>
        <v>0</v>
      </c>
      <c r="AO967">
        <f>$H$967*$U$967</f>
        <v>0</v>
      </c>
      <c r="AP967">
        <f>$H$967*$V$967</f>
        <v>0</v>
      </c>
      <c r="AQ967">
        <f>$H$967*$W$967</f>
        <v>0</v>
      </c>
      <c r="AR967">
        <f>$H$967*$X$967</f>
        <v>15.93</v>
      </c>
      <c r="AS967">
        <f>$H$967*$Y$967</f>
        <v>15.93</v>
      </c>
      <c r="AT967">
        <f>$H$967*$Z$967</f>
        <v>15.93</v>
      </c>
      <c r="AU967">
        <f>$H$967*$AA$967</f>
        <v>15.93</v>
      </c>
      <c r="AV967">
        <f>$H$967*$AB$967</f>
        <v>15.93</v>
      </c>
      <c r="AW967">
        <f>$H$967*$AC$967</f>
        <v>15.93</v>
      </c>
      <c r="AX967">
        <f>$H$967*$AD$967</f>
        <v>15.93</v>
      </c>
      <c r="AY967">
        <f>$H$967*$AE$967</f>
        <v>15.93</v>
      </c>
      <c r="AZ967">
        <f>$H$967*$AF$967</f>
        <v>15.93</v>
      </c>
    </row>
    <row r="968" spans="1:52" x14ac:dyDescent="0.25">
      <c r="A968">
        <v>1045</v>
      </c>
      <c r="B968" t="s">
        <v>598</v>
      </c>
      <c r="C968" t="s">
        <v>507</v>
      </c>
      <c r="D968">
        <v>1</v>
      </c>
      <c r="E968">
        <v>37</v>
      </c>
      <c r="F968" t="s">
        <v>335</v>
      </c>
      <c r="G968">
        <v>37</v>
      </c>
      <c r="H968">
        <v>44.4</v>
      </c>
      <c r="I968" t="s">
        <v>337</v>
      </c>
      <c r="J968" t="s">
        <v>508</v>
      </c>
      <c r="K968" t="s">
        <v>686</v>
      </c>
      <c r="L968" t="s">
        <v>179</v>
      </c>
      <c r="M968" t="s">
        <v>630</v>
      </c>
      <c r="N968" t="s">
        <v>12</v>
      </c>
      <c r="O968" t="s">
        <v>68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0.6</v>
      </c>
      <c r="Y968">
        <v>0.6</v>
      </c>
      <c r="Z968">
        <v>0.6</v>
      </c>
      <c r="AA968">
        <v>0.6</v>
      </c>
      <c r="AB968">
        <v>0.6</v>
      </c>
      <c r="AC968">
        <v>0.6</v>
      </c>
      <c r="AD968">
        <v>1</v>
      </c>
      <c r="AE968">
        <v>1</v>
      </c>
      <c r="AF968">
        <v>1</v>
      </c>
      <c r="AG968" t="s">
        <v>630</v>
      </c>
      <c r="AH968" t="s">
        <v>12</v>
      </c>
      <c r="AI968" t="s">
        <v>68</v>
      </c>
      <c r="AJ968">
        <f>$H$968*$P$968</f>
        <v>0</v>
      </c>
      <c r="AK968">
        <f>$H$968*$Q$968</f>
        <v>0</v>
      </c>
      <c r="AL968">
        <f>$H$968*$R$968</f>
        <v>0</v>
      </c>
      <c r="AM968">
        <f>$H$968*$S$968</f>
        <v>0</v>
      </c>
      <c r="AN968">
        <f>$H$968*$T$968</f>
        <v>0</v>
      </c>
      <c r="AO968">
        <f>$H$968*$U$968</f>
        <v>0</v>
      </c>
      <c r="AP968">
        <f>$H$968*$V$968</f>
        <v>0</v>
      </c>
      <c r="AQ968">
        <f>$H$968*$W$968</f>
        <v>0</v>
      </c>
      <c r="AR968">
        <f>$H$968*$X$968</f>
        <v>26.639999999999997</v>
      </c>
      <c r="AS968">
        <f>$H$968*$Y$968</f>
        <v>26.639999999999997</v>
      </c>
      <c r="AT968">
        <f>$H$968*$Z$968</f>
        <v>26.639999999999997</v>
      </c>
      <c r="AU968">
        <f>$H$968*$AA$968</f>
        <v>26.639999999999997</v>
      </c>
      <c r="AV968">
        <f>$H$968*$AB$968</f>
        <v>26.639999999999997</v>
      </c>
      <c r="AW968">
        <f>$H$968*$AC$968</f>
        <v>26.639999999999997</v>
      </c>
      <c r="AX968">
        <f>$H$968*$AD$968</f>
        <v>44.4</v>
      </c>
      <c r="AY968">
        <f>$H$968*$AE$968</f>
        <v>44.4</v>
      </c>
      <c r="AZ968">
        <f>$H$968*$AF$968</f>
        <v>44.4</v>
      </c>
    </row>
    <row r="969" spans="1:52" x14ac:dyDescent="0.25">
      <c r="A969">
        <v>1046</v>
      </c>
      <c r="B969" t="s">
        <v>598</v>
      </c>
      <c r="C969" t="s">
        <v>537</v>
      </c>
      <c r="D969">
        <v>1</v>
      </c>
      <c r="E969">
        <v>83.35</v>
      </c>
      <c r="F969" t="s">
        <v>335</v>
      </c>
      <c r="G969">
        <v>83.35</v>
      </c>
      <c r="H969">
        <v>100.03</v>
      </c>
      <c r="I969" t="s">
        <v>340</v>
      </c>
      <c r="J969" t="s">
        <v>538</v>
      </c>
      <c r="K969" t="s">
        <v>701</v>
      </c>
      <c r="L969" t="s">
        <v>179</v>
      </c>
      <c r="M969" t="s">
        <v>630</v>
      </c>
      <c r="N969" t="s">
        <v>12</v>
      </c>
      <c r="O969" t="s">
        <v>68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1</v>
      </c>
      <c r="AE969">
        <v>1</v>
      </c>
      <c r="AF969">
        <v>1</v>
      </c>
      <c r="AG969" t="s">
        <v>630</v>
      </c>
      <c r="AH969" t="s">
        <v>12</v>
      </c>
      <c r="AI969" t="s">
        <v>68</v>
      </c>
      <c r="AJ969">
        <f>$H$969*$P$969</f>
        <v>0</v>
      </c>
      <c r="AK969">
        <f>$H$969*$Q$969</f>
        <v>0</v>
      </c>
      <c r="AL969">
        <f>$H$969*$R$969</f>
        <v>0</v>
      </c>
      <c r="AM969">
        <f>$H$969*$S$969</f>
        <v>0</v>
      </c>
      <c r="AN969">
        <f>$H$969*$T$969</f>
        <v>0</v>
      </c>
      <c r="AO969">
        <f>$H$969*$U$969</f>
        <v>0</v>
      </c>
      <c r="AP969">
        <f>$H$969*$V$969</f>
        <v>0</v>
      </c>
      <c r="AQ969">
        <f>$H$969*$W$969</f>
        <v>0</v>
      </c>
      <c r="AR969">
        <f>$H$969*$X$969</f>
        <v>0</v>
      </c>
      <c r="AS969">
        <f>$H$969*$Y$969</f>
        <v>0</v>
      </c>
      <c r="AT969">
        <f>$H$969*$Z$969</f>
        <v>0</v>
      </c>
      <c r="AU969">
        <f>$H$969*$AA$969</f>
        <v>0</v>
      </c>
      <c r="AV969">
        <f>$H$969*$AB$969</f>
        <v>0</v>
      </c>
      <c r="AW969">
        <f>$H$969*$AC$969</f>
        <v>0</v>
      </c>
      <c r="AX969">
        <f>$H$969*$AD$969</f>
        <v>100.03</v>
      </c>
      <c r="AY969">
        <f>$H$969*$AE$969</f>
        <v>100.03</v>
      </c>
      <c r="AZ969">
        <f>$H$969*$AF$969</f>
        <v>100.03</v>
      </c>
    </row>
    <row r="970" spans="1:52" x14ac:dyDescent="0.25">
      <c r="A970">
        <v>1055</v>
      </c>
      <c r="B970" t="s">
        <v>293</v>
      </c>
      <c r="C970" t="s">
        <v>435</v>
      </c>
      <c r="D970">
        <v>11</v>
      </c>
      <c r="E970">
        <v>145.97</v>
      </c>
      <c r="F970" t="s">
        <v>335</v>
      </c>
      <c r="G970">
        <v>13.27</v>
      </c>
      <c r="H970">
        <v>175.17</v>
      </c>
      <c r="I970" t="s">
        <v>337</v>
      </c>
      <c r="J970" t="s">
        <v>436</v>
      </c>
      <c r="K970" t="s">
        <v>652</v>
      </c>
      <c r="L970" t="s">
        <v>179</v>
      </c>
      <c r="M970" t="s">
        <v>293</v>
      </c>
      <c r="N970" t="s">
        <v>11</v>
      </c>
      <c r="O970" t="s">
        <v>14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1</v>
      </c>
      <c r="Y970">
        <v>1</v>
      </c>
      <c r="Z970">
        <v>1</v>
      </c>
      <c r="AA970">
        <v>1</v>
      </c>
      <c r="AB970">
        <v>1</v>
      </c>
      <c r="AC970">
        <v>1</v>
      </c>
      <c r="AD970">
        <v>1</v>
      </c>
      <c r="AE970">
        <v>1</v>
      </c>
      <c r="AF970">
        <v>1</v>
      </c>
      <c r="AG970" t="s">
        <v>293</v>
      </c>
      <c r="AH970" t="s">
        <v>11</v>
      </c>
      <c r="AI970" t="s">
        <v>14</v>
      </c>
      <c r="AJ970">
        <f>$H$970*$P$970</f>
        <v>0</v>
      </c>
      <c r="AK970">
        <f>$H$970*$Q$970</f>
        <v>0</v>
      </c>
      <c r="AL970">
        <f>$H$970*$R$970</f>
        <v>0</v>
      </c>
      <c r="AM970">
        <f>$H$970*$S$970</f>
        <v>0</v>
      </c>
      <c r="AN970">
        <f>$H$970*$T$970</f>
        <v>0</v>
      </c>
      <c r="AO970">
        <f>$H$970*$U$970</f>
        <v>0</v>
      </c>
      <c r="AP970">
        <f>$H$970*$V$970</f>
        <v>0</v>
      </c>
      <c r="AQ970">
        <f>$H$970*$W$970</f>
        <v>0</v>
      </c>
      <c r="AR970">
        <f>$H$970*$X$970</f>
        <v>175.17</v>
      </c>
      <c r="AS970">
        <f>$H$970*$Y$970</f>
        <v>175.17</v>
      </c>
      <c r="AT970">
        <f>$H$970*$Z$970</f>
        <v>175.17</v>
      </c>
      <c r="AU970">
        <f>$H$970*$AA$970</f>
        <v>175.17</v>
      </c>
      <c r="AV970">
        <f>$H$970*$AB$970</f>
        <v>175.17</v>
      </c>
      <c r="AW970">
        <f>$H$970*$AC$970</f>
        <v>175.17</v>
      </c>
      <c r="AX970">
        <f>$H$970*$AD$970</f>
        <v>175.17</v>
      </c>
      <c r="AY970">
        <f>$H$970*$AE$970</f>
        <v>175.17</v>
      </c>
      <c r="AZ970">
        <f>$H$970*$AF$970</f>
        <v>175.17</v>
      </c>
    </row>
    <row r="971" spans="1:52" x14ac:dyDescent="0.25">
      <c r="A971">
        <v>1056</v>
      </c>
      <c r="B971" t="s">
        <v>293</v>
      </c>
      <c r="C971" t="s">
        <v>437</v>
      </c>
      <c r="D971">
        <v>1</v>
      </c>
      <c r="E971">
        <v>98.82</v>
      </c>
      <c r="F971" t="s">
        <v>335</v>
      </c>
      <c r="G971">
        <v>98.82</v>
      </c>
      <c r="H971">
        <v>118.58</v>
      </c>
      <c r="I971" t="s">
        <v>340</v>
      </c>
      <c r="J971" t="s">
        <v>372</v>
      </c>
      <c r="K971" t="s">
        <v>653</v>
      </c>
      <c r="L971" t="s">
        <v>179</v>
      </c>
      <c r="M971" t="s">
        <v>293</v>
      </c>
      <c r="N971" t="s">
        <v>11</v>
      </c>
      <c r="O971" t="s">
        <v>14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1</v>
      </c>
      <c r="AE971">
        <v>1</v>
      </c>
      <c r="AF971">
        <v>1</v>
      </c>
      <c r="AG971" t="s">
        <v>293</v>
      </c>
      <c r="AH971" t="s">
        <v>11</v>
      </c>
      <c r="AI971" t="s">
        <v>14</v>
      </c>
      <c r="AJ971">
        <f>$H$971*$P$971</f>
        <v>0</v>
      </c>
      <c r="AK971">
        <f>$H$971*$Q$971</f>
        <v>0</v>
      </c>
      <c r="AL971">
        <f>$H$971*$R$971</f>
        <v>0</v>
      </c>
      <c r="AM971">
        <f>$H$971*$S$971</f>
        <v>0</v>
      </c>
      <c r="AN971">
        <f>$H$971*$T$971</f>
        <v>0</v>
      </c>
      <c r="AO971">
        <f>$H$971*$U$971</f>
        <v>0</v>
      </c>
      <c r="AP971">
        <f>$H$971*$V$971</f>
        <v>0</v>
      </c>
      <c r="AQ971">
        <f>$H$971*$W$971</f>
        <v>0</v>
      </c>
      <c r="AR971">
        <f>$H$971*$X$971</f>
        <v>0</v>
      </c>
      <c r="AS971">
        <f>$H$971*$Y$971</f>
        <v>0</v>
      </c>
      <c r="AT971">
        <f>$H$971*$Z$971</f>
        <v>0</v>
      </c>
      <c r="AU971">
        <f>$H$971*$AA$971</f>
        <v>0</v>
      </c>
      <c r="AV971">
        <f>$H$971*$AB$971</f>
        <v>0</v>
      </c>
      <c r="AW971">
        <f>$H$971*$AC$971</f>
        <v>0</v>
      </c>
      <c r="AX971">
        <f>$H$971*$AD$971</f>
        <v>118.58</v>
      </c>
      <c r="AY971">
        <f>$H$971*$AE$971</f>
        <v>118.58</v>
      </c>
      <c r="AZ971">
        <f>$H$971*$AF$971</f>
        <v>118.58</v>
      </c>
    </row>
    <row r="972" spans="1:52" x14ac:dyDescent="0.25">
      <c r="A972">
        <v>1057</v>
      </c>
      <c r="B972" t="s">
        <v>293</v>
      </c>
      <c r="C972" t="s">
        <v>438</v>
      </c>
      <c r="D972">
        <v>23.6</v>
      </c>
      <c r="E972">
        <v>61.83</v>
      </c>
      <c r="F972" t="s">
        <v>329</v>
      </c>
      <c r="G972">
        <v>2.62</v>
      </c>
      <c r="H972">
        <v>74.19</v>
      </c>
      <c r="I972" t="s">
        <v>439</v>
      </c>
      <c r="J972" t="s">
        <v>440</v>
      </c>
      <c r="K972" t="s">
        <v>654</v>
      </c>
      <c r="L972" t="s">
        <v>179</v>
      </c>
      <c r="M972" t="s">
        <v>293</v>
      </c>
      <c r="N972" t="s">
        <v>11</v>
      </c>
      <c r="O972" t="s">
        <v>14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1</v>
      </c>
      <c r="AB972">
        <v>1</v>
      </c>
      <c r="AC972">
        <v>1</v>
      </c>
      <c r="AD972">
        <v>1</v>
      </c>
      <c r="AE972">
        <v>1</v>
      </c>
      <c r="AF972">
        <v>1</v>
      </c>
      <c r="AG972" t="s">
        <v>293</v>
      </c>
      <c r="AH972" t="s">
        <v>11</v>
      </c>
      <c r="AI972" t="s">
        <v>14</v>
      </c>
      <c r="AJ972">
        <f>$H$972*$P$972</f>
        <v>0</v>
      </c>
      <c r="AK972">
        <f>$H$972*$Q$972</f>
        <v>0</v>
      </c>
      <c r="AL972">
        <f>$H$972*$R$972</f>
        <v>0</v>
      </c>
      <c r="AM972">
        <f>$H$972*$S$972</f>
        <v>0</v>
      </c>
      <c r="AN972">
        <f>$H$972*$T$972</f>
        <v>0</v>
      </c>
      <c r="AO972">
        <f>$H$972*$U$972</f>
        <v>0</v>
      </c>
      <c r="AP972">
        <f>$H$972*$V$972</f>
        <v>0</v>
      </c>
      <c r="AQ972">
        <f>$H$972*$W$972</f>
        <v>0</v>
      </c>
      <c r="AR972">
        <f>$H$972*$X$972</f>
        <v>0</v>
      </c>
      <c r="AS972">
        <f>$H$972*$Y$972</f>
        <v>0</v>
      </c>
      <c r="AT972">
        <f>$H$972*$Z$972</f>
        <v>0</v>
      </c>
      <c r="AU972">
        <f>$H$972*$AA$972</f>
        <v>74.19</v>
      </c>
      <c r="AV972">
        <f>$H$972*$AB$972</f>
        <v>74.19</v>
      </c>
      <c r="AW972">
        <f>$H$972*$AC$972</f>
        <v>74.19</v>
      </c>
      <c r="AX972">
        <f>$H$972*$AD$972</f>
        <v>74.19</v>
      </c>
      <c r="AY972">
        <f>$H$972*$AE$972</f>
        <v>74.19</v>
      </c>
      <c r="AZ972">
        <f>$H$972*$AF$972</f>
        <v>74.19</v>
      </c>
    </row>
    <row r="973" spans="1:52" x14ac:dyDescent="0.25">
      <c r="A973">
        <v>1058</v>
      </c>
      <c r="B973" t="s">
        <v>293</v>
      </c>
      <c r="C973" t="s">
        <v>441</v>
      </c>
      <c r="D973">
        <v>212.4</v>
      </c>
      <c r="E973">
        <v>458.78</v>
      </c>
      <c r="F973" t="s">
        <v>349</v>
      </c>
      <c r="G973">
        <v>2.16</v>
      </c>
      <c r="H973">
        <v>550.54</v>
      </c>
      <c r="I973" t="s">
        <v>439</v>
      </c>
      <c r="J973" t="s">
        <v>442</v>
      </c>
      <c r="K973" t="s">
        <v>655</v>
      </c>
      <c r="L973" t="s">
        <v>179</v>
      </c>
      <c r="M973" t="s">
        <v>293</v>
      </c>
      <c r="N973" t="s">
        <v>11</v>
      </c>
      <c r="O973" t="s">
        <v>14</v>
      </c>
      <c r="P973">
        <v>0</v>
      </c>
      <c r="Q973">
        <v>0</v>
      </c>
      <c r="R973">
        <v>0</v>
      </c>
      <c r="S973">
        <v>1</v>
      </c>
      <c r="T973">
        <v>1</v>
      </c>
      <c r="U973">
        <v>1</v>
      </c>
      <c r="V973">
        <v>1</v>
      </c>
      <c r="W973">
        <v>1</v>
      </c>
      <c r="X973">
        <v>1</v>
      </c>
      <c r="Y973">
        <v>1</v>
      </c>
      <c r="Z973">
        <v>1</v>
      </c>
      <c r="AA973">
        <v>1</v>
      </c>
      <c r="AB973">
        <v>1</v>
      </c>
      <c r="AC973">
        <v>1</v>
      </c>
      <c r="AD973">
        <v>1</v>
      </c>
      <c r="AE973">
        <v>1</v>
      </c>
      <c r="AF973">
        <v>1</v>
      </c>
      <c r="AG973" t="s">
        <v>293</v>
      </c>
      <c r="AH973" t="s">
        <v>11</v>
      </c>
      <c r="AI973" t="s">
        <v>14</v>
      </c>
      <c r="AJ973">
        <f>$H$973*$P$973</f>
        <v>0</v>
      </c>
      <c r="AK973">
        <f>$H$973*$Q$973</f>
        <v>0</v>
      </c>
      <c r="AL973">
        <f>$H$973*$R$973</f>
        <v>0</v>
      </c>
      <c r="AM973">
        <f>$H$973*$S$973</f>
        <v>550.54</v>
      </c>
      <c r="AN973">
        <f>$H$973*$T$973</f>
        <v>550.54</v>
      </c>
      <c r="AO973">
        <f>$H$973*$U$973</f>
        <v>550.54</v>
      </c>
      <c r="AP973">
        <f>$H$973*$V$973</f>
        <v>550.54</v>
      </c>
      <c r="AQ973">
        <f>$H$973*$W$973</f>
        <v>550.54</v>
      </c>
      <c r="AR973">
        <f>$H$973*$X$973</f>
        <v>550.54</v>
      </c>
      <c r="AS973">
        <f>$H$973*$Y$973</f>
        <v>550.54</v>
      </c>
      <c r="AT973">
        <f>$H$973*$Z$973</f>
        <v>550.54</v>
      </c>
      <c r="AU973">
        <f>$H$973*$AA$973</f>
        <v>550.54</v>
      </c>
      <c r="AV973">
        <f>$H$973*$AB$973</f>
        <v>550.54</v>
      </c>
      <c r="AW973">
        <f>$H$973*$AC$973</f>
        <v>550.54</v>
      </c>
      <c r="AX973">
        <f>$H$973*$AD$973</f>
        <v>550.54</v>
      </c>
      <c r="AY973">
        <f>$H$973*$AE$973</f>
        <v>550.54</v>
      </c>
      <c r="AZ973">
        <f>$H$973*$AF$973</f>
        <v>550.54</v>
      </c>
    </row>
    <row r="974" spans="1:52" x14ac:dyDescent="0.25">
      <c r="A974">
        <v>1059</v>
      </c>
      <c r="B974" t="s">
        <v>293</v>
      </c>
      <c r="C974" t="s">
        <v>443</v>
      </c>
      <c r="D974">
        <v>212.4</v>
      </c>
      <c r="E974">
        <v>133.81</v>
      </c>
      <c r="F974" t="s">
        <v>349</v>
      </c>
      <c r="G974">
        <v>0.63</v>
      </c>
      <c r="H974">
        <v>160.57</v>
      </c>
      <c r="I974" t="s">
        <v>330</v>
      </c>
      <c r="J974" t="s">
        <v>444</v>
      </c>
      <c r="K974" t="s">
        <v>656</v>
      </c>
      <c r="L974" t="s">
        <v>179</v>
      </c>
      <c r="M974" t="s">
        <v>293</v>
      </c>
      <c r="N974" t="s">
        <v>11</v>
      </c>
      <c r="O974" t="s">
        <v>14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1</v>
      </c>
      <c r="AE974">
        <v>1</v>
      </c>
      <c r="AF974">
        <v>1</v>
      </c>
      <c r="AG974" t="s">
        <v>293</v>
      </c>
      <c r="AH974" t="s">
        <v>11</v>
      </c>
      <c r="AI974" t="s">
        <v>14</v>
      </c>
      <c r="AJ974">
        <f>$H$974*$P$974</f>
        <v>0</v>
      </c>
      <c r="AK974">
        <f>$H$974*$Q$974</f>
        <v>0</v>
      </c>
      <c r="AL974">
        <f>$H$974*$R$974</f>
        <v>0</v>
      </c>
      <c r="AM974">
        <f>$H$974*$S$974</f>
        <v>0</v>
      </c>
      <c r="AN974">
        <f>$H$974*$T$974</f>
        <v>0</v>
      </c>
      <c r="AO974">
        <f>$H$974*$U$974</f>
        <v>0</v>
      </c>
      <c r="AP974">
        <f>$H$974*$V$974</f>
        <v>0</v>
      </c>
      <c r="AQ974">
        <f>$H$974*$W$974</f>
        <v>0</v>
      </c>
      <c r="AR974">
        <f>$H$974*$X$974</f>
        <v>0</v>
      </c>
      <c r="AS974">
        <f>$H$974*$Y$974</f>
        <v>0</v>
      </c>
      <c r="AT974">
        <f>$H$974*$Z$974</f>
        <v>0</v>
      </c>
      <c r="AU974">
        <f>$H$974*$AA$974</f>
        <v>0</v>
      </c>
      <c r="AV974">
        <f>$H$974*$AB$974</f>
        <v>0</v>
      </c>
      <c r="AW974">
        <f>$H$974*$AC$974</f>
        <v>0</v>
      </c>
      <c r="AX974">
        <f>$H$974*$AD$974</f>
        <v>160.57</v>
      </c>
      <c r="AY974">
        <f>$H$974*$AE$974</f>
        <v>160.57</v>
      </c>
      <c r="AZ974">
        <f>$H$974*$AF$974</f>
        <v>160.57</v>
      </c>
    </row>
    <row r="975" spans="1:52" x14ac:dyDescent="0.25">
      <c r="A975">
        <v>1060</v>
      </c>
      <c r="B975" t="s">
        <v>293</v>
      </c>
      <c r="C975" t="s">
        <v>362</v>
      </c>
      <c r="D975">
        <v>265.5</v>
      </c>
      <c r="E975">
        <v>260.19</v>
      </c>
      <c r="F975" t="s">
        <v>349</v>
      </c>
      <c r="G975">
        <v>0.98</v>
      </c>
      <c r="H975">
        <v>312.23</v>
      </c>
      <c r="I975" t="s">
        <v>330</v>
      </c>
      <c r="J975" t="s">
        <v>363</v>
      </c>
      <c r="K975" t="s">
        <v>617</v>
      </c>
      <c r="L975" t="s">
        <v>179</v>
      </c>
      <c r="M975" t="s">
        <v>293</v>
      </c>
      <c r="N975" t="s">
        <v>11</v>
      </c>
      <c r="O975" t="s">
        <v>14</v>
      </c>
      <c r="P975">
        <v>0</v>
      </c>
      <c r="Q975">
        <v>0</v>
      </c>
      <c r="R975">
        <v>0</v>
      </c>
      <c r="S975">
        <v>0</v>
      </c>
      <c r="T975">
        <v>1</v>
      </c>
      <c r="U975">
        <v>1</v>
      </c>
      <c r="V975">
        <v>1</v>
      </c>
      <c r="W975">
        <v>1</v>
      </c>
      <c r="X975">
        <v>1</v>
      </c>
      <c r="Y975">
        <v>1</v>
      </c>
      <c r="Z975">
        <v>1</v>
      </c>
      <c r="AA975">
        <v>1</v>
      </c>
      <c r="AB975">
        <v>1</v>
      </c>
      <c r="AC975">
        <v>1</v>
      </c>
      <c r="AD975">
        <v>1</v>
      </c>
      <c r="AE975">
        <v>1</v>
      </c>
      <c r="AF975">
        <v>1</v>
      </c>
      <c r="AG975" t="s">
        <v>293</v>
      </c>
      <c r="AH975" t="s">
        <v>11</v>
      </c>
      <c r="AI975" t="s">
        <v>14</v>
      </c>
      <c r="AJ975">
        <f>$H$975*$P$975</f>
        <v>0</v>
      </c>
      <c r="AK975">
        <f>$H$975*$Q$975</f>
        <v>0</v>
      </c>
      <c r="AL975">
        <f>$H$975*$R$975</f>
        <v>0</v>
      </c>
      <c r="AM975">
        <f>$H$975*$S$975</f>
        <v>0</v>
      </c>
      <c r="AN975">
        <f>$H$975*$T$975</f>
        <v>312.23</v>
      </c>
      <c r="AO975">
        <f>$H$975*$U$975</f>
        <v>312.23</v>
      </c>
      <c r="AP975">
        <f>$H$975*$V$975</f>
        <v>312.23</v>
      </c>
      <c r="AQ975">
        <f>$H$975*$W$975</f>
        <v>312.23</v>
      </c>
      <c r="AR975">
        <f>$H$975*$X$975</f>
        <v>312.23</v>
      </c>
      <c r="AS975">
        <f>$H$975*$Y$975</f>
        <v>312.23</v>
      </c>
      <c r="AT975">
        <f>$H$975*$Z$975</f>
        <v>312.23</v>
      </c>
      <c r="AU975">
        <f>$H$975*$AA$975</f>
        <v>312.23</v>
      </c>
      <c r="AV975">
        <f>$H$975*$AB$975</f>
        <v>312.23</v>
      </c>
      <c r="AW975">
        <f>$H$975*$AC$975</f>
        <v>312.23</v>
      </c>
      <c r="AX975">
        <f>$H$975*$AD$975</f>
        <v>312.23</v>
      </c>
      <c r="AY975">
        <f>$H$975*$AE$975</f>
        <v>312.23</v>
      </c>
      <c r="AZ975">
        <f>$H$975*$AF$975</f>
        <v>312.23</v>
      </c>
    </row>
    <row r="976" spans="1:52" x14ac:dyDescent="0.25">
      <c r="A976">
        <v>1061</v>
      </c>
      <c r="B976" t="s">
        <v>293</v>
      </c>
      <c r="C976" t="s">
        <v>445</v>
      </c>
      <c r="D976">
        <v>53.1</v>
      </c>
      <c r="E976">
        <v>199.66</v>
      </c>
      <c r="F976" t="s">
        <v>349</v>
      </c>
      <c r="G976">
        <v>3.76</v>
      </c>
      <c r="H976">
        <v>239.6</v>
      </c>
      <c r="I976" t="s">
        <v>446</v>
      </c>
      <c r="J976" t="s">
        <v>420</v>
      </c>
      <c r="K976" t="s">
        <v>657</v>
      </c>
      <c r="L976" t="s">
        <v>179</v>
      </c>
      <c r="M976" t="s">
        <v>293</v>
      </c>
      <c r="N976" t="s">
        <v>11</v>
      </c>
      <c r="O976" t="s">
        <v>14</v>
      </c>
      <c r="P976">
        <v>0</v>
      </c>
      <c r="Q976">
        <v>0</v>
      </c>
      <c r="R976">
        <v>0</v>
      </c>
      <c r="S976">
        <v>0.25</v>
      </c>
      <c r="T976">
        <v>0.25</v>
      </c>
      <c r="U976">
        <v>0.25</v>
      </c>
      <c r="V976">
        <v>0.25</v>
      </c>
      <c r="W976">
        <v>0.25</v>
      </c>
      <c r="X976">
        <v>0.5</v>
      </c>
      <c r="Y976">
        <v>0.5</v>
      </c>
      <c r="Z976">
        <v>0.5</v>
      </c>
      <c r="AA976">
        <v>1</v>
      </c>
      <c r="AB976">
        <v>1</v>
      </c>
      <c r="AC976">
        <v>1</v>
      </c>
      <c r="AD976">
        <v>1</v>
      </c>
      <c r="AE976">
        <v>1</v>
      </c>
      <c r="AF976">
        <v>1</v>
      </c>
      <c r="AG976" t="s">
        <v>293</v>
      </c>
      <c r="AH976" t="s">
        <v>11</v>
      </c>
      <c r="AI976" t="s">
        <v>14</v>
      </c>
      <c r="AJ976">
        <f>$H$976*$P$976</f>
        <v>0</v>
      </c>
      <c r="AK976">
        <f>$H$976*$Q$976</f>
        <v>0</v>
      </c>
      <c r="AL976">
        <f>$H$976*$R$976</f>
        <v>0</v>
      </c>
      <c r="AM976">
        <f>$H$976*$S$976</f>
        <v>59.9</v>
      </c>
      <c r="AN976">
        <f>$H$976*$T$976</f>
        <v>59.9</v>
      </c>
      <c r="AO976">
        <f>$H$976*$U$976</f>
        <v>59.9</v>
      </c>
      <c r="AP976">
        <f>$H$976*$V$976</f>
        <v>59.9</v>
      </c>
      <c r="AQ976">
        <f>$H$976*$W$976</f>
        <v>59.9</v>
      </c>
      <c r="AR976">
        <f>$H$976*$X$976</f>
        <v>119.8</v>
      </c>
      <c r="AS976">
        <f>$H$976*$Y$976</f>
        <v>119.8</v>
      </c>
      <c r="AT976">
        <f>$H$976*$Z$976</f>
        <v>119.8</v>
      </c>
      <c r="AU976">
        <f>$H$976*$AA$976</f>
        <v>239.6</v>
      </c>
      <c r="AV976">
        <f>$H$976*$AB$976</f>
        <v>239.6</v>
      </c>
      <c r="AW976">
        <f>$H$976*$AC$976</f>
        <v>239.6</v>
      </c>
      <c r="AX976">
        <f>$H$976*$AD$976</f>
        <v>239.6</v>
      </c>
      <c r="AY976">
        <f>$H$976*$AE$976</f>
        <v>239.6</v>
      </c>
      <c r="AZ976">
        <f>$H$976*$AF$976</f>
        <v>239.6</v>
      </c>
    </row>
    <row r="977" spans="1:52" x14ac:dyDescent="0.25">
      <c r="A977">
        <v>1062</v>
      </c>
      <c r="B977" t="s">
        <v>293</v>
      </c>
      <c r="C977" t="s">
        <v>364</v>
      </c>
      <c r="D977">
        <v>531</v>
      </c>
      <c r="E977">
        <v>1784.16</v>
      </c>
      <c r="F977" t="s">
        <v>349</v>
      </c>
      <c r="G977">
        <v>3.36</v>
      </c>
      <c r="H977">
        <v>2141</v>
      </c>
      <c r="I977" t="s">
        <v>365</v>
      </c>
      <c r="J977" t="s">
        <v>366</v>
      </c>
      <c r="K977" t="s">
        <v>618</v>
      </c>
      <c r="L977" t="s">
        <v>179</v>
      </c>
      <c r="M977" t="s">
        <v>293</v>
      </c>
      <c r="N977" t="s">
        <v>11</v>
      </c>
      <c r="O977" t="s">
        <v>14</v>
      </c>
      <c r="P977">
        <v>0</v>
      </c>
      <c r="Q977">
        <v>0</v>
      </c>
      <c r="R977">
        <v>0</v>
      </c>
      <c r="S977">
        <v>0.25</v>
      </c>
      <c r="T977">
        <v>0.25</v>
      </c>
      <c r="U977">
        <v>0.25</v>
      </c>
      <c r="V977">
        <v>0.25</v>
      </c>
      <c r="W977">
        <v>0.5</v>
      </c>
      <c r="X977">
        <v>0.5</v>
      </c>
      <c r="Y977">
        <v>0.5</v>
      </c>
      <c r="Z977">
        <v>0.5</v>
      </c>
      <c r="AA977">
        <v>1</v>
      </c>
      <c r="AB977">
        <v>1</v>
      </c>
      <c r="AC977">
        <v>1</v>
      </c>
      <c r="AD977">
        <v>1</v>
      </c>
      <c r="AE977">
        <v>1</v>
      </c>
      <c r="AF977">
        <v>1</v>
      </c>
      <c r="AG977" t="s">
        <v>293</v>
      </c>
      <c r="AH977" t="s">
        <v>11</v>
      </c>
      <c r="AI977" t="s">
        <v>14</v>
      </c>
      <c r="AJ977">
        <f>$H$977*$P$977</f>
        <v>0</v>
      </c>
      <c r="AK977">
        <f>$H$977*$Q$977</f>
        <v>0</v>
      </c>
      <c r="AL977">
        <f>$H$977*$R$977</f>
        <v>0</v>
      </c>
      <c r="AM977">
        <f>$H$977*$S$977</f>
        <v>535.25</v>
      </c>
      <c r="AN977">
        <f>$H$977*$T$977</f>
        <v>535.25</v>
      </c>
      <c r="AO977">
        <f>$H$977*$U$977</f>
        <v>535.25</v>
      </c>
      <c r="AP977">
        <f>$H$977*$V$977</f>
        <v>535.25</v>
      </c>
      <c r="AQ977">
        <f>$H$977*$W$977</f>
        <v>1070.5</v>
      </c>
      <c r="AR977">
        <f>$H$977*$X$977</f>
        <v>1070.5</v>
      </c>
      <c r="AS977">
        <f>$H$977*$Y$977</f>
        <v>1070.5</v>
      </c>
      <c r="AT977">
        <f>$H$977*$Z$977</f>
        <v>1070.5</v>
      </c>
      <c r="AU977">
        <f>$H$977*$AA$977</f>
        <v>2141</v>
      </c>
      <c r="AV977">
        <f>$H$977*$AB$977</f>
        <v>2141</v>
      </c>
      <c r="AW977">
        <f>$H$977*$AC$977</f>
        <v>2141</v>
      </c>
      <c r="AX977">
        <f>$H$977*$AD$977</f>
        <v>2141</v>
      </c>
      <c r="AY977">
        <f>$H$977*$AE$977</f>
        <v>2141</v>
      </c>
      <c r="AZ977">
        <f>$H$977*$AF$977</f>
        <v>2141</v>
      </c>
    </row>
    <row r="978" spans="1:52" x14ac:dyDescent="0.25">
      <c r="A978">
        <v>1063</v>
      </c>
      <c r="B978" t="s">
        <v>293</v>
      </c>
      <c r="C978" t="s">
        <v>527</v>
      </c>
      <c r="D978">
        <v>17.670000000000002</v>
      </c>
      <c r="E978">
        <v>144.54</v>
      </c>
      <c r="F978" t="s">
        <v>329</v>
      </c>
      <c r="G978">
        <v>8.18</v>
      </c>
      <c r="H978">
        <v>173.44</v>
      </c>
      <c r="I978" t="s">
        <v>333</v>
      </c>
      <c r="J978" t="s">
        <v>528</v>
      </c>
      <c r="K978" t="s">
        <v>696</v>
      </c>
      <c r="L978" t="s">
        <v>179</v>
      </c>
      <c r="M978" t="s">
        <v>293</v>
      </c>
      <c r="N978" t="s">
        <v>11</v>
      </c>
      <c r="O978" t="s">
        <v>14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1</v>
      </c>
      <c r="AB978">
        <v>1</v>
      </c>
      <c r="AC978">
        <v>1</v>
      </c>
      <c r="AD978">
        <v>1</v>
      </c>
      <c r="AE978">
        <v>1</v>
      </c>
      <c r="AF978">
        <v>1</v>
      </c>
      <c r="AG978" t="s">
        <v>293</v>
      </c>
      <c r="AH978" t="s">
        <v>11</v>
      </c>
      <c r="AI978" t="s">
        <v>14</v>
      </c>
      <c r="AJ978">
        <f>$H$978*$P$978</f>
        <v>0</v>
      </c>
      <c r="AK978">
        <f>$H$978*$Q$978</f>
        <v>0</v>
      </c>
      <c r="AL978">
        <f>$H$978*$R$978</f>
        <v>0</v>
      </c>
      <c r="AM978">
        <f>$H$978*$S$978</f>
        <v>0</v>
      </c>
      <c r="AN978">
        <f>$H$978*$T$978</f>
        <v>0</v>
      </c>
      <c r="AO978">
        <f>$H$978*$U$978</f>
        <v>0</v>
      </c>
      <c r="AP978">
        <f>$H$978*$V$978</f>
        <v>0</v>
      </c>
      <c r="AQ978">
        <f>$H$978*$W$978</f>
        <v>0</v>
      </c>
      <c r="AR978">
        <f>$H$978*$X$978</f>
        <v>0</v>
      </c>
      <c r="AS978">
        <f>$H$978*$Y$978</f>
        <v>0</v>
      </c>
      <c r="AT978">
        <f>$H$978*$Z$978</f>
        <v>0</v>
      </c>
      <c r="AU978">
        <f>$H$978*$AA$978</f>
        <v>173.44</v>
      </c>
      <c r="AV978">
        <f>$H$978*$AB$978</f>
        <v>173.44</v>
      </c>
      <c r="AW978">
        <f>$H$978*$AC$978</f>
        <v>173.44</v>
      </c>
      <c r="AX978">
        <f>$H$978*$AD$978</f>
        <v>173.44</v>
      </c>
      <c r="AY978">
        <f>$H$978*$AE$978</f>
        <v>173.44</v>
      </c>
      <c r="AZ978">
        <f>$H$978*$AF$978</f>
        <v>173.44</v>
      </c>
    </row>
    <row r="979" spans="1:52" x14ac:dyDescent="0.25">
      <c r="A979">
        <v>1064</v>
      </c>
      <c r="B979" t="s">
        <v>293</v>
      </c>
      <c r="C979" t="s">
        <v>529</v>
      </c>
      <c r="D979">
        <v>35.33</v>
      </c>
      <c r="E979">
        <v>538.78</v>
      </c>
      <c r="F979" t="s">
        <v>329</v>
      </c>
      <c r="G979">
        <v>15.25</v>
      </c>
      <c r="H979">
        <v>646.54</v>
      </c>
      <c r="I979" t="s">
        <v>333</v>
      </c>
      <c r="J979" t="s">
        <v>530</v>
      </c>
      <c r="K979" t="s">
        <v>697</v>
      </c>
      <c r="L979" t="s">
        <v>179</v>
      </c>
      <c r="M979" t="s">
        <v>293</v>
      </c>
      <c r="N979" t="s">
        <v>11</v>
      </c>
      <c r="O979" t="s">
        <v>14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1</v>
      </c>
      <c r="AB979">
        <v>1</v>
      </c>
      <c r="AC979">
        <v>1</v>
      </c>
      <c r="AD979">
        <v>1</v>
      </c>
      <c r="AE979">
        <v>1</v>
      </c>
      <c r="AF979">
        <v>1</v>
      </c>
      <c r="AG979" t="s">
        <v>293</v>
      </c>
      <c r="AH979" t="s">
        <v>11</v>
      </c>
      <c r="AI979" t="s">
        <v>14</v>
      </c>
      <c r="AJ979">
        <f>$H$979*$P$979</f>
        <v>0</v>
      </c>
      <c r="AK979">
        <f>$H$979*$Q$979</f>
        <v>0</v>
      </c>
      <c r="AL979">
        <f>$H$979*$R$979</f>
        <v>0</v>
      </c>
      <c r="AM979">
        <f>$H$979*$S$979</f>
        <v>0</v>
      </c>
      <c r="AN979">
        <f>$H$979*$T$979</f>
        <v>0</v>
      </c>
      <c r="AO979">
        <f>$H$979*$U$979</f>
        <v>0</v>
      </c>
      <c r="AP979">
        <f>$H$979*$V$979</f>
        <v>0</v>
      </c>
      <c r="AQ979">
        <f>$H$979*$W$979</f>
        <v>0</v>
      </c>
      <c r="AR979">
        <f>$H$979*$X$979</f>
        <v>0</v>
      </c>
      <c r="AS979">
        <f>$H$979*$Y$979</f>
        <v>0</v>
      </c>
      <c r="AT979">
        <f>$H$979*$Z$979</f>
        <v>0</v>
      </c>
      <c r="AU979">
        <f>$H$979*$AA$979</f>
        <v>646.54</v>
      </c>
      <c r="AV979">
        <f>$H$979*$AB$979</f>
        <v>646.54</v>
      </c>
      <c r="AW979">
        <f>$H$979*$AC$979</f>
        <v>646.54</v>
      </c>
      <c r="AX979">
        <f>$H$979*$AD$979</f>
        <v>646.54</v>
      </c>
      <c r="AY979">
        <f>$H$979*$AE$979</f>
        <v>646.54</v>
      </c>
      <c r="AZ979">
        <f>$H$979*$AF$979</f>
        <v>646.54</v>
      </c>
    </row>
    <row r="980" spans="1:52" x14ac:dyDescent="0.25">
      <c r="A980">
        <v>1066</v>
      </c>
      <c r="B980" t="s">
        <v>293</v>
      </c>
      <c r="C980" t="s">
        <v>447</v>
      </c>
      <c r="D980">
        <v>59</v>
      </c>
      <c r="E980">
        <v>61.36</v>
      </c>
      <c r="F980" t="s">
        <v>329</v>
      </c>
      <c r="G980">
        <v>1.04</v>
      </c>
      <c r="H980">
        <v>73.64</v>
      </c>
      <c r="I980" t="s">
        <v>330</v>
      </c>
      <c r="J980" t="s">
        <v>448</v>
      </c>
      <c r="K980" t="s">
        <v>658</v>
      </c>
      <c r="L980" t="s">
        <v>179</v>
      </c>
      <c r="M980" t="s">
        <v>293</v>
      </c>
      <c r="N980" t="s">
        <v>11</v>
      </c>
      <c r="O980" t="s">
        <v>14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1</v>
      </c>
      <c r="AB980">
        <v>1</v>
      </c>
      <c r="AC980">
        <v>1</v>
      </c>
      <c r="AD980">
        <v>1</v>
      </c>
      <c r="AE980">
        <v>1</v>
      </c>
      <c r="AF980">
        <v>1</v>
      </c>
      <c r="AG980" t="s">
        <v>293</v>
      </c>
      <c r="AH980" t="s">
        <v>11</v>
      </c>
      <c r="AI980" t="s">
        <v>14</v>
      </c>
      <c r="AJ980">
        <f>$H$980*$P$980</f>
        <v>0</v>
      </c>
      <c r="AK980">
        <f>$H$980*$Q$980</f>
        <v>0</v>
      </c>
      <c r="AL980">
        <f>$H$980*$R$980</f>
        <v>0</v>
      </c>
      <c r="AM980">
        <f>$H$980*$S$980</f>
        <v>0</v>
      </c>
      <c r="AN980">
        <f>$H$980*$T$980</f>
        <v>0</v>
      </c>
      <c r="AO980">
        <f>$H$980*$U$980</f>
        <v>0</v>
      </c>
      <c r="AP980">
        <f>$H$980*$V$980</f>
        <v>0</v>
      </c>
      <c r="AQ980">
        <f>$H$980*$W$980</f>
        <v>0</v>
      </c>
      <c r="AR980">
        <f>$H$980*$X$980</f>
        <v>0</v>
      </c>
      <c r="AS980">
        <f>$H$980*$Y$980</f>
        <v>0</v>
      </c>
      <c r="AT980">
        <f>$H$980*$Z$980</f>
        <v>0</v>
      </c>
      <c r="AU980">
        <f>$H$980*$AA$980</f>
        <v>73.64</v>
      </c>
      <c r="AV980">
        <f>$H$980*$AB$980</f>
        <v>73.64</v>
      </c>
      <c r="AW980">
        <f>$H$980*$AC$980</f>
        <v>73.64</v>
      </c>
      <c r="AX980">
        <f>$H$980*$AD$980</f>
        <v>73.64</v>
      </c>
      <c r="AY980">
        <f>$H$980*$AE$980</f>
        <v>73.64</v>
      </c>
      <c r="AZ980">
        <f>$H$980*$AF$980</f>
        <v>73.64</v>
      </c>
    </row>
    <row r="981" spans="1:52" x14ac:dyDescent="0.25">
      <c r="A981">
        <v>1067</v>
      </c>
      <c r="B981" t="s">
        <v>293</v>
      </c>
      <c r="C981" t="s">
        <v>449</v>
      </c>
      <c r="D981">
        <v>59</v>
      </c>
      <c r="E981">
        <v>473.18</v>
      </c>
      <c r="F981" t="s">
        <v>329</v>
      </c>
      <c r="G981">
        <v>8.02</v>
      </c>
      <c r="H981">
        <v>567.82000000000005</v>
      </c>
      <c r="I981" t="s">
        <v>333</v>
      </c>
      <c r="J981" t="s">
        <v>450</v>
      </c>
      <c r="K981" t="s">
        <v>659</v>
      </c>
      <c r="L981" t="s">
        <v>179</v>
      </c>
      <c r="M981" t="s">
        <v>293</v>
      </c>
      <c r="N981" t="s">
        <v>11</v>
      </c>
      <c r="O981" t="s">
        <v>14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1</v>
      </c>
      <c r="AB981">
        <v>1</v>
      </c>
      <c r="AC981">
        <v>1</v>
      </c>
      <c r="AD981">
        <v>1</v>
      </c>
      <c r="AE981">
        <v>1</v>
      </c>
      <c r="AF981">
        <v>1</v>
      </c>
      <c r="AG981" t="s">
        <v>293</v>
      </c>
      <c r="AH981" t="s">
        <v>11</v>
      </c>
      <c r="AI981" t="s">
        <v>14</v>
      </c>
      <c r="AJ981">
        <f>$H$981*$P$981</f>
        <v>0</v>
      </c>
      <c r="AK981">
        <f>$H$981*$Q$981</f>
        <v>0</v>
      </c>
      <c r="AL981">
        <f>$H$981*$R$981</f>
        <v>0</v>
      </c>
      <c r="AM981">
        <f>$H$981*$S$981</f>
        <v>0</v>
      </c>
      <c r="AN981">
        <f>$H$981*$T$981</f>
        <v>0</v>
      </c>
      <c r="AO981">
        <f>$H$981*$U$981</f>
        <v>0</v>
      </c>
      <c r="AP981">
        <f>$H$981*$V$981</f>
        <v>0</v>
      </c>
      <c r="AQ981">
        <f>$H$981*$W$981</f>
        <v>0</v>
      </c>
      <c r="AR981">
        <f>$H$981*$X$981</f>
        <v>0</v>
      </c>
      <c r="AS981">
        <f>$H$981*$Y$981</f>
        <v>0</v>
      </c>
      <c r="AT981">
        <f>$H$981*$Z$981</f>
        <v>0</v>
      </c>
      <c r="AU981">
        <f>$H$981*$AA$981</f>
        <v>567.82000000000005</v>
      </c>
      <c r="AV981">
        <f>$H$981*$AB$981</f>
        <v>567.82000000000005</v>
      </c>
      <c r="AW981">
        <f>$H$981*$AC$981</f>
        <v>567.82000000000005</v>
      </c>
      <c r="AX981">
        <f>$H$981*$AD$981</f>
        <v>567.82000000000005</v>
      </c>
      <c r="AY981">
        <f>$H$981*$AE$981</f>
        <v>567.82000000000005</v>
      </c>
      <c r="AZ981">
        <f>$H$981*$AF$981</f>
        <v>567.82000000000005</v>
      </c>
    </row>
    <row r="982" spans="1:52" x14ac:dyDescent="0.25">
      <c r="A982">
        <v>1068</v>
      </c>
      <c r="B982" t="s">
        <v>293</v>
      </c>
      <c r="C982" t="s">
        <v>455</v>
      </c>
      <c r="D982">
        <v>59</v>
      </c>
      <c r="E982">
        <v>89.09</v>
      </c>
      <c r="F982" t="s">
        <v>329</v>
      </c>
      <c r="G982">
        <v>1.51</v>
      </c>
      <c r="H982">
        <v>106.91</v>
      </c>
      <c r="I982" t="s">
        <v>330</v>
      </c>
      <c r="J982" t="s">
        <v>456</v>
      </c>
      <c r="K982" t="s">
        <v>662</v>
      </c>
      <c r="L982" t="s">
        <v>179</v>
      </c>
      <c r="M982" t="s">
        <v>293</v>
      </c>
      <c r="N982" t="s">
        <v>11</v>
      </c>
      <c r="O982" t="s">
        <v>14</v>
      </c>
      <c r="P982">
        <v>0</v>
      </c>
      <c r="Q982">
        <v>0</v>
      </c>
      <c r="R982">
        <v>0</v>
      </c>
      <c r="S982">
        <v>1</v>
      </c>
      <c r="T982">
        <v>1</v>
      </c>
      <c r="U982">
        <v>1</v>
      </c>
      <c r="V982">
        <v>1</v>
      </c>
      <c r="W982">
        <v>1</v>
      </c>
      <c r="X982">
        <v>1</v>
      </c>
      <c r="Y982">
        <v>1</v>
      </c>
      <c r="Z982">
        <v>1</v>
      </c>
      <c r="AA982">
        <v>1</v>
      </c>
      <c r="AB982">
        <v>1</v>
      </c>
      <c r="AC982">
        <v>1</v>
      </c>
      <c r="AD982">
        <v>1</v>
      </c>
      <c r="AE982">
        <v>1</v>
      </c>
      <c r="AF982">
        <v>1</v>
      </c>
      <c r="AG982" t="s">
        <v>293</v>
      </c>
      <c r="AH982" t="s">
        <v>11</v>
      </c>
      <c r="AI982" t="s">
        <v>14</v>
      </c>
      <c r="AJ982">
        <f>$H$982*$P$982</f>
        <v>0</v>
      </c>
      <c r="AK982">
        <f>$H$982*$Q$982</f>
        <v>0</v>
      </c>
      <c r="AL982">
        <f>$H$982*$R$982</f>
        <v>0</v>
      </c>
      <c r="AM982">
        <f>$H$982*$S$982</f>
        <v>106.91</v>
      </c>
      <c r="AN982">
        <f>$H$982*$T$982</f>
        <v>106.91</v>
      </c>
      <c r="AO982">
        <f>$H$982*$U$982</f>
        <v>106.91</v>
      </c>
      <c r="AP982">
        <f>$H$982*$V$982</f>
        <v>106.91</v>
      </c>
      <c r="AQ982">
        <f>$H$982*$W$982</f>
        <v>106.91</v>
      </c>
      <c r="AR982">
        <f>$H$982*$X$982</f>
        <v>106.91</v>
      </c>
      <c r="AS982">
        <f>$H$982*$Y$982</f>
        <v>106.91</v>
      </c>
      <c r="AT982">
        <f>$H$982*$Z$982</f>
        <v>106.91</v>
      </c>
      <c r="AU982">
        <f>$H$982*$AA$982</f>
        <v>106.91</v>
      </c>
      <c r="AV982">
        <f>$H$982*$AB$982</f>
        <v>106.91</v>
      </c>
      <c r="AW982">
        <f>$H$982*$AC$982</f>
        <v>106.91</v>
      </c>
      <c r="AX982">
        <f>$H$982*$AD$982</f>
        <v>106.91</v>
      </c>
      <c r="AY982">
        <f>$H$982*$AE$982</f>
        <v>106.91</v>
      </c>
      <c r="AZ982">
        <f>$H$982*$AF$982</f>
        <v>106.91</v>
      </c>
    </row>
    <row r="983" spans="1:52" x14ac:dyDescent="0.25">
      <c r="A983">
        <v>1069</v>
      </c>
      <c r="B983" t="s">
        <v>293</v>
      </c>
      <c r="C983" t="s">
        <v>457</v>
      </c>
      <c r="D983">
        <v>59</v>
      </c>
      <c r="E983">
        <v>335.12</v>
      </c>
      <c r="F983" t="s">
        <v>329</v>
      </c>
      <c r="G983">
        <v>5.68</v>
      </c>
      <c r="H983">
        <v>402.14</v>
      </c>
      <c r="I983" t="s">
        <v>333</v>
      </c>
      <c r="J983" t="s">
        <v>458</v>
      </c>
      <c r="K983" t="s">
        <v>663</v>
      </c>
      <c r="L983" t="s">
        <v>179</v>
      </c>
      <c r="M983" t="s">
        <v>293</v>
      </c>
      <c r="N983" t="s">
        <v>11</v>
      </c>
      <c r="O983" t="s">
        <v>14</v>
      </c>
      <c r="P983">
        <v>0</v>
      </c>
      <c r="Q983">
        <v>0</v>
      </c>
      <c r="R983">
        <v>0</v>
      </c>
      <c r="S983">
        <v>1</v>
      </c>
      <c r="T983">
        <v>1</v>
      </c>
      <c r="U983">
        <v>1</v>
      </c>
      <c r="V983">
        <v>1</v>
      </c>
      <c r="W983">
        <v>1</v>
      </c>
      <c r="X983">
        <v>1</v>
      </c>
      <c r="Y983">
        <v>1</v>
      </c>
      <c r="Z983">
        <v>1</v>
      </c>
      <c r="AA983">
        <v>1</v>
      </c>
      <c r="AB983">
        <v>1</v>
      </c>
      <c r="AC983">
        <v>1</v>
      </c>
      <c r="AD983">
        <v>1</v>
      </c>
      <c r="AE983">
        <v>1</v>
      </c>
      <c r="AF983">
        <v>1</v>
      </c>
      <c r="AG983" t="s">
        <v>293</v>
      </c>
      <c r="AH983" t="s">
        <v>11</v>
      </c>
      <c r="AI983" t="s">
        <v>14</v>
      </c>
      <c r="AJ983">
        <f>$H$983*$P$983</f>
        <v>0</v>
      </c>
      <c r="AK983">
        <f>$H$983*$Q$983</f>
        <v>0</v>
      </c>
      <c r="AL983">
        <f>$H$983*$R$983</f>
        <v>0</v>
      </c>
      <c r="AM983">
        <f>$H$983*$S$983</f>
        <v>402.14</v>
      </c>
      <c r="AN983">
        <f>$H$983*$T$983</f>
        <v>402.14</v>
      </c>
      <c r="AO983">
        <f>$H$983*$U$983</f>
        <v>402.14</v>
      </c>
      <c r="AP983">
        <f>$H$983*$V$983</f>
        <v>402.14</v>
      </c>
      <c r="AQ983">
        <f>$H$983*$W$983</f>
        <v>402.14</v>
      </c>
      <c r="AR983">
        <f>$H$983*$X$983</f>
        <v>402.14</v>
      </c>
      <c r="AS983">
        <f>$H$983*$Y$983</f>
        <v>402.14</v>
      </c>
      <c r="AT983">
        <f>$H$983*$Z$983</f>
        <v>402.14</v>
      </c>
      <c r="AU983">
        <f>$H$983*$AA$983</f>
        <v>402.14</v>
      </c>
      <c r="AV983">
        <f>$H$983*$AB$983</f>
        <v>402.14</v>
      </c>
      <c r="AW983">
        <f>$H$983*$AC$983</f>
        <v>402.14</v>
      </c>
      <c r="AX983">
        <f>$H$983*$AD$983</f>
        <v>402.14</v>
      </c>
      <c r="AY983">
        <f>$H$983*$AE$983</f>
        <v>402.14</v>
      </c>
      <c r="AZ983">
        <f>$H$983*$AF$983</f>
        <v>402.14</v>
      </c>
    </row>
    <row r="984" spans="1:52" x14ac:dyDescent="0.25">
      <c r="A984">
        <v>1070</v>
      </c>
      <c r="B984" t="s">
        <v>293</v>
      </c>
      <c r="C984" t="s">
        <v>364</v>
      </c>
      <c r="D984">
        <v>209.06</v>
      </c>
      <c r="E984">
        <v>702.44</v>
      </c>
      <c r="F984" t="s">
        <v>349</v>
      </c>
      <c r="G984">
        <v>3.36</v>
      </c>
      <c r="H984">
        <v>842.92</v>
      </c>
      <c r="I984" t="s">
        <v>365</v>
      </c>
      <c r="J984" t="s">
        <v>366</v>
      </c>
      <c r="K984" t="s">
        <v>618</v>
      </c>
      <c r="L984" t="s">
        <v>179</v>
      </c>
      <c r="M984" t="s">
        <v>293</v>
      </c>
      <c r="N984" t="s">
        <v>11</v>
      </c>
      <c r="O984" t="s">
        <v>14</v>
      </c>
      <c r="P984">
        <v>0</v>
      </c>
      <c r="Q984">
        <v>0</v>
      </c>
      <c r="R984">
        <v>0</v>
      </c>
      <c r="S984">
        <v>0.25</v>
      </c>
      <c r="T984">
        <v>0.25</v>
      </c>
      <c r="U984">
        <v>0.25</v>
      </c>
      <c r="V984">
        <v>0.25</v>
      </c>
      <c r="W984">
        <v>0.5</v>
      </c>
      <c r="X984">
        <v>0.5</v>
      </c>
      <c r="Y984">
        <v>0.5</v>
      </c>
      <c r="Z984">
        <v>0.5</v>
      </c>
      <c r="AA984">
        <v>1</v>
      </c>
      <c r="AB984">
        <v>1</v>
      </c>
      <c r="AC984">
        <v>1</v>
      </c>
      <c r="AD984">
        <v>1</v>
      </c>
      <c r="AE984">
        <v>1</v>
      </c>
      <c r="AF984">
        <v>1</v>
      </c>
      <c r="AG984" t="s">
        <v>293</v>
      </c>
      <c r="AH984" t="s">
        <v>11</v>
      </c>
      <c r="AI984" t="s">
        <v>14</v>
      </c>
      <c r="AJ984">
        <f>$H$984*$P$984</f>
        <v>0</v>
      </c>
      <c r="AK984">
        <f>$H$984*$Q$984</f>
        <v>0</v>
      </c>
      <c r="AL984">
        <f>$H$984*$R$984</f>
        <v>0</v>
      </c>
      <c r="AM984">
        <f>$H$984*$S$984</f>
        <v>210.73</v>
      </c>
      <c r="AN984">
        <f>$H$984*$T$984</f>
        <v>210.73</v>
      </c>
      <c r="AO984">
        <f>$H$984*$U$984</f>
        <v>210.73</v>
      </c>
      <c r="AP984">
        <f>$H$984*$V$984</f>
        <v>210.73</v>
      </c>
      <c r="AQ984">
        <f>$H$984*$W$984</f>
        <v>421.46</v>
      </c>
      <c r="AR984">
        <f>$H$984*$X$984</f>
        <v>421.46</v>
      </c>
      <c r="AS984">
        <f>$H$984*$Y$984</f>
        <v>421.46</v>
      </c>
      <c r="AT984">
        <f>$H$984*$Z$984</f>
        <v>421.46</v>
      </c>
      <c r="AU984">
        <f>$H$984*$AA$984</f>
        <v>842.92</v>
      </c>
      <c r="AV984">
        <f>$H$984*$AB$984</f>
        <v>842.92</v>
      </c>
      <c r="AW984">
        <f>$H$984*$AC$984</f>
        <v>842.92</v>
      </c>
      <c r="AX984">
        <f>$H$984*$AD$984</f>
        <v>842.92</v>
      </c>
      <c r="AY984">
        <f>$H$984*$AE$984</f>
        <v>842.92</v>
      </c>
      <c r="AZ984">
        <f>$H$984*$AF$984</f>
        <v>842.92</v>
      </c>
    </row>
    <row r="985" spans="1:52" x14ac:dyDescent="0.25">
      <c r="A985">
        <v>1071</v>
      </c>
      <c r="B985" t="s">
        <v>293</v>
      </c>
      <c r="C985" t="s">
        <v>443</v>
      </c>
      <c r="D985">
        <v>209.06</v>
      </c>
      <c r="E985">
        <v>131.71</v>
      </c>
      <c r="F985" t="s">
        <v>349</v>
      </c>
      <c r="G985">
        <v>0.63</v>
      </c>
      <c r="H985">
        <v>158.05000000000001</v>
      </c>
      <c r="I985" t="s">
        <v>330</v>
      </c>
      <c r="J985" t="s">
        <v>444</v>
      </c>
      <c r="K985" t="s">
        <v>656</v>
      </c>
      <c r="L985" t="s">
        <v>179</v>
      </c>
      <c r="M985" t="s">
        <v>293</v>
      </c>
      <c r="N985" t="s">
        <v>11</v>
      </c>
      <c r="O985" t="s">
        <v>14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1</v>
      </c>
      <c r="AE985">
        <v>1</v>
      </c>
      <c r="AF985">
        <v>1</v>
      </c>
      <c r="AG985" t="s">
        <v>293</v>
      </c>
      <c r="AH985" t="s">
        <v>11</v>
      </c>
      <c r="AI985" t="s">
        <v>14</v>
      </c>
      <c r="AJ985">
        <f>$H$985*$P$985</f>
        <v>0</v>
      </c>
      <c r="AK985">
        <f>$H$985*$Q$985</f>
        <v>0</v>
      </c>
      <c r="AL985">
        <f>$H$985*$R$985</f>
        <v>0</v>
      </c>
      <c r="AM985">
        <f>$H$985*$S$985</f>
        <v>0</v>
      </c>
      <c r="AN985">
        <f>$H$985*$T$985</f>
        <v>0</v>
      </c>
      <c r="AO985">
        <f>$H$985*$U$985</f>
        <v>0</v>
      </c>
      <c r="AP985">
        <f>$H$985*$V$985</f>
        <v>0</v>
      </c>
      <c r="AQ985">
        <f>$H$985*$W$985</f>
        <v>0</v>
      </c>
      <c r="AR985">
        <f>$H$985*$X$985</f>
        <v>0</v>
      </c>
      <c r="AS985">
        <f>$H$985*$Y$985</f>
        <v>0</v>
      </c>
      <c r="AT985">
        <f>$H$985*$Z$985</f>
        <v>0</v>
      </c>
      <c r="AU985">
        <f>$H$985*$AA$985</f>
        <v>0</v>
      </c>
      <c r="AV985">
        <f>$H$985*$AB$985</f>
        <v>0</v>
      </c>
      <c r="AW985">
        <f>$H$985*$AC$985</f>
        <v>0</v>
      </c>
      <c r="AX985">
        <f>$H$985*$AD$985</f>
        <v>158.05000000000001</v>
      </c>
      <c r="AY985">
        <f>$H$985*$AE$985</f>
        <v>158.05000000000001</v>
      </c>
      <c r="AZ985">
        <f>$H$985*$AF$985</f>
        <v>158.05000000000001</v>
      </c>
    </row>
    <row r="986" spans="1:52" x14ac:dyDescent="0.25">
      <c r="A986">
        <v>1072</v>
      </c>
      <c r="B986" t="s">
        <v>293</v>
      </c>
      <c r="C986" t="s">
        <v>459</v>
      </c>
      <c r="D986">
        <v>209.06</v>
      </c>
      <c r="E986">
        <v>144.25</v>
      </c>
      <c r="F986" t="s">
        <v>349</v>
      </c>
      <c r="G986">
        <v>0.69</v>
      </c>
      <c r="H986">
        <v>173.11</v>
      </c>
      <c r="I986" t="s">
        <v>330</v>
      </c>
      <c r="J986" t="s">
        <v>460</v>
      </c>
      <c r="K986" t="s">
        <v>664</v>
      </c>
      <c r="L986" t="s">
        <v>179</v>
      </c>
      <c r="M986" t="s">
        <v>293</v>
      </c>
      <c r="N986" t="s">
        <v>11</v>
      </c>
      <c r="O986" t="s">
        <v>14</v>
      </c>
      <c r="P986">
        <v>0</v>
      </c>
      <c r="Q986">
        <v>0</v>
      </c>
      <c r="R986">
        <v>0</v>
      </c>
      <c r="S986">
        <v>1</v>
      </c>
      <c r="T986">
        <v>1</v>
      </c>
      <c r="U986">
        <v>1</v>
      </c>
      <c r="V986">
        <v>1</v>
      </c>
      <c r="W986">
        <v>1</v>
      </c>
      <c r="X986">
        <v>1</v>
      </c>
      <c r="Y986">
        <v>1</v>
      </c>
      <c r="Z986">
        <v>1</v>
      </c>
      <c r="AA986">
        <v>1</v>
      </c>
      <c r="AB986">
        <v>1</v>
      </c>
      <c r="AC986">
        <v>1</v>
      </c>
      <c r="AD986">
        <v>1</v>
      </c>
      <c r="AE986">
        <v>1</v>
      </c>
      <c r="AF986">
        <v>1</v>
      </c>
      <c r="AG986" t="s">
        <v>293</v>
      </c>
      <c r="AH986" t="s">
        <v>11</v>
      </c>
      <c r="AI986" t="s">
        <v>14</v>
      </c>
      <c r="AJ986">
        <f>$H$986*$P$986</f>
        <v>0</v>
      </c>
      <c r="AK986">
        <f>$H$986*$Q$986</f>
        <v>0</v>
      </c>
      <c r="AL986">
        <f>$H$986*$R$986</f>
        <v>0</v>
      </c>
      <c r="AM986">
        <f>$H$986*$S$986</f>
        <v>173.11</v>
      </c>
      <c r="AN986">
        <f>$H$986*$T$986</f>
        <v>173.11</v>
      </c>
      <c r="AO986">
        <f>$H$986*$U$986</f>
        <v>173.11</v>
      </c>
      <c r="AP986">
        <f>$H$986*$V$986</f>
        <v>173.11</v>
      </c>
      <c r="AQ986">
        <f>$H$986*$W$986</f>
        <v>173.11</v>
      </c>
      <c r="AR986">
        <f>$H$986*$X$986</f>
        <v>173.11</v>
      </c>
      <c r="AS986">
        <f>$H$986*$Y$986</f>
        <v>173.11</v>
      </c>
      <c r="AT986">
        <f>$H$986*$Z$986</f>
        <v>173.11</v>
      </c>
      <c r="AU986">
        <f>$H$986*$AA$986</f>
        <v>173.11</v>
      </c>
      <c r="AV986">
        <f>$H$986*$AB$986</f>
        <v>173.11</v>
      </c>
      <c r="AW986">
        <f>$H$986*$AC$986</f>
        <v>173.11</v>
      </c>
      <c r="AX986">
        <f>$H$986*$AD$986</f>
        <v>173.11</v>
      </c>
      <c r="AY986">
        <f>$H$986*$AE$986</f>
        <v>173.11</v>
      </c>
      <c r="AZ986">
        <f>$H$986*$AF$986</f>
        <v>173.11</v>
      </c>
    </row>
    <row r="987" spans="1:52" x14ac:dyDescent="0.25">
      <c r="A987">
        <v>1073</v>
      </c>
      <c r="B987" t="s">
        <v>293</v>
      </c>
      <c r="C987" t="s">
        <v>461</v>
      </c>
      <c r="D987">
        <v>41.81</v>
      </c>
      <c r="E987">
        <v>725.4</v>
      </c>
      <c r="F987" t="s">
        <v>349</v>
      </c>
      <c r="G987">
        <v>17.350000000000001</v>
      </c>
      <c r="H987">
        <v>870.48</v>
      </c>
      <c r="I987" t="s">
        <v>462</v>
      </c>
      <c r="J987" t="s">
        <v>463</v>
      </c>
      <c r="K987" t="s">
        <v>665</v>
      </c>
      <c r="L987" t="s">
        <v>179</v>
      </c>
      <c r="M987" t="s">
        <v>293</v>
      </c>
      <c r="N987" t="s">
        <v>11</v>
      </c>
      <c r="O987" t="s">
        <v>14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1</v>
      </c>
      <c r="Z987">
        <v>1</v>
      </c>
      <c r="AA987">
        <v>1</v>
      </c>
      <c r="AB987">
        <v>1</v>
      </c>
      <c r="AC987">
        <v>1</v>
      </c>
      <c r="AD987">
        <v>1</v>
      </c>
      <c r="AE987">
        <v>1</v>
      </c>
      <c r="AF987">
        <v>1</v>
      </c>
      <c r="AG987" t="s">
        <v>293</v>
      </c>
      <c r="AH987" t="s">
        <v>11</v>
      </c>
      <c r="AI987" t="s">
        <v>14</v>
      </c>
      <c r="AJ987">
        <f>$H$987*$P$987</f>
        <v>0</v>
      </c>
      <c r="AK987">
        <f>$H$987*$Q$987</f>
        <v>0</v>
      </c>
      <c r="AL987">
        <f>$H$987*$R$987</f>
        <v>0</v>
      </c>
      <c r="AM987">
        <f>$H$987*$S$987</f>
        <v>0</v>
      </c>
      <c r="AN987">
        <f>$H$987*$T$987</f>
        <v>0</v>
      </c>
      <c r="AO987">
        <f>$H$987*$U$987</f>
        <v>0</v>
      </c>
      <c r="AP987">
        <f>$H$987*$V$987</f>
        <v>0</v>
      </c>
      <c r="AQ987">
        <f>$H$987*$W$987</f>
        <v>0</v>
      </c>
      <c r="AR987">
        <f>$H$987*$X$987</f>
        <v>0</v>
      </c>
      <c r="AS987">
        <f>$H$987*$Y$987</f>
        <v>870.48</v>
      </c>
      <c r="AT987">
        <f>$H$987*$Z$987</f>
        <v>870.48</v>
      </c>
      <c r="AU987">
        <f>$H$987*$AA$987</f>
        <v>870.48</v>
      </c>
      <c r="AV987">
        <f>$H$987*$AB$987</f>
        <v>870.48</v>
      </c>
      <c r="AW987">
        <f>$H$987*$AC$987</f>
        <v>870.48</v>
      </c>
      <c r="AX987">
        <f>$H$987*$AD$987</f>
        <v>870.48</v>
      </c>
      <c r="AY987">
        <f>$H$987*$AE$987</f>
        <v>870.48</v>
      </c>
      <c r="AZ987">
        <f>$H$987*$AF$987</f>
        <v>870.48</v>
      </c>
    </row>
    <row r="988" spans="1:52" x14ac:dyDescent="0.25">
      <c r="A988">
        <v>1074</v>
      </c>
      <c r="B988" t="s">
        <v>293</v>
      </c>
      <c r="C988" t="s">
        <v>464</v>
      </c>
      <c r="D988">
        <v>83.62</v>
      </c>
      <c r="E988">
        <v>299.36</v>
      </c>
      <c r="F988" t="s">
        <v>349</v>
      </c>
      <c r="G988">
        <v>3.58</v>
      </c>
      <c r="H988">
        <v>359.24</v>
      </c>
      <c r="I988" t="s">
        <v>465</v>
      </c>
      <c r="J988" t="s">
        <v>466</v>
      </c>
      <c r="K988" t="s">
        <v>666</v>
      </c>
      <c r="L988" t="s">
        <v>179</v>
      </c>
      <c r="M988" t="s">
        <v>293</v>
      </c>
      <c r="N988" t="s">
        <v>11</v>
      </c>
      <c r="O988" t="s">
        <v>14</v>
      </c>
      <c r="P988">
        <v>0</v>
      </c>
      <c r="Q988">
        <v>0</v>
      </c>
      <c r="R988">
        <v>0</v>
      </c>
      <c r="S988">
        <v>1</v>
      </c>
      <c r="T988">
        <v>1</v>
      </c>
      <c r="U988">
        <v>1</v>
      </c>
      <c r="V988">
        <v>1</v>
      </c>
      <c r="W988">
        <v>1</v>
      </c>
      <c r="X988">
        <v>1</v>
      </c>
      <c r="Y988">
        <v>1</v>
      </c>
      <c r="Z988">
        <v>1</v>
      </c>
      <c r="AA988">
        <v>1</v>
      </c>
      <c r="AB988">
        <v>1</v>
      </c>
      <c r="AC988">
        <v>1</v>
      </c>
      <c r="AD988">
        <v>1</v>
      </c>
      <c r="AE988">
        <v>1</v>
      </c>
      <c r="AF988">
        <v>1</v>
      </c>
      <c r="AG988" t="s">
        <v>293</v>
      </c>
      <c r="AH988" t="s">
        <v>11</v>
      </c>
      <c r="AI988" t="s">
        <v>14</v>
      </c>
      <c r="AJ988">
        <f>$H$988*$P$988</f>
        <v>0</v>
      </c>
      <c r="AK988">
        <f>$H$988*$Q$988</f>
        <v>0</v>
      </c>
      <c r="AL988">
        <f>$H$988*$R$988</f>
        <v>0</v>
      </c>
      <c r="AM988">
        <f>$H$988*$S$988</f>
        <v>359.24</v>
      </c>
      <c r="AN988">
        <f>$H$988*$T$988</f>
        <v>359.24</v>
      </c>
      <c r="AO988">
        <f>$H$988*$U$988</f>
        <v>359.24</v>
      </c>
      <c r="AP988">
        <f>$H$988*$V$988</f>
        <v>359.24</v>
      </c>
      <c r="AQ988">
        <f>$H$988*$W$988</f>
        <v>359.24</v>
      </c>
      <c r="AR988">
        <f>$H$988*$X$988</f>
        <v>359.24</v>
      </c>
      <c r="AS988">
        <f>$H$988*$Y$988</f>
        <v>359.24</v>
      </c>
      <c r="AT988">
        <f>$H$988*$Z$988</f>
        <v>359.24</v>
      </c>
      <c r="AU988">
        <f>$H$988*$AA$988</f>
        <v>359.24</v>
      </c>
      <c r="AV988">
        <f>$H$988*$AB$988</f>
        <v>359.24</v>
      </c>
      <c r="AW988">
        <f>$H$988*$AC$988</f>
        <v>359.24</v>
      </c>
      <c r="AX988">
        <f>$H$988*$AD$988</f>
        <v>359.24</v>
      </c>
      <c r="AY988">
        <f>$H$988*$AE$988</f>
        <v>359.24</v>
      </c>
      <c r="AZ988">
        <f>$H$988*$AF$988</f>
        <v>359.24</v>
      </c>
    </row>
    <row r="989" spans="1:52" x14ac:dyDescent="0.25">
      <c r="A989">
        <v>1075</v>
      </c>
      <c r="B989" t="s">
        <v>293</v>
      </c>
      <c r="C989" t="s">
        <v>467</v>
      </c>
      <c r="D989">
        <v>83.62</v>
      </c>
      <c r="E989">
        <v>823.66</v>
      </c>
      <c r="F989" t="s">
        <v>349</v>
      </c>
      <c r="G989">
        <v>9.85</v>
      </c>
      <c r="H989">
        <v>988.4</v>
      </c>
      <c r="I989" t="s">
        <v>465</v>
      </c>
      <c r="J989" t="s">
        <v>372</v>
      </c>
      <c r="K989" t="s">
        <v>667</v>
      </c>
      <c r="L989" t="s">
        <v>179</v>
      </c>
      <c r="M989" t="s">
        <v>293</v>
      </c>
      <c r="N989" t="s">
        <v>11</v>
      </c>
      <c r="O989" t="s">
        <v>14</v>
      </c>
      <c r="P989">
        <v>0</v>
      </c>
      <c r="Q989">
        <v>0</v>
      </c>
      <c r="R989">
        <v>0</v>
      </c>
      <c r="S989">
        <v>1</v>
      </c>
      <c r="T989">
        <v>1</v>
      </c>
      <c r="U989">
        <v>1</v>
      </c>
      <c r="V989">
        <v>1</v>
      </c>
      <c r="W989">
        <v>1</v>
      </c>
      <c r="X989">
        <v>1</v>
      </c>
      <c r="Y989">
        <v>1</v>
      </c>
      <c r="Z989">
        <v>1</v>
      </c>
      <c r="AA989">
        <v>1</v>
      </c>
      <c r="AB989">
        <v>1</v>
      </c>
      <c r="AC989">
        <v>1</v>
      </c>
      <c r="AD989">
        <v>1</v>
      </c>
      <c r="AE989">
        <v>1</v>
      </c>
      <c r="AF989">
        <v>1</v>
      </c>
      <c r="AG989" t="s">
        <v>293</v>
      </c>
      <c r="AH989" t="s">
        <v>11</v>
      </c>
      <c r="AI989" t="s">
        <v>14</v>
      </c>
      <c r="AJ989">
        <f>$H$989*$P$989</f>
        <v>0</v>
      </c>
      <c r="AK989">
        <f>$H$989*$Q$989</f>
        <v>0</v>
      </c>
      <c r="AL989">
        <f>$H$989*$R$989</f>
        <v>0</v>
      </c>
      <c r="AM989">
        <f>$H$989*$S$989</f>
        <v>988.4</v>
      </c>
      <c r="AN989">
        <f>$H$989*$T$989</f>
        <v>988.4</v>
      </c>
      <c r="AO989">
        <f>$H$989*$U$989</f>
        <v>988.4</v>
      </c>
      <c r="AP989">
        <f>$H$989*$V$989</f>
        <v>988.4</v>
      </c>
      <c r="AQ989">
        <f>$H$989*$W$989</f>
        <v>988.4</v>
      </c>
      <c r="AR989">
        <f>$H$989*$X$989</f>
        <v>988.4</v>
      </c>
      <c r="AS989">
        <f>$H$989*$Y$989</f>
        <v>988.4</v>
      </c>
      <c r="AT989">
        <f>$H$989*$Z$989</f>
        <v>988.4</v>
      </c>
      <c r="AU989">
        <f>$H$989*$AA$989</f>
        <v>988.4</v>
      </c>
      <c r="AV989">
        <f>$H$989*$AB$989</f>
        <v>988.4</v>
      </c>
      <c r="AW989">
        <f>$H$989*$AC$989</f>
        <v>988.4</v>
      </c>
      <c r="AX989">
        <f>$H$989*$AD$989</f>
        <v>988.4</v>
      </c>
      <c r="AY989">
        <f>$H$989*$AE$989</f>
        <v>988.4</v>
      </c>
      <c r="AZ989">
        <f>$H$989*$AF$989</f>
        <v>988.4</v>
      </c>
    </row>
    <row r="990" spans="1:52" x14ac:dyDescent="0.25">
      <c r="A990">
        <v>1076</v>
      </c>
      <c r="B990" t="s">
        <v>293</v>
      </c>
      <c r="C990" t="s">
        <v>468</v>
      </c>
      <c r="D990">
        <v>96.17</v>
      </c>
      <c r="E990">
        <v>98.09</v>
      </c>
      <c r="F990" t="s">
        <v>349</v>
      </c>
      <c r="G990">
        <v>1.02</v>
      </c>
      <c r="H990">
        <v>117.71</v>
      </c>
      <c r="I990" t="s">
        <v>469</v>
      </c>
      <c r="J990" t="s">
        <v>470</v>
      </c>
      <c r="K990" t="s">
        <v>668</v>
      </c>
      <c r="L990" t="s">
        <v>179</v>
      </c>
      <c r="M990" t="s">
        <v>293</v>
      </c>
      <c r="N990" t="s">
        <v>11</v>
      </c>
      <c r="O990" t="s">
        <v>14</v>
      </c>
      <c r="P990">
        <v>0</v>
      </c>
      <c r="Q990">
        <v>0</v>
      </c>
      <c r="R990">
        <v>0</v>
      </c>
      <c r="S990">
        <v>1</v>
      </c>
      <c r="T990">
        <v>1</v>
      </c>
      <c r="U990">
        <v>1</v>
      </c>
      <c r="V990">
        <v>1</v>
      </c>
      <c r="W990">
        <v>1</v>
      </c>
      <c r="X990">
        <v>1</v>
      </c>
      <c r="Y990">
        <v>1</v>
      </c>
      <c r="Z990">
        <v>1</v>
      </c>
      <c r="AA990">
        <v>1</v>
      </c>
      <c r="AB990">
        <v>1</v>
      </c>
      <c r="AC990">
        <v>1</v>
      </c>
      <c r="AD990">
        <v>1</v>
      </c>
      <c r="AE990">
        <v>1</v>
      </c>
      <c r="AF990">
        <v>1</v>
      </c>
      <c r="AG990" t="s">
        <v>293</v>
      </c>
      <c r="AH990" t="s">
        <v>11</v>
      </c>
      <c r="AI990" t="s">
        <v>14</v>
      </c>
      <c r="AJ990">
        <f>$H$990*$P$990</f>
        <v>0</v>
      </c>
      <c r="AK990">
        <f>$H$990*$Q$990</f>
        <v>0</v>
      </c>
      <c r="AL990">
        <f>$H$990*$R$990</f>
        <v>0</v>
      </c>
      <c r="AM990">
        <f>$H$990*$S$990</f>
        <v>117.71</v>
      </c>
      <c r="AN990">
        <f>$H$990*$T$990</f>
        <v>117.71</v>
      </c>
      <c r="AO990">
        <f>$H$990*$U$990</f>
        <v>117.71</v>
      </c>
      <c r="AP990">
        <f>$H$990*$V$990</f>
        <v>117.71</v>
      </c>
      <c r="AQ990">
        <f>$H$990*$W$990</f>
        <v>117.71</v>
      </c>
      <c r="AR990">
        <f>$H$990*$X$990</f>
        <v>117.71</v>
      </c>
      <c r="AS990">
        <f>$H$990*$Y$990</f>
        <v>117.71</v>
      </c>
      <c r="AT990">
        <f>$H$990*$Z$990</f>
        <v>117.71</v>
      </c>
      <c r="AU990">
        <f>$H$990*$AA$990</f>
        <v>117.71</v>
      </c>
      <c r="AV990">
        <f>$H$990*$AB$990</f>
        <v>117.71</v>
      </c>
      <c r="AW990">
        <f>$H$990*$AC$990</f>
        <v>117.71</v>
      </c>
      <c r="AX990">
        <f>$H$990*$AD$990</f>
        <v>117.71</v>
      </c>
      <c r="AY990">
        <f>$H$990*$AE$990</f>
        <v>117.71</v>
      </c>
      <c r="AZ990">
        <f>$H$990*$AF$990</f>
        <v>117.71</v>
      </c>
    </row>
    <row r="991" spans="1:52" x14ac:dyDescent="0.25">
      <c r="A991">
        <v>1077</v>
      </c>
      <c r="B991" t="s">
        <v>293</v>
      </c>
      <c r="C991" t="s">
        <v>471</v>
      </c>
      <c r="D991">
        <v>96.17</v>
      </c>
      <c r="E991">
        <v>887.65</v>
      </c>
      <c r="F991" t="s">
        <v>349</v>
      </c>
      <c r="G991">
        <v>9.23</v>
      </c>
      <c r="H991">
        <v>1065.19</v>
      </c>
      <c r="I991" t="s">
        <v>469</v>
      </c>
      <c r="J991" t="s">
        <v>463</v>
      </c>
      <c r="K991" t="s">
        <v>669</v>
      </c>
      <c r="L991" t="s">
        <v>179</v>
      </c>
      <c r="M991" t="s">
        <v>293</v>
      </c>
      <c r="N991" t="s">
        <v>11</v>
      </c>
      <c r="O991" t="s">
        <v>14</v>
      </c>
      <c r="P991">
        <v>0</v>
      </c>
      <c r="Q991">
        <v>0</v>
      </c>
      <c r="R991">
        <v>0</v>
      </c>
      <c r="S991">
        <v>1</v>
      </c>
      <c r="T991">
        <v>1</v>
      </c>
      <c r="U991">
        <v>1</v>
      </c>
      <c r="V991">
        <v>1</v>
      </c>
      <c r="W991">
        <v>1</v>
      </c>
      <c r="X991">
        <v>1</v>
      </c>
      <c r="Y991">
        <v>1</v>
      </c>
      <c r="Z991">
        <v>1</v>
      </c>
      <c r="AA991">
        <v>1</v>
      </c>
      <c r="AB991">
        <v>1</v>
      </c>
      <c r="AC991">
        <v>1</v>
      </c>
      <c r="AD991">
        <v>1</v>
      </c>
      <c r="AE991">
        <v>1</v>
      </c>
      <c r="AF991">
        <v>1</v>
      </c>
      <c r="AG991" t="s">
        <v>293</v>
      </c>
      <c r="AH991" t="s">
        <v>11</v>
      </c>
      <c r="AI991" t="s">
        <v>14</v>
      </c>
      <c r="AJ991">
        <f>$H$991*$P$991</f>
        <v>0</v>
      </c>
      <c r="AK991">
        <f>$H$991*$Q$991</f>
        <v>0</v>
      </c>
      <c r="AL991">
        <f>$H$991*$R$991</f>
        <v>0</v>
      </c>
      <c r="AM991">
        <f>$H$991*$S$991</f>
        <v>1065.19</v>
      </c>
      <c r="AN991">
        <f>$H$991*$T$991</f>
        <v>1065.19</v>
      </c>
      <c r="AO991">
        <f>$H$991*$U$991</f>
        <v>1065.19</v>
      </c>
      <c r="AP991">
        <f>$H$991*$V$991</f>
        <v>1065.19</v>
      </c>
      <c r="AQ991">
        <f>$H$991*$W$991</f>
        <v>1065.19</v>
      </c>
      <c r="AR991">
        <f>$H$991*$X$991</f>
        <v>1065.19</v>
      </c>
      <c r="AS991">
        <f>$H$991*$Y$991</f>
        <v>1065.19</v>
      </c>
      <c r="AT991">
        <f>$H$991*$Z$991</f>
        <v>1065.19</v>
      </c>
      <c r="AU991">
        <f>$H$991*$AA$991</f>
        <v>1065.19</v>
      </c>
      <c r="AV991">
        <f>$H$991*$AB$991</f>
        <v>1065.19</v>
      </c>
      <c r="AW991">
        <f>$H$991*$AC$991</f>
        <v>1065.19</v>
      </c>
      <c r="AX991">
        <f>$H$991*$AD$991</f>
        <v>1065.19</v>
      </c>
      <c r="AY991">
        <f>$H$991*$AE$991</f>
        <v>1065.19</v>
      </c>
      <c r="AZ991">
        <f>$H$991*$AF$991</f>
        <v>1065.19</v>
      </c>
    </row>
    <row r="992" spans="1:52" x14ac:dyDescent="0.25">
      <c r="A992">
        <v>1078</v>
      </c>
      <c r="B992" t="s">
        <v>289</v>
      </c>
      <c r="C992" t="s">
        <v>336</v>
      </c>
      <c r="D992">
        <v>1</v>
      </c>
      <c r="E992">
        <v>87.09</v>
      </c>
      <c r="F992" t="s">
        <v>335</v>
      </c>
      <c r="G992">
        <v>87.09</v>
      </c>
      <c r="H992">
        <v>104.51</v>
      </c>
      <c r="I992" t="s">
        <v>337</v>
      </c>
      <c r="J992" t="s">
        <v>338</v>
      </c>
      <c r="K992" t="s">
        <v>606</v>
      </c>
      <c r="L992" t="s">
        <v>179</v>
      </c>
      <c r="M992" t="s">
        <v>289</v>
      </c>
      <c r="N992" t="s">
        <v>11</v>
      </c>
      <c r="O992" t="s">
        <v>4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1</v>
      </c>
      <c r="AE992">
        <v>1</v>
      </c>
      <c r="AF992">
        <v>1</v>
      </c>
      <c r="AG992" t="s">
        <v>289</v>
      </c>
      <c r="AH992" t="s">
        <v>11</v>
      </c>
      <c r="AI992" t="s">
        <v>4</v>
      </c>
      <c r="AJ992">
        <f>$H$992*$P$992</f>
        <v>0</v>
      </c>
      <c r="AK992">
        <f>$H$992*$Q$992</f>
        <v>0</v>
      </c>
      <c r="AL992">
        <f>$H$992*$R$992</f>
        <v>0</v>
      </c>
      <c r="AM992">
        <f>$H$992*$S$992</f>
        <v>0</v>
      </c>
      <c r="AN992">
        <f>$H$992*$T$992</f>
        <v>0</v>
      </c>
      <c r="AO992">
        <f>$H$992*$U$992</f>
        <v>0</v>
      </c>
      <c r="AP992">
        <f>$H$992*$V$992</f>
        <v>0</v>
      </c>
      <c r="AQ992">
        <f>$H$992*$W$992</f>
        <v>0</v>
      </c>
      <c r="AR992">
        <f>$H$992*$X$992</f>
        <v>0</v>
      </c>
      <c r="AS992">
        <f>$H$992*$Y$992</f>
        <v>0</v>
      </c>
      <c r="AT992">
        <f>$H$992*$Z$992</f>
        <v>0</v>
      </c>
      <c r="AU992">
        <f>$H$992*$AA$992</f>
        <v>0</v>
      </c>
      <c r="AV992">
        <f>$H$992*$AB$992</f>
        <v>0</v>
      </c>
      <c r="AW992">
        <f>$H$992*$AC$992</f>
        <v>0</v>
      </c>
      <c r="AX992">
        <f>$H$992*$AD$992</f>
        <v>104.51</v>
      </c>
      <c r="AY992">
        <f>$H$992*$AE$992</f>
        <v>104.51</v>
      </c>
      <c r="AZ992">
        <f>$H$992*$AF$992</f>
        <v>104.51</v>
      </c>
    </row>
    <row r="993" spans="1:52" x14ac:dyDescent="0.25">
      <c r="A993">
        <v>1079</v>
      </c>
      <c r="B993" t="s">
        <v>289</v>
      </c>
      <c r="C993" t="s">
        <v>358</v>
      </c>
      <c r="D993">
        <v>12</v>
      </c>
      <c r="E993">
        <v>53.28</v>
      </c>
      <c r="F993" t="s">
        <v>329</v>
      </c>
      <c r="G993">
        <v>4.4400000000000004</v>
      </c>
      <c r="H993">
        <v>63.94</v>
      </c>
      <c r="I993" t="s">
        <v>330</v>
      </c>
      <c r="J993" t="s">
        <v>359</v>
      </c>
      <c r="K993" t="s">
        <v>615</v>
      </c>
      <c r="L993" t="s">
        <v>179</v>
      </c>
      <c r="M993" t="s">
        <v>289</v>
      </c>
      <c r="N993" t="s">
        <v>11</v>
      </c>
      <c r="O993" t="s">
        <v>4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1</v>
      </c>
      <c r="AB993">
        <v>1</v>
      </c>
      <c r="AC993">
        <v>1</v>
      </c>
      <c r="AD993">
        <v>1</v>
      </c>
      <c r="AE993">
        <v>1</v>
      </c>
      <c r="AF993">
        <v>1</v>
      </c>
      <c r="AG993" t="s">
        <v>289</v>
      </c>
      <c r="AH993" t="s">
        <v>11</v>
      </c>
      <c r="AI993" t="s">
        <v>4</v>
      </c>
      <c r="AJ993">
        <f>$H$993*$P$993</f>
        <v>0</v>
      </c>
      <c r="AK993">
        <f>$H$993*$Q$993</f>
        <v>0</v>
      </c>
      <c r="AL993">
        <f>$H$993*$R$993</f>
        <v>0</v>
      </c>
      <c r="AM993">
        <f>$H$993*$S$993</f>
        <v>0</v>
      </c>
      <c r="AN993">
        <f>$H$993*$T$993</f>
        <v>0</v>
      </c>
      <c r="AO993">
        <f>$H$993*$U$993</f>
        <v>0</v>
      </c>
      <c r="AP993">
        <f>$H$993*$V$993</f>
        <v>0</v>
      </c>
      <c r="AQ993">
        <f>$H$993*$W$993</f>
        <v>0</v>
      </c>
      <c r="AR993">
        <f>$H$993*$X$993</f>
        <v>0</v>
      </c>
      <c r="AS993">
        <f>$H$993*$Y$993</f>
        <v>0</v>
      </c>
      <c r="AT993">
        <f>$H$993*$Z$993</f>
        <v>0</v>
      </c>
      <c r="AU993">
        <f>$H$993*$AA$993</f>
        <v>63.94</v>
      </c>
      <c r="AV993">
        <f>$H$993*$AB$993</f>
        <v>63.94</v>
      </c>
      <c r="AW993">
        <f>$H$993*$AC$993</f>
        <v>63.94</v>
      </c>
      <c r="AX993">
        <f>$H$993*$AD$993</f>
        <v>63.94</v>
      </c>
      <c r="AY993">
        <f>$H$993*$AE$993</f>
        <v>63.94</v>
      </c>
      <c r="AZ993">
        <f>$H$993*$AF$993</f>
        <v>63.94</v>
      </c>
    </row>
    <row r="994" spans="1:52" x14ac:dyDescent="0.25">
      <c r="A994">
        <v>1080</v>
      </c>
      <c r="B994" t="s">
        <v>289</v>
      </c>
      <c r="C994" t="s">
        <v>472</v>
      </c>
      <c r="D994">
        <v>6</v>
      </c>
      <c r="E994">
        <v>64.56</v>
      </c>
      <c r="F994" t="s">
        <v>329</v>
      </c>
      <c r="G994">
        <v>10.76</v>
      </c>
      <c r="H994">
        <v>77.48</v>
      </c>
      <c r="I994" t="s">
        <v>333</v>
      </c>
      <c r="J994" t="s">
        <v>473</v>
      </c>
      <c r="K994" t="s">
        <v>670</v>
      </c>
      <c r="L994" t="s">
        <v>179</v>
      </c>
      <c r="M994" t="s">
        <v>289</v>
      </c>
      <c r="N994" t="s">
        <v>11</v>
      </c>
      <c r="O994" t="s">
        <v>4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1</v>
      </c>
      <c r="AA994">
        <v>1</v>
      </c>
      <c r="AB994">
        <v>1</v>
      </c>
      <c r="AC994">
        <v>1</v>
      </c>
      <c r="AD994">
        <v>1</v>
      </c>
      <c r="AE994">
        <v>1</v>
      </c>
      <c r="AF994">
        <v>1</v>
      </c>
      <c r="AG994" t="s">
        <v>289</v>
      </c>
      <c r="AH994" t="s">
        <v>11</v>
      </c>
      <c r="AI994" t="s">
        <v>4</v>
      </c>
      <c r="AJ994">
        <f>$H$994*$P$994</f>
        <v>0</v>
      </c>
      <c r="AK994">
        <f>$H$994*$Q$994</f>
        <v>0</v>
      </c>
      <c r="AL994">
        <f>$H$994*$R$994</f>
        <v>0</v>
      </c>
      <c r="AM994">
        <f>$H$994*$S$994</f>
        <v>0</v>
      </c>
      <c r="AN994">
        <f>$H$994*$T$994</f>
        <v>0</v>
      </c>
      <c r="AO994">
        <f>$H$994*$U$994</f>
        <v>0</v>
      </c>
      <c r="AP994">
        <f>$H$994*$V$994</f>
        <v>0</v>
      </c>
      <c r="AQ994">
        <f>$H$994*$W$994</f>
        <v>0</v>
      </c>
      <c r="AR994">
        <f>$H$994*$X$994</f>
        <v>0</v>
      </c>
      <c r="AS994">
        <f>$H$994*$Y$994</f>
        <v>0</v>
      </c>
      <c r="AT994">
        <f>$H$994*$Z$994</f>
        <v>77.48</v>
      </c>
      <c r="AU994">
        <f>$H$994*$AA$994</f>
        <v>77.48</v>
      </c>
      <c r="AV994">
        <f>$H$994*$AB$994</f>
        <v>77.48</v>
      </c>
      <c r="AW994">
        <f>$H$994*$AC$994</f>
        <v>77.48</v>
      </c>
      <c r="AX994">
        <f>$H$994*$AD$994</f>
        <v>77.48</v>
      </c>
      <c r="AY994">
        <f>$H$994*$AE$994</f>
        <v>77.48</v>
      </c>
      <c r="AZ994">
        <f>$H$994*$AF$994</f>
        <v>77.48</v>
      </c>
    </row>
    <row r="995" spans="1:52" x14ac:dyDescent="0.25">
      <c r="A995">
        <v>1081</v>
      </c>
      <c r="B995" t="s">
        <v>289</v>
      </c>
      <c r="C995" t="s">
        <v>360</v>
      </c>
      <c r="D995">
        <v>6</v>
      </c>
      <c r="E995">
        <v>69.3</v>
      </c>
      <c r="F995" t="s">
        <v>329</v>
      </c>
      <c r="G995">
        <v>11.55</v>
      </c>
      <c r="H995">
        <v>83.16</v>
      </c>
      <c r="I995" t="s">
        <v>333</v>
      </c>
      <c r="J995" t="s">
        <v>361</v>
      </c>
      <c r="K995" t="s">
        <v>616</v>
      </c>
      <c r="L995" t="s">
        <v>179</v>
      </c>
      <c r="M995" t="s">
        <v>289</v>
      </c>
      <c r="N995" t="s">
        <v>11</v>
      </c>
      <c r="O995" t="s">
        <v>4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1</v>
      </c>
      <c r="AB995">
        <v>1</v>
      </c>
      <c r="AC995">
        <v>1</v>
      </c>
      <c r="AD995">
        <v>1</v>
      </c>
      <c r="AE995">
        <v>1</v>
      </c>
      <c r="AF995">
        <v>1</v>
      </c>
      <c r="AG995" t="s">
        <v>289</v>
      </c>
      <c r="AH995" t="s">
        <v>11</v>
      </c>
      <c r="AI995" t="s">
        <v>4</v>
      </c>
      <c r="AJ995">
        <f>$H$995*$P$995</f>
        <v>0</v>
      </c>
      <c r="AK995">
        <f>$H$995*$Q$995</f>
        <v>0</v>
      </c>
      <c r="AL995">
        <f>$H$995*$R$995</f>
        <v>0</v>
      </c>
      <c r="AM995">
        <f>$H$995*$S$995</f>
        <v>0</v>
      </c>
      <c r="AN995">
        <f>$H$995*$T$995</f>
        <v>0</v>
      </c>
      <c r="AO995">
        <f>$H$995*$U$995</f>
        <v>0</v>
      </c>
      <c r="AP995">
        <f>$H$995*$V$995</f>
        <v>0</v>
      </c>
      <c r="AQ995">
        <f>$H$995*$W$995</f>
        <v>0</v>
      </c>
      <c r="AR995">
        <f>$H$995*$X$995</f>
        <v>0</v>
      </c>
      <c r="AS995">
        <f>$H$995*$Y$995</f>
        <v>0</v>
      </c>
      <c r="AT995">
        <f>$H$995*$Z$995</f>
        <v>0</v>
      </c>
      <c r="AU995">
        <f>$H$995*$AA$995</f>
        <v>83.16</v>
      </c>
      <c r="AV995">
        <f>$H$995*$AB$995</f>
        <v>83.16</v>
      </c>
      <c r="AW995">
        <f>$H$995*$AC$995</f>
        <v>83.16</v>
      </c>
      <c r="AX995">
        <f>$H$995*$AD$995</f>
        <v>83.16</v>
      </c>
      <c r="AY995">
        <f>$H$995*$AE$995</f>
        <v>83.16</v>
      </c>
      <c r="AZ995">
        <f>$H$995*$AF$995</f>
        <v>83.16</v>
      </c>
    </row>
    <row r="996" spans="1:52" x14ac:dyDescent="0.25">
      <c r="A996">
        <v>1082</v>
      </c>
      <c r="B996" t="s">
        <v>289</v>
      </c>
      <c r="C996" t="s">
        <v>431</v>
      </c>
      <c r="D996">
        <v>6</v>
      </c>
      <c r="E996">
        <v>28.5</v>
      </c>
      <c r="F996" t="s">
        <v>329</v>
      </c>
      <c r="G996">
        <v>4.75</v>
      </c>
      <c r="H996">
        <v>34.200000000000003</v>
      </c>
      <c r="I996" t="s">
        <v>333</v>
      </c>
      <c r="J996" t="s">
        <v>432</v>
      </c>
      <c r="K996" t="s">
        <v>650</v>
      </c>
      <c r="L996" t="s">
        <v>179</v>
      </c>
      <c r="M996" t="s">
        <v>289</v>
      </c>
      <c r="N996" t="s">
        <v>11</v>
      </c>
      <c r="O996" t="s">
        <v>4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1</v>
      </c>
      <c r="AD996">
        <v>1</v>
      </c>
      <c r="AE996">
        <v>1</v>
      </c>
      <c r="AF996">
        <v>1</v>
      </c>
      <c r="AG996" t="s">
        <v>289</v>
      </c>
      <c r="AH996" t="s">
        <v>11</v>
      </c>
      <c r="AI996" t="s">
        <v>4</v>
      </c>
      <c r="AJ996">
        <f>$H$996*$P$996</f>
        <v>0</v>
      </c>
      <c r="AK996">
        <f>$H$996*$Q$996</f>
        <v>0</v>
      </c>
      <c r="AL996">
        <f>$H$996*$R$996</f>
        <v>0</v>
      </c>
      <c r="AM996">
        <f>$H$996*$S$996</f>
        <v>0</v>
      </c>
      <c r="AN996">
        <f>$H$996*$T$996</f>
        <v>0</v>
      </c>
      <c r="AO996">
        <f>$H$996*$U$996</f>
        <v>0</v>
      </c>
      <c r="AP996">
        <f>$H$996*$V$996</f>
        <v>0</v>
      </c>
      <c r="AQ996">
        <f>$H$996*$W$996</f>
        <v>0</v>
      </c>
      <c r="AR996">
        <f>$H$996*$X$996</f>
        <v>0</v>
      </c>
      <c r="AS996">
        <f>$H$996*$Y$996</f>
        <v>0</v>
      </c>
      <c r="AT996">
        <f>$H$996*$Z$996</f>
        <v>0</v>
      </c>
      <c r="AU996">
        <f>$H$996*$AA$996</f>
        <v>0</v>
      </c>
      <c r="AV996">
        <f>$H$996*$AB$996</f>
        <v>0</v>
      </c>
      <c r="AW996">
        <f>$H$996*$AC$996</f>
        <v>34.200000000000003</v>
      </c>
      <c r="AX996">
        <f>$H$996*$AD$996</f>
        <v>34.200000000000003</v>
      </c>
      <c r="AY996">
        <f>$H$996*$AE$996</f>
        <v>34.200000000000003</v>
      </c>
      <c r="AZ996">
        <f>$H$996*$AF$996</f>
        <v>34.200000000000003</v>
      </c>
    </row>
    <row r="997" spans="1:52" x14ac:dyDescent="0.25">
      <c r="A997">
        <v>1083</v>
      </c>
      <c r="B997" t="s">
        <v>289</v>
      </c>
      <c r="C997" t="s">
        <v>435</v>
      </c>
      <c r="D997">
        <v>8</v>
      </c>
      <c r="E997">
        <v>106.16</v>
      </c>
      <c r="F997" t="s">
        <v>335</v>
      </c>
      <c r="G997">
        <v>13.27</v>
      </c>
      <c r="H997">
        <v>127.4</v>
      </c>
      <c r="I997" t="s">
        <v>337</v>
      </c>
      <c r="J997" t="s">
        <v>436</v>
      </c>
      <c r="K997" t="s">
        <v>652</v>
      </c>
      <c r="L997" t="s">
        <v>179</v>
      </c>
      <c r="M997" t="s">
        <v>289</v>
      </c>
      <c r="N997" t="s">
        <v>11</v>
      </c>
      <c r="O997" t="s">
        <v>4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1</v>
      </c>
      <c r="Y997">
        <v>1</v>
      </c>
      <c r="Z997">
        <v>1</v>
      </c>
      <c r="AA997">
        <v>1</v>
      </c>
      <c r="AB997">
        <v>1</v>
      </c>
      <c r="AC997">
        <v>1</v>
      </c>
      <c r="AD997">
        <v>1</v>
      </c>
      <c r="AE997">
        <v>1</v>
      </c>
      <c r="AF997">
        <v>1</v>
      </c>
      <c r="AG997" t="s">
        <v>289</v>
      </c>
      <c r="AH997" t="s">
        <v>11</v>
      </c>
      <c r="AI997" t="s">
        <v>4</v>
      </c>
      <c r="AJ997">
        <f>$H$997*$P$997</f>
        <v>0</v>
      </c>
      <c r="AK997">
        <f>$H$997*$Q$997</f>
        <v>0</v>
      </c>
      <c r="AL997">
        <f>$H$997*$R$997</f>
        <v>0</v>
      </c>
      <c r="AM997">
        <f>$H$997*$S$997</f>
        <v>0</v>
      </c>
      <c r="AN997">
        <f>$H$997*$T$997</f>
        <v>0</v>
      </c>
      <c r="AO997">
        <f>$H$997*$U$997</f>
        <v>0</v>
      </c>
      <c r="AP997">
        <f>$H$997*$V$997</f>
        <v>0</v>
      </c>
      <c r="AQ997">
        <f>$H$997*$W$997</f>
        <v>0</v>
      </c>
      <c r="AR997">
        <f>$H$997*$X$997</f>
        <v>127.4</v>
      </c>
      <c r="AS997">
        <f>$H$997*$Y$997</f>
        <v>127.4</v>
      </c>
      <c r="AT997">
        <f>$H$997*$Z$997</f>
        <v>127.4</v>
      </c>
      <c r="AU997">
        <f>$H$997*$AA$997</f>
        <v>127.4</v>
      </c>
      <c r="AV997">
        <f>$H$997*$AB$997</f>
        <v>127.4</v>
      </c>
      <c r="AW997">
        <f>$H$997*$AC$997</f>
        <v>127.4</v>
      </c>
      <c r="AX997">
        <f>$H$997*$AD$997</f>
        <v>127.4</v>
      </c>
      <c r="AY997">
        <f>$H$997*$AE$997</f>
        <v>127.4</v>
      </c>
      <c r="AZ997">
        <f>$H$997*$AF$997</f>
        <v>127.4</v>
      </c>
    </row>
    <row r="998" spans="1:52" x14ac:dyDescent="0.25">
      <c r="A998">
        <v>1084</v>
      </c>
      <c r="B998" t="s">
        <v>289</v>
      </c>
      <c r="C998" t="s">
        <v>437</v>
      </c>
      <c r="D998">
        <v>1</v>
      </c>
      <c r="E998">
        <v>98.82</v>
      </c>
      <c r="F998" t="s">
        <v>335</v>
      </c>
      <c r="G998">
        <v>98.82</v>
      </c>
      <c r="H998">
        <v>118.58</v>
      </c>
      <c r="I998" t="s">
        <v>340</v>
      </c>
      <c r="J998" t="s">
        <v>372</v>
      </c>
      <c r="K998" t="s">
        <v>653</v>
      </c>
      <c r="L998" t="s">
        <v>179</v>
      </c>
      <c r="M998" t="s">
        <v>289</v>
      </c>
      <c r="N998" t="s">
        <v>11</v>
      </c>
      <c r="O998" t="s">
        <v>4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1</v>
      </c>
      <c r="AE998">
        <v>1</v>
      </c>
      <c r="AF998">
        <v>1</v>
      </c>
      <c r="AG998" t="s">
        <v>289</v>
      </c>
      <c r="AH998" t="s">
        <v>11</v>
      </c>
      <c r="AI998" t="s">
        <v>4</v>
      </c>
      <c r="AJ998">
        <f>$H$998*$P$998</f>
        <v>0</v>
      </c>
      <c r="AK998">
        <f>$H$998*$Q$998</f>
        <v>0</v>
      </c>
      <c r="AL998">
        <f>$H$998*$R$998</f>
        <v>0</v>
      </c>
      <c r="AM998">
        <f>$H$998*$S$998</f>
        <v>0</v>
      </c>
      <c r="AN998">
        <f>$H$998*$T$998</f>
        <v>0</v>
      </c>
      <c r="AO998">
        <f>$H$998*$U$998</f>
        <v>0</v>
      </c>
      <c r="AP998">
        <f>$H$998*$V$998</f>
        <v>0</v>
      </c>
      <c r="AQ998">
        <f>$H$998*$W$998</f>
        <v>0</v>
      </c>
      <c r="AR998">
        <f>$H$998*$X$998</f>
        <v>0</v>
      </c>
      <c r="AS998">
        <f>$H$998*$Y$998</f>
        <v>0</v>
      </c>
      <c r="AT998">
        <f>$H$998*$Z$998</f>
        <v>0</v>
      </c>
      <c r="AU998">
        <f>$H$998*$AA$998</f>
        <v>0</v>
      </c>
      <c r="AV998">
        <f>$H$998*$AB$998</f>
        <v>0</v>
      </c>
      <c r="AW998">
        <f>$H$998*$AC$998</f>
        <v>0</v>
      </c>
      <c r="AX998">
        <f>$H$998*$AD$998</f>
        <v>118.58</v>
      </c>
      <c r="AY998">
        <f>$H$998*$AE$998</f>
        <v>118.58</v>
      </c>
      <c r="AZ998">
        <f>$H$998*$AF$998</f>
        <v>118.58</v>
      </c>
    </row>
    <row r="999" spans="1:52" x14ac:dyDescent="0.25">
      <c r="A999">
        <v>1085</v>
      </c>
      <c r="B999" t="s">
        <v>289</v>
      </c>
      <c r="C999" t="s">
        <v>367</v>
      </c>
      <c r="D999">
        <v>1</v>
      </c>
      <c r="E999">
        <v>62.41</v>
      </c>
      <c r="F999" t="s">
        <v>335</v>
      </c>
      <c r="G999">
        <v>62.41</v>
      </c>
      <c r="H999">
        <v>74.89</v>
      </c>
      <c r="I999" t="s">
        <v>368</v>
      </c>
      <c r="J999" t="s">
        <v>369</v>
      </c>
      <c r="K999" t="s">
        <v>619</v>
      </c>
      <c r="L999" t="s">
        <v>179</v>
      </c>
      <c r="M999" t="s">
        <v>289</v>
      </c>
      <c r="N999" t="s">
        <v>11</v>
      </c>
      <c r="O999" t="s">
        <v>4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1</v>
      </c>
      <c r="AB999">
        <v>1</v>
      </c>
      <c r="AC999">
        <v>1</v>
      </c>
      <c r="AD999">
        <v>1</v>
      </c>
      <c r="AE999">
        <v>1</v>
      </c>
      <c r="AF999">
        <v>1</v>
      </c>
      <c r="AG999" t="s">
        <v>289</v>
      </c>
      <c r="AH999" t="s">
        <v>11</v>
      </c>
      <c r="AI999" t="s">
        <v>4</v>
      </c>
      <c r="AJ999">
        <f>$H$999*$P$999</f>
        <v>0</v>
      </c>
      <c r="AK999">
        <f>$H$999*$Q$999</f>
        <v>0</v>
      </c>
      <c r="AL999">
        <f>$H$999*$R$999</f>
        <v>0</v>
      </c>
      <c r="AM999">
        <f>$H$999*$S$999</f>
        <v>0</v>
      </c>
      <c r="AN999">
        <f>$H$999*$T$999</f>
        <v>0</v>
      </c>
      <c r="AO999">
        <f>$H$999*$U$999</f>
        <v>0</v>
      </c>
      <c r="AP999">
        <f>$H$999*$V$999</f>
        <v>0</v>
      </c>
      <c r="AQ999">
        <f>$H$999*$W$999</f>
        <v>0</v>
      </c>
      <c r="AR999">
        <f>$H$999*$X$999</f>
        <v>0</v>
      </c>
      <c r="AS999">
        <f>$H$999*$Y$999</f>
        <v>0</v>
      </c>
      <c r="AT999">
        <f>$H$999*$Z$999</f>
        <v>0</v>
      </c>
      <c r="AU999">
        <f>$H$999*$AA$999</f>
        <v>74.89</v>
      </c>
      <c r="AV999">
        <f>$H$999*$AB$999</f>
        <v>74.89</v>
      </c>
      <c r="AW999">
        <f>$H$999*$AC$999</f>
        <v>74.89</v>
      </c>
      <c r="AX999">
        <f>$H$999*$AD$999</f>
        <v>74.89</v>
      </c>
      <c r="AY999">
        <f>$H$999*$AE$999</f>
        <v>74.89</v>
      </c>
      <c r="AZ999">
        <f>$H$999*$AF$999</f>
        <v>74.89</v>
      </c>
    </row>
    <row r="1000" spans="1:52" x14ac:dyDescent="0.25">
      <c r="A1000">
        <v>1086</v>
      </c>
      <c r="B1000" t="s">
        <v>289</v>
      </c>
      <c r="C1000" t="s">
        <v>531</v>
      </c>
      <c r="D1000">
        <v>2</v>
      </c>
      <c r="E1000">
        <v>110.04</v>
      </c>
      <c r="F1000" t="s">
        <v>335</v>
      </c>
      <c r="G1000">
        <v>55.02</v>
      </c>
      <c r="H1000">
        <v>132.04</v>
      </c>
      <c r="I1000" t="s">
        <v>330</v>
      </c>
      <c r="J1000" t="s">
        <v>532</v>
      </c>
      <c r="K1000" t="s">
        <v>698</v>
      </c>
      <c r="L1000" t="s">
        <v>179</v>
      </c>
      <c r="M1000" t="s">
        <v>289</v>
      </c>
      <c r="N1000" t="s">
        <v>11</v>
      </c>
      <c r="O1000" t="s">
        <v>4</v>
      </c>
      <c r="P1000">
        <v>0</v>
      </c>
      <c r="Q1000">
        <v>0</v>
      </c>
      <c r="R1000">
        <v>0</v>
      </c>
      <c r="S1000">
        <v>1</v>
      </c>
      <c r="T1000">
        <v>1</v>
      </c>
      <c r="U1000">
        <v>1</v>
      </c>
      <c r="V1000">
        <v>1</v>
      </c>
      <c r="W1000">
        <v>1</v>
      </c>
      <c r="X1000">
        <v>1</v>
      </c>
      <c r="Y1000">
        <v>1</v>
      </c>
      <c r="Z1000">
        <v>1</v>
      </c>
      <c r="AA1000">
        <v>1</v>
      </c>
      <c r="AB1000">
        <v>1</v>
      </c>
      <c r="AC1000">
        <v>1</v>
      </c>
      <c r="AD1000">
        <v>1</v>
      </c>
      <c r="AE1000">
        <v>1</v>
      </c>
      <c r="AF1000">
        <v>1</v>
      </c>
      <c r="AG1000" t="s">
        <v>289</v>
      </c>
      <c r="AH1000" t="s">
        <v>11</v>
      </c>
      <c r="AI1000" t="s">
        <v>4</v>
      </c>
      <c r="AJ1000">
        <f>$H$1000*$P$1000</f>
        <v>0</v>
      </c>
      <c r="AK1000">
        <f>$H$1000*$Q$1000</f>
        <v>0</v>
      </c>
      <c r="AL1000">
        <f>$H$1000*$R$1000</f>
        <v>0</v>
      </c>
      <c r="AM1000">
        <f>$H$1000*$S$1000</f>
        <v>132.04</v>
      </c>
      <c r="AN1000">
        <f>$H$1000*$T$1000</f>
        <v>132.04</v>
      </c>
      <c r="AO1000">
        <f>$H$1000*$U$1000</f>
        <v>132.04</v>
      </c>
      <c r="AP1000">
        <f>$H$1000*$V$1000</f>
        <v>132.04</v>
      </c>
      <c r="AQ1000">
        <f>$H$1000*$W$1000</f>
        <v>132.04</v>
      </c>
      <c r="AR1000">
        <f>$H$1000*$X$1000</f>
        <v>132.04</v>
      </c>
      <c r="AS1000">
        <f>$H$1000*$Y$1000</f>
        <v>132.04</v>
      </c>
      <c r="AT1000">
        <f>$H$1000*$Z$1000</f>
        <v>132.04</v>
      </c>
      <c r="AU1000">
        <f>$H$1000*$AA$1000</f>
        <v>132.04</v>
      </c>
      <c r="AV1000">
        <f>$H$1000*$AB$1000</f>
        <v>132.04</v>
      </c>
      <c r="AW1000">
        <f>$H$1000*$AC$1000</f>
        <v>132.04</v>
      </c>
      <c r="AX1000">
        <f>$H$1000*$AD$1000</f>
        <v>132.04</v>
      </c>
      <c r="AY1000">
        <f>$H$1000*$AE$1000</f>
        <v>132.04</v>
      </c>
      <c r="AZ1000">
        <f>$H$1000*$AF$1000</f>
        <v>132.04</v>
      </c>
    </row>
    <row r="1001" spans="1:52" x14ac:dyDescent="0.25">
      <c r="A1001">
        <v>1087</v>
      </c>
      <c r="B1001" t="s">
        <v>289</v>
      </c>
      <c r="C1001" t="s">
        <v>533</v>
      </c>
      <c r="D1001">
        <v>1</v>
      </c>
      <c r="E1001">
        <v>434.33</v>
      </c>
      <c r="F1001" t="s">
        <v>335</v>
      </c>
      <c r="G1001">
        <v>434.33</v>
      </c>
      <c r="H1001">
        <v>521.19000000000005</v>
      </c>
      <c r="I1001" t="s">
        <v>371</v>
      </c>
      <c r="J1001" t="s">
        <v>534</v>
      </c>
      <c r="K1001" t="s">
        <v>699</v>
      </c>
      <c r="L1001" t="s">
        <v>179</v>
      </c>
      <c r="M1001" t="s">
        <v>289</v>
      </c>
      <c r="N1001" t="s">
        <v>11</v>
      </c>
      <c r="O1001" t="s">
        <v>4</v>
      </c>
      <c r="P1001">
        <v>0</v>
      </c>
      <c r="Q1001">
        <v>0</v>
      </c>
      <c r="R1001">
        <v>0</v>
      </c>
      <c r="S1001">
        <v>0</v>
      </c>
      <c r="T1001">
        <v>1</v>
      </c>
      <c r="U1001">
        <v>1</v>
      </c>
      <c r="V1001">
        <v>1</v>
      </c>
      <c r="W1001">
        <v>1</v>
      </c>
      <c r="X1001">
        <v>1</v>
      </c>
      <c r="Y1001">
        <v>1</v>
      </c>
      <c r="Z1001">
        <v>1</v>
      </c>
      <c r="AA1001">
        <v>1</v>
      </c>
      <c r="AB1001">
        <v>1</v>
      </c>
      <c r="AC1001">
        <v>1</v>
      </c>
      <c r="AD1001">
        <v>1</v>
      </c>
      <c r="AE1001">
        <v>1</v>
      </c>
      <c r="AF1001">
        <v>1</v>
      </c>
      <c r="AG1001" t="s">
        <v>289</v>
      </c>
      <c r="AH1001" t="s">
        <v>11</v>
      </c>
      <c r="AI1001" t="s">
        <v>4</v>
      </c>
      <c r="AJ1001">
        <f>$H$1001*$P$1001</f>
        <v>0</v>
      </c>
      <c r="AK1001">
        <f>$H$1001*$Q$1001</f>
        <v>0</v>
      </c>
      <c r="AL1001">
        <f>$H$1001*$R$1001</f>
        <v>0</v>
      </c>
      <c r="AM1001">
        <f>$H$1001*$S$1001</f>
        <v>0</v>
      </c>
      <c r="AN1001">
        <f>$H$1001*$T$1001</f>
        <v>521.19000000000005</v>
      </c>
      <c r="AO1001">
        <f>$H$1001*$U$1001</f>
        <v>521.19000000000005</v>
      </c>
      <c r="AP1001">
        <f>$H$1001*$V$1001</f>
        <v>521.19000000000005</v>
      </c>
      <c r="AQ1001">
        <f>$H$1001*$W$1001</f>
        <v>521.19000000000005</v>
      </c>
      <c r="AR1001">
        <f>$H$1001*$X$1001</f>
        <v>521.19000000000005</v>
      </c>
      <c r="AS1001">
        <f>$H$1001*$Y$1001</f>
        <v>521.19000000000005</v>
      </c>
      <c r="AT1001">
        <f>$H$1001*$Z$1001</f>
        <v>521.19000000000005</v>
      </c>
      <c r="AU1001">
        <f>$H$1001*$AA$1001</f>
        <v>521.19000000000005</v>
      </c>
      <c r="AV1001">
        <f>$H$1001*$AB$1001</f>
        <v>521.19000000000005</v>
      </c>
      <c r="AW1001">
        <f>$H$1001*$AC$1001</f>
        <v>521.19000000000005</v>
      </c>
      <c r="AX1001">
        <f>$H$1001*$AD$1001</f>
        <v>521.19000000000005</v>
      </c>
      <c r="AY1001">
        <f>$H$1001*$AE$1001</f>
        <v>521.19000000000005</v>
      </c>
      <c r="AZ1001">
        <f>$H$1001*$AF$1001</f>
        <v>521.19000000000005</v>
      </c>
    </row>
    <row r="1002" spans="1:52" x14ac:dyDescent="0.25">
      <c r="A1002">
        <v>1088</v>
      </c>
      <c r="B1002" t="s">
        <v>289</v>
      </c>
      <c r="C1002" t="s">
        <v>375</v>
      </c>
      <c r="D1002">
        <v>2</v>
      </c>
      <c r="E1002">
        <v>77.86</v>
      </c>
      <c r="F1002" t="s">
        <v>335</v>
      </c>
      <c r="G1002">
        <v>38.93</v>
      </c>
      <c r="H1002">
        <v>93.44</v>
      </c>
      <c r="I1002" t="s">
        <v>330</v>
      </c>
      <c r="J1002" t="s">
        <v>371</v>
      </c>
      <c r="K1002" t="s">
        <v>622</v>
      </c>
      <c r="L1002" t="s">
        <v>179</v>
      </c>
      <c r="M1002" t="s">
        <v>289</v>
      </c>
      <c r="N1002" t="s">
        <v>11</v>
      </c>
      <c r="O1002" t="s">
        <v>4</v>
      </c>
      <c r="P1002">
        <v>0</v>
      </c>
      <c r="Q1002">
        <v>0</v>
      </c>
      <c r="R1002">
        <v>0</v>
      </c>
      <c r="S1002">
        <v>1</v>
      </c>
      <c r="T1002">
        <v>1</v>
      </c>
      <c r="U1002">
        <v>1</v>
      </c>
      <c r="V1002">
        <v>1</v>
      </c>
      <c r="W1002">
        <v>1</v>
      </c>
      <c r="X1002">
        <v>1</v>
      </c>
      <c r="Y1002">
        <v>1</v>
      </c>
      <c r="Z1002">
        <v>1</v>
      </c>
      <c r="AA1002">
        <v>1</v>
      </c>
      <c r="AB1002">
        <v>1</v>
      </c>
      <c r="AC1002">
        <v>1</v>
      </c>
      <c r="AD1002">
        <v>1</v>
      </c>
      <c r="AE1002">
        <v>1</v>
      </c>
      <c r="AF1002">
        <v>1</v>
      </c>
      <c r="AG1002" t="s">
        <v>289</v>
      </c>
      <c r="AH1002" t="s">
        <v>11</v>
      </c>
      <c r="AI1002" t="s">
        <v>4</v>
      </c>
      <c r="AJ1002">
        <f>$H$1002*$P$1002</f>
        <v>0</v>
      </c>
      <c r="AK1002">
        <f>$H$1002*$Q$1002</f>
        <v>0</v>
      </c>
      <c r="AL1002">
        <f>$H$1002*$R$1002</f>
        <v>0</v>
      </c>
      <c r="AM1002">
        <f>$H$1002*$S$1002</f>
        <v>93.44</v>
      </c>
      <c r="AN1002">
        <f>$H$1002*$T$1002</f>
        <v>93.44</v>
      </c>
      <c r="AO1002">
        <f>$H$1002*$U$1002</f>
        <v>93.44</v>
      </c>
      <c r="AP1002">
        <f>$H$1002*$V$1002</f>
        <v>93.44</v>
      </c>
      <c r="AQ1002">
        <f>$H$1002*$W$1002</f>
        <v>93.44</v>
      </c>
      <c r="AR1002">
        <f>$H$1002*$X$1002</f>
        <v>93.44</v>
      </c>
      <c r="AS1002">
        <f>$H$1002*$Y$1002</f>
        <v>93.44</v>
      </c>
      <c r="AT1002">
        <f>$H$1002*$Z$1002</f>
        <v>93.44</v>
      </c>
      <c r="AU1002">
        <f>$H$1002*$AA$1002</f>
        <v>93.44</v>
      </c>
      <c r="AV1002">
        <f>$H$1002*$AB$1002</f>
        <v>93.44</v>
      </c>
      <c r="AW1002">
        <f>$H$1002*$AC$1002</f>
        <v>93.44</v>
      </c>
      <c r="AX1002">
        <f>$H$1002*$AD$1002</f>
        <v>93.44</v>
      </c>
      <c r="AY1002">
        <f>$H$1002*$AE$1002</f>
        <v>93.44</v>
      </c>
      <c r="AZ1002">
        <f>$H$1002*$AF$1002</f>
        <v>93.44</v>
      </c>
    </row>
    <row r="1003" spans="1:52" x14ac:dyDescent="0.25">
      <c r="A1003">
        <v>1089</v>
      </c>
      <c r="B1003" t="s">
        <v>289</v>
      </c>
      <c r="C1003" t="s">
        <v>373</v>
      </c>
      <c r="D1003">
        <v>2</v>
      </c>
      <c r="E1003">
        <v>62.72</v>
      </c>
      <c r="F1003" t="s">
        <v>335</v>
      </c>
      <c r="G1003">
        <v>31.36</v>
      </c>
      <c r="H1003">
        <v>75.260000000000005</v>
      </c>
      <c r="I1003" t="s">
        <v>330</v>
      </c>
      <c r="J1003" t="s">
        <v>374</v>
      </c>
      <c r="K1003" t="s">
        <v>621</v>
      </c>
      <c r="L1003" t="s">
        <v>179</v>
      </c>
      <c r="M1003" t="s">
        <v>289</v>
      </c>
      <c r="N1003" t="s">
        <v>11</v>
      </c>
      <c r="O1003" t="s">
        <v>4</v>
      </c>
      <c r="P1003">
        <v>0</v>
      </c>
      <c r="Q1003">
        <v>0</v>
      </c>
      <c r="R1003">
        <v>0</v>
      </c>
      <c r="S1003">
        <v>1</v>
      </c>
      <c r="T1003">
        <v>1</v>
      </c>
      <c r="U1003">
        <v>1</v>
      </c>
      <c r="V1003">
        <v>1</v>
      </c>
      <c r="W1003">
        <v>1</v>
      </c>
      <c r="X1003">
        <v>1</v>
      </c>
      <c r="Y1003">
        <v>1</v>
      </c>
      <c r="Z1003">
        <v>1</v>
      </c>
      <c r="AA1003">
        <v>1</v>
      </c>
      <c r="AB1003">
        <v>1</v>
      </c>
      <c r="AC1003">
        <v>1</v>
      </c>
      <c r="AD1003">
        <v>1</v>
      </c>
      <c r="AE1003">
        <v>1</v>
      </c>
      <c r="AF1003">
        <v>1</v>
      </c>
      <c r="AG1003" t="s">
        <v>289</v>
      </c>
      <c r="AH1003" t="s">
        <v>11</v>
      </c>
      <c r="AI1003" t="s">
        <v>4</v>
      </c>
      <c r="AJ1003">
        <f>$H$1003*$P$1003</f>
        <v>0</v>
      </c>
      <c r="AK1003">
        <f>$H$1003*$Q$1003</f>
        <v>0</v>
      </c>
      <c r="AL1003">
        <f>$H$1003*$R$1003</f>
        <v>0</v>
      </c>
      <c r="AM1003">
        <f>$H$1003*$S$1003</f>
        <v>75.260000000000005</v>
      </c>
      <c r="AN1003">
        <f>$H$1003*$T$1003</f>
        <v>75.260000000000005</v>
      </c>
      <c r="AO1003">
        <f>$H$1003*$U$1003</f>
        <v>75.260000000000005</v>
      </c>
      <c r="AP1003">
        <f>$H$1003*$V$1003</f>
        <v>75.260000000000005</v>
      </c>
      <c r="AQ1003">
        <f>$H$1003*$W$1003</f>
        <v>75.260000000000005</v>
      </c>
      <c r="AR1003">
        <f>$H$1003*$X$1003</f>
        <v>75.260000000000005</v>
      </c>
      <c r="AS1003">
        <f>$H$1003*$Y$1003</f>
        <v>75.260000000000005</v>
      </c>
      <c r="AT1003">
        <f>$H$1003*$Z$1003</f>
        <v>75.260000000000005</v>
      </c>
      <c r="AU1003">
        <f>$H$1003*$AA$1003</f>
        <v>75.260000000000005</v>
      </c>
      <c r="AV1003">
        <f>$H$1003*$AB$1003</f>
        <v>75.260000000000005</v>
      </c>
      <c r="AW1003">
        <f>$H$1003*$AC$1003</f>
        <v>75.260000000000005</v>
      </c>
      <c r="AX1003">
        <f>$H$1003*$AD$1003</f>
        <v>75.260000000000005</v>
      </c>
      <c r="AY1003">
        <f>$H$1003*$AE$1003</f>
        <v>75.260000000000005</v>
      </c>
      <c r="AZ1003">
        <f>$H$1003*$AF$1003</f>
        <v>75.260000000000005</v>
      </c>
    </row>
    <row r="1004" spans="1:52" x14ac:dyDescent="0.25">
      <c r="A1004">
        <v>1090</v>
      </c>
      <c r="B1004" t="s">
        <v>289</v>
      </c>
      <c r="C1004" t="s">
        <v>370</v>
      </c>
      <c r="D1004">
        <v>1</v>
      </c>
      <c r="E1004">
        <v>366.18</v>
      </c>
      <c r="F1004" t="s">
        <v>335</v>
      </c>
      <c r="G1004">
        <v>366.18</v>
      </c>
      <c r="H1004">
        <v>439.42</v>
      </c>
      <c r="I1004" t="s">
        <v>371</v>
      </c>
      <c r="J1004" t="s">
        <v>372</v>
      </c>
      <c r="K1004" t="s">
        <v>620</v>
      </c>
      <c r="L1004" t="s">
        <v>179</v>
      </c>
      <c r="M1004" t="s">
        <v>289</v>
      </c>
      <c r="N1004" t="s">
        <v>11</v>
      </c>
      <c r="O1004" t="s">
        <v>4</v>
      </c>
      <c r="P1004">
        <v>0</v>
      </c>
      <c r="Q1004">
        <v>0</v>
      </c>
      <c r="R1004">
        <v>0</v>
      </c>
      <c r="S1004">
        <v>0</v>
      </c>
      <c r="T1004">
        <v>1</v>
      </c>
      <c r="U1004">
        <v>1</v>
      </c>
      <c r="V1004">
        <v>1</v>
      </c>
      <c r="W1004">
        <v>1</v>
      </c>
      <c r="X1004">
        <v>1</v>
      </c>
      <c r="Y1004">
        <v>1</v>
      </c>
      <c r="Z1004">
        <v>1</v>
      </c>
      <c r="AA1004">
        <v>1</v>
      </c>
      <c r="AB1004">
        <v>1</v>
      </c>
      <c r="AC1004">
        <v>1</v>
      </c>
      <c r="AD1004">
        <v>1</v>
      </c>
      <c r="AE1004">
        <v>1</v>
      </c>
      <c r="AF1004">
        <v>1</v>
      </c>
      <c r="AG1004" t="s">
        <v>289</v>
      </c>
      <c r="AH1004" t="s">
        <v>11</v>
      </c>
      <c r="AI1004" t="s">
        <v>4</v>
      </c>
      <c r="AJ1004">
        <f>$H$1004*$P$1004</f>
        <v>0</v>
      </c>
      <c r="AK1004">
        <f>$H$1004*$Q$1004</f>
        <v>0</v>
      </c>
      <c r="AL1004">
        <f>$H$1004*$R$1004</f>
        <v>0</v>
      </c>
      <c r="AM1004">
        <f>$H$1004*$S$1004</f>
        <v>0</v>
      </c>
      <c r="AN1004">
        <f>$H$1004*$T$1004</f>
        <v>439.42</v>
      </c>
      <c r="AO1004">
        <f>$H$1004*$U$1004</f>
        <v>439.42</v>
      </c>
      <c r="AP1004">
        <f>$H$1004*$V$1004</f>
        <v>439.42</v>
      </c>
      <c r="AQ1004">
        <f>$H$1004*$W$1004</f>
        <v>439.42</v>
      </c>
      <c r="AR1004">
        <f>$H$1004*$X$1004</f>
        <v>439.42</v>
      </c>
      <c r="AS1004">
        <f>$H$1004*$Y$1004</f>
        <v>439.42</v>
      </c>
      <c r="AT1004">
        <f>$H$1004*$Z$1004</f>
        <v>439.42</v>
      </c>
      <c r="AU1004">
        <f>$H$1004*$AA$1004</f>
        <v>439.42</v>
      </c>
      <c r="AV1004">
        <f>$H$1004*$AB$1004</f>
        <v>439.42</v>
      </c>
      <c r="AW1004">
        <f>$H$1004*$AC$1004</f>
        <v>439.42</v>
      </c>
      <c r="AX1004">
        <f>$H$1004*$AD$1004</f>
        <v>439.42</v>
      </c>
      <c r="AY1004">
        <f>$H$1004*$AE$1004</f>
        <v>439.42</v>
      </c>
      <c r="AZ1004">
        <f>$H$1004*$AF$1004</f>
        <v>439.42</v>
      </c>
    </row>
    <row r="1005" spans="1:52" x14ac:dyDescent="0.25">
      <c r="A1005">
        <v>1091</v>
      </c>
      <c r="B1005" t="s">
        <v>289</v>
      </c>
      <c r="C1005" t="s">
        <v>438</v>
      </c>
      <c r="D1005">
        <v>23.6</v>
      </c>
      <c r="E1005">
        <v>61.83</v>
      </c>
      <c r="F1005" t="s">
        <v>329</v>
      </c>
      <c r="G1005">
        <v>2.62</v>
      </c>
      <c r="H1005">
        <v>74.19</v>
      </c>
      <c r="I1005" t="s">
        <v>439</v>
      </c>
      <c r="J1005" t="s">
        <v>440</v>
      </c>
      <c r="K1005" t="s">
        <v>654</v>
      </c>
      <c r="L1005" t="s">
        <v>179</v>
      </c>
      <c r="M1005" t="s">
        <v>289</v>
      </c>
      <c r="N1005" t="s">
        <v>11</v>
      </c>
      <c r="O1005" t="s">
        <v>4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1</v>
      </c>
      <c r="AB1005">
        <v>1</v>
      </c>
      <c r="AC1005">
        <v>1</v>
      </c>
      <c r="AD1005">
        <v>1</v>
      </c>
      <c r="AE1005">
        <v>1</v>
      </c>
      <c r="AF1005">
        <v>1</v>
      </c>
      <c r="AG1005" t="s">
        <v>289</v>
      </c>
      <c r="AH1005" t="s">
        <v>11</v>
      </c>
      <c r="AI1005" t="s">
        <v>4</v>
      </c>
      <c r="AJ1005">
        <f>$H$1005*$P$1005</f>
        <v>0</v>
      </c>
      <c r="AK1005">
        <f>$H$1005*$Q$1005</f>
        <v>0</v>
      </c>
      <c r="AL1005">
        <f>$H$1005*$R$1005</f>
        <v>0</v>
      </c>
      <c r="AM1005">
        <f>$H$1005*$S$1005</f>
        <v>0</v>
      </c>
      <c r="AN1005">
        <f>$H$1005*$T$1005</f>
        <v>0</v>
      </c>
      <c r="AO1005">
        <f>$H$1005*$U$1005</f>
        <v>0</v>
      </c>
      <c r="AP1005">
        <f>$H$1005*$V$1005</f>
        <v>0</v>
      </c>
      <c r="AQ1005">
        <f>$H$1005*$W$1005</f>
        <v>0</v>
      </c>
      <c r="AR1005">
        <f>$H$1005*$X$1005</f>
        <v>0</v>
      </c>
      <c r="AS1005">
        <f>$H$1005*$Y$1005</f>
        <v>0</v>
      </c>
      <c r="AT1005">
        <f>$H$1005*$Z$1005</f>
        <v>0</v>
      </c>
      <c r="AU1005">
        <f>$H$1005*$AA$1005</f>
        <v>74.19</v>
      </c>
      <c r="AV1005">
        <f>$H$1005*$AB$1005</f>
        <v>74.19</v>
      </c>
      <c r="AW1005">
        <f>$H$1005*$AC$1005</f>
        <v>74.19</v>
      </c>
      <c r="AX1005">
        <f>$H$1005*$AD$1005</f>
        <v>74.19</v>
      </c>
      <c r="AY1005">
        <f>$H$1005*$AE$1005</f>
        <v>74.19</v>
      </c>
      <c r="AZ1005">
        <f>$H$1005*$AF$1005</f>
        <v>74.19</v>
      </c>
    </row>
    <row r="1006" spans="1:52" x14ac:dyDescent="0.25">
      <c r="A1006">
        <v>1092</v>
      </c>
      <c r="B1006" t="s">
        <v>289</v>
      </c>
      <c r="C1006" t="s">
        <v>441</v>
      </c>
      <c r="D1006">
        <v>212.4</v>
      </c>
      <c r="E1006">
        <v>458.78</v>
      </c>
      <c r="F1006" t="s">
        <v>349</v>
      </c>
      <c r="G1006">
        <v>2.16</v>
      </c>
      <c r="H1006">
        <v>550.54</v>
      </c>
      <c r="I1006" t="s">
        <v>439</v>
      </c>
      <c r="J1006" t="s">
        <v>442</v>
      </c>
      <c r="K1006" t="s">
        <v>655</v>
      </c>
      <c r="L1006" t="s">
        <v>179</v>
      </c>
      <c r="M1006" t="s">
        <v>289</v>
      </c>
      <c r="N1006" t="s">
        <v>11</v>
      </c>
      <c r="O1006" t="s">
        <v>4</v>
      </c>
      <c r="P1006">
        <v>0</v>
      </c>
      <c r="Q1006">
        <v>0</v>
      </c>
      <c r="R1006">
        <v>0</v>
      </c>
      <c r="S1006">
        <v>1</v>
      </c>
      <c r="T1006">
        <v>1</v>
      </c>
      <c r="U1006">
        <v>1</v>
      </c>
      <c r="V1006">
        <v>1</v>
      </c>
      <c r="W1006">
        <v>1</v>
      </c>
      <c r="X1006">
        <v>1</v>
      </c>
      <c r="Y1006">
        <v>1</v>
      </c>
      <c r="Z1006">
        <v>1</v>
      </c>
      <c r="AA1006">
        <v>1</v>
      </c>
      <c r="AB1006">
        <v>1</v>
      </c>
      <c r="AC1006">
        <v>1</v>
      </c>
      <c r="AD1006">
        <v>1</v>
      </c>
      <c r="AE1006">
        <v>1</v>
      </c>
      <c r="AF1006">
        <v>1</v>
      </c>
      <c r="AG1006" t="s">
        <v>289</v>
      </c>
      <c r="AH1006" t="s">
        <v>11</v>
      </c>
      <c r="AI1006" t="s">
        <v>4</v>
      </c>
      <c r="AJ1006">
        <f>$H$1006*$P$1006</f>
        <v>0</v>
      </c>
      <c r="AK1006">
        <f>$H$1006*$Q$1006</f>
        <v>0</v>
      </c>
      <c r="AL1006">
        <f>$H$1006*$R$1006</f>
        <v>0</v>
      </c>
      <c r="AM1006">
        <f>$H$1006*$S$1006</f>
        <v>550.54</v>
      </c>
      <c r="AN1006">
        <f>$H$1006*$T$1006</f>
        <v>550.54</v>
      </c>
      <c r="AO1006">
        <f>$H$1006*$U$1006</f>
        <v>550.54</v>
      </c>
      <c r="AP1006">
        <f>$H$1006*$V$1006</f>
        <v>550.54</v>
      </c>
      <c r="AQ1006">
        <f>$H$1006*$W$1006</f>
        <v>550.54</v>
      </c>
      <c r="AR1006">
        <f>$H$1006*$X$1006</f>
        <v>550.54</v>
      </c>
      <c r="AS1006">
        <f>$H$1006*$Y$1006</f>
        <v>550.54</v>
      </c>
      <c r="AT1006">
        <f>$H$1006*$Z$1006</f>
        <v>550.54</v>
      </c>
      <c r="AU1006">
        <f>$H$1006*$AA$1006</f>
        <v>550.54</v>
      </c>
      <c r="AV1006">
        <f>$H$1006*$AB$1006</f>
        <v>550.54</v>
      </c>
      <c r="AW1006">
        <f>$H$1006*$AC$1006</f>
        <v>550.54</v>
      </c>
      <c r="AX1006">
        <f>$H$1006*$AD$1006</f>
        <v>550.54</v>
      </c>
      <c r="AY1006">
        <f>$H$1006*$AE$1006</f>
        <v>550.54</v>
      </c>
      <c r="AZ1006">
        <f>$H$1006*$AF$1006</f>
        <v>550.54</v>
      </c>
    </row>
    <row r="1007" spans="1:52" x14ac:dyDescent="0.25">
      <c r="A1007">
        <v>1093</v>
      </c>
      <c r="B1007" t="s">
        <v>289</v>
      </c>
      <c r="C1007" t="s">
        <v>443</v>
      </c>
      <c r="D1007">
        <v>212.4</v>
      </c>
      <c r="E1007">
        <v>133.81</v>
      </c>
      <c r="F1007" t="s">
        <v>349</v>
      </c>
      <c r="G1007">
        <v>0.63</v>
      </c>
      <c r="H1007">
        <v>160.57</v>
      </c>
      <c r="I1007" t="s">
        <v>330</v>
      </c>
      <c r="J1007" t="s">
        <v>444</v>
      </c>
      <c r="K1007" t="s">
        <v>656</v>
      </c>
      <c r="L1007" t="s">
        <v>179</v>
      </c>
      <c r="M1007" t="s">
        <v>289</v>
      </c>
      <c r="N1007" t="s">
        <v>11</v>
      </c>
      <c r="O1007" t="s">
        <v>4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1</v>
      </c>
      <c r="AE1007">
        <v>1</v>
      </c>
      <c r="AF1007">
        <v>1</v>
      </c>
      <c r="AG1007" t="s">
        <v>289</v>
      </c>
      <c r="AH1007" t="s">
        <v>11</v>
      </c>
      <c r="AI1007" t="s">
        <v>4</v>
      </c>
      <c r="AJ1007">
        <f>$H$1007*$P$1007</f>
        <v>0</v>
      </c>
      <c r="AK1007">
        <f>$H$1007*$Q$1007</f>
        <v>0</v>
      </c>
      <c r="AL1007">
        <f>$H$1007*$R$1007</f>
        <v>0</v>
      </c>
      <c r="AM1007">
        <f>$H$1007*$S$1007</f>
        <v>0</v>
      </c>
      <c r="AN1007">
        <f>$H$1007*$T$1007</f>
        <v>0</v>
      </c>
      <c r="AO1007">
        <f>$H$1007*$U$1007</f>
        <v>0</v>
      </c>
      <c r="AP1007">
        <f>$H$1007*$V$1007</f>
        <v>0</v>
      </c>
      <c r="AQ1007">
        <f>$H$1007*$W$1007</f>
        <v>0</v>
      </c>
      <c r="AR1007">
        <f>$H$1007*$X$1007</f>
        <v>0</v>
      </c>
      <c r="AS1007">
        <f>$H$1007*$Y$1007</f>
        <v>0</v>
      </c>
      <c r="AT1007">
        <f>$H$1007*$Z$1007</f>
        <v>0</v>
      </c>
      <c r="AU1007">
        <f>$H$1007*$AA$1007</f>
        <v>0</v>
      </c>
      <c r="AV1007">
        <f>$H$1007*$AB$1007</f>
        <v>0</v>
      </c>
      <c r="AW1007">
        <f>$H$1007*$AC$1007</f>
        <v>0</v>
      </c>
      <c r="AX1007">
        <f>$H$1007*$AD$1007</f>
        <v>160.57</v>
      </c>
      <c r="AY1007">
        <f>$H$1007*$AE$1007</f>
        <v>160.57</v>
      </c>
      <c r="AZ1007">
        <f>$H$1007*$AF$1007</f>
        <v>160.57</v>
      </c>
    </row>
    <row r="1008" spans="1:52" x14ac:dyDescent="0.25">
      <c r="A1008">
        <v>1094</v>
      </c>
      <c r="B1008" t="s">
        <v>289</v>
      </c>
      <c r="C1008" t="s">
        <v>362</v>
      </c>
      <c r="D1008">
        <v>265.5</v>
      </c>
      <c r="E1008">
        <v>260.19</v>
      </c>
      <c r="F1008" t="s">
        <v>349</v>
      </c>
      <c r="G1008">
        <v>0.98</v>
      </c>
      <c r="H1008">
        <v>312.23</v>
      </c>
      <c r="I1008" t="s">
        <v>330</v>
      </c>
      <c r="J1008" t="s">
        <v>363</v>
      </c>
      <c r="K1008" t="s">
        <v>617</v>
      </c>
      <c r="L1008" t="s">
        <v>179</v>
      </c>
      <c r="M1008" t="s">
        <v>289</v>
      </c>
      <c r="N1008" t="s">
        <v>11</v>
      </c>
      <c r="O1008" t="s">
        <v>4</v>
      </c>
      <c r="P1008">
        <v>0</v>
      </c>
      <c r="Q1008">
        <v>0</v>
      </c>
      <c r="R1008">
        <v>0</v>
      </c>
      <c r="S1008">
        <v>0</v>
      </c>
      <c r="T1008">
        <v>1</v>
      </c>
      <c r="U1008">
        <v>1</v>
      </c>
      <c r="V1008">
        <v>1</v>
      </c>
      <c r="W1008">
        <v>1</v>
      </c>
      <c r="X1008">
        <v>1</v>
      </c>
      <c r="Y1008">
        <v>1</v>
      </c>
      <c r="Z1008">
        <v>1</v>
      </c>
      <c r="AA1008">
        <v>1</v>
      </c>
      <c r="AB1008">
        <v>1</v>
      </c>
      <c r="AC1008">
        <v>1</v>
      </c>
      <c r="AD1008">
        <v>1</v>
      </c>
      <c r="AE1008">
        <v>1</v>
      </c>
      <c r="AF1008">
        <v>1</v>
      </c>
      <c r="AG1008" t="s">
        <v>289</v>
      </c>
      <c r="AH1008" t="s">
        <v>11</v>
      </c>
      <c r="AI1008" t="s">
        <v>4</v>
      </c>
      <c r="AJ1008">
        <f>$H$1008*$P$1008</f>
        <v>0</v>
      </c>
      <c r="AK1008">
        <f>$H$1008*$Q$1008</f>
        <v>0</v>
      </c>
      <c r="AL1008">
        <f>$H$1008*$R$1008</f>
        <v>0</v>
      </c>
      <c r="AM1008">
        <f>$H$1008*$S$1008</f>
        <v>0</v>
      </c>
      <c r="AN1008">
        <f>$H$1008*$T$1008</f>
        <v>312.23</v>
      </c>
      <c r="AO1008">
        <f>$H$1008*$U$1008</f>
        <v>312.23</v>
      </c>
      <c r="AP1008">
        <f>$H$1008*$V$1008</f>
        <v>312.23</v>
      </c>
      <c r="AQ1008">
        <f>$H$1008*$W$1008</f>
        <v>312.23</v>
      </c>
      <c r="AR1008">
        <f>$H$1008*$X$1008</f>
        <v>312.23</v>
      </c>
      <c r="AS1008">
        <f>$H$1008*$Y$1008</f>
        <v>312.23</v>
      </c>
      <c r="AT1008">
        <f>$H$1008*$Z$1008</f>
        <v>312.23</v>
      </c>
      <c r="AU1008">
        <f>$H$1008*$AA$1008</f>
        <v>312.23</v>
      </c>
      <c r="AV1008">
        <f>$H$1008*$AB$1008</f>
        <v>312.23</v>
      </c>
      <c r="AW1008">
        <f>$H$1008*$AC$1008</f>
        <v>312.23</v>
      </c>
      <c r="AX1008">
        <f>$H$1008*$AD$1008</f>
        <v>312.23</v>
      </c>
      <c r="AY1008">
        <f>$H$1008*$AE$1008</f>
        <v>312.23</v>
      </c>
      <c r="AZ1008">
        <f>$H$1008*$AF$1008</f>
        <v>312.23</v>
      </c>
    </row>
    <row r="1009" spans="1:52" x14ac:dyDescent="0.25">
      <c r="A1009">
        <v>1095</v>
      </c>
      <c r="B1009" t="s">
        <v>289</v>
      </c>
      <c r="C1009" t="s">
        <v>445</v>
      </c>
      <c r="D1009">
        <v>53.1</v>
      </c>
      <c r="E1009">
        <v>199.66</v>
      </c>
      <c r="F1009" t="s">
        <v>349</v>
      </c>
      <c r="G1009">
        <v>3.76</v>
      </c>
      <c r="H1009">
        <v>239.6</v>
      </c>
      <c r="I1009" t="s">
        <v>446</v>
      </c>
      <c r="J1009" t="s">
        <v>420</v>
      </c>
      <c r="K1009" t="s">
        <v>657</v>
      </c>
      <c r="L1009" t="s">
        <v>179</v>
      </c>
      <c r="M1009" t="s">
        <v>289</v>
      </c>
      <c r="N1009" t="s">
        <v>11</v>
      </c>
      <c r="O1009" t="s">
        <v>4</v>
      </c>
      <c r="P1009">
        <v>0</v>
      </c>
      <c r="Q1009">
        <v>0</v>
      </c>
      <c r="R1009">
        <v>0</v>
      </c>
      <c r="S1009">
        <v>0.25</v>
      </c>
      <c r="T1009">
        <v>0.25</v>
      </c>
      <c r="U1009">
        <v>0.25</v>
      </c>
      <c r="V1009">
        <v>0.25</v>
      </c>
      <c r="W1009">
        <v>0.25</v>
      </c>
      <c r="X1009">
        <v>0.5</v>
      </c>
      <c r="Y1009">
        <v>0.5</v>
      </c>
      <c r="Z1009">
        <v>0.5</v>
      </c>
      <c r="AA1009">
        <v>1</v>
      </c>
      <c r="AB1009">
        <v>1</v>
      </c>
      <c r="AC1009">
        <v>1</v>
      </c>
      <c r="AD1009">
        <v>1</v>
      </c>
      <c r="AE1009">
        <v>1</v>
      </c>
      <c r="AF1009">
        <v>1</v>
      </c>
      <c r="AG1009" t="s">
        <v>289</v>
      </c>
      <c r="AH1009" t="s">
        <v>11</v>
      </c>
      <c r="AI1009" t="s">
        <v>4</v>
      </c>
      <c r="AJ1009">
        <f>$H$1009*$P$1009</f>
        <v>0</v>
      </c>
      <c r="AK1009">
        <f>$H$1009*$Q$1009</f>
        <v>0</v>
      </c>
      <c r="AL1009">
        <f>$H$1009*$R$1009</f>
        <v>0</v>
      </c>
      <c r="AM1009">
        <f>$H$1009*$S$1009</f>
        <v>59.9</v>
      </c>
      <c r="AN1009">
        <f>$H$1009*$T$1009</f>
        <v>59.9</v>
      </c>
      <c r="AO1009">
        <f>$H$1009*$U$1009</f>
        <v>59.9</v>
      </c>
      <c r="AP1009">
        <f>$H$1009*$V$1009</f>
        <v>59.9</v>
      </c>
      <c r="AQ1009">
        <f>$H$1009*$W$1009</f>
        <v>59.9</v>
      </c>
      <c r="AR1009">
        <f>$H$1009*$X$1009</f>
        <v>119.8</v>
      </c>
      <c r="AS1009">
        <f>$H$1009*$Y$1009</f>
        <v>119.8</v>
      </c>
      <c r="AT1009">
        <f>$H$1009*$Z$1009</f>
        <v>119.8</v>
      </c>
      <c r="AU1009">
        <f>$H$1009*$AA$1009</f>
        <v>239.6</v>
      </c>
      <c r="AV1009">
        <f>$H$1009*$AB$1009</f>
        <v>239.6</v>
      </c>
      <c r="AW1009">
        <f>$H$1009*$AC$1009</f>
        <v>239.6</v>
      </c>
      <c r="AX1009">
        <f>$H$1009*$AD$1009</f>
        <v>239.6</v>
      </c>
      <c r="AY1009">
        <f>$H$1009*$AE$1009</f>
        <v>239.6</v>
      </c>
      <c r="AZ1009">
        <f>$H$1009*$AF$1009</f>
        <v>239.6</v>
      </c>
    </row>
    <row r="1010" spans="1:52" x14ac:dyDescent="0.25">
      <c r="A1010">
        <v>1096</v>
      </c>
      <c r="B1010" t="s">
        <v>289</v>
      </c>
      <c r="C1010" t="s">
        <v>364</v>
      </c>
      <c r="D1010">
        <v>531</v>
      </c>
      <c r="E1010">
        <v>1784.16</v>
      </c>
      <c r="F1010" t="s">
        <v>349</v>
      </c>
      <c r="G1010">
        <v>3.36</v>
      </c>
      <c r="H1010">
        <v>2141</v>
      </c>
      <c r="I1010" t="s">
        <v>365</v>
      </c>
      <c r="J1010" t="s">
        <v>366</v>
      </c>
      <c r="K1010" t="s">
        <v>618</v>
      </c>
      <c r="L1010" t="s">
        <v>179</v>
      </c>
      <c r="M1010" t="s">
        <v>289</v>
      </c>
      <c r="N1010" t="s">
        <v>11</v>
      </c>
      <c r="O1010" t="s">
        <v>4</v>
      </c>
      <c r="P1010">
        <v>0</v>
      </c>
      <c r="Q1010">
        <v>0</v>
      </c>
      <c r="R1010">
        <v>0</v>
      </c>
      <c r="S1010">
        <v>0.25</v>
      </c>
      <c r="T1010">
        <v>0.25</v>
      </c>
      <c r="U1010">
        <v>0.25</v>
      </c>
      <c r="V1010">
        <v>0.25</v>
      </c>
      <c r="W1010">
        <v>0.5</v>
      </c>
      <c r="X1010">
        <v>0.5</v>
      </c>
      <c r="Y1010">
        <v>0.5</v>
      </c>
      <c r="Z1010">
        <v>0.5</v>
      </c>
      <c r="AA1010">
        <v>1</v>
      </c>
      <c r="AB1010">
        <v>1</v>
      </c>
      <c r="AC1010">
        <v>1</v>
      </c>
      <c r="AD1010">
        <v>1</v>
      </c>
      <c r="AE1010">
        <v>1</v>
      </c>
      <c r="AF1010">
        <v>1</v>
      </c>
      <c r="AG1010" t="s">
        <v>289</v>
      </c>
      <c r="AH1010" t="s">
        <v>11</v>
      </c>
      <c r="AI1010" t="s">
        <v>4</v>
      </c>
      <c r="AJ1010">
        <f>$H$1010*$P$1010</f>
        <v>0</v>
      </c>
      <c r="AK1010">
        <f>$H$1010*$Q$1010</f>
        <v>0</v>
      </c>
      <c r="AL1010">
        <f>$H$1010*$R$1010</f>
        <v>0</v>
      </c>
      <c r="AM1010">
        <f>$H$1010*$S$1010</f>
        <v>535.25</v>
      </c>
      <c r="AN1010">
        <f>$H$1010*$T$1010</f>
        <v>535.25</v>
      </c>
      <c r="AO1010">
        <f>$H$1010*$U$1010</f>
        <v>535.25</v>
      </c>
      <c r="AP1010">
        <f>$H$1010*$V$1010</f>
        <v>535.25</v>
      </c>
      <c r="AQ1010">
        <f>$H$1010*$W$1010</f>
        <v>1070.5</v>
      </c>
      <c r="AR1010">
        <f>$H$1010*$X$1010</f>
        <v>1070.5</v>
      </c>
      <c r="AS1010">
        <f>$H$1010*$Y$1010</f>
        <v>1070.5</v>
      </c>
      <c r="AT1010">
        <f>$H$1010*$Z$1010</f>
        <v>1070.5</v>
      </c>
      <c r="AU1010">
        <f>$H$1010*$AA$1010</f>
        <v>2141</v>
      </c>
      <c r="AV1010">
        <f>$H$1010*$AB$1010</f>
        <v>2141</v>
      </c>
      <c r="AW1010">
        <f>$H$1010*$AC$1010</f>
        <v>2141</v>
      </c>
      <c r="AX1010">
        <f>$H$1010*$AD$1010</f>
        <v>2141</v>
      </c>
      <c r="AY1010">
        <f>$H$1010*$AE$1010</f>
        <v>2141</v>
      </c>
      <c r="AZ1010">
        <f>$H$1010*$AF$1010</f>
        <v>2141</v>
      </c>
    </row>
    <row r="1011" spans="1:52" x14ac:dyDescent="0.25">
      <c r="A1011">
        <v>1097</v>
      </c>
      <c r="B1011" t="s">
        <v>289</v>
      </c>
      <c r="C1011" t="s">
        <v>447</v>
      </c>
      <c r="D1011">
        <v>59</v>
      </c>
      <c r="E1011">
        <v>61.36</v>
      </c>
      <c r="F1011" t="s">
        <v>329</v>
      </c>
      <c r="G1011">
        <v>1.04</v>
      </c>
      <c r="H1011">
        <v>73.64</v>
      </c>
      <c r="I1011" t="s">
        <v>330</v>
      </c>
      <c r="J1011" t="s">
        <v>448</v>
      </c>
      <c r="K1011" t="s">
        <v>658</v>
      </c>
      <c r="L1011" t="s">
        <v>179</v>
      </c>
      <c r="M1011" t="s">
        <v>289</v>
      </c>
      <c r="N1011" t="s">
        <v>11</v>
      </c>
      <c r="O1011" t="s">
        <v>4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1</v>
      </c>
      <c r="AB1011">
        <v>1</v>
      </c>
      <c r="AC1011">
        <v>1</v>
      </c>
      <c r="AD1011">
        <v>1</v>
      </c>
      <c r="AE1011">
        <v>1</v>
      </c>
      <c r="AF1011">
        <v>1</v>
      </c>
      <c r="AG1011" t="s">
        <v>289</v>
      </c>
      <c r="AH1011" t="s">
        <v>11</v>
      </c>
      <c r="AI1011" t="s">
        <v>4</v>
      </c>
      <c r="AJ1011">
        <f>$H$1011*$P$1011</f>
        <v>0</v>
      </c>
      <c r="AK1011">
        <f>$H$1011*$Q$1011</f>
        <v>0</v>
      </c>
      <c r="AL1011">
        <f>$H$1011*$R$1011</f>
        <v>0</v>
      </c>
      <c r="AM1011">
        <f>$H$1011*$S$1011</f>
        <v>0</v>
      </c>
      <c r="AN1011">
        <f>$H$1011*$T$1011</f>
        <v>0</v>
      </c>
      <c r="AO1011">
        <f>$H$1011*$U$1011</f>
        <v>0</v>
      </c>
      <c r="AP1011">
        <f>$H$1011*$V$1011</f>
        <v>0</v>
      </c>
      <c r="AQ1011">
        <f>$H$1011*$W$1011</f>
        <v>0</v>
      </c>
      <c r="AR1011">
        <f>$H$1011*$X$1011</f>
        <v>0</v>
      </c>
      <c r="AS1011">
        <f>$H$1011*$Y$1011</f>
        <v>0</v>
      </c>
      <c r="AT1011">
        <f>$H$1011*$Z$1011</f>
        <v>0</v>
      </c>
      <c r="AU1011">
        <f>$H$1011*$AA$1011</f>
        <v>73.64</v>
      </c>
      <c r="AV1011">
        <f>$H$1011*$AB$1011</f>
        <v>73.64</v>
      </c>
      <c r="AW1011">
        <f>$H$1011*$AC$1011</f>
        <v>73.64</v>
      </c>
      <c r="AX1011">
        <f>$H$1011*$AD$1011</f>
        <v>73.64</v>
      </c>
      <c r="AY1011">
        <f>$H$1011*$AE$1011</f>
        <v>73.64</v>
      </c>
      <c r="AZ1011">
        <f>$H$1011*$AF$1011</f>
        <v>73.64</v>
      </c>
    </row>
    <row r="1012" spans="1:52" x14ac:dyDescent="0.25">
      <c r="A1012">
        <v>1098</v>
      </c>
      <c r="B1012" t="s">
        <v>289</v>
      </c>
      <c r="C1012" t="s">
        <v>449</v>
      </c>
      <c r="D1012">
        <v>59</v>
      </c>
      <c r="E1012">
        <v>473.18</v>
      </c>
      <c r="F1012" t="s">
        <v>329</v>
      </c>
      <c r="G1012">
        <v>8.02</v>
      </c>
      <c r="H1012">
        <v>567.82000000000005</v>
      </c>
      <c r="I1012" t="s">
        <v>333</v>
      </c>
      <c r="J1012" t="s">
        <v>450</v>
      </c>
      <c r="K1012" t="s">
        <v>659</v>
      </c>
      <c r="L1012" t="s">
        <v>179</v>
      </c>
      <c r="M1012" t="s">
        <v>289</v>
      </c>
      <c r="N1012" t="s">
        <v>11</v>
      </c>
      <c r="O1012" t="s">
        <v>4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1</v>
      </c>
      <c r="AB1012">
        <v>1</v>
      </c>
      <c r="AC1012">
        <v>1</v>
      </c>
      <c r="AD1012">
        <v>1</v>
      </c>
      <c r="AE1012">
        <v>1</v>
      </c>
      <c r="AF1012">
        <v>1</v>
      </c>
      <c r="AG1012" t="s">
        <v>289</v>
      </c>
      <c r="AH1012" t="s">
        <v>11</v>
      </c>
      <c r="AI1012" t="s">
        <v>4</v>
      </c>
      <c r="AJ1012">
        <f>$H$1012*$P$1012</f>
        <v>0</v>
      </c>
      <c r="AK1012">
        <f>$H$1012*$Q$1012</f>
        <v>0</v>
      </c>
      <c r="AL1012">
        <f>$H$1012*$R$1012</f>
        <v>0</v>
      </c>
      <c r="AM1012">
        <f>$H$1012*$S$1012</f>
        <v>0</v>
      </c>
      <c r="AN1012">
        <f>$H$1012*$T$1012</f>
        <v>0</v>
      </c>
      <c r="AO1012">
        <f>$H$1012*$U$1012</f>
        <v>0</v>
      </c>
      <c r="AP1012">
        <f>$H$1012*$V$1012</f>
        <v>0</v>
      </c>
      <c r="AQ1012">
        <f>$H$1012*$W$1012</f>
        <v>0</v>
      </c>
      <c r="AR1012">
        <f>$H$1012*$X$1012</f>
        <v>0</v>
      </c>
      <c r="AS1012">
        <f>$H$1012*$Y$1012</f>
        <v>0</v>
      </c>
      <c r="AT1012">
        <f>$H$1012*$Z$1012</f>
        <v>0</v>
      </c>
      <c r="AU1012">
        <f>$H$1012*$AA$1012</f>
        <v>567.82000000000005</v>
      </c>
      <c r="AV1012">
        <f>$H$1012*$AB$1012</f>
        <v>567.82000000000005</v>
      </c>
      <c r="AW1012">
        <f>$H$1012*$AC$1012</f>
        <v>567.82000000000005</v>
      </c>
      <c r="AX1012">
        <f>$H$1012*$AD$1012</f>
        <v>567.82000000000005</v>
      </c>
      <c r="AY1012">
        <f>$H$1012*$AE$1012</f>
        <v>567.82000000000005</v>
      </c>
      <c r="AZ1012">
        <f>$H$1012*$AF$1012</f>
        <v>567.82000000000005</v>
      </c>
    </row>
    <row r="1013" spans="1:52" x14ac:dyDescent="0.25">
      <c r="A1013">
        <v>1099</v>
      </c>
      <c r="B1013" t="s">
        <v>289</v>
      </c>
      <c r="C1013" t="s">
        <v>455</v>
      </c>
      <c r="D1013">
        <v>59</v>
      </c>
      <c r="E1013">
        <v>89.09</v>
      </c>
      <c r="F1013" t="s">
        <v>329</v>
      </c>
      <c r="G1013">
        <v>1.51</v>
      </c>
      <c r="H1013">
        <v>106.91</v>
      </c>
      <c r="I1013" t="s">
        <v>330</v>
      </c>
      <c r="J1013" t="s">
        <v>456</v>
      </c>
      <c r="K1013" t="s">
        <v>662</v>
      </c>
      <c r="L1013" t="s">
        <v>179</v>
      </c>
      <c r="M1013" t="s">
        <v>289</v>
      </c>
      <c r="N1013" t="s">
        <v>11</v>
      </c>
      <c r="O1013" t="s">
        <v>4</v>
      </c>
      <c r="P1013">
        <v>0</v>
      </c>
      <c r="Q1013">
        <v>0</v>
      </c>
      <c r="R1013">
        <v>0</v>
      </c>
      <c r="S1013">
        <v>1</v>
      </c>
      <c r="T1013">
        <v>1</v>
      </c>
      <c r="U1013">
        <v>1</v>
      </c>
      <c r="V1013">
        <v>1</v>
      </c>
      <c r="W1013">
        <v>1</v>
      </c>
      <c r="X1013">
        <v>1</v>
      </c>
      <c r="Y1013">
        <v>1</v>
      </c>
      <c r="Z1013">
        <v>1</v>
      </c>
      <c r="AA1013">
        <v>1</v>
      </c>
      <c r="AB1013">
        <v>1</v>
      </c>
      <c r="AC1013">
        <v>1</v>
      </c>
      <c r="AD1013">
        <v>1</v>
      </c>
      <c r="AE1013">
        <v>1</v>
      </c>
      <c r="AF1013">
        <v>1</v>
      </c>
      <c r="AG1013" t="s">
        <v>289</v>
      </c>
      <c r="AH1013" t="s">
        <v>11</v>
      </c>
      <c r="AI1013" t="s">
        <v>4</v>
      </c>
      <c r="AJ1013">
        <f>$H$1013*$P$1013</f>
        <v>0</v>
      </c>
      <c r="AK1013">
        <f>$H$1013*$Q$1013</f>
        <v>0</v>
      </c>
      <c r="AL1013">
        <f>$H$1013*$R$1013</f>
        <v>0</v>
      </c>
      <c r="AM1013">
        <f>$H$1013*$S$1013</f>
        <v>106.91</v>
      </c>
      <c r="AN1013">
        <f>$H$1013*$T$1013</f>
        <v>106.91</v>
      </c>
      <c r="AO1013">
        <f>$H$1013*$U$1013</f>
        <v>106.91</v>
      </c>
      <c r="AP1013">
        <f>$H$1013*$V$1013</f>
        <v>106.91</v>
      </c>
      <c r="AQ1013">
        <f>$H$1013*$W$1013</f>
        <v>106.91</v>
      </c>
      <c r="AR1013">
        <f>$H$1013*$X$1013</f>
        <v>106.91</v>
      </c>
      <c r="AS1013">
        <f>$H$1013*$Y$1013</f>
        <v>106.91</v>
      </c>
      <c r="AT1013">
        <f>$H$1013*$Z$1013</f>
        <v>106.91</v>
      </c>
      <c r="AU1013">
        <f>$H$1013*$AA$1013</f>
        <v>106.91</v>
      </c>
      <c r="AV1013">
        <f>$H$1013*$AB$1013</f>
        <v>106.91</v>
      </c>
      <c r="AW1013">
        <f>$H$1013*$AC$1013</f>
        <v>106.91</v>
      </c>
      <c r="AX1013">
        <f>$H$1013*$AD$1013</f>
        <v>106.91</v>
      </c>
      <c r="AY1013">
        <f>$H$1013*$AE$1013</f>
        <v>106.91</v>
      </c>
      <c r="AZ1013">
        <f>$H$1013*$AF$1013</f>
        <v>106.91</v>
      </c>
    </row>
    <row r="1014" spans="1:52" x14ac:dyDescent="0.25">
      <c r="A1014">
        <v>1100</v>
      </c>
      <c r="B1014" t="s">
        <v>289</v>
      </c>
      <c r="C1014" t="s">
        <v>457</v>
      </c>
      <c r="D1014">
        <v>59</v>
      </c>
      <c r="E1014">
        <v>335.12</v>
      </c>
      <c r="F1014" t="s">
        <v>329</v>
      </c>
      <c r="G1014">
        <v>5.68</v>
      </c>
      <c r="H1014">
        <v>402.14</v>
      </c>
      <c r="I1014" t="s">
        <v>333</v>
      </c>
      <c r="J1014" t="s">
        <v>458</v>
      </c>
      <c r="K1014" t="s">
        <v>663</v>
      </c>
      <c r="L1014" t="s">
        <v>179</v>
      </c>
      <c r="M1014" t="s">
        <v>289</v>
      </c>
      <c r="N1014" t="s">
        <v>11</v>
      </c>
      <c r="O1014" t="s">
        <v>4</v>
      </c>
      <c r="P1014">
        <v>0</v>
      </c>
      <c r="Q1014">
        <v>0</v>
      </c>
      <c r="R1014">
        <v>0</v>
      </c>
      <c r="S1014">
        <v>1</v>
      </c>
      <c r="T1014">
        <v>1</v>
      </c>
      <c r="U1014">
        <v>1</v>
      </c>
      <c r="V1014">
        <v>1</v>
      </c>
      <c r="W1014">
        <v>1</v>
      </c>
      <c r="X1014">
        <v>1</v>
      </c>
      <c r="Y1014">
        <v>1</v>
      </c>
      <c r="Z1014">
        <v>1</v>
      </c>
      <c r="AA1014">
        <v>1</v>
      </c>
      <c r="AB1014">
        <v>1</v>
      </c>
      <c r="AC1014">
        <v>1</v>
      </c>
      <c r="AD1014">
        <v>1</v>
      </c>
      <c r="AE1014">
        <v>1</v>
      </c>
      <c r="AF1014">
        <v>1</v>
      </c>
      <c r="AG1014" t="s">
        <v>289</v>
      </c>
      <c r="AH1014" t="s">
        <v>11</v>
      </c>
      <c r="AI1014" t="s">
        <v>4</v>
      </c>
      <c r="AJ1014">
        <f>$H$1014*$P$1014</f>
        <v>0</v>
      </c>
      <c r="AK1014">
        <f>$H$1014*$Q$1014</f>
        <v>0</v>
      </c>
      <c r="AL1014">
        <f>$H$1014*$R$1014</f>
        <v>0</v>
      </c>
      <c r="AM1014">
        <f>$H$1014*$S$1014</f>
        <v>402.14</v>
      </c>
      <c r="AN1014">
        <f>$H$1014*$T$1014</f>
        <v>402.14</v>
      </c>
      <c r="AO1014">
        <f>$H$1014*$U$1014</f>
        <v>402.14</v>
      </c>
      <c r="AP1014">
        <f>$H$1014*$V$1014</f>
        <v>402.14</v>
      </c>
      <c r="AQ1014">
        <f>$H$1014*$W$1014</f>
        <v>402.14</v>
      </c>
      <c r="AR1014">
        <f>$H$1014*$X$1014</f>
        <v>402.14</v>
      </c>
      <c r="AS1014">
        <f>$H$1014*$Y$1014</f>
        <v>402.14</v>
      </c>
      <c r="AT1014">
        <f>$H$1014*$Z$1014</f>
        <v>402.14</v>
      </c>
      <c r="AU1014">
        <f>$H$1014*$AA$1014</f>
        <v>402.14</v>
      </c>
      <c r="AV1014">
        <f>$H$1014*$AB$1014</f>
        <v>402.14</v>
      </c>
      <c r="AW1014">
        <f>$H$1014*$AC$1014</f>
        <v>402.14</v>
      </c>
      <c r="AX1014">
        <f>$H$1014*$AD$1014</f>
        <v>402.14</v>
      </c>
      <c r="AY1014">
        <f>$H$1014*$AE$1014</f>
        <v>402.14</v>
      </c>
      <c r="AZ1014">
        <f>$H$1014*$AF$1014</f>
        <v>402.14</v>
      </c>
    </row>
    <row r="1015" spans="1:52" x14ac:dyDescent="0.25">
      <c r="A1015">
        <v>1101</v>
      </c>
      <c r="B1015" t="s">
        <v>289</v>
      </c>
      <c r="C1015" t="s">
        <v>364</v>
      </c>
      <c r="D1015">
        <v>216.56</v>
      </c>
      <c r="E1015">
        <v>727.64</v>
      </c>
      <c r="F1015" t="s">
        <v>349</v>
      </c>
      <c r="G1015">
        <v>3.36</v>
      </c>
      <c r="H1015">
        <v>873.16</v>
      </c>
      <c r="I1015" t="s">
        <v>365</v>
      </c>
      <c r="J1015" t="s">
        <v>366</v>
      </c>
      <c r="K1015" t="s">
        <v>618</v>
      </c>
      <c r="L1015" t="s">
        <v>179</v>
      </c>
      <c r="M1015" t="s">
        <v>289</v>
      </c>
      <c r="N1015" t="s">
        <v>11</v>
      </c>
      <c r="O1015" t="s">
        <v>4</v>
      </c>
      <c r="P1015">
        <v>0</v>
      </c>
      <c r="Q1015">
        <v>0</v>
      </c>
      <c r="R1015">
        <v>0</v>
      </c>
      <c r="S1015">
        <v>0.25</v>
      </c>
      <c r="T1015">
        <v>0.25</v>
      </c>
      <c r="U1015">
        <v>0.25</v>
      </c>
      <c r="V1015">
        <v>0.25</v>
      </c>
      <c r="W1015">
        <v>0.5</v>
      </c>
      <c r="X1015">
        <v>0.5</v>
      </c>
      <c r="Y1015">
        <v>0.5</v>
      </c>
      <c r="Z1015">
        <v>0.5</v>
      </c>
      <c r="AA1015">
        <v>1</v>
      </c>
      <c r="AB1015">
        <v>1</v>
      </c>
      <c r="AC1015">
        <v>1</v>
      </c>
      <c r="AD1015">
        <v>1</v>
      </c>
      <c r="AE1015">
        <v>1</v>
      </c>
      <c r="AF1015">
        <v>1</v>
      </c>
      <c r="AG1015" t="s">
        <v>289</v>
      </c>
      <c r="AH1015" t="s">
        <v>11</v>
      </c>
      <c r="AI1015" t="s">
        <v>4</v>
      </c>
      <c r="AJ1015">
        <f>$H$1015*$P$1015</f>
        <v>0</v>
      </c>
      <c r="AK1015">
        <f>$H$1015*$Q$1015</f>
        <v>0</v>
      </c>
      <c r="AL1015">
        <f>$H$1015*$R$1015</f>
        <v>0</v>
      </c>
      <c r="AM1015">
        <f>$H$1015*$S$1015</f>
        <v>218.29</v>
      </c>
      <c r="AN1015">
        <f>$H$1015*$T$1015</f>
        <v>218.29</v>
      </c>
      <c r="AO1015">
        <f>$H$1015*$U$1015</f>
        <v>218.29</v>
      </c>
      <c r="AP1015">
        <f>$H$1015*$V$1015</f>
        <v>218.29</v>
      </c>
      <c r="AQ1015">
        <f>$H$1015*$W$1015</f>
        <v>436.58</v>
      </c>
      <c r="AR1015">
        <f>$H$1015*$X$1015</f>
        <v>436.58</v>
      </c>
      <c r="AS1015">
        <f>$H$1015*$Y$1015</f>
        <v>436.58</v>
      </c>
      <c r="AT1015">
        <f>$H$1015*$Z$1015</f>
        <v>436.58</v>
      </c>
      <c r="AU1015">
        <f>$H$1015*$AA$1015</f>
        <v>873.16</v>
      </c>
      <c r="AV1015">
        <f>$H$1015*$AB$1015</f>
        <v>873.16</v>
      </c>
      <c r="AW1015">
        <f>$H$1015*$AC$1015</f>
        <v>873.16</v>
      </c>
      <c r="AX1015">
        <f>$H$1015*$AD$1015</f>
        <v>873.16</v>
      </c>
      <c r="AY1015">
        <f>$H$1015*$AE$1015</f>
        <v>873.16</v>
      </c>
      <c r="AZ1015">
        <f>$H$1015*$AF$1015</f>
        <v>873.16</v>
      </c>
    </row>
    <row r="1016" spans="1:52" x14ac:dyDescent="0.25">
      <c r="A1016">
        <v>1102</v>
      </c>
      <c r="B1016" t="s">
        <v>289</v>
      </c>
      <c r="C1016" t="s">
        <v>443</v>
      </c>
      <c r="D1016">
        <v>216.56</v>
      </c>
      <c r="E1016">
        <v>136.43</v>
      </c>
      <c r="F1016" t="s">
        <v>349</v>
      </c>
      <c r="G1016">
        <v>0.63</v>
      </c>
      <c r="H1016">
        <v>163.71</v>
      </c>
      <c r="I1016" t="s">
        <v>330</v>
      </c>
      <c r="J1016" t="s">
        <v>444</v>
      </c>
      <c r="K1016" t="s">
        <v>656</v>
      </c>
      <c r="L1016" t="s">
        <v>179</v>
      </c>
      <c r="M1016" t="s">
        <v>289</v>
      </c>
      <c r="N1016" t="s">
        <v>11</v>
      </c>
      <c r="O1016" t="s">
        <v>4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1</v>
      </c>
      <c r="AE1016">
        <v>1</v>
      </c>
      <c r="AF1016">
        <v>1</v>
      </c>
      <c r="AG1016" t="s">
        <v>289</v>
      </c>
      <c r="AH1016" t="s">
        <v>11</v>
      </c>
      <c r="AI1016" t="s">
        <v>4</v>
      </c>
      <c r="AJ1016">
        <f>$H$1016*$P$1016</f>
        <v>0</v>
      </c>
      <c r="AK1016">
        <f>$H$1016*$Q$1016</f>
        <v>0</v>
      </c>
      <c r="AL1016">
        <f>$H$1016*$R$1016</f>
        <v>0</v>
      </c>
      <c r="AM1016">
        <f>$H$1016*$S$1016</f>
        <v>0</v>
      </c>
      <c r="AN1016">
        <f>$H$1016*$T$1016</f>
        <v>0</v>
      </c>
      <c r="AO1016">
        <f>$H$1016*$U$1016</f>
        <v>0</v>
      </c>
      <c r="AP1016">
        <f>$H$1016*$V$1016</f>
        <v>0</v>
      </c>
      <c r="AQ1016">
        <f>$H$1016*$W$1016</f>
        <v>0</v>
      </c>
      <c r="AR1016">
        <f>$H$1016*$X$1016</f>
        <v>0</v>
      </c>
      <c r="AS1016">
        <f>$H$1016*$Y$1016</f>
        <v>0</v>
      </c>
      <c r="AT1016">
        <f>$H$1016*$Z$1016</f>
        <v>0</v>
      </c>
      <c r="AU1016">
        <f>$H$1016*$AA$1016</f>
        <v>0</v>
      </c>
      <c r="AV1016">
        <f>$H$1016*$AB$1016</f>
        <v>0</v>
      </c>
      <c r="AW1016">
        <f>$H$1016*$AC$1016</f>
        <v>0</v>
      </c>
      <c r="AX1016">
        <f>$H$1016*$AD$1016</f>
        <v>163.71</v>
      </c>
      <c r="AY1016">
        <f>$H$1016*$AE$1016</f>
        <v>163.71</v>
      </c>
      <c r="AZ1016">
        <f>$H$1016*$AF$1016</f>
        <v>163.71</v>
      </c>
    </row>
    <row r="1017" spans="1:52" x14ac:dyDescent="0.25">
      <c r="A1017">
        <v>1103</v>
      </c>
      <c r="B1017" t="s">
        <v>289</v>
      </c>
      <c r="C1017" t="s">
        <v>459</v>
      </c>
      <c r="D1017">
        <v>216.56</v>
      </c>
      <c r="E1017">
        <v>149.43</v>
      </c>
      <c r="F1017" t="s">
        <v>349</v>
      </c>
      <c r="G1017">
        <v>0.69</v>
      </c>
      <c r="H1017">
        <v>179.31</v>
      </c>
      <c r="I1017" t="s">
        <v>330</v>
      </c>
      <c r="J1017" t="s">
        <v>460</v>
      </c>
      <c r="K1017" t="s">
        <v>664</v>
      </c>
      <c r="L1017" t="s">
        <v>179</v>
      </c>
      <c r="M1017" t="s">
        <v>289</v>
      </c>
      <c r="N1017" t="s">
        <v>11</v>
      </c>
      <c r="O1017" t="s">
        <v>4</v>
      </c>
      <c r="P1017">
        <v>0</v>
      </c>
      <c r="Q1017">
        <v>0</v>
      </c>
      <c r="R1017">
        <v>0</v>
      </c>
      <c r="S1017">
        <v>1</v>
      </c>
      <c r="T1017">
        <v>1</v>
      </c>
      <c r="U1017">
        <v>1</v>
      </c>
      <c r="V1017">
        <v>1</v>
      </c>
      <c r="W1017">
        <v>1</v>
      </c>
      <c r="X1017">
        <v>1</v>
      </c>
      <c r="Y1017">
        <v>1</v>
      </c>
      <c r="Z1017">
        <v>1</v>
      </c>
      <c r="AA1017">
        <v>1</v>
      </c>
      <c r="AB1017">
        <v>1</v>
      </c>
      <c r="AC1017">
        <v>1</v>
      </c>
      <c r="AD1017">
        <v>1</v>
      </c>
      <c r="AE1017">
        <v>1</v>
      </c>
      <c r="AF1017">
        <v>1</v>
      </c>
      <c r="AG1017" t="s">
        <v>289</v>
      </c>
      <c r="AH1017" t="s">
        <v>11</v>
      </c>
      <c r="AI1017" t="s">
        <v>4</v>
      </c>
      <c r="AJ1017">
        <f>$H$1017*$P$1017</f>
        <v>0</v>
      </c>
      <c r="AK1017">
        <f>$H$1017*$Q$1017</f>
        <v>0</v>
      </c>
      <c r="AL1017">
        <f>$H$1017*$R$1017</f>
        <v>0</v>
      </c>
      <c r="AM1017">
        <f>$H$1017*$S$1017</f>
        <v>179.31</v>
      </c>
      <c r="AN1017">
        <f>$H$1017*$T$1017</f>
        <v>179.31</v>
      </c>
      <c r="AO1017">
        <f>$H$1017*$U$1017</f>
        <v>179.31</v>
      </c>
      <c r="AP1017">
        <f>$H$1017*$V$1017</f>
        <v>179.31</v>
      </c>
      <c r="AQ1017">
        <f>$H$1017*$W$1017</f>
        <v>179.31</v>
      </c>
      <c r="AR1017">
        <f>$H$1017*$X$1017</f>
        <v>179.31</v>
      </c>
      <c r="AS1017">
        <f>$H$1017*$Y$1017</f>
        <v>179.31</v>
      </c>
      <c r="AT1017">
        <f>$H$1017*$Z$1017</f>
        <v>179.31</v>
      </c>
      <c r="AU1017">
        <f>$H$1017*$AA$1017</f>
        <v>179.31</v>
      </c>
      <c r="AV1017">
        <f>$H$1017*$AB$1017</f>
        <v>179.31</v>
      </c>
      <c r="AW1017">
        <f>$H$1017*$AC$1017</f>
        <v>179.31</v>
      </c>
      <c r="AX1017">
        <f>$H$1017*$AD$1017</f>
        <v>179.31</v>
      </c>
      <c r="AY1017">
        <f>$H$1017*$AE$1017</f>
        <v>179.31</v>
      </c>
      <c r="AZ1017">
        <f>$H$1017*$AF$1017</f>
        <v>179.31</v>
      </c>
    </row>
    <row r="1018" spans="1:52" x14ac:dyDescent="0.25">
      <c r="A1018">
        <v>1104</v>
      </c>
      <c r="B1018" t="s">
        <v>289</v>
      </c>
      <c r="C1018" t="s">
        <v>461</v>
      </c>
      <c r="D1018">
        <v>43.31</v>
      </c>
      <c r="E1018">
        <v>751.43</v>
      </c>
      <c r="F1018" t="s">
        <v>349</v>
      </c>
      <c r="G1018">
        <v>17.350000000000001</v>
      </c>
      <c r="H1018">
        <v>901.71</v>
      </c>
      <c r="I1018" t="s">
        <v>462</v>
      </c>
      <c r="J1018" t="s">
        <v>463</v>
      </c>
      <c r="K1018" t="s">
        <v>665</v>
      </c>
      <c r="L1018" t="s">
        <v>179</v>
      </c>
      <c r="M1018" t="s">
        <v>289</v>
      </c>
      <c r="N1018" t="s">
        <v>11</v>
      </c>
      <c r="O1018" t="s">
        <v>4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1</v>
      </c>
      <c r="Z1018">
        <v>1</v>
      </c>
      <c r="AA1018">
        <v>1</v>
      </c>
      <c r="AB1018">
        <v>1</v>
      </c>
      <c r="AC1018">
        <v>1</v>
      </c>
      <c r="AD1018">
        <v>1</v>
      </c>
      <c r="AE1018">
        <v>1</v>
      </c>
      <c r="AF1018">
        <v>1</v>
      </c>
      <c r="AG1018" t="s">
        <v>289</v>
      </c>
      <c r="AH1018" t="s">
        <v>11</v>
      </c>
      <c r="AI1018" t="s">
        <v>4</v>
      </c>
      <c r="AJ1018">
        <f>$H$1018*$P$1018</f>
        <v>0</v>
      </c>
      <c r="AK1018">
        <f>$H$1018*$Q$1018</f>
        <v>0</v>
      </c>
      <c r="AL1018">
        <f>$H$1018*$R$1018</f>
        <v>0</v>
      </c>
      <c r="AM1018">
        <f>$H$1018*$S$1018</f>
        <v>0</v>
      </c>
      <c r="AN1018">
        <f>$H$1018*$T$1018</f>
        <v>0</v>
      </c>
      <c r="AO1018">
        <f>$H$1018*$U$1018</f>
        <v>0</v>
      </c>
      <c r="AP1018">
        <f>$H$1018*$V$1018</f>
        <v>0</v>
      </c>
      <c r="AQ1018">
        <f>$H$1018*$W$1018</f>
        <v>0</v>
      </c>
      <c r="AR1018">
        <f>$H$1018*$X$1018</f>
        <v>0</v>
      </c>
      <c r="AS1018">
        <f>$H$1018*$Y$1018</f>
        <v>901.71</v>
      </c>
      <c r="AT1018">
        <f>$H$1018*$Z$1018</f>
        <v>901.71</v>
      </c>
      <c r="AU1018">
        <f>$H$1018*$AA$1018</f>
        <v>901.71</v>
      </c>
      <c r="AV1018">
        <f>$H$1018*$AB$1018</f>
        <v>901.71</v>
      </c>
      <c r="AW1018">
        <f>$H$1018*$AC$1018</f>
        <v>901.71</v>
      </c>
      <c r="AX1018">
        <f>$H$1018*$AD$1018</f>
        <v>901.71</v>
      </c>
      <c r="AY1018">
        <f>$H$1018*$AE$1018</f>
        <v>901.71</v>
      </c>
      <c r="AZ1018">
        <f>$H$1018*$AF$1018</f>
        <v>901.71</v>
      </c>
    </row>
    <row r="1019" spans="1:52" x14ac:dyDescent="0.25">
      <c r="A1019">
        <v>1105</v>
      </c>
      <c r="B1019" t="s">
        <v>289</v>
      </c>
      <c r="C1019" t="s">
        <v>464</v>
      </c>
      <c r="D1019">
        <v>86.63</v>
      </c>
      <c r="E1019">
        <v>310.14</v>
      </c>
      <c r="F1019" t="s">
        <v>349</v>
      </c>
      <c r="G1019">
        <v>3.58</v>
      </c>
      <c r="H1019">
        <v>372.16</v>
      </c>
      <c r="I1019" t="s">
        <v>465</v>
      </c>
      <c r="J1019" t="s">
        <v>466</v>
      </c>
      <c r="K1019" t="s">
        <v>666</v>
      </c>
      <c r="L1019" t="s">
        <v>179</v>
      </c>
      <c r="M1019" t="s">
        <v>289</v>
      </c>
      <c r="N1019" t="s">
        <v>11</v>
      </c>
      <c r="O1019" t="s">
        <v>4</v>
      </c>
      <c r="P1019">
        <v>0</v>
      </c>
      <c r="Q1019">
        <v>0</v>
      </c>
      <c r="R1019">
        <v>0</v>
      </c>
      <c r="S1019">
        <v>1</v>
      </c>
      <c r="T1019">
        <v>1</v>
      </c>
      <c r="U1019">
        <v>1</v>
      </c>
      <c r="V1019">
        <v>1</v>
      </c>
      <c r="W1019">
        <v>1</v>
      </c>
      <c r="X1019">
        <v>1</v>
      </c>
      <c r="Y1019">
        <v>1</v>
      </c>
      <c r="Z1019">
        <v>1</v>
      </c>
      <c r="AA1019">
        <v>1</v>
      </c>
      <c r="AB1019">
        <v>1</v>
      </c>
      <c r="AC1019">
        <v>1</v>
      </c>
      <c r="AD1019">
        <v>1</v>
      </c>
      <c r="AE1019">
        <v>1</v>
      </c>
      <c r="AF1019">
        <v>1</v>
      </c>
      <c r="AG1019" t="s">
        <v>289</v>
      </c>
      <c r="AH1019" t="s">
        <v>11</v>
      </c>
      <c r="AI1019" t="s">
        <v>4</v>
      </c>
      <c r="AJ1019">
        <f>$H$1019*$P$1019</f>
        <v>0</v>
      </c>
      <c r="AK1019">
        <f>$H$1019*$Q$1019</f>
        <v>0</v>
      </c>
      <c r="AL1019">
        <f>$H$1019*$R$1019</f>
        <v>0</v>
      </c>
      <c r="AM1019">
        <f>$H$1019*$S$1019</f>
        <v>372.16</v>
      </c>
      <c r="AN1019">
        <f>$H$1019*$T$1019</f>
        <v>372.16</v>
      </c>
      <c r="AO1019">
        <f>$H$1019*$U$1019</f>
        <v>372.16</v>
      </c>
      <c r="AP1019">
        <f>$H$1019*$V$1019</f>
        <v>372.16</v>
      </c>
      <c r="AQ1019">
        <f>$H$1019*$W$1019</f>
        <v>372.16</v>
      </c>
      <c r="AR1019">
        <f>$H$1019*$X$1019</f>
        <v>372.16</v>
      </c>
      <c r="AS1019">
        <f>$H$1019*$Y$1019</f>
        <v>372.16</v>
      </c>
      <c r="AT1019">
        <f>$H$1019*$Z$1019</f>
        <v>372.16</v>
      </c>
      <c r="AU1019">
        <f>$H$1019*$AA$1019</f>
        <v>372.16</v>
      </c>
      <c r="AV1019">
        <f>$H$1019*$AB$1019</f>
        <v>372.16</v>
      </c>
      <c r="AW1019">
        <f>$H$1019*$AC$1019</f>
        <v>372.16</v>
      </c>
      <c r="AX1019">
        <f>$H$1019*$AD$1019</f>
        <v>372.16</v>
      </c>
      <c r="AY1019">
        <f>$H$1019*$AE$1019</f>
        <v>372.16</v>
      </c>
      <c r="AZ1019">
        <f>$H$1019*$AF$1019</f>
        <v>372.16</v>
      </c>
    </row>
    <row r="1020" spans="1:52" x14ac:dyDescent="0.25">
      <c r="A1020">
        <v>1106</v>
      </c>
      <c r="B1020" t="s">
        <v>289</v>
      </c>
      <c r="C1020" t="s">
        <v>467</v>
      </c>
      <c r="D1020">
        <v>86.63</v>
      </c>
      <c r="E1020">
        <v>853.31</v>
      </c>
      <c r="F1020" t="s">
        <v>349</v>
      </c>
      <c r="G1020">
        <v>9.85</v>
      </c>
      <c r="H1020">
        <v>1023.97</v>
      </c>
      <c r="I1020" t="s">
        <v>465</v>
      </c>
      <c r="J1020" t="s">
        <v>372</v>
      </c>
      <c r="K1020" t="s">
        <v>667</v>
      </c>
      <c r="L1020" t="s">
        <v>179</v>
      </c>
      <c r="M1020" t="s">
        <v>289</v>
      </c>
      <c r="N1020" t="s">
        <v>11</v>
      </c>
      <c r="O1020" t="s">
        <v>4</v>
      </c>
      <c r="P1020">
        <v>0</v>
      </c>
      <c r="Q1020">
        <v>0</v>
      </c>
      <c r="R1020">
        <v>0</v>
      </c>
      <c r="S1020">
        <v>1</v>
      </c>
      <c r="T1020">
        <v>1</v>
      </c>
      <c r="U1020">
        <v>1</v>
      </c>
      <c r="V1020">
        <v>1</v>
      </c>
      <c r="W1020">
        <v>1</v>
      </c>
      <c r="X1020">
        <v>1</v>
      </c>
      <c r="Y1020">
        <v>1</v>
      </c>
      <c r="Z1020">
        <v>1</v>
      </c>
      <c r="AA1020">
        <v>1</v>
      </c>
      <c r="AB1020">
        <v>1</v>
      </c>
      <c r="AC1020">
        <v>1</v>
      </c>
      <c r="AD1020">
        <v>1</v>
      </c>
      <c r="AE1020">
        <v>1</v>
      </c>
      <c r="AF1020">
        <v>1</v>
      </c>
      <c r="AG1020" t="s">
        <v>289</v>
      </c>
      <c r="AH1020" t="s">
        <v>11</v>
      </c>
      <c r="AI1020" t="s">
        <v>4</v>
      </c>
      <c r="AJ1020">
        <f>$H$1020*$P$1020</f>
        <v>0</v>
      </c>
      <c r="AK1020">
        <f>$H$1020*$Q$1020</f>
        <v>0</v>
      </c>
      <c r="AL1020">
        <f>$H$1020*$R$1020</f>
        <v>0</v>
      </c>
      <c r="AM1020">
        <f>$H$1020*$S$1020</f>
        <v>1023.97</v>
      </c>
      <c r="AN1020">
        <f>$H$1020*$T$1020</f>
        <v>1023.97</v>
      </c>
      <c r="AO1020">
        <f>$H$1020*$U$1020</f>
        <v>1023.97</v>
      </c>
      <c r="AP1020">
        <f>$H$1020*$V$1020</f>
        <v>1023.97</v>
      </c>
      <c r="AQ1020">
        <f>$H$1020*$W$1020</f>
        <v>1023.97</v>
      </c>
      <c r="AR1020">
        <f>$H$1020*$X$1020</f>
        <v>1023.97</v>
      </c>
      <c r="AS1020">
        <f>$H$1020*$Y$1020</f>
        <v>1023.97</v>
      </c>
      <c r="AT1020">
        <f>$H$1020*$Z$1020</f>
        <v>1023.97</v>
      </c>
      <c r="AU1020">
        <f>$H$1020*$AA$1020</f>
        <v>1023.97</v>
      </c>
      <c r="AV1020">
        <f>$H$1020*$AB$1020</f>
        <v>1023.97</v>
      </c>
      <c r="AW1020">
        <f>$H$1020*$AC$1020</f>
        <v>1023.97</v>
      </c>
      <c r="AX1020">
        <f>$H$1020*$AD$1020</f>
        <v>1023.97</v>
      </c>
      <c r="AY1020">
        <f>$H$1020*$AE$1020</f>
        <v>1023.97</v>
      </c>
      <c r="AZ1020">
        <f>$H$1020*$AF$1020</f>
        <v>1023.97</v>
      </c>
    </row>
    <row r="1021" spans="1:52" x14ac:dyDescent="0.25">
      <c r="A1021">
        <v>1107</v>
      </c>
      <c r="B1021" t="s">
        <v>289</v>
      </c>
      <c r="C1021" t="s">
        <v>468</v>
      </c>
      <c r="D1021">
        <v>99.62</v>
      </c>
      <c r="E1021">
        <v>101.61</v>
      </c>
      <c r="F1021" t="s">
        <v>349</v>
      </c>
      <c r="G1021">
        <v>1.02</v>
      </c>
      <c r="H1021">
        <v>121.93</v>
      </c>
      <c r="I1021" t="s">
        <v>469</v>
      </c>
      <c r="J1021" t="s">
        <v>470</v>
      </c>
      <c r="K1021" t="s">
        <v>668</v>
      </c>
      <c r="L1021" t="s">
        <v>179</v>
      </c>
      <c r="M1021" t="s">
        <v>289</v>
      </c>
      <c r="N1021" t="s">
        <v>11</v>
      </c>
      <c r="O1021" t="s">
        <v>4</v>
      </c>
      <c r="P1021">
        <v>0</v>
      </c>
      <c r="Q1021">
        <v>0</v>
      </c>
      <c r="R1021">
        <v>0</v>
      </c>
      <c r="S1021">
        <v>1</v>
      </c>
      <c r="T1021">
        <v>1</v>
      </c>
      <c r="U1021">
        <v>1</v>
      </c>
      <c r="V1021">
        <v>1</v>
      </c>
      <c r="W1021">
        <v>1</v>
      </c>
      <c r="X1021">
        <v>1</v>
      </c>
      <c r="Y1021">
        <v>1</v>
      </c>
      <c r="Z1021">
        <v>1</v>
      </c>
      <c r="AA1021">
        <v>1</v>
      </c>
      <c r="AB1021">
        <v>1</v>
      </c>
      <c r="AC1021">
        <v>1</v>
      </c>
      <c r="AD1021">
        <v>1</v>
      </c>
      <c r="AE1021">
        <v>1</v>
      </c>
      <c r="AF1021">
        <v>1</v>
      </c>
      <c r="AG1021" t="s">
        <v>289</v>
      </c>
      <c r="AH1021" t="s">
        <v>11</v>
      </c>
      <c r="AI1021" t="s">
        <v>4</v>
      </c>
      <c r="AJ1021">
        <f>$H$1021*$P$1021</f>
        <v>0</v>
      </c>
      <c r="AK1021">
        <f>$H$1021*$Q$1021</f>
        <v>0</v>
      </c>
      <c r="AL1021">
        <f>$H$1021*$R$1021</f>
        <v>0</v>
      </c>
      <c r="AM1021">
        <f>$H$1021*$S$1021</f>
        <v>121.93</v>
      </c>
      <c r="AN1021">
        <f>$H$1021*$T$1021</f>
        <v>121.93</v>
      </c>
      <c r="AO1021">
        <f>$H$1021*$U$1021</f>
        <v>121.93</v>
      </c>
      <c r="AP1021">
        <f>$H$1021*$V$1021</f>
        <v>121.93</v>
      </c>
      <c r="AQ1021">
        <f>$H$1021*$W$1021</f>
        <v>121.93</v>
      </c>
      <c r="AR1021">
        <f>$H$1021*$X$1021</f>
        <v>121.93</v>
      </c>
      <c r="AS1021">
        <f>$H$1021*$Y$1021</f>
        <v>121.93</v>
      </c>
      <c r="AT1021">
        <f>$H$1021*$Z$1021</f>
        <v>121.93</v>
      </c>
      <c r="AU1021">
        <f>$H$1021*$AA$1021</f>
        <v>121.93</v>
      </c>
      <c r="AV1021">
        <f>$H$1021*$AB$1021</f>
        <v>121.93</v>
      </c>
      <c r="AW1021">
        <f>$H$1021*$AC$1021</f>
        <v>121.93</v>
      </c>
      <c r="AX1021">
        <f>$H$1021*$AD$1021</f>
        <v>121.93</v>
      </c>
      <c r="AY1021">
        <f>$H$1021*$AE$1021</f>
        <v>121.93</v>
      </c>
      <c r="AZ1021">
        <f>$H$1021*$AF$1021</f>
        <v>121.93</v>
      </c>
    </row>
    <row r="1022" spans="1:52" x14ac:dyDescent="0.25">
      <c r="A1022">
        <v>1108</v>
      </c>
      <c r="B1022" t="s">
        <v>289</v>
      </c>
      <c r="C1022" t="s">
        <v>471</v>
      </c>
      <c r="D1022">
        <v>99.62</v>
      </c>
      <c r="E1022">
        <v>919.49</v>
      </c>
      <c r="F1022" t="s">
        <v>349</v>
      </c>
      <c r="G1022">
        <v>9.23</v>
      </c>
      <c r="H1022">
        <v>1103.3900000000001</v>
      </c>
      <c r="I1022" t="s">
        <v>469</v>
      </c>
      <c r="J1022" t="s">
        <v>463</v>
      </c>
      <c r="K1022" t="s">
        <v>669</v>
      </c>
      <c r="L1022" t="s">
        <v>179</v>
      </c>
      <c r="M1022" t="s">
        <v>289</v>
      </c>
      <c r="N1022" t="s">
        <v>11</v>
      </c>
      <c r="O1022" t="s">
        <v>4</v>
      </c>
      <c r="P1022">
        <v>0</v>
      </c>
      <c r="Q1022">
        <v>0</v>
      </c>
      <c r="R1022">
        <v>0</v>
      </c>
      <c r="S1022">
        <v>1</v>
      </c>
      <c r="T1022">
        <v>1</v>
      </c>
      <c r="U1022">
        <v>1</v>
      </c>
      <c r="V1022">
        <v>1</v>
      </c>
      <c r="W1022">
        <v>1</v>
      </c>
      <c r="X1022">
        <v>1</v>
      </c>
      <c r="Y1022">
        <v>1</v>
      </c>
      <c r="Z1022">
        <v>1</v>
      </c>
      <c r="AA1022">
        <v>1</v>
      </c>
      <c r="AB1022">
        <v>1</v>
      </c>
      <c r="AC1022">
        <v>1</v>
      </c>
      <c r="AD1022">
        <v>1</v>
      </c>
      <c r="AE1022">
        <v>1</v>
      </c>
      <c r="AF1022">
        <v>1</v>
      </c>
      <c r="AG1022" t="s">
        <v>289</v>
      </c>
      <c r="AH1022" t="s">
        <v>11</v>
      </c>
      <c r="AI1022" t="s">
        <v>4</v>
      </c>
      <c r="AJ1022">
        <f>$H$1022*$P$1022</f>
        <v>0</v>
      </c>
      <c r="AK1022">
        <f>$H$1022*$Q$1022</f>
        <v>0</v>
      </c>
      <c r="AL1022">
        <f>$H$1022*$R$1022</f>
        <v>0</v>
      </c>
      <c r="AM1022">
        <f>$H$1022*$S$1022</f>
        <v>1103.3900000000001</v>
      </c>
      <c r="AN1022">
        <f>$H$1022*$T$1022</f>
        <v>1103.3900000000001</v>
      </c>
      <c r="AO1022">
        <f>$H$1022*$U$1022</f>
        <v>1103.3900000000001</v>
      </c>
      <c r="AP1022">
        <f>$H$1022*$V$1022</f>
        <v>1103.3900000000001</v>
      </c>
      <c r="AQ1022">
        <f>$H$1022*$W$1022</f>
        <v>1103.3900000000001</v>
      </c>
      <c r="AR1022">
        <f>$H$1022*$X$1022</f>
        <v>1103.3900000000001</v>
      </c>
      <c r="AS1022">
        <f>$H$1022*$Y$1022</f>
        <v>1103.3900000000001</v>
      </c>
      <c r="AT1022">
        <f>$H$1022*$Z$1022</f>
        <v>1103.3900000000001</v>
      </c>
      <c r="AU1022">
        <f>$H$1022*$AA$1022</f>
        <v>1103.3900000000001</v>
      </c>
      <c r="AV1022">
        <f>$H$1022*$AB$1022</f>
        <v>1103.3900000000001</v>
      </c>
      <c r="AW1022">
        <f>$H$1022*$AC$1022</f>
        <v>1103.3900000000001</v>
      </c>
      <c r="AX1022">
        <f>$H$1022*$AD$1022</f>
        <v>1103.3900000000001</v>
      </c>
      <c r="AY1022">
        <f>$H$1022*$AE$1022</f>
        <v>1103.3900000000001</v>
      </c>
      <c r="AZ1022">
        <f>$H$1022*$AF$1022</f>
        <v>1103.3900000000001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35"/>
  <sheetViews>
    <sheetView topLeftCell="A13" workbookViewId="0">
      <selection activeCell="B36" sqref="B36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311</v>
      </c>
      <c r="B2">
        <v>116.36</v>
      </c>
      <c r="D2" t="s">
        <v>734</v>
      </c>
      <c r="E2">
        <v>11</v>
      </c>
      <c r="F2">
        <v>10</v>
      </c>
      <c r="G2">
        <v>9</v>
      </c>
      <c r="H2">
        <v>10</v>
      </c>
      <c r="I2">
        <v>9</v>
      </c>
      <c r="J2">
        <v>0</v>
      </c>
    </row>
    <row r="3" spans="1:10" x14ac:dyDescent="0.25">
      <c r="A3" t="s">
        <v>268</v>
      </c>
      <c r="B3">
        <v>38.51</v>
      </c>
      <c r="D3" t="s">
        <v>735</v>
      </c>
      <c r="E3">
        <v>7</v>
      </c>
      <c r="F3">
        <v>10</v>
      </c>
      <c r="G3">
        <v>4</v>
      </c>
      <c r="H3">
        <v>11</v>
      </c>
      <c r="I3">
        <v>9</v>
      </c>
      <c r="J3">
        <v>0</v>
      </c>
    </row>
    <row r="4" spans="1:10" x14ac:dyDescent="0.25">
      <c r="A4" t="s">
        <v>279</v>
      </c>
      <c r="B4">
        <v>38.51</v>
      </c>
      <c r="D4" t="s">
        <v>735</v>
      </c>
      <c r="E4">
        <v>7</v>
      </c>
      <c r="F4">
        <v>10</v>
      </c>
      <c r="G4">
        <v>4</v>
      </c>
      <c r="H4">
        <v>11</v>
      </c>
      <c r="I4">
        <v>9</v>
      </c>
      <c r="J4">
        <v>0</v>
      </c>
    </row>
    <row r="5" spans="1:10" x14ac:dyDescent="0.25">
      <c r="A5" t="s">
        <v>277</v>
      </c>
      <c r="B5">
        <v>38.51</v>
      </c>
      <c r="D5" t="s">
        <v>735</v>
      </c>
      <c r="E5">
        <v>7</v>
      </c>
      <c r="F5">
        <v>10</v>
      </c>
      <c r="G5">
        <v>4</v>
      </c>
      <c r="H5">
        <v>11</v>
      </c>
      <c r="I5">
        <v>9</v>
      </c>
      <c r="J5">
        <v>0</v>
      </c>
    </row>
    <row r="6" spans="1:10" x14ac:dyDescent="0.25">
      <c r="A6" t="s">
        <v>274</v>
      </c>
      <c r="B6">
        <v>77.03</v>
      </c>
      <c r="D6" t="s">
        <v>736</v>
      </c>
      <c r="E6">
        <v>9</v>
      </c>
      <c r="F6">
        <v>10</v>
      </c>
      <c r="G6">
        <v>7</v>
      </c>
      <c r="H6">
        <v>10</v>
      </c>
      <c r="I6">
        <v>9</v>
      </c>
      <c r="J6">
        <v>0</v>
      </c>
    </row>
    <row r="7" spans="1:10" x14ac:dyDescent="0.25">
      <c r="A7" t="s">
        <v>290</v>
      </c>
      <c r="B7">
        <v>209.06</v>
      </c>
      <c r="D7" t="s">
        <v>737</v>
      </c>
      <c r="E7">
        <v>17</v>
      </c>
      <c r="F7">
        <v>8</v>
      </c>
      <c r="G7">
        <v>11</v>
      </c>
      <c r="H7">
        <v>10</v>
      </c>
      <c r="I7">
        <v>9</v>
      </c>
      <c r="J7">
        <v>0</v>
      </c>
    </row>
    <row r="8" spans="1:10" x14ac:dyDescent="0.25">
      <c r="A8" t="s">
        <v>4</v>
      </c>
      <c r="B8">
        <v>96.69</v>
      </c>
      <c r="D8" t="s">
        <v>738</v>
      </c>
      <c r="E8">
        <v>9</v>
      </c>
      <c r="F8">
        <v>10</v>
      </c>
      <c r="G8">
        <v>9</v>
      </c>
      <c r="H8">
        <v>10</v>
      </c>
      <c r="I8">
        <v>9</v>
      </c>
      <c r="J8">
        <v>0</v>
      </c>
    </row>
    <row r="9" spans="1:10" x14ac:dyDescent="0.25">
      <c r="A9" t="s">
        <v>5</v>
      </c>
      <c r="B9">
        <v>96.69</v>
      </c>
      <c r="D9" t="s">
        <v>738</v>
      </c>
      <c r="E9">
        <v>9</v>
      </c>
      <c r="F9">
        <v>10</v>
      </c>
      <c r="G9">
        <v>9</v>
      </c>
      <c r="H9">
        <v>10</v>
      </c>
      <c r="I9">
        <v>9</v>
      </c>
      <c r="J9">
        <v>0</v>
      </c>
    </row>
    <row r="10" spans="1:10" x14ac:dyDescent="0.25">
      <c r="A10" t="s">
        <v>292</v>
      </c>
      <c r="B10">
        <v>270.42</v>
      </c>
      <c r="D10" t="s">
        <v>739</v>
      </c>
      <c r="E10">
        <v>19</v>
      </c>
      <c r="F10">
        <v>8</v>
      </c>
      <c r="G10">
        <v>13</v>
      </c>
      <c r="H10">
        <v>9</v>
      </c>
      <c r="I10">
        <v>9</v>
      </c>
      <c r="J10">
        <v>0</v>
      </c>
    </row>
    <row r="11" spans="1:10" x14ac:dyDescent="0.25">
      <c r="A11" t="s">
        <v>6</v>
      </c>
      <c r="B11">
        <v>57.77</v>
      </c>
      <c r="D11" t="s">
        <v>740</v>
      </c>
      <c r="E11">
        <v>14</v>
      </c>
      <c r="F11">
        <v>9</v>
      </c>
      <c r="G11">
        <v>3</v>
      </c>
      <c r="H11">
        <v>11</v>
      </c>
      <c r="I11">
        <v>9</v>
      </c>
      <c r="J11">
        <v>0</v>
      </c>
    </row>
    <row r="12" spans="1:10" x14ac:dyDescent="0.25">
      <c r="A12" t="s">
        <v>296</v>
      </c>
      <c r="B12">
        <v>209.06</v>
      </c>
      <c r="D12" t="s">
        <v>737</v>
      </c>
      <c r="E12">
        <v>17</v>
      </c>
      <c r="F12">
        <v>8</v>
      </c>
      <c r="G12">
        <v>11</v>
      </c>
      <c r="H12">
        <v>10</v>
      </c>
      <c r="I12">
        <v>9</v>
      </c>
      <c r="J12">
        <v>0</v>
      </c>
    </row>
    <row r="13" spans="1:10" x14ac:dyDescent="0.25">
      <c r="A13" t="s">
        <v>536</v>
      </c>
      <c r="B13">
        <v>119.17</v>
      </c>
      <c r="D13" t="s">
        <v>741</v>
      </c>
      <c r="E13">
        <v>10</v>
      </c>
      <c r="F13">
        <v>11</v>
      </c>
      <c r="G13">
        <v>10</v>
      </c>
      <c r="H13">
        <v>11</v>
      </c>
      <c r="I13">
        <v>9</v>
      </c>
      <c r="J13">
        <v>0</v>
      </c>
    </row>
    <row r="14" spans="1:10" x14ac:dyDescent="0.25">
      <c r="A14" t="s">
        <v>305</v>
      </c>
      <c r="B14">
        <v>96.69</v>
      </c>
      <c r="D14" t="s">
        <v>738</v>
      </c>
      <c r="E14">
        <v>9</v>
      </c>
      <c r="F14">
        <v>10</v>
      </c>
      <c r="G14">
        <v>9</v>
      </c>
      <c r="H14">
        <v>10</v>
      </c>
      <c r="I14">
        <v>9</v>
      </c>
      <c r="J14">
        <v>0</v>
      </c>
    </row>
    <row r="15" spans="1:10" x14ac:dyDescent="0.25">
      <c r="A15" t="s">
        <v>271</v>
      </c>
      <c r="B15">
        <v>24.17</v>
      </c>
      <c r="D15" t="s">
        <v>742</v>
      </c>
      <c r="E15">
        <v>4</v>
      </c>
      <c r="F15">
        <v>11</v>
      </c>
      <c r="G15">
        <v>4</v>
      </c>
      <c r="H15">
        <v>11</v>
      </c>
      <c r="I15">
        <v>9</v>
      </c>
      <c r="J15">
        <v>0</v>
      </c>
    </row>
    <row r="16" spans="1:10" x14ac:dyDescent="0.25">
      <c r="A16" t="s">
        <v>167</v>
      </c>
      <c r="B16">
        <v>77.03</v>
      </c>
      <c r="D16" t="s">
        <v>736</v>
      </c>
      <c r="E16">
        <v>9</v>
      </c>
      <c r="F16">
        <v>10</v>
      </c>
      <c r="G16">
        <v>7</v>
      </c>
      <c r="H16">
        <v>10</v>
      </c>
      <c r="I16">
        <v>9</v>
      </c>
      <c r="J16">
        <v>0</v>
      </c>
    </row>
    <row r="17" spans="1:10" x14ac:dyDescent="0.25">
      <c r="A17" t="s">
        <v>307</v>
      </c>
      <c r="B17">
        <v>116.36</v>
      </c>
      <c r="D17" t="s">
        <v>734</v>
      </c>
      <c r="E17">
        <v>11</v>
      </c>
      <c r="F17">
        <v>10</v>
      </c>
      <c r="G17">
        <v>9</v>
      </c>
      <c r="H17">
        <v>10</v>
      </c>
      <c r="I17">
        <v>9</v>
      </c>
      <c r="J17">
        <v>0</v>
      </c>
    </row>
    <row r="18" spans="1:10" x14ac:dyDescent="0.25">
      <c r="A18" t="s">
        <v>308</v>
      </c>
      <c r="B18">
        <v>116.36</v>
      </c>
      <c r="D18" t="s">
        <v>734</v>
      </c>
      <c r="E18">
        <v>11</v>
      </c>
      <c r="F18">
        <v>10</v>
      </c>
      <c r="G18">
        <v>9</v>
      </c>
      <c r="H18">
        <v>10</v>
      </c>
      <c r="I18">
        <v>9</v>
      </c>
      <c r="J18">
        <v>0</v>
      </c>
    </row>
    <row r="19" spans="1:10" x14ac:dyDescent="0.25">
      <c r="A19" t="s">
        <v>301</v>
      </c>
      <c r="B19">
        <v>77.03</v>
      </c>
      <c r="D19" t="s">
        <v>736</v>
      </c>
      <c r="E19">
        <v>9</v>
      </c>
      <c r="F19">
        <v>10</v>
      </c>
      <c r="G19">
        <v>7</v>
      </c>
      <c r="H19">
        <v>10</v>
      </c>
      <c r="I19">
        <v>9</v>
      </c>
      <c r="J19">
        <v>0</v>
      </c>
    </row>
    <row r="20" spans="1:10" x14ac:dyDescent="0.25">
      <c r="A20" t="s">
        <v>309</v>
      </c>
      <c r="B20">
        <v>116.36</v>
      </c>
      <c r="D20" t="s">
        <v>734</v>
      </c>
      <c r="E20">
        <v>11</v>
      </c>
      <c r="F20">
        <v>10</v>
      </c>
      <c r="G20">
        <v>9</v>
      </c>
      <c r="H20">
        <v>10</v>
      </c>
      <c r="I20">
        <v>9</v>
      </c>
      <c r="J20">
        <v>0</v>
      </c>
    </row>
    <row r="21" spans="1:10" x14ac:dyDescent="0.25">
      <c r="A21" t="s">
        <v>281</v>
      </c>
      <c r="B21">
        <v>162.71</v>
      </c>
      <c r="D21" t="s">
        <v>743</v>
      </c>
      <c r="E21">
        <v>13</v>
      </c>
      <c r="F21">
        <v>9</v>
      </c>
      <c r="G21">
        <v>11</v>
      </c>
      <c r="H21">
        <v>10</v>
      </c>
      <c r="I21">
        <v>9</v>
      </c>
      <c r="J21">
        <v>0</v>
      </c>
    </row>
    <row r="22" spans="1:10" x14ac:dyDescent="0.25">
      <c r="A22" t="s">
        <v>7</v>
      </c>
      <c r="B22">
        <v>159.79</v>
      </c>
      <c r="D22" t="s">
        <v>744</v>
      </c>
      <c r="E22">
        <v>14</v>
      </c>
      <c r="F22">
        <v>9</v>
      </c>
      <c r="G22">
        <v>10</v>
      </c>
      <c r="H22">
        <v>10</v>
      </c>
      <c r="I22">
        <v>9</v>
      </c>
      <c r="J22">
        <v>0</v>
      </c>
    </row>
    <row r="23" spans="1:10" x14ac:dyDescent="0.25">
      <c r="A23" t="s">
        <v>282</v>
      </c>
      <c r="B23">
        <v>162.71</v>
      </c>
      <c r="D23" t="s">
        <v>743</v>
      </c>
      <c r="E23">
        <v>13</v>
      </c>
      <c r="F23">
        <v>9</v>
      </c>
      <c r="G23">
        <v>11</v>
      </c>
      <c r="H23">
        <v>10</v>
      </c>
      <c r="I23">
        <v>9</v>
      </c>
      <c r="J23">
        <v>0</v>
      </c>
    </row>
    <row r="24" spans="1:10" x14ac:dyDescent="0.25">
      <c r="A24" t="s">
        <v>287</v>
      </c>
      <c r="B24">
        <v>216.56</v>
      </c>
      <c r="D24" t="s">
        <v>745</v>
      </c>
      <c r="E24">
        <v>15</v>
      </c>
      <c r="F24">
        <v>9</v>
      </c>
      <c r="G24">
        <v>13</v>
      </c>
      <c r="H24">
        <v>9</v>
      </c>
      <c r="I24">
        <v>9</v>
      </c>
      <c r="J24">
        <v>0</v>
      </c>
    </row>
    <row r="25" spans="1:10" x14ac:dyDescent="0.25">
      <c r="A25" t="s">
        <v>303</v>
      </c>
      <c r="B25">
        <v>57.77</v>
      </c>
      <c r="D25" t="s">
        <v>740</v>
      </c>
      <c r="E25">
        <v>14</v>
      </c>
      <c r="F25">
        <v>9</v>
      </c>
      <c r="G25">
        <v>3</v>
      </c>
      <c r="H25">
        <v>11</v>
      </c>
      <c r="I25">
        <v>9</v>
      </c>
      <c r="J25">
        <v>0</v>
      </c>
    </row>
    <row r="26" spans="1:10" x14ac:dyDescent="0.25">
      <c r="A26" t="s">
        <v>302</v>
      </c>
      <c r="B26">
        <v>87.27</v>
      </c>
      <c r="D26" t="s">
        <v>746</v>
      </c>
      <c r="E26">
        <v>14</v>
      </c>
      <c r="F26">
        <v>9</v>
      </c>
      <c r="G26">
        <v>5</v>
      </c>
      <c r="H26">
        <v>11</v>
      </c>
      <c r="I26">
        <v>9</v>
      </c>
      <c r="J26">
        <v>0</v>
      </c>
    </row>
    <row r="27" spans="1:10" x14ac:dyDescent="0.25">
      <c r="A27" t="s">
        <v>288</v>
      </c>
      <c r="B27">
        <v>216.56</v>
      </c>
      <c r="D27" t="s">
        <v>745</v>
      </c>
      <c r="E27">
        <v>15</v>
      </c>
      <c r="F27">
        <v>9</v>
      </c>
      <c r="G27">
        <v>13</v>
      </c>
      <c r="H27">
        <v>9</v>
      </c>
      <c r="I27">
        <v>9</v>
      </c>
      <c r="J27">
        <v>0</v>
      </c>
    </row>
    <row r="28" spans="1:10" x14ac:dyDescent="0.25">
      <c r="A28" t="s">
        <v>283</v>
      </c>
      <c r="B28">
        <v>216.56</v>
      </c>
      <c r="D28" t="s">
        <v>745</v>
      </c>
      <c r="E28">
        <v>15</v>
      </c>
      <c r="F28">
        <v>9</v>
      </c>
      <c r="G28">
        <v>13</v>
      </c>
      <c r="H28">
        <v>9</v>
      </c>
      <c r="I28">
        <v>9</v>
      </c>
      <c r="J28">
        <v>0</v>
      </c>
    </row>
    <row r="29" spans="1:10" x14ac:dyDescent="0.25">
      <c r="A29" t="s">
        <v>285</v>
      </c>
      <c r="B29">
        <v>162.71</v>
      </c>
      <c r="D29" t="s">
        <v>743</v>
      </c>
      <c r="E29">
        <v>13</v>
      </c>
      <c r="F29">
        <v>9</v>
      </c>
      <c r="G29">
        <v>11</v>
      </c>
      <c r="H29">
        <v>10</v>
      </c>
      <c r="I29">
        <v>9</v>
      </c>
      <c r="J29">
        <v>0</v>
      </c>
    </row>
    <row r="30" spans="1:10" x14ac:dyDescent="0.25">
      <c r="A30" t="s">
        <v>295</v>
      </c>
      <c r="B30">
        <v>270.42</v>
      </c>
      <c r="D30" t="s">
        <v>739</v>
      </c>
      <c r="E30">
        <v>19</v>
      </c>
      <c r="F30">
        <v>8</v>
      </c>
      <c r="G30">
        <v>13</v>
      </c>
      <c r="H30">
        <v>9</v>
      </c>
      <c r="I30">
        <v>9</v>
      </c>
      <c r="J30">
        <v>0</v>
      </c>
    </row>
    <row r="31" spans="1:10" x14ac:dyDescent="0.25">
      <c r="A31" t="s">
        <v>598</v>
      </c>
      <c r="B31">
        <v>200.69</v>
      </c>
      <c r="D31" t="s">
        <v>747</v>
      </c>
      <c r="E31">
        <v>14</v>
      </c>
      <c r="F31">
        <v>2</v>
      </c>
      <c r="G31">
        <v>14</v>
      </c>
      <c r="H31">
        <v>2</v>
      </c>
      <c r="I31">
        <v>9</v>
      </c>
      <c r="J31">
        <v>0</v>
      </c>
    </row>
    <row r="32" spans="1:10" x14ac:dyDescent="0.25">
      <c r="A32" t="s">
        <v>293</v>
      </c>
      <c r="B32">
        <v>209.06</v>
      </c>
      <c r="D32" t="s">
        <v>737</v>
      </c>
      <c r="E32">
        <v>17</v>
      </c>
      <c r="F32">
        <v>8</v>
      </c>
      <c r="G32">
        <v>11</v>
      </c>
      <c r="H32">
        <v>10</v>
      </c>
      <c r="I32">
        <v>9</v>
      </c>
      <c r="J32">
        <v>0</v>
      </c>
    </row>
    <row r="33" spans="1:10" x14ac:dyDescent="0.25">
      <c r="A33" t="s">
        <v>289</v>
      </c>
      <c r="B33">
        <v>216.56</v>
      </c>
      <c r="D33" t="s">
        <v>745</v>
      </c>
      <c r="E33">
        <v>15</v>
      </c>
      <c r="F33">
        <v>9</v>
      </c>
      <c r="G33">
        <v>13</v>
      </c>
      <c r="H33">
        <v>9</v>
      </c>
      <c r="I33">
        <v>9</v>
      </c>
      <c r="J33">
        <v>0</v>
      </c>
    </row>
    <row r="34" spans="1:10" x14ac:dyDescent="0.25">
      <c r="A34" s="65" t="s">
        <v>298</v>
      </c>
      <c r="B34">
        <v>96.7</v>
      </c>
    </row>
    <row r="35" spans="1:10" x14ac:dyDescent="0.25">
      <c r="A35" s="65" t="s">
        <v>304</v>
      </c>
      <c r="B35">
        <v>87.27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41"/>
  <sheetViews>
    <sheetView workbookViewId="0">
      <selection activeCell="G34" sqref="G34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748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2023-09-18 13:14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614</v>
      </c>
      <c r="H3" s="66" t="s">
        <v>190</v>
      </c>
      <c r="I3" s="66" t="s">
        <v>190</v>
      </c>
      <c r="J3" s="65" t="s">
        <v>26</v>
      </c>
      <c r="K3" s="65" t="s">
        <v>67</v>
      </c>
      <c r="L3" s="65"/>
      <c r="M3" s="65" t="s">
        <v>190</v>
      </c>
      <c r="N3" s="89" t="s">
        <v>190</v>
      </c>
      <c r="O3" s="89" t="s">
        <v>190</v>
      </c>
    </row>
    <row r="4" spans="1:16" x14ac:dyDescent="0.25">
      <c r="A4" s="46"/>
      <c r="B4" s="46"/>
      <c r="C4" s="46"/>
      <c r="D4" s="1"/>
      <c r="E4" s="1"/>
      <c r="G4" s="65" t="s">
        <v>604</v>
      </c>
      <c r="H4" s="66" t="s">
        <v>190</v>
      </c>
      <c r="I4" s="66">
        <v>232.25749999999999</v>
      </c>
      <c r="J4" s="65" t="s">
        <v>27</v>
      </c>
      <c r="K4" s="65" t="s">
        <v>66</v>
      </c>
      <c r="L4" s="65"/>
      <c r="M4" s="65" t="s">
        <v>129</v>
      </c>
      <c r="N4" s="89">
        <v>29</v>
      </c>
      <c r="O4" s="89">
        <v>6735.4674999999997</v>
      </c>
    </row>
    <row r="5" spans="1:16" x14ac:dyDescent="0.25">
      <c r="A5" s="41"/>
      <c r="B5" s="41"/>
      <c r="C5" s="41"/>
      <c r="D5" s="41"/>
      <c r="E5" s="41"/>
      <c r="G5" s="65" t="s">
        <v>630</v>
      </c>
      <c r="H5" s="66" t="s">
        <v>190</v>
      </c>
      <c r="I5" s="66" t="s">
        <v>190</v>
      </c>
      <c r="J5" s="65" t="s">
        <v>12</v>
      </c>
      <c r="K5" s="65" t="s">
        <v>68</v>
      </c>
      <c r="L5" s="65"/>
      <c r="M5" s="65" t="s">
        <v>190</v>
      </c>
      <c r="N5" s="89" t="s">
        <v>190</v>
      </c>
      <c r="O5" s="89" t="s">
        <v>190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7</v>
      </c>
      <c r="H6" s="65">
        <v>159.79</v>
      </c>
      <c r="I6" s="65">
        <v>14.84</v>
      </c>
      <c r="J6" s="65" t="s">
        <v>12</v>
      </c>
      <c r="K6" s="65" t="s">
        <v>7</v>
      </c>
      <c r="L6" s="65" t="s">
        <v>749</v>
      </c>
      <c r="M6" s="65" t="s">
        <v>128</v>
      </c>
      <c r="N6" s="89">
        <v>238</v>
      </c>
      <c r="O6" s="89">
        <v>3531.92</v>
      </c>
      <c r="P6" s="93"/>
    </row>
    <row r="7" spans="1:16" x14ac:dyDescent="0.25">
      <c r="A7" s="2" t="s">
        <v>17</v>
      </c>
      <c r="B7" s="67">
        <v>2500</v>
      </c>
      <c r="C7" s="69">
        <v>232.26</v>
      </c>
      <c r="D7" s="1"/>
      <c r="E7" s="1"/>
      <c r="G7" s="65" t="s">
        <v>167</v>
      </c>
      <c r="H7" s="65">
        <v>77.03</v>
      </c>
      <c r="I7" s="65">
        <v>7.16</v>
      </c>
      <c r="J7" s="65" t="s">
        <v>12</v>
      </c>
      <c r="K7" s="65" t="s">
        <v>300</v>
      </c>
      <c r="L7" s="65" t="s">
        <v>750</v>
      </c>
      <c r="M7" s="65" t="s">
        <v>124</v>
      </c>
      <c r="N7" s="89">
        <v>119</v>
      </c>
      <c r="O7" s="89">
        <v>852.04</v>
      </c>
    </row>
    <row r="8" spans="1:16" x14ac:dyDescent="0.25">
      <c r="A8" s="2" t="s">
        <v>10</v>
      </c>
      <c r="B8" s="67">
        <v>1</v>
      </c>
      <c r="C8" s="1"/>
      <c r="D8" s="1"/>
      <c r="E8" s="1"/>
      <c r="G8" s="65" t="s">
        <v>298</v>
      </c>
      <c r="H8" s="65">
        <v>96.7</v>
      </c>
      <c r="I8" s="65">
        <v>8.98</v>
      </c>
      <c r="J8" s="65" t="s">
        <v>12</v>
      </c>
      <c r="K8" s="65" t="s">
        <v>299</v>
      </c>
      <c r="L8" s="65" t="s">
        <v>751</v>
      </c>
      <c r="M8" s="65" t="s">
        <v>124</v>
      </c>
      <c r="N8" s="89">
        <v>119</v>
      </c>
      <c r="O8" s="89">
        <v>1068.6200000000001</v>
      </c>
    </row>
    <row r="9" spans="1:16" x14ac:dyDescent="0.25">
      <c r="A9" s="2" t="s">
        <v>18</v>
      </c>
      <c r="B9" s="68">
        <v>1</v>
      </c>
      <c r="C9" s="1"/>
      <c r="D9" s="1"/>
      <c r="E9" s="1"/>
      <c r="G9" s="65" t="s">
        <v>268</v>
      </c>
      <c r="H9" s="65">
        <v>38.51</v>
      </c>
      <c r="I9" s="65">
        <v>3.58</v>
      </c>
      <c r="J9" s="65" t="s">
        <v>12</v>
      </c>
      <c r="K9" s="65" t="s">
        <v>13</v>
      </c>
      <c r="L9" s="65" t="s">
        <v>753</v>
      </c>
      <c r="M9" s="65" t="s">
        <v>128</v>
      </c>
      <c r="N9" s="89">
        <v>238</v>
      </c>
      <c r="O9" s="89">
        <v>852.04</v>
      </c>
    </row>
    <row r="10" spans="1:16" x14ac:dyDescent="0.25">
      <c r="A10" s="94" t="s">
        <v>106</v>
      </c>
      <c r="B10" s="68" t="s">
        <v>11</v>
      </c>
      <c r="C10" s="1"/>
      <c r="D10" s="1"/>
      <c r="E10" s="1"/>
      <c r="G10" s="65" t="s">
        <v>274</v>
      </c>
      <c r="H10" s="65">
        <v>77.03</v>
      </c>
      <c r="I10" s="65">
        <v>7.16</v>
      </c>
      <c r="J10" s="65" t="s">
        <v>12</v>
      </c>
      <c r="K10" s="65" t="s">
        <v>275</v>
      </c>
      <c r="L10" s="65" t="s">
        <v>754</v>
      </c>
      <c r="M10" s="65" t="s">
        <v>128</v>
      </c>
      <c r="N10" s="89">
        <v>238</v>
      </c>
      <c r="O10" s="89">
        <v>1704.08</v>
      </c>
    </row>
    <row r="11" spans="1:16" x14ac:dyDescent="0.25">
      <c r="A11" s="1" t="s">
        <v>57</v>
      </c>
      <c r="B11" s="42">
        <f>C14</f>
        <v>2500</v>
      </c>
      <c r="C11" s="42">
        <f>C16</f>
        <v>232.25749999999999</v>
      </c>
      <c r="D11" s="1"/>
      <c r="E11" s="1"/>
      <c r="G11" s="65" t="s">
        <v>290</v>
      </c>
      <c r="H11" s="65">
        <v>209.06</v>
      </c>
      <c r="I11" s="65">
        <v>19.420000000000002</v>
      </c>
      <c r="J11" s="65" t="s">
        <v>12</v>
      </c>
      <c r="K11" s="65" t="s">
        <v>14</v>
      </c>
      <c r="L11" s="65" t="s">
        <v>755</v>
      </c>
      <c r="M11" s="65" t="s">
        <v>124</v>
      </c>
      <c r="N11" s="89">
        <v>119</v>
      </c>
      <c r="O11" s="89">
        <v>2310.98</v>
      </c>
    </row>
    <row r="12" spans="1:16" x14ac:dyDescent="0.25">
      <c r="A12" s="1"/>
      <c r="B12" s="1"/>
      <c r="C12" s="1"/>
      <c r="D12" s="1"/>
      <c r="E12" s="1"/>
      <c r="G12" s="65" t="s">
        <v>4</v>
      </c>
      <c r="H12" s="65">
        <v>96.69</v>
      </c>
      <c r="I12" s="65">
        <v>8.98</v>
      </c>
      <c r="J12" s="65" t="s">
        <v>12</v>
      </c>
      <c r="K12" s="65" t="s">
        <v>4</v>
      </c>
      <c r="L12" s="65" t="s">
        <v>756</v>
      </c>
      <c r="M12" s="65" t="s">
        <v>124</v>
      </c>
      <c r="N12" s="89">
        <v>119</v>
      </c>
      <c r="O12" s="89">
        <v>1068.6200000000001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5</v>
      </c>
      <c r="H13" s="65">
        <v>96.69</v>
      </c>
      <c r="I13" s="65">
        <v>8.98</v>
      </c>
      <c r="J13" s="65" t="s">
        <v>12</v>
      </c>
      <c r="K13" s="65" t="s">
        <v>5</v>
      </c>
      <c r="L13" s="65" t="s">
        <v>757</v>
      </c>
      <c r="M13" s="65" t="s">
        <v>124</v>
      </c>
      <c r="N13" s="89">
        <v>119</v>
      </c>
      <c r="O13" s="89">
        <v>1068.6200000000001</v>
      </c>
    </row>
    <row r="14" spans="1:16" x14ac:dyDescent="0.25">
      <c r="A14" s="4" t="s">
        <v>49</v>
      </c>
      <c r="B14" s="42">
        <f>C14+D14+E14</f>
        <v>5000</v>
      </c>
      <c r="C14" s="42">
        <f>B7/B8</f>
        <v>2500</v>
      </c>
      <c r="D14" s="42">
        <f>C14*B9</f>
        <v>2500</v>
      </c>
      <c r="E14" s="42">
        <f>B7-C14</f>
        <v>0</v>
      </c>
      <c r="F14"/>
      <c r="G14" s="65" t="s">
        <v>292</v>
      </c>
      <c r="H14" s="65">
        <v>270.42</v>
      </c>
      <c r="I14" s="65">
        <v>25.12</v>
      </c>
      <c r="J14" s="65" t="s">
        <v>12</v>
      </c>
      <c r="K14" s="65" t="s">
        <v>14</v>
      </c>
      <c r="L14" s="65" t="s">
        <v>758</v>
      </c>
      <c r="M14" s="65" t="s">
        <v>124</v>
      </c>
      <c r="N14" s="89">
        <v>119</v>
      </c>
      <c r="O14" s="89">
        <v>2989.28</v>
      </c>
    </row>
    <row r="15" spans="1:16" x14ac:dyDescent="0.25">
      <c r="A15" s="4" t="s">
        <v>50</v>
      </c>
      <c r="B15" s="42">
        <f>SUMIFS(H:H,G:G,"&lt;&gt;mech_single",G:G,"&lt;&gt;general",G:G,"&lt;&gt;general_main")</f>
        <v>4195.2600000000011</v>
      </c>
      <c r="C15" s="42">
        <f>SUMIFS(H:H,G:G,"&lt;&gt;general_main",J:J,C13)</f>
        <v>2274.89</v>
      </c>
      <c r="D15" s="42">
        <f>SUMIF($J:$J,D13,$H:$H)</f>
        <v>1920.37</v>
      </c>
      <c r="E15" s="42">
        <f>SUMIF($J:$J,E13,$H:$H)</f>
        <v>0</v>
      </c>
      <c r="F15"/>
      <c r="G15" s="65" t="s">
        <v>6</v>
      </c>
      <c r="H15" s="65">
        <v>57.77</v>
      </c>
      <c r="I15" s="65">
        <v>5.37</v>
      </c>
      <c r="J15" s="65" t="s">
        <v>12</v>
      </c>
      <c r="K15" s="65" t="s">
        <v>6</v>
      </c>
      <c r="L15" s="65" t="s">
        <v>759</v>
      </c>
      <c r="M15" s="65" t="s">
        <v>124</v>
      </c>
      <c r="N15" s="89">
        <v>119</v>
      </c>
      <c r="O15" s="89">
        <v>639.03</v>
      </c>
    </row>
    <row r="16" spans="1:16" x14ac:dyDescent="0.25">
      <c r="A16" s="4" t="s">
        <v>59</v>
      </c>
      <c r="B16" s="42">
        <f>B14*0.092903</f>
        <v>464.51499999999999</v>
      </c>
      <c r="C16" s="42">
        <f t="shared" ref="C16:E17" si="0">C14*0.092903</f>
        <v>232.25749999999999</v>
      </c>
      <c r="D16" s="42">
        <f t="shared" si="0"/>
        <v>232.25749999999999</v>
      </c>
      <c r="E16" s="42">
        <f t="shared" si="0"/>
        <v>0</v>
      </c>
      <c r="F16"/>
      <c r="G16" s="65" t="s">
        <v>296</v>
      </c>
      <c r="H16" s="65">
        <v>209.06</v>
      </c>
      <c r="I16" s="65">
        <v>19.420000000000002</v>
      </c>
      <c r="J16" s="65" t="s">
        <v>12</v>
      </c>
      <c r="K16" s="65" t="s">
        <v>297</v>
      </c>
      <c r="L16" s="65" t="s">
        <v>760</v>
      </c>
      <c r="M16" s="65" t="s">
        <v>124</v>
      </c>
      <c r="N16" s="89">
        <v>119</v>
      </c>
      <c r="O16" s="89">
        <v>2310.98</v>
      </c>
    </row>
    <row r="17" spans="1:15" x14ac:dyDescent="0.25">
      <c r="A17" s="4" t="s">
        <v>60</v>
      </c>
      <c r="B17" s="42">
        <f>B15*0.092903</f>
        <v>389.75223978000008</v>
      </c>
      <c r="C17" s="42">
        <f t="shared" si="0"/>
        <v>211.34410566999998</v>
      </c>
      <c r="D17" s="42">
        <f t="shared" si="0"/>
        <v>178.40813410999999</v>
      </c>
      <c r="E17" s="42">
        <f t="shared" si="0"/>
        <v>0</v>
      </c>
      <c r="F17"/>
      <c r="G17" s="65" t="s">
        <v>271</v>
      </c>
      <c r="H17" s="65">
        <v>24.17</v>
      </c>
      <c r="I17" s="65">
        <v>2.25</v>
      </c>
      <c r="J17" s="65" t="s">
        <v>12</v>
      </c>
      <c r="K17" s="65" t="s">
        <v>272</v>
      </c>
      <c r="L17" s="65" t="s">
        <v>761</v>
      </c>
      <c r="M17" s="65" t="s">
        <v>128</v>
      </c>
      <c r="N17" s="89">
        <v>238</v>
      </c>
      <c r="O17" s="89">
        <v>535.5</v>
      </c>
    </row>
    <row r="18" spans="1:15" x14ac:dyDescent="0.25">
      <c r="A18" s="4" t="s">
        <v>44</v>
      </c>
      <c r="B18" s="43">
        <f>IF(B14&gt;0,B15/B14,"")</f>
        <v>0.83905200000000024</v>
      </c>
      <c r="C18" s="43">
        <f t="shared" ref="C18:E18" si="1">IF(C14&gt;0,C15/C14,"")</f>
        <v>0.90995599999999999</v>
      </c>
      <c r="D18" s="43">
        <f t="shared" si="1"/>
        <v>0.76814799999999994</v>
      </c>
      <c r="E18" s="43" t="str">
        <f t="shared" si="1"/>
        <v/>
      </c>
      <c r="F18"/>
      <c r="G18" s="65" t="s">
        <v>307</v>
      </c>
      <c r="H18" s="65">
        <v>116.36</v>
      </c>
      <c r="I18" s="65">
        <v>10.81</v>
      </c>
      <c r="J18" s="65" t="s">
        <v>12</v>
      </c>
      <c r="K18" s="65" t="s">
        <v>15</v>
      </c>
      <c r="L18" s="65" t="s">
        <v>762</v>
      </c>
      <c r="M18" s="65" t="s">
        <v>124</v>
      </c>
      <c r="N18" s="89">
        <v>119</v>
      </c>
      <c r="O18" s="89">
        <v>1286.3900000000001</v>
      </c>
    </row>
    <row r="19" spans="1:15" x14ac:dyDescent="0.25">
      <c r="A19" s="1"/>
      <c r="B19" s="1"/>
      <c r="C19" s="1"/>
      <c r="D19" s="1"/>
      <c r="E19" s="1"/>
      <c r="F19"/>
      <c r="G19" s="65" t="s">
        <v>309</v>
      </c>
      <c r="H19" s="65">
        <v>116.36</v>
      </c>
      <c r="I19" s="65">
        <v>10.81</v>
      </c>
      <c r="J19" s="65" t="s">
        <v>12</v>
      </c>
      <c r="K19" s="65" t="s">
        <v>310</v>
      </c>
      <c r="L19" s="65" t="s">
        <v>763</v>
      </c>
      <c r="M19" s="65" t="s">
        <v>124</v>
      </c>
      <c r="N19" s="89">
        <v>119</v>
      </c>
      <c r="O19" s="89">
        <v>1286.3900000000001</v>
      </c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 t="s">
        <v>281</v>
      </c>
      <c r="H20" s="65">
        <v>162.71</v>
      </c>
      <c r="I20" s="65">
        <v>15.12</v>
      </c>
      <c r="J20" s="65" t="s">
        <v>12</v>
      </c>
      <c r="K20" s="65" t="s">
        <v>4</v>
      </c>
      <c r="L20" s="65" t="s">
        <v>764</v>
      </c>
      <c r="M20" s="65" t="s">
        <v>124</v>
      </c>
      <c r="N20" s="89">
        <v>119</v>
      </c>
      <c r="O20" s="89">
        <v>1799.28</v>
      </c>
    </row>
    <row r="21" spans="1:15" x14ac:dyDescent="0.25">
      <c r="A21" s="71" t="s">
        <v>129</v>
      </c>
      <c r="B21" s="90">
        <f>SUM(C21:E21)</f>
        <v>13470.934999999999</v>
      </c>
      <c r="C21" s="90">
        <f>C16*VLOOKUP($A21,$M$3:$N$37,2,FALSE)</f>
        <v>6735.4674999999997</v>
      </c>
      <c r="D21" s="90">
        <f t="shared" ref="D21:E21" si="2">D16*VLOOKUP($A21,$M$3:$N$37,2,FALSE)</f>
        <v>6735.4674999999997</v>
      </c>
      <c r="E21" s="90">
        <f t="shared" si="2"/>
        <v>0</v>
      </c>
      <c r="F21"/>
      <c r="G21" s="65" t="s">
        <v>282</v>
      </c>
      <c r="H21" s="65">
        <v>162.71</v>
      </c>
      <c r="I21" s="65">
        <v>15.12</v>
      </c>
      <c r="J21" s="65" t="s">
        <v>12</v>
      </c>
      <c r="K21" s="65" t="s">
        <v>4</v>
      </c>
      <c r="L21" s="65" t="s">
        <v>764</v>
      </c>
      <c r="M21" s="65" t="s">
        <v>124</v>
      </c>
      <c r="N21" s="89">
        <v>119</v>
      </c>
      <c r="O21" s="89">
        <v>1799.28</v>
      </c>
    </row>
    <row r="22" spans="1:15" x14ac:dyDescent="0.25">
      <c r="A22" s="71" t="s">
        <v>128</v>
      </c>
      <c r="B22" s="90">
        <f t="shared" ref="B22:B24" si="3">SUM(C22:E22)</f>
        <v>8327.619999999999</v>
      </c>
      <c r="C22" s="90">
        <f>SUMIFS($O$3:$O$37,$J$3:$J$37,C$20,$M$3:$M$37,$A22)</f>
        <v>6623.54</v>
      </c>
      <c r="D22" s="90">
        <f t="shared" ref="D22:E24" si="4">SUMIFS($O$3:$O$37,$J$3:$J$37,D$20,$M$3:$M$37,$A22)</f>
        <v>1704.08</v>
      </c>
      <c r="E22" s="90">
        <f t="shared" si="4"/>
        <v>0</v>
      </c>
      <c r="F22"/>
      <c r="G22" s="65" t="s">
        <v>302</v>
      </c>
      <c r="H22" s="65">
        <v>87.27</v>
      </c>
      <c r="I22" s="65">
        <v>8.11</v>
      </c>
      <c r="J22" s="65" t="s">
        <v>12</v>
      </c>
      <c r="K22" s="65" t="s">
        <v>6</v>
      </c>
      <c r="L22" s="65" t="s">
        <v>766</v>
      </c>
      <c r="M22" s="65" t="s">
        <v>124</v>
      </c>
      <c r="N22" s="89">
        <v>119</v>
      </c>
      <c r="O22" s="89">
        <v>965.08999999999992</v>
      </c>
    </row>
    <row r="23" spans="1:15" x14ac:dyDescent="0.25">
      <c r="A23" s="71" t="s">
        <v>124</v>
      </c>
      <c r="B23" s="90">
        <f t="shared" si="3"/>
        <v>42218.82</v>
      </c>
      <c r="C23" s="90">
        <f t="shared" ref="C23:C24" si="5">SUMIFS($O$3:$O$37,$J$3:$J$37,C$20,$M$3:$M$37,$A23)</f>
        <v>21838.879999999997</v>
      </c>
      <c r="D23" s="90">
        <f t="shared" si="4"/>
        <v>20379.940000000002</v>
      </c>
      <c r="E23" s="90">
        <f t="shared" si="4"/>
        <v>0</v>
      </c>
      <c r="F23"/>
      <c r="G23" s="65" t="s">
        <v>283</v>
      </c>
      <c r="H23" s="65">
        <v>216.56</v>
      </c>
      <c r="I23" s="65">
        <v>20.12</v>
      </c>
      <c r="J23" s="65" t="s">
        <v>12</v>
      </c>
      <c r="K23" s="65" t="s">
        <v>4</v>
      </c>
      <c r="L23" s="65" t="s">
        <v>765</v>
      </c>
      <c r="M23" s="65" t="s">
        <v>124</v>
      </c>
      <c r="N23" s="89">
        <v>119</v>
      </c>
      <c r="O23" s="89">
        <v>2394.2800000000002</v>
      </c>
    </row>
    <row r="24" spans="1:15" x14ac:dyDescent="0.25">
      <c r="A24" s="71" t="s">
        <v>130</v>
      </c>
      <c r="B24" s="90">
        <f t="shared" si="3"/>
        <v>0</v>
      </c>
      <c r="C24" s="90">
        <f t="shared" si="5"/>
        <v>0</v>
      </c>
      <c r="D24" s="90">
        <f t="shared" si="4"/>
        <v>0</v>
      </c>
      <c r="E24" s="90">
        <f t="shared" si="4"/>
        <v>0</v>
      </c>
      <c r="F24"/>
      <c r="G24" s="65" t="s">
        <v>311</v>
      </c>
      <c r="H24" s="65">
        <v>116.36</v>
      </c>
      <c r="I24" s="65">
        <v>10.81</v>
      </c>
      <c r="J24" s="65" t="s">
        <v>11</v>
      </c>
      <c r="K24" s="65" t="s">
        <v>310</v>
      </c>
      <c r="L24" s="65" t="s">
        <v>752</v>
      </c>
      <c r="M24" s="65" t="s">
        <v>124</v>
      </c>
      <c r="N24" s="89">
        <v>119</v>
      </c>
      <c r="O24" s="89">
        <v>1286.3900000000001</v>
      </c>
    </row>
    <row r="25" spans="1:15" x14ac:dyDescent="0.25">
      <c r="A25" s="87" t="s">
        <v>1</v>
      </c>
      <c r="B25" s="90">
        <f>SUM(B21:B24)</f>
        <v>64017.375</v>
      </c>
      <c r="C25" s="92">
        <f t="shared" ref="C25:E25" si="6">SUM(C21:C24)</f>
        <v>35197.887499999997</v>
      </c>
      <c r="D25" s="92">
        <f t="shared" si="6"/>
        <v>28819.487500000003</v>
      </c>
      <c r="E25" s="92">
        <f t="shared" si="6"/>
        <v>0</v>
      </c>
      <c r="F25"/>
      <c r="G25" s="65" t="s">
        <v>279</v>
      </c>
      <c r="H25" s="65">
        <v>38.51</v>
      </c>
      <c r="I25" s="65">
        <v>3.58</v>
      </c>
      <c r="J25" s="65" t="s">
        <v>11</v>
      </c>
      <c r="K25" s="65" t="s">
        <v>13</v>
      </c>
      <c r="L25" s="65" t="s">
        <v>753</v>
      </c>
      <c r="M25" s="65" t="s">
        <v>128</v>
      </c>
      <c r="N25" s="89">
        <v>238</v>
      </c>
      <c r="O25" s="89">
        <v>852.04</v>
      </c>
    </row>
    <row r="26" spans="1:15" x14ac:dyDescent="0.25">
      <c r="A26" s="87" t="s">
        <v>132</v>
      </c>
      <c r="B26" s="90">
        <f>IF(B16&gt;0,B25/B16,"")</f>
        <v>137.81551725993779</v>
      </c>
      <c r="C26" s="90">
        <f t="shared" ref="C26:E26" si="7">IF(C16&gt;0,C25/C16,"")</f>
        <v>151.54682841243016</v>
      </c>
      <c r="D26" s="90">
        <f t="shared" si="7"/>
        <v>124.08420610744541</v>
      </c>
      <c r="E26" s="90" t="str">
        <f t="shared" si="7"/>
        <v/>
      </c>
      <c r="F26"/>
      <c r="G26" s="65" t="s">
        <v>277</v>
      </c>
      <c r="H26" s="65">
        <v>38.51</v>
      </c>
      <c r="I26" s="65">
        <v>3.58</v>
      </c>
      <c r="J26" s="65" t="s">
        <v>11</v>
      </c>
      <c r="K26" s="65" t="s">
        <v>13</v>
      </c>
      <c r="L26" s="65" t="s">
        <v>753</v>
      </c>
      <c r="M26" s="65" t="s">
        <v>128</v>
      </c>
      <c r="N26" s="89">
        <v>238</v>
      </c>
      <c r="O26" s="89">
        <v>852.04</v>
      </c>
    </row>
    <row r="27" spans="1:15" x14ac:dyDescent="0.25">
      <c r="F27"/>
      <c r="G27" s="65" t="s">
        <v>305</v>
      </c>
      <c r="H27" s="65">
        <v>96.69</v>
      </c>
      <c r="I27" s="65">
        <v>8.98</v>
      </c>
      <c r="J27" s="65" t="s">
        <v>11</v>
      </c>
      <c r="K27" s="65" t="s">
        <v>5</v>
      </c>
      <c r="L27" s="65" t="s">
        <v>757</v>
      </c>
      <c r="M27" s="65" t="s">
        <v>124</v>
      </c>
      <c r="N27" s="89">
        <v>119</v>
      </c>
      <c r="O27" s="89">
        <v>1068.6200000000001</v>
      </c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 t="s">
        <v>308</v>
      </c>
      <c r="H28" s="65">
        <v>116.36</v>
      </c>
      <c r="I28" s="65">
        <v>10.81</v>
      </c>
      <c r="J28" s="65" t="s">
        <v>11</v>
      </c>
      <c r="K28" s="65" t="s">
        <v>15</v>
      </c>
      <c r="L28" s="65" t="s">
        <v>762</v>
      </c>
      <c r="M28" s="65" t="s">
        <v>124</v>
      </c>
      <c r="N28" s="89">
        <v>119</v>
      </c>
      <c r="O28" s="89">
        <v>1286.3900000000001</v>
      </c>
    </row>
    <row r="29" spans="1:15" x14ac:dyDescent="0.25">
      <c r="A29" s="95" t="s">
        <v>7</v>
      </c>
      <c r="B29" s="95">
        <v>1</v>
      </c>
      <c r="C29" s="95">
        <v>1</v>
      </c>
      <c r="D29" s="95">
        <v>0</v>
      </c>
      <c r="E29" s="95">
        <v>0</v>
      </c>
      <c r="F29"/>
      <c r="G29" s="65" t="s">
        <v>301</v>
      </c>
      <c r="H29" s="65">
        <v>77.03</v>
      </c>
      <c r="I29" s="65">
        <v>7.16</v>
      </c>
      <c r="J29" s="65" t="s">
        <v>11</v>
      </c>
      <c r="K29" s="65" t="s">
        <v>300</v>
      </c>
      <c r="L29" s="65" t="s">
        <v>750</v>
      </c>
      <c r="M29" s="65" t="s">
        <v>124</v>
      </c>
      <c r="N29" s="89">
        <v>119</v>
      </c>
      <c r="O29" s="89">
        <v>852.04</v>
      </c>
    </row>
    <row r="30" spans="1:15" x14ac:dyDescent="0.25">
      <c r="A30" s="95" t="s">
        <v>300</v>
      </c>
      <c r="B30" s="95">
        <v>2</v>
      </c>
      <c r="C30" s="95">
        <v>1</v>
      </c>
      <c r="D30" s="95">
        <v>1</v>
      </c>
      <c r="E30" s="95">
        <v>0</v>
      </c>
      <c r="F30"/>
      <c r="G30" s="65" t="s">
        <v>287</v>
      </c>
      <c r="H30" s="65">
        <v>216.56</v>
      </c>
      <c r="I30" s="65">
        <v>20.12</v>
      </c>
      <c r="J30" s="65" t="s">
        <v>11</v>
      </c>
      <c r="K30" s="65" t="s">
        <v>4</v>
      </c>
      <c r="L30" s="65" t="s">
        <v>765</v>
      </c>
      <c r="M30" s="65" t="s">
        <v>124</v>
      </c>
      <c r="N30" s="89">
        <v>119</v>
      </c>
      <c r="O30" s="89">
        <v>2394.2800000000002</v>
      </c>
    </row>
    <row r="31" spans="1:15" x14ac:dyDescent="0.25">
      <c r="A31" s="95" t="s">
        <v>299</v>
      </c>
      <c r="B31" s="95">
        <v>1</v>
      </c>
      <c r="C31" s="95">
        <v>1</v>
      </c>
      <c r="D31" s="95">
        <v>0</v>
      </c>
      <c r="E31" s="95">
        <v>0</v>
      </c>
      <c r="F31"/>
      <c r="G31" s="65" t="s">
        <v>303</v>
      </c>
      <c r="H31" s="65">
        <v>57.77</v>
      </c>
      <c r="I31" s="65">
        <v>5.37</v>
      </c>
      <c r="J31" s="65" t="s">
        <v>11</v>
      </c>
      <c r="K31" s="65" t="s">
        <v>6</v>
      </c>
      <c r="L31" s="65" t="s">
        <v>759</v>
      </c>
      <c r="M31" s="65" t="s">
        <v>124</v>
      </c>
      <c r="N31" s="89">
        <v>119</v>
      </c>
      <c r="O31" s="89">
        <v>639.03</v>
      </c>
    </row>
    <row r="32" spans="1:15" x14ac:dyDescent="0.25">
      <c r="A32" s="95" t="s">
        <v>13</v>
      </c>
      <c r="B32" s="95">
        <v>3</v>
      </c>
      <c r="C32" s="95">
        <v>1</v>
      </c>
      <c r="D32" s="95">
        <v>2</v>
      </c>
      <c r="E32" s="95">
        <v>0</v>
      </c>
      <c r="G32" s="65" t="s">
        <v>288</v>
      </c>
      <c r="H32" s="65">
        <v>216.56</v>
      </c>
      <c r="I32" s="65">
        <v>20.12</v>
      </c>
      <c r="J32" s="65" t="s">
        <v>11</v>
      </c>
      <c r="K32" s="65" t="s">
        <v>4</v>
      </c>
      <c r="L32" s="65" t="s">
        <v>765</v>
      </c>
      <c r="M32" s="65" t="s">
        <v>124</v>
      </c>
      <c r="N32" s="89">
        <v>119</v>
      </c>
      <c r="O32" s="89">
        <v>2394.2800000000002</v>
      </c>
    </row>
    <row r="33" spans="1:15" x14ac:dyDescent="0.25">
      <c r="A33" s="95" t="s">
        <v>275</v>
      </c>
      <c r="B33" s="95">
        <v>1</v>
      </c>
      <c r="C33" s="95">
        <v>1</v>
      </c>
      <c r="D33" s="95">
        <v>0</v>
      </c>
      <c r="E33" s="95">
        <v>0</v>
      </c>
      <c r="G33" s="65" t="s">
        <v>285</v>
      </c>
      <c r="H33" s="65">
        <v>162.71</v>
      </c>
      <c r="I33" s="65">
        <v>15.12</v>
      </c>
      <c r="J33" s="65" t="s">
        <v>11</v>
      </c>
      <c r="K33" s="65" t="s">
        <v>4</v>
      </c>
      <c r="L33" s="65" t="s">
        <v>767</v>
      </c>
      <c r="M33" s="65" t="s">
        <v>124</v>
      </c>
      <c r="N33" s="89">
        <v>119</v>
      </c>
      <c r="O33" s="89">
        <v>1799.28</v>
      </c>
    </row>
    <row r="34" spans="1:15" x14ac:dyDescent="0.25">
      <c r="A34" s="95" t="s">
        <v>14</v>
      </c>
      <c r="B34" s="95">
        <v>4</v>
      </c>
      <c r="C34" s="95">
        <v>2</v>
      </c>
      <c r="D34" s="95">
        <v>2</v>
      </c>
      <c r="E34" s="95">
        <v>0</v>
      </c>
      <c r="G34" s="65" t="s">
        <v>304</v>
      </c>
      <c r="H34" s="65">
        <v>87.27</v>
      </c>
      <c r="I34" s="65">
        <v>8.11</v>
      </c>
      <c r="J34" s="65" t="s">
        <v>11</v>
      </c>
      <c r="K34" s="65" t="s">
        <v>6</v>
      </c>
      <c r="L34" s="65" t="s">
        <v>766</v>
      </c>
      <c r="M34" s="65" t="s">
        <v>124</v>
      </c>
      <c r="N34" s="89">
        <v>119</v>
      </c>
      <c r="O34" s="89">
        <v>965.08999999999992</v>
      </c>
    </row>
    <row r="35" spans="1:15" x14ac:dyDescent="0.25">
      <c r="A35" s="95" t="s">
        <v>4</v>
      </c>
      <c r="B35" s="95">
        <v>8</v>
      </c>
      <c r="C35" s="95">
        <v>4</v>
      </c>
      <c r="D35" s="95">
        <v>4</v>
      </c>
      <c r="E35" s="95">
        <v>0</v>
      </c>
      <c r="G35" s="65" t="s">
        <v>295</v>
      </c>
      <c r="H35" s="65">
        <v>270.42</v>
      </c>
      <c r="I35" s="65">
        <v>25.12</v>
      </c>
      <c r="J35" s="65" t="s">
        <v>11</v>
      </c>
      <c r="K35" s="65" t="s">
        <v>14</v>
      </c>
      <c r="L35" s="65" t="s">
        <v>758</v>
      </c>
      <c r="M35" s="65" t="s">
        <v>124</v>
      </c>
      <c r="N35" s="89">
        <v>119</v>
      </c>
      <c r="O35" s="89">
        <v>2989.28</v>
      </c>
    </row>
    <row r="36" spans="1:15" x14ac:dyDescent="0.25">
      <c r="A36" s="95" t="s">
        <v>5</v>
      </c>
      <c r="B36" s="95">
        <v>2</v>
      </c>
      <c r="C36" s="95">
        <v>1</v>
      </c>
      <c r="D36" s="95">
        <v>1</v>
      </c>
      <c r="E36" s="95">
        <v>0</v>
      </c>
      <c r="G36" s="65" t="s">
        <v>293</v>
      </c>
      <c r="H36" s="65">
        <v>209.06</v>
      </c>
      <c r="I36" s="65">
        <v>19.420000000000002</v>
      </c>
      <c r="J36" s="65" t="s">
        <v>11</v>
      </c>
      <c r="K36" s="65" t="s">
        <v>14</v>
      </c>
      <c r="L36" s="65" t="s">
        <v>755</v>
      </c>
      <c r="M36" s="65" t="s">
        <v>124</v>
      </c>
      <c r="N36" s="89">
        <v>119</v>
      </c>
      <c r="O36" s="89">
        <v>2310.98</v>
      </c>
    </row>
    <row r="37" spans="1:15" x14ac:dyDescent="0.25">
      <c r="A37" s="95" t="s">
        <v>6</v>
      </c>
      <c r="B37" s="95">
        <v>4</v>
      </c>
      <c r="C37" s="95">
        <v>2</v>
      </c>
      <c r="D37" s="95">
        <v>2</v>
      </c>
      <c r="E37" s="95">
        <v>0</v>
      </c>
      <c r="G37" s="65" t="s">
        <v>289</v>
      </c>
      <c r="H37" s="65">
        <v>216.56</v>
      </c>
      <c r="I37" s="65">
        <v>20.12</v>
      </c>
      <c r="J37" s="65" t="s">
        <v>11</v>
      </c>
      <c r="K37" s="65" t="s">
        <v>4</v>
      </c>
      <c r="L37" s="65" t="s">
        <v>765</v>
      </c>
      <c r="M37" s="65" t="s">
        <v>124</v>
      </c>
      <c r="N37" s="89">
        <v>119</v>
      </c>
      <c r="O37" s="89">
        <v>2394.2800000000002</v>
      </c>
    </row>
    <row r="38" spans="1:15" x14ac:dyDescent="0.25">
      <c r="A38" t="s">
        <v>297</v>
      </c>
      <c r="B38">
        <v>1</v>
      </c>
      <c r="C38">
        <v>1</v>
      </c>
      <c r="D38">
        <v>0</v>
      </c>
      <c r="E38">
        <v>0</v>
      </c>
    </row>
    <row r="39" spans="1:15" x14ac:dyDescent="0.25">
      <c r="A39" t="s">
        <v>272</v>
      </c>
      <c r="B39">
        <v>1</v>
      </c>
      <c r="C39">
        <v>1</v>
      </c>
      <c r="D39">
        <v>0</v>
      </c>
      <c r="E39">
        <v>0</v>
      </c>
    </row>
    <row r="40" spans="1:15" x14ac:dyDescent="0.25">
      <c r="A40" t="s">
        <v>15</v>
      </c>
      <c r="B40">
        <v>2</v>
      </c>
      <c r="C40">
        <v>1</v>
      </c>
      <c r="D40">
        <v>1</v>
      </c>
      <c r="E40">
        <v>0</v>
      </c>
    </row>
    <row r="41" spans="1:15" x14ac:dyDescent="0.25">
      <c r="A41" t="s">
        <v>310</v>
      </c>
      <c r="B41">
        <v>2</v>
      </c>
      <c r="C41">
        <v>1</v>
      </c>
      <c r="D41">
        <v>1</v>
      </c>
      <c r="E41">
        <v>0</v>
      </c>
    </row>
  </sheetData>
  <sortState xmlns:xlrd2="http://schemas.microsoft.com/office/spreadsheetml/2017/richdata2" ref="G3:O37">
    <sortCondition ref="J3:J37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9.85546875" style="1" bestFit="1" customWidth="1"/>
    <col min="6" max="6" width="11.28515625" style="1" bestFit="1" customWidth="1"/>
    <col min="7" max="7" width="9.140625" style="1" bestFit="1" customWidth="1"/>
    <col min="8" max="8" width="7.7109375" style="1" bestFit="1" customWidth="1"/>
    <col min="9" max="9" width="7.5703125" style="1" bestFit="1" customWidth="1"/>
    <col min="10" max="10" width="10.7109375" style="1" bestFit="1" customWidth="1"/>
    <col min="11" max="11" width="8" style="1" bestFit="1" customWidth="1"/>
    <col min="12" max="12" width="13.7109375" style="1" bestFit="1" customWidth="1"/>
    <col min="13" max="13" width="11" style="1" bestFit="1" customWidth="1"/>
    <col min="14" max="14" width="14.140625" style="1" bestFit="1" customWidth="1"/>
    <col min="15" max="15" width="8" style="1" bestFit="1" customWidth="1"/>
    <col min="16" max="16" width="12.28515625" style="1" bestFit="1" customWidth="1"/>
    <col min="17" max="17" width="9" style="1" bestFit="1" customWidth="1"/>
    <col min="18" max="18" width="11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11</v>
      </c>
      <c r="F6" t="s">
        <v>28</v>
      </c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/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/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/>
    </row>
    <row r="10" spans="1:7" x14ac:dyDescent="0.25">
      <c r="A10" s="3" t="s">
        <v>30</v>
      </c>
      <c r="B10" s="8">
        <v>62985.345000000038</v>
      </c>
      <c r="C10" s="8">
        <v>0</v>
      </c>
      <c r="D10" s="8">
        <v>5002.1275000000005</v>
      </c>
      <c r="E10" s="8">
        <v>51186.307500000032</v>
      </c>
      <c r="F10" s="8">
        <v>119173.78000000006</v>
      </c>
      <c r="G10"/>
    </row>
    <row r="11" spans="1:7" x14ac:dyDescent="0.25">
      <c r="A11" s="3" t="s">
        <v>31</v>
      </c>
      <c r="B11" s="8">
        <v>103879.94499999993</v>
      </c>
      <c r="C11" s="8">
        <v>0</v>
      </c>
      <c r="D11" s="8">
        <v>7322.5664999999999</v>
      </c>
      <c r="E11" s="8">
        <v>65236.717500000021</v>
      </c>
      <c r="F11" s="8">
        <v>176439.22899999996</v>
      </c>
      <c r="G11"/>
    </row>
    <row r="12" spans="1:7" x14ac:dyDescent="0.25">
      <c r="A12" s="3" t="s">
        <v>32</v>
      </c>
      <c r="B12" s="8">
        <v>103879.94499999993</v>
      </c>
      <c r="C12" s="8">
        <v>3508.9</v>
      </c>
      <c r="D12" s="8">
        <v>7322.5664999999999</v>
      </c>
      <c r="E12" s="8">
        <v>65236.717500000021</v>
      </c>
      <c r="F12" s="8">
        <v>179948.12899999996</v>
      </c>
      <c r="G12"/>
    </row>
    <row r="13" spans="1:7" x14ac:dyDescent="0.25">
      <c r="A13" s="3" t="s">
        <v>33</v>
      </c>
      <c r="B13" s="8">
        <v>124386.93499999995</v>
      </c>
      <c r="C13" s="8">
        <v>8562.6099999999988</v>
      </c>
      <c r="D13" s="8">
        <v>8060.3754999999992</v>
      </c>
      <c r="E13" s="8">
        <v>65276.437500000022</v>
      </c>
      <c r="F13" s="8">
        <v>206286.35799999998</v>
      </c>
      <c r="G13"/>
    </row>
    <row r="14" spans="1:7" x14ac:dyDescent="0.25">
      <c r="A14" s="3" t="s">
        <v>34</v>
      </c>
      <c r="B14" s="8">
        <v>134825.0149999999</v>
      </c>
      <c r="C14" s="8">
        <v>8562.6099999999988</v>
      </c>
      <c r="D14" s="8">
        <v>8429.3004999999994</v>
      </c>
      <c r="E14" s="8">
        <v>73063.607499999984</v>
      </c>
      <c r="F14" s="8">
        <v>224880.53299999988</v>
      </c>
      <c r="G14"/>
    </row>
    <row r="15" spans="1:7" x14ac:dyDescent="0.25">
      <c r="A15" s="3" t="s">
        <v>35</v>
      </c>
      <c r="B15" s="8">
        <v>141512.23800000004</v>
      </c>
      <c r="C15" s="8">
        <v>10227.289999999999</v>
      </c>
      <c r="D15" s="8">
        <v>26133.856999999996</v>
      </c>
      <c r="E15" s="8">
        <v>78050.404999999984</v>
      </c>
      <c r="F15" s="8">
        <v>255923.79000000004</v>
      </c>
      <c r="G15"/>
    </row>
    <row r="16" spans="1:7" x14ac:dyDescent="0.25">
      <c r="A16" s="3" t="s">
        <v>36</v>
      </c>
      <c r="B16" s="8">
        <v>179266.02800000005</v>
      </c>
      <c r="C16" s="8">
        <v>10227.289999999999</v>
      </c>
      <c r="D16" s="8">
        <v>28817.845999999998</v>
      </c>
      <c r="E16" s="8">
        <v>99749.764999999956</v>
      </c>
      <c r="F16" s="8">
        <v>318060.929</v>
      </c>
      <c r="G16"/>
    </row>
    <row r="17" spans="1:23" x14ac:dyDescent="0.25">
      <c r="A17" s="3" t="s">
        <v>37</v>
      </c>
      <c r="B17" s="8">
        <v>192177.96800000008</v>
      </c>
      <c r="C17" s="8">
        <v>10227.289999999999</v>
      </c>
      <c r="D17" s="8">
        <v>29646.745999999999</v>
      </c>
      <c r="E17" s="8">
        <v>103058.88499999995</v>
      </c>
      <c r="F17" s="8">
        <v>335110.88900000002</v>
      </c>
      <c r="G17"/>
    </row>
    <row r="18" spans="1:23" x14ac:dyDescent="0.25">
      <c r="A18" s="3" t="s">
        <v>38</v>
      </c>
      <c r="B18" s="8">
        <v>243513.74800000025</v>
      </c>
      <c r="C18" s="8">
        <v>12014.099999999999</v>
      </c>
      <c r="D18" s="8">
        <v>36554.853999999985</v>
      </c>
      <c r="E18" s="8">
        <v>140917.14000000004</v>
      </c>
      <c r="F18" s="8">
        <v>432999.8420000003</v>
      </c>
      <c r="G18"/>
    </row>
    <row r="19" spans="1:23" x14ac:dyDescent="0.25">
      <c r="A19" s="3" t="s">
        <v>39</v>
      </c>
      <c r="B19" s="8">
        <v>252409.12800000026</v>
      </c>
      <c r="C19" s="8">
        <v>12014.099999999999</v>
      </c>
      <c r="D19" s="8">
        <v>46425.894</v>
      </c>
      <c r="E19" s="8">
        <v>142982.9800000001</v>
      </c>
      <c r="F19" s="8">
        <v>453832.1020000003</v>
      </c>
      <c r="G19"/>
    </row>
    <row r="20" spans="1:23" x14ac:dyDescent="0.25">
      <c r="A20" s="3" t="s">
        <v>40</v>
      </c>
      <c r="B20" s="8">
        <v>256438.48800000027</v>
      </c>
      <c r="C20" s="8">
        <v>12014.099999999999</v>
      </c>
      <c r="D20" s="8">
        <v>47334.183999999994</v>
      </c>
      <c r="E20" s="8">
        <v>143267.9800000001</v>
      </c>
      <c r="F20" s="8">
        <v>459054.75200000039</v>
      </c>
      <c r="G20"/>
    </row>
    <row r="21" spans="1:23" x14ac:dyDescent="0.25">
      <c r="A21" s="3" t="s">
        <v>41</v>
      </c>
      <c r="B21" s="8">
        <v>268274.42000000027</v>
      </c>
      <c r="C21" s="8">
        <v>12014.099999999999</v>
      </c>
      <c r="D21" s="8">
        <v>51767.184000000008</v>
      </c>
      <c r="E21" s="8">
        <v>149539.75000000009</v>
      </c>
      <c r="F21" s="8">
        <v>481595.45400000038</v>
      </c>
      <c r="G21"/>
    </row>
    <row r="22" spans="1:23" x14ac:dyDescent="0.25">
      <c r="A22" s="3" t="s">
        <v>42</v>
      </c>
      <c r="B22" s="8">
        <v>268274.42000000027</v>
      </c>
      <c r="C22" s="8">
        <v>24691.98</v>
      </c>
      <c r="D22" s="8">
        <v>51767.184000000008</v>
      </c>
      <c r="E22" s="8">
        <v>149539.75000000009</v>
      </c>
      <c r="F22" s="8">
        <v>494273.33400000038</v>
      </c>
      <c r="G22"/>
    </row>
    <row r="23" spans="1:23" x14ac:dyDescent="0.25">
      <c r="A23" s="3" t="s">
        <v>43</v>
      </c>
      <c r="B23" s="8">
        <v>268274.42000000027</v>
      </c>
      <c r="C23" s="8">
        <v>24691.98</v>
      </c>
      <c r="D23" s="8">
        <v>51767.184000000008</v>
      </c>
      <c r="E23" s="8">
        <v>149539.75000000009</v>
      </c>
      <c r="F23" s="8">
        <v>494273.33400000038</v>
      </c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300</v>
      </c>
      <c r="M31" t="s">
        <v>299</v>
      </c>
      <c r="N31" t="s">
        <v>310</v>
      </c>
      <c r="O31" t="s">
        <v>275</v>
      </c>
      <c r="P31" t="s">
        <v>297</v>
      </c>
      <c r="Q31" t="s">
        <v>272</v>
      </c>
      <c r="R31" t="s">
        <v>28</v>
      </c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/>
      <c r="T34"/>
      <c r="U34"/>
      <c r="V34"/>
      <c r="W34"/>
    </row>
    <row r="35" spans="1:23" x14ac:dyDescent="0.25">
      <c r="A35" s="3" t="s">
        <v>30</v>
      </c>
      <c r="B35" s="8">
        <v>5002.1275000000005</v>
      </c>
      <c r="C35" s="8">
        <v>0</v>
      </c>
      <c r="D35" s="8">
        <v>0</v>
      </c>
      <c r="E35" s="8">
        <v>10680.659999999998</v>
      </c>
      <c r="F35" s="8">
        <v>6012.2050000000008</v>
      </c>
      <c r="G35" s="8">
        <v>35147.772500000006</v>
      </c>
      <c r="H35" s="8">
        <v>3662.6699999999996</v>
      </c>
      <c r="I35" s="8">
        <v>4975.8074999999999</v>
      </c>
      <c r="J35" s="8">
        <v>20791.007500000003</v>
      </c>
      <c r="K35" s="8">
        <v>8456.2150000000001</v>
      </c>
      <c r="L35" s="8">
        <v>4466.8450000000003</v>
      </c>
      <c r="M35" s="8">
        <v>2524.6525000000001</v>
      </c>
      <c r="N35" s="8">
        <v>6012.2050000000008</v>
      </c>
      <c r="O35" s="8">
        <v>5656.3125</v>
      </c>
      <c r="P35" s="8">
        <v>4728.0050000000001</v>
      </c>
      <c r="Q35" s="8">
        <v>1057.2949999999998</v>
      </c>
      <c r="R35" s="8">
        <v>119173.78000000001</v>
      </c>
      <c r="S35"/>
      <c r="T35"/>
      <c r="U35"/>
      <c r="V35"/>
      <c r="W35"/>
    </row>
    <row r="36" spans="1:23" x14ac:dyDescent="0.25">
      <c r="A36" s="3" t="s">
        <v>31</v>
      </c>
      <c r="B36" s="8">
        <v>7322.5664999999999</v>
      </c>
      <c r="C36" s="8">
        <v>0</v>
      </c>
      <c r="D36" s="8">
        <v>4505.93</v>
      </c>
      <c r="E36" s="8">
        <v>19300.019999999993</v>
      </c>
      <c r="F36" s="8">
        <v>7349.6849999999995</v>
      </c>
      <c r="G36" s="8">
        <v>45102.102500000023</v>
      </c>
      <c r="H36" s="8">
        <v>21360.400000000001</v>
      </c>
      <c r="I36" s="8">
        <v>5392.1274999999996</v>
      </c>
      <c r="J36" s="8">
        <v>22122.827500000003</v>
      </c>
      <c r="K36" s="8">
        <v>9288.8149999999987</v>
      </c>
      <c r="L36" s="8">
        <v>5719.6450000000004</v>
      </c>
      <c r="M36" s="8">
        <v>3801.6324999999997</v>
      </c>
      <c r="N36" s="8">
        <v>7349.6849999999995</v>
      </c>
      <c r="O36" s="8">
        <v>8964.5825000000004</v>
      </c>
      <c r="P36" s="8">
        <v>6109.0549999999985</v>
      </c>
      <c r="Q36" s="8">
        <v>2750.1549999999997</v>
      </c>
      <c r="R36" s="8">
        <v>176439.22900000002</v>
      </c>
      <c r="S36"/>
      <c r="T36"/>
      <c r="U36"/>
      <c r="V36"/>
      <c r="W36"/>
    </row>
    <row r="37" spans="1:23" x14ac:dyDescent="0.25">
      <c r="A37" s="3" t="s">
        <v>32</v>
      </c>
      <c r="B37" s="8">
        <v>7322.5664999999999</v>
      </c>
      <c r="C37" s="8">
        <v>3508.9</v>
      </c>
      <c r="D37" s="8">
        <v>4505.93</v>
      </c>
      <c r="E37" s="8">
        <v>19300.019999999993</v>
      </c>
      <c r="F37" s="8">
        <v>7349.6849999999995</v>
      </c>
      <c r="G37" s="8">
        <v>45102.102500000023</v>
      </c>
      <c r="H37" s="8">
        <v>21360.400000000001</v>
      </c>
      <c r="I37" s="8">
        <v>5392.1274999999996</v>
      </c>
      <c r="J37" s="8">
        <v>22122.827500000003</v>
      </c>
      <c r="K37" s="8">
        <v>9288.8149999999987</v>
      </c>
      <c r="L37" s="8">
        <v>5719.6450000000004</v>
      </c>
      <c r="M37" s="8">
        <v>3801.6324999999997</v>
      </c>
      <c r="N37" s="8">
        <v>7349.6849999999995</v>
      </c>
      <c r="O37" s="8">
        <v>8964.5825000000004</v>
      </c>
      <c r="P37" s="8">
        <v>6109.0549999999985</v>
      </c>
      <c r="Q37" s="8">
        <v>2750.1549999999997</v>
      </c>
      <c r="R37" s="8">
        <v>179948.12900000002</v>
      </c>
      <c r="S37"/>
      <c r="T37"/>
      <c r="U37"/>
      <c r="V37"/>
      <c r="W37"/>
    </row>
    <row r="38" spans="1:23" x14ac:dyDescent="0.25">
      <c r="A38" s="3" t="s">
        <v>33</v>
      </c>
      <c r="B38" s="8">
        <v>8060.3754999999992</v>
      </c>
      <c r="C38" s="8">
        <v>8562.6099999999988</v>
      </c>
      <c r="D38" s="8">
        <v>4505.93</v>
      </c>
      <c r="E38" s="8">
        <v>19300.019999999993</v>
      </c>
      <c r="F38" s="8">
        <v>7349.6849999999995</v>
      </c>
      <c r="G38" s="8">
        <v>45102.102500000023</v>
      </c>
      <c r="H38" s="8">
        <v>41827.669999999991</v>
      </c>
      <c r="I38" s="8">
        <v>5392.1274999999996</v>
      </c>
      <c r="J38" s="8">
        <v>22122.827500000003</v>
      </c>
      <c r="K38" s="8">
        <v>9288.8149999999987</v>
      </c>
      <c r="L38" s="8">
        <v>5799.0850000000009</v>
      </c>
      <c r="M38" s="8">
        <v>3801.6324999999997</v>
      </c>
      <c r="N38" s="8">
        <v>7349.6849999999995</v>
      </c>
      <c r="O38" s="8">
        <v>8964.5825000000004</v>
      </c>
      <c r="P38" s="8">
        <v>6109.0549999999985</v>
      </c>
      <c r="Q38" s="8">
        <v>2750.1549999999997</v>
      </c>
      <c r="R38" s="8">
        <v>206286.35800000001</v>
      </c>
      <c r="S38"/>
      <c r="T38"/>
      <c r="U38"/>
      <c r="V38"/>
      <c r="W38"/>
    </row>
    <row r="39" spans="1:23" x14ac:dyDescent="0.25">
      <c r="A39" s="3" t="s">
        <v>34</v>
      </c>
      <c r="B39" s="8">
        <v>8429.3004999999994</v>
      </c>
      <c r="C39" s="8">
        <v>8562.6099999999988</v>
      </c>
      <c r="D39" s="8">
        <v>4505.93</v>
      </c>
      <c r="E39" s="8">
        <v>20110.47749999999</v>
      </c>
      <c r="F39" s="8">
        <v>8370.51</v>
      </c>
      <c r="G39" s="8">
        <v>50721.682500000032</v>
      </c>
      <c r="H39" s="8">
        <v>42452.922500000001</v>
      </c>
      <c r="I39" s="8">
        <v>6341.0749999999998</v>
      </c>
      <c r="J39" s="8">
        <v>25572.654999999999</v>
      </c>
      <c r="K39" s="8">
        <v>11008.544999999998</v>
      </c>
      <c r="L39" s="8">
        <v>6595.4650000000001</v>
      </c>
      <c r="M39" s="8">
        <v>4296.2849999999989</v>
      </c>
      <c r="N39" s="8">
        <v>8370.51</v>
      </c>
      <c r="O39" s="8">
        <v>9647.3625000000029</v>
      </c>
      <c r="P39" s="8">
        <v>6942.2699999999986</v>
      </c>
      <c r="Q39" s="8">
        <v>2952.9324999999994</v>
      </c>
      <c r="R39" s="8">
        <v>224880.53300000002</v>
      </c>
      <c r="S39"/>
      <c r="T39"/>
      <c r="U39"/>
      <c r="V39"/>
      <c r="W39"/>
    </row>
    <row r="40" spans="1:23" x14ac:dyDescent="0.25">
      <c r="A40" s="3" t="s">
        <v>35</v>
      </c>
      <c r="B40" s="8">
        <v>26133.856999999996</v>
      </c>
      <c r="C40" s="8">
        <v>10227.289999999999</v>
      </c>
      <c r="D40" s="8">
        <v>4640.8700000000008</v>
      </c>
      <c r="E40" s="8">
        <v>24878.519999999982</v>
      </c>
      <c r="F40" s="8">
        <v>8649.57</v>
      </c>
      <c r="G40" s="8">
        <v>52176.255000000041</v>
      </c>
      <c r="H40" s="8">
        <v>42816.967999999993</v>
      </c>
      <c r="I40" s="8">
        <v>6580.1950000000006</v>
      </c>
      <c r="J40" s="8">
        <v>26528.834999999995</v>
      </c>
      <c r="K40" s="8">
        <v>11359.35</v>
      </c>
      <c r="L40" s="8">
        <v>6752.3499999999995</v>
      </c>
      <c r="M40" s="8">
        <v>4368.0549999999994</v>
      </c>
      <c r="N40" s="8">
        <v>8522.17</v>
      </c>
      <c r="O40" s="8">
        <v>12176.325000000003</v>
      </c>
      <c r="P40" s="8">
        <v>7081.7999999999993</v>
      </c>
      <c r="Q40" s="8">
        <v>3031.3799999999992</v>
      </c>
      <c r="R40" s="8">
        <v>255923.79000000004</v>
      </c>
      <c r="S40"/>
      <c r="T40"/>
      <c r="U40"/>
      <c r="V40"/>
      <c r="W40"/>
    </row>
    <row r="41" spans="1:23" x14ac:dyDescent="0.25">
      <c r="A41" s="3" t="s">
        <v>36</v>
      </c>
      <c r="B41" s="8">
        <v>28817.845999999998</v>
      </c>
      <c r="C41" s="8">
        <v>10227.289999999999</v>
      </c>
      <c r="D41" s="8">
        <v>4640.8700000000008</v>
      </c>
      <c r="E41" s="8">
        <v>44352.599999999991</v>
      </c>
      <c r="F41" s="8">
        <v>9618.51</v>
      </c>
      <c r="G41" s="8">
        <v>58218.235000000052</v>
      </c>
      <c r="H41" s="8">
        <v>50910.768000000011</v>
      </c>
      <c r="I41" s="8">
        <v>7385.5349999999999</v>
      </c>
      <c r="J41" s="8">
        <v>30521.694999999992</v>
      </c>
      <c r="K41" s="8">
        <v>12566.93</v>
      </c>
      <c r="L41" s="8">
        <v>9476.7300000000014</v>
      </c>
      <c r="M41" s="8">
        <v>4770.7250000000004</v>
      </c>
      <c r="N41" s="8">
        <v>9491.11</v>
      </c>
      <c r="O41" s="8">
        <v>23417.884999999998</v>
      </c>
      <c r="P41" s="8">
        <v>7952.2799999999988</v>
      </c>
      <c r="Q41" s="8">
        <v>5691.9200000000019</v>
      </c>
      <c r="R41" s="8">
        <v>318060.92899999995</v>
      </c>
      <c r="S41"/>
      <c r="T41"/>
      <c r="U41"/>
      <c r="V41"/>
      <c r="W41"/>
    </row>
    <row r="42" spans="1:23" x14ac:dyDescent="0.25">
      <c r="A42" s="3" t="s">
        <v>37</v>
      </c>
      <c r="B42" s="8">
        <v>29646.745999999999</v>
      </c>
      <c r="C42" s="8">
        <v>10227.289999999999</v>
      </c>
      <c r="D42" s="8">
        <v>4640.8700000000008</v>
      </c>
      <c r="E42" s="8">
        <v>47844.239999999983</v>
      </c>
      <c r="F42" s="8">
        <v>10289.949999999999</v>
      </c>
      <c r="G42" s="8">
        <v>58838.075000000063</v>
      </c>
      <c r="H42" s="8">
        <v>59582.488000000012</v>
      </c>
      <c r="I42" s="8">
        <v>7385.5349999999999</v>
      </c>
      <c r="J42" s="8">
        <v>30521.694999999992</v>
      </c>
      <c r="K42" s="8">
        <v>12566.93</v>
      </c>
      <c r="L42" s="8">
        <v>9476.7300000000014</v>
      </c>
      <c r="M42" s="8">
        <v>4770.7250000000004</v>
      </c>
      <c r="N42" s="8">
        <v>10162.549999999999</v>
      </c>
      <c r="O42" s="8">
        <v>24814.544999999998</v>
      </c>
      <c r="P42" s="8">
        <v>7952.2799999999988</v>
      </c>
      <c r="Q42" s="8">
        <v>6390.2400000000016</v>
      </c>
      <c r="R42" s="8">
        <v>335110.88899999997</v>
      </c>
      <c r="S42"/>
      <c r="T42"/>
      <c r="U42"/>
      <c r="V42"/>
      <c r="W42"/>
    </row>
    <row r="43" spans="1:23" x14ac:dyDescent="0.25">
      <c r="A43" s="3" t="s">
        <v>38</v>
      </c>
      <c r="B43" s="8">
        <v>36554.853999999985</v>
      </c>
      <c r="C43" s="8">
        <v>12014.099999999999</v>
      </c>
      <c r="D43" s="8">
        <v>5018.9000000000015</v>
      </c>
      <c r="E43" s="8">
        <v>66083.87999999999</v>
      </c>
      <c r="F43" s="8">
        <v>14041.140000000003</v>
      </c>
      <c r="G43" s="8">
        <v>77925.550000000076</v>
      </c>
      <c r="H43" s="8">
        <v>64793.47800000001</v>
      </c>
      <c r="I43" s="8">
        <v>10397.230000000001</v>
      </c>
      <c r="J43" s="8">
        <v>44450.470000000008</v>
      </c>
      <c r="K43" s="8">
        <v>18234.059999999998</v>
      </c>
      <c r="L43" s="8">
        <v>11990.790000000003</v>
      </c>
      <c r="M43" s="8">
        <v>6316.9299999999994</v>
      </c>
      <c r="N43" s="8">
        <v>13913.740000000002</v>
      </c>
      <c r="O43" s="8">
        <v>32490.549999999996</v>
      </c>
      <c r="P43" s="8">
        <v>10454.159999999998</v>
      </c>
      <c r="Q43" s="8">
        <v>8320.01</v>
      </c>
      <c r="R43" s="8">
        <v>432999.842</v>
      </c>
      <c r="S43"/>
      <c r="T43"/>
      <c r="U43"/>
      <c r="V43"/>
      <c r="W43"/>
    </row>
    <row r="44" spans="1:23" x14ac:dyDescent="0.25">
      <c r="A44" s="3" t="s">
        <v>39</v>
      </c>
      <c r="B44" s="8">
        <v>46425.894</v>
      </c>
      <c r="C44" s="8">
        <v>12014.099999999999</v>
      </c>
      <c r="D44" s="8">
        <v>5018.9000000000015</v>
      </c>
      <c r="E44" s="8">
        <v>67128.480000000025</v>
      </c>
      <c r="F44" s="8">
        <v>14041.140000000003</v>
      </c>
      <c r="G44" s="8">
        <v>77925.550000000076</v>
      </c>
      <c r="H44" s="8">
        <v>71274.817999999999</v>
      </c>
      <c r="I44" s="8">
        <v>10397.230000000001</v>
      </c>
      <c r="J44" s="8">
        <v>44450.470000000008</v>
      </c>
      <c r="K44" s="8">
        <v>18234.059999999998</v>
      </c>
      <c r="L44" s="8">
        <v>14729.670000000004</v>
      </c>
      <c r="M44" s="8">
        <v>6316.9299999999994</v>
      </c>
      <c r="N44" s="8">
        <v>13913.740000000002</v>
      </c>
      <c r="O44" s="8">
        <v>32838.75</v>
      </c>
      <c r="P44" s="8">
        <v>10454.159999999998</v>
      </c>
      <c r="Q44" s="8">
        <v>8668.2099999999991</v>
      </c>
      <c r="R44" s="8">
        <v>453832.10200000007</v>
      </c>
      <c r="S44"/>
      <c r="T44"/>
      <c r="U44"/>
      <c r="V44"/>
      <c r="W44"/>
    </row>
    <row r="45" spans="1:23" x14ac:dyDescent="0.25">
      <c r="A45" s="3" t="s">
        <v>40</v>
      </c>
      <c r="B45" s="8">
        <v>47334.183999999994</v>
      </c>
      <c r="C45" s="8">
        <v>12014.099999999999</v>
      </c>
      <c r="D45" s="8">
        <v>5018.9000000000015</v>
      </c>
      <c r="E45" s="8">
        <v>67128.480000000025</v>
      </c>
      <c r="F45" s="8">
        <v>14041.140000000003</v>
      </c>
      <c r="G45" s="8">
        <v>78199.150000000067</v>
      </c>
      <c r="H45" s="8">
        <v>75019.178</v>
      </c>
      <c r="I45" s="8">
        <v>10397.230000000001</v>
      </c>
      <c r="J45" s="8">
        <v>44450.470000000008</v>
      </c>
      <c r="K45" s="8">
        <v>18234.059999999998</v>
      </c>
      <c r="L45" s="8">
        <v>14729.670000000004</v>
      </c>
      <c r="M45" s="8">
        <v>6316.9299999999994</v>
      </c>
      <c r="N45" s="8">
        <v>14210.140000000003</v>
      </c>
      <c r="O45" s="8">
        <v>32838.75</v>
      </c>
      <c r="P45" s="8">
        <v>10454.159999999998</v>
      </c>
      <c r="Q45" s="8">
        <v>8668.2099999999991</v>
      </c>
      <c r="R45" s="8">
        <v>459054.75200000009</v>
      </c>
      <c r="S45"/>
      <c r="T45"/>
      <c r="U45"/>
      <c r="V45"/>
      <c r="W45"/>
    </row>
    <row r="46" spans="1:23" x14ac:dyDescent="0.25">
      <c r="A46" s="3" t="s">
        <v>41</v>
      </c>
      <c r="B46" s="8">
        <v>51767.184000000008</v>
      </c>
      <c r="C46" s="8">
        <v>12014.099999999999</v>
      </c>
      <c r="D46" s="8">
        <v>6590.4</v>
      </c>
      <c r="E46" s="8">
        <v>68982.75</v>
      </c>
      <c r="F46" s="8">
        <v>14690.12</v>
      </c>
      <c r="G46" s="8">
        <v>82447.850000000079</v>
      </c>
      <c r="H46" s="8">
        <v>76165.25</v>
      </c>
      <c r="I46" s="8">
        <v>10940.2</v>
      </c>
      <c r="J46" s="8">
        <v>46484.760000000009</v>
      </c>
      <c r="K46" s="8">
        <v>19773.919999999995</v>
      </c>
      <c r="L46" s="8">
        <v>15311.130000000001</v>
      </c>
      <c r="M46" s="8">
        <v>7218.079999999999</v>
      </c>
      <c r="N46" s="8">
        <v>14859.120000000003</v>
      </c>
      <c r="O46" s="8">
        <v>33584.639999999992</v>
      </c>
      <c r="P46" s="8">
        <v>11528.939999999999</v>
      </c>
      <c r="Q46" s="8">
        <v>9237.01</v>
      </c>
      <c r="R46" s="8">
        <v>481595.45400000014</v>
      </c>
      <c r="S46"/>
      <c r="T46"/>
      <c r="U46"/>
      <c r="V46"/>
      <c r="W46"/>
    </row>
    <row r="47" spans="1:23" x14ac:dyDescent="0.25">
      <c r="A47" s="3" t="s">
        <v>42</v>
      </c>
      <c r="B47" s="8">
        <v>51767.184000000008</v>
      </c>
      <c r="C47" s="8">
        <v>24691.98</v>
      </c>
      <c r="D47" s="8">
        <v>6590.4</v>
      </c>
      <c r="E47" s="8">
        <v>68982.75</v>
      </c>
      <c r="F47" s="8">
        <v>14690.12</v>
      </c>
      <c r="G47" s="8">
        <v>82447.850000000079</v>
      </c>
      <c r="H47" s="8">
        <v>76165.25</v>
      </c>
      <c r="I47" s="8">
        <v>10940.2</v>
      </c>
      <c r="J47" s="8">
        <v>46484.760000000009</v>
      </c>
      <c r="K47" s="8">
        <v>19773.919999999995</v>
      </c>
      <c r="L47" s="8">
        <v>15311.130000000001</v>
      </c>
      <c r="M47" s="8">
        <v>7218.079999999999</v>
      </c>
      <c r="N47" s="8">
        <v>14859.120000000003</v>
      </c>
      <c r="O47" s="8">
        <v>33584.639999999992</v>
      </c>
      <c r="P47" s="8">
        <v>11528.939999999999</v>
      </c>
      <c r="Q47" s="8">
        <v>9237.01</v>
      </c>
      <c r="R47" s="8">
        <v>494273.33400000015</v>
      </c>
      <c r="S47"/>
      <c r="T47"/>
      <c r="U47"/>
      <c r="V47"/>
      <c r="W47"/>
    </row>
    <row r="48" spans="1:23" x14ac:dyDescent="0.25">
      <c r="A48" s="3" t="s">
        <v>43</v>
      </c>
      <c r="B48" s="8">
        <v>51767.184000000008</v>
      </c>
      <c r="C48" s="8">
        <v>24691.98</v>
      </c>
      <c r="D48" s="8">
        <v>6590.4</v>
      </c>
      <c r="E48" s="8">
        <v>68982.75</v>
      </c>
      <c r="F48" s="8">
        <v>14690.12</v>
      </c>
      <c r="G48" s="8">
        <v>82447.850000000079</v>
      </c>
      <c r="H48" s="8">
        <v>76165.25</v>
      </c>
      <c r="I48" s="8">
        <v>10940.2</v>
      </c>
      <c r="J48" s="8">
        <v>46484.760000000009</v>
      </c>
      <c r="K48" s="8">
        <v>19773.919999999995</v>
      </c>
      <c r="L48" s="8">
        <v>15311.130000000001</v>
      </c>
      <c r="M48" s="8">
        <v>7218.079999999999</v>
      </c>
      <c r="N48" s="8">
        <v>14859.120000000003</v>
      </c>
      <c r="O48" s="8">
        <v>33584.639999999992</v>
      </c>
      <c r="P48" s="8">
        <v>11528.939999999999</v>
      </c>
      <c r="Q48" s="8">
        <v>9237.01</v>
      </c>
      <c r="R48" s="8">
        <v>494273.33400000015</v>
      </c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35E5D-BB63-42D4-AAAA-1F4B54BEA4DE}">
  <dimension ref="A1:R85"/>
  <sheetViews>
    <sheetView workbookViewId="0">
      <selection activeCell="M1" sqref="M1:N1"/>
    </sheetView>
  </sheetViews>
  <sheetFormatPr defaultRowHeight="15" x14ac:dyDescent="0.25"/>
  <cols>
    <col min="1" max="1" width="29.42578125" style="109" customWidth="1"/>
    <col min="2" max="2" width="10.7109375" style="127" customWidth="1"/>
    <col min="3" max="10" width="10.7109375" style="109" customWidth="1"/>
    <col min="11" max="11" width="14.5703125" style="109" customWidth="1"/>
    <col min="12" max="12" width="13.7109375" style="134" customWidth="1"/>
    <col min="13" max="13" width="12.7109375" style="134" customWidth="1"/>
    <col min="14" max="14" width="10.7109375" style="134" customWidth="1"/>
    <col min="15" max="15" width="15.7109375" style="109" customWidth="1"/>
    <col min="16" max="16" width="9.140625" style="109" bestFit="1" customWidth="1"/>
    <col min="17" max="17" width="37.85546875" style="109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139</v>
      </c>
      <c r="B1" s="108"/>
      <c r="C1" s="108"/>
      <c r="D1" s="108"/>
      <c r="E1" s="108"/>
      <c r="F1" s="108"/>
      <c r="G1" s="108"/>
      <c r="H1" s="108"/>
      <c r="I1" s="108"/>
      <c r="K1" s="110" t="s">
        <v>140</v>
      </c>
      <c r="L1" s="111"/>
      <c r="M1" s="112" t="s">
        <v>134</v>
      </c>
      <c r="N1" s="112"/>
      <c r="O1" s="113" t="s">
        <v>141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142</v>
      </c>
      <c r="M2" s="114"/>
      <c r="N2" s="114"/>
    </row>
    <row r="3" spans="1:18" ht="15" customHeight="1" x14ac:dyDescent="0.25">
      <c r="A3" s="115" t="s">
        <v>143</v>
      </c>
      <c r="B3" s="116" t="s">
        <v>144</v>
      </c>
      <c r="C3" s="115"/>
      <c r="D3" s="154" t="s">
        <v>777</v>
      </c>
      <c r="E3" s="154"/>
      <c r="F3" s="154"/>
      <c r="G3" s="154"/>
      <c r="H3" s="154"/>
      <c r="I3" s="154"/>
      <c r="J3" s="117"/>
      <c r="L3" s="118" t="s">
        <v>145</v>
      </c>
      <c r="M3" s="119" t="s">
        <v>146</v>
      </c>
      <c r="N3" s="119"/>
      <c r="O3" s="120"/>
      <c r="P3" s="109" t="s">
        <v>147</v>
      </c>
    </row>
    <row r="4" spans="1:18" ht="30" customHeight="1" x14ac:dyDescent="0.25">
      <c r="A4" s="109" t="s">
        <v>148</v>
      </c>
      <c r="B4" s="121">
        <v>1</v>
      </c>
      <c r="C4" s="121"/>
      <c r="D4" s="155" t="s">
        <v>145</v>
      </c>
      <c r="E4" s="126" t="s">
        <v>12</v>
      </c>
      <c r="F4" s="126" t="s">
        <v>26</v>
      </c>
      <c r="G4" s="126" t="s">
        <v>27</v>
      </c>
      <c r="H4" s="126" t="s">
        <v>11</v>
      </c>
      <c r="I4" s="126" t="s">
        <v>28</v>
      </c>
      <c r="J4" s="122"/>
      <c r="K4" s="123"/>
      <c r="L4" s="124"/>
      <c r="M4" s="125" t="s">
        <v>149</v>
      </c>
      <c r="N4" s="126" t="s">
        <v>150</v>
      </c>
      <c r="O4" s="120"/>
      <c r="P4" s="116" t="s">
        <v>145</v>
      </c>
      <c r="Q4" s="116" t="s">
        <v>146</v>
      </c>
      <c r="R4" s="116" t="s">
        <v>150</v>
      </c>
    </row>
    <row r="5" spans="1:18" x14ac:dyDescent="0.25">
      <c r="A5" s="109" t="s">
        <v>151</v>
      </c>
      <c r="B5" s="127" t="s">
        <v>11</v>
      </c>
      <c r="D5" s="129">
        <v>-0.9</v>
      </c>
      <c r="E5" s="130">
        <v>0</v>
      </c>
      <c r="F5" s="130">
        <v>0</v>
      </c>
      <c r="G5" s="130">
        <v>0</v>
      </c>
      <c r="H5" s="130">
        <v>0</v>
      </c>
      <c r="I5" s="130">
        <v>0</v>
      </c>
      <c r="J5" s="128"/>
      <c r="L5" s="129">
        <f>-B14</f>
        <v>-2.7</v>
      </c>
      <c r="M5" s="130">
        <f>(F7+G7/2+H7)*$B$9</f>
        <v>0</v>
      </c>
      <c r="N5" s="130">
        <f>M5/$B$7</f>
        <v>0</v>
      </c>
      <c r="O5" s="128"/>
      <c r="P5" s="131" t="str">
        <f ca="1">_xlfn.FORMULATEXT(L5)</f>
        <v>=-B14</v>
      </c>
      <c r="Q5" s="131" t="str">
        <f ca="1">_xlfn.FORMULATEXT(M5)</f>
        <v>=(F7+G7/2+H7)*$B$9</v>
      </c>
      <c r="R5" s="131" t="str">
        <f ca="1">_xlfn.FORMULATEXT(N5)</f>
        <v>=M5/$B$7</v>
      </c>
    </row>
    <row r="6" spans="1:18" x14ac:dyDescent="0.25">
      <c r="A6" s="109" t="s">
        <v>152</v>
      </c>
      <c r="B6" s="127" t="s">
        <v>11</v>
      </c>
      <c r="D6" s="129">
        <v>-0.46</v>
      </c>
      <c r="E6" s="130">
        <v>0</v>
      </c>
      <c r="F6" s="130">
        <v>0</v>
      </c>
      <c r="G6" s="130">
        <v>0</v>
      </c>
      <c r="H6" s="130">
        <v>0</v>
      </c>
      <c r="I6" s="130">
        <v>0</v>
      </c>
      <c r="J6" s="128"/>
      <c r="L6" s="129">
        <f t="shared" ref="L6:L18" si="0">L$5+D8</f>
        <v>-2.6700000000000004</v>
      </c>
      <c r="M6" s="130">
        <f>(F8+G8/2+H8+$B$18)*$B$9</f>
        <v>82506.858750000029</v>
      </c>
      <c r="N6" s="130">
        <f t="shared" ref="N6:N33" si="1">M6/$B$7</f>
        <v>355.2387274899628</v>
      </c>
      <c r="O6" s="128"/>
      <c r="P6" s="131" t="str">
        <f t="shared" ref="P6:R21" ca="1" si="2">_xlfn.FORMULATEXT(L6)</f>
        <v>=L$5+D8</v>
      </c>
      <c r="Q6" s="131" t="str">
        <f t="shared" ca="1" si="2"/>
        <v>=(F8+G8/2+H8+$B$18)*$B$9</v>
      </c>
      <c r="R6" s="131" t="str">
        <f t="shared" ca="1" si="2"/>
        <v>=M6/$B$7</v>
      </c>
    </row>
    <row r="7" spans="1:18" x14ac:dyDescent="0.25">
      <c r="A7" s="109" t="s">
        <v>153</v>
      </c>
      <c r="B7" s="132">
        <v>232.25749999999999</v>
      </c>
      <c r="D7" s="129">
        <v>0</v>
      </c>
      <c r="E7" s="130">
        <v>0</v>
      </c>
      <c r="F7" s="130">
        <v>0</v>
      </c>
      <c r="G7" s="130">
        <v>0</v>
      </c>
      <c r="H7" s="130">
        <v>0</v>
      </c>
      <c r="I7" s="130">
        <v>0</v>
      </c>
      <c r="J7" s="128"/>
      <c r="L7" s="129">
        <f t="shared" si="0"/>
        <v>-2.6500000000000004</v>
      </c>
      <c r="M7" s="130">
        <f t="shared" ref="M7:M19" si="3">(F9+G9/2+H9+$B$18)*$B$9</f>
        <v>97717.488250000024</v>
      </c>
      <c r="N7" s="130">
        <f t="shared" si="1"/>
        <v>420.72909701516647</v>
      </c>
      <c r="O7" s="128"/>
      <c r="P7" s="131" t="str">
        <f t="shared" ca="1" si="2"/>
        <v>=L$5+D9</v>
      </c>
      <c r="Q7" s="131" t="str">
        <f t="shared" ca="1" si="2"/>
        <v>=(F9+G9/2+H9+$B$18)*$B$9</v>
      </c>
      <c r="R7" s="131" t="str">
        <f t="shared" ca="1" si="2"/>
        <v>=M7/$B$7</v>
      </c>
    </row>
    <row r="8" spans="1:18" x14ac:dyDescent="0.25">
      <c r="A8" s="109" t="s">
        <v>154</v>
      </c>
      <c r="B8" s="127" t="s">
        <v>155</v>
      </c>
      <c r="D8" s="129">
        <v>0.03</v>
      </c>
      <c r="E8" s="130">
        <v>62985.345000000038</v>
      </c>
      <c r="F8" s="130">
        <v>0</v>
      </c>
      <c r="G8" s="130">
        <v>5002.1275000000005</v>
      </c>
      <c r="H8" s="130">
        <v>51186.307500000032</v>
      </c>
      <c r="I8" s="130">
        <v>119173.78000000006</v>
      </c>
      <c r="J8" s="128"/>
      <c r="L8" s="129">
        <f t="shared" si="0"/>
        <v>-2.6</v>
      </c>
      <c r="M8" s="130">
        <f t="shared" si="3"/>
        <v>101226.38825000002</v>
      </c>
      <c r="N8" s="130">
        <f t="shared" si="1"/>
        <v>435.83689762440406</v>
      </c>
      <c r="O8" s="128"/>
      <c r="P8" s="131" t="str">
        <f t="shared" ca="1" si="2"/>
        <v>=L$5+D10</v>
      </c>
      <c r="Q8" s="131" t="str">
        <f t="shared" ca="1" si="2"/>
        <v>=(F10+G10/2+H10+$B$18)*$B$9</v>
      </c>
      <c r="R8" s="131" t="str">
        <f t="shared" ca="1" si="2"/>
        <v>=M8/$B$7</v>
      </c>
    </row>
    <row r="9" spans="1:18" x14ac:dyDescent="0.25">
      <c r="A9" s="109" t="s">
        <v>156</v>
      </c>
      <c r="B9" s="127">
        <v>1</v>
      </c>
      <c r="D9" s="129">
        <v>0.05</v>
      </c>
      <c r="E9" s="130">
        <v>103879.94499999993</v>
      </c>
      <c r="F9" s="130">
        <v>0</v>
      </c>
      <c r="G9" s="130">
        <v>7322.5664999999999</v>
      </c>
      <c r="H9" s="130">
        <v>65236.717500000021</v>
      </c>
      <c r="I9" s="130">
        <v>176439.22899999996</v>
      </c>
      <c r="J9" s="128"/>
      <c r="L9" s="129">
        <f t="shared" si="0"/>
        <v>-2.5500000000000003</v>
      </c>
      <c r="M9" s="130">
        <f t="shared" si="3"/>
        <v>106688.72275000003</v>
      </c>
      <c r="N9" s="130">
        <f t="shared" si="1"/>
        <v>459.3553394400613</v>
      </c>
      <c r="O9" s="128"/>
      <c r="P9" s="131" t="str">
        <f t="shared" ca="1" si="2"/>
        <v>=L$5+D11</v>
      </c>
      <c r="Q9" s="131" t="str">
        <f t="shared" ca="1" si="2"/>
        <v>=(F11+G11/2+H11+$B$18)*$B$9</v>
      </c>
      <c r="R9" s="131" t="str">
        <f t="shared" ca="1" si="2"/>
        <v>=M9/$B$7</v>
      </c>
    </row>
    <row r="10" spans="1:18" x14ac:dyDescent="0.25">
      <c r="A10" s="109" t="s">
        <v>157</v>
      </c>
      <c r="B10" s="133" t="b">
        <f>(I21+B17+B18)*B9=M33</f>
        <v>1</v>
      </c>
      <c r="D10" s="129">
        <v>0.1</v>
      </c>
      <c r="E10" s="130">
        <v>103879.94499999993</v>
      </c>
      <c r="F10" s="130">
        <v>3508.9</v>
      </c>
      <c r="G10" s="130">
        <v>7322.5664999999999</v>
      </c>
      <c r="H10" s="130">
        <v>65236.717500000021</v>
      </c>
      <c r="I10" s="130">
        <v>179948.12899999996</v>
      </c>
      <c r="J10" s="128"/>
      <c r="L10" s="129">
        <f t="shared" si="0"/>
        <v>-2.4000000000000004</v>
      </c>
      <c r="M10" s="130">
        <f t="shared" si="3"/>
        <v>114660.35524999998</v>
      </c>
      <c r="N10" s="130">
        <f t="shared" si="1"/>
        <v>493.67772945975901</v>
      </c>
      <c r="O10" s="128"/>
      <c r="P10" s="131" t="str">
        <f t="shared" ca="1" si="2"/>
        <v>=L$5+D12</v>
      </c>
      <c r="Q10" s="131" t="str">
        <f t="shared" ca="1" si="2"/>
        <v>=(F12+G12/2+H12+$B$18)*$B$9</v>
      </c>
      <c r="R10" s="131" t="str">
        <f t="shared" ca="1" si="2"/>
        <v>=M10/$B$7</v>
      </c>
    </row>
    <row r="11" spans="1:18" x14ac:dyDescent="0.25">
      <c r="D11" s="129">
        <v>0.15</v>
      </c>
      <c r="E11" s="130">
        <v>124386.93499999995</v>
      </c>
      <c r="F11" s="130">
        <v>8562.6099999999988</v>
      </c>
      <c r="G11" s="130">
        <v>8060.3754999999992</v>
      </c>
      <c r="H11" s="130">
        <v>65276.437500000022</v>
      </c>
      <c r="I11" s="130">
        <v>206286.35799999998</v>
      </c>
      <c r="J11" s="128"/>
      <c r="L11" s="129">
        <f t="shared" si="0"/>
        <v>-2.2400000000000002</v>
      </c>
      <c r="M11" s="130">
        <f t="shared" si="3"/>
        <v>130164.11099999999</v>
      </c>
      <c r="N11" s="130">
        <f t="shared" si="1"/>
        <v>560.43017340667143</v>
      </c>
      <c r="O11" s="128"/>
      <c r="P11" s="131" t="str">
        <f t="shared" ca="1" si="2"/>
        <v>=L$5+D13</v>
      </c>
      <c r="Q11" s="131" t="str">
        <f t="shared" ca="1" si="2"/>
        <v>=(F13+G13/2+H13+$B$18)*$B$9</v>
      </c>
      <c r="R11" s="131" t="str">
        <f t="shared" ca="1" si="2"/>
        <v>=M11/$B$7</v>
      </c>
    </row>
    <row r="12" spans="1:18" x14ac:dyDescent="0.25">
      <c r="A12" s="109" t="s">
        <v>158</v>
      </c>
      <c r="B12" s="127">
        <v>8</v>
      </c>
      <c r="D12" s="129">
        <v>0.3</v>
      </c>
      <c r="E12" s="130">
        <v>134825.0149999999</v>
      </c>
      <c r="F12" s="130">
        <v>8562.6099999999988</v>
      </c>
      <c r="G12" s="130">
        <v>8429.3004999999994</v>
      </c>
      <c r="H12" s="130">
        <v>73063.607499999984</v>
      </c>
      <c r="I12" s="130">
        <v>224880.53299999988</v>
      </c>
      <c r="J12" s="128"/>
      <c r="L12" s="129">
        <f t="shared" si="0"/>
        <v>-2.0900000000000003</v>
      </c>
      <c r="M12" s="130">
        <f t="shared" si="3"/>
        <v>153205.46549999993</v>
      </c>
      <c r="N12" s="130">
        <f t="shared" si="1"/>
        <v>659.63624640754313</v>
      </c>
      <c r="O12" s="128"/>
      <c r="P12" s="131" t="str">
        <f t="shared" ca="1" si="2"/>
        <v>=L$5+D14</v>
      </c>
      <c r="Q12" s="131" t="str">
        <f t="shared" ca="1" si="2"/>
        <v>=(F14+G14/2+H14+$B$18)*$B$9</v>
      </c>
      <c r="R12" s="131" t="str">
        <f t="shared" ca="1" si="2"/>
        <v>=M12/$B$7</v>
      </c>
    </row>
    <row r="13" spans="1:18" x14ac:dyDescent="0.25">
      <c r="A13" s="109" t="s">
        <v>159</v>
      </c>
      <c r="B13" s="127" t="s">
        <v>160</v>
      </c>
      <c r="D13" s="129">
        <v>0.46</v>
      </c>
      <c r="E13" s="130">
        <v>141512.23800000004</v>
      </c>
      <c r="F13" s="130">
        <v>10227.289999999999</v>
      </c>
      <c r="G13" s="130">
        <v>26133.856999999996</v>
      </c>
      <c r="H13" s="130">
        <v>78050.404999999984</v>
      </c>
      <c r="I13" s="130">
        <v>255923.79000000004</v>
      </c>
      <c r="J13" s="128"/>
      <c r="L13" s="129">
        <f t="shared" si="0"/>
        <v>-1.9400000000000002</v>
      </c>
      <c r="M13" s="130">
        <f t="shared" si="3"/>
        <v>156929.03549999994</v>
      </c>
      <c r="N13" s="130">
        <f t="shared" si="1"/>
        <v>675.66832287439559</v>
      </c>
      <c r="O13" s="128"/>
      <c r="P13" s="131" t="str">
        <f t="shared" ca="1" si="2"/>
        <v>=L$5+D15</v>
      </c>
      <c r="Q13" s="131" t="str">
        <f t="shared" ca="1" si="2"/>
        <v>=(F15+G15/2+H15+$B$18)*$B$9</v>
      </c>
      <c r="R13" s="131" t="str">
        <f t="shared" ca="1" si="2"/>
        <v>=M13/$B$7</v>
      </c>
    </row>
    <row r="14" spans="1:18" x14ac:dyDescent="0.25">
      <c r="A14" s="109" t="s">
        <v>161</v>
      </c>
      <c r="B14" s="127">
        <v>2.7</v>
      </c>
      <c r="D14" s="129">
        <v>0.61</v>
      </c>
      <c r="E14" s="130">
        <v>179266.02800000005</v>
      </c>
      <c r="F14" s="130">
        <v>10227.289999999999</v>
      </c>
      <c r="G14" s="130">
        <v>28817.845999999998</v>
      </c>
      <c r="H14" s="130">
        <v>99749.764999999956</v>
      </c>
      <c r="I14" s="130">
        <v>318060.929</v>
      </c>
      <c r="J14" s="128"/>
      <c r="L14" s="129">
        <f t="shared" si="0"/>
        <v>-1.79</v>
      </c>
      <c r="M14" s="130">
        <f t="shared" si="3"/>
        <v>200028.15450000003</v>
      </c>
      <c r="N14" s="130">
        <f t="shared" si="1"/>
        <v>861.23442515311683</v>
      </c>
      <c r="O14" s="128"/>
      <c r="P14" s="131" t="str">
        <f t="shared" ca="1" si="2"/>
        <v>=L$5+D16</v>
      </c>
      <c r="Q14" s="131" t="str">
        <f t="shared" ca="1" si="2"/>
        <v>=(F16+G16/2+H16+$B$18)*$B$9</v>
      </c>
      <c r="R14" s="131" t="str">
        <f t="shared" ca="1" si="2"/>
        <v>=M14/$B$7</v>
      </c>
    </row>
    <row r="15" spans="1:18" x14ac:dyDescent="0.25">
      <c r="D15" s="129">
        <v>0.76</v>
      </c>
      <c r="E15" s="130">
        <v>192177.96800000008</v>
      </c>
      <c r="F15" s="130">
        <v>10227.289999999999</v>
      </c>
      <c r="G15" s="130">
        <v>29646.745999999999</v>
      </c>
      <c r="H15" s="130">
        <v>103058.88499999995</v>
      </c>
      <c r="I15" s="130">
        <v>335110.88900000002</v>
      </c>
      <c r="J15" s="128"/>
      <c r="L15" s="129">
        <f t="shared" si="0"/>
        <v>-1.6800000000000002</v>
      </c>
      <c r="M15" s="130">
        <f t="shared" si="3"/>
        <v>207029.51450000008</v>
      </c>
      <c r="N15" s="130">
        <f t="shared" si="1"/>
        <v>891.37924286621569</v>
      </c>
      <c r="O15" s="128"/>
      <c r="P15" s="131" t="str">
        <f t="shared" ca="1" si="2"/>
        <v>=L$5+D17</v>
      </c>
      <c r="Q15" s="131" t="str">
        <f t="shared" ca="1" si="2"/>
        <v>=(F17+G17/2+H17+$B$18)*$B$9</v>
      </c>
      <c r="R15" s="131" t="str">
        <f t="shared" ca="1" si="2"/>
        <v>=M15/$B$7</v>
      </c>
    </row>
    <row r="16" spans="1:18" x14ac:dyDescent="0.25">
      <c r="A16" s="115" t="s">
        <v>162</v>
      </c>
      <c r="D16" s="129">
        <v>0.91</v>
      </c>
      <c r="E16" s="130">
        <v>243513.74800000025</v>
      </c>
      <c r="F16" s="130">
        <v>12014.099999999999</v>
      </c>
      <c r="G16" s="130">
        <v>36554.853999999985</v>
      </c>
      <c r="H16" s="130">
        <v>140917.14000000004</v>
      </c>
      <c r="I16" s="130">
        <v>432999.8420000003</v>
      </c>
      <c r="J16" s="128"/>
      <c r="L16" s="129">
        <f t="shared" si="0"/>
        <v>-1.4800000000000002</v>
      </c>
      <c r="M16" s="130">
        <f t="shared" si="3"/>
        <v>207768.65950000007</v>
      </c>
      <c r="N16" s="130">
        <f t="shared" si="1"/>
        <v>894.56168046241805</v>
      </c>
      <c r="O16" s="128"/>
      <c r="P16" s="131" t="str">
        <f t="shared" ca="1" si="2"/>
        <v>=L$5+D18</v>
      </c>
      <c r="Q16" s="131" t="str">
        <f t="shared" ca="1" si="2"/>
        <v>=(F18+G18/2+H18+$B$18)*$B$9</v>
      </c>
      <c r="R16" s="131" t="str">
        <f t="shared" ca="1" si="2"/>
        <v>=M16/$B$7</v>
      </c>
    </row>
    <row r="17" spans="1:18" x14ac:dyDescent="0.25">
      <c r="A17" s="109" t="s">
        <v>163</v>
      </c>
      <c r="B17" s="133">
        <v>35197.887499999997</v>
      </c>
      <c r="D17" s="129">
        <v>1.02</v>
      </c>
      <c r="E17" s="130">
        <v>252409.12800000026</v>
      </c>
      <c r="F17" s="130">
        <v>12014.099999999999</v>
      </c>
      <c r="G17" s="130">
        <v>46425.894</v>
      </c>
      <c r="H17" s="130">
        <v>142982.9800000001</v>
      </c>
      <c r="I17" s="130">
        <v>453832.1020000003</v>
      </c>
      <c r="J17" s="128"/>
      <c r="L17" s="129">
        <f t="shared" si="0"/>
        <v>-1.1800000000000002</v>
      </c>
      <c r="M17" s="130">
        <f t="shared" si="3"/>
        <v>216256.92950000009</v>
      </c>
      <c r="N17" s="130">
        <f t="shared" si="1"/>
        <v>931.10848734701824</v>
      </c>
      <c r="O17" s="128"/>
      <c r="P17" s="131" t="str">
        <f t="shared" ca="1" si="2"/>
        <v>=L$5+D19</v>
      </c>
      <c r="Q17" s="131" t="str">
        <f t="shared" ca="1" si="2"/>
        <v>=(F19+G19/2+H19+$B$18)*$B$9</v>
      </c>
      <c r="R17" s="131" t="str">
        <f t="shared" ca="1" si="2"/>
        <v>=M17/$B$7</v>
      </c>
    </row>
    <row r="18" spans="1:18" x14ac:dyDescent="0.25">
      <c r="A18" s="109" t="s">
        <v>164</v>
      </c>
      <c r="B18" s="133">
        <v>28819.487499999999</v>
      </c>
      <c r="D18" s="129">
        <v>1.22</v>
      </c>
      <c r="E18" s="130">
        <v>256438.48800000027</v>
      </c>
      <c r="F18" s="130">
        <v>12014.099999999999</v>
      </c>
      <c r="G18" s="130">
        <v>47334.183999999994</v>
      </c>
      <c r="H18" s="130">
        <v>143267.9800000001</v>
      </c>
      <c r="I18" s="130">
        <v>459054.75200000039</v>
      </c>
      <c r="J18" s="128"/>
      <c r="L18" s="129">
        <f t="shared" si="0"/>
        <v>-0.87000000000000011</v>
      </c>
      <c r="M18" s="130">
        <f t="shared" si="3"/>
        <v>228934.80950000009</v>
      </c>
      <c r="N18" s="130">
        <f t="shared" si="1"/>
        <v>985.69393668665214</v>
      </c>
      <c r="O18" s="128"/>
      <c r="P18" s="131" t="str">
        <f t="shared" ca="1" si="2"/>
        <v>=L$5+D20</v>
      </c>
      <c r="Q18" s="131" t="str">
        <f t="shared" ca="1" si="2"/>
        <v>=(F20+G20/2+H20+$B$18)*$B$9</v>
      </c>
      <c r="R18" s="131" t="str">
        <f t="shared" ca="1" si="2"/>
        <v>=M18/$B$7</v>
      </c>
    </row>
    <row r="19" spans="1:18" x14ac:dyDescent="0.25">
      <c r="A19" s="109" t="s">
        <v>165</v>
      </c>
      <c r="B19" s="133">
        <v>0</v>
      </c>
      <c r="D19" s="129">
        <v>1.52</v>
      </c>
      <c r="E19" s="130">
        <v>268274.42000000027</v>
      </c>
      <c r="F19" s="130">
        <v>12014.099999999999</v>
      </c>
      <c r="G19" s="130">
        <v>51767.184000000008</v>
      </c>
      <c r="H19" s="130">
        <v>149539.75000000009</v>
      </c>
      <c r="I19" s="130">
        <v>481595.45400000038</v>
      </c>
      <c r="J19" s="128"/>
      <c r="L19" s="129">
        <f>D7</f>
        <v>0</v>
      </c>
      <c r="M19" s="130">
        <f t="shared" si="3"/>
        <v>228934.80950000009</v>
      </c>
      <c r="N19" s="130">
        <f t="shared" si="1"/>
        <v>985.69393668665214</v>
      </c>
      <c r="O19" s="109" t="s">
        <v>166</v>
      </c>
      <c r="P19" s="131" t="str">
        <f t="shared" ca="1" si="2"/>
        <v>=D7</v>
      </c>
      <c r="Q19" s="131" t="str">
        <f t="shared" ca="1" si="2"/>
        <v>=(F21+G21/2+H21+$B$18)*$B$9</v>
      </c>
      <c r="R19" s="131" t="str">
        <f t="shared" ca="1" si="2"/>
        <v>=M19/$B$7</v>
      </c>
    </row>
    <row r="20" spans="1:18" x14ac:dyDescent="0.25">
      <c r="D20" s="129">
        <v>1.83</v>
      </c>
      <c r="E20" s="130">
        <v>268274.42000000027</v>
      </c>
      <c r="F20" s="130">
        <v>24691.98</v>
      </c>
      <c r="G20" s="130">
        <v>51767.184000000008</v>
      </c>
      <c r="H20" s="130">
        <v>149539.75000000009</v>
      </c>
      <c r="I20" s="130">
        <v>494273.33400000038</v>
      </c>
      <c r="J20" s="128"/>
      <c r="L20" s="129">
        <f t="shared" ref="L20:L33" si="4">D8</f>
        <v>0.03</v>
      </c>
      <c r="M20" s="130">
        <f>M$19+(E8+G8/2+$B$17)*$B$9</f>
        <v>329619.1057500001</v>
      </c>
      <c r="N20" s="130">
        <f t="shared" si="1"/>
        <v>1419.1968214158858</v>
      </c>
      <c r="O20" s="128"/>
      <c r="P20" s="131" t="str">
        <f t="shared" ca="1" si="2"/>
        <v>=D8</v>
      </c>
      <c r="Q20" s="131" t="str">
        <f t="shared" ca="1" si="2"/>
        <v>=M$19+(E8+G8/2+$B$17)*$B$9</v>
      </c>
      <c r="R20" s="131" t="str">
        <f t="shared" ca="1" si="2"/>
        <v>=M20/$B$7</v>
      </c>
    </row>
    <row r="21" spans="1:18" x14ac:dyDescent="0.25">
      <c r="D21" s="129">
        <v>2.7</v>
      </c>
      <c r="E21" s="130">
        <v>268274.42000000027</v>
      </c>
      <c r="F21" s="130">
        <v>24691.98</v>
      </c>
      <c r="G21" s="130">
        <v>51767.184000000008</v>
      </c>
      <c r="H21" s="130">
        <v>149539.75000000009</v>
      </c>
      <c r="I21" s="130">
        <v>494273.33400000038</v>
      </c>
      <c r="J21" s="128"/>
      <c r="L21" s="129">
        <f t="shared" si="4"/>
        <v>0.05</v>
      </c>
      <c r="M21" s="130">
        <f t="shared" ref="M21:M33" si="5">M$19+(E9+G9/2+$B$17)*$B$9</f>
        <v>371673.92525000003</v>
      </c>
      <c r="N21" s="130">
        <f t="shared" si="1"/>
        <v>1600.2666232522095</v>
      </c>
      <c r="O21" s="128"/>
      <c r="P21" s="131" t="str">
        <f t="shared" ca="1" si="2"/>
        <v>=D9</v>
      </c>
      <c r="Q21" s="131" t="str">
        <f t="shared" ca="1" si="2"/>
        <v>=M$19+(E9+G9/2+$B$17)*$B$9</v>
      </c>
      <c r="R21" s="131" t="str">
        <f t="shared" ca="1" si="2"/>
        <v>=M21/$B$7</v>
      </c>
    </row>
    <row r="22" spans="1:18" x14ac:dyDescent="0.25">
      <c r="L22" s="129">
        <f t="shared" si="4"/>
        <v>0.1</v>
      </c>
      <c r="M22" s="130">
        <f t="shared" si="5"/>
        <v>371673.92525000003</v>
      </c>
      <c r="N22" s="130">
        <f t="shared" si="1"/>
        <v>1600.2666232522095</v>
      </c>
      <c r="O22" s="128"/>
      <c r="P22" s="131" t="str">
        <f t="shared" ref="P22:R33" ca="1" si="6">_xlfn.FORMULATEXT(L22)</f>
        <v>=D10</v>
      </c>
      <c r="Q22" s="131" t="str">
        <f t="shared" ca="1" si="6"/>
        <v>=M$19+(E10+G10/2+$B$17)*$B$9</v>
      </c>
      <c r="R22" s="131" t="str">
        <f t="shared" ca="1" si="6"/>
        <v>=M22/$B$7</v>
      </c>
    </row>
    <row r="23" spans="1:18" x14ac:dyDescent="0.25">
      <c r="L23" s="129">
        <f t="shared" si="4"/>
        <v>0.15</v>
      </c>
      <c r="M23" s="130">
        <f t="shared" si="5"/>
        <v>392549.81975000002</v>
      </c>
      <c r="N23" s="130">
        <f t="shared" si="1"/>
        <v>1690.1491652583879</v>
      </c>
      <c r="O23" s="128"/>
      <c r="P23" s="131" t="str">
        <f t="shared" ca="1" si="6"/>
        <v>=D11</v>
      </c>
      <c r="Q23" s="131" t="str">
        <f t="shared" ca="1" si="6"/>
        <v>=M$19+(E11+G11/2+$B$17)*$B$9</v>
      </c>
      <c r="R23" s="131" t="str">
        <f t="shared" ca="1" si="6"/>
        <v>=M23/$B$7</v>
      </c>
    </row>
    <row r="24" spans="1:18" x14ac:dyDescent="0.25">
      <c r="L24" s="129">
        <f t="shared" si="4"/>
        <v>0.3</v>
      </c>
      <c r="M24" s="130">
        <f t="shared" si="5"/>
        <v>403172.36225000001</v>
      </c>
      <c r="N24" s="130">
        <f t="shared" si="1"/>
        <v>1735.8852232974177</v>
      </c>
      <c r="O24" s="128"/>
      <c r="P24" s="131" t="str">
        <f t="shared" ca="1" si="6"/>
        <v>=D12</v>
      </c>
      <c r="Q24" s="131" t="str">
        <f t="shared" ca="1" si="6"/>
        <v>=M$19+(E12+G12/2+$B$17)*$B$9</v>
      </c>
      <c r="R24" s="131" t="str">
        <f t="shared" ca="1" si="6"/>
        <v>=M24/$B$7</v>
      </c>
    </row>
    <row r="25" spans="1:18" x14ac:dyDescent="0.25">
      <c r="L25" s="129">
        <f t="shared" si="4"/>
        <v>0.46</v>
      </c>
      <c r="M25" s="130">
        <f t="shared" si="5"/>
        <v>418711.86350000015</v>
      </c>
      <c r="N25" s="130">
        <f t="shared" si="1"/>
        <v>1802.7915718545157</v>
      </c>
      <c r="O25" s="128"/>
      <c r="P25" s="131" t="str">
        <f t="shared" ca="1" si="6"/>
        <v>=D13</v>
      </c>
      <c r="Q25" s="131" t="str">
        <f t="shared" ca="1" si="6"/>
        <v>=M$19+(E13+G13/2+$B$17)*$B$9</v>
      </c>
      <c r="R25" s="131" t="str">
        <f t="shared" ca="1" si="6"/>
        <v>=M25/$B$7</v>
      </c>
    </row>
    <row r="26" spans="1:18" x14ac:dyDescent="0.25">
      <c r="L26" s="129">
        <f t="shared" si="4"/>
        <v>0.61</v>
      </c>
      <c r="M26" s="130">
        <f t="shared" si="5"/>
        <v>457807.64800000016</v>
      </c>
      <c r="N26" s="130">
        <f t="shared" si="1"/>
        <v>1971.1210531414495</v>
      </c>
      <c r="O26" s="128"/>
      <c r="P26" s="131" t="str">
        <f t="shared" ca="1" si="6"/>
        <v>=D14</v>
      </c>
      <c r="Q26" s="131" t="str">
        <f t="shared" ca="1" si="6"/>
        <v>=M$19+(E14+G14/2+$B$17)*$B$9</v>
      </c>
      <c r="R26" s="131" t="str">
        <f t="shared" ca="1" si="6"/>
        <v>=M26/$B$7</v>
      </c>
    </row>
    <row r="27" spans="1:18" x14ac:dyDescent="0.25">
      <c r="L27" s="129">
        <f t="shared" si="4"/>
        <v>0.76</v>
      </c>
      <c r="M27" s="130">
        <f t="shared" si="5"/>
        <v>471134.03800000018</v>
      </c>
      <c r="N27" s="130">
        <f t="shared" si="1"/>
        <v>2028.4987051010201</v>
      </c>
      <c r="O27" s="128"/>
      <c r="P27" s="131" t="str">
        <f t="shared" ca="1" si="6"/>
        <v>=D15</v>
      </c>
      <c r="Q27" s="131" t="str">
        <f t="shared" ca="1" si="6"/>
        <v>=M$19+(E15+G15/2+$B$17)*$B$9</v>
      </c>
      <c r="R27" s="131" t="str">
        <f t="shared" ca="1" si="6"/>
        <v>=M27/$B$7</v>
      </c>
    </row>
    <row r="28" spans="1:18" x14ac:dyDescent="0.25">
      <c r="L28" s="129">
        <f t="shared" si="4"/>
        <v>0.91</v>
      </c>
      <c r="M28" s="130">
        <f t="shared" si="5"/>
        <v>525923.87200000032</v>
      </c>
      <c r="N28" s="130">
        <f t="shared" si="1"/>
        <v>2264.3999526387752</v>
      </c>
      <c r="O28" s="128"/>
      <c r="P28" s="131" t="str">
        <f t="shared" ca="1" si="6"/>
        <v>=D16</v>
      </c>
      <c r="Q28" s="131" t="str">
        <f t="shared" ca="1" si="6"/>
        <v>=M$19+(E16+G16/2+$B$17)*$B$9</v>
      </c>
      <c r="R28" s="131" t="str">
        <f t="shared" ca="1" si="6"/>
        <v>=M28/$B$7</v>
      </c>
    </row>
    <row r="29" spans="1:18" x14ac:dyDescent="0.25">
      <c r="L29" s="129">
        <f t="shared" si="4"/>
        <v>1.02</v>
      </c>
      <c r="M29" s="130">
        <f t="shared" si="5"/>
        <v>539754.77200000035</v>
      </c>
      <c r="N29" s="130">
        <f t="shared" si="1"/>
        <v>2323.9498057113351</v>
      </c>
      <c r="O29" s="128"/>
      <c r="P29" s="131" t="str">
        <f t="shared" ca="1" si="6"/>
        <v>=D17</v>
      </c>
      <c r="Q29" s="131" t="str">
        <f t="shared" ca="1" si="6"/>
        <v>=M$19+(E17+G17/2+$B$17)*$B$9</v>
      </c>
      <c r="R29" s="131" t="str">
        <f t="shared" ca="1" si="6"/>
        <v>=M29/$B$7</v>
      </c>
    </row>
    <row r="30" spans="1:18" x14ac:dyDescent="0.25">
      <c r="L30" s="129">
        <f t="shared" si="4"/>
        <v>1.22</v>
      </c>
      <c r="M30" s="130">
        <f t="shared" si="5"/>
        <v>544238.27700000035</v>
      </c>
      <c r="N30" s="130">
        <f t="shared" si="1"/>
        <v>2343.2538324919556</v>
      </c>
      <c r="O30" s="128"/>
      <c r="P30" s="131" t="str">
        <f t="shared" ca="1" si="6"/>
        <v>=D18</v>
      </c>
      <c r="Q30" s="131" t="str">
        <f t="shared" ca="1" si="6"/>
        <v>=M$19+(E18+G18/2+$B$17)*$B$9</v>
      </c>
      <c r="R30" s="131" t="str">
        <f t="shared" ca="1" si="6"/>
        <v>=M30/$B$7</v>
      </c>
    </row>
    <row r="31" spans="1:18" x14ac:dyDescent="0.25">
      <c r="L31" s="129">
        <f t="shared" si="4"/>
        <v>1.52</v>
      </c>
      <c r="M31" s="130">
        <f t="shared" si="5"/>
        <v>558290.70900000038</v>
      </c>
      <c r="N31" s="130">
        <f t="shared" si="1"/>
        <v>2403.7575062161627</v>
      </c>
      <c r="O31" s="128"/>
      <c r="P31" s="131" t="str">
        <f t="shared" ca="1" si="6"/>
        <v>=D19</v>
      </c>
      <c r="Q31" s="131" t="str">
        <f t="shared" ca="1" si="6"/>
        <v>=M$19+(E19+G19/2+$B$17)*$B$9</v>
      </c>
      <c r="R31" s="131" t="str">
        <f t="shared" ca="1" si="6"/>
        <v>=M31/$B$7</v>
      </c>
    </row>
    <row r="32" spans="1:18" x14ac:dyDescent="0.25">
      <c r="L32" s="129">
        <f t="shared" si="4"/>
        <v>1.83</v>
      </c>
      <c r="M32" s="130">
        <f t="shared" si="5"/>
        <v>558290.70900000038</v>
      </c>
      <c r="N32" s="130">
        <f t="shared" si="1"/>
        <v>2403.7575062161627</v>
      </c>
      <c r="O32" s="128"/>
      <c r="P32" s="131" t="str">
        <f t="shared" ca="1" si="6"/>
        <v>=D20</v>
      </c>
      <c r="Q32" s="131" t="str">
        <f t="shared" ca="1" si="6"/>
        <v>=M$19+(E20+G20/2+$B$17)*$B$9</v>
      </c>
      <c r="R32" s="131" t="str">
        <f t="shared" ca="1" si="6"/>
        <v>=M32/$B$7</v>
      </c>
    </row>
    <row r="33" spans="12:18" x14ac:dyDescent="0.25">
      <c r="L33" s="129">
        <f t="shared" si="4"/>
        <v>2.7</v>
      </c>
      <c r="M33" s="130">
        <f t="shared" si="5"/>
        <v>558290.70900000038</v>
      </c>
      <c r="N33" s="130">
        <f t="shared" si="1"/>
        <v>2403.7575062161627</v>
      </c>
      <c r="O33" s="128"/>
      <c r="P33" s="131" t="str">
        <f t="shared" ca="1" si="6"/>
        <v>=D21</v>
      </c>
      <c r="Q33" s="131" t="str">
        <f t="shared" ca="1" si="6"/>
        <v>=M$19+(E21+G21/2+$B$17)*$B$9</v>
      </c>
      <c r="R33" s="131" t="str">
        <f t="shared" ca="1" si="6"/>
        <v>=M33/$B$7</v>
      </c>
    </row>
    <row r="85" spans="2:2" x14ac:dyDescent="0.25">
      <c r="B85" s="127" t="s">
        <v>167</v>
      </c>
    </row>
  </sheetData>
  <mergeCells count="7">
    <mergeCell ref="A1:I2"/>
    <mergeCell ref="K1:L1"/>
    <mergeCell ref="M1:N1"/>
    <mergeCell ref="L2:N2"/>
    <mergeCell ref="L3:L4"/>
    <mergeCell ref="M3:N3"/>
    <mergeCell ref="D3:I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I24:I25 M1:N1" xr:uid="{31A255BC-4C78-4269-A0C4-39FE9CD21987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V21"/>
  <sheetViews>
    <sheetView workbookViewId="0">
      <selection activeCell="D3" sqref="D3:U21"/>
    </sheetView>
  </sheetViews>
  <sheetFormatPr defaultRowHeight="15" x14ac:dyDescent="0.25"/>
  <cols>
    <col min="3" max="21" width="10.7109375" customWidth="1"/>
  </cols>
  <sheetData>
    <row r="3" spans="4:22" x14ac:dyDescent="0.25">
      <c r="D3" s="156" t="s">
        <v>778</v>
      </c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8"/>
    </row>
    <row r="4" spans="4:22" ht="45" customHeight="1" x14ac:dyDescent="0.25">
      <c r="D4" s="158" t="s">
        <v>145</v>
      </c>
      <c r="E4" s="159" t="s">
        <v>66</v>
      </c>
      <c r="F4" s="159" t="s">
        <v>67</v>
      </c>
      <c r="G4" s="159" t="s">
        <v>68</v>
      </c>
      <c r="H4" s="159" t="s">
        <v>13</v>
      </c>
      <c r="I4" s="159" t="s">
        <v>15</v>
      </c>
      <c r="J4" s="159" t="s">
        <v>4</v>
      </c>
      <c r="K4" s="159" t="s">
        <v>7</v>
      </c>
      <c r="L4" s="159" t="s">
        <v>5</v>
      </c>
      <c r="M4" s="159" t="s">
        <v>14</v>
      </c>
      <c r="N4" s="159" t="s">
        <v>6</v>
      </c>
      <c r="O4" s="159" t="s">
        <v>300</v>
      </c>
      <c r="P4" s="159" t="s">
        <v>299</v>
      </c>
      <c r="Q4" s="159" t="s">
        <v>310</v>
      </c>
      <c r="R4" s="159" t="s">
        <v>275</v>
      </c>
      <c r="S4" s="159" t="s">
        <v>297</v>
      </c>
      <c r="T4" s="159" t="s">
        <v>272</v>
      </c>
      <c r="U4" s="159" t="s">
        <v>28</v>
      </c>
      <c r="V4" s="8"/>
    </row>
    <row r="5" spans="4:22" x14ac:dyDescent="0.25">
      <c r="D5" s="146">
        <v>-0.9</v>
      </c>
      <c r="E5" s="160">
        <v>0</v>
      </c>
      <c r="F5" s="160">
        <v>0</v>
      </c>
      <c r="G5" s="160">
        <v>0</v>
      </c>
      <c r="H5" s="160">
        <v>0</v>
      </c>
      <c r="I5" s="160">
        <v>0</v>
      </c>
      <c r="J5" s="160">
        <v>0</v>
      </c>
      <c r="K5" s="160">
        <v>0</v>
      </c>
      <c r="L5" s="160">
        <v>0</v>
      </c>
      <c r="M5" s="160">
        <v>0</v>
      </c>
      <c r="N5" s="160">
        <v>0</v>
      </c>
      <c r="O5" s="160">
        <v>0</v>
      </c>
      <c r="P5" s="160">
        <v>0</v>
      </c>
      <c r="Q5" s="160">
        <v>0</v>
      </c>
      <c r="R5" s="160">
        <v>0</v>
      </c>
      <c r="S5" s="160">
        <v>0</v>
      </c>
      <c r="T5" s="160">
        <v>0</v>
      </c>
      <c r="U5" s="160">
        <v>0</v>
      </c>
      <c r="V5" s="8"/>
    </row>
    <row r="6" spans="4:22" x14ac:dyDescent="0.25">
      <c r="D6" s="146">
        <v>-0.46</v>
      </c>
      <c r="E6" s="160">
        <v>0</v>
      </c>
      <c r="F6" s="160">
        <v>0</v>
      </c>
      <c r="G6" s="160">
        <v>0</v>
      </c>
      <c r="H6" s="160">
        <v>0</v>
      </c>
      <c r="I6" s="160">
        <v>0</v>
      </c>
      <c r="J6" s="160">
        <v>0</v>
      </c>
      <c r="K6" s="160">
        <v>0</v>
      </c>
      <c r="L6" s="160">
        <v>0</v>
      </c>
      <c r="M6" s="160">
        <v>0</v>
      </c>
      <c r="N6" s="160">
        <v>0</v>
      </c>
      <c r="O6" s="160">
        <v>0</v>
      </c>
      <c r="P6" s="160">
        <v>0</v>
      </c>
      <c r="Q6" s="160">
        <v>0</v>
      </c>
      <c r="R6" s="160">
        <v>0</v>
      </c>
      <c r="S6" s="160">
        <v>0</v>
      </c>
      <c r="T6" s="160">
        <v>0</v>
      </c>
      <c r="U6" s="160">
        <v>0</v>
      </c>
      <c r="V6" s="8"/>
    </row>
    <row r="7" spans="4:22" x14ac:dyDescent="0.25">
      <c r="D7" s="146">
        <v>0</v>
      </c>
      <c r="E7" s="160">
        <v>0</v>
      </c>
      <c r="F7" s="160">
        <v>0</v>
      </c>
      <c r="G7" s="160">
        <v>0</v>
      </c>
      <c r="H7" s="160">
        <v>0</v>
      </c>
      <c r="I7" s="160">
        <v>0</v>
      </c>
      <c r="J7" s="160">
        <v>0</v>
      </c>
      <c r="K7" s="160">
        <v>0</v>
      </c>
      <c r="L7" s="160">
        <v>0</v>
      </c>
      <c r="M7" s="160">
        <v>0</v>
      </c>
      <c r="N7" s="160">
        <v>0</v>
      </c>
      <c r="O7" s="160">
        <v>0</v>
      </c>
      <c r="P7" s="160">
        <v>0</v>
      </c>
      <c r="Q7" s="160">
        <v>0</v>
      </c>
      <c r="R7" s="160">
        <v>0</v>
      </c>
      <c r="S7" s="160">
        <v>0</v>
      </c>
      <c r="T7" s="160">
        <v>0</v>
      </c>
      <c r="U7" s="160">
        <v>0</v>
      </c>
      <c r="V7" s="8"/>
    </row>
    <row r="8" spans="4:22" x14ac:dyDescent="0.25">
      <c r="D8" s="146">
        <v>0.03</v>
      </c>
      <c r="E8" s="160">
        <v>5002.1275000000005</v>
      </c>
      <c r="F8" s="160">
        <v>0</v>
      </c>
      <c r="G8" s="160">
        <v>0</v>
      </c>
      <c r="H8" s="160">
        <v>10680.659999999998</v>
      </c>
      <c r="I8" s="160">
        <v>6012.2050000000008</v>
      </c>
      <c r="J8" s="160">
        <v>35147.772500000006</v>
      </c>
      <c r="K8" s="160">
        <v>3662.6699999999996</v>
      </c>
      <c r="L8" s="160">
        <v>4975.8074999999999</v>
      </c>
      <c r="M8" s="160">
        <v>20791.007500000003</v>
      </c>
      <c r="N8" s="160">
        <v>8456.2150000000001</v>
      </c>
      <c r="O8" s="160">
        <v>4466.8450000000003</v>
      </c>
      <c r="P8" s="160">
        <v>2524.6525000000001</v>
      </c>
      <c r="Q8" s="160">
        <v>6012.2050000000008</v>
      </c>
      <c r="R8" s="160">
        <v>5656.3125</v>
      </c>
      <c r="S8" s="160">
        <v>4728.0050000000001</v>
      </c>
      <c r="T8" s="160">
        <v>1057.2949999999998</v>
      </c>
      <c r="U8" s="160">
        <v>119173.78000000001</v>
      </c>
      <c r="V8" s="8"/>
    </row>
    <row r="9" spans="4:22" x14ac:dyDescent="0.25">
      <c r="D9" s="146">
        <v>0.05</v>
      </c>
      <c r="E9" s="160">
        <v>7322.5664999999999</v>
      </c>
      <c r="F9" s="160">
        <v>0</v>
      </c>
      <c r="G9" s="160">
        <v>4505.93</v>
      </c>
      <c r="H9" s="160">
        <v>19300.019999999993</v>
      </c>
      <c r="I9" s="160">
        <v>7349.6849999999995</v>
      </c>
      <c r="J9" s="160">
        <v>45102.102500000023</v>
      </c>
      <c r="K9" s="160">
        <v>21360.400000000001</v>
      </c>
      <c r="L9" s="160">
        <v>5392.1274999999996</v>
      </c>
      <c r="M9" s="160">
        <v>22122.827500000003</v>
      </c>
      <c r="N9" s="160">
        <v>9288.8149999999987</v>
      </c>
      <c r="O9" s="160">
        <v>5719.6450000000004</v>
      </c>
      <c r="P9" s="160">
        <v>3801.6324999999997</v>
      </c>
      <c r="Q9" s="160">
        <v>7349.6849999999995</v>
      </c>
      <c r="R9" s="160">
        <v>8964.5825000000004</v>
      </c>
      <c r="S9" s="160">
        <v>6109.0549999999985</v>
      </c>
      <c r="T9" s="160">
        <v>2750.1549999999997</v>
      </c>
      <c r="U9" s="160">
        <v>176439.22900000002</v>
      </c>
      <c r="V9" s="8"/>
    </row>
    <row r="10" spans="4:22" x14ac:dyDescent="0.25">
      <c r="D10" s="146">
        <v>0.1</v>
      </c>
      <c r="E10" s="160">
        <v>7322.5664999999999</v>
      </c>
      <c r="F10" s="160">
        <v>3508.9</v>
      </c>
      <c r="G10" s="160">
        <v>4505.93</v>
      </c>
      <c r="H10" s="160">
        <v>19300.019999999993</v>
      </c>
      <c r="I10" s="160">
        <v>7349.6849999999995</v>
      </c>
      <c r="J10" s="160">
        <v>45102.102500000023</v>
      </c>
      <c r="K10" s="160">
        <v>21360.400000000001</v>
      </c>
      <c r="L10" s="160">
        <v>5392.1274999999996</v>
      </c>
      <c r="M10" s="160">
        <v>22122.827500000003</v>
      </c>
      <c r="N10" s="160">
        <v>9288.8149999999987</v>
      </c>
      <c r="O10" s="160">
        <v>5719.6450000000004</v>
      </c>
      <c r="P10" s="160">
        <v>3801.6324999999997</v>
      </c>
      <c r="Q10" s="160">
        <v>7349.6849999999995</v>
      </c>
      <c r="R10" s="160">
        <v>8964.5825000000004</v>
      </c>
      <c r="S10" s="160">
        <v>6109.0549999999985</v>
      </c>
      <c r="T10" s="160">
        <v>2750.1549999999997</v>
      </c>
      <c r="U10" s="160">
        <v>179948.12900000002</v>
      </c>
      <c r="V10" s="8"/>
    </row>
    <row r="11" spans="4:22" x14ac:dyDescent="0.25">
      <c r="D11" s="146">
        <v>0.15</v>
      </c>
      <c r="E11" s="160">
        <v>8060.3754999999992</v>
      </c>
      <c r="F11" s="160">
        <v>8562.6099999999988</v>
      </c>
      <c r="G11" s="160">
        <v>4505.93</v>
      </c>
      <c r="H11" s="160">
        <v>19300.019999999993</v>
      </c>
      <c r="I11" s="160">
        <v>7349.6849999999995</v>
      </c>
      <c r="J11" s="160">
        <v>45102.102500000023</v>
      </c>
      <c r="K11" s="160">
        <v>41827.669999999991</v>
      </c>
      <c r="L11" s="160">
        <v>5392.1274999999996</v>
      </c>
      <c r="M11" s="160">
        <v>22122.827500000003</v>
      </c>
      <c r="N11" s="160">
        <v>9288.8149999999987</v>
      </c>
      <c r="O11" s="160">
        <v>5799.0850000000009</v>
      </c>
      <c r="P11" s="160">
        <v>3801.6324999999997</v>
      </c>
      <c r="Q11" s="160">
        <v>7349.6849999999995</v>
      </c>
      <c r="R11" s="160">
        <v>8964.5825000000004</v>
      </c>
      <c r="S11" s="160">
        <v>6109.0549999999985</v>
      </c>
      <c r="T11" s="160">
        <v>2750.1549999999997</v>
      </c>
      <c r="U11" s="160">
        <v>206286.35800000001</v>
      </c>
      <c r="V11" s="8"/>
    </row>
    <row r="12" spans="4:22" x14ac:dyDescent="0.25">
      <c r="D12" s="146">
        <v>0.3</v>
      </c>
      <c r="E12" s="160">
        <v>8429.3004999999994</v>
      </c>
      <c r="F12" s="160">
        <v>8562.6099999999988</v>
      </c>
      <c r="G12" s="160">
        <v>4505.93</v>
      </c>
      <c r="H12" s="160">
        <v>20110.47749999999</v>
      </c>
      <c r="I12" s="160">
        <v>8370.51</v>
      </c>
      <c r="J12" s="160">
        <v>50721.682500000032</v>
      </c>
      <c r="K12" s="160">
        <v>42452.922500000001</v>
      </c>
      <c r="L12" s="160">
        <v>6341.0749999999998</v>
      </c>
      <c r="M12" s="160">
        <v>25572.654999999999</v>
      </c>
      <c r="N12" s="160">
        <v>11008.544999999998</v>
      </c>
      <c r="O12" s="160">
        <v>6595.4650000000001</v>
      </c>
      <c r="P12" s="160">
        <v>4296.2849999999989</v>
      </c>
      <c r="Q12" s="160">
        <v>8370.51</v>
      </c>
      <c r="R12" s="160">
        <v>9647.3625000000029</v>
      </c>
      <c r="S12" s="160">
        <v>6942.2699999999986</v>
      </c>
      <c r="T12" s="160">
        <v>2952.9324999999994</v>
      </c>
      <c r="U12" s="160">
        <v>224880.53300000002</v>
      </c>
      <c r="V12" s="8"/>
    </row>
    <row r="13" spans="4:22" x14ac:dyDescent="0.25">
      <c r="D13" s="146">
        <v>0.46</v>
      </c>
      <c r="E13" s="160">
        <v>26133.856999999996</v>
      </c>
      <c r="F13" s="160">
        <v>10227.289999999999</v>
      </c>
      <c r="G13" s="160">
        <v>4640.8700000000008</v>
      </c>
      <c r="H13" s="160">
        <v>24878.519999999982</v>
      </c>
      <c r="I13" s="160">
        <v>8649.57</v>
      </c>
      <c r="J13" s="160">
        <v>52176.255000000041</v>
      </c>
      <c r="K13" s="160">
        <v>42816.967999999993</v>
      </c>
      <c r="L13" s="160">
        <v>6580.1950000000006</v>
      </c>
      <c r="M13" s="160">
        <v>26528.834999999995</v>
      </c>
      <c r="N13" s="160">
        <v>11359.35</v>
      </c>
      <c r="O13" s="160">
        <v>6752.3499999999995</v>
      </c>
      <c r="P13" s="160">
        <v>4368.0549999999994</v>
      </c>
      <c r="Q13" s="160">
        <v>8522.17</v>
      </c>
      <c r="R13" s="160">
        <v>12176.325000000003</v>
      </c>
      <c r="S13" s="160">
        <v>7081.7999999999993</v>
      </c>
      <c r="T13" s="160">
        <v>3031.3799999999992</v>
      </c>
      <c r="U13" s="160">
        <v>255923.79000000004</v>
      </c>
      <c r="V13" s="8"/>
    </row>
    <row r="14" spans="4:22" x14ac:dyDescent="0.25">
      <c r="D14" s="146">
        <v>0.61</v>
      </c>
      <c r="E14" s="160">
        <v>28817.845999999998</v>
      </c>
      <c r="F14" s="160">
        <v>10227.289999999999</v>
      </c>
      <c r="G14" s="160">
        <v>4640.8700000000008</v>
      </c>
      <c r="H14" s="160">
        <v>44352.599999999991</v>
      </c>
      <c r="I14" s="160">
        <v>9618.51</v>
      </c>
      <c r="J14" s="160">
        <v>58218.235000000052</v>
      </c>
      <c r="K14" s="160">
        <v>50910.768000000011</v>
      </c>
      <c r="L14" s="160">
        <v>7385.5349999999999</v>
      </c>
      <c r="M14" s="160">
        <v>30521.694999999992</v>
      </c>
      <c r="N14" s="160">
        <v>12566.93</v>
      </c>
      <c r="O14" s="160">
        <v>9476.7300000000014</v>
      </c>
      <c r="P14" s="160">
        <v>4770.7250000000004</v>
      </c>
      <c r="Q14" s="160">
        <v>9491.11</v>
      </c>
      <c r="R14" s="160">
        <v>23417.884999999998</v>
      </c>
      <c r="S14" s="160">
        <v>7952.2799999999988</v>
      </c>
      <c r="T14" s="160">
        <v>5691.9200000000019</v>
      </c>
      <c r="U14" s="160">
        <v>318060.92899999995</v>
      </c>
      <c r="V14" s="8"/>
    </row>
    <row r="15" spans="4:22" x14ac:dyDescent="0.25">
      <c r="D15" s="146">
        <v>0.76</v>
      </c>
      <c r="E15" s="160">
        <v>29646.745999999999</v>
      </c>
      <c r="F15" s="160">
        <v>10227.289999999999</v>
      </c>
      <c r="G15" s="160">
        <v>4640.8700000000008</v>
      </c>
      <c r="H15" s="160">
        <v>47844.239999999983</v>
      </c>
      <c r="I15" s="160">
        <v>10289.949999999999</v>
      </c>
      <c r="J15" s="160">
        <v>58838.075000000063</v>
      </c>
      <c r="K15" s="160">
        <v>59582.488000000012</v>
      </c>
      <c r="L15" s="160">
        <v>7385.5349999999999</v>
      </c>
      <c r="M15" s="160">
        <v>30521.694999999992</v>
      </c>
      <c r="N15" s="160">
        <v>12566.93</v>
      </c>
      <c r="O15" s="160">
        <v>9476.7300000000014</v>
      </c>
      <c r="P15" s="160">
        <v>4770.7250000000004</v>
      </c>
      <c r="Q15" s="160">
        <v>10162.549999999999</v>
      </c>
      <c r="R15" s="160">
        <v>24814.544999999998</v>
      </c>
      <c r="S15" s="160">
        <v>7952.2799999999988</v>
      </c>
      <c r="T15" s="160">
        <v>6390.2400000000016</v>
      </c>
      <c r="U15" s="160">
        <v>335110.88899999997</v>
      </c>
      <c r="V15" s="8"/>
    </row>
    <row r="16" spans="4:22" x14ac:dyDescent="0.25">
      <c r="D16" s="146">
        <v>0.91</v>
      </c>
      <c r="E16" s="160">
        <v>36554.853999999985</v>
      </c>
      <c r="F16" s="160">
        <v>12014.099999999999</v>
      </c>
      <c r="G16" s="160">
        <v>5018.9000000000015</v>
      </c>
      <c r="H16" s="160">
        <v>66083.87999999999</v>
      </c>
      <c r="I16" s="160">
        <v>14041.140000000003</v>
      </c>
      <c r="J16" s="160">
        <v>77925.550000000076</v>
      </c>
      <c r="K16" s="160">
        <v>64793.47800000001</v>
      </c>
      <c r="L16" s="160">
        <v>10397.230000000001</v>
      </c>
      <c r="M16" s="160">
        <v>44450.470000000008</v>
      </c>
      <c r="N16" s="160">
        <v>18234.059999999998</v>
      </c>
      <c r="O16" s="160">
        <v>11990.790000000003</v>
      </c>
      <c r="P16" s="160">
        <v>6316.9299999999994</v>
      </c>
      <c r="Q16" s="160">
        <v>13913.740000000002</v>
      </c>
      <c r="R16" s="160">
        <v>32490.549999999996</v>
      </c>
      <c r="S16" s="160">
        <v>10454.159999999998</v>
      </c>
      <c r="T16" s="160">
        <v>8320.01</v>
      </c>
      <c r="U16" s="160">
        <v>432999.842</v>
      </c>
      <c r="V16" s="8"/>
    </row>
    <row r="17" spans="4:22" x14ac:dyDescent="0.25">
      <c r="D17" s="146">
        <v>1.02</v>
      </c>
      <c r="E17" s="160">
        <v>46425.894</v>
      </c>
      <c r="F17" s="160">
        <v>12014.099999999999</v>
      </c>
      <c r="G17" s="160">
        <v>5018.9000000000015</v>
      </c>
      <c r="H17" s="160">
        <v>67128.480000000025</v>
      </c>
      <c r="I17" s="160">
        <v>14041.140000000003</v>
      </c>
      <c r="J17" s="160">
        <v>77925.550000000076</v>
      </c>
      <c r="K17" s="160">
        <v>71274.817999999999</v>
      </c>
      <c r="L17" s="160">
        <v>10397.230000000001</v>
      </c>
      <c r="M17" s="160">
        <v>44450.470000000008</v>
      </c>
      <c r="N17" s="160">
        <v>18234.059999999998</v>
      </c>
      <c r="O17" s="160">
        <v>14729.670000000004</v>
      </c>
      <c r="P17" s="160">
        <v>6316.9299999999994</v>
      </c>
      <c r="Q17" s="160">
        <v>13913.740000000002</v>
      </c>
      <c r="R17" s="160">
        <v>32838.75</v>
      </c>
      <c r="S17" s="160">
        <v>10454.159999999998</v>
      </c>
      <c r="T17" s="160">
        <v>8668.2099999999991</v>
      </c>
      <c r="U17" s="160">
        <v>453832.10200000007</v>
      </c>
      <c r="V17" s="8"/>
    </row>
    <row r="18" spans="4:22" x14ac:dyDescent="0.25">
      <c r="D18" s="146">
        <v>1.22</v>
      </c>
      <c r="E18" s="160">
        <v>47334.183999999994</v>
      </c>
      <c r="F18" s="160">
        <v>12014.099999999999</v>
      </c>
      <c r="G18" s="160">
        <v>5018.9000000000015</v>
      </c>
      <c r="H18" s="160">
        <v>67128.480000000025</v>
      </c>
      <c r="I18" s="160">
        <v>14041.140000000003</v>
      </c>
      <c r="J18" s="160">
        <v>78199.150000000067</v>
      </c>
      <c r="K18" s="160">
        <v>75019.178</v>
      </c>
      <c r="L18" s="160">
        <v>10397.230000000001</v>
      </c>
      <c r="M18" s="160">
        <v>44450.470000000008</v>
      </c>
      <c r="N18" s="160">
        <v>18234.059999999998</v>
      </c>
      <c r="O18" s="160">
        <v>14729.670000000004</v>
      </c>
      <c r="P18" s="160">
        <v>6316.9299999999994</v>
      </c>
      <c r="Q18" s="160">
        <v>14210.140000000003</v>
      </c>
      <c r="R18" s="160">
        <v>32838.75</v>
      </c>
      <c r="S18" s="160">
        <v>10454.159999999998</v>
      </c>
      <c r="T18" s="160">
        <v>8668.2099999999991</v>
      </c>
      <c r="U18" s="160">
        <v>459054.75200000009</v>
      </c>
      <c r="V18" s="8"/>
    </row>
    <row r="19" spans="4:22" x14ac:dyDescent="0.25">
      <c r="D19" s="146">
        <v>1.52</v>
      </c>
      <c r="E19" s="160">
        <v>51767.184000000008</v>
      </c>
      <c r="F19" s="160">
        <v>12014.099999999999</v>
      </c>
      <c r="G19" s="160">
        <v>6590.4</v>
      </c>
      <c r="H19" s="160">
        <v>68982.75</v>
      </c>
      <c r="I19" s="160">
        <v>14690.12</v>
      </c>
      <c r="J19" s="160">
        <v>82447.850000000079</v>
      </c>
      <c r="K19" s="160">
        <v>76165.25</v>
      </c>
      <c r="L19" s="160">
        <v>10940.2</v>
      </c>
      <c r="M19" s="160">
        <v>46484.760000000009</v>
      </c>
      <c r="N19" s="160">
        <v>19773.919999999995</v>
      </c>
      <c r="O19" s="160">
        <v>15311.130000000001</v>
      </c>
      <c r="P19" s="160">
        <v>7218.079999999999</v>
      </c>
      <c r="Q19" s="160">
        <v>14859.120000000003</v>
      </c>
      <c r="R19" s="160">
        <v>33584.639999999992</v>
      </c>
      <c r="S19" s="160">
        <v>11528.939999999999</v>
      </c>
      <c r="T19" s="160">
        <v>9237.01</v>
      </c>
      <c r="U19" s="160">
        <v>481595.45400000014</v>
      </c>
      <c r="V19" s="8"/>
    </row>
    <row r="20" spans="4:22" x14ac:dyDescent="0.25">
      <c r="D20" s="146">
        <v>1.83</v>
      </c>
      <c r="E20" s="160">
        <v>51767.184000000008</v>
      </c>
      <c r="F20" s="160">
        <v>24691.98</v>
      </c>
      <c r="G20" s="160">
        <v>6590.4</v>
      </c>
      <c r="H20" s="160">
        <v>68982.75</v>
      </c>
      <c r="I20" s="160">
        <v>14690.12</v>
      </c>
      <c r="J20" s="160">
        <v>82447.850000000079</v>
      </c>
      <c r="K20" s="160">
        <v>76165.25</v>
      </c>
      <c r="L20" s="160">
        <v>10940.2</v>
      </c>
      <c r="M20" s="160">
        <v>46484.760000000009</v>
      </c>
      <c r="N20" s="160">
        <v>19773.919999999995</v>
      </c>
      <c r="O20" s="160">
        <v>15311.130000000001</v>
      </c>
      <c r="P20" s="160">
        <v>7218.079999999999</v>
      </c>
      <c r="Q20" s="160">
        <v>14859.120000000003</v>
      </c>
      <c r="R20" s="160">
        <v>33584.639999999992</v>
      </c>
      <c r="S20" s="160">
        <v>11528.939999999999</v>
      </c>
      <c r="T20" s="160">
        <v>9237.01</v>
      </c>
      <c r="U20" s="160">
        <v>494273.33400000015</v>
      </c>
      <c r="V20" s="8"/>
    </row>
    <row r="21" spans="4:22" x14ac:dyDescent="0.25">
      <c r="D21" s="146">
        <v>2.7</v>
      </c>
      <c r="E21" s="160">
        <v>51767.184000000008</v>
      </c>
      <c r="F21" s="160">
        <v>24691.98</v>
      </c>
      <c r="G21" s="160">
        <v>6590.4</v>
      </c>
      <c r="H21" s="160">
        <v>68982.75</v>
      </c>
      <c r="I21" s="160">
        <v>14690.12</v>
      </c>
      <c r="J21" s="160">
        <v>82447.850000000079</v>
      </c>
      <c r="K21" s="160">
        <v>76165.25</v>
      </c>
      <c r="L21" s="160">
        <v>10940.2</v>
      </c>
      <c r="M21" s="160">
        <v>46484.760000000009</v>
      </c>
      <c r="N21" s="160">
        <v>19773.919999999995</v>
      </c>
      <c r="O21" s="160">
        <v>15311.130000000001</v>
      </c>
      <c r="P21" s="160">
        <v>7218.079999999999</v>
      </c>
      <c r="Q21" s="160">
        <v>14859.120000000003</v>
      </c>
      <c r="R21" s="160">
        <v>33584.639999999992</v>
      </c>
      <c r="S21" s="160">
        <v>11528.939999999999</v>
      </c>
      <c r="T21" s="160">
        <v>9237.01</v>
      </c>
      <c r="U21" s="160">
        <v>494273.33400000015</v>
      </c>
      <c r="V21" s="8"/>
    </row>
  </sheetData>
  <mergeCells count="1">
    <mergeCell ref="D3:U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783</v>
      </c>
    </row>
    <row r="2" spans="1:2" x14ac:dyDescent="0.25">
      <c r="A2" s="33" t="s">
        <v>103</v>
      </c>
      <c r="B2" s="55" t="s">
        <v>176</v>
      </c>
    </row>
    <row r="3" spans="1:2" x14ac:dyDescent="0.25">
      <c r="A3" s="33" t="s">
        <v>101</v>
      </c>
      <c r="B3" s="55" t="s">
        <v>177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178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179</v>
      </c>
    </row>
    <row r="8" spans="1:2" x14ac:dyDescent="0.25">
      <c r="A8" s="33" t="s">
        <v>21</v>
      </c>
      <c r="B8" s="55" t="s">
        <v>180</v>
      </c>
    </row>
    <row r="9" spans="1:2" x14ac:dyDescent="0.25">
      <c r="A9" s="33" t="s">
        <v>20</v>
      </c>
      <c r="B9" s="55" t="s">
        <v>312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733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240</v>
      </c>
    </row>
    <row r="15" spans="1:2" x14ac:dyDescent="0.25">
      <c r="A15" s="33" t="s">
        <v>112</v>
      </c>
      <c r="B15" s="55" t="s">
        <v>242</v>
      </c>
    </row>
    <row r="16" spans="1:2" x14ac:dyDescent="0.25">
      <c r="A16" s="33" t="s">
        <v>113</v>
      </c>
      <c r="B16" s="55">
        <v>2500</v>
      </c>
    </row>
    <row r="17" spans="1:2" x14ac:dyDescent="0.25">
      <c r="A17" s="33" t="s">
        <v>114</v>
      </c>
      <c r="B17" s="55">
        <v>232.26</v>
      </c>
    </row>
    <row r="18" spans="1:2" x14ac:dyDescent="0.25">
      <c r="A18" s="33" t="s">
        <v>115</v>
      </c>
      <c r="B18" s="55" t="s">
        <v>780</v>
      </c>
    </row>
    <row r="19" spans="1:2" x14ac:dyDescent="0.25">
      <c r="A19" s="33" t="s">
        <v>116</v>
      </c>
      <c r="B19" s="55" t="s">
        <v>781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782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82506.858750000029</v>
      </c>
    </row>
    <row r="28" spans="1:2" x14ac:dyDescent="0.25">
      <c r="A28" s="54">
        <v>-2.6500000000000004</v>
      </c>
      <c r="B28" s="53">
        <v>97717.488250000024</v>
      </c>
    </row>
    <row r="29" spans="1:2" x14ac:dyDescent="0.25">
      <c r="A29" s="54">
        <v>-2.6</v>
      </c>
      <c r="B29" s="53">
        <v>101226.38825000002</v>
      </c>
    </row>
    <row r="30" spans="1:2" x14ac:dyDescent="0.25">
      <c r="A30" s="54">
        <v>-2.5500000000000003</v>
      </c>
      <c r="B30" s="53">
        <v>106688.72275000003</v>
      </c>
    </row>
    <row r="31" spans="1:2" x14ac:dyDescent="0.25">
      <c r="A31" s="54">
        <v>-2.4000000000000004</v>
      </c>
      <c r="B31" s="53">
        <v>114660.35524999998</v>
      </c>
    </row>
    <row r="32" spans="1:2" x14ac:dyDescent="0.25">
      <c r="A32" s="54">
        <v>-2.2400000000000002</v>
      </c>
      <c r="B32" s="53">
        <v>130164.11099999999</v>
      </c>
    </row>
    <row r="33" spans="1:2" x14ac:dyDescent="0.25">
      <c r="A33" s="54">
        <v>-2.0900000000000003</v>
      </c>
      <c r="B33" s="53">
        <v>153205.46549999993</v>
      </c>
    </row>
    <row r="34" spans="1:2" x14ac:dyDescent="0.25">
      <c r="A34" s="54">
        <v>-1.9400000000000002</v>
      </c>
      <c r="B34" s="53">
        <v>156929.03549999994</v>
      </c>
    </row>
    <row r="35" spans="1:2" x14ac:dyDescent="0.25">
      <c r="A35" s="54">
        <v>-1.79</v>
      </c>
      <c r="B35" s="53">
        <v>200028.15450000003</v>
      </c>
    </row>
    <row r="36" spans="1:2" x14ac:dyDescent="0.25">
      <c r="A36" s="54">
        <v>-1.6800000000000002</v>
      </c>
      <c r="B36" s="53">
        <v>207029.51450000008</v>
      </c>
    </row>
    <row r="37" spans="1:2" x14ac:dyDescent="0.25">
      <c r="A37" s="54">
        <v>-1.4800000000000002</v>
      </c>
      <c r="B37" s="53">
        <v>207768.65950000007</v>
      </c>
    </row>
    <row r="38" spans="1:2" x14ac:dyDescent="0.25">
      <c r="A38" s="54">
        <v>-1.1800000000000002</v>
      </c>
      <c r="B38" s="53">
        <v>216256.92950000009</v>
      </c>
    </row>
    <row r="39" spans="1:2" x14ac:dyDescent="0.25">
      <c r="A39" s="54">
        <v>-0.87000000000000011</v>
      </c>
      <c r="B39" s="53">
        <v>228934.80950000009</v>
      </c>
    </row>
    <row r="40" spans="1:2" x14ac:dyDescent="0.25">
      <c r="A40" s="54">
        <v>0</v>
      </c>
      <c r="B40" s="53">
        <v>228934.80950000009</v>
      </c>
    </row>
    <row r="41" spans="1:2" x14ac:dyDescent="0.25">
      <c r="A41" s="54">
        <v>0.03</v>
      </c>
      <c r="B41" s="53">
        <v>329619.1057500001</v>
      </c>
    </row>
    <row r="42" spans="1:2" x14ac:dyDescent="0.25">
      <c r="A42" s="54">
        <v>0.05</v>
      </c>
      <c r="B42" s="53">
        <v>371673.92525000003</v>
      </c>
    </row>
    <row r="43" spans="1:2" x14ac:dyDescent="0.25">
      <c r="A43" s="54">
        <v>0.1</v>
      </c>
      <c r="B43" s="53">
        <v>371673.92525000003</v>
      </c>
    </row>
    <row r="44" spans="1:2" x14ac:dyDescent="0.25">
      <c r="A44" s="54">
        <v>0.15</v>
      </c>
      <c r="B44" s="53">
        <v>392549.81975000002</v>
      </c>
    </row>
    <row r="45" spans="1:2" x14ac:dyDescent="0.25">
      <c r="A45" s="54">
        <v>0.3</v>
      </c>
      <c r="B45" s="53">
        <v>403172.36225000001</v>
      </c>
    </row>
    <row r="46" spans="1:2" x14ac:dyDescent="0.25">
      <c r="A46" s="54">
        <v>0.46</v>
      </c>
      <c r="B46" s="53">
        <v>418711.86350000015</v>
      </c>
    </row>
    <row r="47" spans="1:2" x14ac:dyDescent="0.25">
      <c r="A47" s="54">
        <v>0.61</v>
      </c>
      <c r="B47" s="53">
        <v>457807.64800000016</v>
      </c>
    </row>
    <row r="48" spans="1:2" x14ac:dyDescent="0.25">
      <c r="A48" s="54">
        <v>0.76</v>
      </c>
      <c r="B48" s="53">
        <v>471134.03800000018</v>
      </c>
    </row>
    <row r="49" spans="1:2" x14ac:dyDescent="0.25">
      <c r="A49" s="54">
        <v>0.91</v>
      </c>
      <c r="B49" s="53">
        <v>525923.87200000032</v>
      </c>
    </row>
    <row r="50" spans="1:2" x14ac:dyDescent="0.25">
      <c r="A50" s="54">
        <v>1.02</v>
      </c>
      <c r="B50" s="53">
        <v>539754.77200000035</v>
      </c>
    </row>
    <row r="51" spans="1:2" x14ac:dyDescent="0.25">
      <c r="A51" s="54">
        <v>1.22</v>
      </c>
      <c r="B51" s="53">
        <v>544238.27700000035</v>
      </c>
    </row>
    <row r="52" spans="1:2" x14ac:dyDescent="0.25">
      <c r="A52" s="54">
        <v>1.52</v>
      </c>
      <c r="B52" s="53">
        <v>558290.70900000038</v>
      </c>
    </row>
    <row r="53" spans="1:2" x14ac:dyDescent="0.25">
      <c r="A53" s="54">
        <v>1.83</v>
      </c>
      <c r="B53" s="53">
        <v>558290.70900000038</v>
      </c>
    </row>
    <row r="54" spans="1:2" x14ac:dyDescent="0.25">
      <c r="A54" s="77">
        <v>2.7</v>
      </c>
      <c r="B54" s="72">
        <v>558290.70900000038</v>
      </c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R_1-L-BD-CU_info</vt:lpstr>
      <vt:lpstr>R_1-L-BD-CU_NBFR_m2</vt:lpstr>
      <vt:lpstr>R_1-L-BD-CU_NBFR_struct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2023-05-26T16:59:40Z</dcterms:created>
  <dcterms:modified xsi:type="dcterms:W3CDTF">2023-09-18T19:18:39Z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