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2-M-C-ST_NBFR\"/>
    </mc:Choice>
  </mc:AlternateContent>
  <xr:revisionPtr revIDLastSave="0" documentId="13_ncr:1_{48BCA251-5A3B-4A3D-BEAF-15BDB2D1BB79}" xr6:coauthVersionLast="47" xr6:coauthVersionMax="47" xr10:uidLastSave="{00000000-0000-0000-0000-000000000000}"/>
  <bookViews>
    <workbookView xWindow="1260" yWindow="765" windowWidth="23205" windowHeight="13650" tabRatio="813" activeTab="3" xr2:uid="{7C5655A8-2A5B-4B20-ABA5-441C5835F3C9}"/>
  </bookViews>
  <sheets>
    <sheet name="R_2-M-C-ST_info" sheetId="50" r:id="rId1"/>
    <sheet name="R_2-M-C-ST_NBFR_struct" sheetId="52" r:id="rId2"/>
    <sheet name="R_2-M-C-ST_NBFR_m2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67" r:id="rId13"/>
    <pivotCache cacheId="7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459" i="51" l="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M21" i="49" l="1"/>
  <c r="N21" i="49" s="1"/>
  <c r="L21" i="49"/>
  <c r="M20" i="49"/>
  <c r="N20" i="49" s="1"/>
  <c r="L20" i="49"/>
  <c r="M19" i="49"/>
  <c r="N19" i="49" s="1"/>
  <c r="L19" i="49"/>
  <c r="M18" i="49"/>
  <c r="N18" i="49" s="1"/>
  <c r="L18" i="49"/>
  <c r="M17" i="49"/>
  <c r="N17" i="49" s="1"/>
  <c r="L17" i="49"/>
  <c r="M16" i="49"/>
  <c r="N16" i="49" s="1"/>
  <c r="L16" i="49"/>
  <c r="M15" i="49"/>
  <c r="N15" i="49" s="1"/>
  <c r="L15" i="49"/>
  <c r="M14" i="49"/>
  <c r="N14" i="49" s="1"/>
  <c r="L14" i="49"/>
  <c r="M13" i="49"/>
  <c r="N13" i="49" s="1"/>
  <c r="L13" i="49"/>
  <c r="M12" i="49"/>
  <c r="N12" i="49" s="1"/>
  <c r="L12" i="49"/>
  <c r="M11" i="49"/>
  <c r="N11" i="49" s="1"/>
  <c r="L11" i="49"/>
  <c r="M10" i="49"/>
  <c r="N10" i="49" s="1"/>
  <c r="L10" i="49"/>
  <c r="B10" i="49"/>
  <c r="M9" i="49"/>
  <c r="N9" i="49" s="1"/>
  <c r="L9" i="49"/>
  <c r="M8" i="49"/>
  <c r="N8" i="49" s="1"/>
  <c r="L8" i="49"/>
  <c r="M7" i="49"/>
  <c r="N7" i="49" s="1"/>
  <c r="L7" i="49"/>
  <c r="M6" i="49"/>
  <c r="N6" i="49" s="1"/>
  <c r="L6" i="49"/>
  <c r="M5" i="49"/>
  <c r="N5" i="49" s="1"/>
  <c r="L5" i="49"/>
  <c r="R21" i="49"/>
  <c r="P20" i="49"/>
  <c r="R17" i="49"/>
  <c r="P16" i="49"/>
  <c r="R13" i="49"/>
  <c r="P12" i="49"/>
  <c r="Q8" i="49"/>
  <c r="Q21" i="49"/>
  <c r="Q17" i="49"/>
  <c r="Q13" i="49"/>
  <c r="R9" i="49"/>
  <c r="P8" i="49"/>
  <c r="R5" i="49"/>
  <c r="Q12" i="49"/>
  <c r="P21" i="49"/>
  <c r="R18" i="49"/>
  <c r="P17" i="49"/>
  <c r="R14" i="49"/>
  <c r="P13" i="49"/>
  <c r="R10" i="49"/>
  <c r="Q9" i="49"/>
  <c r="Q5" i="49"/>
  <c r="R8" i="49"/>
  <c r="Q18" i="49"/>
  <c r="Q14" i="49"/>
  <c r="Q10" i="49"/>
  <c r="P9" i="49"/>
  <c r="R6" i="49"/>
  <c r="P5" i="49"/>
  <c r="P7" i="49"/>
  <c r="R19" i="49"/>
  <c r="P18" i="49"/>
  <c r="R15" i="49"/>
  <c r="P14" i="49"/>
  <c r="R11" i="49"/>
  <c r="P10" i="49"/>
  <c r="Q6" i="49"/>
  <c r="Q19" i="49"/>
  <c r="Q15" i="49"/>
  <c r="Q11" i="49"/>
  <c r="R7" i="49"/>
  <c r="P6" i="49"/>
  <c r="R20" i="49"/>
  <c r="P19" i="49"/>
  <c r="R16" i="49"/>
  <c r="P15" i="49"/>
  <c r="R12" i="49"/>
  <c r="P11" i="49"/>
  <c r="Q7" i="49"/>
  <c r="Q20" i="49"/>
  <c r="Q16" i="49"/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<sst xmlns="http://schemas.openxmlformats.org/spreadsheetml/2006/main" count="6706" uniqueCount="652">
  <si>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</si>
  <si>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</si>
  <si>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</si>
  <si>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</si>
  <si>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</si>
  <si>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</si>
  <si>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</si>
  <si>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</si>
  <si>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</si>
  <si>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</si>
  <si>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</si>
  <si>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</si>
  <si>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</si>
  <si>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</si>
  <si>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</si>
  <si>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</si>
  <si>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</si>
  <si>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</si>
  <si>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</si>
  <si>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</si>
  <si>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</si>
  <si>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</si>
  <si>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</si>
  <si>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</si>
  <si>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</si>
  <si>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</si>
  <si>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</si>
  <si>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</si>
  <si>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</si>
  <si>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</si>
  <si>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</si>
  <si>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</si>
  <si>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</si>
  <si>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</si>
  <si>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</si>
  <si>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</si>
  <si>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</si>
  <si>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</si>
  <si>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</si>
  <si>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</si>
  <si>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</si>
  <si>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</si>
  <si>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</si>
  <si>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</si>
  <si>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</si>
  <si>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</si>
  <si>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</si>
  <si>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</si>
  <si>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</si>
  <si>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</si>
  <si>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</si>
  <si>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</si>
  <si>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</si>
  <si>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</si>
  <si>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</si>
  <si>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</si>
  <si>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</si>
  <si>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</si>
  <si>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</si>
  <si>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</si>
  <si>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</si>
  <si>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</si>
  <si>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</si>
  <si>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</si>
  <si>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</si>
  <si>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</si>
  <si>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</si>
  <si>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</si>
  <si>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</si>
  <si>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</si>
  <si>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</si>
  <si>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</si>
  <si>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</si>
  <si>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</si>
  <si>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</si>
  <si>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</si>
  <si>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</si>
  <si>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</si>
  <si>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</si>
  <si>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</si>
  <si>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</si>
  <si>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</si>
  <si>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</si>
  <si>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</si>
  <si>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</si>
  <si>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</si>
  <si>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</si>
  <si>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</si>
  <si>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</si>
  <si>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</si>
  <si>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</si>
  <si>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</si>
  <si>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</si>
  <si>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</si>
  <si>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</si>
  <si>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</si>
  <si>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</si>
  <si>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</si>
  <si>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</si>
  <si>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</si>
  <si>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</si>
  <si>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</si>
  <si>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</si>
  <si>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</si>
  <si>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</si>
  <si>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</si>
  <si>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</si>
  <si>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</si>
  <si>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</si>
  <si>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</si>
  <si>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</si>
  <si>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</si>
  <si>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</si>
  <si>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</si>
  <si>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</si>
  <si>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</si>
  <si>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</si>
  <si>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</si>
  <si>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</si>
  <si>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</si>
  <si>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</si>
  <si>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</si>
  <si>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</si>
  <si>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</si>
  <si>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</si>
  <si>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</si>
  <si>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</si>
  <si>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</si>
  <si>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</si>
  <si>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</si>
  <si>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</si>
  <si>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</si>
  <si>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</si>
  <si>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</si>
  <si>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</si>
  <si>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</si>
  <si>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</si>
  <si>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</si>
  <si>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R_2-M-C-ST_NBFR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</si>
  <si>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</si>
  <si>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</si>
  <si>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</si>
  <si>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</si>
  <si>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</si>
  <si>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R_2-C</t>
  </si>
  <si>
    <t>Depth</t>
  </si>
  <si>
    <t>Damage</t>
  </si>
  <si>
    <t>default formula for reference (active formula - copy and paste values to retain if making changes)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</si>
  <si>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</si>
  <si>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</si>
  <si>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</si>
  <si>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</si>
  <si>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</si>
  <si>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</si>
  <si>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</si>
  <si>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</si>
  <si>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</si>
  <si>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</si>
  <si>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</si>
  <si>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na</t>
  </si>
  <si>
    <t>joist size (nominal)</t>
  </si>
  <si>
    <t>floor to floor (m)</t>
  </si>
  <si>
    <t xml:space="preserve">Total Response Costs: </t>
  </si>
  <si>
    <t>Main</t>
  </si>
  <si>
    <t>Basement</t>
  </si>
  <si>
    <t>Upper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</si>
  <si>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</si>
  <si>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</si>
  <si>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</si>
  <si>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</si>
  <si>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</si>
  <si>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</si>
  <si>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</si>
  <si>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</si>
  <si>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R_2-M-C-ST</t>
  </si>
  <si>
    <t>residential</t>
  </si>
  <si>
    <t>medium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</si>
  <si>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</si>
  <si>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</si>
  <si>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</si>
  <si>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</si>
  <si>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</si>
  <si>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</si>
  <si>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</si>
  <si>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</si>
  <si>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</si>
  <si>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</si>
  <si>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</si>
  <si>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</si>
  <si>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</si>
  <si>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</si>
  <si>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</si>
  <si>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</si>
  <si>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</si>
  <si>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</si>
  <si>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</si>
  <si>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</si>
  <si>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</si>
  <si>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</si>
  <si>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</si>
  <si>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</si>
  <si>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</si>
  <si>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</si>
  <si>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</si>
  <si>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</si>
  <si>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</si>
  <si>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</si>
  <si>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</si>
  <si>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</si>
  <si>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</si>
  <si>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</si>
  <si>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</si>
  <si>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</si>
  <si>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</si>
  <si>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</si>
  <si>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</si>
  <si>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</si>
  <si>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</si>
  <si>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</si>
  <si>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</si>
  <si>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</si>
  <si>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</si>
  <si>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</si>
  <si>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</si>
  <si>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</si>
  <si>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</si>
  <si>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</si>
  <si>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</si>
  <si>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</si>
  <si>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</si>
  <si>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</si>
  <si>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</si>
  <si>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</si>
  <si>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</si>
  <si>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</si>
  <si>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</si>
  <si>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</si>
  <si>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</si>
  <si>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</si>
  <si>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</si>
  <si>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</si>
  <si>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</si>
  <si>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</si>
  <si>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</si>
  <si>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</si>
  <si>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</si>
  <si>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</si>
  <si>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</si>
  <si>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</si>
  <si>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</si>
  <si>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</si>
  <si>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</si>
  <si>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Range Hood, Free Standing Range, Free Standing Refrigerator</t>
  </si>
  <si>
    <t>Plastic Laminate</t>
  </si>
  <si>
    <t>peninsula bar</t>
  </si>
  <si>
    <t>Bath</t>
  </si>
  <si>
    <t>ceramic tile Tub/Shower Surround</t>
  </si>
  <si>
    <t>Bath2</t>
  </si>
  <si>
    <t>Bath3</t>
  </si>
  <si>
    <t>Half Bath</t>
  </si>
  <si>
    <t>small</t>
  </si>
  <si>
    <t>Bedroom2</t>
  </si>
  <si>
    <t>large</t>
  </si>
  <si>
    <t>Bedroom3</t>
  </si>
  <si>
    <t>x-large</t>
  </si>
  <si>
    <t>FamilyRoom</t>
  </si>
  <si>
    <t>LivingRoom</t>
  </si>
  <si>
    <t>LivingRoom2</t>
  </si>
  <si>
    <t>DiningRoom</t>
  </si>
  <si>
    <t>Dining Room</t>
  </si>
  <si>
    <t>EntryFoyer</t>
  </si>
  <si>
    <t>Entry Foyer</t>
  </si>
  <si>
    <t>LaundryRoom</t>
  </si>
  <si>
    <t>Laundry Room</t>
  </si>
  <si>
    <t>UtilityRoom</t>
  </si>
  <si>
    <t>WalkInCloset</t>
  </si>
  <si>
    <t>Walk In Closet</t>
  </si>
  <si>
    <t>Fredericton,  New Brunswick</t>
  </si>
  <si>
    <t>R_2-M-C-ST_info</t>
  </si>
  <si>
    <t>R_2-M-C-ST_NBFR.xlsx</t>
  </si>
  <si>
    <t>R_2-M-C-ST_NBFR_rep.xlsx</t>
  </si>
  <si>
    <t>david.sol at 2023-09-18 08:28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</si>
  <si>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</si>
  <si>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</si>
  <si>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</si>
  <si>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</si>
  <si>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</si>
  <si>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</si>
  <si>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</si>
  <si>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</si>
  <si>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</si>
  <si>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</si>
  <si>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</si>
  <si>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</si>
  <si>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</si>
  <si>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</si>
  <si>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</si>
  <si>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</si>
  <si>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</si>
  <si>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</si>
  <si>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</si>
  <si>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</si>
  <si>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</si>
  <si>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</si>
  <si>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</si>
  <si>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</si>
  <si>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</si>
  <si>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</si>
  <si>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</si>
  <si>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balustrade</t>
  </si>
  <si>
    <t>BALS</t>
  </si>
  <si>
    <t>Balustrade</t>
  </si>
  <si>
    <t>BAL</t>
  </si>
  <si>
    <t>SF</t>
  </si>
  <si>
    <t>HR</t>
  </si>
  <si>
    <t>LAB</t>
  </si>
  <si>
    <t>Finish Carpenter - per hour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</si>
  <si>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</si>
  <si>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</si>
  <si>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</si>
  <si>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</si>
  <si>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</si>
  <si>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</si>
  <si>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</si>
  <si>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</si>
  <si>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</si>
  <si>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</si>
  <si>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</si>
  <si>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</si>
  <si>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</si>
  <si>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</si>
  <si>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</si>
  <si>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</si>
  <si>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</si>
  <si>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</si>
  <si>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</si>
  <si>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</si>
  <si>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</si>
  <si>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"waterfall" carpet installation</t>
  </si>
  <si>
    <t>FCC</t>
  </si>
  <si>
    <t>STP</t>
  </si>
  <si>
    <t>Batt insulation - 6" - R19 - paper / foil faced</t>
  </si>
  <si>
    <t>INS</t>
  </si>
  <si>
    <t>BTF6</t>
  </si>
  <si>
    <t>Batt insulation - 10" - R30 - paper / foil faced</t>
  </si>
  <si>
    <t>BTF10</t>
  </si>
  <si>
    <t>Thermostat</t>
  </si>
  <si>
    <t>TS</t>
  </si>
  <si>
    <t>Furnace - forced air - 100,000 BTU</t>
  </si>
  <si>
    <t>FRFA</t>
  </si>
  <si>
    <t>Ductwork system - hot or cold air - 901 to 1199 SF home</t>
  </si>
  <si>
    <t>DCT&lt;</t>
  </si>
  <si>
    <t>Condensate drain line</t>
  </si>
  <si>
    <t>DRNL</t>
  </si>
  <si>
    <t>Central air conditioning system - 3 ton - up to 13 SEER</t>
  </si>
  <si>
    <t>AC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</si>
  <si>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</si>
  <si>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</si>
  <si>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</si>
  <si>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</si>
  <si>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</si>
  <si>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</si>
  <si>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</si>
  <si>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</si>
  <si>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- 200 amp</t>
  </si>
  <si>
    <t>BPNL200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</si>
  <si>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</si>
  <si>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</si>
  <si>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</si>
  <si>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</si>
  <si>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</si>
  <si>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</si>
  <si>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</si>
  <si>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</si>
  <si>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</si>
  <si>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</si>
  <si>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1/2" drywall - hung, taped, ready for texture</t>
  </si>
  <si>
    <t>1/2-</t>
  </si>
  <si>
    <t>Door knob - interior - Standard grade</t>
  </si>
  <si>
    <t>DORH-</t>
  </si>
  <si>
    <t>Outlet</t>
  </si>
  <si>
    <t>OS</t>
  </si>
  <si>
    <t>Light fixture</t>
  </si>
  <si>
    <t>Paint baseboard - one coat</t>
  </si>
  <si>
    <t>B</t>
  </si>
  <si>
    <t>Baseboard - 3 1/4"</t>
  </si>
  <si>
    <t>B3</t>
  </si>
  <si>
    <t>Seal the surface area w/latex based stain blocker - one coat</t>
  </si>
  <si>
    <t>S</t>
  </si>
  <si>
    <t>Paint the surface area - one coat</t>
  </si>
  <si>
    <t>P</t>
  </si>
  <si>
    <t>Vinyl plank flooring</t>
  </si>
  <si>
    <t>FCV</t>
  </si>
  <si>
    <t>PLK</t>
  </si>
  <si>
    <t>Vinyl floor covering (sheet goods)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</si>
  <si>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</si>
  <si>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</si>
  <si>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</si>
  <si>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</si>
  <si>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</si>
  <si>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</si>
  <si>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pad</t>
  </si>
  <si>
    <t>PAD</t>
  </si>
  <si>
    <t>Carpet</t>
  </si>
  <si>
    <t>Mortar bed for tile</t>
  </si>
  <si>
    <t>TIL</t>
  </si>
  <si>
    <t>BMUD</t>
  </si>
  <si>
    <t>Tile tub surround - up to 60 SF</t>
  </si>
  <si>
    <t>TUB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</si>
  <si>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</si>
  <si>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</si>
  <si>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</si>
  <si>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</si>
  <si>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</si>
  <si>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</si>
  <si>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Mirror - 1/4" plate glass</t>
  </si>
  <si>
    <t>MSD</t>
  </si>
  <si>
    <t>Rough-in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</si>
  <si>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</si>
  <si>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</si>
  <si>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</si>
  <si>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</si>
  <si>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</si>
  <si>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</si>
  <si>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</si>
  <si>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</si>
  <si>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</si>
  <si>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</si>
  <si>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</si>
  <si>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</si>
  <si>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</si>
  <si>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</si>
  <si>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</si>
  <si>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</si>
  <si>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</si>
  <si>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</si>
  <si>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AV-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</si>
  <si>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</si>
  <si>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</si>
  <si>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</si>
  <si>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</si>
  <si>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</si>
  <si>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</si>
  <si>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</si>
  <si>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</si>
  <si>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</si>
  <si>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</si>
  <si>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</si>
  <si>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</si>
  <si>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</si>
  <si>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Towel bar</t>
  </si>
  <si>
    <t>TBAR</t>
  </si>
  <si>
    <t>Light bar - 3 lights</t>
  </si>
  <si>
    <t>BAR3</t>
  </si>
  <si>
    <t>Wood door - panel - solid pine</t>
  </si>
  <si>
    <t>WDPNL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</si>
  <si>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</si>
  <si>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</si>
  <si>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</si>
  <si>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</si>
  <si>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</si>
  <si>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</si>
  <si>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Light fixture - Standard grade</t>
  </si>
  <si>
    <t>Cabinetry - upper (wall) units</t>
  </si>
  <si>
    <t>UP</t>
  </si>
  <si>
    <t>Smoke detector - Standard grade</t>
  </si>
  <si>
    <t>SMOKE-</t>
  </si>
  <si>
    <t>Paint bifold door set - slab only - 2 coats (per side)</t>
  </si>
  <si>
    <t>BF</t>
  </si>
  <si>
    <t>Bifold door set - lauan/mahogany - Double</t>
  </si>
  <si>
    <t>BF-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</si>
  <si>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</si>
  <si>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</si>
  <si>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</si>
  <si>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</si>
  <si>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</si>
  <si>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</si>
  <si>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Cabinetry - lower (base) units - Standard grade</t>
  </si>
  <si>
    <t>LOW-</t>
  </si>
  <si>
    <t>Appliance water line - 1/4"</t>
  </si>
  <si>
    <t>APP</t>
  </si>
  <si>
    <t>WL</t>
  </si>
  <si>
    <t>Cabinet knob or pull</t>
  </si>
  <si>
    <t>KNPL</t>
  </si>
  <si>
    <t>Cabinetry - upper (wall) units - High grade</t>
  </si>
  <si>
    <t>UP+</t>
  </si>
  <si>
    <t>Cabinetry - lower (base) units</t>
  </si>
  <si>
    <t>LOW</t>
  </si>
  <si>
    <t>Countertop - flat laid plastic laminate - Premium grade</t>
  </si>
  <si>
    <t>CTFL++</t>
  </si>
  <si>
    <t>Countertop - post formed plastic laminate - Standard grade</t>
  </si>
  <si>
    <t>CTPF-</t>
  </si>
  <si>
    <t>110 volt copper wiring run, box and outlet</t>
  </si>
  <si>
    <t>110</t>
  </si>
  <si>
    <t>Range hood</t>
  </si>
  <si>
    <t>HD</t>
  </si>
  <si>
    <t>Dishwasher</t>
  </si>
  <si>
    <t>DW</t>
  </si>
  <si>
    <t>Range - freestanding - electric</t>
  </si>
  <si>
    <t>RG</t>
  </si>
  <si>
    <t>Refrigerator - top freezer - 14 to 18 cf - High grade</t>
  </si>
  <si>
    <t>RF14+</t>
  </si>
  <si>
    <t>Patio</t>
  </si>
  <si>
    <t>Cat.Sel</t>
  </si>
  <si>
    <t>group_1</t>
  </si>
  <si>
    <t>PNT.SILL</t>
  </si>
  <si>
    <t>general</t>
  </si>
  <si>
    <t>FNC.SILL</t>
  </si>
  <si>
    <t>ELE.SMOKE</t>
  </si>
  <si>
    <t>LIT.FL2-4+</t>
  </si>
  <si>
    <t>HVC.DVENT</t>
  </si>
  <si>
    <t>PNT.BALS</t>
  </si>
  <si>
    <t>FNC.BAL</t>
  </si>
  <si>
    <t>FNC.LAB</t>
  </si>
  <si>
    <t>PLM.WH40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</si>
  <si>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</si>
  <si>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</si>
  <si>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</si>
  <si>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</si>
  <si>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</si>
  <si>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</si>
  <si>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</si>
  <si>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</si>
  <si>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</si>
  <si>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FCC.STP</t>
  </si>
  <si>
    <t>INS.BTF6_c2</t>
  </si>
  <si>
    <t>general_main</t>
  </si>
  <si>
    <t>INS.BTF10_c2</t>
  </si>
  <si>
    <t>HVC.TS</t>
  </si>
  <si>
    <t>HVC.FRFA</t>
  </si>
  <si>
    <t>HVC.DCT&lt;_m2</t>
  </si>
  <si>
    <t>HVC.DRNL</t>
  </si>
  <si>
    <t>HVC.AC_m</t>
  </si>
  <si>
    <t>LIT.X-</t>
  </si>
  <si>
    <t>FNH.DBX</t>
  </si>
  <si>
    <t>DOR.X-</t>
  </si>
  <si>
    <t>WDP.6M</t>
  </si>
  <si>
    <t>ELE.BPNL200</t>
  </si>
  <si>
    <t>ELE.OL</t>
  </si>
  <si>
    <t>ELE.XOS</t>
  </si>
  <si>
    <t>ELE.REWIRE</t>
  </si>
  <si>
    <t>ELE.LV</t>
  </si>
  <si>
    <t>FNC.CLROD</t>
  </si>
  <si>
    <t>DRY.1/2-</t>
  </si>
  <si>
    <t>FNH.DORH-</t>
  </si>
  <si>
    <t>ELE.OS</t>
  </si>
  <si>
    <t>LIT.AV</t>
  </si>
  <si>
    <t>PNT.B</t>
  </si>
  <si>
    <t>FNC.B3</t>
  </si>
  <si>
    <t>PNT.S</t>
  </si>
  <si>
    <t>PNT.P</t>
  </si>
  <si>
    <t>FCV.PLK</t>
  </si>
  <si>
    <t>FCV.AV</t>
  </si>
  <si>
    <t>FCW.LAM</t>
  </si>
  <si>
    <t>FCW.FIN</t>
  </si>
  <si>
    <t>FCW.AV</t>
  </si>
  <si>
    <t>FCC.PAD</t>
  </si>
  <si>
    <t>FCC.AV</t>
  </si>
  <si>
    <t>TIL.BMUD</t>
  </si>
  <si>
    <t>TIL.TUB</t>
  </si>
  <si>
    <t>FNH.TR-</t>
  </si>
  <si>
    <t>FNH.TP-</t>
  </si>
  <si>
    <t>FNH.TBAR-</t>
  </si>
  <si>
    <t>MSD.AV</t>
  </si>
  <si>
    <t>PLM.RFIXP-</t>
  </si>
  <si>
    <t>PLM.TLTS-</t>
  </si>
  <si>
    <t>PLM.TLT-</t>
  </si>
  <si>
    <t>PLM.TUB-</t>
  </si>
  <si>
    <t>FNH.SROD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</si>
  <si>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</si>
  <si>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</si>
  <si>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</si>
  <si>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</si>
  <si>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</si>
  <si>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</si>
  <si>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</si>
  <si>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</si>
  <si>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</si>
  <si>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</si>
  <si>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</si>
  <si>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FNH.TBAR</t>
  </si>
  <si>
    <t>LIT.BAR3</t>
  </si>
  <si>
    <t>DOR.WDPNL</t>
  </si>
  <si>
    <t>PLM.WBOX</t>
  </si>
  <si>
    <t>ELE.OL220</t>
  </si>
  <si>
    <t>PLM.RGHFIX</t>
  </si>
  <si>
    <t>LIT.AV-</t>
  </si>
  <si>
    <t>CAB.UP</t>
  </si>
  <si>
    <t>ELE.SMOKE-</t>
  </si>
  <si>
    <t>PNT.BF</t>
  </si>
  <si>
    <t>DOR.BF-</t>
  </si>
  <si>
    <t>PLM.FAU-</t>
  </si>
  <si>
    <t>PLM.SNKD-</t>
  </si>
  <si>
    <t>LIT.FL2-4</t>
  </si>
  <si>
    <t>CAB.LOW-</t>
  </si>
  <si>
    <t>APP.WL</t>
  </si>
  <si>
    <t>CAB.KNPL</t>
  </si>
  <si>
    <t>CAB.UP+</t>
  </si>
  <si>
    <t>CAB.LOW</t>
  </si>
  <si>
    <t>CAB.CTFL++</t>
  </si>
  <si>
    <t>CAB.CTPF-</t>
  </si>
  <si>
    <t>ELE.110</t>
  </si>
  <si>
    <t>APP.HD</t>
  </si>
  <si>
    <t>APP.DW</t>
  </si>
  <si>
    <t>APP.RG</t>
  </si>
  <si>
    <t>APP.RF14+</t>
  </si>
  <si>
    <t>NBFR8X_SEP23</t>
  </si>
  <si>
    <t>7' 3" x 5' 5" x 8'</t>
  </si>
  <si>
    <t>7' 3" x 4' 6" x 8'</t>
  </si>
  <si>
    <t>4' 6" x 4' 6" x 8'</t>
  </si>
  <si>
    <t>6' 4" x 4' 6" x 8'</t>
  </si>
  <si>
    <t>9' 1" x 7' 3" x 8'</t>
  </si>
  <si>
    <t>12' 8" x 9' 1" x 8'</t>
  </si>
  <si>
    <t>12' 8" x 10' 10" x 8'</t>
  </si>
  <si>
    <t>10' x 9' 1" x 8'</t>
  </si>
  <si>
    <t>14' 6" x 12' 8" x 8'</t>
  </si>
  <si>
    <t>9' 1" x 9' 1" x 8'</t>
  </si>
  <si>
    <t>18' 1" x 12' 8" x 8'</t>
  </si>
  <si>
    <t>10' 11" x 10' 11" x 8'</t>
  </si>
  <si>
    <t>13' 7" x 5' 5" x 8'</t>
  </si>
  <si>
    <t>16' 4" x 10' 10" x 8'</t>
  </si>
  <si>
    <t>source: NBFR8X_SEP23</t>
  </si>
  <si>
    <t>Entry Foyer-small</t>
  </si>
  <si>
    <t>Full Bath-medium</t>
  </si>
  <si>
    <t>Half Bath-small</t>
  </si>
  <si>
    <t>Laundry Room-small</t>
  </si>
  <si>
    <t>Utility Room-medium</t>
  </si>
  <si>
    <t>Walk In Closet-medium</t>
  </si>
  <si>
    <t>Living Area-small</t>
  </si>
  <si>
    <t>Bedroom-large</t>
  </si>
  <si>
    <t>Kitchen-medium</t>
  </si>
  <si>
    <t>Bedroom-x-large</t>
  </si>
  <si>
    <t>Bedroom-medium</t>
  </si>
  <si>
    <t>Nook-medium</t>
  </si>
  <si>
    <t>Living Area-large</t>
  </si>
  <si>
    <t>Hallway-large</t>
  </si>
  <si>
    <t>Dining Room-medium</t>
  </si>
  <si>
    <t>david.sol at 2023-09-18 08:29</t>
  </si>
  <si>
    <t>group_2</t>
  </si>
  <si>
    <t>group_3</t>
  </si>
  <si>
    <t>raw_est</t>
  </si>
  <si>
    <t>level</t>
  </si>
  <si>
    <t>Depth-Replacement</t>
  </si>
  <si>
    <t>Depth-Cost</t>
  </si>
  <si>
    <t>Copy of group_2 pivot</t>
  </si>
  <si>
    <t>Copy of group_3 pivot</t>
  </si>
  <si>
    <t>R_2-M-C-ST_NBFR_struct</t>
  </si>
  <si>
    <t>DDFwork_R_2-M-C-ST_NBFR.xlsm</t>
  </si>
  <si>
    <t>david.sol</t>
  </si>
  <si>
    <t>impact</t>
  </si>
  <si>
    <t>david.sol at 2023-09-18 08:30</t>
  </si>
  <si>
    <t>R_2-M-C-ST_NBFR_m2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</si>
</sst>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2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49" fontId="3" fillId="0" borderId="0" xfId="5" quotePrefix="1" applyNumberFormat="1"/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4" xfId="5" applyNumberFormat="1" applyFont="1" applyFill="1" applyBorder="1" applyAlignment="1">
      <alignment horizontal="center"/>
    </xf>
    <xf numFmtId="0" fontId="4" fillId="3" borderId="14" xfId="5" applyFont="1" applyFill="1" applyBorder="1" applyAlignment="1">
      <alignment horizontal="center" wrapText="1"/>
    </xf>
    <xf numFmtId="164" fontId="4" fillId="3" borderId="14" xfId="5" applyNumberFormat="1" applyFont="1" applyFill="1" applyBorder="1" applyAlignment="1">
      <alignment horizontal="center" wrapText="1"/>
    </xf>
    <xf numFmtId="0" fontId="3" fillId="0" borderId="14" xfId="5" applyBorder="1"/>
    <xf numFmtId="164" fontId="3" fillId="0" borderId="14" xfId="5" applyNumberFormat="1" applyBorder="1"/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53934837964" createdVersion="3" refreshedVersion="8" minRefreshableVersion="3" recordCount="457" xr:uid="{41593E0C-891A-4D6E-B088-690FC28ADA67}">
  <cacheSource type="worksheet">
    <worksheetSource ref="AH2:AZ459" sheet="LineItems"/>
  </cacheSource>
  <cacheFields count="19">
    <cacheField name="level" numFmtId="0">
      <sharedItems/>
    </cacheField>
    <cacheField name="type" numFmtId="0">
      <sharedItems count="15">
        <s v="general-split"/>
        <s v="general-mechanical"/>
        <s v="general-main"/>
        <s v="Entry Foyer"/>
        <s v="Full Bath"/>
        <s v="Half Bath"/>
        <s v="Laundry Room"/>
        <s v="Utility Room"/>
        <s v="Walk In Closet"/>
        <s v="Living Area"/>
        <s v="Bedroom"/>
        <s v="Kitchen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4354.58"/>
    </cacheField>
    <cacheField name="0" numFmtId="0">
      <sharedItems containsSemiMixedTypes="0" containsString="0" containsNumber="1" minValue="0" maxValue="4354.58"/>
    </cacheField>
    <cacheField name="0.03" numFmtId="0">
      <sharedItems containsSemiMixedTypes="0" containsString="0" containsNumber="1" minValue="0" maxValue="4354.58"/>
    </cacheField>
    <cacheField name="0.05" numFmtId="0">
      <sharedItems containsSemiMixedTypes="0" containsString="0" containsNumber="1" minValue="0" maxValue="4714.76"/>
    </cacheField>
    <cacheField name="0.1" numFmtId="0">
      <sharedItems containsSemiMixedTypes="0" containsString="0" containsNumber="1" minValue="0" maxValue="4714.76"/>
    </cacheField>
    <cacheField name="0.15" numFmtId="0">
      <sharedItems containsSemiMixedTypes="0" containsString="0" containsNumber="1" minValue="0" maxValue="4714.76"/>
    </cacheField>
    <cacheField name="0.3" numFmtId="0">
      <sharedItems containsSemiMixedTypes="0" containsString="0" containsNumber="1" minValue="0" maxValue="4714.76"/>
    </cacheField>
    <cacheField name="0.46" numFmtId="0">
      <sharedItems containsSemiMixedTypes="0" containsString="0" containsNumber="1" minValue="0" maxValue="4714.76"/>
    </cacheField>
    <cacheField name="0.61" numFmtId="0">
      <sharedItems containsSemiMixedTypes="0" containsString="0" containsNumber="1" minValue="0" maxValue="4714.76"/>
    </cacheField>
    <cacheField name="0.76" numFmtId="0">
      <sharedItems containsSemiMixedTypes="0" containsString="0" containsNumber="1" minValue="0" maxValue="4714.76"/>
    </cacheField>
    <cacheField name="0.91" numFmtId="0">
      <sharedItems containsSemiMixedTypes="0" containsString="0" containsNumber="1" minValue="0" maxValue="4714.76"/>
    </cacheField>
    <cacheField name="1.02" numFmtId="0">
      <sharedItems containsSemiMixedTypes="0" containsString="0" containsNumber="1" minValue="0" maxValue="4714.76"/>
    </cacheField>
    <cacheField name="1.22" numFmtId="0">
      <sharedItems containsSemiMixedTypes="0" containsString="0" containsNumber="1" minValue="0" maxValue="4714.76"/>
    </cacheField>
    <cacheField name="1.52" numFmtId="0">
      <sharedItems containsSemiMixedTypes="0" containsString="0" containsNumber="1" minValue="4.42" maxValue="4714.76"/>
    </cacheField>
    <cacheField name="1.83" numFmtId="0">
      <sharedItems containsSemiMixedTypes="0" containsString="0" containsNumber="1" minValue="4.42" maxValue="4714.76"/>
    </cacheField>
    <cacheField name="2.7" numFmtId="0">
      <sharedItems containsSemiMixedTypes="0" containsString="0" containsNumber="1" minValue="4.42" maxValue="4714.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53935416664" createdVersion="3" refreshedVersion="8" minRefreshableVersion="3" recordCount="457" xr:uid="{BC96DC64-61EE-46FE-8DAD-69AF8B9118BF}">
  <cacheSource type="worksheet">
    <worksheetSource ref="AH2:AZ459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4354.58"/>
    </cacheField>
    <cacheField name="0" numFmtId="0">
      <sharedItems containsSemiMixedTypes="0" containsString="0" containsNumber="1" minValue="0" maxValue="4354.58"/>
    </cacheField>
    <cacheField name="0.03" numFmtId="0">
      <sharedItems containsSemiMixedTypes="0" containsString="0" containsNumber="1" minValue="0" maxValue="4354.58"/>
    </cacheField>
    <cacheField name="0.05" numFmtId="0">
      <sharedItems containsSemiMixedTypes="0" containsString="0" containsNumber="1" minValue="0" maxValue="4714.76"/>
    </cacheField>
    <cacheField name="0.1" numFmtId="0">
      <sharedItems containsSemiMixedTypes="0" containsString="0" containsNumber="1" minValue="0" maxValue="4714.76"/>
    </cacheField>
    <cacheField name="0.15" numFmtId="0">
      <sharedItems containsSemiMixedTypes="0" containsString="0" containsNumber="1" minValue="0" maxValue="4714.76"/>
    </cacheField>
    <cacheField name="0.3" numFmtId="0">
      <sharedItems containsSemiMixedTypes="0" containsString="0" containsNumber="1" minValue="0" maxValue="4714.76"/>
    </cacheField>
    <cacheField name="0.46" numFmtId="0">
      <sharedItems containsSemiMixedTypes="0" containsString="0" containsNumber="1" minValue="0" maxValue="4714.76"/>
    </cacheField>
    <cacheField name="0.61" numFmtId="0">
      <sharedItems containsSemiMixedTypes="0" containsString="0" containsNumber="1" minValue="0" maxValue="4714.76"/>
    </cacheField>
    <cacheField name="0.76" numFmtId="0">
      <sharedItems containsSemiMixedTypes="0" containsString="0" containsNumber="1" minValue="0" maxValue="4714.76"/>
    </cacheField>
    <cacheField name="0.91" numFmtId="0">
      <sharedItems containsSemiMixedTypes="0" containsString="0" containsNumber="1" minValue="0" maxValue="4714.76"/>
    </cacheField>
    <cacheField name="1.02" numFmtId="0">
      <sharedItems containsSemiMixedTypes="0" containsString="0" containsNumber="1" minValue="0" maxValue="4714.76"/>
    </cacheField>
    <cacheField name="1.22" numFmtId="0">
      <sharedItems containsSemiMixedTypes="0" containsString="0" containsNumber="1" minValue="0" maxValue="4714.76"/>
    </cacheField>
    <cacheField name="1.52" numFmtId="0">
      <sharedItems containsSemiMixedTypes="0" containsString="0" containsNumber="1" minValue="4.42" maxValue="4714.76"/>
    </cacheField>
    <cacheField name="1.83" numFmtId="0">
      <sharedItems containsSemiMixedTypes="0" containsString="0" containsNumber="1" minValue="4.42" maxValue="4714.76"/>
    </cacheField>
    <cacheField name="2.7" numFmtId="0">
      <sharedItems containsSemiMixedTypes="0" containsString="0" containsNumber="1" minValue="4.42" maxValue="4714.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7">
  <r>
    <s v="split"/>
    <x v="0"/>
    <n v="0"/>
    <n v="0"/>
    <n v="0"/>
    <n v="0"/>
    <n v="0"/>
    <n v="0"/>
    <n v="0"/>
    <n v="0"/>
    <n v="0"/>
    <n v="0"/>
    <n v="0"/>
    <n v="168"/>
    <n v="168"/>
    <n v="168"/>
    <n v="168"/>
    <n v="168"/>
    <n v="168"/>
  </r>
  <r>
    <s v="split"/>
    <x v="0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s v="split"/>
    <x v="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split"/>
    <x v="0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129.5575"/>
    <n v="129.5575"/>
    <n v="259.11500000000001"/>
    <n v="259.11500000000001"/>
    <n v="518.23"/>
    <n v="518.23"/>
    <n v="518.23"/>
    <n v="518.23"/>
    <n v="518.23"/>
  </r>
  <r>
    <s v="split"/>
    <x v="0"/>
    <n v="0"/>
    <n v="0"/>
    <n v="0"/>
    <n v="0"/>
    <n v="0"/>
    <n v="0"/>
    <n v="0"/>
    <n v="0"/>
    <n v="687.15"/>
    <n v="687.15"/>
    <n v="1374.3"/>
    <n v="1374.3"/>
    <n v="2748.6"/>
    <n v="2748.6"/>
    <n v="2748.6"/>
    <n v="2748.6"/>
    <n v="2748.6"/>
  </r>
  <r>
    <s v="split"/>
    <x v="0"/>
    <n v="0"/>
    <n v="0"/>
    <n v="0"/>
    <n v="0"/>
    <n v="55.432000000000009"/>
    <n v="55.432000000000009"/>
    <n v="110.86400000000002"/>
    <n v="110.86400000000002"/>
    <n v="110.86400000000002"/>
    <n v="166.29600000000002"/>
    <n v="166.29600000000002"/>
    <n v="277.16000000000003"/>
    <n v="554.32000000000005"/>
    <n v="554.32000000000005"/>
    <n v="554.32000000000005"/>
    <n v="554.32000000000005"/>
    <n v="554.32000000000005"/>
  </r>
  <r>
    <s v="mechanical"/>
    <x v="1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s v="split"/>
    <x v="0"/>
    <n v="0"/>
    <n v="0"/>
    <n v="0"/>
    <n v="0"/>
    <n v="0"/>
    <n v="0"/>
    <n v="0"/>
    <n v="0"/>
    <n v="0"/>
    <n v="0"/>
    <n v="0"/>
    <n v="213.12"/>
    <n v="213.12"/>
    <n v="213.12"/>
    <n v="213.12"/>
    <n v="213.12"/>
    <n v="213.12"/>
  </r>
  <r>
    <s v="split"/>
    <x v="0"/>
    <n v="0"/>
    <n v="0"/>
    <n v="0"/>
    <n v="0"/>
    <n v="0"/>
    <n v="0"/>
    <n v="0"/>
    <n v="0"/>
    <n v="0"/>
    <n v="0"/>
    <n v="0"/>
    <n v="554.4"/>
    <n v="554.4"/>
    <n v="554.4"/>
    <n v="554.4"/>
    <n v="554.4"/>
    <n v="554.4"/>
  </r>
  <r>
    <s v="split"/>
    <x v="0"/>
    <n v="0"/>
    <n v="0"/>
    <n v="0"/>
    <n v="0"/>
    <n v="244.6"/>
    <n v="244.6"/>
    <n v="244.6"/>
    <n v="244.6"/>
    <n v="244.6"/>
    <n v="244.6"/>
    <n v="244.6"/>
    <n v="244.6"/>
    <n v="244.6"/>
    <n v="244.6"/>
    <n v="244.6"/>
    <n v="244.6"/>
    <n v="244.6"/>
  </r>
  <r>
    <s v="split"/>
    <x v="0"/>
    <n v="0"/>
    <n v="0"/>
    <n v="0"/>
    <n v="166.61"/>
    <n v="166.61"/>
    <n v="166.61"/>
    <n v="166.61"/>
    <n v="166.61"/>
    <n v="333.22"/>
    <n v="333.22"/>
    <n v="333.22"/>
    <n v="666.44"/>
    <n v="666.44"/>
    <n v="666.44"/>
    <n v="666.44"/>
    <n v="666.44"/>
    <n v="666.44"/>
  </r>
  <r>
    <s v="split"/>
    <x v="0"/>
    <n v="0"/>
    <n v="0"/>
    <n v="0"/>
    <n v="0"/>
    <n v="0"/>
    <n v="0"/>
    <n v="0"/>
    <n v="0"/>
    <n v="0"/>
    <n v="0"/>
    <n v="0"/>
    <n v="115.1"/>
    <n v="115.1"/>
    <n v="115.1"/>
    <n v="115.1"/>
    <n v="115.1"/>
    <n v="115.1"/>
  </r>
  <r>
    <s v="split"/>
    <x v="0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94.727500000000006"/>
    <n v="94.727500000000006"/>
    <n v="94.727500000000006"/>
    <n v="94.727500000000006"/>
    <n v="378.91"/>
    <n v="378.91"/>
    <n v="378.91"/>
    <n v="378.91"/>
    <n v="378.91"/>
    <n v="378.91"/>
    <n v="378.91"/>
    <n v="378.91"/>
    <n v="378.91"/>
    <n v="378.91"/>
  </r>
  <r>
    <s v="main"/>
    <x v="2"/>
    <n v="0"/>
    <n v="1712.6241000000002"/>
    <n v="1712.6241000000002"/>
    <n v="2140.7801250000002"/>
    <n v="2140.7801250000002"/>
    <n v="2140.7801250000002"/>
    <n v="2140.7801250000002"/>
    <n v="2140.7801250000002"/>
    <n v="2568.93615"/>
    <n v="2568.93615"/>
    <n v="2568.93615"/>
    <n v="2568.93615"/>
    <n v="3425.2482000000005"/>
    <n v="3425.2482000000005"/>
    <n v="3425.2482000000005"/>
    <n v="3425.2482000000005"/>
    <n v="3425.2482000000005"/>
  </r>
  <r>
    <s v="main"/>
    <x v="2"/>
    <n v="0"/>
    <n v="926.6400000000001"/>
    <n v="926.6400000000001"/>
    <n v="1158.3000000000002"/>
    <n v="1158.3000000000002"/>
    <n v="1158.3000000000002"/>
    <n v="1158.3000000000002"/>
    <n v="1158.3000000000002"/>
    <n v="1389.96"/>
    <n v="1389.96"/>
    <n v="1389.96"/>
    <n v="1389.96"/>
    <n v="1853.2800000000002"/>
    <n v="1853.2800000000002"/>
    <n v="1853.2800000000002"/>
    <n v="1853.2800000000002"/>
    <n v="1853.2800000000002"/>
  </r>
  <r>
    <s v="split"/>
    <x v="0"/>
    <n v="0"/>
    <n v="0"/>
    <n v="0"/>
    <n v="0"/>
    <n v="0"/>
    <n v="0"/>
    <n v="0"/>
    <n v="0"/>
    <n v="0"/>
    <n v="0"/>
    <n v="0"/>
    <n v="0"/>
    <n v="0"/>
    <n v="152.22999999999999"/>
    <n v="152.22999999999999"/>
    <n v="152.22999999999999"/>
    <n v="152.22999999999999"/>
  </r>
  <r>
    <s v="mechanical"/>
    <x v="1"/>
    <n v="0"/>
    <n v="0"/>
    <n v="0"/>
    <n v="0"/>
    <n v="0"/>
    <n v="0"/>
    <n v="3668.77"/>
    <n v="3668.77"/>
    <n v="3668.77"/>
    <n v="3668.77"/>
    <n v="3668.77"/>
    <n v="3668.77"/>
    <n v="3668.77"/>
    <n v="3668.77"/>
    <n v="3668.77"/>
    <n v="3668.77"/>
    <n v="3668.77"/>
  </r>
  <r>
    <s v="mechanical"/>
    <x v="1"/>
    <n v="0"/>
    <n v="2383.63"/>
    <n v="2383.63"/>
    <n v="2383.63"/>
    <n v="2383.63"/>
    <n v="2383.63"/>
    <n v="2383.63"/>
    <n v="2383.63"/>
    <n v="2383.63"/>
    <n v="2383.63"/>
    <n v="2383.63"/>
    <n v="2383.63"/>
    <n v="2383.63"/>
    <n v="2383.63"/>
    <n v="2383.63"/>
    <n v="2383.63"/>
    <n v="2383.63"/>
  </r>
  <r>
    <s v="mechanical"/>
    <x v="1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s v="mechanical"/>
    <x v="1"/>
    <n v="0"/>
    <n v="4354.58"/>
    <n v="4354.58"/>
    <n v="4354.58"/>
    <n v="4354.58"/>
    <n v="4354.58"/>
    <n v="4354.58"/>
    <n v="4354.58"/>
    <n v="4354.58"/>
    <n v="4354.58"/>
    <n v="4354.58"/>
    <n v="4354.58"/>
    <n v="4354.58"/>
    <n v="4354.58"/>
    <n v="4354.58"/>
    <n v="4354.58"/>
    <n v="4354.58"/>
  </r>
  <r>
    <s v="main"/>
    <x v="2"/>
    <n v="0"/>
    <n v="0"/>
    <n v="0"/>
    <n v="0"/>
    <n v="0"/>
    <n v="0"/>
    <n v="0"/>
    <n v="0"/>
    <n v="0"/>
    <n v="0"/>
    <n v="0"/>
    <n v="0"/>
    <n v="0"/>
    <n v="0"/>
    <n v="236.35"/>
    <n v="236.35"/>
    <n v="236.35"/>
  </r>
  <r>
    <s v="main"/>
    <x v="2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s v="main"/>
    <x v="2"/>
    <n v="0"/>
    <n v="0"/>
    <n v="0"/>
    <n v="0"/>
    <n v="0"/>
    <n v="1370.63"/>
    <n v="1370.63"/>
    <n v="1370.63"/>
    <n v="1370.63"/>
    <n v="1370.63"/>
    <n v="1370.63"/>
    <n v="1370.63"/>
    <n v="1370.63"/>
    <n v="1370.63"/>
    <n v="1370.63"/>
    <n v="1370.63"/>
    <n v="1370.63"/>
  </r>
  <r>
    <s v="main"/>
    <x v="2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4639.68"/>
    <n v="4639.68"/>
    <n v="4639.68"/>
    <n v="4639.68"/>
    <n v="4639.68"/>
    <n v="4639.68"/>
    <n v="4639.68"/>
    <n v="4639.68"/>
    <n v="4639.68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s v="split"/>
    <x v="0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s v="split"/>
    <x v="0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s v="split"/>
    <x v="0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s v="split"/>
    <x v="0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s v="split"/>
    <x v="0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3"/>
    <n v="0"/>
    <n v="0"/>
    <n v="0"/>
    <n v="0"/>
    <n v="238.34"/>
    <n v="238.34"/>
    <n v="238.34"/>
    <n v="238.34"/>
    <n v="238.34"/>
    <n v="238.34"/>
    <n v="238.34"/>
    <n v="238.34"/>
    <n v="238.34"/>
    <n v="238.34"/>
    <n v="238.34"/>
    <n v="238.34"/>
    <n v="238.34"/>
  </r>
  <r>
    <s v="main"/>
    <x v="3"/>
    <n v="0"/>
    <n v="0"/>
    <n v="0"/>
    <n v="162.33750000000001"/>
    <n v="162.33750000000001"/>
    <n v="162.33750000000001"/>
    <n v="162.33750000000001"/>
    <n v="162.33750000000001"/>
    <n v="324.67500000000001"/>
    <n v="324.67500000000001"/>
    <n v="324.67500000000001"/>
    <n v="649.35"/>
    <n v="649.35"/>
    <n v="649.35"/>
    <n v="649.35"/>
    <n v="649.35"/>
    <n v="649.35"/>
  </r>
  <r>
    <s v="main"/>
    <x v="3"/>
    <n v="0"/>
    <n v="0"/>
    <n v="0"/>
    <n v="27.67"/>
    <n v="27.67"/>
    <n v="27.67"/>
    <n v="27.67"/>
    <n v="27.67"/>
    <n v="27.67"/>
    <n v="27.67"/>
    <n v="27.67"/>
    <n v="27.67"/>
    <n v="27.67"/>
    <n v="27.67"/>
    <n v="27.67"/>
    <n v="27.67"/>
    <n v="27.67"/>
  </r>
  <r>
    <s v="main"/>
    <x v="3"/>
    <n v="0"/>
    <n v="0"/>
    <n v="0"/>
    <n v="155.63"/>
    <n v="155.63"/>
    <n v="155.63"/>
    <n v="155.63"/>
    <n v="155.63"/>
    <n v="155.63"/>
    <n v="155.63"/>
    <n v="155.63"/>
    <n v="155.63"/>
    <n v="155.63"/>
    <n v="155.63"/>
    <n v="155.63"/>
    <n v="155.63"/>
    <n v="155.63"/>
  </r>
  <r>
    <s v="main"/>
    <x v="3"/>
    <n v="0"/>
    <n v="0"/>
    <n v="0"/>
    <n v="31.4575"/>
    <n v="31.4575"/>
    <n v="31.4575"/>
    <n v="31.4575"/>
    <n v="31.4575"/>
    <n v="62.914999999999999"/>
    <n v="62.914999999999999"/>
    <n v="62.914999999999999"/>
    <n v="125.83"/>
    <n v="125.83"/>
    <n v="125.83"/>
    <n v="125.83"/>
    <n v="125.83"/>
    <n v="125.83"/>
  </r>
  <r>
    <s v="main"/>
    <x v="3"/>
    <n v="0"/>
    <n v="0"/>
    <n v="0"/>
    <n v="0"/>
    <n v="0"/>
    <n v="0"/>
    <n v="0"/>
    <n v="0"/>
    <n v="0"/>
    <n v="0"/>
    <n v="0"/>
    <n v="0"/>
    <n v="0"/>
    <n v="0"/>
    <n v="29.68"/>
    <n v="29.68"/>
    <n v="29.68"/>
  </r>
  <r>
    <s v="main"/>
    <x v="3"/>
    <n v="0"/>
    <n v="0"/>
    <n v="0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</r>
  <r>
    <s v="main"/>
    <x v="3"/>
    <n v="0"/>
    <n v="0"/>
    <n v="0"/>
    <n v="56.32"/>
    <n v="56.32"/>
    <n v="56.32"/>
    <n v="56.32"/>
    <n v="56.32"/>
    <n v="56.32"/>
    <n v="56.32"/>
    <n v="56.32"/>
    <n v="56.32"/>
    <n v="56.32"/>
    <n v="56.32"/>
    <n v="56.32"/>
    <n v="56.32"/>
    <n v="56.32"/>
  </r>
  <r>
    <s v="main"/>
    <x v="3"/>
    <n v="0"/>
    <n v="0"/>
    <n v="0"/>
    <n v="64.16"/>
    <n v="64.16"/>
    <n v="64.16"/>
    <n v="64.16"/>
    <n v="64.16"/>
    <n v="64.16"/>
    <n v="64.16"/>
    <n v="64.16"/>
    <n v="64.16"/>
    <n v="64.16"/>
    <n v="64.16"/>
    <n v="64.16"/>
    <n v="64.16"/>
    <n v="64.16"/>
  </r>
  <r>
    <s v="main"/>
    <x v="3"/>
    <n v="0"/>
    <n v="0"/>
    <n v="0"/>
    <n v="61.92"/>
    <n v="61.92"/>
    <n v="61.92"/>
    <n v="61.92"/>
    <n v="61.92"/>
    <n v="61.92"/>
    <n v="61.92"/>
    <n v="61.92"/>
    <n v="61.92"/>
    <n v="61.92"/>
    <n v="61.92"/>
    <n v="61.92"/>
    <n v="61.92"/>
    <n v="61.92"/>
  </r>
  <r>
    <s v="main"/>
    <x v="3"/>
    <n v="0"/>
    <n v="0"/>
    <n v="0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</r>
  <r>
    <s v="main"/>
    <x v="3"/>
    <n v="0"/>
    <n v="0"/>
    <n v="0"/>
    <n v="98.66"/>
    <n v="98.66"/>
    <n v="98.66"/>
    <n v="98.66"/>
    <n v="98.66"/>
    <n v="98.66"/>
    <n v="98.66"/>
    <n v="98.66"/>
    <n v="98.66"/>
    <n v="98.66"/>
    <n v="98.66"/>
    <n v="98.66"/>
    <n v="98.66"/>
    <n v="98.66"/>
  </r>
  <r>
    <s v="main"/>
    <x v="3"/>
    <n v="0"/>
    <n v="0"/>
    <n v="0"/>
    <n v="8.5500000000000007"/>
    <n v="8.5500000000000007"/>
    <n v="8.5500000000000007"/>
    <n v="8.5500000000000007"/>
    <n v="8.5500000000000007"/>
    <n v="8.5500000000000007"/>
    <n v="8.5500000000000007"/>
    <n v="8.5500000000000007"/>
    <n v="8.5500000000000007"/>
    <n v="8.5500000000000007"/>
    <n v="8.5500000000000007"/>
    <n v="8.5500000000000007"/>
    <n v="8.5500000000000007"/>
    <n v="8.5500000000000007"/>
  </r>
  <r>
    <s v="main"/>
    <x v="3"/>
    <n v="0"/>
    <n v="0"/>
    <n v="0"/>
    <n v="57.75"/>
    <n v="57.75"/>
    <n v="57.75"/>
    <n v="57.75"/>
    <n v="57.75"/>
    <n v="57.75"/>
    <n v="57.75"/>
    <n v="57.75"/>
    <n v="57.75"/>
    <n v="57.75"/>
    <n v="57.75"/>
    <n v="57.75"/>
    <n v="57.75"/>
    <n v="57.75"/>
  </r>
  <r>
    <s v="upper"/>
    <x v="4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s v="upper"/>
    <x v="4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upper"/>
    <x v="4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upper"/>
    <x v="4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upper"/>
    <x v="4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upper"/>
    <x v="4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upper"/>
    <x v="4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upper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upper"/>
    <x v="4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upper"/>
    <x v="4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upper"/>
    <x v="4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upper"/>
    <x v="4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upper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4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upper"/>
    <x v="4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upper"/>
    <x v="4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upper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4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upper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4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upper"/>
    <x v="4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upper"/>
    <x v="4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upper"/>
    <x v="4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upper"/>
    <x v="4"/>
    <n v="0"/>
    <n v="0"/>
    <n v="0"/>
    <n v="0"/>
    <n v="221.08"/>
    <n v="221.08"/>
    <n v="221.08"/>
    <n v="221.08"/>
    <n v="221.08"/>
    <n v="221.08"/>
    <n v="221.08"/>
    <n v="221.08"/>
    <n v="221.08"/>
    <n v="221.08"/>
    <n v="221.08"/>
    <n v="221.08"/>
    <n v="221.08"/>
  </r>
  <r>
    <s v="upper"/>
    <x v="4"/>
    <n v="0"/>
    <n v="0"/>
    <n v="0"/>
    <n v="150.59"/>
    <n v="150.59"/>
    <n v="150.59"/>
    <n v="150.59"/>
    <n v="150.59"/>
    <n v="301.18"/>
    <n v="301.18"/>
    <n v="301.18"/>
    <n v="602.36"/>
    <n v="602.36"/>
    <n v="602.36"/>
    <n v="602.36"/>
    <n v="602.36"/>
    <n v="602.36"/>
  </r>
  <r>
    <s v="upper"/>
    <x v="4"/>
    <n v="0"/>
    <n v="0"/>
    <n v="0"/>
    <n v="12.83"/>
    <n v="12.83"/>
    <n v="12.83"/>
    <n v="12.83"/>
    <n v="12.83"/>
    <n v="12.83"/>
    <n v="12.83"/>
    <n v="12.83"/>
    <n v="12.83"/>
    <n v="12.83"/>
    <n v="12.83"/>
    <n v="12.83"/>
    <n v="12.83"/>
    <n v="12.83"/>
  </r>
  <r>
    <s v="upper"/>
    <x v="4"/>
    <n v="0"/>
    <n v="0"/>
    <n v="0"/>
    <n v="72.2"/>
    <n v="72.2"/>
    <n v="72.2"/>
    <n v="72.2"/>
    <n v="72.2"/>
    <n v="72.2"/>
    <n v="72.2"/>
    <n v="72.2"/>
    <n v="72.2"/>
    <n v="72.2"/>
    <n v="72.2"/>
    <n v="72.2"/>
    <n v="72.2"/>
    <n v="72.2"/>
  </r>
  <r>
    <s v="upper"/>
    <x v="4"/>
    <n v="0"/>
    <n v="0"/>
    <n v="0"/>
    <n v="26.135000000000002"/>
    <n v="26.135000000000002"/>
    <n v="26.135000000000002"/>
    <n v="26.135000000000002"/>
    <n v="26.135000000000002"/>
    <n v="52.27"/>
    <n v="52.27"/>
    <n v="52.27"/>
    <n v="104.54"/>
    <n v="104.54"/>
    <n v="104.54"/>
    <n v="104.54"/>
    <n v="104.54"/>
    <n v="104.54"/>
  </r>
  <r>
    <s v="upper"/>
    <x v="4"/>
    <n v="0"/>
    <n v="0"/>
    <n v="0"/>
    <n v="0"/>
    <n v="0"/>
    <n v="0"/>
    <n v="0"/>
    <n v="0"/>
    <n v="0"/>
    <n v="0"/>
    <n v="0"/>
    <n v="0"/>
    <n v="0"/>
    <n v="0"/>
    <n v="24.68"/>
    <n v="24.68"/>
    <n v="24.68"/>
  </r>
  <r>
    <s v="upper"/>
    <x v="4"/>
    <n v="0"/>
    <n v="0"/>
    <n v="0"/>
    <n v="27.01"/>
    <n v="27.01"/>
    <n v="27.01"/>
    <n v="27.01"/>
    <n v="27.01"/>
    <n v="27.01"/>
    <n v="27.01"/>
    <n v="27.01"/>
    <n v="27.01"/>
    <n v="27.01"/>
    <n v="27.01"/>
    <n v="27.01"/>
    <n v="27.01"/>
    <n v="27.01"/>
  </r>
  <r>
    <s v="upper"/>
    <x v="4"/>
    <n v="0"/>
    <n v="0"/>
    <n v="0"/>
    <n v="46.78"/>
    <n v="46.78"/>
    <n v="46.78"/>
    <n v="46.78"/>
    <n v="46.78"/>
    <n v="46.78"/>
    <n v="46.78"/>
    <n v="46.78"/>
    <n v="46.78"/>
    <n v="46.78"/>
    <n v="46.78"/>
    <n v="46.78"/>
    <n v="46.78"/>
    <n v="46.78"/>
  </r>
  <r>
    <s v="upper"/>
    <x v="4"/>
    <n v="0"/>
    <n v="0"/>
    <n v="0"/>
    <n v="53.28"/>
    <n v="53.28"/>
    <n v="53.28"/>
    <n v="53.28"/>
    <n v="53.28"/>
    <n v="53.28"/>
    <n v="53.28"/>
    <n v="53.28"/>
    <n v="53.28"/>
    <n v="53.28"/>
    <n v="53.28"/>
    <n v="53.28"/>
    <n v="53.28"/>
    <n v="53.28"/>
  </r>
  <r>
    <s v="upper"/>
    <x v="4"/>
    <n v="0"/>
    <n v="0"/>
    <n v="0"/>
    <n v="53.27"/>
    <n v="53.27"/>
    <n v="53.27"/>
    <n v="53.27"/>
    <n v="53.27"/>
    <n v="53.27"/>
    <n v="53.27"/>
    <n v="53.27"/>
    <n v="53.27"/>
    <n v="53.27"/>
    <n v="53.27"/>
    <n v="53.27"/>
    <n v="53.27"/>
    <n v="53.27"/>
  </r>
  <r>
    <s v="upper"/>
    <x v="4"/>
    <n v="0"/>
    <n v="0"/>
    <n v="0"/>
    <n v="34.93"/>
    <n v="34.93"/>
    <n v="34.93"/>
    <n v="34.93"/>
    <n v="34.93"/>
    <n v="34.93"/>
    <n v="34.93"/>
    <n v="34.93"/>
    <n v="34.93"/>
    <n v="34.93"/>
    <n v="34.93"/>
    <n v="34.93"/>
    <n v="34.93"/>
    <n v="34.93"/>
  </r>
  <r>
    <s v="upper"/>
    <x v="4"/>
    <n v="0"/>
    <n v="0"/>
    <n v="0"/>
    <n v="84.87"/>
    <n v="84.87"/>
    <n v="84.87"/>
    <n v="84.87"/>
    <n v="84.87"/>
    <n v="84.87"/>
    <n v="84.87"/>
    <n v="84.87"/>
    <n v="84.87"/>
    <n v="84.87"/>
    <n v="84.87"/>
    <n v="84.87"/>
    <n v="84.87"/>
    <n v="84.87"/>
  </r>
  <r>
    <s v="upper"/>
    <x v="4"/>
    <n v="0"/>
    <n v="0"/>
    <n v="0"/>
    <n v="7.11"/>
    <n v="7.11"/>
    <n v="7.11"/>
    <n v="7.11"/>
    <n v="7.11"/>
    <n v="7.11"/>
    <n v="7.11"/>
    <n v="7.11"/>
    <n v="7.11"/>
    <n v="7.11"/>
    <n v="7.11"/>
    <n v="7.11"/>
    <n v="7.11"/>
    <n v="7.11"/>
  </r>
  <r>
    <s v="upper"/>
    <x v="4"/>
    <n v="0"/>
    <n v="0"/>
    <n v="0"/>
    <n v="47.98"/>
    <n v="47.98"/>
    <n v="47.98"/>
    <n v="47.98"/>
    <n v="47.98"/>
    <n v="47.98"/>
    <n v="47.98"/>
    <n v="47.98"/>
    <n v="47.98"/>
    <n v="47.98"/>
    <n v="47.98"/>
    <n v="47.98"/>
    <n v="47.98"/>
    <n v="47.98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5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5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5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5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5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5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s v="main"/>
    <x v="5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5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s v="main"/>
    <x v="5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s v="main"/>
    <x v="5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s v="main"/>
    <x v="5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s v="main"/>
    <x v="5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5"/>
    <n v="0"/>
    <n v="0"/>
    <n v="0"/>
    <n v="0"/>
    <n v="169.34"/>
    <n v="169.34"/>
    <n v="169.34"/>
    <n v="169.34"/>
    <n v="169.34"/>
    <n v="169.34"/>
    <n v="169.34"/>
    <n v="169.34"/>
    <n v="169.34"/>
    <n v="169.34"/>
    <n v="169.34"/>
    <n v="169.34"/>
    <n v="169.34"/>
  </r>
  <r>
    <s v="main"/>
    <x v="5"/>
    <n v="0"/>
    <n v="0"/>
    <n v="0"/>
    <n v="115.345"/>
    <n v="115.345"/>
    <n v="115.345"/>
    <n v="115.345"/>
    <n v="115.345"/>
    <n v="230.69"/>
    <n v="230.69"/>
    <n v="230.69"/>
    <n v="461.38"/>
    <n v="461.38"/>
    <n v="461.38"/>
    <n v="461.38"/>
    <n v="461.38"/>
    <n v="461.38"/>
  </r>
  <r>
    <s v="main"/>
    <x v="5"/>
    <n v="0"/>
    <n v="0"/>
    <n v="0"/>
    <n v="9.83"/>
    <n v="9.83"/>
    <n v="9.83"/>
    <n v="9.83"/>
    <n v="9.83"/>
    <n v="9.83"/>
    <n v="9.83"/>
    <n v="9.83"/>
    <n v="9.83"/>
    <n v="9.83"/>
    <n v="9.83"/>
    <n v="9.83"/>
    <n v="9.83"/>
    <n v="9.83"/>
  </r>
  <r>
    <s v="main"/>
    <x v="5"/>
    <n v="0"/>
    <n v="0"/>
    <n v="0"/>
    <n v="55.3"/>
    <n v="55.3"/>
    <n v="55.3"/>
    <n v="55.3"/>
    <n v="55.3"/>
    <n v="55.3"/>
    <n v="55.3"/>
    <n v="55.3"/>
    <n v="55.3"/>
    <n v="55.3"/>
    <n v="55.3"/>
    <n v="55.3"/>
    <n v="55.3"/>
    <n v="55.3"/>
  </r>
  <r>
    <s v="main"/>
    <x v="5"/>
    <n v="0"/>
    <n v="0"/>
    <n v="0"/>
    <n v="16.2225"/>
    <n v="16.2225"/>
    <n v="16.2225"/>
    <n v="16.2225"/>
    <n v="16.2225"/>
    <n v="32.445"/>
    <n v="32.445"/>
    <n v="32.445"/>
    <n v="64.89"/>
    <n v="64.89"/>
    <n v="64.89"/>
    <n v="64.89"/>
    <n v="64.89"/>
    <n v="64.89"/>
  </r>
  <r>
    <s v="main"/>
    <x v="5"/>
    <n v="0"/>
    <n v="0"/>
    <n v="0"/>
    <n v="0"/>
    <n v="0"/>
    <n v="0"/>
    <n v="0"/>
    <n v="0"/>
    <n v="0"/>
    <n v="0"/>
    <n v="0"/>
    <n v="0"/>
    <n v="0"/>
    <n v="0"/>
    <n v="15.32"/>
    <n v="15.32"/>
    <n v="15.32"/>
  </r>
  <r>
    <s v="main"/>
    <x v="5"/>
    <n v="0"/>
    <n v="0"/>
    <n v="0"/>
    <n v="16.77"/>
    <n v="16.77"/>
    <n v="16.77"/>
    <n v="16.77"/>
    <n v="16.77"/>
    <n v="16.77"/>
    <n v="16.77"/>
    <n v="16.77"/>
    <n v="16.77"/>
    <n v="16.77"/>
    <n v="16.77"/>
    <n v="16.77"/>
    <n v="16.77"/>
    <n v="16.77"/>
  </r>
  <r>
    <s v="main"/>
    <x v="5"/>
    <n v="0"/>
    <n v="0"/>
    <n v="0"/>
    <n v="29.02"/>
    <n v="29.02"/>
    <n v="29.02"/>
    <n v="29.02"/>
    <n v="29.02"/>
    <n v="29.02"/>
    <n v="29.02"/>
    <n v="29.02"/>
    <n v="29.02"/>
    <n v="29.02"/>
    <n v="29.02"/>
    <n v="29.02"/>
    <n v="29.02"/>
    <n v="29.02"/>
  </r>
  <r>
    <s v="main"/>
    <x v="5"/>
    <n v="0"/>
    <n v="0"/>
    <n v="0"/>
    <n v="33.11"/>
    <n v="33.11"/>
    <n v="33.11"/>
    <n v="33.11"/>
    <n v="33.11"/>
    <n v="33.11"/>
    <n v="33.11"/>
    <n v="33.11"/>
    <n v="33.11"/>
    <n v="33.11"/>
    <n v="33.11"/>
    <n v="33.11"/>
    <n v="33.11"/>
    <n v="33.11"/>
  </r>
  <r>
    <s v="main"/>
    <x v="5"/>
    <n v="0"/>
    <n v="0"/>
    <n v="0"/>
    <n v="37.03"/>
    <n v="37.03"/>
    <n v="37.03"/>
    <n v="37.03"/>
    <n v="37.03"/>
    <n v="37.03"/>
    <n v="37.03"/>
    <n v="37.03"/>
    <n v="37.03"/>
    <n v="37.03"/>
    <n v="37.03"/>
    <n v="37.03"/>
    <n v="37.03"/>
    <n v="37.03"/>
  </r>
  <r>
    <s v="main"/>
    <x v="5"/>
    <n v="0"/>
    <n v="0"/>
    <n v="0"/>
    <n v="24.27"/>
    <n v="24.27"/>
    <n v="24.27"/>
    <n v="24.27"/>
    <n v="24.27"/>
    <n v="24.27"/>
    <n v="24.27"/>
    <n v="24.27"/>
    <n v="24.27"/>
    <n v="24.27"/>
    <n v="24.27"/>
    <n v="24.27"/>
    <n v="24.27"/>
    <n v="24.27"/>
  </r>
  <r>
    <s v="main"/>
    <x v="5"/>
    <n v="0"/>
    <n v="0"/>
    <n v="0"/>
    <n v="59"/>
    <n v="59"/>
    <n v="59"/>
    <n v="59"/>
    <n v="59"/>
    <n v="59"/>
    <n v="59"/>
    <n v="59"/>
    <n v="59"/>
    <n v="59"/>
    <n v="59"/>
    <n v="59"/>
    <n v="59"/>
    <n v="59"/>
  </r>
  <r>
    <s v="main"/>
    <x v="5"/>
    <n v="0"/>
    <n v="0"/>
    <n v="0"/>
    <n v="4.42"/>
    <n v="4.42"/>
    <n v="4.42"/>
    <n v="4.42"/>
    <n v="4.42"/>
    <n v="4.42"/>
    <n v="4.42"/>
    <n v="4.42"/>
    <n v="4.42"/>
    <n v="4.42"/>
    <n v="4.42"/>
    <n v="4.42"/>
    <n v="4.42"/>
    <n v="4.42"/>
  </r>
  <r>
    <s v="main"/>
    <x v="5"/>
    <n v="0"/>
    <n v="0"/>
    <n v="0"/>
    <n v="29.8"/>
    <n v="29.8"/>
    <n v="29.8"/>
    <n v="29.8"/>
    <n v="29.8"/>
    <n v="29.8"/>
    <n v="29.8"/>
    <n v="29.8"/>
    <n v="29.8"/>
    <n v="29.8"/>
    <n v="29.8"/>
    <n v="29.8"/>
    <n v="29.8"/>
    <n v="29.8"/>
  </r>
  <r>
    <s v="upper"/>
    <x v="4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s v="upper"/>
    <x v="4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upper"/>
    <x v="4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upper"/>
    <x v="4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upper"/>
    <x v="4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upper"/>
    <x v="4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upper"/>
    <x v="4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upper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upper"/>
    <x v="4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upper"/>
    <x v="4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upper"/>
    <x v="4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upper"/>
    <x v="4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upper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4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upper"/>
    <x v="4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upper"/>
    <x v="4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upper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4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upper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4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upper"/>
    <x v="4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upper"/>
    <x v="4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upper"/>
    <x v="4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upper"/>
    <x v="4"/>
    <n v="0"/>
    <n v="0"/>
    <n v="0"/>
    <n v="0"/>
    <n v="221.08"/>
    <n v="221.08"/>
    <n v="221.08"/>
    <n v="221.08"/>
    <n v="221.08"/>
    <n v="221.08"/>
    <n v="221.08"/>
    <n v="221.08"/>
    <n v="221.08"/>
    <n v="221.08"/>
    <n v="221.08"/>
    <n v="221.08"/>
    <n v="221.08"/>
  </r>
  <r>
    <s v="upper"/>
    <x v="4"/>
    <n v="0"/>
    <n v="0"/>
    <n v="0"/>
    <n v="150.59"/>
    <n v="150.59"/>
    <n v="150.59"/>
    <n v="150.59"/>
    <n v="150.59"/>
    <n v="301.18"/>
    <n v="301.18"/>
    <n v="301.18"/>
    <n v="602.36"/>
    <n v="602.36"/>
    <n v="602.36"/>
    <n v="602.36"/>
    <n v="602.36"/>
    <n v="602.36"/>
  </r>
  <r>
    <s v="upper"/>
    <x v="4"/>
    <n v="0"/>
    <n v="0"/>
    <n v="0"/>
    <n v="12.83"/>
    <n v="12.83"/>
    <n v="12.83"/>
    <n v="12.83"/>
    <n v="12.83"/>
    <n v="12.83"/>
    <n v="12.83"/>
    <n v="12.83"/>
    <n v="12.83"/>
    <n v="12.83"/>
    <n v="12.83"/>
    <n v="12.83"/>
    <n v="12.83"/>
    <n v="12.83"/>
  </r>
  <r>
    <s v="upper"/>
    <x v="4"/>
    <n v="0"/>
    <n v="0"/>
    <n v="0"/>
    <n v="72.2"/>
    <n v="72.2"/>
    <n v="72.2"/>
    <n v="72.2"/>
    <n v="72.2"/>
    <n v="72.2"/>
    <n v="72.2"/>
    <n v="72.2"/>
    <n v="72.2"/>
    <n v="72.2"/>
    <n v="72.2"/>
    <n v="72.2"/>
    <n v="72.2"/>
    <n v="72.2"/>
  </r>
  <r>
    <s v="upper"/>
    <x v="4"/>
    <n v="0"/>
    <n v="0"/>
    <n v="0"/>
    <n v="26.135000000000002"/>
    <n v="26.135000000000002"/>
    <n v="26.135000000000002"/>
    <n v="26.135000000000002"/>
    <n v="26.135000000000002"/>
    <n v="52.27"/>
    <n v="52.27"/>
    <n v="52.27"/>
    <n v="104.54"/>
    <n v="104.54"/>
    <n v="104.54"/>
    <n v="104.54"/>
    <n v="104.54"/>
    <n v="104.54"/>
  </r>
  <r>
    <s v="upper"/>
    <x v="4"/>
    <n v="0"/>
    <n v="0"/>
    <n v="0"/>
    <n v="0"/>
    <n v="0"/>
    <n v="0"/>
    <n v="0"/>
    <n v="0"/>
    <n v="0"/>
    <n v="0"/>
    <n v="0"/>
    <n v="0"/>
    <n v="0"/>
    <n v="0"/>
    <n v="24.68"/>
    <n v="24.68"/>
    <n v="24.68"/>
  </r>
  <r>
    <s v="upper"/>
    <x v="4"/>
    <n v="0"/>
    <n v="0"/>
    <n v="0"/>
    <n v="27.01"/>
    <n v="27.01"/>
    <n v="27.01"/>
    <n v="27.01"/>
    <n v="27.01"/>
    <n v="27.01"/>
    <n v="27.01"/>
    <n v="27.01"/>
    <n v="27.01"/>
    <n v="27.01"/>
    <n v="27.01"/>
    <n v="27.01"/>
    <n v="27.01"/>
    <n v="27.01"/>
  </r>
  <r>
    <s v="upper"/>
    <x v="4"/>
    <n v="0"/>
    <n v="0"/>
    <n v="0"/>
    <n v="46.78"/>
    <n v="46.78"/>
    <n v="46.78"/>
    <n v="46.78"/>
    <n v="46.78"/>
    <n v="46.78"/>
    <n v="46.78"/>
    <n v="46.78"/>
    <n v="46.78"/>
    <n v="46.78"/>
    <n v="46.78"/>
    <n v="46.78"/>
    <n v="46.78"/>
    <n v="46.78"/>
  </r>
  <r>
    <s v="upper"/>
    <x v="4"/>
    <n v="0"/>
    <n v="0"/>
    <n v="0"/>
    <n v="53.28"/>
    <n v="53.28"/>
    <n v="53.28"/>
    <n v="53.28"/>
    <n v="53.28"/>
    <n v="53.28"/>
    <n v="53.28"/>
    <n v="53.28"/>
    <n v="53.28"/>
    <n v="53.28"/>
    <n v="53.28"/>
    <n v="53.28"/>
    <n v="53.28"/>
    <n v="53.28"/>
  </r>
  <r>
    <s v="upper"/>
    <x v="4"/>
    <n v="0"/>
    <n v="0"/>
    <n v="0"/>
    <n v="53.27"/>
    <n v="53.27"/>
    <n v="53.27"/>
    <n v="53.27"/>
    <n v="53.27"/>
    <n v="53.27"/>
    <n v="53.27"/>
    <n v="53.27"/>
    <n v="53.27"/>
    <n v="53.27"/>
    <n v="53.27"/>
    <n v="53.27"/>
    <n v="53.27"/>
    <n v="53.27"/>
  </r>
  <r>
    <s v="upper"/>
    <x v="4"/>
    <n v="0"/>
    <n v="0"/>
    <n v="0"/>
    <n v="34.93"/>
    <n v="34.93"/>
    <n v="34.93"/>
    <n v="34.93"/>
    <n v="34.93"/>
    <n v="34.93"/>
    <n v="34.93"/>
    <n v="34.93"/>
    <n v="34.93"/>
    <n v="34.93"/>
    <n v="34.93"/>
    <n v="34.93"/>
    <n v="34.93"/>
    <n v="34.93"/>
  </r>
  <r>
    <s v="upper"/>
    <x v="4"/>
    <n v="0"/>
    <n v="0"/>
    <n v="0"/>
    <n v="84.87"/>
    <n v="84.87"/>
    <n v="84.87"/>
    <n v="84.87"/>
    <n v="84.87"/>
    <n v="84.87"/>
    <n v="84.87"/>
    <n v="84.87"/>
    <n v="84.87"/>
    <n v="84.87"/>
    <n v="84.87"/>
    <n v="84.87"/>
    <n v="84.87"/>
    <n v="84.87"/>
  </r>
  <r>
    <s v="upper"/>
    <x v="4"/>
    <n v="0"/>
    <n v="0"/>
    <n v="0"/>
    <n v="7.11"/>
    <n v="7.11"/>
    <n v="7.11"/>
    <n v="7.11"/>
    <n v="7.11"/>
    <n v="7.11"/>
    <n v="7.11"/>
    <n v="7.11"/>
    <n v="7.11"/>
    <n v="7.11"/>
    <n v="7.11"/>
    <n v="7.11"/>
    <n v="7.11"/>
    <n v="7.11"/>
  </r>
  <r>
    <s v="upper"/>
    <x v="4"/>
    <n v="0"/>
    <n v="0"/>
    <n v="0"/>
    <n v="47.98"/>
    <n v="47.98"/>
    <n v="47.98"/>
    <n v="47.98"/>
    <n v="47.98"/>
    <n v="47.98"/>
    <n v="47.98"/>
    <n v="47.98"/>
    <n v="47.98"/>
    <n v="47.98"/>
    <n v="47.98"/>
    <n v="47.98"/>
    <n v="47.98"/>
    <n v="47.98"/>
  </r>
  <r>
    <s v="upper"/>
    <x v="6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upper"/>
    <x v="6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upper"/>
    <x v="6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6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upper"/>
    <x v="6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upper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0"/>
    <n v="0"/>
    <n v="0"/>
    <n v="0"/>
    <n v="0"/>
    <n v="0"/>
    <n v="0"/>
    <n v="0"/>
    <n v="576.47"/>
    <n v="576.47"/>
    <n v="576.47"/>
    <n v="576.47"/>
    <n v="576.47"/>
  </r>
  <r>
    <s v="upper"/>
    <x v="6"/>
    <n v="0"/>
    <n v="0"/>
    <n v="0"/>
    <n v="0"/>
    <n v="203.84"/>
    <n v="203.84"/>
    <n v="203.84"/>
    <n v="203.84"/>
    <n v="203.84"/>
    <n v="203.84"/>
    <n v="203.84"/>
    <n v="203.84"/>
    <n v="203.84"/>
    <n v="203.84"/>
    <n v="203.84"/>
    <n v="203.84"/>
    <n v="203.84"/>
  </r>
  <r>
    <s v="upper"/>
    <x v="6"/>
    <n v="0"/>
    <n v="0"/>
    <n v="0"/>
    <n v="138.83750000000001"/>
    <n v="138.83750000000001"/>
    <n v="138.83750000000001"/>
    <n v="138.83750000000001"/>
    <n v="138.83750000000001"/>
    <n v="277.67500000000001"/>
    <n v="277.67500000000001"/>
    <n v="277.67500000000001"/>
    <n v="555.35"/>
    <n v="555.35"/>
    <n v="555.35"/>
    <n v="555.35"/>
    <n v="555.35"/>
    <n v="555.35"/>
  </r>
  <r>
    <s v="upper"/>
    <x v="6"/>
    <n v="0"/>
    <n v="0"/>
    <n v="0"/>
    <n v="23.66"/>
    <n v="23.66"/>
    <n v="23.66"/>
    <n v="23.66"/>
    <n v="23.66"/>
    <n v="23.66"/>
    <n v="23.66"/>
    <n v="23.66"/>
    <n v="23.66"/>
    <n v="23.66"/>
    <n v="23.66"/>
    <n v="23.66"/>
    <n v="23.66"/>
    <n v="23.66"/>
  </r>
  <r>
    <s v="upper"/>
    <x v="6"/>
    <n v="0"/>
    <n v="0"/>
    <n v="0"/>
    <n v="133.15"/>
    <n v="133.15"/>
    <n v="133.15"/>
    <n v="133.15"/>
    <n v="133.15"/>
    <n v="133.15"/>
    <n v="133.15"/>
    <n v="133.15"/>
    <n v="133.15"/>
    <n v="133.15"/>
    <n v="133.15"/>
    <n v="133.15"/>
    <n v="133.15"/>
    <n v="133.15"/>
  </r>
  <r>
    <s v="upper"/>
    <x v="6"/>
    <n v="0"/>
    <n v="0"/>
    <n v="0"/>
    <n v="22.83"/>
    <n v="22.83"/>
    <n v="22.83"/>
    <n v="22.83"/>
    <n v="22.83"/>
    <n v="45.66"/>
    <n v="45.66"/>
    <n v="45.66"/>
    <n v="91.32"/>
    <n v="91.32"/>
    <n v="91.32"/>
    <n v="91.32"/>
    <n v="91.32"/>
    <n v="91.32"/>
  </r>
  <r>
    <s v="upper"/>
    <x v="6"/>
    <n v="0"/>
    <n v="0"/>
    <n v="0"/>
    <n v="0"/>
    <n v="0"/>
    <n v="0"/>
    <n v="0"/>
    <n v="0"/>
    <n v="0"/>
    <n v="0"/>
    <n v="0"/>
    <n v="0"/>
    <n v="0"/>
    <n v="0"/>
    <n v="21.56"/>
    <n v="21.56"/>
    <n v="21.56"/>
  </r>
  <r>
    <s v="upper"/>
    <x v="6"/>
    <n v="0"/>
    <n v="0"/>
    <n v="0"/>
    <n v="23.61"/>
    <n v="23.61"/>
    <n v="23.61"/>
    <n v="23.61"/>
    <n v="23.61"/>
    <n v="23.61"/>
    <n v="23.61"/>
    <n v="23.61"/>
    <n v="23.61"/>
    <n v="23.61"/>
    <n v="23.61"/>
    <n v="23.61"/>
    <n v="23.61"/>
    <n v="23.61"/>
  </r>
  <r>
    <s v="upper"/>
    <x v="6"/>
    <n v="0"/>
    <n v="0"/>
    <n v="0"/>
    <n v="40.9"/>
    <n v="40.9"/>
    <n v="40.9"/>
    <n v="40.9"/>
    <n v="40.9"/>
    <n v="40.9"/>
    <n v="40.9"/>
    <n v="40.9"/>
    <n v="40.9"/>
    <n v="40.9"/>
    <n v="40.9"/>
    <n v="40.9"/>
    <n v="40.9"/>
    <n v="40.9"/>
  </r>
  <r>
    <s v="upper"/>
    <x v="6"/>
    <n v="0"/>
    <n v="0"/>
    <n v="0"/>
    <n v="46.6"/>
    <n v="46.6"/>
    <n v="46.6"/>
    <n v="46.6"/>
    <n v="46.6"/>
    <n v="46.6"/>
    <n v="46.6"/>
    <n v="46.6"/>
    <n v="46.6"/>
    <n v="46.6"/>
    <n v="46.6"/>
    <n v="46.6"/>
    <n v="46.6"/>
    <n v="46.6"/>
  </r>
  <r>
    <s v="upper"/>
    <x v="6"/>
    <n v="0"/>
    <n v="0"/>
    <n v="0"/>
    <n v="47.84"/>
    <n v="47.84"/>
    <n v="47.84"/>
    <n v="47.84"/>
    <n v="47.84"/>
    <n v="47.84"/>
    <n v="47.84"/>
    <n v="47.84"/>
    <n v="47.84"/>
    <n v="47.84"/>
    <n v="47.84"/>
    <n v="47.84"/>
    <n v="47.84"/>
    <n v="47.84"/>
  </r>
  <r>
    <s v="upper"/>
    <x v="6"/>
    <n v="0"/>
    <n v="0"/>
    <n v="0"/>
    <n v="31.35"/>
    <n v="31.35"/>
    <n v="31.35"/>
    <n v="31.35"/>
    <n v="31.35"/>
    <n v="31.35"/>
    <n v="31.35"/>
    <n v="31.35"/>
    <n v="31.35"/>
    <n v="31.35"/>
    <n v="31.35"/>
    <n v="31.35"/>
    <n v="31.35"/>
    <n v="31.35"/>
  </r>
  <r>
    <s v="upper"/>
    <x v="6"/>
    <n v="0"/>
    <n v="0"/>
    <n v="0"/>
    <n v="76.209999999999994"/>
    <n v="76.209999999999994"/>
    <n v="76.209999999999994"/>
    <n v="76.209999999999994"/>
    <n v="76.209999999999994"/>
    <n v="76.209999999999994"/>
    <n v="76.209999999999994"/>
    <n v="76.209999999999994"/>
    <n v="76.209999999999994"/>
    <n v="76.209999999999994"/>
    <n v="76.209999999999994"/>
    <n v="76.209999999999994"/>
    <n v="76.209999999999994"/>
    <n v="76.209999999999994"/>
  </r>
  <r>
    <s v="upper"/>
    <x v="6"/>
    <n v="0"/>
    <n v="0"/>
    <n v="0"/>
    <n v="6.22"/>
    <n v="6.22"/>
    <n v="6.22"/>
    <n v="6.22"/>
    <n v="6.22"/>
    <n v="6.22"/>
    <n v="6.22"/>
    <n v="6.22"/>
    <n v="6.22"/>
    <n v="6.22"/>
    <n v="6.22"/>
    <n v="6.22"/>
    <n v="6.22"/>
    <n v="6.22"/>
  </r>
  <r>
    <s v="upper"/>
    <x v="6"/>
    <n v="0"/>
    <n v="0"/>
    <n v="0"/>
    <n v="41.96"/>
    <n v="41.96"/>
    <n v="41.96"/>
    <n v="41.96"/>
    <n v="41.96"/>
    <n v="41.96"/>
    <n v="41.96"/>
    <n v="41.96"/>
    <n v="41.96"/>
    <n v="41.96"/>
    <n v="41.96"/>
    <n v="41.96"/>
    <n v="41.96"/>
    <n v="41.96"/>
  </r>
  <r>
    <s v="main"/>
    <x v="7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7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main"/>
    <x v="7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main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7"/>
    <n v="0"/>
    <n v="0"/>
    <n v="0"/>
    <n v="0"/>
    <n v="307.32"/>
    <n v="307.32"/>
    <n v="307.32"/>
    <n v="307.32"/>
    <n v="307.32"/>
    <n v="307.32"/>
    <n v="307.32"/>
    <n v="307.32"/>
    <n v="307.32"/>
    <n v="307.32"/>
    <n v="307.32"/>
    <n v="307.32"/>
    <n v="307.32"/>
  </r>
  <r>
    <s v="main"/>
    <x v="7"/>
    <n v="0"/>
    <n v="0"/>
    <n v="0"/>
    <n v="209.32749999999999"/>
    <n v="209.32749999999999"/>
    <n v="209.32749999999999"/>
    <n v="209.32749999999999"/>
    <n v="209.32749999999999"/>
    <n v="418.65499999999997"/>
    <n v="418.65499999999997"/>
    <n v="418.65499999999997"/>
    <n v="837.31"/>
    <n v="837.31"/>
    <n v="837.31"/>
    <n v="837.31"/>
    <n v="837.31"/>
    <n v="837.31"/>
  </r>
  <r>
    <s v="main"/>
    <x v="7"/>
    <n v="0"/>
    <n v="0"/>
    <n v="0"/>
    <n v="35.67"/>
    <n v="35.67"/>
    <n v="35.67"/>
    <n v="35.67"/>
    <n v="35.67"/>
    <n v="35.67"/>
    <n v="35.67"/>
    <n v="35.67"/>
    <n v="35.67"/>
    <n v="35.67"/>
    <n v="35.67"/>
    <n v="35.67"/>
    <n v="35.67"/>
    <n v="35.67"/>
  </r>
  <r>
    <s v="main"/>
    <x v="7"/>
    <n v="0"/>
    <n v="0"/>
    <n v="0"/>
    <n v="200.73"/>
    <n v="200.73"/>
    <n v="200.73"/>
    <n v="200.73"/>
    <n v="200.73"/>
    <n v="200.73"/>
    <n v="200.73"/>
    <n v="200.73"/>
    <n v="200.73"/>
    <n v="200.73"/>
    <n v="200.73"/>
    <n v="200.73"/>
    <n v="200.73"/>
    <n v="200.73"/>
  </r>
  <r>
    <s v="main"/>
    <x v="7"/>
    <n v="0"/>
    <n v="0"/>
    <n v="0"/>
    <n v="52.744999999999997"/>
    <n v="52.744999999999997"/>
    <n v="52.744999999999997"/>
    <n v="52.744999999999997"/>
    <n v="52.744999999999997"/>
    <n v="105.49"/>
    <n v="105.49"/>
    <n v="105.49"/>
    <n v="210.98"/>
    <n v="210.98"/>
    <n v="210.98"/>
    <n v="210.98"/>
    <n v="210.98"/>
    <n v="210.98"/>
  </r>
  <r>
    <s v="main"/>
    <x v="7"/>
    <n v="0"/>
    <n v="0"/>
    <n v="0"/>
    <n v="0"/>
    <n v="0"/>
    <n v="0"/>
    <n v="0"/>
    <n v="0"/>
    <n v="0"/>
    <n v="0"/>
    <n v="0"/>
    <n v="0"/>
    <n v="0"/>
    <n v="0"/>
    <n v="49.79"/>
    <n v="49.79"/>
    <n v="49.79"/>
  </r>
  <r>
    <s v="main"/>
    <x v="7"/>
    <n v="0"/>
    <n v="0"/>
    <n v="0"/>
    <n v="54.52"/>
    <n v="54.52"/>
    <n v="54.52"/>
    <n v="54.52"/>
    <n v="54.52"/>
    <n v="54.52"/>
    <n v="54.52"/>
    <n v="54.52"/>
    <n v="54.52"/>
    <n v="54.52"/>
    <n v="54.52"/>
    <n v="54.52"/>
    <n v="54.52"/>
    <n v="54.52"/>
  </r>
  <r>
    <s v="main"/>
    <x v="7"/>
    <n v="0"/>
    <n v="0"/>
    <n v="0"/>
    <n v="94.43"/>
    <n v="94.43"/>
    <n v="94.43"/>
    <n v="94.43"/>
    <n v="94.43"/>
    <n v="94.43"/>
    <n v="94.43"/>
    <n v="94.43"/>
    <n v="94.43"/>
    <n v="94.43"/>
    <n v="94.43"/>
    <n v="94.43"/>
    <n v="94.43"/>
    <n v="94.43"/>
  </r>
  <r>
    <s v="main"/>
    <x v="7"/>
    <n v="0"/>
    <n v="0"/>
    <n v="0"/>
    <n v="107.63"/>
    <n v="107.63"/>
    <n v="107.63"/>
    <n v="107.63"/>
    <n v="107.63"/>
    <n v="107.63"/>
    <n v="107.63"/>
    <n v="107.63"/>
    <n v="107.63"/>
    <n v="107.63"/>
    <n v="107.63"/>
    <n v="107.63"/>
    <n v="107.63"/>
    <n v="107.63"/>
  </r>
  <r>
    <s v="main"/>
    <x v="7"/>
    <n v="0"/>
    <n v="0"/>
    <n v="0"/>
    <n v="96.76"/>
    <n v="96.76"/>
    <n v="96.76"/>
    <n v="96.76"/>
    <n v="96.76"/>
    <n v="96.76"/>
    <n v="96.76"/>
    <n v="96.76"/>
    <n v="96.76"/>
    <n v="96.76"/>
    <n v="96.76"/>
    <n v="96.76"/>
    <n v="96.76"/>
    <n v="96.76"/>
  </r>
  <r>
    <s v="main"/>
    <x v="7"/>
    <n v="0"/>
    <n v="0"/>
    <n v="0"/>
    <n v="63.46"/>
    <n v="63.46"/>
    <n v="63.46"/>
    <n v="63.46"/>
    <n v="63.46"/>
    <n v="63.46"/>
    <n v="63.46"/>
    <n v="63.46"/>
    <n v="63.46"/>
    <n v="63.46"/>
    <n v="63.46"/>
    <n v="63.46"/>
    <n v="63.46"/>
    <n v="63.46"/>
  </r>
  <r>
    <s v="main"/>
    <x v="7"/>
    <n v="0"/>
    <n v="0"/>
    <n v="0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</r>
  <r>
    <s v="main"/>
    <x v="7"/>
    <n v="0"/>
    <n v="0"/>
    <n v="0"/>
    <n v="14.37"/>
    <n v="14.37"/>
    <n v="14.37"/>
    <n v="14.37"/>
    <n v="14.37"/>
    <n v="14.37"/>
    <n v="14.37"/>
    <n v="14.37"/>
    <n v="14.37"/>
    <n v="14.37"/>
    <n v="14.37"/>
    <n v="14.37"/>
    <n v="14.37"/>
    <n v="14.37"/>
  </r>
  <r>
    <s v="main"/>
    <x v="7"/>
    <n v="0"/>
    <n v="0"/>
    <n v="0"/>
    <n v="96.91"/>
    <n v="96.91"/>
    <n v="96.91"/>
    <n v="96.91"/>
    <n v="96.91"/>
    <n v="96.91"/>
    <n v="96.91"/>
    <n v="96.91"/>
    <n v="96.91"/>
    <n v="96.91"/>
    <n v="96.91"/>
    <n v="96.91"/>
    <n v="96.91"/>
    <n v="96.91"/>
  </r>
  <r>
    <s v="upper"/>
    <x v="8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8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upper"/>
    <x v="8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upper"/>
    <x v="8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s v="upper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8"/>
    <n v="0"/>
    <n v="0"/>
    <n v="0"/>
    <n v="0"/>
    <n v="307.32"/>
    <n v="307.32"/>
    <n v="307.32"/>
    <n v="307.32"/>
    <n v="307.32"/>
    <n v="307.32"/>
    <n v="307.32"/>
    <n v="307.32"/>
    <n v="307.32"/>
    <n v="307.32"/>
    <n v="307.32"/>
    <n v="307.32"/>
    <n v="307.32"/>
  </r>
  <r>
    <s v="upper"/>
    <x v="8"/>
    <n v="0"/>
    <n v="0"/>
    <n v="0"/>
    <n v="209.32749999999999"/>
    <n v="209.32749999999999"/>
    <n v="209.32749999999999"/>
    <n v="209.32749999999999"/>
    <n v="209.32749999999999"/>
    <n v="418.65499999999997"/>
    <n v="418.65499999999997"/>
    <n v="418.65499999999997"/>
    <n v="837.31"/>
    <n v="837.31"/>
    <n v="837.31"/>
    <n v="837.31"/>
    <n v="837.31"/>
    <n v="837.31"/>
  </r>
  <r>
    <s v="upper"/>
    <x v="8"/>
    <n v="0"/>
    <n v="0"/>
    <n v="0"/>
    <n v="35.67"/>
    <n v="35.67"/>
    <n v="35.67"/>
    <n v="35.67"/>
    <n v="35.67"/>
    <n v="35.67"/>
    <n v="35.67"/>
    <n v="35.67"/>
    <n v="35.67"/>
    <n v="35.67"/>
    <n v="35.67"/>
    <n v="35.67"/>
    <n v="35.67"/>
    <n v="35.67"/>
  </r>
  <r>
    <s v="upper"/>
    <x v="8"/>
    <n v="0"/>
    <n v="0"/>
    <n v="0"/>
    <n v="200.73"/>
    <n v="200.73"/>
    <n v="200.73"/>
    <n v="200.73"/>
    <n v="200.73"/>
    <n v="200.73"/>
    <n v="200.73"/>
    <n v="200.73"/>
    <n v="200.73"/>
    <n v="200.73"/>
    <n v="200.73"/>
    <n v="200.73"/>
    <n v="200.73"/>
    <n v="200.73"/>
  </r>
  <r>
    <s v="upper"/>
    <x v="8"/>
    <n v="0"/>
    <n v="0"/>
    <n v="0"/>
    <n v="52.744999999999997"/>
    <n v="52.744999999999997"/>
    <n v="52.744999999999997"/>
    <n v="52.744999999999997"/>
    <n v="52.744999999999997"/>
    <n v="105.49"/>
    <n v="105.49"/>
    <n v="105.49"/>
    <n v="210.98"/>
    <n v="210.98"/>
    <n v="210.98"/>
    <n v="210.98"/>
    <n v="210.98"/>
    <n v="210.98"/>
  </r>
  <r>
    <s v="upper"/>
    <x v="8"/>
    <n v="0"/>
    <n v="0"/>
    <n v="0"/>
    <n v="0"/>
    <n v="0"/>
    <n v="0"/>
    <n v="0"/>
    <n v="0"/>
    <n v="0"/>
    <n v="0"/>
    <n v="0"/>
    <n v="0"/>
    <n v="0"/>
    <n v="0"/>
    <n v="49.79"/>
    <n v="49.79"/>
    <n v="49.79"/>
  </r>
  <r>
    <s v="upper"/>
    <x v="8"/>
    <n v="0"/>
    <n v="0"/>
    <n v="0"/>
    <n v="54.52"/>
    <n v="54.52"/>
    <n v="54.52"/>
    <n v="54.52"/>
    <n v="54.52"/>
    <n v="54.52"/>
    <n v="54.52"/>
    <n v="54.52"/>
    <n v="54.52"/>
    <n v="54.52"/>
    <n v="54.52"/>
    <n v="54.52"/>
    <n v="54.52"/>
    <n v="54.52"/>
  </r>
  <r>
    <s v="upper"/>
    <x v="8"/>
    <n v="0"/>
    <n v="0"/>
    <n v="0"/>
    <n v="94.43"/>
    <n v="94.43"/>
    <n v="94.43"/>
    <n v="94.43"/>
    <n v="94.43"/>
    <n v="94.43"/>
    <n v="94.43"/>
    <n v="94.43"/>
    <n v="94.43"/>
    <n v="94.43"/>
    <n v="94.43"/>
    <n v="94.43"/>
    <n v="94.43"/>
    <n v="94.43"/>
  </r>
  <r>
    <s v="upper"/>
    <x v="8"/>
    <n v="0"/>
    <n v="0"/>
    <n v="0"/>
    <n v="107.63"/>
    <n v="107.63"/>
    <n v="107.63"/>
    <n v="107.63"/>
    <n v="107.63"/>
    <n v="107.63"/>
    <n v="107.63"/>
    <n v="107.63"/>
    <n v="107.63"/>
    <n v="107.63"/>
    <n v="107.63"/>
    <n v="107.63"/>
    <n v="107.63"/>
    <n v="107.63"/>
  </r>
  <r>
    <s v="upper"/>
    <x v="8"/>
    <n v="0"/>
    <n v="0"/>
    <n v="0"/>
    <n v="96.76"/>
    <n v="96.76"/>
    <n v="96.76"/>
    <n v="96.76"/>
    <n v="96.76"/>
    <n v="96.76"/>
    <n v="96.76"/>
    <n v="96.76"/>
    <n v="96.76"/>
    <n v="96.76"/>
    <n v="96.76"/>
    <n v="96.76"/>
    <n v="96.76"/>
    <n v="96.76"/>
  </r>
  <r>
    <s v="upper"/>
    <x v="8"/>
    <n v="0"/>
    <n v="0"/>
    <n v="0"/>
    <n v="63.46"/>
    <n v="63.46"/>
    <n v="63.46"/>
    <n v="63.46"/>
    <n v="63.46"/>
    <n v="63.46"/>
    <n v="63.46"/>
    <n v="63.46"/>
    <n v="63.46"/>
    <n v="63.46"/>
    <n v="63.46"/>
    <n v="63.46"/>
    <n v="63.46"/>
    <n v="63.46"/>
  </r>
  <r>
    <s v="upper"/>
    <x v="8"/>
    <n v="0"/>
    <n v="0"/>
    <n v="0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</r>
  <r>
    <s v="upper"/>
    <x v="8"/>
    <n v="0"/>
    <n v="0"/>
    <n v="0"/>
    <n v="14.37"/>
    <n v="14.37"/>
    <n v="14.37"/>
    <n v="14.37"/>
    <n v="14.37"/>
    <n v="14.37"/>
    <n v="14.37"/>
    <n v="14.37"/>
    <n v="14.37"/>
    <n v="14.37"/>
    <n v="14.37"/>
    <n v="14.37"/>
    <n v="14.37"/>
    <n v="14.37"/>
  </r>
  <r>
    <s v="upper"/>
    <x v="8"/>
    <n v="0"/>
    <n v="0"/>
    <n v="0"/>
    <n v="96.91"/>
    <n v="96.91"/>
    <n v="96.91"/>
    <n v="96.91"/>
    <n v="96.91"/>
    <n v="96.91"/>
    <n v="96.91"/>
    <n v="96.91"/>
    <n v="96.91"/>
    <n v="96.91"/>
    <n v="96.91"/>
    <n v="96.91"/>
    <n v="96.91"/>
    <n v="96.91"/>
  </r>
  <r>
    <s v="main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409.24"/>
    <n v="409.24"/>
    <n v="409.24"/>
    <n v="409.24"/>
    <n v="409.24"/>
    <n v="409.24"/>
    <n v="409.24"/>
    <n v="409.24"/>
    <n v="409.24"/>
    <n v="409.24"/>
    <n v="409.24"/>
    <n v="409.24"/>
    <n v="409.24"/>
  </r>
  <r>
    <s v="main"/>
    <x v="9"/>
    <n v="0"/>
    <n v="0"/>
    <n v="0"/>
    <n v="278.75"/>
    <n v="278.75"/>
    <n v="278.75"/>
    <n v="278.75"/>
    <n v="278.75"/>
    <n v="557.5"/>
    <n v="557.5"/>
    <n v="557.5"/>
    <n v="1115"/>
    <n v="1115"/>
    <n v="1115"/>
    <n v="1115"/>
    <n v="1115"/>
    <n v="1115"/>
  </r>
  <r>
    <s v="main"/>
    <x v="9"/>
    <n v="0"/>
    <n v="0"/>
    <n v="0"/>
    <n v="47.51"/>
    <n v="47.51"/>
    <n v="47.51"/>
    <n v="47.51"/>
    <n v="47.51"/>
    <n v="47.51"/>
    <n v="47.51"/>
    <n v="47.51"/>
    <n v="47.51"/>
    <n v="47.51"/>
    <n v="47.51"/>
    <n v="47.51"/>
    <n v="47.51"/>
    <n v="47.51"/>
  </r>
  <r>
    <s v="main"/>
    <x v="9"/>
    <n v="0"/>
    <n v="0"/>
    <n v="0"/>
    <n v="267.26"/>
    <n v="267.26"/>
    <n v="267.26"/>
    <n v="267.26"/>
    <n v="267.26"/>
    <n v="267.26"/>
    <n v="267.26"/>
    <n v="267.26"/>
    <n v="267.26"/>
    <n v="267.26"/>
    <n v="267.26"/>
    <n v="267.26"/>
    <n v="267.26"/>
    <n v="267.26"/>
  </r>
  <r>
    <s v="main"/>
    <x v="9"/>
    <n v="0"/>
    <n v="0"/>
    <n v="0"/>
    <n v="92.162499999999994"/>
    <n v="92.162499999999994"/>
    <n v="92.162499999999994"/>
    <n v="92.162499999999994"/>
    <n v="92.162499999999994"/>
    <n v="184.32499999999999"/>
    <n v="184.32499999999999"/>
    <n v="184.32499999999999"/>
    <n v="368.65"/>
    <n v="368.65"/>
    <n v="368.65"/>
    <n v="368.65"/>
    <n v="368.65"/>
    <n v="368.65"/>
  </r>
  <r>
    <s v="main"/>
    <x v="9"/>
    <n v="0"/>
    <n v="0"/>
    <n v="0"/>
    <n v="0"/>
    <n v="0"/>
    <n v="0"/>
    <n v="0"/>
    <n v="0"/>
    <n v="0"/>
    <n v="0"/>
    <n v="0"/>
    <n v="0"/>
    <n v="0"/>
    <n v="0"/>
    <n v="86.99"/>
    <n v="86.99"/>
    <n v="86.99"/>
  </r>
  <r>
    <s v="main"/>
    <x v="9"/>
    <n v="0"/>
    <n v="0"/>
    <n v="0"/>
    <n v="95.27"/>
    <n v="95.27"/>
    <n v="95.27"/>
    <n v="95.27"/>
    <n v="95.27"/>
    <n v="95.27"/>
    <n v="95.27"/>
    <n v="95.27"/>
    <n v="95.27"/>
    <n v="95.27"/>
    <n v="95.27"/>
    <n v="95.27"/>
    <n v="95.27"/>
    <n v="95.27"/>
  </r>
  <r>
    <s v="main"/>
    <x v="9"/>
    <n v="0"/>
    <n v="0"/>
    <n v="0"/>
    <n v="164.97"/>
    <n v="164.97"/>
    <n v="164.97"/>
    <n v="164.97"/>
    <n v="164.97"/>
    <n v="164.97"/>
    <n v="164.97"/>
    <n v="164.97"/>
    <n v="164.97"/>
    <n v="164.97"/>
    <n v="164.97"/>
    <n v="164.97"/>
    <n v="164.97"/>
    <n v="164.97"/>
  </r>
  <r>
    <s v="main"/>
    <x v="9"/>
    <n v="0"/>
    <n v="0"/>
    <n v="0"/>
    <n v="187.96"/>
    <n v="187.96"/>
    <n v="187.96"/>
    <n v="187.96"/>
    <n v="187.96"/>
    <n v="187.96"/>
    <n v="187.96"/>
    <n v="187.96"/>
    <n v="187.96"/>
    <n v="187.96"/>
    <n v="187.96"/>
    <n v="187.96"/>
    <n v="187.96"/>
    <n v="187.96"/>
  </r>
  <r>
    <s v="main"/>
    <x v="9"/>
    <n v="0"/>
    <n v="0"/>
    <n v="0"/>
    <n v="161.25"/>
    <n v="161.25"/>
    <n v="161.25"/>
    <n v="161.25"/>
    <n v="161.25"/>
    <n v="161.25"/>
    <n v="161.25"/>
    <n v="161.25"/>
    <n v="161.25"/>
    <n v="161.25"/>
    <n v="161.25"/>
    <n v="161.25"/>
    <n v="161.25"/>
    <n v="161.25"/>
  </r>
  <r>
    <s v="main"/>
    <x v="9"/>
    <n v="0"/>
    <n v="0"/>
    <n v="0"/>
    <n v="105.72"/>
    <n v="105.72"/>
    <n v="105.72"/>
    <n v="105.72"/>
    <n v="105.72"/>
    <n v="105.72"/>
    <n v="105.72"/>
    <n v="105.72"/>
    <n v="105.72"/>
    <n v="105.72"/>
    <n v="105.72"/>
    <n v="105.72"/>
    <n v="105.72"/>
    <n v="105.72"/>
  </r>
  <r>
    <s v="main"/>
    <x v="9"/>
    <n v="0"/>
    <n v="0"/>
    <n v="0"/>
    <n v="256.93"/>
    <n v="256.93"/>
    <n v="256.93"/>
    <n v="256.93"/>
    <n v="256.93"/>
    <n v="256.93"/>
    <n v="256.93"/>
    <n v="256.93"/>
    <n v="256.93"/>
    <n v="256.93"/>
    <n v="256.93"/>
    <n v="256.93"/>
    <n v="256.93"/>
    <n v="256.93"/>
  </r>
  <r>
    <s v="main"/>
    <x v="9"/>
    <n v="0"/>
    <n v="0"/>
    <n v="0"/>
    <n v="25.08"/>
    <n v="25.08"/>
    <n v="25.08"/>
    <n v="25.08"/>
    <n v="25.08"/>
    <n v="25.08"/>
    <n v="25.08"/>
    <n v="25.08"/>
    <n v="25.08"/>
    <n v="25.08"/>
    <n v="25.08"/>
    <n v="25.08"/>
    <n v="25.08"/>
    <n v="25.08"/>
  </r>
  <r>
    <s v="main"/>
    <x v="9"/>
    <n v="0"/>
    <n v="0"/>
    <n v="0"/>
    <n v="169.23"/>
    <n v="169.23"/>
    <n v="169.23"/>
    <n v="169.23"/>
    <n v="169.23"/>
    <n v="169.23"/>
    <n v="169.23"/>
    <n v="169.23"/>
    <n v="169.23"/>
    <n v="169.23"/>
    <n v="169.23"/>
    <n v="169.23"/>
    <n v="169.23"/>
    <n v="169.23"/>
  </r>
  <r>
    <s v="upper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1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1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1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1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0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0"/>
    <n v="0"/>
    <n v="0"/>
    <n v="0"/>
    <n v="0"/>
    <n v="442.18"/>
    <n v="442.18"/>
    <n v="442.18"/>
    <n v="442.18"/>
    <n v="442.18"/>
    <n v="442.18"/>
    <n v="442.18"/>
    <n v="442.18"/>
    <n v="442.18"/>
    <n v="442.18"/>
    <n v="442.18"/>
    <n v="442.18"/>
    <n v="442.18"/>
  </r>
  <r>
    <s v="upper"/>
    <x v="10"/>
    <n v="0"/>
    <n v="0"/>
    <n v="0"/>
    <n v="301.17500000000001"/>
    <n v="301.17500000000001"/>
    <n v="301.17500000000001"/>
    <n v="301.17500000000001"/>
    <n v="301.17500000000001"/>
    <n v="602.35"/>
    <n v="602.35"/>
    <n v="602.35"/>
    <n v="1204.7"/>
    <n v="1204.7"/>
    <n v="1204.7"/>
    <n v="1204.7"/>
    <n v="1204.7"/>
    <n v="1204.7"/>
  </r>
  <r>
    <s v="upper"/>
    <x v="10"/>
    <n v="0"/>
    <n v="0"/>
    <n v="0"/>
    <n v="51.33"/>
    <n v="51.33"/>
    <n v="51.33"/>
    <n v="51.33"/>
    <n v="51.33"/>
    <n v="51.33"/>
    <n v="51.33"/>
    <n v="51.33"/>
    <n v="51.33"/>
    <n v="51.33"/>
    <n v="51.33"/>
    <n v="51.33"/>
    <n v="51.33"/>
    <n v="51.33"/>
  </r>
  <r>
    <s v="upper"/>
    <x v="10"/>
    <n v="0"/>
    <n v="0"/>
    <n v="0"/>
    <n v="288.76"/>
    <n v="288.76"/>
    <n v="288.76"/>
    <n v="288.76"/>
    <n v="288.76"/>
    <n v="288.76"/>
    <n v="288.76"/>
    <n v="288.76"/>
    <n v="288.76"/>
    <n v="288.76"/>
    <n v="288.76"/>
    <n v="288.76"/>
    <n v="288.76"/>
    <n v="288.76"/>
  </r>
  <r>
    <s v="upper"/>
    <x v="10"/>
    <n v="0"/>
    <n v="0"/>
    <n v="0"/>
    <n v="109.91500000000001"/>
    <n v="109.91500000000001"/>
    <n v="109.91500000000001"/>
    <n v="109.91500000000001"/>
    <n v="109.91500000000001"/>
    <n v="219.83"/>
    <n v="219.83"/>
    <n v="219.83"/>
    <n v="439.66"/>
    <n v="439.66"/>
    <n v="439.66"/>
    <n v="439.66"/>
    <n v="439.66"/>
    <n v="439.66"/>
  </r>
  <r>
    <s v="upper"/>
    <x v="10"/>
    <n v="0"/>
    <n v="0"/>
    <n v="0"/>
    <n v="0"/>
    <n v="0"/>
    <n v="0"/>
    <n v="0"/>
    <n v="0"/>
    <n v="0"/>
    <n v="0"/>
    <n v="0"/>
    <n v="0"/>
    <n v="0"/>
    <n v="0"/>
    <n v="103.75"/>
    <n v="103.75"/>
    <n v="103.75"/>
  </r>
  <r>
    <s v="upper"/>
    <x v="10"/>
    <n v="0"/>
    <n v="0"/>
    <n v="0"/>
    <n v="113.62"/>
    <n v="113.62"/>
    <n v="113.62"/>
    <n v="113.62"/>
    <n v="113.62"/>
    <n v="113.62"/>
    <n v="113.62"/>
    <n v="113.62"/>
    <n v="113.62"/>
    <n v="113.62"/>
    <n v="113.62"/>
    <n v="113.62"/>
    <n v="113.62"/>
    <n v="113.62"/>
  </r>
  <r>
    <s v="upper"/>
    <x v="10"/>
    <n v="0"/>
    <n v="0"/>
    <n v="0"/>
    <n v="196.79"/>
    <n v="196.79"/>
    <n v="196.79"/>
    <n v="196.79"/>
    <n v="196.79"/>
    <n v="196.79"/>
    <n v="196.79"/>
    <n v="196.79"/>
    <n v="196.79"/>
    <n v="196.79"/>
    <n v="196.79"/>
    <n v="196.79"/>
    <n v="196.79"/>
    <n v="196.79"/>
  </r>
  <r>
    <s v="upper"/>
    <x v="10"/>
    <n v="0"/>
    <n v="0"/>
    <n v="0"/>
    <n v="224.2"/>
    <n v="224.2"/>
    <n v="224.2"/>
    <n v="224.2"/>
    <n v="224.2"/>
    <n v="224.2"/>
    <n v="224.2"/>
    <n v="224.2"/>
    <n v="224.2"/>
    <n v="224.2"/>
    <n v="224.2"/>
    <n v="224.2"/>
    <n v="224.2"/>
    <n v="224.2"/>
  </r>
  <r>
    <s v="upper"/>
    <x v="10"/>
    <n v="0"/>
    <n v="0"/>
    <n v="0"/>
    <n v="190.28"/>
    <n v="190.28"/>
    <n v="190.28"/>
    <n v="190.28"/>
    <n v="190.28"/>
    <n v="190.28"/>
    <n v="190.28"/>
    <n v="190.28"/>
    <n v="190.28"/>
    <n v="190.28"/>
    <n v="190.28"/>
    <n v="190.28"/>
    <n v="190.28"/>
    <n v="190.28"/>
  </r>
  <r>
    <s v="upper"/>
    <x v="10"/>
    <n v="0"/>
    <n v="0"/>
    <n v="0"/>
    <n v="124.76"/>
    <n v="124.76"/>
    <n v="124.76"/>
    <n v="124.76"/>
    <n v="124.76"/>
    <n v="124.76"/>
    <n v="124.76"/>
    <n v="124.76"/>
    <n v="124.76"/>
    <n v="124.76"/>
    <n v="124.76"/>
    <n v="124.76"/>
    <n v="124.76"/>
    <n v="124.76"/>
  </r>
  <r>
    <s v="upper"/>
    <x v="10"/>
    <n v="0"/>
    <n v="0"/>
    <n v="0"/>
    <n v="303.19"/>
    <n v="303.19"/>
    <n v="303.19"/>
    <n v="303.19"/>
    <n v="303.19"/>
    <n v="303.19"/>
    <n v="303.19"/>
    <n v="303.19"/>
    <n v="303.19"/>
    <n v="303.19"/>
    <n v="303.19"/>
    <n v="303.19"/>
    <n v="303.19"/>
    <n v="303.19"/>
  </r>
  <r>
    <s v="upper"/>
    <x v="10"/>
    <n v="0"/>
    <n v="0"/>
    <n v="0"/>
    <n v="29.91"/>
    <n v="29.91"/>
    <n v="29.91"/>
    <n v="29.91"/>
    <n v="29.91"/>
    <n v="29.91"/>
    <n v="29.91"/>
    <n v="29.91"/>
    <n v="29.91"/>
    <n v="29.91"/>
    <n v="29.91"/>
    <n v="29.91"/>
    <n v="29.91"/>
    <n v="29.91"/>
  </r>
  <r>
    <s v="upper"/>
    <x v="10"/>
    <n v="0"/>
    <n v="0"/>
    <n v="0"/>
    <n v="201.85"/>
    <n v="201.85"/>
    <n v="201.85"/>
    <n v="201.85"/>
    <n v="201.85"/>
    <n v="201.85"/>
    <n v="201.85"/>
    <n v="201.85"/>
    <n v="201.85"/>
    <n v="201.85"/>
    <n v="201.85"/>
    <n v="201.85"/>
    <n v="201.85"/>
    <n v="201.85"/>
  </r>
  <r>
    <s v="main"/>
    <x v="11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11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11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1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1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s v="main"/>
    <x v="11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s v="main"/>
    <x v="11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s v="main"/>
    <x v="11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s v="main"/>
    <x v="11"/>
    <n v="0"/>
    <n v="0"/>
    <n v="0"/>
    <n v="0"/>
    <n v="1243.52"/>
    <n v="1243.52"/>
    <n v="1243.52"/>
    <n v="1243.52"/>
    <n v="1243.52"/>
    <n v="1243.52"/>
    <n v="1243.52"/>
    <n v="1243.52"/>
    <n v="1243.52"/>
    <n v="1243.52"/>
    <n v="1243.52"/>
    <n v="1243.52"/>
    <n v="1243.52"/>
  </r>
  <r>
    <s v="main"/>
    <x v="11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11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11"/>
    <n v="0"/>
    <n v="0"/>
    <n v="0"/>
    <n v="0"/>
    <n v="0"/>
    <n v="0"/>
    <n v="0"/>
    <n v="0"/>
    <n v="0"/>
    <n v="0"/>
    <n v="0"/>
    <n v="0"/>
    <n v="3834.44"/>
    <n v="3834.44"/>
    <n v="3834.44"/>
    <n v="3834.44"/>
    <n v="3834.44"/>
  </r>
  <r>
    <s v="main"/>
    <x v="11"/>
    <n v="0"/>
    <n v="0"/>
    <n v="0"/>
    <n v="0"/>
    <n v="4714.76"/>
    <n v="4714.76"/>
    <n v="4714.76"/>
    <n v="4714.76"/>
    <n v="4714.76"/>
    <n v="4714.76"/>
    <n v="4714.76"/>
    <n v="4714.76"/>
    <n v="4714.76"/>
    <n v="4714.76"/>
    <n v="4714.76"/>
    <n v="4714.76"/>
    <n v="4714.76"/>
  </r>
  <r>
    <s v="main"/>
    <x v="11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s v="main"/>
    <x v="11"/>
    <n v="0"/>
    <n v="0"/>
    <n v="0"/>
    <n v="0"/>
    <n v="0"/>
    <n v="0"/>
    <n v="0"/>
    <n v="0"/>
    <n v="0"/>
    <n v="0"/>
    <n v="307.16000000000003"/>
    <n v="307.16000000000003"/>
    <n v="307.16000000000003"/>
    <n v="307.16000000000003"/>
    <n v="307.16000000000003"/>
    <n v="307.16000000000003"/>
    <n v="307.16000000000003"/>
  </r>
  <r>
    <s v="main"/>
    <x v="11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11"/>
    <n v="0"/>
    <n v="0"/>
    <n v="0"/>
    <n v="0"/>
    <n v="0"/>
    <n v="0"/>
    <n v="0"/>
    <n v="0"/>
    <n v="0"/>
    <n v="0"/>
    <n v="0"/>
    <n v="0"/>
    <n v="0"/>
    <n v="282.57"/>
    <n v="282.57"/>
    <n v="282.57"/>
    <n v="282.57"/>
  </r>
  <r>
    <s v="main"/>
    <x v="11"/>
    <n v="0"/>
    <n v="0"/>
    <n v="0"/>
    <n v="0"/>
    <n v="0"/>
    <n v="0"/>
    <n v="908.5"/>
    <n v="908.5"/>
    <n v="908.5"/>
    <n v="908.5"/>
    <n v="908.5"/>
    <n v="908.5"/>
    <n v="908.5"/>
    <n v="908.5"/>
    <n v="908.5"/>
    <n v="908.5"/>
    <n v="908.5"/>
  </r>
  <r>
    <s v="main"/>
    <x v="11"/>
    <n v="0"/>
    <n v="0"/>
    <n v="0"/>
    <n v="0"/>
    <n v="0"/>
    <n v="0"/>
    <n v="1132.54"/>
    <n v="1132.54"/>
    <n v="1132.54"/>
    <n v="1132.54"/>
    <n v="1132.54"/>
    <n v="1132.54"/>
    <n v="1132.54"/>
    <n v="1132.54"/>
    <n v="1132.54"/>
    <n v="1132.54"/>
    <n v="1132.54"/>
  </r>
  <r>
    <s v="main"/>
    <x v="11"/>
    <n v="0"/>
    <n v="0"/>
    <n v="0"/>
    <n v="0"/>
    <n v="0"/>
    <n v="0"/>
    <n v="1274.53"/>
    <n v="1274.53"/>
    <n v="1274.53"/>
    <n v="1274.53"/>
    <n v="1274.53"/>
    <n v="1274.53"/>
    <n v="1274.53"/>
    <n v="1274.53"/>
    <n v="1274.53"/>
    <n v="1274.53"/>
    <n v="1274.53"/>
  </r>
  <r>
    <s v="main"/>
    <x v="11"/>
    <n v="0"/>
    <n v="0"/>
    <n v="0"/>
    <n v="0"/>
    <n v="359.06"/>
    <n v="359.06"/>
    <n v="359.06"/>
    <n v="359.06"/>
    <n v="359.06"/>
    <n v="359.06"/>
    <n v="359.06"/>
    <n v="359.06"/>
    <n v="359.06"/>
    <n v="359.06"/>
    <n v="359.06"/>
    <n v="359.06"/>
    <n v="359.06"/>
  </r>
  <r>
    <s v="main"/>
    <x v="11"/>
    <n v="0"/>
    <n v="0"/>
    <n v="0"/>
    <n v="244.5675"/>
    <n v="244.5675"/>
    <n v="244.5675"/>
    <n v="244.5675"/>
    <n v="244.5675"/>
    <n v="489.13499999999999"/>
    <n v="489.13499999999999"/>
    <n v="489.13499999999999"/>
    <n v="978.27"/>
    <n v="978.27"/>
    <n v="978.27"/>
    <n v="978.27"/>
    <n v="978.27"/>
    <n v="978.27"/>
  </r>
  <r>
    <s v="main"/>
    <x v="11"/>
    <n v="0"/>
    <n v="0"/>
    <n v="0"/>
    <n v="20.84"/>
    <n v="20.84"/>
    <n v="20.84"/>
    <n v="20.84"/>
    <n v="20.84"/>
    <n v="20.84"/>
    <n v="20.84"/>
    <n v="20.84"/>
    <n v="20.84"/>
    <n v="20.84"/>
    <n v="20.84"/>
    <n v="20.84"/>
    <n v="20.84"/>
    <n v="20.84"/>
  </r>
  <r>
    <s v="main"/>
    <x v="11"/>
    <n v="0"/>
    <n v="0"/>
    <n v="0"/>
    <n v="117.23"/>
    <n v="117.23"/>
    <n v="117.23"/>
    <n v="117.23"/>
    <n v="117.23"/>
    <n v="117.23"/>
    <n v="117.23"/>
    <n v="117.23"/>
    <n v="117.23"/>
    <n v="117.23"/>
    <n v="117.23"/>
    <n v="117.23"/>
    <n v="117.23"/>
    <n v="117.23"/>
  </r>
  <r>
    <s v="main"/>
    <x v="11"/>
    <n v="0"/>
    <n v="0"/>
    <n v="0"/>
    <n v="72.754999999999995"/>
    <n v="72.754999999999995"/>
    <n v="72.754999999999995"/>
    <n v="72.754999999999995"/>
    <n v="72.754999999999995"/>
    <n v="145.51"/>
    <n v="145.51"/>
    <n v="145.51"/>
    <n v="291.02"/>
    <n v="291.02"/>
    <n v="291.02"/>
    <n v="291.02"/>
    <n v="291.02"/>
    <n v="291.02"/>
  </r>
  <r>
    <s v="main"/>
    <x v="11"/>
    <n v="0"/>
    <n v="0"/>
    <n v="0"/>
    <n v="0"/>
    <n v="0"/>
    <n v="0"/>
    <n v="0"/>
    <n v="0"/>
    <n v="0"/>
    <n v="0"/>
    <n v="0"/>
    <n v="0"/>
    <n v="0"/>
    <n v="0"/>
    <n v="68.66"/>
    <n v="68.66"/>
    <n v="68.66"/>
  </r>
  <r>
    <s v="main"/>
    <x v="11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s v="main"/>
    <x v="11"/>
    <n v="0"/>
    <n v="0"/>
    <n v="0"/>
    <n v="130.29"/>
    <n v="130.29"/>
    <n v="130.29"/>
    <n v="130.29"/>
    <n v="130.29"/>
    <n v="130.29"/>
    <n v="130.29"/>
    <n v="130.29"/>
    <n v="130.29"/>
    <n v="130.29"/>
    <n v="130.29"/>
    <n v="130.29"/>
    <n v="130.29"/>
    <n v="130.29"/>
  </r>
  <r>
    <s v="main"/>
    <x v="11"/>
    <n v="0"/>
    <n v="0"/>
    <n v="0"/>
    <n v="148.41"/>
    <n v="148.41"/>
    <n v="148.41"/>
    <n v="148.41"/>
    <n v="148.41"/>
    <n v="148.41"/>
    <n v="148.41"/>
    <n v="148.41"/>
    <n v="148.41"/>
    <n v="148.41"/>
    <n v="148.41"/>
    <n v="148.41"/>
    <n v="148.41"/>
    <n v="148.41"/>
  </r>
  <r>
    <s v="main"/>
    <x v="11"/>
    <n v="0"/>
    <n v="0"/>
    <n v="0"/>
    <n v="129.52000000000001"/>
    <n v="129.52000000000001"/>
    <n v="129.52000000000001"/>
    <n v="129.52000000000001"/>
    <n v="129.52000000000001"/>
    <n v="129.52000000000001"/>
    <n v="129.52000000000001"/>
    <n v="129.52000000000001"/>
    <n v="129.52000000000001"/>
    <n v="129.52000000000001"/>
    <n v="129.52000000000001"/>
    <n v="129.52000000000001"/>
    <n v="129.52000000000001"/>
    <n v="129.52000000000001"/>
  </r>
  <r>
    <s v="main"/>
    <x v="11"/>
    <n v="0"/>
    <n v="0"/>
    <n v="0"/>
    <n v="84.94"/>
    <n v="84.94"/>
    <n v="84.94"/>
    <n v="84.94"/>
    <n v="84.94"/>
    <n v="84.94"/>
    <n v="84.94"/>
    <n v="84.94"/>
    <n v="84.94"/>
    <n v="84.94"/>
    <n v="84.94"/>
    <n v="84.94"/>
    <n v="84.94"/>
    <n v="84.94"/>
  </r>
  <r>
    <s v="main"/>
    <x v="11"/>
    <n v="0"/>
    <n v="0"/>
    <n v="0"/>
    <n v="206.4"/>
    <n v="206.4"/>
    <n v="206.4"/>
    <n v="206.4"/>
    <n v="206.4"/>
    <n v="206.4"/>
    <n v="206.4"/>
    <n v="206.4"/>
    <n v="206.4"/>
    <n v="206.4"/>
    <n v="206.4"/>
    <n v="206.4"/>
    <n v="206.4"/>
    <n v="206.4"/>
  </r>
  <r>
    <s v="main"/>
    <x v="11"/>
    <n v="0"/>
    <n v="0"/>
    <n v="0"/>
    <n v="19.8"/>
    <n v="19.8"/>
    <n v="19.8"/>
    <n v="19.8"/>
    <n v="19.8"/>
    <n v="19.8"/>
    <n v="19.8"/>
    <n v="19.8"/>
    <n v="19.8"/>
    <n v="19.8"/>
    <n v="19.8"/>
    <n v="19.8"/>
    <n v="19.8"/>
    <n v="19.8"/>
  </r>
  <r>
    <s v="main"/>
    <x v="11"/>
    <n v="0"/>
    <n v="0"/>
    <n v="0"/>
    <n v="133.6"/>
    <n v="133.6"/>
    <n v="133.6"/>
    <n v="133.6"/>
    <n v="133.6"/>
    <n v="133.6"/>
    <n v="133.6"/>
    <n v="133.6"/>
    <n v="133.6"/>
    <n v="133.6"/>
    <n v="133.6"/>
    <n v="133.6"/>
    <n v="133.6"/>
    <n v="133.6"/>
  </r>
  <r>
    <s v="upper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1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1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1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1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0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0"/>
    <n v="0"/>
    <n v="0"/>
    <n v="0"/>
    <n v="0"/>
    <n v="511.18"/>
    <n v="511.18"/>
    <n v="511.18"/>
    <n v="511.18"/>
    <n v="511.18"/>
    <n v="511.18"/>
    <n v="511.18"/>
    <n v="511.18"/>
    <n v="511.18"/>
    <n v="511.18"/>
    <n v="511.18"/>
    <n v="511.18"/>
    <n v="511.18"/>
  </r>
  <r>
    <s v="upper"/>
    <x v="10"/>
    <n v="0"/>
    <n v="0"/>
    <n v="0"/>
    <n v="348.17250000000001"/>
    <n v="348.17250000000001"/>
    <n v="348.17250000000001"/>
    <n v="348.17250000000001"/>
    <n v="348.17250000000001"/>
    <n v="696.34500000000003"/>
    <n v="696.34500000000003"/>
    <n v="696.34500000000003"/>
    <n v="1392.69"/>
    <n v="1392.69"/>
    <n v="1392.69"/>
    <n v="1392.69"/>
    <n v="1392.69"/>
    <n v="1392.69"/>
  </r>
  <r>
    <s v="upper"/>
    <x v="10"/>
    <n v="0"/>
    <n v="0"/>
    <n v="0"/>
    <n v="59.32"/>
    <n v="59.32"/>
    <n v="59.32"/>
    <n v="59.32"/>
    <n v="59.32"/>
    <n v="59.32"/>
    <n v="59.32"/>
    <n v="59.32"/>
    <n v="59.32"/>
    <n v="59.32"/>
    <n v="59.32"/>
    <n v="59.32"/>
    <n v="59.32"/>
    <n v="59.32"/>
  </r>
  <r>
    <s v="upper"/>
    <x v="10"/>
    <n v="0"/>
    <n v="0"/>
    <n v="0"/>
    <n v="333.81"/>
    <n v="333.81"/>
    <n v="333.81"/>
    <n v="333.81"/>
    <n v="333.81"/>
    <n v="333.81"/>
    <n v="333.81"/>
    <n v="333.81"/>
    <n v="333.81"/>
    <n v="333.81"/>
    <n v="333.81"/>
    <n v="333.81"/>
    <n v="333.81"/>
    <n v="333.81"/>
  </r>
  <r>
    <s v="upper"/>
    <x v="10"/>
    <n v="0"/>
    <n v="0"/>
    <n v="0"/>
    <n v="147.12"/>
    <n v="147.12"/>
    <n v="147.12"/>
    <n v="147.12"/>
    <n v="147.12"/>
    <n v="294.24"/>
    <n v="294.24"/>
    <n v="294.24"/>
    <n v="588.48"/>
    <n v="588.48"/>
    <n v="588.48"/>
    <n v="588.48"/>
    <n v="588.48"/>
    <n v="588.48"/>
  </r>
  <r>
    <s v="upper"/>
    <x v="10"/>
    <n v="0"/>
    <n v="0"/>
    <n v="0"/>
    <n v="0"/>
    <n v="0"/>
    <n v="0"/>
    <n v="0"/>
    <n v="0"/>
    <n v="0"/>
    <n v="0"/>
    <n v="0"/>
    <n v="0"/>
    <n v="0"/>
    <n v="0"/>
    <n v="138.85"/>
    <n v="138.85"/>
    <n v="138.85"/>
  </r>
  <r>
    <s v="upper"/>
    <x v="10"/>
    <n v="0"/>
    <n v="0"/>
    <n v="0"/>
    <n v="152.07"/>
    <n v="152.07"/>
    <n v="152.07"/>
    <n v="152.07"/>
    <n v="152.07"/>
    <n v="152.07"/>
    <n v="152.07"/>
    <n v="152.07"/>
    <n v="152.07"/>
    <n v="152.07"/>
    <n v="152.07"/>
    <n v="152.07"/>
    <n v="152.07"/>
    <n v="152.07"/>
  </r>
  <r>
    <s v="upper"/>
    <x v="10"/>
    <n v="0"/>
    <n v="0"/>
    <n v="0"/>
    <n v="263.36"/>
    <n v="263.36"/>
    <n v="263.36"/>
    <n v="263.36"/>
    <n v="263.36"/>
    <n v="263.36"/>
    <n v="263.36"/>
    <n v="263.36"/>
    <n v="263.36"/>
    <n v="263.36"/>
    <n v="263.36"/>
    <n v="263.36"/>
    <n v="263.36"/>
    <n v="263.36"/>
  </r>
  <r>
    <s v="upper"/>
    <x v="10"/>
    <n v="0"/>
    <n v="0"/>
    <n v="0"/>
    <n v="300.08"/>
    <n v="300.08"/>
    <n v="300.08"/>
    <n v="300.08"/>
    <n v="300.08"/>
    <n v="300.08"/>
    <n v="300.08"/>
    <n v="300.08"/>
    <n v="300.08"/>
    <n v="300.08"/>
    <n v="300.08"/>
    <n v="300.08"/>
    <n v="300.08"/>
    <n v="300.08"/>
  </r>
  <r>
    <s v="upper"/>
    <x v="10"/>
    <n v="0"/>
    <n v="0"/>
    <n v="0"/>
    <n v="251.14"/>
    <n v="251.14"/>
    <n v="251.14"/>
    <n v="251.14"/>
    <n v="251.14"/>
    <n v="251.14"/>
    <n v="251.14"/>
    <n v="251.14"/>
    <n v="251.14"/>
    <n v="251.14"/>
    <n v="251.14"/>
    <n v="251.14"/>
    <n v="251.14"/>
    <n v="251.14"/>
  </r>
  <r>
    <s v="upper"/>
    <x v="10"/>
    <n v="0"/>
    <n v="0"/>
    <n v="0"/>
    <n v="164.66"/>
    <n v="164.66"/>
    <n v="164.66"/>
    <n v="164.66"/>
    <n v="164.66"/>
    <n v="164.66"/>
    <n v="164.66"/>
    <n v="164.66"/>
    <n v="164.66"/>
    <n v="164.66"/>
    <n v="164.66"/>
    <n v="164.66"/>
    <n v="164.66"/>
    <n v="164.66"/>
  </r>
  <r>
    <s v="upper"/>
    <x v="10"/>
    <n v="0"/>
    <n v="0"/>
    <n v="0"/>
    <n v="400.17"/>
    <n v="400.17"/>
    <n v="400.17"/>
    <n v="400.17"/>
    <n v="400.17"/>
    <n v="400.17"/>
    <n v="400.17"/>
    <n v="400.17"/>
    <n v="400.17"/>
    <n v="400.17"/>
    <n v="400.17"/>
    <n v="400.17"/>
    <n v="400.17"/>
    <n v="400.17"/>
  </r>
  <r>
    <s v="upper"/>
    <x v="10"/>
    <n v="0"/>
    <n v="0"/>
    <n v="0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</r>
  <r>
    <s v="upper"/>
    <x v="10"/>
    <n v="0"/>
    <n v="0"/>
    <n v="0"/>
    <n v="270.16000000000003"/>
    <n v="270.16000000000003"/>
    <n v="270.16000000000003"/>
    <n v="270.16000000000003"/>
    <n v="270.16000000000003"/>
    <n v="270.16000000000003"/>
    <n v="270.16000000000003"/>
    <n v="270.16000000000003"/>
    <n v="270.16000000000003"/>
    <n v="270.16000000000003"/>
    <n v="270.16000000000003"/>
    <n v="270.16000000000003"/>
    <n v="270.16000000000003"/>
    <n v="270.16000000000003"/>
  </r>
  <r>
    <s v="upper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1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1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1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1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0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0"/>
    <n v="0"/>
    <n v="0"/>
    <n v="0"/>
    <n v="0"/>
    <n v="341.84"/>
    <n v="341.84"/>
    <n v="341.84"/>
    <n v="341.84"/>
    <n v="341.84"/>
    <n v="341.84"/>
    <n v="341.84"/>
    <n v="341.84"/>
    <n v="341.84"/>
    <n v="341.84"/>
    <n v="341.84"/>
    <n v="341.84"/>
    <n v="341.84"/>
  </r>
  <r>
    <s v="upper"/>
    <x v="10"/>
    <n v="0"/>
    <n v="0"/>
    <n v="0"/>
    <n v="232.82749999999999"/>
    <n v="232.82749999999999"/>
    <n v="232.82749999999999"/>
    <n v="232.82749999999999"/>
    <n v="232.82749999999999"/>
    <n v="465.65499999999997"/>
    <n v="465.65499999999997"/>
    <n v="465.65499999999997"/>
    <n v="931.31"/>
    <n v="931.31"/>
    <n v="931.31"/>
    <n v="931.31"/>
    <n v="931.31"/>
    <n v="931.31"/>
  </r>
  <r>
    <s v="upper"/>
    <x v="10"/>
    <n v="0"/>
    <n v="0"/>
    <n v="0"/>
    <n v="39.68"/>
    <n v="39.68"/>
    <n v="39.68"/>
    <n v="39.68"/>
    <n v="39.68"/>
    <n v="39.68"/>
    <n v="39.68"/>
    <n v="39.68"/>
    <n v="39.68"/>
    <n v="39.68"/>
    <n v="39.68"/>
    <n v="39.68"/>
    <n v="39.68"/>
    <n v="39.68"/>
  </r>
  <r>
    <s v="upper"/>
    <x v="10"/>
    <n v="0"/>
    <n v="0"/>
    <n v="0"/>
    <n v="223.21"/>
    <n v="223.21"/>
    <n v="223.21"/>
    <n v="223.21"/>
    <n v="223.21"/>
    <n v="223.21"/>
    <n v="223.21"/>
    <n v="223.21"/>
    <n v="223.21"/>
    <n v="223.21"/>
    <n v="223.21"/>
    <n v="223.21"/>
    <n v="223.21"/>
    <n v="223.21"/>
  </r>
  <r>
    <s v="upper"/>
    <x v="10"/>
    <n v="0"/>
    <n v="0"/>
    <n v="0"/>
    <n v="66.09"/>
    <n v="66.09"/>
    <n v="66.09"/>
    <n v="66.09"/>
    <n v="66.09"/>
    <n v="132.18"/>
    <n v="132.18"/>
    <n v="132.18"/>
    <n v="264.36"/>
    <n v="264.36"/>
    <n v="264.36"/>
    <n v="264.36"/>
    <n v="264.36"/>
    <n v="264.36"/>
  </r>
  <r>
    <s v="upper"/>
    <x v="10"/>
    <n v="0"/>
    <n v="0"/>
    <n v="0"/>
    <n v="0"/>
    <n v="0"/>
    <n v="0"/>
    <n v="0"/>
    <n v="0"/>
    <n v="0"/>
    <n v="0"/>
    <n v="0"/>
    <n v="0"/>
    <n v="0"/>
    <n v="0"/>
    <n v="62.38"/>
    <n v="62.38"/>
    <n v="62.38"/>
  </r>
  <r>
    <s v="upper"/>
    <x v="10"/>
    <n v="0"/>
    <n v="0"/>
    <n v="0"/>
    <n v="68.31"/>
    <n v="68.31"/>
    <n v="68.31"/>
    <n v="68.31"/>
    <n v="68.31"/>
    <n v="68.31"/>
    <n v="68.31"/>
    <n v="68.31"/>
    <n v="68.31"/>
    <n v="68.31"/>
    <n v="68.31"/>
    <n v="68.31"/>
    <n v="68.31"/>
    <n v="68.31"/>
  </r>
  <r>
    <s v="upper"/>
    <x v="10"/>
    <n v="0"/>
    <n v="0"/>
    <n v="0"/>
    <n v="118.33"/>
    <n v="118.33"/>
    <n v="118.33"/>
    <n v="118.33"/>
    <n v="118.33"/>
    <n v="118.33"/>
    <n v="118.33"/>
    <n v="118.33"/>
    <n v="118.33"/>
    <n v="118.33"/>
    <n v="118.33"/>
    <n v="118.33"/>
    <n v="118.33"/>
    <n v="118.33"/>
  </r>
  <r>
    <s v="upper"/>
    <x v="10"/>
    <n v="0"/>
    <n v="0"/>
    <n v="0"/>
    <n v="134.84"/>
    <n v="134.84"/>
    <n v="134.84"/>
    <n v="134.84"/>
    <n v="134.84"/>
    <n v="134.84"/>
    <n v="134.84"/>
    <n v="134.84"/>
    <n v="134.84"/>
    <n v="134.84"/>
    <n v="134.84"/>
    <n v="134.84"/>
    <n v="134.84"/>
    <n v="134.84"/>
  </r>
  <r>
    <s v="upper"/>
    <x v="10"/>
    <n v="0"/>
    <n v="0"/>
    <n v="0"/>
    <n v="118.59"/>
    <n v="118.59"/>
    <n v="118.59"/>
    <n v="118.59"/>
    <n v="118.59"/>
    <n v="118.59"/>
    <n v="118.59"/>
    <n v="118.59"/>
    <n v="118.59"/>
    <n v="118.59"/>
    <n v="118.59"/>
    <n v="118.59"/>
    <n v="118.59"/>
    <n v="118.59"/>
  </r>
  <r>
    <s v="upper"/>
    <x v="10"/>
    <n v="0"/>
    <n v="0"/>
    <n v="0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</r>
  <r>
    <s v="upper"/>
    <x v="10"/>
    <n v="0"/>
    <n v="0"/>
    <n v="0"/>
    <n v="188.97"/>
    <n v="188.97"/>
    <n v="188.97"/>
    <n v="188.97"/>
    <n v="188.97"/>
    <n v="188.97"/>
    <n v="188.97"/>
    <n v="188.97"/>
    <n v="188.97"/>
    <n v="188.97"/>
    <n v="188.97"/>
    <n v="188.97"/>
    <n v="188.97"/>
    <n v="188.97"/>
  </r>
  <r>
    <s v="upper"/>
    <x v="10"/>
    <n v="0"/>
    <n v="0"/>
    <n v="0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</r>
  <r>
    <s v="upper"/>
    <x v="10"/>
    <n v="0"/>
    <n v="0"/>
    <n v="0"/>
    <n v="121.4"/>
    <n v="121.4"/>
    <n v="121.4"/>
    <n v="121.4"/>
    <n v="121.4"/>
    <n v="121.4"/>
    <n v="121.4"/>
    <n v="121.4"/>
    <n v="121.4"/>
    <n v="121.4"/>
    <n v="121.4"/>
    <n v="121.4"/>
    <n v="121.4"/>
    <n v="121.4"/>
  </r>
  <r>
    <s v="main"/>
    <x v="12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2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2"/>
    <n v="0"/>
    <n v="0"/>
    <n v="0"/>
    <n v="0"/>
    <n v="341.84"/>
    <n v="341.84"/>
    <n v="341.84"/>
    <n v="341.84"/>
    <n v="341.84"/>
    <n v="341.84"/>
    <n v="341.84"/>
    <n v="341.84"/>
    <n v="341.84"/>
    <n v="341.84"/>
    <n v="341.84"/>
    <n v="341.84"/>
    <n v="341.84"/>
  </r>
  <r>
    <s v="main"/>
    <x v="12"/>
    <n v="0"/>
    <n v="0"/>
    <n v="0"/>
    <n v="232.82749999999999"/>
    <n v="232.82749999999999"/>
    <n v="232.82749999999999"/>
    <n v="232.82749999999999"/>
    <n v="232.82749999999999"/>
    <n v="465.65499999999997"/>
    <n v="465.65499999999997"/>
    <n v="465.65499999999997"/>
    <n v="931.31"/>
    <n v="931.31"/>
    <n v="931.31"/>
    <n v="931.31"/>
    <n v="931.31"/>
    <n v="931.31"/>
  </r>
  <r>
    <s v="main"/>
    <x v="12"/>
    <n v="0"/>
    <n v="0"/>
    <n v="0"/>
    <n v="39.68"/>
    <n v="39.68"/>
    <n v="39.68"/>
    <n v="39.68"/>
    <n v="39.68"/>
    <n v="39.68"/>
    <n v="39.68"/>
    <n v="39.68"/>
    <n v="39.68"/>
    <n v="39.68"/>
    <n v="39.68"/>
    <n v="39.68"/>
    <n v="39.68"/>
    <n v="39.68"/>
  </r>
  <r>
    <s v="main"/>
    <x v="12"/>
    <n v="0"/>
    <n v="0"/>
    <n v="0"/>
    <n v="223.21"/>
    <n v="223.21"/>
    <n v="223.21"/>
    <n v="223.21"/>
    <n v="223.21"/>
    <n v="223.21"/>
    <n v="223.21"/>
    <n v="223.21"/>
    <n v="223.21"/>
    <n v="223.21"/>
    <n v="223.21"/>
    <n v="223.21"/>
    <n v="223.21"/>
    <n v="223.21"/>
  </r>
  <r>
    <s v="main"/>
    <x v="12"/>
    <n v="0"/>
    <n v="0"/>
    <n v="0"/>
    <n v="66.09"/>
    <n v="66.09"/>
    <n v="66.09"/>
    <n v="66.09"/>
    <n v="66.09"/>
    <n v="132.18"/>
    <n v="132.18"/>
    <n v="132.18"/>
    <n v="264.36"/>
    <n v="264.36"/>
    <n v="264.36"/>
    <n v="264.36"/>
    <n v="264.36"/>
    <n v="264.36"/>
  </r>
  <r>
    <s v="main"/>
    <x v="12"/>
    <n v="0"/>
    <n v="0"/>
    <n v="0"/>
    <n v="0"/>
    <n v="0"/>
    <n v="0"/>
    <n v="0"/>
    <n v="0"/>
    <n v="0"/>
    <n v="0"/>
    <n v="0"/>
    <n v="0"/>
    <n v="0"/>
    <n v="0"/>
    <n v="62.38"/>
    <n v="62.38"/>
    <n v="62.38"/>
  </r>
  <r>
    <s v="main"/>
    <x v="12"/>
    <n v="0"/>
    <n v="0"/>
    <n v="0"/>
    <n v="68.31"/>
    <n v="68.31"/>
    <n v="68.31"/>
    <n v="68.31"/>
    <n v="68.31"/>
    <n v="68.31"/>
    <n v="68.31"/>
    <n v="68.31"/>
    <n v="68.31"/>
    <n v="68.31"/>
    <n v="68.31"/>
    <n v="68.31"/>
    <n v="68.31"/>
    <n v="68.31"/>
  </r>
  <r>
    <s v="main"/>
    <x v="12"/>
    <n v="0"/>
    <n v="0"/>
    <n v="0"/>
    <n v="118.33"/>
    <n v="118.33"/>
    <n v="118.33"/>
    <n v="118.33"/>
    <n v="118.33"/>
    <n v="118.33"/>
    <n v="118.33"/>
    <n v="118.33"/>
    <n v="118.33"/>
    <n v="118.33"/>
    <n v="118.33"/>
    <n v="118.33"/>
    <n v="118.33"/>
    <n v="118.33"/>
  </r>
  <r>
    <s v="main"/>
    <x v="12"/>
    <n v="0"/>
    <n v="0"/>
    <n v="0"/>
    <n v="134.84"/>
    <n v="134.84"/>
    <n v="134.84"/>
    <n v="134.84"/>
    <n v="134.84"/>
    <n v="134.84"/>
    <n v="134.84"/>
    <n v="134.84"/>
    <n v="134.84"/>
    <n v="134.84"/>
    <n v="134.84"/>
    <n v="134.84"/>
    <n v="134.84"/>
    <n v="134.84"/>
  </r>
  <r>
    <s v="main"/>
    <x v="12"/>
    <n v="0"/>
    <n v="0"/>
    <n v="0"/>
    <n v="118.59"/>
    <n v="118.59"/>
    <n v="118.59"/>
    <n v="118.59"/>
    <n v="118.59"/>
    <n v="118.59"/>
    <n v="118.59"/>
    <n v="118.59"/>
    <n v="118.59"/>
    <n v="118.59"/>
    <n v="118.59"/>
    <n v="118.59"/>
    <n v="118.59"/>
    <n v="118.59"/>
  </r>
  <r>
    <s v="main"/>
    <x v="12"/>
    <n v="0"/>
    <n v="0"/>
    <n v="0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</r>
  <r>
    <s v="main"/>
    <x v="12"/>
    <n v="0"/>
    <n v="0"/>
    <n v="0"/>
    <n v="188.97"/>
    <n v="188.97"/>
    <n v="188.97"/>
    <n v="188.97"/>
    <n v="188.97"/>
    <n v="188.97"/>
    <n v="188.97"/>
    <n v="188.97"/>
    <n v="188.97"/>
    <n v="188.97"/>
    <n v="188.97"/>
    <n v="188.97"/>
    <n v="188.97"/>
    <n v="188.97"/>
  </r>
  <r>
    <s v="main"/>
    <x v="12"/>
    <n v="0"/>
    <n v="0"/>
    <n v="0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</r>
  <r>
    <s v="main"/>
    <x v="12"/>
    <n v="0"/>
    <n v="0"/>
    <n v="0"/>
    <n v="121.4"/>
    <n v="121.4"/>
    <n v="121.4"/>
    <n v="121.4"/>
    <n v="121.4"/>
    <n v="121.4"/>
    <n v="121.4"/>
    <n v="121.4"/>
    <n v="121.4"/>
    <n v="121.4"/>
    <n v="121.4"/>
    <n v="121.4"/>
    <n v="121.4"/>
    <n v="121.4"/>
  </r>
  <r>
    <s v="main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578.6"/>
    <n v="578.6"/>
    <n v="578.6"/>
    <n v="578.6"/>
    <n v="578.6"/>
    <n v="578.6"/>
    <n v="578.6"/>
    <n v="578.6"/>
    <n v="578.6"/>
    <n v="578.6"/>
    <n v="578.6"/>
    <n v="578.6"/>
    <n v="578.6"/>
  </r>
  <r>
    <s v="main"/>
    <x v="9"/>
    <n v="0"/>
    <n v="0"/>
    <n v="0"/>
    <n v="394.09"/>
    <n v="394.09"/>
    <n v="394.09"/>
    <n v="394.09"/>
    <n v="394.09"/>
    <n v="788.18"/>
    <n v="788.18"/>
    <n v="788.18"/>
    <n v="1576.36"/>
    <n v="1576.36"/>
    <n v="1576.36"/>
    <n v="1576.36"/>
    <n v="1576.36"/>
    <n v="1576.36"/>
  </r>
  <r>
    <s v="main"/>
    <x v="9"/>
    <n v="0"/>
    <n v="0"/>
    <n v="0"/>
    <n v="67.17"/>
    <n v="67.17"/>
    <n v="67.17"/>
    <n v="67.17"/>
    <n v="67.17"/>
    <n v="67.17"/>
    <n v="67.17"/>
    <n v="67.17"/>
    <n v="67.17"/>
    <n v="67.17"/>
    <n v="67.17"/>
    <n v="67.17"/>
    <n v="67.17"/>
    <n v="67.17"/>
  </r>
  <r>
    <s v="main"/>
    <x v="9"/>
    <n v="0"/>
    <n v="0"/>
    <n v="0"/>
    <n v="377.86"/>
    <n v="377.86"/>
    <n v="377.86"/>
    <n v="377.86"/>
    <n v="377.86"/>
    <n v="377.86"/>
    <n v="377.86"/>
    <n v="377.86"/>
    <n v="377.86"/>
    <n v="377.86"/>
    <n v="377.86"/>
    <n v="377.86"/>
    <n v="377.86"/>
    <n v="377.86"/>
  </r>
  <r>
    <s v="main"/>
    <x v="9"/>
    <n v="0"/>
    <n v="0"/>
    <n v="0"/>
    <n v="183.47749999999999"/>
    <n v="183.47749999999999"/>
    <n v="183.47749999999999"/>
    <n v="183.47749999999999"/>
    <n v="183.47749999999999"/>
    <n v="366.95499999999998"/>
    <n v="366.95499999999998"/>
    <n v="366.95499999999998"/>
    <n v="733.91"/>
    <n v="733.91"/>
    <n v="733.91"/>
    <n v="733.91"/>
    <n v="733.91"/>
    <n v="733.91"/>
  </r>
  <r>
    <s v="main"/>
    <x v="9"/>
    <n v="0"/>
    <n v="0"/>
    <n v="0"/>
    <n v="0"/>
    <n v="0"/>
    <n v="0"/>
    <n v="0"/>
    <n v="0"/>
    <n v="0"/>
    <n v="0"/>
    <n v="0"/>
    <n v="0"/>
    <n v="0"/>
    <n v="0"/>
    <n v="173.17"/>
    <n v="173.17"/>
    <n v="173.17"/>
  </r>
  <r>
    <s v="main"/>
    <x v="9"/>
    <n v="0"/>
    <n v="0"/>
    <n v="0"/>
    <n v="189.67"/>
    <n v="189.67"/>
    <n v="189.67"/>
    <n v="189.67"/>
    <n v="189.67"/>
    <n v="189.67"/>
    <n v="189.67"/>
    <n v="189.67"/>
    <n v="189.67"/>
    <n v="189.67"/>
    <n v="189.67"/>
    <n v="189.67"/>
    <n v="189.67"/>
    <n v="189.67"/>
  </r>
  <r>
    <s v="main"/>
    <x v="9"/>
    <n v="0"/>
    <n v="0"/>
    <n v="0"/>
    <n v="328.43"/>
    <n v="328.43"/>
    <n v="328.43"/>
    <n v="328.43"/>
    <n v="328.43"/>
    <n v="328.43"/>
    <n v="328.43"/>
    <n v="328.43"/>
    <n v="328.43"/>
    <n v="328.43"/>
    <n v="328.43"/>
    <n v="328.43"/>
    <n v="328.43"/>
    <n v="328.43"/>
  </r>
  <r>
    <s v="main"/>
    <x v="9"/>
    <n v="0"/>
    <n v="0"/>
    <n v="0"/>
    <n v="374.25"/>
    <n v="374.25"/>
    <n v="374.25"/>
    <n v="374.25"/>
    <n v="374.25"/>
    <n v="374.25"/>
    <n v="374.25"/>
    <n v="374.25"/>
    <n v="374.25"/>
    <n v="374.25"/>
    <n v="374.25"/>
    <n v="374.25"/>
    <n v="374.25"/>
    <n v="374.25"/>
  </r>
  <r>
    <s v="main"/>
    <x v="9"/>
    <n v="0"/>
    <n v="0"/>
    <n v="0"/>
    <n v="310.64"/>
    <n v="310.64"/>
    <n v="310.64"/>
    <n v="310.64"/>
    <n v="310.64"/>
    <n v="310.64"/>
    <n v="310.64"/>
    <n v="310.64"/>
    <n v="310.64"/>
    <n v="310.64"/>
    <n v="310.64"/>
    <n v="310.64"/>
    <n v="310.64"/>
    <n v="310.64"/>
  </r>
  <r>
    <s v="main"/>
    <x v="9"/>
    <n v="0"/>
    <n v="0"/>
    <n v="0"/>
    <n v="203.67"/>
    <n v="203.67"/>
    <n v="203.67"/>
    <n v="203.67"/>
    <n v="203.67"/>
    <n v="203.67"/>
    <n v="203.67"/>
    <n v="203.67"/>
    <n v="203.67"/>
    <n v="203.67"/>
    <n v="203.67"/>
    <n v="203.67"/>
    <n v="203.67"/>
    <n v="203.67"/>
  </r>
  <r>
    <s v="main"/>
    <x v="9"/>
    <n v="0"/>
    <n v="0"/>
    <n v="0"/>
    <n v="494.97"/>
    <n v="494.97"/>
    <n v="494.97"/>
    <n v="494.97"/>
    <n v="494.97"/>
    <n v="494.97"/>
    <n v="494.97"/>
    <n v="494.97"/>
    <n v="494.97"/>
    <n v="494.97"/>
    <n v="494.97"/>
    <n v="494.97"/>
    <n v="494.97"/>
    <n v="494.97"/>
  </r>
  <r>
    <s v="main"/>
    <x v="9"/>
    <n v="0"/>
    <n v="0"/>
    <n v="0"/>
    <n v="49.94"/>
    <n v="49.94"/>
    <n v="49.94"/>
    <n v="49.94"/>
    <n v="49.94"/>
    <n v="49.94"/>
    <n v="49.94"/>
    <n v="49.94"/>
    <n v="49.94"/>
    <n v="49.94"/>
    <n v="49.94"/>
    <n v="49.94"/>
    <n v="49.94"/>
    <n v="49.94"/>
  </r>
  <r>
    <s v="main"/>
    <x v="9"/>
    <n v="0"/>
    <n v="0"/>
    <n v="0"/>
    <n v="336.94"/>
    <n v="336.94"/>
    <n v="336.94"/>
    <n v="336.94"/>
    <n v="336.94"/>
    <n v="336.94"/>
    <n v="336.94"/>
    <n v="336.94"/>
    <n v="336.94"/>
    <n v="336.94"/>
    <n v="336.94"/>
    <n v="336.94"/>
    <n v="336.94"/>
    <n v="336.94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upper"/>
    <x v="13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13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upper"/>
    <x v="13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13"/>
    <n v="0"/>
    <n v="0"/>
    <n v="0"/>
    <n v="0"/>
    <n v="357.5"/>
    <n v="357.5"/>
    <n v="357.5"/>
    <n v="357.5"/>
    <n v="357.5"/>
    <n v="357.5"/>
    <n v="357.5"/>
    <n v="357.5"/>
    <n v="357.5"/>
    <n v="357.5"/>
    <n v="357.5"/>
    <n v="357.5"/>
    <n v="357.5"/>
  </r>
  <r>
    <s v="upper"/>
    <x v="13"/>
    <n v="0"/>
    <n v="0"/>
    <n v="0"/>
    <n v="243.505"/>
    <n v="243.505"/>
    <n v="243.505"/>
    <n v="243.505"/>
    <n v="243.505"/>
    <n v="487.01"/>
    <n v="487.01"/>
    <n v="487.01"/>
    <n v="974.02"/>
    <n v="974.02"/>
    <n v="974.02"/>
    <n v="974.02"/>
    <n v="974.02"/>
    <n v="974.02"/>
  </r>
  <r>
    <s v="upper"/>
    <x v="13"/>
    <n v="0"/>
    <n v="0"/>
    <n v="0"/>
    <n v="41.5"/>
    <n v="41.5"/>
    <n v="41.5"/>
    <n v="41.5"/>
    <n v="41.5"/>
    <n v="41.5"/>
    <n v="41.5"/>
    <n v="41.5"/>
    <n v="41.5"/>
    <n v="41.5"/>
    <n v="41.5"/>
    <n v="41.5"/>
    <n v="41.5"/>
    <n v="41.5"/>
  </r>
  <r>
    <s v="upper"/>
    <x v="13"/>
    <n v="0"/>
    <n v="0"/>
    <n v="0"/>
    <n v="233.48"/>
    <n v="233.48"/>
    <n v="233.48"/>
    <n v="233.48"/>
    <n v="233.48"/>
    <n v="233.48"/>
    <n v="233.48"/>
    <n v="233.48"/>
    <n v="233.48"/>
    <n v="233.48"/>
    <n v="233.48"/>
    <n v="233.48"/>
    <n v="233.48"/>
    <n v="233.48"/>
  </r>
  <r>
    <s v="upper"/>
    <x v="13"/>
    <n v="0"/>
    <n v="0"/>
    <n v="0"/>
    <n v="58.94"/>
    <n v="58.94"/>
    <n v="58.94"/>
    <n v="58.94"/>
    <n v="58.94"/>
    <n v="117.88"/>
    <n v="117.88"/>
    <n v="117.88"/>
    <n v="235.76"/>
    <n v="235.76"/>
    <n v="235.76"/>
    <n v="235.76"/>
    <n v="235.76"/>
    <n v="235.76"/>
  </r>
  <r>
    <s v="upper"/>
    <x v="13"/>
    <n v="0"/>
    <n v="0"/>
    <n v="0"/>
    <n v="0"/>
    <n v="0"/>
    <n v="0"/>
    <n v="0"/>
    <n v="0"/>
    <n v="0"/>
    <n v="0"/>
    <n v="0"/>
    <n v="0"/>
    <n v="0"/>
    <n v="0"/>
    <n v="55.64"/>
    <n v="55.64"/>
    <n v="55.64"/>
  </r>
  <r>
    <s v="upper"/>
    <x v="13"/>
    <n v="0"/>
    <n v="0"/>
    <n v="0"/>
    <n v="60.93"/>
    <n v="60.93"/>
    <n v="60.93"/>
    <n v="60.93"/>
    <n v="60.93"/>
    <n v="60.93"/>
    <n v="60.93"/>
    <n v="60.93"/>
    <n v="60.93"/>
    <n v="60.93"/>
    <n v="60.93"/>
    <n v="60.93"/>
    <n v="60.93"/>
    <n v="60.93"/>
  </r>
  <r>
    <s v="upper"/>
    <x v="13"/>
    <n v="0"/>
    <n v="0"/>
    <n v="0"/>
    <n v="105.49"/>
    <n v="105.49"/>
    <n v="105.49"/>
    <n v="105.49"/>
    <n v="105.49"/>
    <n v="105.49"/>
    <n v="105.49"/>
    <n v="105.49"/>
    <n v="105.49"/>
    <n v="105.49"/>
    <n v="105.49"/>
    <n v="105.49"/>
    <n v="105.49"/>
    <n v="105.49"/>
  </r>
  <r>
    <s v="upper"/>
    <x v="13"/>
    <n v="0"/>
    <n v="0"/>
    <n v="0"/>
    <n v="120.21"/>
    <n v="120.21"/>
    <n v="120.21"/>
    <n v="120.21"/>
    <n v="120.21"/>
    <n v="120.21"/>
    <n v="120.21"/>
    <n v="120.21"/>
    <n v="120.21"/>
    <n v="120.21"/>
    <n v="120.21"/>
    <n v="120.21"/>
    <n v="120.21"/>
    <n v="120.21"/>
  </r>
  <r>
    <s v="upper"/>
    <x v="13"/>
    <n v="0"/>
    <n v="0"/>
    <n v="0"/>
    <n v="106.93"/>
    <n v="106.93"/>
    <n v="106.93"/>
    <n v="106.93"/>
    <n v="106.93"/>
    <n v="106.93"/>
    <n v="106.93"/>
    <n v="106.93"/>
    <n v="106.93"/>
    <n v="106.93"/>
    <n v="106.93"/>
    <n v="106.93"/>
    <n v="106.93"/>
    <n v="106.93"/>
  </r>
  <r>
    <s v="upper"/>
    <x v="13"/>
    <n v="0"/>
    <n v="0"/>
    <n v="0"/>
    <n v="70.11"/>
    <n v="70.11"/>
    <n v="70.11"/>
    <n v="70.11"/>
    <n v="70.11"/>
    <n v="70.11"/>
    <n v="70.11"/>
    <n v="70.11"/>
    <n v="70.11"/>
    <n v="70.11"/>
    <n v="70.11"/>
    <n v="70.11"/>
    <n v="70.11"/>
    <n v="70.11"/>
  </r>
  <r>
    <s v="upper"/>
    <x v="13"/>
    <n v="0"/>
    <n v="0"/>
    <n v="0"/>
    <n v="170.38"/>
    <n v="170.38"/>
    <n v="170.38"/>
    <n v="170.38"/>
    <n v="170.38"/>
    <n v="170.38"/>
    <n v="170.38"/>
    <n v="170.38"/>
    <n v="170.38"/>
    <n v="170.38"/>
    <n v="170.38"/>
    <n v="170.38"/>
    <n v="170.38"/>
    <n v="170.38"/>
  </r>
  <r>
    <s v="upper"/>
    <x v="13"/>
    <n v="0"/>
    <n v="0"/>
    <n v="0"/>
    <n v="16.05"/>
    <n v="16.05"/>
    <n v="16.05"/>
    <n v="16.05"/>
    <n v="16.05"/>
    <n v="16.05"/>
    <n v="16.05"/>
    <n v="16.05"/>
    <n v="16.05"/>
    <n v="16.05"/>
    <n v="16.05"/>
    <n v="16.05"/>
    <n v="16.05"/>
    <n v="16.05"/>
  </r>
  <r>
    <s v="upper"/>
    <x v="13"/>
    <n v="0"/>
    <n v="0"/>
    <n v="0"/>
    <n v="108.22"/>
    <n v="108.22"/>
    <n v="108.22"/>
    <n v="108.22"/>
    <n v="108.22"/>
    <n v="108.22"/>
    <n v="108.22"/>
    <n v="108.22"/>
    <n v="108.22"/>
    <n v="108.22"/>
    <n v="108.22"/>
    <n v="108.22"/>
    <n v="108.22"/>
    <n v="108.22"/>
  </r>
  <r>
    <s v="main"/>
    <x v="14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4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4"/>
    <n v="0"/>
    <n v="0"/>
    <n v="0"/>
    <n v="0"/>
    <n v="511.18"/>
    <n v="511.18"/>
    <n v="511.18"/>
    <n v="511.18"/>
    <n v="511.18"/>
    <n v="511.18"/>
    <n v="511.18"/>
    <n v="511.18"/>
    <n v="511.18"/>
    <n v="511.18"/>
    <n v="511.18"/>
    <n v="511.18"/>
    <n v="511.18"/>
  </r>
  <r>
    <s v="main"/>
    <x v="14"/>
    <n v="0"/>
    <n v="0"/>
    <n v="0"/>
    <n v="348.17250000000001"/>
    <n v="348.17250000000001"/>
    <n v="348.17250000000001"/>
    <n v="348.17250000000001"/>
    <n v="348.17250000000001"/>
    <n v="696.34500000000003"/>
    <n v="696.34500000000003"/>
    <n v="696.34500000000003"/>
    <n v="1392.69"/>
    <n v="1392.69"/>
    <n v="1392.69"/>
    <n v="1392.69"/>
    <n v="1392.69"/>
    <n v="1392.69"/>
  </r>
  <r>
    <s v="main"/>
    <x v="14"/>
    <n v="0"/>
    <n v="0"/>
    <n v="0"/>
    <n v="59.32"/>
    <n v="59.32"/>
    <n v="59.32"/>
    <n v="59.32"/>
    <n v="59.32"/>
    <n v="59.32"/>
    <n v="59.32"/>
    <n v="59.32"/>
    <n v="59.32"/>
    <n v="59.32"/>
    <n v="59.32"/>
    <n v="59.32"/>
    <n v="59.32"/>
    <n v="59.32"/>
  </r>
  <r>
    <s v="main"/>
    <x v="14"/>
    <n v="0"/>
    <n v="0"/>
    <n v="0"/>
    <n v="333.81"/>
    <n v="333.81"/>
    <n v="333.81"/>
    <n v="333.81"/>
    <n v="333.81"/>
    <n v="333.81"/>
    <n v="333.81"/>
    <n v="333.81"/>
    <n v="333.81"/>
    <n v="333.81"/>
    <n v="333.81"/>
    <n v="333.81"/>
    <n v="333.81"/>
    <n v="333.81"/>
  </r>
  <r>
    <s v="main"/>
    <x v="14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s v="main"/>
    <x v="14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s v="main"/>
    <x v="14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s v="main"/>
    <x v="14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s v="main"/>
    <x v="14"/>
    <n v="0"/>
    <n v="0"/>
    <n v="0"/>
    <n v="289.12"/>
    <n v="289.12"/>
    <n v="289.12"/>
    <n v="289.12"/>
    <n v="289.12"/>
    <n v="289.12"/>
    <n v="289.12"/>
    <n v="289.12"/>
    <n v="289.12"/>
    <n v="289.12"/>
    <n v="289.12"/>
    <n v="289.12"/>
    <n v="289.12"/>
    <n v="289.12"/>
  </r>
  <r>
    <s v="main"/>
    <x v="14"/>
    <n v="0"/>
    <n v="0"/>
    <n v="0"/>
    <n v="242.37"/>
    <n v="242.37"/>
    <n v="242.37"/>
    <n v="242.37"/>
    <n v="242.37"/>
    <n v="242.37"/>
    <n v="242.37"/>
    <n v="242.37"/>
    <n v="242.37"/>
    <n v="242.37"/>
    <n v="242.37"/>
    <n v="242.37"/>
    <n v="242.37"/>
    <n v="242.37"/>
  </r>
  <r>
    <s v="main"/>
    <x v="14"/>
    <n v="0"/>
    <n v="0"/>
    <n v="0"/>
    <n v="158.9"/>
    <n v="158.9"/>
    <n v="158.9"/>
    <n v="158.9"/>
    <n v="158.9"/>
    <n v="158.9"/>
    <n v="158.9"/>
    <n v="158.9"/>
    <n v="158.9"/>
    <n v="158.9"/>
    <n v="158.9"/>
    <n v="158.9"/>
    <n v="158.9"/>
    <n v="158.9"/>
  </r>
  <r>
    <s v="main"/>
    <x v="14"/>
    <n v="0"/>
    <n v="0"/>
    <n v="0"/>
    <n v="386.17"/>
    <n v="386.17"/>
    <n v="386.17"/>
    <n v="386.17"/>
    <n v="386.17"/>
    <n v="386.17"/>
    <n v="386.17"/>
    <n v="386.17"/>
    <n v="386.17"/>
    <n v="386.17"/>
    <n v="386.17"/>
    <n v="386.17"/>
    <n v="386.17"/>
    <n v="386.17"/>
  </r>
  <r>
    <s v="main"/>
    <x v="14"/>
    <n v="0"/>
    <n v="0"/>
    <n v="0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</r>
  <r>
    <s v="main"/>
    <x v="14"/>
    <n v="0"/>
    <n v="0"/>
    <n v="0"/>
    <n v="260.31"/>
    <n v="260.31"/>
    <n v="260.31"/>
    <n v="260.31"/>
    <n v="260.31"/>
    <n v="260.31"/>
    <n v="260.31"/>
    <n v="260.31"/>
    <n v="260.31"/>
    <n v="260.31"/>
    <n v="260.31"/>
    <n v="260.31"/>
    <n v="260.31"/>
    <n v="260.3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7">
  <r>
    <x v="0"/>
    <s v="general-split"/>
    <n v="0"/>
    <n v="0"/>
    <n v="0"/>
    <n v="0"/>
    <n v="0"/>
    <n v="0"/>
    <n v="0"/>
    <n v="0"/>
    <n v="0"/>
    <n v="0"/>
    <n v="0"/>
    <n v="168"/>
    <n v="168"/>
    <n v="168"/>
    <n v="168"/>
    <n v="168"/>
    <n v="168"/>
  </r>
  <r>
    <x v="0"/>
    <s v="general-split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129.5575"/>
    <n v="129.5575"/>
    <n v="259.11500000000001"/>
    <n v="259.11500000000001"/>
    <n v="518.23"/>
    <n v="518.23"/>
    <n v="518.23"/>
    <n v="518.23"/>
    <n v="518.23"/>
  </r>
  <r>
    <x v="0"/>
    <s v="general-split"/>
    <n v="0"/>
    <n v="0"/>
    <n v="0"/>
    <n v="0"/>
    <n v="0"/>
    <n v="0"/>
    <n v="0"/>
    <n v="0"/>
    <n v="687.15"/>
    <n v="687.15"/>
    <n v="1374.3"/>
    <n v="1374.3"/>
    <n v="2748.6"/>
    <n v="2748.6"/>
    <n v="2748.6"/>
    <n v="2748.6"/>
    <n v="2748.6"/>
  </r>
  <r>
    <x v="0"/>
    <s v="general-split"/>
    <n v="0"/>
    <n v="0"/>
    <n v="0"/>
    <n v="0"/>
    <n v="55.432000000000009"/>
    <n v="55.432000000000009"/>
    <n v="110.86400000000002"/>
    <n v="110.86400000000002"/>
    <n v="110.86400000000002"/>
    <n v="166.29600000000002"/>
    <n v="166.29600000000002"/>
    <n v="277.16000000000003"/>
    <n v="554.32000000000005"/>
    <n v="554.32000000000005"/>
    <n v="554.32000000000005"/>
    <n v="554.32000000000005"/>
    <n v="554.32000000000005"/>
  </r>
  <r>
    <x v="1"/>
    <s v="general-mechanical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x v="0"/>
    <s v="general-split"/>
    <n v="0"/>
    <n v="0"/>
    <n v="0"/>
    <n v="0"/>
    <n v="0"/>
    <n v="0"/>
    <n v="0"/>
    <n v="0"/>
    <n v="0"/>
    <n v="0"/>
    <n v="0"/>
    <n v="213.12"/>
    <n v="213.12"/>
    <n v="213.12"/>
    <n v="213.12"/>
    <n v="213.12"/>
    <n v="213.12"/>
  </r>
  <r>
    <x v="0"/>
    <s v="general-split"/>
    <n v="0"/>
    <n v="0"/>
    <n v="0"/>
    <n v="0"/>
    <n v="0"/>
    <n v="0"/>
    <n v="0"/>
    <n v="0"/>
    <n v="0"/>
    <n v="0"/>
    <n v="0"/>
    <n v="554.4"/>
    <n v="554.4"/>
    <n v="554.4"/>
    <n v="554.4"/>
    <n v="554.4"/>
    <n v="554.4"/>
  </r>
  <r>
    <x v="0"/>
    <s v="general-split"/>
    <n v="0"/>
    <n v="0"/>
    <n v="0"/>
    <n v="0"/>
    <n v="244.6"/>
    <n v="244.6"/>
    <n v="244.6"/>
    <n v="244.6"/>
    <n v="244.6"/>
    <n v="244.6"/>
    <n v="244.6"/>
    <n v="244.6"/>
    <n v="244.6"/>
    <n v="244.6"/>
    <n v="244.6"/>
    <n v="244.6"/>
    <n v="244.6"/>
  </r>
  <r>
    <x v="0"/>
    <s v="general-split"/>
    <n v="0"/>
    <n v="0"/>
    <n v="0"/>
    <n v="166.61"/>
    <n v="166.61"/>
    <n v="166.61"/>
    <n v="166.61"/>
    <n v="166.61"/>
    <n v="333.22"/>
    <n v="333.22"/>
    <n v="333.22"/>
    <n v="666.44"/>
    <n v="666.44"/>
    <n v="666.44"/>
    <n v="666.44"/>
    <n v="666.44"/>
    <n v="666.44"/>
  </r>
  <r>
    <x v="0"/>
    <s v="general-split"/>
    <n v="0"/>
    <n v="0"/>
    <n v="0"/>
    <n v="0"/>
    <n v="0"/>
    <n v="0"/>
    <n v="0"/>
    <n v="0"/>
    <n v="0"/>
    <n v="0"/>
    <n v="0"/>
    <n v="115.1"/>
    <n v="115.1"/>
    <n v="115.1"/>
    <n v="115.1"/>
    <n v="115.1"/>
    <n v="115.1"/>
  </r>
  <r>
    <x v="0"/>
    <s v="general-split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94.727500000000006"/>
    <n v="94.727500000000006"/>
    <n v="94.727500000000006"/>
    <n v="94.727500000000006"/>
    <n v="378.91"/>
    <n v="378.91"/>
    <n v="378.91"/>
    <n v="378.91"/>
    <n v="378.91"/>
    <n v="378.91"/>
    <n v="378.91"/>
    <n v="378.91"/>
    <n v="378.91"/>
    <n v="378.91"/>
  </r>
  <r>
    <x v="2"/>
    <s v="general-main"/>
    <n v="0"/>
    <n v="1712.6241000000002"/>
    <n v="1712.6241000000002"/>
    <n v="2140.7801250000002"/>
    <n v="2140.7801250000002"/>
    <n v="2140.7801250000002"/>
    <n v="2140.7801250000002"/>
    <n v="2140.7801250000002"/>
    <n v="2568.93615"/>
    <n v="2568.93615"/>
    <n v="2568.93615"/>
    <n v="2568.93615"/>
    <n v="3425.2482000000005"/>
    <n v="3425.2482000000005"/>
    <n v="3425.2482000000005"/>
    <n v="3425.2482000000005"/>
    <n v="3425.2482000000005"/>
  </r>
  <r>
    <x v="2"/>
    <s v="general-main"/>
    <n v="0"/>
    <n v="926.6400000000001"/>
    <n v="926.6400000000001"/>
    <n v="1158.3000000000002"/>
    <n v="1158.3000000000002"/>
    <n v="1158.3000000000002"/>
    <n v="1158.3000000000002"/>
    <n v="1158.3000000000002"/>
    <n v="1389.96"/>
    <n v="1389.96"/>
    <n v="1389.96"/>
    <n v="1389.96"/>
    <n v="1853.2800000000002"/>
    <n v="1853.2800000000002"/>
    <n v="1853.2800000000002"/>
    <n v="1853.2800000000002"/>
    <n v="1853.2800000000002"/>
  </r>
  <r>
    <x v="0"/>
    <s v="general-split"/>
    <n v="0"/>
    <n v="0"/>
    <n v="0"/>
    <n v="0"/>
    <n v="0"/>
    <n v="0"/>
    <n v="0"/>
    <n v="0"/>
    <n v="0"/>
    <n v="0"/>
    <n v="0"/>
    <n v="0"/>
    <n v="0"/>
    <n v="152.22999999999999"/>
    <n v="152.22999999999999"/>
    <n v="152.22999999999999"/>
    <n v="152.22999999999999"/>
  </r>
  <r>
    <x v="1"/>
    <s v="general-mechanical"/>
    <n v="0"/>
    <n v="0"/>
    <n v="0"/>
    <n v="0"/>
    <n v="0"/>
    <n v="0"/>
    <n v="3668.77"/>
    <n v="3668.77"/>
    <n v="3668.77"/>
    <n v="3668.77"/>
    <n v="3668.77"/>
    <n v="3668.77"/>
    <n v="3668.77"/>
    <n v="3668.77"/>
    <n v="3668.77"/>
    <n v="3668.77"/>
    <n v="3668.77"/>
  </r>
  <r>
    <x v="1"/>
    <s v="general-mechanical"/>
    <n v="0"/>
    <n v="2383.63"/>
    <n v="2383.63"/>
    <n v="2383.63"/>
    <n v="2383.63"/>
    <n v="2383.63"/>
    <n v="2383.63"/>
    <n v="2383.63"/>
    <n v="2383.63"/>
    <n v="2383.63"/>
    <n v="2383.63"/>
    <n v="2383.63"/>
    <n v="2383.63"/>
    <n v="2383.63"/>
    <n v="2383.63"/>
    <n v="2383.63"/>
    <n v="2383.63"/>
  </r>
  <r>
    <x v="1"/>
    <s v="general-mechanical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x v="1"/>
    <s v="general-mechanical"/>
    <n v="0"/>
    <n v="4354.58"/>
    <n v="4354.58"/>
    <n v="4354.58"/>
    <n v="4354.58"/>
    <n v="4354.58"/>
    <n v="4354.58"/>
    <n v="4354.58"/>
    <n v="4354.58"/>
    <n v="4354.58"/>
    <n v="4354.58"/>
    <n v="4354.58"/>
    <n v="4354.58"/>
    <n v="4354.58"/>
    <n v="4354.58"/>
    <n v="4354.58"/>
    <n v="4354.58"/>
  </r>
  <r>
    <x v="2"/>
    <s v="general-main"/>
    <n v="0"/>
    <n v="0"/>
    <n v="0"/>
    <n v="0"/>
    <n v="0"/>
    <n v="0"/>
    <n v="0"/>
    <n v="0"/>
    <n v="0"/>
    <n v="0"/>
    <n v="0"/>
    <n v="0"/>
    <n v="0"/>
    <n v="0"/>
    <n v="236.35"/>
    <n v="236.35"/>
    <n v="236.35"/>
  </r>
  <r>
    <x v="2"/>
    <s v="general-main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x v="2"/>
    <s v="general-main"/>
    <n v="0"/>
    <n v="0"/>
    <n v="0"/>
    <n v="0"/>
    <n v="0"/>
    <n v="1370.63"/>
    <n v="1370.63"/>
    <n v="1370.63"/>
    <n v="1370.63"/>
    <n v="1370.63"/>
    <n v="1370.63"/>
    <n v="1370.63"/>
    <n v="1370.63"/>
    <n v="1370.63"/>
    <n v="1370.63"/>
    <n v="1370.63"/>
    <n v="1370.63"/>
  </r>
  <r>
    <x v="2"/>
    <s v="general-main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4639.68"/>
    <n v="4639.68"/>
    <n v="4639.68"/>
    <n v="4639.68"/>
    <n v="4639.68"/>
    <n v="4639.68"/>
    <n v="4639.68"/>
    <n v="4639.68"/>
    <n v="4639.68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x v="0"/>
    <s v="general-split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x v="0"/>
    <s v="general-split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x v="0"/>
    <s v="general-split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x v="0"/>
    <s v="general-split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x v="0"/>
    <s v="general-split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Entry Foyer"/>
    <n v="0"/>
    <n v="0"/>
    <n v="0"/>
    <n v="0"/>
    <n v="238.34"/>
    <n v="238.34"/>
    <n v="238.34"/>
    <n v="238.34"/>
    <n v="238.34"/>
    <n v="238.34"/>
    <n v="238.34"/>
    <n v="238.34"/>
    <n v="238.34"/>
    <n v="238.34"/>
    <n v="238.34"/>
    <n v="238.34"/>
    <n v="238.34"/>
  </r>
  <r>
    <x v="2"/>
    <s v="Entry Foyer"/>
    <n v="0"/>
    <n v="0"/>
    <n v="0"/>
    <n v="162.33750000000001"/>
    <n v="162.33750000000001"/>
    <n v="162.33750000000001"/>
    <n v="162.33750000000001"/>
    <n v="162.33750000000001"/>
    <n v="324.67500000000001"/>
    <n v="324.67500000000001"/>
    <n v="324.67500000000001"/>
    <n v="649.35"/>
    <n v="649.35"/>
    <n v="649.35"/>
    <n v="649.35"/>
    <n v="649.35"/>
    <n v="649.35"/>
  </r>
  <r>
    <x v="2"/>
    <s v="Entry Foyer"/>
    <n v="0"/>
    <n v="0"/>
    <n v="0"/>
    <n v="27.67"/>
    <n v="27.67"/>
    <n v="27.67"/>
    <n v="27.67"/>
    <n v="27.67"/>
    <n v="27.67"/>
    <n v="27.67"/>
    <n v="27.67"/>
    <n v="27.67"/>
    <n v="27.67"/>
    <n v="27.67"/>
    <n v="27.67"/>
    <n v="27.67"/>
    <n v="27.67"/>
  </r>
  <r>
    <x v="2"/>
    <s v="Entry Foyer"/>
    <n v="0"/>
    <n v="0"/>
    <n v="0"/>
    <n v="155.63"/>
    <n v="155.63"/>
    <n v="155.63"/>
    <n v="155.63"/>
    <n v="155.63"/>
    <n v="155.63"/>
    <n v="155.63"/>
    <n v="155.63"/>
    <n v="155.63"/>
    <n v="155.63"/>
    <n v="155.63"/>
    <n v="155.63"/>
    <n v="155.63"/>
    <n v="155.63"/>
  </r>
  <r>
    <x v="2"/>
    <s v="Entry Foyer"/>
    <n v="0"/>
    <n v="0"/>
    <n v="0"/>
    <n v="31.4575"/>
    <n v="31.4575"/>
    <n v="31.4575"/>
    <n v="31.4575"/>
    <n v="31.4575"/>
    <n v="62.914999999999999"/>
    <n v="62.914999999999999"/>
    <n v="62.914999999999999"/>
    <n v="125.83"/>
    <n v="125.83"/>
    <n v="125.83"/>
    <n v="125.83"/>
    <n v="125.83"/>
    <n v="125.83"/>
  </r>
  <r>
    <x v="2"/>
    <s v="Entry Foyer"/>
    <n v="0"/>
    <n v="0"/>
    <n v="0"/>
    <n v="0"/>
    <n v="0"/>
    <n v="0"/>
    <n v="0"/>
    <n v="0"/>
    <n v="0"/>
    <n v="0"/>
    <n v="0"/>
    <n v="0"/>
    <n v="0"/>
    <n v="0"/>
    <n v="29.68"/>
    <n v="29.68"/>
    <n v="29.68"/>
  </r>
  <r>
    <x v="2"/>
    <s v="Entry Foyer"/>
    <n v="0"/>
    <n v="0"/>
    <n v="0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  <n v="32.520000000000003"/>
  </r>
  <r>
    <x v="2"/>
    <s v="Entry Foyer"/>
    <n v="0"/>
    <n v="0"/>
    <n v="0"/>
    <n v="56.32"/>
    <n v="56.32"/>
    <n v="56.32"/>
    <n v="56.32"/>
    <n v="56.32"/>
    <n v="56.32"/>
    <n v="56.32"/>
    <n v="56.32"/>
    <n v="56.32"/>
    <n v="56.32"/>
    <n v="56.32"/>
    <n v="56.32"/>
    <n v="56.32"/>
    <n v="56.32"/>
  </r>
  <r>
    <x v="2"/>
    <s v="Entry Foyer"/>
    <n v="0"/>
    <n v="0"/>
    <n v="0"/>
    <n v="64.16"/>
    <n v="64.16"/>
    <n v="64.16"/>
    <n v="64.16"/>
    <n v="64.16"/>
    <n v="64.16"/>
    <n v="64.16"/>
    <n v="64.16"/>
    <n v="64.16"/>
    <n v="64.16"/>
    <n v="64.16"/>
    <n v="64.16"/>
    <n v="64.16"/>
    <n v="64.16"/>
  </r>
  <r>
    <x v="2"/>
    <s v="Entry Foyer"/>
    <n v="0"/>
    <n v="0"/>
    <n v="0"/>
    <n v="61.92"/>
    <n v="61.92"/>
    <n v="61.92"/>
    <n v="61.92"/>
    <n v="61.92"/>
    <n v="61.92"/>
    <n v="61.92"/>
    <n v="61.92"/>
    <n v="61.92"/>
    <n v="61.92"/>
    <n v="61.92"/>
    <n v="61.92"/>
    <n v="61.92"/>
    <n v="61.92"/>
  </r>
  <r>
    <x v="2"/>
    <s v="Entry Foyer"/>
    <n v="0"/>
    <n v="0"/>
    <n v="0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</r>
  <r>
    <x v="2"/>
    <s v="Entry Foyer"/>
    <n v="0"/>
    <n v="0"/>
    <n v="0"/>
    <n v="98.66"/>
    <n v="98.66"/>
    <n v="98.66"/>
    <n v="98.66"/>
    <n v="98.66"/>
    <n v="98.66"/>
    <n v="98.66"/>
    <n v="98.66"/>
    <n v="98.66"/>
    <n v="98.66"/>
    <n v="98.66"/>
    <n v="98.66"/>
    <n v="98.66"/>
    <n v="98.66"/>
  </r>
  <r>
    <x v="2"/>
    <s v="Entry Foyer"/>
    <n v="0"/>
    <n v="0"/>
    <n v="0"/>
    <n v="8.5500000000000007"/>
    <n v="8.5500000000000007"/>
    <n v="8.5500000000000007"/>
    <n v="8.5500000000000007"/>
    <n v="8.5500000000000007"/>
    <n v="8.5500000000000007"/>
    <n v="8.5500000000000007"/>
    <n v="8.5500000000000007"/>
    <n v="8.5500000000000007"/>
    <n v="8.5500000000000007"/>
    <n v="8.5500000000000007"/>
    <n v="8.5500000000000007"/>
    <n v="8.5500000000000007"/>
    <n v="8.5500000000000007"/>
  </r>
  <r>
    <x v="2"/>
    <s v="Entry Foyer"/>
    <n v="0"/>
    <n v="0"/>
    <n v="0"/>
    <n v="57.75"/>
    <n v="57.75"/>
    <n v="57.75"/>
    <n v="57.75"/>
    <n v="57.75"/>
    <n v="57.75"/>
    <n v="57.75"/>
    <n v="57.75"/>
    <n v="57.75"/>
    <n v="57.75"/>
    <n v="57.75"/>
    <n v="57.75"/>
    <n v="57.75"/>
    <n v="57.75"/>
  </r>
  <r>
    <x v="3"/>
    <s v="Full Bath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x v="3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3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3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3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3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3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3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3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3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3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3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3"/>
    <s v="Full Bath"/>
    <n v="0"/>
    <n v="0"/>
    <n v="0"/>
    <n v="0"/>
    <n v="221.08"/>
    <n v="221.08"/>
    <n v="221.08"/>
    <n v="221.08"/>
    <n v="221.08"/>
    <n v="221.08"/>
    <n v="221.08"/>
    <n v="221.08"/>
    <n v="221.08"/>
    <n v="221.08"/>
    <n v="221.08"/>
    <n v="221.08"/>
    <n v="221.08"/>
  </r>
  <r>
    <x v="3"/>
    <s v="Full Bath"/>
    <n v="0"/>
    <n v="0"/>
    <n v="0"/>
    <n v="150.59"/>
    <n v="150.59"/>
    <n v="150.59"/>
    <n v="150.59"/>
    <n v="150.59"/>
    <n v="301.18"/>
    <n v="301.18"/>
    <n v="301.18"/>
    <n v="602.36"/>
    <n v="602.36"/>
    <n v="602.36"/>
    <n v="602.36"/>
    <n v="602.36"/>
    <n v="602.36"/>
  </r>
  <r>
    <x v="3"/>
    <s v="Full Bath"/>
    <n v="0"/>
    <n v="0"/>
    <n v="0"/>
    <n v="12.83"/>
    <n v="12.83"/>
    <n v="12.83"/>
    <n v="12.83"/>
    <n v="12.83"/>
    <n v="12.83"/>
    <n v="12.83"/>
    <n v="12.83"/>
    <n v="12.83"/>
    <n v="12.83"/>
    <n v="12.83"/>
    <n v="12.83"/>
    <n v="12.83"/>
    <n v="12.83"/>
  </r>
  <r>
    <x v="3"/>
    <s v="Full Bath"/>
    <n v="0"/>
    <n v="0"/>
    <n v="0"/>
    <n v="72.2"/>
    <n v="72.2"/>
    <n v="72.2"/>
    <n v="72.2"/>
    <n v="72.2"/>
    <n v="72.2"/>
    <n v="72.2"/>
    <n v="72.2"/>
    <n v="72.2"/>
    <n v="72.2"/>
    <n v="72.2"/>
    <n v="72.2"/>
    <n v="72.2"/>
    <n v="72.2"/>
  </r>
  <r>
    <x v="3"/>
    <s v="Full Bath"/>
    <n v="0"/>
    <n v="0"/>
    <n v="0"/>
    <n v="26.135000000000002"/>
    <n v="26.135000000000002"/>
    <n v="26.135000000000002"/>
    <n v="26.135000000000002"/>
    <n v="26.135000000000002"/>
    <n v="52.27"/>
    <n v="52.27"/>
    <n v="52.27"/>
    <n v="104.54"/>
    <n v="104.54"/>
    <n v="104.54"/>
    <n v="104.54"/>
    <n v="104.54"/>
    <n v="104.54"/>
  </r>
  <r>
    <x v="3"/>
    <s v="Full Bath"/>
    <n v="0"/>
    <n v="0"/>
    <n v="0"/>
    <n v="0"/>
    <n v="0"/>
    <n v="0"/>
    <n v="0"/>
    <n v="0"/>
    <n v="0"/>
    <n v="0"/>
    <n v="0"/>
    <n v="0"/>
    <n v="0"/>
    <n v="0"/>
    <n v="24.68"/>
    <n v="24.68"/>
    <n v="24.68"/>
  </r>
  <r>
    <x v="3"/>
    <s v="Full Bath"/>
    <n v="0"/>
    <n v="0"/>
    <n v="0"/>
    <n v="27.01"/>
    <n v="27.01"/>
    <n v="27.01"/>
    <n v="27.01"/>
    <n v="27.01"/>
    <n v="27.01"/>
    <n v="27.01"/>
    <n v="27.01"/>
    <n v="27.01"/>
    <n v="27.01"/>
    <n v="27.01"/>
    <n v="27.01"/>
    <n v="27.01"/>
    <n v="27.01"/>
  </r>
  <r>
    <x v="3"/>
    <s v="Full Bath"/>
    <n v="0"/>
    <n v="0"/>
    <n v="0"/>
    <n v="46.78"/>
    <n v="46.78"/>
    <n v="46.78"/>
    <n v="46.78"/>
    <n v="46.78"/>
    <n v="46.78"/>
    <n v="46.78"/>
    <n v="46.78"/>
    <n v="46.78"/>
    <n v="46.78"/>
    <n v="46.78"/>
    <n v="46.78"/>
    <n v="46.78"/>
    <n v="46.78"/>
  </r>
  <r>
    <x v="3"/>
    <s v="Full Bath"/>
    <n v="0"/>
    <n v="0"/>
    <n v="0"/>
    <n v="53.28"/>
    <n v="53.28"/>
    <n v="53.28"/>
    <n v="53.28"/>
    <n v="53.28"/>
    <n v="53.28"/>
    <n v="53.28"/>
    <n v="53.28"/>
    <n v="53.28"/>
    <n v="53.28"/>
    <n v="53.28"/>
    <n v="53.28"/>
    <n v="53.28"/>
    <n v="53.28"/>
  </r>
  <r>
    <x v="3"/>
    <s v="Full Bath"/>
    <n v="0"/>
    <n v="0"/>
    <n v="0"/>
    <n v="53.27"/>
    <n v="53.27"/>
    <n v="53.27"/>
    <n v="53.27"/>
    <n v="53.27"/>
    <n v="53.27"/>
    <n v="53.27"/>
    <n v="53.27"/>
    <n v="53.27"/>
    <n v="53.27"/>
    <n v="53.27"/>
    <n v="53.27"/>
    <n v="53.27"/>
    <n v="53.27"/>
  </r>
  <r>
    <x v="3"/>
    <s v="Full Bath"/>
    <n v="0"/>
    <n v="0"/>
    <n v="0"/>
    <n v="34.93"/>
    <n v="34.93"/>
    <n v="34.93"/>
    <n v="34.93"/>
    <n v="34.93"/>
    <n v="34.93"/>
    <n v="34.93"/>
    <n v="34.93"/>
    <n v="34.93"/>
    <n v="34.93"/>
    <n v="34.93"/>
    <n v="34.93"/>
    <n v="34.93"/>
    <n v="34.93"/>
  </r>
  <r>
    <x v="3"/>
    <s v="Full Bath"/>
    <n v="0"/>
    <n v="0"/>
    <n v="0"/>
    <n v="84.87"/>
    <n v="84.87"/>
    <n v="84.87"/>
    <n v="84.87"/>
    <n v="84.87"/>
    <n v="84.87"/>
    <n v="84.87"/>
    <n v="84.87"/>
    <n v="84.87"/>
    <n v="84.87"/>
    <n v="84.87"/>
    <n v="84.87"/>
    <n v="84.87"/>
    <n v="84.87"/>
  </r>
  <r>
    <x v="3"/>
    <s v="Full Bath"/>
    <n v="0"/>
    <n v="0"/>
    <n v="0"/>
    <n v="7.11"/>
    <n v="7.11"/>
    <n v="7.11"/>
    <n v="7.11"/>
    <n v="7.11"/>
    <n v="7.11"/>
    <n v="7.11"/>
    <n v="7.11"/>
    <n v="7.11"/>
    <n v="7.11"/>
    <n v="7.11"/>
    <n v="7.11"/>
    <n v="7.11"/>
    <n v="7.11"/>
  </r>
  <r>
    <x v="3"/>
    <s v="Full Bath"/>
    <n v="0"/>
    <n v="0"/>
    <n v="0"/>
    <n v="47.98"/>
    <n v="47.98"/>
    <n v="47.98"/>
    <n v="47.98"/>
    <n v="47.98"/>
    <n v="47.98"/>
    <n v="47.98"/>
    <n v="47.98"/>
    <n v="47.98"/>
    <n v="47.98"/>
    <n v="47.98"/>
    <n v="47.98"/>
    <n v="47.98"/>
    <n v="47.98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Half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Half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Half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Half Bath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x v="2"/>
    <s v="Half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x v="2"/>
    <s v="Half Bath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x v="2"/>
    <s v="Half Bath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x v="2"/>
    <s v="Half Bath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x v="2"/>
    <s v="Half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Half Bath"/>
    <n v="0"/>
    <n v="0"/>
    <n v="0"/>
    <n v="0"/>
    <n v="169.34"/>
    <n v="169.34"/>
    <n v="169.34"/>
    <n v="169.34"/>
    <n v="169.34"/>
    <n v="169.34"/>
    <n v="169.34"/>
    <n v="169.34"/>
    <n v="169.34"/>
    <n v="169.34"/>
    <n v="169.34"/>
    <n v="169.34"/>
    <n v="169.34"/>
  </r>
  <r>
    <x v="2"/>
    <s v="Half Bath"/>
    <n v="0"/>
    <n v="0"/>
    <n v="0"/>
    <n v="115.345"/>
    <n v="115.345"/>
    <n v="115.345"/>
    <n v="115.345"/>
    <n v="115.345"/>
    <n v="230.69"/>
    <n v="230.69"/>
    <n v="230.69"/>
    <n v="461.38"/>
    <n v="461.38"/>
    <n v="461.38"/>
    <n v="461.38"/>
    <n v="461.38"/>
    <n v="461.38"/>
  </r>
  <r>
    <x v="2"/>
    <s v="Half Bath"/>
    <n v="0"/>
    <n v="0"/>
    <n v="0"/>
    <n v="9.83"/>
    <n v="9.83"/>
    <n v="9.83"/>
    <n v="9.83"/>
    <n v="9.83"/>
    <n v="9.83"/>
    <n v="9.83"/>
    <n v="9.83"/>
    <n v="9.83"/>
    <n v="9.83"/>
    <n v="9.83"/>
    <n v="9.83"/>
    <n v="9.83"/>
    <n v="9.83"/>
  </r>
  <r>
    <x v="2"/>
    <s v="Half Bath"/>
    <n v="0"/>
    <n v="0"/>
    <n v="0"/>
    <n v="55.3"/>
    <n v="55.3"/>
    <n v="55.3"/>
    <n v="55.3"/>
    <n v="55.3"/>
    <n v="55.3"/>
    <n v="55.3"/>
    <n v="55.3"/>
    <n v="55.3"/>
    <n v="55.3"/>
    <n v="55.3"/>
    <n v="55.3"/>
    <n v="55.3"/>
    <n v="55.3"/>
  </r>
  <r>
    <x v="2"/>
    <s v="Half Bath"/>
    <n v="0"/>
    <n v="0"/>
    <n v="0"/>
    <n v="16.2225"/>
    <n v="16.2225"/>
    <n v="16.2225"/>
    <n v="16.2225"/>
    <n v="16.2225"/>
    <n v="32.445"/>
    <n v="32.445"/>
    <n v="32.445"/>
    <n v="64.89"/>
    <n v="64.89"/>
    <n v="64.89"/>
    <n v="64.89"/>
    <n v="64.89"/>
    <n v="64.89"/>
  </r>
  <r>
    <x v="2"/>
    <s v="Half Bath"/>
    <n v="0"/>
    <n v="0"/>
    <n v="0"/>
    <n v="0"/>
    <n v="0"/>
    <n v="0"/>
    <n v="0"/>
    <n v="0"/>
    <n v="0"/>
    <n v="0"/>
    <n v="0"/>
    <n v="0"/>
    <n v="0"/>
    <n v="0"/>
    <n v="15.32"/>
    <n v="15.32"/>
    <n v="15.32"/>
  </r>
  <r>
    <x v="2"/>
    <s v="Half Bath"/>
    <n v="0"/>
    <n v="0"/>
    <n v="0"/>
    <n v="16.77"/>
    <n v="16.77"/>
    <n v="16.77"/>
    <n v="16.77"/>
    <n v="16.77"/>
    <n v="16.77"/>
    <n v="16.77"/>
    <n v="16.77"/>
    <n v="16.77"/>
    <n v="16.77"/>
    <n v="16.77"/>
    <n v="16.77"/>
    <n v="16.77"/>
    <n v="16.77"/>
  </r>
  <r>
    <x v="2"/>
    <s v="Half Bath"/>
    <n v="0"/>
    <n v="0"/>
    <n v="0"/>
    <n v="29.02"/>
    <n v="29.02"/>
    <n v="29.02"/>
    <n v="29.02"/>
    <n v="29.02"/>
    <n v="29.02"/>
    <n v="29.02"/>
    <n v="29.02"/>
    <n v="29.02"/>
    <n v="29.02"/>
    <n v="29.02"/>
    <n v="29.02"/>
    <n v="29.02"/>
    <n v="29.02"/>
  </r>
  <r>
    <x v="2"/>
    <s v="Half Bath"/>
    <n v="0"/>
    <n v="0"/>
    <n v="0"/>
    <n v="33.11"/>
    <n v="33.11"/>
    <n v="33.11"/>
    <n v="33.11"/>
    <n v="33.11"/>
    <n v="33.11"/>
    <n v="33.11"/>
    <n v="33.11"/>
    <n v="33.11"/>
    <n v="33.11"/>
    <n v="33.11"/>
    <n v="33.11"/>
    <n v="33.11"/>
    <n v="33.11"/>
  </r>
  <r>
    <x v="2"/>
    <s v="Half Bath"/>
    <n v="0"/>
    <n v="0"/>
    <n v="0"/>
    <n v="37.03"/>
    <n v="37.03"/>
    <n v="37.03"/>
    <n v="37.03"/>
    <n v="37.03"/>
    <n v="37.03"/>
    <n v="37.03"/>
    <n v="37.03"/>
    <n v="37.03"/>
    <n v="37.03"/>
    <n v="37.03"/>
    <n v="37.03"/>
    <n v="37.03"/>
    <n v="37.03"/>
  </r>
  <r>
    <x v="2"/>
    <s v="Half Bath"/>
    <n v="0"/>
    <n v="0"/>
    <n v="0"/>
    <n v="24.27"/>
    <n v="24.27"/>
    <n v="24.27"/>
    <n v="24.27"/>
    <n v="24.27"/>
    <n v="24.27"/>
    <n v="24.27"/>
    <n v="24.27"/>
    <n v="24.27"/>
    <n v="24.27"/>
    <n v="24.27"/>
    <n v="24.27"/>
    <n v="24.27"/>
    <n v="24.27"/>
  </r>
  <r>
    <x v="2"/>
    <s v="Half Bath"/>
    <n v="0"/>
    <n v="0"/>
    <n v="0"/>
    <n v="59"/>
    <n v="59"/>
    <n v="59"/>
    <n v="59"/>
    <n v="59"/>
    <n v="59"/>
    <n v="59"/>
    <n v="59"/>
    <n v="59"/>
    <n v="59"/>
    <n v="59"/>
    <n v="59"/>
    <n v="59"/>
    <n v="59"/>
  </r>
  <r>
    <x v="2"/>
    <s v="Half Bath"/>
    <n v="0"/>
    <n v="0"/>
    <n v="0"/>
    <n v="4.42"/>
    <n v="4.42"/>
    <n v="4.42"/>
    <n v="4.42"/>
    <n v="4.42"/>
    <n v="4.42"/>
    <n v="4.42"/>
    <n v="4.42"/>
    <n v="4.42"/>
    <n v="4.42"/>
    <n v="4.42"/>
    <n v="4.42"/>
    <n v="4.42"/>
    <n v="4.42"/>
  </r>
  <r>
    <x v="2"/>
    <s v="Half Bath"/>
    <n v="0"/>
    <n v="0"/>
    <n v="0"/>
    <n v="29.8"/>
    <n v="29.8"/>
    <n v="29.8"/>
    <n v="29.8"/>
    <n v="29.8"/>
    <n v="29.8"/>
    <n v="29.8"/>
    <n v="29.8"/>
    <n v="29.8"/>
    <n v="29.8"/>
    <n v="29.8"/>
    <n v="29.8"/>
    <n v="29.8"/>
    <n v="29.8"/>
  </r>
  <r>
    <x v="3"/>
    <s v="Full Bath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x v="3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3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3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3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3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3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3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3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3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3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3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3"/>
    <s v="Full Bath"/>
    <n v="0"/>
    <n v="0"/>
    <n v="0"/>
    <n v="0"/>
    <n v="221.08"/>
    <n v="221.08"/>
    <n v="221.08"/>
    <n v="221.08"/>
    <n v="221.08"/>
    <n v="221.08"/>
    <n v="221.08"/>
    <n v="221.08"/>
    <n v="221.08"/>
    <n v="221.08"/>
    <n v="221.08"/>
    <n v="221.08"/>
    <n v="221.08"/>
  </r>
  <r>
    <x v="3"/>
    <s v="Full Bath"/>
    <n v="0"/>
    <n v="0"/>
    <n v="0"/>
    <n v="150.59"/>
    <n v="150.59"/>
    <n v="150.59"/>
    <n v="150.59"/>
    <n v="150.59"/>
    <n v="301.18"/>
    <n v="301.18"/>
    <n v="301.18"/>
    <n v="602.36"/>
    <n v="602.36"/>
    <n v="602.36"/>
    <n v="602.36"/>
    <n v="602.36"/>
    <n v="602.36"/>
  </r>
  <r>
    <x v="3"/>
    <s v="Full Bath"/>
    <n v="0"/>
    <n v="0"/>
    <n v="0"/>
    <n v="12.83"/>
    <n v="12.83"/>
    <n v="12.83"/>
    <n v="12.83"/>
    <n v="12.83"/>
    <n v="12.83"/>
    <n v="12.83"/>
    <n v="12.83"/>
    <n v="12.83"/>
    <n v="12.83"/>
    <n v="12.83"/>
    <n v="12.83"/>
    <n v="12.83"/>
    <n v="12.83"/>
  </r>
  <r>
    <x v="3"/>
    <s v="Full Bath"/>
    <n v="0"/>
    <n v="0"/>
    <n v="0"/>
    <n v="72.2"/>
    <n v="72.2"/>
    <n v="72.2"/>
    <n v="72.2"/>
    <n v="72.2"/>
    <n v="72.2"/>
    <n v="72.2"/>
    <n v="72.2"/>
    <n v="72.2"/>
    <n v="72.2"/>
    <n v="72.2"/>
    <n v="72.2"/>
    <n v="72.2"/>
    <n v="72.2"/>
  </r>
  <r>
    <x v="3"/>
    <s v="Full Bath"/>
    <n v="0"/>
    <n v="0"/>
    <n v="0"/>
    <n v="26.135000000000002"/>
    <n v="26.135000000000002"/>
    <n v="26.135000000000002"/>
    <n v="26.135000000000002"/>
    <n v="26.135000000000002"/>
    <n v="52.27"/>
    <n v="52.27"/>
    <n v="52.27"/>
    <n v="104.54"/>
    <n v="104.54"/>
    <n v="104.54"/>
    <n v="104.54"/>
    <n v="104.54"/>
    <n v="104.54"/>
  </r>
  <r>
    <x v="3"/>
    <s v="Full Bath"/>
    <n v="0"/>
    <n v="0"/>
    <n v="0"/>
    <n v="0"/>
    <n v="0"/>
    <n v="0"/>
    <n v="0"/>
    <n v="0"/>
    <n v="0"/>
    <n v="0"/>
    <n v="0"/>
    <n v="0"/>
    <n v="0"/>
    <n v="0"/>
    <n v="24.68"/>
    <n v="24.68"/>
    <n v="24.68"/>
  </r>
  <r>
    <x v="3"/>
    <s v="Full Bath"/>
    <n v="0"/>
    <n v="0"/>
    <n v="0"/>
    <n v="27.01"/>
    <n v="27.01"/>
    <n v="27.01"/>
    <n v="27.01"/>
    <n v="27.01"/>
    <n v="27.01"/>
    <n v="27.01"/>
    <n v="27.01"/>
    <n v="27.01"/>
    <n v="27.01"/>
    <n v="27.01"/>
    <n v="27.01"/>
    <n v="27.01"/>
    <n v="27.01"/>
  </r>
  <r>
    <x v="3"/>
    <s v="Full Bath"/>
    <n v="0"/>
    <n v="0"/>
    <n v="0"/>
    <n v="46.78"/>
    <n v="46.78"/>
    <n v="46.78"/>
    <n v="46.78"/>
    <n v="46.78"/>
    <n v="46.78"/>
    <n v="46.78"/>
    <n v="46.78"/>
    <n v="46.78"/>
    <n v="46.78"/>
    <n v="46.78"/>
    <n v="46.78"/>
    <n v="46.78"/>
    <n v="46.78"/>
  </r>
  <r>
    <x v="3"/>
    <s v="Full Bath"/>
    <n v="0"/>
    <n v="0"/>
    <n v="0"/>
    <n v="53.28"/>
    <n v="53.28"/>
    <n v="53.28"/>
    <n v="53.28"/>
    <n v="53.28"/>
    <n v="53.28"/>
    <n v="53.28"/>
    <n v="53.28"/>
    <n v="53.28"/>
    <n v="53.28"/>
    <n v="53.28"/>
    <n v="53.28"/>
    <n v="53.28"/>
    <n v="53.28"/>
  </r>
  <r>
    <x v="3"/>
    <s v="Full Bath"/>
    <n v="0"/>
    <n v="0"/>
    <n v="0"/>
    <n v="53.27"/>
    <n v="53.27"/>
    <n v="53.27"/>
    <n v="53.27"/>
    <n v="53.27"/>
    <n v="53.27"/>
    <n v="53.27"/>
    <n v="53.27"/>
    <n v="53.27"/>
    <n v="53.27"/>
    <n v="53.27"/>
    <n v="53.27"/>
    <n v="53.27"/>
    <n v="53.27"/>
  </r>
  <r>
    <x v="3"/>
    <s v="Full Bath"/>
    <n v="0"/>
    <n v="0"/>
    <n v="0"/>
    <n v="34.93"/>
    <n v="34.93"/>
    <n v="34.93"/>
    <n v="34.93"/>
    <n v="34.93"/>
    <n v="34.93"/>
    <n v="34.93"/>
    <n v="34.93"/>
    <n v="34.93"/>
    <n v="34.93"/>
    <n v="34.93"/>
    <n v="34.93"/>
    <n v="34.93"/>
    <n v="34.93"/>
  </r>
  <r>
    <x v="3"/>
    <s v="Full Bath"/>
    <n v="0"/>
    <n v="0"/>
    <n v="0"/>
    <n v="84.87"/>
    <n v="84.87"/>
    <n v="84.87"/>
    <n v="84.87"/>
    <n v="84.87"/>
    <n v="84.87"/>
    <n v="84.87"/>
    <n v="84.87"/>
    <n v="84.87"/>
    <n v="84.87"/>
    <n v="84.87"/>
    <n v="84.87"/>
    <n v="84.87"/>
    <n v="84.87"/>
  </r>
  <r>
    <x v="3"/>
    <s v="Full Bath"/>
    <n v="0"/>
    <n v="0"/>
    <n v="0"/>
    <n v="7.11"/>
    <n v="7.11"/>
    <n v="7.11"/>
    <n v="7.11"/>
    <n v="7.11"/>
    <n v="7.11"/>
    <n v="7.11"/>
    <n v="7.11"/>
    <n v="7.11"/>
    <n v="7.11"/>
    <n v="7.11"/>
    <n v="7.11"/>
    <n v="7.11"/>
    <n v="7.11"/>
  </r>
  <r>
    <x v="3"/>
    <s v="Full Bath"/>
    <n v="0"/>
    <n v="0"/>
    <n v="0"/>
    <n v="47.98"/>
    <n v="47.98"/>
    <n v="47.98"/>
    <n v="47.98"/>
    <n v="47.98"/>
    <n v="47.98"/>
    <n v="47.98"/>
    <n v="47.98"/>
    <n v="47.98"/>
    <n v="47.98"/>
    <n v="47.98"/>
    <n v="47.98"/>
    <n v="47.98"/>
    <n v="47.98"/>
  </r>
  <r>
    <x v="3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3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3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3"/>
    <s v="Laundr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Laundr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Laundr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Laundry Room"/>
    <n v="0"/>
    <n v="0"/>
    <n v="0"/>
    <n v="0"/>
    <n v="0"/>
    <n v="0"/>
    <n v="0"/>
    <n v="0"/>
    <n v="0"/>
    <n v="0"/>
    <n v="0"/>
    <n v="0"/>
    <n v="576.47"/>
    <n v="576.47"/>
    <n v="576.47"/>
    <n v="576.47"/>
    <n v="576.47"/>
  </r>
  <r>
    <x v="3"/>
    <s v="Laundry Room"/>
    <n v="0"/>
    <n v="0"/>
    <n v="0"/>
    <n v="0"/>
    <n v="203.84"/>
    <n v="203.84"/>
    <n v="203.84"/>
    <n v="203.84"/>
    <n v="203.84"/>
    <n v="203.84"/>
    <n v="203.84"/>
    <n v="203.84"/>
    <n v="203.84"/>
    <n v="203.84"/>
    <n v="203.84"/>
    <n v="203.84"/>
    <n v="203.84"/>
  </r>
  <r>
    <x v="3"/>
    <s v="Laundry Room"/>
    <n v="0"/>
    <n v="0"/>
    <n v="0"/>
    <n v="138.83750000000001"/>
    <n v="138.83750000000001"/>
    <n v="138.83750000000001"/>
    <n v="138.83750000000001"/>
    <n v="138.83750000000001"/>
    <n v="277.67500000000001"/>
    <n v="277.67500000000001"/>
    <n v="277.67500000000001"/>
    <n v="555.35"/>
    <n v="555.35"/>
    <n v="555.35"/>
    <n v="555.35"/>
    <n v="555.35"/>
    <n v="555.35"/>
  </r>
  <r>
    <x v="3"/>
    <s v="Laundry Room"/>
    <n v="0"/>
    <n v="0"/>
    <n v="0"/>
    <n v="23.66"/>
    <n v="23.66"/>
    <n v="23.66"/>
    <n v="23.66"/>
    <n v="23.66"/>
    <n v="23.66"/>
    <n v="23.66"/>
    <n v="23.66"/>
    <n v="23.66"/>
    <n v="23.66"/>
    <n v="23.66"/>
    <n v="23.66"/>
    <n v="23.66"/>
    <n v="23.66"/>
  </r>
  <r>
    <x v="3"/>
    <s v="Laundry Room"/>
    <n v="0"/>
    <n v="0"/>
    <n v="0"/>
    <n v="133.15"/>
    <n v="133.15"/>
    <n v="133.15"/>
    <n v="133.15"/>
    <n v="133.15"/>
    <n v="133.15"/>
    <n v="133.15"/>
    <n v="133.15"/>
    <n v="133.15"/>
    <n v="133.15"/>
    <n v="133.15"/>
    <n v="133.15"/>
    <n v="133.15"/>
    <n v="133.15"/>
  </r>
  <r>
    <x v="3"/>
    <s v="Laundry Room"/>
    <n v="0"/>
    <n v="0"/>
    <n v="0"/>
    <n v="22.83"/>
    <n v="22.83"/>
    <n v="22.83"/>
    <n v="22.83"/>
    <n v="22.83"/>
    <n v="45.66"/>
    <n v="45.66"/>
    <n v="45.66"/>
    <n v="91.32"/>
    <n v="91.32"/>
    <n v="91.32"/>
    <n v="91.32"/>
    <n v="91.32"/>
    <n v="91.32"/>
  </r>
  <r>
    <x v="3"/>
    <s v="Laundry Room"/>
    <n v="0"/>
    <n v="0"/>
    <n v="0"/>
    <n v="0"/>
    <n v="0"/>
    <n v="0"/>
    <n v="0"/>
    <n v="0"/>
    <n v="0"/>
    <n v="0"/>
    <n v="0"/>
    <n v="0"/>
    <n v="0"/>
    <n v="0"/>
    <n v="21.56"/>
    <n v="21.56"/>
    <n v="21.56"/>
  </r>
  <r>
    <x v="3"/>
    <s v="Laundry Room"/>
    <n v="0"/>
    <n v="0"/>
    <n v="0"/>
    <n v="23.61"/>
    <n v="23.61"/>
    <n v="23.61"/>
    <n v="23.61"/>
    <n v="23.61"/>
    <n v="23.61"/>
    <n v="23.61"/>
    <n v="23.61"/>
    <n v="23.61"/>
    <n v="23.61"/>
    <n v="23.61"/>
    <n v="23.61"/>
    <n v="23.61"/>
    <n v="23.61"/>
  </r>
  <r>
    <x v="3"/>
    <s v="Laundry Room"/>
    <n v="0"/>
    <n v="0"/>
    <n v="0"/>
    <n v="40.9"/>
    <n v="40.9"/>
    <n v="40.9"/>
    <n v="40.9"/>
    <n v="40.9"/>
    <n v="40.9"/>
    <n v="40.9"/>
    <n v="40.9"/>
    <n v="40.9"/>
    <n v="40.9"/>
    <n v="40.9"/>
    <n v="40.9"/>
    <n v="40.9"/>
    <n v="40.9"/>
  </r>
  <r>
    <x v="3"/>
    <s v="Laundry Room"/>
    <n v="0"/>
    <n v="0"/>
    <n v="0"/>
    <n v="46.6"/>
    <n v="46.6"/>
    <n v="46.6"/>
    <n v="46.6"/>
    <n v="46.6"/>
    <n v="46.6"/>
    <n v="46.6"/>
    <n v="46.6"/>
    <n v="46.6"/>
    <n v="46.6"/>
    <n v="46.6"/>
    <n v="46.6"/>
    <n v="46.6"/>
    <n v="46.6"/>
  </r>
  <r>
    <x v="3"/>
    <s v="Laundry Room"/>
    <n v="0"/>
    <n v="0"/>
    <n v="0"/>
    <n v="47.84"/>
    <n v="47.84"/>
    <n v="47.84"/>
    <n v="47.84"/>
    <n v="47.84"/>
    <n v="47.84"/>
    <n v="47.84"/>
    <n v="47.84"/>
    <n v="47.84"/>
    <n v="47.84"/>
    <n v="47.84"/>
    <n v="47.84"/>
    <n v="47.84"/>
    <n v="47.84"/>
  </r>
  <r>
    <x v="3"/>
    <s v="Laundry Room"/>
    <n v="0"/>
    <n v="0"/>
    <n v="0"/>
    <n v="31.35"/>
    <n v="31.35"/>
    <n v="31.35"/>
    <n v="31.35"/>
    <n v="31.35"/>
    <n v="31.35"/>
    <n v="31.35"/>
    <n v="31.35"/>
    <n v="31.35"/>
    <n v="31.35"/>
    <n v="31.35"/>
    <n v="31.35"/>
    <n v="31.35"/>
    <n v="31.35"/>
  </r>
  <r>
    <x v="3"/>
    <s v="Laundry Room"/>
    <n v="0"/>
    <n v="0"/>
    <n v="0"/>
    <n v="76.209999999999994"/>
    <n v="76.209999999999994"/>
    <n v="76.209999999999994"/>
    <n v="76.209999999999994"/>
    <n v="76.209999999999994"/>
    <n v="76.209999999999994"/>
    <n v="76.209999999999994"/>
    <n v="76.209999999999994"/>
    <n v="76.209999999999994"/>
    <n v="76.209999999999994"/>
    <n v="76.209999999999994"/>
    <n v="76.209999999999994"/>
    <n v="76.209999999999994"/>
    <n v="76.209999999999994"/>
  </r>
  <r>
    <x v="3"/>
    <s v="Laundry Room"/>
    <n v="0"/>
    <n v="0"/>
    <n v="0"/>
    <n v="6.22"/>
    <n v="6.22"/>
    <n v="6.22"/>
    <n v="6.22"/>
    <n v="6.22"/>
    <n v="6.22"/>
    <n v="6.22"/>
    <n v="6.22"/>
    <n v="6.22"/>
    <n v="6.22"/>
    <n v="6.22"/>
    <n v="6.22"/>
    <n v="6.22"/>
    <n v="6.22"/>
  </r>
  <r>
    <x v="3"/>
    <s v="Laundry Room"/>
    <n v="0"/>
    <n v="0"/>
    <n v="0"/>
    <n v="41.96"/>
    <n v="41.96"/>
    <n v="41.96"/>
    <n v="41.96"/>
    <n v="41.96"/>
    <n v="41.96"/>
    <n v="41.96"/>
    <n v="41.96"/>
    <n v="41.96"/>
    <n v="41.96"/>
    <n v="41.96"/>
    <n v="41.96"/>
    <n v="41.96"/>
    <n v="41.96"/>
  </r>
  <r>
    <x v="2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Utility Room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2"/>
    <s v="Utility Room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2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Utility Room"/>
    <n v="0"/>
    <n v="0"/>
    <n v="0"/>
    <n v="0"/>
    <n v="307.32"/>
    <n v="307.32"/>
    <n v="307.32"/>
    <n v="307.32"/>
    <n v="307.32"/>
    <n v="307.32"/>
    <n v="307.32"/>
    <n v="307.32"/>
    <n v="307.32"/>
    <n v="307.32"/>
    <n v="307.32"/>
    <n v="307.32"/>
    <n v="307.32"/>
  </r>
  <r>
    <x v="2"/>
    <s v="Utility Room"/>
    <n v="0"/>
    <n v="0"/>
    <n v="0"/>
    <n v="209.32749999999999"/>
    <n v="209.32749999999999"/>
    <n v="209.32749999999999"/>
    <n v="209.32749999999999"/>
    <n v="209.32749999999999"/>
    <n v="418.65499999999997"/>
    <n v="418.65499999999997"/>
    <n v="418.65499999999997"/>
    <n v="837.31"/>
    <n v="837.31"/>
    <n v="837.31"/>
    <n v="837.31"/>
    <n v="837.31"/>
    <n v="837.31"/>
  </r>
  <r>
    <x v="2"/>
    <s v="Utility Room"/>
    <n v="0"/>
    <n v="0"/>
    <n v="0"/>
    <n v="35.67"/>
    <n v="35.67"/>
    <n v="35.67"/>
    <n v="35.67"/>
    <n v="35.67"/>
    <n v="35.67"/>
    <n v="35.67"/>
    <n v="35.67"/>
    <n v="35.67"/>
    <n v="35.67"/>
    <n v="35.67"/>
    <n v="35.67"/>
    <n v="35.67"/>
    <n v="35.67"/>
  </r>
  <r>
    <x v="2"/>
    <s v="Utility Room"/>
    <n v="0"/>
    <n v="0"/>
    <n v="0"/>
    <n v="200.73"/>
    <n v="200.73"/>
    <n v="200.73"/>
    <n v="200.73"/>
    <n v="200.73"/>
    <n v="200.73"/>
    <n v="200.73"/>
    <n v="200.73"/>
    <n v="200.73"/>
    <n v="200.73"/>
    <n v="200.73"/>
    <n v="200.73"/>
    <n v="200.73"/>
    <n v="200.73"/>
  </r>
  <r>
    <x v="2"/>
    <s v="Utility Room"/>
    <n v="0"/>
    <n v="0"/>
    <n v="0"/>
    <n v="52.744999999999997"/>
    <n v="52.744999999999997"/>
    <n v="52.744999999999997"/>
    <n v="52.744999999999997"/>
    <n v="52.744999999999997"/>
    <n v="105.49"/>
    <n v="105.49"/>
    <n v="105.49"/>
    <n v="210.98"/>
    <n v="210.98"/>
    <n v="210.98"/>
    <n v="210.98"/>
    <n v="210.98"/>
    <n v="210.98"/>
  </r>
  <r>
    <x v="2"/>
    <s v="Utility Room"/>
    <n v="0"/>
    <n v="0"/>
    <n v="0"/>
    <n v="0"/>
    <n v="0"/>
    <n v="0"/>
    <n v="0"/>
    <n v="0"/>
    <n v="0"/>
    <n v="0"/>
    <n v="0"/>
    <n v="0"/>
    <n v="0"/>
    <n v="0"/>
    <n v="49.79"/>
    <n v="49.79"/>
    <n v="49.79"/>
  </r>
  <r>
    <x v="2"/>
    <s v="Utility Room"/>
    <n v="0"/>
    <n v="0"/>
    <n v="0"/>
    <n v="54.52"/>
    <n v="54.52"/>
    <n v="54.52"/>
    <n v="54.52"/>
    <n v="54.52"/>
    <n v="54.52"/>
    <n v="54.52"/>
    <n v="54.52"/>
    <n v="54.52"/>
    <n v="54.52"/>
    <n v="54.52"/>
    <n v="54.52"/>
    <n v="54.52"/>
    <n v="54.52"/>
  </r>
  <r>
    <x v="2"/>
    <s v="Utility Room"/>
    <n v="0"/>
    <n v="0"/>
    <n v="0"/>
    <n v="94.43"/>
    <n v="94.43"/>
    <n v="94.43"/>
    <n v="94.43"/>
    <n v="94.43"/>
    <n v="94.43"/>
    <n v="94.43"/>
    <n v="94.43"/>
    <n v="94.43"/>
    <n v="94.43"/>
    <n v="94.43"/>
    <n v="94.43"/>
    <n v="94.43"/>
    <n v="94.43"/>
  </r>
  <r>
    <x v="2"/>
    <s v="Utility Room"/>
    <n v="0"/>
    <n v="0"/>
    <n v="0"/>
    <n v="107.63"/>
    <n v="107.63"/>
    <n v="107.63"/>
    <n v="107.63"/>
    <n v="107.63"/>
    <n v="107.63"/>
    <n v="107.63"/>
    <n v="107.63"/>
    <n v="107.63"/>
    <n v="107.63"/>
    <n v="107.63"/>
    <n v="107.63"/>
    <n v="107.63"/>
    <n v="107.63"/>
  </r>
  <r>
    <x v="2"/>
    <s v="Utility Room"/>
    <n v="0"/>
    <n v="0"/>
    <n v="0"/>
    <n v="96.76"/>
    <n v="96.76"/>
    <n v="96.76"/>
    <n v="96.76"/>
    <n v="96.76"/>
    <n v="96.76"/>
    <n v="96.76"/>
    <n v="96.76"/>
    <n v="96.76"/>
    <n v="96.76"/>
    <n v="96.76"/>
    <n v="96.76"/>
    <n v="96.76"/>
    <n v="96.76"/>
  </r>
  <r>
    <x v="2"/>
    <s v="Utility Room"/>
    <n v="0"/>
    <n v="0"/>
    <n v="0"/>
    <n v="63.46"/>
    <n v="63.46"/>
    <n v="63.46"/>
    <n v="63.46"/>
    <n v="63.46"/>
    <n v="63.46"/>
    <n v="63.46"/>
    <n v="63.46"/>
    <n v="63.46"/>
    <n v="63.46"/>
    <n v="63.46"/>
    <n v="63.46"/>
    <n v="63.46"/>
    <n v="63.46"/>
  </r>
  <r>
    <x v="2"/>
    <s v="Utility Room"/>
    <n v="0"/>
    <n v="0"/>
    <n v="0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</r>
  <r>
    <x v="2"/>
    <s v="Utility Room"/>
    <n v="0"/>
    <n v="0"/>
    <n v="0"/>
    <n v="14.37"/>
    <n v="14.37"/>
    <n v="14.37"/>
    <n v="14.37"/>
    <n v="14.37"/>
    <n v="14.37"/>
    <n v="14.37"/>
    <n v="14.37"/>
    <n v="14.37"/>
    <n v="14.37"/>
    <n v="14.37"/>
    <n v="14.37"/>
    <n v="14.37"/>
    <n v="14.37"/>
  </r>
  <r>
    <x v="2"/>
    <s v="Utility Room"/>
    <n v="0"/>
    <n v="0"/>
    <n v="0"/>
    <n v="96.91"/>
    <n v="96.91"/>
    <n v="96.91"/>
    <n v="96.91"/>
    <n v="96.91"/>
    <n v="96.91"/>
    <n v="96.91"/>
    <n v="96.91"/>
    <n v="96.91"/>
    <n v="96.91"/>
    <n v="96.91"/>
    <n v="96.91"/>
    <n v="96.91"/>
    <n v="96.91"/>
  </r>
  <r>
    <x v="3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 In Closet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3"/>
    <s v="Walk In Closet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3"/>
    <s v="Walk In Closet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Walk 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 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Walk In Closet"/>
    <n v="0"/>
    <n v="0"/>
    <n v="0"/>
    <n v="0"/>
    <n v="307.32"/>
    <n v="307.32"/>
    <n v="307.32"/>
    <n v="307.32"/>
    <n v="307.32"/>
    <n v="307.32"/>
    <n v="307.32"/>
    <n v="307.32"/>
    <n v="307.32"/>
    <n v="307.32"/>
    <n v="307.32"/>
    <n v="307.32"/>
    <n v="307.32"/>
  </r>
  <r>
    <x v="3"/>
    <s v="Walk In Closet"/>
    <n v="0"/>
    <n v="0"/>
    <n v="0"/>
    <n v="209.32749999999999"/>
    <n v="209.32749999999999"/>
    <n v="209.32749999999999"/>
    <n v="209.32749999999999"/>
    <n v="209.32749999999999"/>
    <n v="418.65499999999997"/>
    <n v="418.65499999999997"/>
    <n v="418.65499999999997"/>
    <n v="837.31"/>
    <n v="837.31"/>
    <n v="837.31"/>
    <n v="837.31"/>
    <n v="837.31"/>
    <n v="837.31"/>
  </r>
  <r>
    <x v="3"/>
    <s v="Walk In Closet"/>
    <n v="0"/>
    <n v="0"/>
    <n v="0"/>
    <n v="35.67"/>
    <n v="35.67"/>
    <n v="35.67"/>
    <n v="35.67"/>
    <n v="35.67"/>
    <n v="35.67"/>
    <n v="35.67"/>
    <n v="35.67"/>
    <n v="35.67"/>
    <n v="35.67"/>
    <n v="35.67"/>
    <n v="35.67"/>
    <n v="35.67"/>
    <n v="35.67"/>
  </r>
  <r>
    <x v="3"/>
    <s v="Walk In Closet"/>
    <n v="0"/>
    <n v="0"/>
    <n v="0"/>
    <n v="200.73"/>
    <n v="200.73"/>
    <n v="200.73"/>
    <n v="200.73"/>
    <n v="200.73"/>
    <n v="200.73"/>
    <n v="200.73"/>
    <n v="200.73"/>
    <n v="200.73"/>
    <n v="200.73"/>
    <n v="200.73"/>
    <n v="200.73"/>
    <n v="200.73"/>
    <n v="200.73"/>
  </r>
  <r>
    <x v="3"/>
    <s v="Walk In Closet"/>
    <n v="0"/>
    <n v="0"/>
    <n v="0"/>
    <n v="52.744999999999997"/>
    <n v="52.744999999999997"/>
    <n v="52.744999999999997"/>
    <n v="52.744999999999997"/>
    <n v="52.744999999999997"/>
    <n v="105.49"/>
    <n v="105.49"/>
    <n v="105.49"/>
    <n v="210.98"/>
    <n v="210.98"/>
    <n v="210.98"/>
    <n v="210.98"/>
    <n v="210.98"/>
    <n v="210.98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49.79"/>
    <n v="49.79"/>
    <n v="49.79"/>
  </r>
  <r>
    <x v="3"/>
    <s v="Walk In Closet"/>
    <n v="0"/>
    <n v="0"/>
    <n v="0"/>
    <n v="54.52"/>
    <n v="54.52"/>
    <n v="54.52"/>
    <n v="54.52"/>
    <n v="54.52"/>
    <n v="54.52"/>
    <n v="54.52"/>
    <n v="54.52"/>
    <n v="54.52"/>
    <n v="54.52"/>
    <n v="54.52"/>
    <n v="54.52"/>
    <n v="54.52"/>
    <n v="54.52"/>
  </r>
  <r>
    <x v="3"/>
    <s v="Walk In Closet"/>
    <n v="0"/>
    <n v="0"/>
    <n v="0"/>
    <n v="94.43"/>
    <n v="94.43"/>
    <n v="94.43"/>
    <n v="94.43"/>
    <n v="94.43"/>
    <n v="94.43"/>
    <n v="94.43"/>
    <n v="94.43"/>
    <n v="94.43"/>
    <n v="94.43"/>
    <n v="94.43"/>
    <n v="94.43"/>
    <n v="94.43"/>
    <n v="94.43"/>
  </r>
  <r>
    <x v="3"/>
    <s v="Walk In Closet"/>
    <n v="0"/>
    <n v="0"/>
    <n v="0"/>
    <n v="107.63"/>
    <n v="107.63"/>
    <n v="107.63"/>
    <n v="107.63"/>
    <n v="107.63"/>
    <n v="107.63"/>
    <n v="107.63"/>
    <n v="107.63"/>
    <n v="107.63"/>
    <n v="107.63"/>
    <n v="107.63"/>
    <n v="107.63"/>
    <n v="107.63"/>
    <n v="107.63"/>
  </r>
  <r>
    <x v="3"/>
    <s v="Walk In Closet"/>
    <n v="0"/>
    <n v="0"/>
    <n v="0"/>
    <n v="96.76"/>
    <n v="96.76"/>
    <n v="96.76"/>
    <n v="96.76"/>
    <n v="96.76"/>
    <n v="96.76"/>
    <n v="96.76"/>
    <n v="96.76"/>
    <n v="96.76"/>
    <n v="96.76"/>
    <n v="96.76"/>
    <n v="96.76"/>
    <n v="96.76"/>
    <n v="96.76"/>
  </r>
  <r>
    <x v="3"/>
    <s v="Walk In Closet"/>
    <n v="0"/>
    <n v="0"/>
    <n v="0"/>
    <n v="63.46"/>
    <n v="63.46"/>
    <n v="63.46"/>
    <n v="63.46"/>
    <n v="63.46"/>
    <n v="63.46"/>
    <n v="63.46"/>
    <n v="63.46"/>
    <n v="63.46"/>
    <n v="63.46"/>
    <n v="63.46"/>
    <n v="63.46"/>
    <n v="63.46"/>
    <n v="63.46"/>
  </r>
  <r>
    <x v="3"/>
    <s v="Walk In Closet"/>
    <n v="0"/>
    <n v="0"/>
    <n v="0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  <n v="154.19999999999999"/>
  </r>
  <r>
    <x v="3"/>
    <s v="Walk In Closet"/>
    <n v="0"/>
    <n v="0"/>
    <n v="0"/>
    <n v="14.37"/>
    <n v="14.37"/>
    <n v="14.37"/>
    <n v="14.37"/>
    <n v="14.37"/>
    <n v="14.37"/>
    <n v="14.37"/>
    <n v="14.37"/>
    <n v="14.37"/>
    <n v="14.37"/>
    <n v="14.37"/>
    <n v="14.37"/>
    <n v="14.37"/>
    <n v="14.37"/>
  </r>
  <r>
    <x v="3"/>
    <s v="Walk In Closet"/>
    <n v="0"/>
    <n v="0"/>
    <n v="0"/>
    <n v="96.91"/>
    <n v="96.91"/>
    <n v="96.91"/>
    <n v="96.91"/>
    <n v="96.91"/>
    <n v="96.91"/>
    <n v="96.91"/>
    <n v="96.91"/>
    <n v="96.91"/>
    <n v="96.91"/>
    <n v="96.91"/>
    <n v="96.91"/>
    <n v="96.91"/>
    <n v="96.91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409.24"/>
    <n v="409.24"/>
    <n v="409.24"/>
    <n v="409.24"/>
    <n v="409.24"/>
    <n v="409.24"/>
    <n v="409.24"/>
    <n v="409.24"/>
    <n v="409.24"/>
    <n v="409.24"/>
    <n v="409.24"/>
    <n v="409.24"/>
    <n v="409.24"/>
  </r>
  <r>
    <x v="2"/>
    <s v="Living Area"/>
    <n v="0"/>
    <n v="0"/>
    <n v="0"/>
    <n v="278.75"/>
    <n v="278.75"/>
    <n v="278.75"/>
    <n v="278.75"/>
    <n v="278.75"/>
    <n v="557.5"/>
    <n v="557.5"/>
    <n v="557.5"/>
    <n v="1115"/>
    <n v="1115"/>
    <n v="1115"/>
    <n v="1115"/>
    <n v="1115"/>
    <n v="1115"/>
  </r>
  <r>
    <x v="2"/>
    <s v="Living Area"/>
    <n v="0"/>
    <n v="0"/>
    <n v="0"/>
    <n v="47.51"/>
    <n v="47.51"/>
    <n v="47.51"/>
    <n v="47.51"/>
    <n v="47.51"/>
    <n v="47.51"/>
    <n v="47.51"/>
    <n v="47.51"/>
    <n v="47.51"/>
    <n v="47.51"/>
    <n v="47.51"/>
    <n v="47.51"/>
    <n v="47.51"/>
    <n v="47.51"/>
  </r>
  <r>
    <x v="2"/>
    <s v="Living Area"/>
    <n v="0"/>
    <n v="0"/>
    <n v="0"/>
    <n v="267.26"/>
    <n v="267.26"/>
    <n v="267.26"/>
    <n v="267.26"/>
    <n v="267.26"/>
    <n v="267.26"/>
    <n v="267.26"/>
    <n v="267.26"/>
    <n v="267.26"/>
    <n v="267.26"/>
    <n v="267.26"/>
    <n v="267.26"/>
    <n v="267.26"/>
    <n v="267.26"/>
  </r>
  <r>
    <x v="2"/>
    <s v="Living Area"/>
    <n v="0"/>
    <n v="0"/>
    <n v="0"/>
    <n v="92.162499999999994"/>
    <n v="92.162499999999994"/>
    <n v="92.162499999999994"/>
    <n v="92.162499999999994"/>
    <n v="92.162499999999994"/>
    <n v="184.32499999999999"/>
    <n v="184.32499999999999"/>
    <n v="184.32499999999999"/>
    <n v="368.65"/>
    <n v="368.65"/>
    <n v="368.65"/>
    <n v="368.65"/>
    <n v="368.65"/>
    <n v="368.65"/>
  </r>
  <r>
    <x v="2"/>
    <s v="Living Area"/>
    <n v="0"/>
    <n v="0"/>
    <n v="0"/>
    <n v="0"/>
    <n v="0"/>
    <n v="0"/>
    <n v="0"/>
    <n v="0"/>
    <n v="0"/>
    <n v="0"/>
    <n v="0"/>
    <n v="0"/>
    <n v="0"/>
    <n v="0"/>
    <n v="86.99"/>
    <n v="86.99"/>
    <n v="86.99"/>
  </r>
  <r>
    <x v="2"/>
    <s v="Living Area"/>
    <n v="0"/>
    <n v="0"/>
    <n v="0"/>
    <n v="95.27"/>
    <n v="95.27"/>
    <n v="95.27"/>
    <n v="95.27"/>
    <n v="95.27"/>
    <n v="95.27"/>
    <n v="95.27"/>
    <n v="95.27"/>
    <n v="95.27"/>
    <n v="95.27"/>
    <n v="95.27"/>
    <n v="95.27"/>
    <n v="95.27"/>
    <n v="95.27"/>
  </r>
  <r>
    <x v="2"/>
    <s v="Living Area"/>
    <n v="0"/>
    <n v="0"/>
    <n v="0"/>
    <n v="164.97"/>
    <n v="164.97"/>
    <n v="164.97"/>
    <n v="164.97"/>
    <n v="164.97"/>
    <n v="164.97"/>
    <n v="164.97"/>
    <n v="164.97"/>
    <n v="164.97"/>
    <n v="164.97"/>
    <n v="164.97"/>
    <n v="164.97"/>
    <n v="164.97"/>
    <n v="164.97"/>
  </r>
  <r>
    <x v="2"/>
    <s v="Living Area"/>
    <n v="0"/>
    <n v="0"/>
    <n v="0"/>
    <n v="187.96"/>
    <n v="187.96"/>
    <n v="187.96"/>
    <n v="187.96"/>
    <n v="187.96"/>
    <n v="187.96"/>
    <n v="187.96"/>
    <n v="187.96"/>
    <n v="187.96"/>
    <n v="187.96"/>
    <n v="187.96"/>
    <n v="187.96"/>
    <n v="187.96"/>
    <n v="187.96"/>
  </r>
  <r>
    <x v="2"/>
    <s v="Living Area"/>
    <n v="0"/>
    <n v="0"/>
    <n v="0"/>
    <n v="161.25"/>
    <n v="161.25"/>
    <n v="161.25"/>
    <n v="161.25"/>
    <n v="161.25"/>
    <n v="161.25"/>
    <n v="161.25"/>
    <n v="161.25"/>
    <n v="161.25"/>
    <n v="161.25"/>
    <n v="161.25"/>
    <n v="161.25"/>
    <n v="161.25"/>
    <n v="161.25"/>
  </r>
  <r>
    <x v="2"/>
    <s v="Living Area"/>
    <n v="0"/>
    <n v="0"/>
    <n v="0"/>
    <n v="105.72"/>
    <n v="105.72"/>
    <n v="105.72"/>
    <n v="105.72"/>
    <n v="105.72"/>
    <n v="105.72"/>
    <n v="105.72"/>
    <n v="105.72"/>
    <n v="105.72"/>
    <n v="105.72"/>
    <n v="105.72"/>
    <n v="105.72"/>
    <n v="105.72"/>
    <n v="105.72"/>
  </r>
  <r>
    <x v="2"/>
    <s v="Living Area"/>
    <n v="0"/>
    <n v="0"/>
    <n v="0"/>
    <n v="256.93"/>
    <n v="256.93"/>
    <n v="256.93"/>
    <n v="256.93"/>
    <n v="256.93"/>
    <n v="256.93"/>
    <n v="256.93"/>
    <n v="256.93"/>
    <n v="256.93"/>
    <n v="256.93"/>
    <n v="256.93"/>
    <n v="256.93"/>
    <n v="256.93"/>
    <n v="256.93"/>
  </r>
  <r>
    <x v="2"/>
    <s v="Living Area"/>
    <n v="0"/>
    <n v="0"/>
    <n v="0"/>
    <n v="25.08"/>
    <n v="25.08"/>
    <n v="25.08"/>
    <n v="25.08"/>
    <n v="25.08"/>
    <n v="25.08"/>
    <n v="25.08"/>
    <n v="25.08"/>
    <n v="25.08"/>
    <n v="25.08"/>
    <n v="25.08"/>
    <n v="25.08"/>
    <n v="25.08"/>
    <n v="25.08"/>
  </r>
  <r>
    <x v="2"/>
    <s v="Living Area"/>
    <n v="0"/>
    <n v="0"/>
    <n v="0"/>
    <n v="169.23"/>
    <n v="169.23"/>
    <n v="169.23"/>
    <n v="169.23"/>
    <n v="169.23"/>
    <n v="169.23"/>
    <n v="169.23"/>
    <n v="169.23"/>
    <n v="169.23"/>
    <n v="169.23"/>
    <n v="169.23"/>
    <n v="169.23"/>
    <n v="169.23"/>
    <n v="169.23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442.18"/>
    <n v="442.18"/>
    <n v="442.18"/>
    <n v="442.18"/>
    <n v="442.18"/>
    <n v="442.18"/>
    <n v="442.18"/>
    <n v="442.18"/>
    <n v="442.18"/>
    <n v="442.18"/>
    <n v="442.18"/>
    <n v="442.18"/>
    <n v="442.18"/>
  </r>
  <r>
    <x v="3"/>
    <s v="Bedroom"/>
    <n v="0"/>
    <n v="0"/>
    <n v="0"/>
    <n v="301.17500000000001"/>
    <n v="301.17500000000001"/>
    <n v="301.17500000000001"/>
    <n v="301.17500000000001"/>
    <n v="301.17500000000001"/>
    <n v="602.35"/>
    <n v="602.35"/>
    <n v="602.35"/>
    <n v="1204.7"/>
    <n v="1204.7"/>
    <n v="1204.7"/>
    <n v="1204.7"/>
    <n v="1204.7"/>
    <n v="1204.7"/>
  </r>
  <r>
    <x v="3"/>
    <s v="Bedroom"/>
    <n v="0"/>
    <n v="0"/>
    <n v="0"/>
    <n v="51.33"/>
    <n v="51.33"/>
    <n v="51.33"/>
    <n v="51.33"/>
    <n v="51.33"/>
    <n v="51.33"/>
    <n v="51.33"/>
    <n v="51.33"/>
    <n v="51.33"/>
    <n v="51.33"/>
    <n v="51.33"/>
    <n v="51.33"/>
    <n v="51.33"/>
    <n v="51.33"/>
  </r>
  <r>
    <x v="3"/>
    <s v="Bedroom"/>
    <n v="0"/>
    <n v="0"/>
    <n v="0"/>
    <n v="288.76"/>
    <n v="288.76"/>
    <n v="288.76"/>
    <n v="288.76"/>
    <n v="288.76"/>
    <n v="288.76"/>
    <n v="288.76"/>
    <n v="288.76"/>
    <n v="288.76"/>
    <n v="288.76"/>
    <n v="288.76"/>
    <n v="288.76"/>
    <n v="288.76"/>
    <n v="288.76"/>
  </r>
  <r>
    <x v="3"/>
    <s v="Bedroom"/>
    <n v="0"/>
    <n v="0"/>
    <n v="0"/>
    <n v="109.91500000000001"/>
    <n v="109.91500000000001"/>
    <n v="109.91500000000001"/>
    <n v="109.91500000000001"/>
    <n v="109.91500000000001"/>
    <n v="219.83"/>
    <n v="219.83"/>
    <n v="219.83"/>
    <n v="439.66"/>
    <n v="439.66"/>
    <n v="439.66"/>
    <n v="439.66"/>
    <n v="439.66"/>
    <n v="439.66"/>
  </r>
  <r>
    <x v="3"/>
    <s v="Bedroom"/>
    <n v="0"/>
    <n v="0"/>
    <n v="0"/>
    <n v="0"/>
    <n v="0"/>
    <n v="0"/>
    <n v="0"/>
    <n v="0"/>
    <n v="0"/>
    <n v="0"/>
    <n v="0"/>
    <n v="0"/>
    <n v="0"/>
    <n v="0"/>
    <n v="103.75"/>
    <n v="103.75"/>
    <n v="103.75"/>
  </r>
  <r>
    <x v="3"/>
    <s v="Bedroom"/>
    <n v="0"/>
    <n v="0"/>
    <n v="0"/>
    <n v="113.62"/>
    <n v="113.62"/>
    <n v="113.62"/>
    <n v="113.62"/>
    <n v="113.62"/>
    <n v="113.62"/>
    <n v="113.62"/>
    <n v="113.62"/>
    <n v="113.62"/>
    <n v="113.62"/>
    <n v="113.62"/>
    <n v="113.62"/>
    <n v="113.62"/>
    <n v="113.62"/>
  </r>
  <r>
    <x v="3"/>
    <s v="Bedroom"/>
    <n v="0"/>
    <n v="0"/>
    <n v="0"/>
    <n v="196.79"/>
    <n v="196.79"/>
    <n v="196.79"/>
    <n v="196.79"/>
    <n v="196.79"/>
    <n v="196.79"/>
    <n v="196.79"/>
    <n v="196.79"/>
    <n v="196.79"/>
    <n v="196.79"/>
    <n v="196.79"/>
    <n v="196.79"/>
    <n v="196.79"/>
    <n v="196.79"/>
  </r>
  <r>
    <x v="3"/>
    <s v="Bedroom"/>
    <n v="0"/>
    <n v="0"/>
    <n v="0"/>
    <n v="224.2"/>
    <n v="224.2"/>
    <n v="224.2"/>
    <n v="224.2"/>
    <n v="224.2"/>
    <n v="224.2"/>
    <n v="224.2"/>
    <n v="224.2"/>
    <n v="224.2"/>
    <n v="224.2"/>
    <n v="224.2"/>
    <n v="224.2"/>
    <n v="224.2"/>
    <n v="224.2"/>
  </r>
  <r>
    <x v="3"/>
    <s v="Bedroom"/>
    <n v="0"/>
    <n v="0"/>
    <n v="0"/>
    <n v="190.28"/>
    <n v="190.28"/>
    <n v="190.28"/>
    <n v="190.28"/>
    <n v="190.28"/>
    <n v="190.28"/>
    <n v="190.28"/>
    <n v="190.28"/>
    <n v="190.28"/>
    <n v="190.28"/>
    <n v="190.28"/>
    <n v="190.28"/>
    <n v="190.28"/>
    <n v="190.28"/>
  </r>
  <r>
    <x v="3"/>
    <s v="Bedroom"/>
    <n v="0"/>
    <n v="0"/>
    <n v="0"/>
    <n v="124.76"/>
    <n v="124.76"/>
    <n v="124.76"/>
    <n v="124.76"/>
    <n v="124.76"/>
    <n v="124.76"/>
    <n v="124.76"/>
    <n v="124.76"/>
    <n v="124.76"/>
    <n v="124.76"/>
    <n v="124.76"/>
    <n v="124.76"/>
    <n v="124.76"/>
    <n v="124.76"/>
  </r>
  <r>
    <x v="3"/>
    <s v="Bedroom"/>
    <n v="0"/>
    <n v="0"/>
    <n v="0"/>
    <n v="303.19"/>
    <n v="303.19"/>
    <n v="303.19"/>
    <n v="303.19"/>
    <n v="303.19"/>
    <n v="303.19"/>
    <n v="303.19"/>
    <n v="303.19"/>
    <n v="303.19"/>
    <n v="303.19"/>
    <n v="303.19"/>
    <n v="303.19"/>
    <n v="303.19"/>
    <n v="303.19"/>
  </r>
  <r>
    <x v="3"/>
    <s v="Bedroom"/>
    <n v="0"/>
    <n v="0"/>
    <n v="0"/>
    <n v="29.91"/>
    <n v="29.91"/>
    <n v="29.91"/>
    <n v="29.91"/>
    <n v="29.91"/>
    <n v="29.91"/>
    <n v="29.91"/>
    <n v="29.91"/>
    <n v="29.91"/>
    <n v="29.91"/>
    <n v="29.91"/>
    <n v="29.91"/>
    <n v="29.91"/>
    <n v="29.91"/>
  </r>
  <r>
    <x v="3"/>
    <s v="Bedroom"/>
    <n v="0"/>
    <n v="0"/>
    <n v="0"/>
    <n v="201.85"/>
    <n v="201.85"/>
    <n v="201.85"/>
    <n v="201.85"/>
    <n v="201.85"/>
    <n v="201.85"/>
    <n v="201.85"/>
    <n v="201.85"/>
    <n v="201.85"/>
    <n v="201.85"/>
    <n v="201.85"/>
    <n v="201.85"/>
    <n v="201.85"/>
    <n v="201.85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x v="2"/>
    <s v="Kitchen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x v="2"/>
    <s v="Kitchen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x v="2"/>
    <s v="Kitchen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x v="2"/>
    <s v="Kitchen"/>
    <n v="0"/>
    <n v="0"/>
    <n v="0"/>
    <n v="0"/>
    <n v="1243.52"/>
    <n v="1243.52"/>
    <n v="1243.52"/>
    <n v="1243.52"/>
    <n v="1243.52"/>
    <n v="1243.52"/>
    <n v="1243.52"/>
    <n v="1243.52"/>
    <n v="1243.52"/>
    <n v="1243.52"/>
    <n v="1243.52"/>
    <n v="1243.52"/>
    <n v="1243.52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3834.44"/>
    <n v="3834.44"/>
    <n v="3834.44"/>
    <n v="3834.44"/>
    <n v="3834.44"/>
  </r>
  <r>
    <x v="2"/>
    <s v="Kitchen"/>
    <n v="0"/>
    <n v="0"/>
    <n v="0"/>
    <n v="0"/>
    <n v="4714.76"/>
    <n v="4714.76"/>
    <n v="4714.76"/>
    <n v="4714.76"/>
    <n v="4714.76"/>
    <n v="4714.76"/>
    <n v="4714.76"/>
    <n v="4714.76"/>
    <n v="4714.76"/>
    <n v="4714.76"/>
    <n v="4714.76"/>
    <n v="4714.76"/>
    <n v="4714.76"/>
  </r>
  <r>
    <x v="2"/>
    <s v="Kitchen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x v="2"/>
    <s v="Kitchen"/>
    <n v="0"/>
    <n v="0"/>
    <n v="0"/>
    <n v="0"/>
    <n v="0"/>
    <n v="0"/>
    <n v="0"/>
    <n v="0"/>
    <n v="0"/>
    <n v="0"/>
    <n v="307.16000000000003"/>
    <n v="307.16000000000003"/>
    <n v="307.16000000000003"/>
    <n v="307.16000000000003"/>
    <n v="307.16000000000003"/>
    <n v="307.16000000000003"/>
    <n v="307.16000000000003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0"/>
    <n v="0"/>
    <n v="0"/>
    <n v="0"/>
    <n v="0"/>
    <n v="282.57"/>
    <n v="282.57"/>
    <n v="282.57"/>
    <n v="282.57"/>
  </r>
  <r>
    <x v="2"/>
    <s v="Kitchen"/>
    <n v="0"/>
    <n v="0"/>
    <n v="0"/>
    <n v="0"/>
    <n v="0"/>
    <n v="0"/>
    <n v="908.5"/>
    <n v="908.5"/>
    <n v="908.5"/>
    <n v="908.5"/>
    <n v="908.5"/>
    <n v="908.5"/>
    <n v="908.5"/>
    <n v="908.5"/>
    <n v="908.5"/>
    <n v="908.5"/>
    <n v="908.5"/>
  </r>
  <r>
    <x v="2"/>
    <s v="Kitchen"/>
    <n v="0"/>
    <n v="0"/>
    <n v="0"/>
    <n v="0"/>
    <n v="0"/>
    <n v="0"/>
    <n v="1132.54"/>
    <n v="1132.54"/>
    <n v="1132.54"/>
    <n v="1132.54"/>
    <n v="1132.54"/>
    <n v="1132.54"/>
    <n v="1132.54"/>
    <n v="1132.54"/>
    <n v="1132.54"/>
    <n v="1132.54"/>
    <n v="1132.54"/>
  </r>
  <r>
    <x v="2"/>
    <s v="Kitchen"/>
    <n v="0"/>
    <n v="0"/>
    <n v="0"/>
    <n v="0"/>
    <n v="0"/>
    <n v="0"/>
    <n v="1274.53"/>
    <n v="1274.53"/>
    <n v="1274.53"/>
    <n v="1274.53"/>
    <n v="1274.53"/>
    <n v="1274.53"/>
    <n v="1274.53"/>
    <n v="1274.53"/>
    <n v="1274.53"/>
    <n v="1274.53"/>
    <n v="1274.53"/>
  </r>
  <r>
    <x v="2"/>
    <s v="Kitchen"/>
    <n v="0"/>
    <n v="0"/>
    <n v="0"/>
    <n v="0"/>
    <n v="359.06"/>
    <n v="359.06"/>
    <n v="359.06"/>
    <n v="359.06"/>
    <n v="359.06"/>
    <n v="359.06"/>
    <n v="359.06"/>
    <n v="359.06"/>
    <n v="359.06"/>
    <n v="359.06"/>
    <n v="359.06"/>
    <n v="359.06"/>
    <n v="359.06"/>
  </r>
  <r>
    <x v="2"/>
    <s v="Kitchen"/>
    <n v="0"/>
    <n v="0"/>
    <n v="0"/>
    <n v="244.5675"/>
    <n v="244.5675"/>
    <n v="244.5675"/>
    <n v="244.5675"/>
    <n v="244.5675"/>
    <n v="489.13499999999999"/>
    <n v="489.13499999999999"/>
    <n v="489.13499999999999"/>
    <n v="978.27"/>
    <n v="978.27"/>
    <n v="978.27"/>
    <n v="978.27"/>
    <n v="978.27"/>
    <n v="978.27"/>
  </r>
  <r>
    <x v="2"/>
    <s v="Kitchen"/>
    <n v="0"/>
    <n v="0"/>
    <n v="0"/>
    <n v="20.84"/>
    <n v="20.84"/>
    <n v="20.84"/>
    <n v="20.84"/>
    <n v="20.84"/>
    <n v="20.84"/>
    <n v="20.84"/>
    <n v="20.84"/>
    <n v="20.84"/>
    <n v="20.84"/>
    <n v="20.84"/>
    <n v="20.84"/>
    <n v="20.84"/>
    <n v="20.84"/>
  </r>
  <r>
    <x v="2"/>
    <s v="Kitchen"/>
    <n v="0"/>
    <n v="0"/>
    <n v="0"/>
    <n v="117.23"/>
    <n v="117.23"/>
    <n v="117.23"/>
    <n v="117.23"/>
    <n v="117.23"/>
    <n v="117.23"/>
    <n v="117.23"/>
    <n v="117.23"/>
    <n v="117.23"/>
    <n v="117.23"/>
    <n v="117.23"/>
    <n v="117.23"/>
    <n v="117.23"/>
    <n v="117.23"/>
  </r>
  <r>
    <x v="2"/>
    <s v="Kitchen"/>
    <n v="0"/>
    <n v="0"/>
    <n v="0"/>
    <n v="72.754999999999995"/>
    <n v="72.754999999999995"/>
    <n v="72.754999999999995"/>
    <n v="72.754999999999995"/>
    <n v="72.754999999999995"/>
    <n v="145.51"/>
    <n v="145.51"/>
    <n v="145.51"/>
    <n v="291.02"/>
    <n v="291.02"/>
    <n v="291.02"/>
    <n v="291.02"/>
    <n v="291.02"/>
    <n v="291.02"/>
  </r>
  <r>
    <x v="2"/>
    <s v="Kitchen"/>
    <n v="0"/>
    <n v="0"/>
    <n v="0"/>
    <n v="0"/>
    <n v="0"/>
    <n v="0"/>
    <n v="0"/>
    <n v="0"/>
    <n v="0"/>
    <n v="0"/>
    <n v="0"/>
    <n v="0"/>
    <n v="0"/>
    <n v="0"/>
    <n v="68.66"/>
    <n v="68.66"/>
    <n v="68.66"/>
  </r>
  <r>
    <x v="2"/>
    <s v="Kitchen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x v="2"/>
    <s v="Kitchen"/>
    <n v="0"/>
    <n v="0"/>
    <n v="0"/>
    <n v="130.29"/>
    <n v="130.29"/>
    <n v="130.29"/>
    <n v="130.29"/>
    <n v="130.29"/>
    <n v="130.29"/>
    <n v="130.29"/>
    <n v="130.29"/>
    <n v="130.29"/>
    <n v="130.29"/>
    <n v="130.29"/>
    <n v="130.29"/>
    <n v="130.29"/>
    <n v="130.29"/>
  </r>
  <r>
    <x v="2"/>
    <s v="Kitchen"/>
    <n v="0"/>
    <n v="0"/>
    <n v="0"/>
    <n v="148.41"/>
    <n v="148.41"/>
    <n v="148.41"/>
    <n v="148.41"/>
    <n v="148.41"/>
    <n v="148.41"/>
    <n v="148.41"/>
    <n v="148.41"/>
    <n v="148.41"/>
    <n v="148.41"/>
    <n v="148.41"/>
    <n v="148.41"/>
    <n v="148.41"/>
    <n v="148.41"/>
  </r>
  <r>
    <x v="2"/>
    <s v="Kitchen"/>
    <n v="0"/>
    <n v="0"/>
    <n v="0"/>
    <n v="129.52000000000001"/>
    <n v="129.52000000000001"/>
    <n v="129.52000000000001"/>
    <n v="129.52000000000001"/>
    <n v="129.52000000000001"/>
    <n v="129.52000000000001"/>
    <n v="129.52000000000001"/>
    <n v="129.52000000000001"/>
    <n v="129.52000000000001"/>
    <n v="129.52000000000001"/>
    <n v="129.52000000000001"/>
    <n v="129.52000000000001"/>
    <n v="129.52000000000001"/>
    <n v="129.52000000000001"/>
  </r>
  <r>
    <x v="2"/>
    <s v="Kitchen"/>
    <n v="0"/>
    <n v="0"/>
    <n v="0"/>
    <n v="84.94"/>
    <n v="84.94"/>
    <n v="84.94"/>
    <n v="84.94"/>
    <n v="84.94"/>
    <n v="84.94"/>
    <n v="84.94"/>
    <n v="84.94"/>
    <n v="84.94"/>
    <n v="84.94"/>
    <n v="84.94"/>
    <n v="84.94"/>
    <n v="84.94"/>
    <n v="84.94"/>
  </r>
  <r>
    <x v="2"/>
    <s v="Kitchen"/>
    <n v="0"/>
    <n v="0"/>
    <n v="0"/>
    <n v="206.4"/>
    <n v="206.4"/>
    <n v="206.4"/>
    <n v="206.4"/>
    <n v="206.4"/>
    <n v="206.4"/>
    <n v="206.4"/>
    <n v="206.4"/>
    <n v="206.4"/>
    <n v="206.4"/>
    <n v="206.4"/>
    <n v="206.4"/>
    <n v="206.4"/>
    <n v="206.4"/>
  </r>
  <r>
    <x v="2"/>
    <s v="Kitchen"/>
    <n v="0"/>
    <n v="0"/>
    <n v="0"/>
    <n v="19.8"/>
    <n v="19.8"/>
    <n v="19.8"/>
    <n v="19.8"/>
    <n v="19.8"/>
    <n v="19.8"/>
    <n v="19.8"/>
    <n v="19.8"/>
    <n v="19.8"/>
    <n v="19.8"/>
    <n v="19.8"/>
    <n v="19.8"/>
    <n v="19.8"/>
    <n v="19.8"/>
  </r>
  <r>
    <x v="2"/>
    <s v="Kitchen"/>
    <n v="0"/>
    <n v="0"/>
    <n v="0"/>
    <n v="133.6"/>
    <n v="133.6"/>
    <n v="133.6"/>
    <n v="133.6"/>
    <n v="133.6"/>
    <n v="133.6"/>
    <n v="133.6"/>
    <n v="133.6"/>
    <n v="133.6"/>
    <n v="133.6"/>
    <n v="133.6"/>
    <n v="133.6"/>
    <n v="133.6"/>
    <n v="133.6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511.18"/>
    <n v="511.18"/>
    <n v="511.18"/>
    <n v="511.18"/>
    <n v="511.18"/>
    <n v="511.18"/>
    <n v="511.18"/>
    <n v="511.18"/>
    <n v="511.18"/>
    <n v="511.18"/>
    <n v="511.18"/>
    <n v="511.18"/>
    <n v="511.18"/>
  </r>
  <r>
    <x v="3"/>
    <s v="Bedroom"/>
    <n v="0"/>
    <n v="0"/>
    <n v="0"/>
    <n v="348.17250000000001"/>
    <n v="348.17250000000001"/>
    <n v="348.17250000000001"/>
    <n v="348.17250000000001"/>
    <n v="348.17250000000001"/>
    <n v="696.34500000000003"/>
    <n v="696.34500000000003"/>
    <n v="696.34500000000003"/>
    <n v="1392.69"/>
    <n v="1392.69"/>
    <n v="1392.69"/>
    <n v="1392.69"/>
    <n v="1392.69"/>
    <n v="1392.69"/>
  </r>
  <r>
    <x v="3"/>
    <s v="Bedroom"/>
    <n v="0"/>
    <n v="0"/>
    <n v="0"/>
    <n v="59.32"/>
    <n v="59.32"/>
    <n v="59.32"/>
    <n v="59.32"/>
    <n v="59.32"/>
    <n v="59.32"/>
    <n v="59.32"/>
    <n v="59.32"/>
    <n v="59.32"/>
    <n v="59.32"/>
    <n v="59.32"/>
    <n v="59.32"/>
    <n v="59.32"/>
    <n v="59.32"/>
  </r>
  <r>
    <x v="3"/>
    <s v="Bedroom"/>
    <n v="0"/>
    <n v="0"/>
    <n v="0"/>
    <n v="333.81"/>
    <n v="333.81"/>
    <n v="333.81"/>
    <n v="333.81"/>
    <n v="333.81"/>
    <n v="333.81"/>
    <n v="333.81"/>
    <n v="333.81"/>
    <n v="333.81"/>
    <n v="333.81"/>
    <n v="333.81"/>
    <n v="333.81"/>
    <n v="333.81"/>
    <n v="333.81"/>
  </r>
  <r>
    <x v="3"/>
    <s v="Bedroom"/>
    <n v="0"/>
    <n v="0"/>
    <n v="0"/>
    <n v="147.12"/>
    <n v="147.12"/>
    <n v="147.12"/>
    <n v="147.12"/>
    <n v="147.12"/>
    <n v="294.24"/>
    <n v="294.24"/>
    <n v="294.24"/>
    <n v="588.48"/>
    <n v="588.48"/>
    <n v="588.48"/>
    <n v="588.48"/>
    <n v="588.48"/>
    <n v="588.48"/>
  </r>
  <r>
    <x v="3"/>
    <s v="Bedroom"/>
    <n v="0"/>
    <n v="0"/>
    <n v="0"/>
    <n v="0"/>
    <n v="0"/>
    <n v="0"/>
    <n v="0"/>
    <n v="0"/>
    <n v="0"/>
    <n v="0"/>
    <n v="0"/>
    <n v="0"/>
    <n v="0"/>
    <n v="0"/>
    <n v="138.85"/>
    <n v="138.85"/>
    <n v="138.85"/>
  </r>
  <r>
    <x v="3"/>
    <s v="Bedroom"/>
    <n v="0"/>
    <n v="0"/>
    <n v="0"/>
    <n v="152.07"/>
    <n v="152.07"/>
    <n v="152.07"/>
    <n v="152.07"/>
    <n v="152.07"/>
    <n v="152.07"/>
    <n v="152.07"/>
    <n v="152.07"/>
    <n v="152.07"/>
    <n v="152.07"/>
    <n v="152.07"/>
    <n v="152.07"/>
    <n v="152.07"/>
    <n v="152.07"/>
  </r>
  <r>
    <x v="3"/>
    <s v="Bedroom"/>
    <n v="0"/>
    <n v="0"/>
    <n v="0"/>
    <n v="263.36"/>
    <n v="263.36"/>
    <n v="263.36"/>
    <n v="263.36"/>
    <n v="263.36"/>
    <n v="263.36"/>
    <n v="263.36"/>
    <n v="263.36"/>
    <n v="263.36"/>
    <n v="263.36"/>
    <n v="263.36"/>
    <n v="263.36"/>
    <n v="263.36"/>
    <n v="263.36"/>
  </r>
  <r>
    <x v="3"/>
    <s v="Bedroom"/>
    <n v="0"/>
    <n v="0"/>
    <n v="0"/>
    <n v="300.08"/>
    <n v="300.08"/>
    <n v="300.08"/>
    <n v="300.08"/>
    <n v="300.08"/>
    <n v="300.08"/>
    <n v="300.08"/>
    <n v="300.08"/>
    <n v="300.08"/>
    <n v="300.08"/>
    <n v="300.08"/>
    <n v="300.08"/>
    <n v="300.08"/>
    <n v="300.08"/>
  </r>
  <r>
    <x v="3"/>
    <s v="Bedroom"/>
    <n v="0"/>
    <n v="0"/>
    <n v="0"/>
    <n v="251.14"/>
    <n v="251.14"/>
    <n v="251.14"/>
    <n v="251.14"/>
    <n v="251.14"/>
    <n v="251.14"/>
    <n v="251.14"/>
    <n v="251.14"/>
    <n v="251.14"/>
    <n v="251.14"/>
    <n v="251.14"/>
    <n v="251.14"/>
    <n v="251.14"/>
    <n v="251.14"/>
  </r>
  <r>
    <x v="3"/>
    <s v="Bedroom"/>
    <n v="0"/>
    <n v="0"/>
    <n v="0"/>
    <n v="164.66"/>
    <n v="164.66"/>
    <n v="164.66"/>
    <n v="164.66"/>
    <n v="164.66"/>
    <n v="164.66"/>
    <n v="164.66"/>
    <n v="164.66"/>
    <n v="164.66"/>
    <n v="164.66"/>
    <n v="164.66"/>
    <n v="164.66"/>
    <n v="164.66"/>
    <n v="164.66"/>
  </r>
  <r>
    <x v="3"/>
    <s v="Bedroom"/>
    <n v="0"/>
    <n v="0"/>
    <n v="0"/>
    <n v="400.17"/>
    <n v="400.17"/>
    <n v="400.17"/>
    <n v="400.17"/>
    <n v="400.17"/>
    <n v="400.17"/>
    <n v="400.17"/>
    <n v="400.17"/>
    <n v="400.17"/>
    <n v="400.17"/>
    <n v="400.17"/>
    <n v="400.17"/>
    <n v="400.17"/>
    <n v="400.17"/>
  </r>
  <r>
    <x v="3"/>
    <s v="Bedroom"/>
    <n v="0"/>
    <n v="0"/>
    <n v="0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</r>
  <r>
    <x v="3"/>
    <s v="Bedroom"/>
    <n v="0"/>
    <n v="0"/>
    <n v="0"/>
    <n v="270.16000000000003"/>
    <n v="270.16000000000003"/>
    <n v="270.16000000000003"/>
    <n v="270.16000000000003"/>
    <n v="270.16000000000003"/>
    <n v="270.16000000000003"/>
    <n v="270.16000000000003"/>
    <n v="270.16000000000003"/>
    <n v="270.16000000000003"/>
    <n v="270.16000000000003"/>
    <n v="270.16000000000003"/>
    <n v="270.16000000000003"/>
    <n v="270.16000000000003"/>
    <n v="270.16000000000003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341.84"/>
    <n v="341.84"/>
    <n v="341.84"/>
    <n v="341.84"/>
    <n v="341.84"/>
    <n v="341.84"/>
    <n v="341.84"/>
    <n v="341.84"/>
    <n v="341.84"/>
    <n v="341.84"/>
    <n v="341.84"/>
    <n v="341.84"/>
    <n v="341.84"/>
  </r>
  <r>
    <x v="3"/>
    <s v="Bedroom"/>
    <n v="0"/>
    <n v="0"/>
    <n v="0"/>
    <n v="232.82749999999999"/>
    <n v="232.82749999999999"/>
    <n v="232.82749999999999"/>
    <n v="232.82749999999999"/>
    <n v="232.82749999999999"/>
    <n v="465.65499999999997"/>
    <n v="465.65499999999997"/>
    <n v="465.65499999999997"/>
    <n v="931.31"/>
    <n v="931.31"/>
    <n v="931.31"/>
    <n v="931.31"/>
    <n v="931.31"/>
    <n v="931.31"/>
  </r>
  <r>
    <x v="3"/>
    <s v="Bedroom"/>
    <n v="0"/>
    <n v="0"/>
    <n v="0"/>
    <n v="39.68"/>
    <n v="39.68"/>
    <n v="39.68"/>
    <n v="39.68"/>
    <n v="39.68"/>
    <n v="39.68"/>
    <n v="39.68"/>
    <n v="39.68"/>
    <n v="39.68"/>
    <n v="39.68"/>
    <n v="39.68"/>
    <n v="39.68"/>
    <n v="39.68"/>
    <n v="39.68"/>
  </r>
  <r>
    <x v="3"/>
    <s v="Bedroom"/>
    <n v="0"/>
    <n v="0"/>
    <n v="0"/>
    <n v="223.21"/>
    <n v="223.21"/>
    <n v="223.21"/>
    <n v="223.21"/>
    <n v="223.21"/>
    <n v="223.21"/>
    <n v="223.21"/>
    <n v="223.21"/>
    <n v="223.21"/>
    <n v="223.21"/>
    <n v="223.21"/>
    <n v="223.21"/>
    <n v="223.21"/>
    <n v="223.21"/>
  </r>
  <r>
    <x v="3"/>
    <s v="Bedroom"/>
    <n v="0"/>
    <n v="0"/>
    <n v="0"/>
    <n v="66.09"/>
    <n v="66.09"/>
    <n v="66.09"/>
    <n v="66.09"/>
    <n v="66.09"/>
    <n v="132.18"/>
    <n v="132.18"/>
    <n v="132.18"/>
    <n v="264.36"/>
    <n v="264.36"/>
    <n v="264.36"/>
    <n v="264.36"/>
    <n v="264.36"/>
    <n v="264.36"/>
  </r>
  <r>
    <x v="3"/>
    <s v="Bedroom"/>
    <n v="0"/>
    <n v="0"/>
    <n v="0"/>
    <n v="0"/>
    <n v="0"/>
    <n v="0"/>
    <n v="0"/>
    <n v="0"/>
    <n v="0"/>
    <n v="0"/>
    <n v="0"/>
    <n v="0"/>
    <n v="0"/>
    <n v="0"/>
    <n v="62.38"/>
    <n v="62.38"/>
    <n v="62.38"/>
  </r>
  <r>
    <x v="3"/>
    <s v="Bedroom"/>
    <n v="0"/>
    <n v="0"/>
    <n v="0"/>
    <n v="68.31"/>
    <n v="68.31"/>
    <n v="68.31"/>
    <n v="68.31"/>
    <n v="68.31"/>
    <n v="68.31"/>
    <n v="68.31"/>
    <n v="68.31"/>
    <n v="68.31"/>
    <n v="68.31"/>
    <n v="68.31"/>
    <n v="68.31"/>
    <n v="68.31"/>
    <n v="68.31"/>
  </r>
  <r>
    <x v="3"/>
    <s v="Bedroom"/>
    <n v="0"/>
    <n v="0"/>
    <n v="0"/>
    <n v="118.33"/>
    <n v="118.33"/>
    <n v="118.33"/>
    <n v="118.33"/>
    <n v="118.33"/>
    <n v="118.33"/>
    <n v="118.33"/>
    <n v="118.33"/>
    <n v="118.33"/>
    <n v="118.33"/>
    <n v="118.33"/>
    <n v="118.33"/>
    <n v="118.33"/>
    <n v="118.33"/>
  </r>
  <r>
    <x v="3"/>
    <s v="Bedroom"/>
    <n v="0"/>
    <n v="0"/>
    <n v="0"/>
    <n v="134.84"/>
    <n v="134.84"/>
    <n v="134.84"/>
    <n v="134.84"/>
    <n v="134.84"/>
    <n v="134.84"/>
    <n v="134.84"/>
    <n v="134.84"/>
    <n v="134.84"/>
    <n v="134.84"/>
    <n v="134.84"/>
    <n v="134.84"/>
    <n v="134.84"/>
    <n v="134.84"/>
  </r>
  <r>
    <x v="3"/>
    <s v="Bedroom"/>
    <n v="0"/>
    <n v="0"/>
    <n v="0"/>
    <n v="118.59"/>
    <n v="118.59"/>
    <n v="118.59"/>
    <n v="118.59"/>
    <n v="118.59"/>
    <n v="118.59"/>
    <n v="118.59"/>
    <n v="118.59"/>
    <n v="118.59"/>
    <n v="118.59"/>
    <n v="118.59"/>
    <n v="118.59"/>
    <n v="118.59"/>
    <n v="118.59"/>
  </r>
  <r>
    <x v="3"/>
    <s v="Bedroom"/>
    <n v="0"/>
    <n v="0"/>
    <n v="0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</r>
  <r>
    <x v="3"/>
    <s v="Bedroom"/>
    <n v="0"/>
    <n v="0"/>
    <n v="0"/>
    <n v="188.97"/>
    <n v="188.97"/>
    <n v="188.97"/>
    <n v="188.97"/>
    <n v="188.97"/>
    <n v="188.97"/>
    <n v="188.97"/>
    <n v="188.97"/>
    <n v="188.97"/>
    <n v="188.97"/>
    <n v="188.97"/>
    <n v="188.97"/>
    <n v="188.97"/>
    <n v="188.97"/>
  </r>
  <r>
    <x v="3"/>
    <s v="Bedroom"/>
    <n v="0"/>
    <n v="0"/>
    <n v="0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</r>
  <r>
    <x v="3"/>
    <s v="Bedroom"/>
    <n v="0"/>
    <n v="0"/>
    <n v="0"/>
    <n v="121.4"/>
    <n v="121.4"/>
    <n v="121.4"/>
    <n v="121.4"/>
    <n v="121.4"/>
    <n v="121.4"/>
    <n v="121.4"/>
    <n v="121.4"/>
    <n v="121.4"/>
    <n v="121.4"/>
    <n v="121.4"/>
    <n v="121.4"/>
    <n v="121.4"/>
    <n v="121.4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341.84"/>
    <n v="341.84"/>
    <n v="341.84"/>
    <n v="341.84"/>
    <n v="341.84"/>
    <n v="341.84"/>
    <n v="341.84"/>
    <n v="341.84"/>
    <n v="341.84"/>
    <n v="341.84"/>
    <n v="341.84"/>
    <n v="341.84"/>
    <n v="341.84"/>
  </r>
  <r>
    <x v="2"/>
    <s v="Nook"/>
    <n v="0"/>
    <n v="0"/>
    <n v="0"/>
    <n v="232.82749999999999"/>
    <n v="232.82749999999999"/>
    <n v="232.82749999999999"/>
    <n v="232.82749999999999"/>
    <n v="232.82749999999999"/>
    <n v="465.65499999999997"/>
    <n v="465.65499999999997"/>
    <n v="465.65499999999997"/>
    <n v="931.31"/>
    <n v="931.31"/>
    <n v="931.31"/>
    <n v="931.31"/>
    <n v="931.31"/>
    <n v="931.31"/>
  </r>
  <r>
    <x v="2"/>
    <s v="Nook"/>
    <n v="0"/>
    <n v="0"/>
    <n v="0"/>
    <n v="39.68"/>
    <n v="39.68"/>
    <n v="39.68"/>
    <n v="39.68"/>
    <n v="39.68"/>
    <n v="39.68"/>
    <n v="39.68"/>
    <n v="39.68"/>
    <n v="39.68"/>
    <n v="39.68"/>
    <n v="39.68"/>
    <n v="39.68"/>
    <n v="39.68"/>
    <n v="39.68"/>
  </r>
  <r>
    <x v="2"/>
    <s v="Nook"/>
    <n v="0"/>
    <n v="0"/>
    <n v="0"/>
    <n v="223.21"/>
    <n v="223.21"/>
    <n v="223.21"/>
    <n v="223.21"/>
    <n v="223.21"/>
    <n v="223.21"/>
    <n v="223.21"/>
    <n v="223.21"/>
    <n v="223.21"/>
    <n v="223.21"/>
    <n v="223.21"/>
    <n v="223.21"/>
    <n v="223.21"/>
    <n v="223.21"/>
  </r>
  <r>
    <x v="2"/>
    <s v="Nook"/>
    <n v="0"/>
    <n v="0"/>
    <n v="0"/>
    <n v="66.09"/>
    <n v="66.09"/>
    <n v="66.09"/>
    <n v="66.09"/>
    <n v="66.09"/>
    <n v="132.18"/>
    <n v="132.18"/>
    <n v="132.18"/>
    <n v="264.36"/>
    <n v="264.36"/>
    <n v="264.36"/>
    <n v="264.36"/>
    <n v="264.36"/>
    <n v="264.36"/>
  </r>
  <r>
    <x v="2"/>
    <s v="Nook"/>
    <n v="0"/>
    <n v="0"/>
    <n v="0"/>
    <n v="0"/>
    <n v="0"/>
    <n v="0"/>
    <n v="0"/>
    <n v="0"/>
    <n v="0"/>
    <n v="0"/>
    <n v="0"/>
    <n v="0"/>
    <n v="0"/>
    <n v="0"/>
    <n v="62.38"/>
    <n v="62.38"/>
    <n v="62.38"/>
  </r>
  <r>
    <x v="2"/>
    <s v="Nook"/>
    <n v="0"/>
    <n v="0"/>
    <n v="0"/>
    <n v="68.31"/>
    <n v="68.31"/>
    <n v="68.31"/>
    <n v="68.31"/>
    <n v="68.31"/>
    <n v="68.31"/>
    <n v="68.31"/>
    <n v="68.31"/>
    <n v="68.31"/>
    <n v="68.31"/>
    <n v="68.31"/>
    <n v="68.31"/>
    <n v="68.31"/>
    <n v="68.31"/>
  </r>
  <r>
    <x v="2"/>
    <s v="Nook"/>
    <n v="0"/>
    <n v="0"/>
    <n v="0"/>
    <n v="118.33"/>
    <n v="118.33"/>
    <n v="118.33"/>
    <n v="118.33"/>
    <n v="118.33"/>
    <n v="118.33"/>
    <n v="118.33"/>
    <n v="118.33"/>
    <n v="118.33"/>
    <n v="118.33"/>
    <n v="118.33"/>
    <n v="118.33"/>
    <n v="118.33"/>
    <n v="118.33"/>
  </r>
  <r>
    <x v="2"/>
    <s v="Nook"/>
    <n v="0"/>
    <n v="0"/>
    <n v="0"/>
    <n v="134.84"/>
    <n v="134.84"/>
    <n v="134.84"/>
    <n v="134.84"/>
    <n v="134.84"/>
    <n v="134.84"/>
    <n v="134.84"/>
    <n v="134.84"/>
    <n v="134.84"/>
    <n v="134.84"/>
    <n v="134.84"/>
    <n v="134.84"/>
    <n v="134.84"/>
    <n v="134.84"/>
  </r>
  <r>
    <x v="2"/>
    <s v="Nook"/>
    <n v="0"/>
    <n v="0"/>
    <n v="0"/>
    <n v="118.59"/>
    <n v="118.59"/>
    <n v="118.59"/>
    <n v="118.59"/>
    <n v="118.59"/>
    <n v="118.59"/>
    <n v="118.59"/>
    <n v="118.59"/>
    <n v="118.59"/>
    <n v="118.59"/>
    <n v="118.59"/>
    <n v="118.59"/>
    <n v="118.59"/>
    <n v="118.59"/>
  </r>
  <r>
    <x v="2"/>
    <s v="Nook"/>
    <n v="0"/>
    <n v="0"/>
    <n v="0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  <n v="77.760000000000005"/>
  </r>
  <r>
    <x v="2"/>
    <s v="Nook"/>
    <n v="0"/>
    <n v="0"/>
    <n v="0"/>
    <n v="188.97"/>
    <n v="188.97"/>
    <n v="188.97"/>
    <n v="188.97"/>
    <n v="188.97"/>
    <n v="188.97"/>
    <n v="188.97"/>
    <n v="188.97"/>
    <n v="188.97"/>
    <n v="188.97"/>
    <n v="188.97"/>
    <n v="188.97"/>
    <n v="188.97"/>
    <n v="188.97"/>
  </r>
  <r>
    <x v="2"/>
    <s v="Nook"/>
    <n v="0"/>
    <n v="0"/>
    <n v="0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  <n v="17.989999999999998"/>
  </r>
  <r>
    <x v="2"/>
    <s v="Nook"/>
    <n v="0"/>
    <n v="0"/>
    <n v="0"/>
    <n v="121.4"/>
    <n v="121.4"/>
    <n v="121.4"/>
    <n v="121.4"/>
    <n v="121.4"/>
    <n v="121.4"/>
    <n v="121.4"/>
    <n v="121.4"/>
    <n v="121.4"/>
    <n v="121.4"/>
    <n v="121.4"/>
    <n v="121.4"/>
    <n v="121.4"/>
    <n v="121.4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578.6"/>
    <n v="578.6"/>
    <n v="578.6"/>
    <n v="578.6"/>
    <n v="578.6"/>
    <n v="578.6"/>
    <n v="578.6"/>
    <n v="578.6"/>
    <n v="578.6"/>
    <n v="578.6"/>
    <n v="578.6"/>
    <n v="578.6"/>
    <n v="578.6"/>
  </r>
  <r>
    <x v="2"/>
    <s v="Living Area"/>
    <n v="0"/>
    <n v="0"/>
    <n v="0"/>
    <n v="394.09"/>
    <n v="394.09"/>
    <n v="394.09"/>
    <n v="394.09"/>
    <n v="394.09"/>
    <n v="788.18"/>
    <n v="788.18"/>
    <n v="788.18"/>
    <n v="1576.36"/>
    <n v="1576.36"/>
    <n v="1576.36"/>
    <n v="1576.36"/>
    <n v="1576.36"/>
    <n v="1576.36"/>
  </r>
  <r>
    <x v="2"/>
    <s v="Living Area"/>
    <n v="0"/>
    <n v="0"/>
    <n v="0"/>
    <n v="67.17"/>
    <n v="67.17"/>
    <n v="67.17"/>
    <n v="67.17"/>
    <n v="67.17"/>
    <n v="67.17"/>
    <n v="67.17"/>
    <n v="67.17"/>
    <n v="67.17"/>
    <n v="67.17"/>
    <n v="67.17"/>
    <n v="67.17"/>
    <n v="67.17"/>
    <n v="67.17"/>
  </r>
  <r>
    <x v="2"/>
    <s v="Living Area"/>
    <n v="0"/>
    <n v="0"/>
    <n v="0"/>
    <n v="377.86"/>
    <n v="377.86"/>
    <n v="377.86"/>
    <n v="377.86"/>
    <n v="377.86"/>
    <n v="377.86"/>
    <n v="377.86"/>
    <n v="377.86"/>
    <n v="377.86"/>
    <n v="377.86"/>
    <n v="377.86"/>
    <n v="377.86"/>
    <n v="377.86"/>
    <n v="377.86"/>
  </r>
  <r>
    <x v="2"/>
    <s v="Living Area"/>
    <n v="0"/>
    <n v="0"/>
    <n v="0"/>
    <n v="183.47749999999999"/>
    <n v="183.47749999999999"/>
    <n v="183.47749999999999"/>
    <n v="183.47749999999999"/>
    <n v="183.47749999999999"/>
    <n v="366.95499999999998"/>
    <n v="366.95499999999998"/>
    <n v="366.95499999999998"/>
    <n v="733.91"/>
    <n v="733.91"/>
    <n v="733.91"/>
    <n v="733.91"/>
    <n v="733.91"/>
    <n v="733.91"/>
  </r>
  <r>
    <x v="2"/>
    <s v="Living Area"/>
    <n v="0"/>
    <n v="0"/>
    <n v="0"/>
    <n v="0"/>
    <n v="0"/>
    <n v="0"/>
    <n v="0"/>
    <n v="0"/>
    <n v="0"/>
    <n v="0"/>
    <n v="0"/>
    <n v="0"/>
    <n v="0"/>
    <n v="0"/>
    <n v="173.17"/>
    <n v="173.17"/>
    <n v="173.17"/>
  </r>
  <r>
    <x v="2"/>
    <s v="Living Area"/>
    <n v="0"/>
    <n v="0"/>
    <n v="0"/>
    <n v="189.67"/>
    <n v="189.67"/>
    <n v="189.67"/>
    <n v="189.67"/>
    <n v="189.67"/>
    <n v="189.67"/>
    <n v="189.67"/>
    <n v="189.67"/>
    <n v="189.67"/>
    <n v="189.67"/>
    <n v="189.67"/>
    <n v="189.67"/>
    <n v="189.67"/>
    <n v="189.67"/>
  </r>
  <r>
    <x v="2"/>
    <s v="Living Area"/>
    <n v="0"/>
    <n v="0"/>
    <n v="0"/>
    <n v="328.43"/>
    <n v="328.43"/>
    <n v="328.43"/>
    <n v="328.43"/>
    <n v="328.43"/>
    <n v="328.43"/>
    <n v="328.43"/>
    <n v="328.43"/>
    <n v="328.43"/>
    <n v="328.43"/>
    <n v="328.43"/>
    <n v="328.43"/>
    <n v="328.43"/>
    <n v="328.43"/>
  </r>
  <r>
    <x v="2"/>
    <s v="Living Area"/>
    <n v="0"/>
    <n v="0"/>
    <n v="0"/>
    <n v="374.25"/>
    <n v="374.25"/>
    <n v="374.25"/>
    <n v="374.25"/>
    <n v="374.25"/>
    <n v="374.25"/>
    <n v="374.25"/>
    <n v="374.25"/>
    <n v="374.25"/>
    <n v="374.25"/>
    <n v="374.25"/>
    <n v="374.25"/>
    <n v="374.25"/>
    <n v="374.25"/>
  </r>
  <r>
    <x v="2"/>
    <s v="Living Area"/>
    <n v="0"/>
    <n v="0"/>
    <n v="0"/>
    <n v="310.64"/>
    <n v="310.64"/>
    <n v="310.64"/>
    <n v="310.64"/>
    <n v="310.64"/>
    <n v="310.64"/>
    <n v="310.64"/>
    <n v="310.64"/>
    <n v="310.64"/>
    <n v="310.64"/>
    <n v="310.64"/>
    <n v="310.64"/>
    <n v="310.64"/>
    <n v="310.64"/>
  </r>
  <r>
    <x v="2"/>
    <s v="Living Area"/>
    <n v="0"/>
    <n v="0"/>
    <n v="0"/>
    <n v="203.67"/>
    <n v="203.67"/>
    <n v="203.67"/>
    <n v="203.67"/>
    <n v="203.67"/>
    <n v="203.67"/>
    <n v="203.67"/>
    <n v="203.67"/>
    <n v="203.67"/>
    <n v="203.67"/>
    <n v="203.67"/>
    <n v="203.67"/>
    <n v="203.67"/>
    <n v="203.67"/>
  </r>
  <r>
    <x v="2"/>
    <s v="Living Area"/>
    <n v="0"/>
    <n v="0"/>
    <n v="0"/>
    <n v="494.97"/>
    <n v="494.97"/>
    <n v="494.97"/>
    <n v="494.97"/>
    <n v="494.97"/>
    <n v="494.97"/>
    <n v="494.97"/>
    <n v="494.97"/>
    <n v="494.97"/>
    <n v="494.97"/>
    <n v="494.97"/>
    <n v="494.97"/>
    <n v="494.97"/>
    <n v="494.97"/>
  </r>
  <r>
    <x v="2"/>
    <s v="Living Area"/>
    <n v="0"/>
    <n v="0"/>
    <n v="0"/>
    <n v="49.94"/>
    <n v="49.94"/>
    <n v="49.94"/>
    <n v="49.94"/>
    <n v="49.94"/>
    <n v="49.94"/>
    <n v="49.94"/>
    <n v="49.94"/>
    <n v="49.94"/>
    <n v="49.94"/>
    <n v="49.94"/>
    <n v="49.94"/>
    <n v="49.94"/>
    <n v="49.94"/>
  </r>
  <r>
    <x v="2"/>
    <s v="Living Area"/>
    <n v="0"/>
    <n v="0"/>
    <n v="0"/>
    <n v="336.94"/>
    <n v="336.94"/>
    <n v="336.94"/>
    <n v="336.94"/>
    <n v="336.94"/>
    <n v="336.94"/>
    <n v="336.94"/>
    <n v="336.94"/>
    <n v="336.94"/>
    <n v="336.94"/>
    <n v="336.94"/>
    <n v="336.94"/>
    <n v="336.94"/>
    <n v="336.94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3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Hallway"/>
    <n v="0"/>
    <n v="0"/>
    <n v="0"/>
    <n v="0"/>
    <n v="357.5"/>
    <n v="357.5"/>
    <n v="357.5"/>
    <n v="357.5"/>
    <n v="357.5"/>
    <n v="357.5"/>
    <n v="357.5"/>
    <n v="357.5"/>
    <n v="357.5"/>
    <n v="357.5"/>
    <n v="357.5"/>
    <n v="357.5"/>
    <n v="357.5"/>
  </r>
  <r>
    <x v="3"/>
    <s v="Hallway"/>
    <n v="0"/>
    <n v="0"/>
    <n v="0"/>
    <n v="243.505"/>
    <n v="243.505"/>
    <n v="243.505"/>
    <n v="243.505"/>
    <n v="243.505"/>
    <n v="487.01"/>
    <n v="487.01"/>
    <n v="487.01"/>
    <n v="974.02"/>
    <n v="974.02"/>
    <n v="974.02"/>
    <n v="974.02"/>
    <n v="974.02"/>
    <n v="974.02"/>
  </r>
  <r>
    <x v="3"/>
    <s v="Hallway"/>
    <n v="0"/>
    <n v="0"/>
    <n v="0"/>
    <n v="41.5"/>
    <n v="41.5"/>
    <n v="41.5"/>
    <n v="41.5"/>
    <n v="41.5"/>
    <n v="41.5"/>
    <n v="41.5"/>
    <n v="41.5"/>
    <n v="41.5"/>
    <n v="41.5"/>
    <n v="41.5"/>
    <n v="41.5"/>
    <n v="41.5"/>
    <n v="41.5"/>
  </r>
  <r>
    <x v="3"/>
    <s v="Hallway"/>
    <n v="0"/>
    <n v="0"/>
    <n v="0"/>
    <n v="233.48"/>
    <n v="233.48"/>
    <n v="233.48"/>
    <n v="233.48"/>
    <n v="233.48"/>
    <n v="233.48"/>
    <n v="233.48"/>
    <n v="233.48"/>
    <n v="233.48"/>
    <n v="233.48"/>
    <n v="233.48"/>
    <n v="233.48"/>
    <n v="233.48"/>
    <n v="233.48"/>
  </r>
  <r>
    <x v="3"/>
    <s v="Hallway"/>
    <n v="0"/>
    <n v="0"/>
    <n v="0"/>
    <n v="58.94"/>
    <n v="58.94"/>
    <n v="58.94"/>
    <n v="58.94"/>
    <n v="58.94"/>
    <n v="117.88"/>
    <n v="117.88"/>
    <n v="117.88"/>
    <n v="235.76"/>
    <n v="235.76"/>
    <n v="235.76"/>
    <n v="235.76"/>
    <n v="235.76"/>
    <n v="235.76"/>
  </r>
  <r>
    <x v="3"/>
    <s v="Hallway"/>
    <n v="0"/>
    <n v="0"/>
    <n v="0"/>
    <n v="0"/>
    <n v="0"/>
    <n v="0"/>
    <n v="0"/>
    <n v="0"/>
    <n v="0"/>
    <n v="0"/>
    <n v="0"/>
    <n v="0"/>
    <n v="0"/>
    <n v="0"/>
    <n v="55.64"/>
    <n v="55.64"/>
    <n v="55.64"/>
  </r>
  <r>
    <x v="3"/>
    <s v="Hallway"/>
    <n v="0"/>
    <n v="0"/>
    <n v="0"/>
    <n v="60.93"/>
    <n v="60.93"/>
    <n v="60.93"/>
    <n v="60.93"/>
    <n v="60.93"/>
    <n v="60.93"/>
    <n v="60.93"/>
    <n v="60.93"/>
    <n v="60.93"/>
    <n v="60.93"/>
    <n v="60.93"/>
    <n v="60.93"/>
    <n v="60.93"/>
    <n v="60.93"/>
  </r>
  <r>
    <x v="3"/>
    <s v="Hallway"/>
    <n v="0"/>
    <n v="0"/>
    <n v="0"/>
    <n v="105.49"/>
    <n v="105.49"/>
    <n v="105.49"/>
    <n v="105.49"/>
    <n v="105.49"/>
    <n v="105.49"/>
    <n v="105.49"/>
    <n v="105.49"/>
    <n v="105.49"/>
    <n v="105.49"/>
    <n v="105.49"/>
    <n v="105.49"/>
    <n v="105.49"/>
    <n v="105.49"/>
  </r>
  <r>
    <x v="3"/>
    <s v="Hallway"/>
    <n v="0"/>
    <n v="0"/>
    <n v="0"/>
    <n v="120.21"/>
    <n v="120.21"/>
    <n v="120.21"/>
    <n v="120.21"/>
    <n v="120.21"/>
    <n v="120.21"/>
    <n v="120.21"/>
    <n v="120.21"/>
    <n v="120.21"/>
    <n v="120.21"/>
    <n v="120.21"/>
    <n v="120.21"/>
    <n v="120.21"/>
    <n v="120.21"/>
  </r>
  <r>
    <x v="3"/>
    <s v="Hallway"/>
    <n v="0"/>
    <n v="0"/>
    <n v="0"/>
    <n v="106.93"/>
    <n v="106.93"/>
    <n v="106.93"/>
    <n v="106.93"/>
    <n v="106.93"/>
    <n v="106.93"/>
    <n v="106.93"/>
    <n v="106.93"/>
    <n v="106.93"/>
    <n v="106.93"/>
    <n v="106.93"/>
    <n v="106.93"/>
    <n v="106.93"/>
    <n v="106.93"/>
  </r>
  <r>
    <x v="3"/>
    <s v="Hallway"/>
    <n v="0"/>
    <n v="0"/>
    <n v="0"/>
    <n v="70.11"/>
    <n v="70.11"/>
    <n v="70.11"/>
    <n v="70.11"/>
    <n v="70.11"/>
    <n v="70.11"/>
    <n v="70.11"/>
    <n v="70.11"/>
    <n v="70.11"/>
    <n v="70.11"/>
    <n v="70.11"/>
    <n v="70.11"/>
    <n v="70.11"/>
    <n v="70.11"/>
  </r>
  <r>
    <x v="3"/>
    <s v="Hallway"/>
    <n v="0"/>
    <n v="0"/>
    <n v="0"/>
    <n v="170.38"/>
    <n v="170.38"/>
    <n v="170.38"/>
    <n v="170.38"/>
    <n v="170.38"/>
    <n v="170.38"/>
    <n v="170.38"/>
    <n v="170.38"/>
    <n v="170.38"/>
    <n v="170.38"/>
    <n v="170.38"/>
    <n v="170.38"/>
    <n v="170.38"/>
    <n v="170.38"/>
  </r>
  <r>
    <x v="3"/>
    <s v="Hallway"/>
    <n v="0"/>
    <n v="0"/>
    <n v="0"/>
    <n v="16.05"/>
    <n v="16.05"/>
    <n v="16.05"/>
    <n v="16.05"/>
    <n v="16.05"/>
    <n v="16.05"/>
    <n v="16.05"/>
    <n v="16.05"/>
    <n v="16.05"/>
    <n v="16.05"/>
    <n v="16.05"/>
    <n v="16.05"/>
    <n v="16.05"/>
    <n v="16.05"/>
  </r>
  <r>
    <x v="3"/>
    <s v="Hallway"/>
    <n v="0"/>
    <n v="0"/>
    <n v="0"/>
    <n v="108.22"/>
    <n v="108.22"/>
    <n v="108.22"/>
    <n v="108.22"/>
    <n v="108.22"/>
    <n v="108.22"/>
    <n v="108.22"/>
    <n v="108.22"/>
    <n v="108.22"/>
    <n v="108.22"/>
    <n v="108.22"/>
    <n v="108.22"/>
    <n v="108.22"/>
    <n v="108.22"/>
  </r>
  <r>
    <x v="2"/>
    <s v="Dining 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511.18"/>
    <n v="511.18"/>
    <n v="511.18"/>
    <n v="511.18"/>
    <n v="511.18"/>
    <n v="511.18"/>
    <n v="511.18"/>
    <n v="511.18"/>
    <n v="511.18"/>
    <n v="511.18"/>
    <n v="511.18"/>
    <n v="511.18"/>
    <n v="511.18"/>
  </r>
  <r>
    <x v="2"/>
    <s v="Dining Room"/>
    <n v="0"/>
    <n v="0"/>
    <n v="0"/>
    <n v="348.17250000000001"/>
    <n v="348.17250000000001"/>
    <n v="348.17250000000001"/>
    <n v="348.17250000000001"/>
    <n v="348.17250000000001"/>
    <n v="696.34500000000003"/>
    <n v="696.34500000000003"/>
    <n v="696.34500000000003"/>
    <n v="1392.69"/>
    <n v="1392.69"/>
    <n v="1392.69"/>
    <n v="1392.69"/>
    <n v="1392.69"/>
    <n v="1392.69"/>
  </r>
  <r>
    <x v="2"/>
    <s v="Dining Room"/>
    <n v="0"/>
    <n v="0"/>
    <n v="0"/>
    <n v="59.32"/>
    <n v="59.32"/>
    <n v="59.32"/>
    <n v="59.32"/>
    <n v="59.32"/>
    <n v="59.32"/>
    <n v="59.32"/>
    <n v="59.32"/>
    <n v="59.32"/>
    <n v="59.32"/>
    <n v="59.32"/>
    <n v="59.32"/>
    <n v="59.32"/>
    <n v="59.32"/>
  </r>
  <r>
    <x v="2"/>
    <s v="Dining Room"/>
    <n v="0"/>
    <n v="0"/>
    <n v="0"/>
    <n v="333.81"/>
    <n v="333.81"/>
    <n v="333.81"/>
    <n v="333.81"/>
    <n v="333.81"/>
    <n v="333.81"/>
    <n v="333.81"/>
    <n v="333.81"/>
    <n v="333.81"/>
    <n v="333.81"/>
    <n v="333.81"/>
    <n v="333.81"/>
    <n v="333.81"/>
    <n v="333.81"/>
  </r>
  <r>
    <x v="2"/>
    <s v="Dining Room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x v="2"/>
    <s v="Dining Room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x v="2"/>
    <s v="Dining Room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x v="2"/>
    <s v="Dining Room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x v="2"/>
    <s v="Dining Room"/>
    <n v="0"/>
    <n v="0"/>
    <n v="0"/>
    <n v="289.12"/>
    <n v="289.12"/>
    <n v="289.12"/>
    <n v="289.12"/>
    <n v="289.12"/>
    <n v="289.12"/>
    <n v="289.12"/>
    <n v="289.12"/>
    <n v="289.12"/>
    <n v="289.12"/>
    <n v="289.12"/>
    <n v="289.12"/>
    <n v="289.12"/>
    <n v="289.12"/>
  </r>
  <r>
    <x v="2"/>
    <s v="Dining Room"/>
    <n v="0"/>
    <n v="0"/>
    <n v="0"/>
    <n v="242.37"/>
    <n v="242.37"/>
    <n v="242.37"/>
    <n v="242.37"/>
    <n v="242.37"/>
    <n v="242.37"/>
    <n v="242.37"/>
    <n v="242.37"/>
    <n v="242.37"/>
    <n v="242.37"/>
    <n v="242.37"/>
    <n v="242.37"/>
    <n v="242.37"/>
    <n v="242.37"/>
  </r>
  <r>
    <x v="2"/>
    <s v="Dining Room"/>
    <n v="0"/>
    <n v="0"/>
    <n v="0"/>
    <n v="158.9"/>
    <n v="158.9"/>
    <n v="158.9"/>
    <n v="158.9"/>
    <n v="158.9"/>
    <n v="158.9"/>
    <n v="158.9"/>
    <n v="158.9"/>
    <n v="158.9"/>
    <n v="158.9"/>
    <n v="158.9"/>
    <n v="158.9"/>
    <n v="158.9"/>
    <n v="158.9"/>
  </r>
  <r>
    <x v="2"/>
    <s v="Dining Room"/>
    <n v="0"/>
    <n v="0"/>
    <n v="0"/>
    <n v="386.17"/>
    <n v="386.17"/>
    <n v="386.17"/>
    <n v="386.17"/>
    <n v="386.17"/>
    <n v="386.17"/>
    <n v="386.17"/>
    <n v="386.17"/>
    <n v="386.17"/>
    <n v="386.17"/>
    <n v="386.17"/>
    <n v="386.17"/>
    <n v="386.17"/>
    <n v="386.17"/>
  </r>
  <r>
    <x v="2"/>
    <s v="Dining Room"/>
    <n v="0"/>
    <n v="0"/>
    <n v="0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</r>
  <r>
    <x v="2"/>
    <s v="Dining Room"/>
    <n v="0"/>
    <n v="0"/>
    <n v="0"/>
    <n v="260.31"/>
    <n v="260.31"/>
    <n v="260.31"/>
    <n v="260.31"/>
    <n v="260.31"/>
    <n v="260.31"/>
    <n v="260.31"/>
    <n v="260.31"/>
    <n v="260.31"/>
    <n v="260.31"/>
    <n v="260.31"/>
    <n v="260.31"/>
    <n v="260.31"/>
    <n v="260.3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01167-0696-4EAC-B2B8-B7CC5FD8F15C}" name="grp2pivot" cacheId="7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A50938-13F6-4584-A980-0442217437A2}" name="grp3pivot" cacheId="6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Q48" firstHeaderRow="1" firstDataRow="2" firstDataCol="1"/>
  <pivotFields count="19">
    <pivotField showAll="0"/>
    <pivotField axis="axisCol" showAll="0">
      <items count="16">
        <item x="0"/>
        <item x="1"/>
        <item x="2"/>
        <item x="4"/>
        <item x="7"/>
        <item x="10"/>
        <item x="11"/>
        <item x="12"/>
        <item x="9"/>
        <item x="13"/>
        <item x="3"/>
        <item x="5"/>
        <item x="6"/>
        <item x="8"/>
        <item x="1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75144-B835-4E7D-BB09-5D18BD555E98}">
  <dimension ref="A1:J83"/>
  <sheetViews>
    <sheetView topLeftCell="A9" workbookViewId="0">
      <selection activeCell="E54" sqref="E54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4" customWidth="1"/>
    <col min="5" max="5" width="20.42578125" customWidth="1"/>
    <col min="7" max="7" width="26.42578125" style="135" customWidth="1"/>
    <col min="8" max="8" width="30.5703125" style="135" customWidth="1"/>
    <col min="9" max="9" width="17.42578125" customWidth="1"/>
    <col min="10" max="10" width="15.5703125" style="135" customWidth="1"/>
  </cols>
  <sheetData>
    <row r="1" spans="1:9" x14ac:dyDescent="0.25">
      <c r="C1" t="s">
        <v>166</v>
      </c>
      <c r="D1" s="134" t="s">
        <v>167</v>
      </c>
      <c r="E1" t="s">
        <v>168</v>
      </c>
      <c r="F1" t="s">
        <v>169</v>
      </c>
      <c r="G1" s="135" t="s">
        <v>170</v>
      </c>
      <c r="H1" s="135" t="s">
        <v>171</v>
      </c>
      <c r="I1" t="s">
        <v>172</v>
      </c>
    </row>
    <row r="2" spans="1:9" x14ac:dyDescent="0.25">
      <c r="A2" t="s">
        <v>173</v>
      </c>
      <c r="C2" t="s">
        <v>174</v>
      </c>
      <c r="D2" s="136" t="s">
        <v>175</v>
      </c>
      <c r="E2">
        <v>2</v>
      </c>
      <c r="F2" t="s">
        <v>176</v>
      </c>
      <c r="G2" s="135" t="s">
        <v>61</v>
      </c>
      <c r="H2" s="135" t="s">
        <v>159</v>
      </c>
      <c r="I2" t="s">
        <v>177</v>
      </c>
    </row>
    <row r="4" spans="1:9" x14ac:dyDescent="0.25">
      <c r="A4" t="s">
        <v>178</v>
      </c>
      <c r="C4" s="3"/>
    </row>
    <row r="5" spans="1:9" x14ac:dyDescent="0.25">
      <c r="C5" s="3"/>
    </row>
    <row r="6" spans="1:9" x14ac:dyDescent="0.25">
      <c r="C6" s="137"/>
      <c r="D6" s="136"/>
    </row>
    <row r="7" spans="1:9" x14ac:dyDescent="0.25">
      <c r="B7" t="s">
        <v>179</v>
      </c>
      <c r="C7" s="137" t="s">
        <v>180</v>
      </c>
    </row>
    <row r="8" spans="1:9" x14ac:dyDescent="0.25">
      <c r="B8" t="s">
        <v>181</v>
      </c>
      <c r="C8" s="3" t="s">
        <v>155</v>
      </c>
    </row>
    <row r="9" spans="1:9" x14ac:dyDescent="0.25">
      <c r="B9" t="s">
        <v>182</v>
      </c>
      <c r="C9" s="138">
        <v>0.1</v>
      </c>
    </row>
    <row r="10" spans="1:9" x14ac:dyDescent="0.25">
      <c r="B10" t="s">
        <v>183</v>
      </c>
      <c r="C10" s="138">
        <v>0.1</v>
      </c>
    </row>
    <row r="12" spans="1:9" x14ac:dyDescent="0.25">
      <c r="B12" s="1"/>
      <c r="C12" s="1"/>
    </row>
    <row r="15" spans="1:9" x14ac:dyDescent="0.25">
      <c r="A15" t="s">
        <v>184</v>
      </c>
    </row>
    <row r="16" spans="1:9" x14ac:dyDescent="0.25">
      <c r="C16" s="3" t="s">
        <v>185</v>
      </c>
      <c r="D16" s="134">
        <v>2000</v>
      </c>
    </row>
    <row r="17" spans="3:5" x14ac:dyDescent="0.25">
      <c r="C17" s="3" t="s">
        <v>186</v>
      </c>
      <c r="D17" s="134" t="s">
        <v>159</v>
      </c>
    </row>
    <row r="18" spans="3:5" x14ac:dyDescent="0.25">
      <c r="C18" s="3" t="s">
        <v>187</v>
      </c>
      <c r="D18" s="139">
        <v>1800</v>
      </c>
    </row>
    <row r="19" spans="3:5" x14ac:dyDescent="0.25">
      <c r="C19" s="3" t="s">
        <v>188</v>
      </c>
      <c r="D19" s="134" t="s">
        <v>189</v>
      </c>
    </row>
    <row r="20" spans="3:5" x14ac:dyDescent="0.25">
      <c r="C20" s="3" t="s">
        <v>190</v>
      </c>
      <c r="D20" s="134" t="s">
        <v>189</v>
      </c>
    </row>
    <row r="21" spans="3:5" x14ac:dyDescent="0.25">
      <c r="C21" s="3" t="s">
        <v>191</v>
      </c>
      <c r="D21" s="134" t="s">
        <v>189</v>
      </c>
    </row>
    <row r="22" spans="3:5" x14ac:dyDescent="0.25">
      <c r="C22" s="3" t="s">
        <v>192</v>
      </c>
      <c r="D22" s="134" t="s">
        <v>189</v>
      </c>
    </row>
    <row r="24" spans="3:5" x14ac:dyDescent="0.25">
      <c r="C24" s="3" t="s">
        <v>193</v>
      </c>
      <c r="D24" s="134" t="s">
        <v>194</v>
      </c>
    </row>
    <row r="25" spans="3:5" x14ac:dyDescent="0.25">
      <c r="C25" s="3" t="s">
        <v>10</v>
      </c>
      <c r="D25" s="134">
        <v>2</v>
      </c>
    </row>
    <row r="26" spans="3:5" x14ac:dyDescent="0.25">
      <c r="C26" s="3" t="s">
        <v>195</v>
      </c>
      <c r="D26" s="134" t="s">
        <v>61</v>
      </c>
      <c r="E26" s="140">
        <v>1</v>
      </c>
    </row>
    <row r="27" spans="3:5" x14ac:dyDescent="0.25">
      <c r="C27" s="3" t="s">
        <v>196</v>
      </c>
      <c r="D27" s="141">
        <v>0</v>
      </c>
    </row>
    <row r="28" spans="3:5" x14ac:dyDescent="0.25">
      <c r="C28" s="3" t="s">
        <v>197</v>
      </c>
      <c r="D28" s="134" t="s">
        <v>159</v>
      </c>
    </row>
    <row r="29" spans="3:5" x14ac:dyDescent="0.25">
      <c r="C29" s="3" t="s">
        <v>198</v>
      </c>
      <c r="D29" s="134" t="s">
        <v>159</v>
      </c>
    </row>
    <row r="30" spans="3:5" x14ac:dyDescent="0.25">
      <c r="C30" s="3" t="s">
        <v>199</v>
      </c>
      <c r="D30" s="134" t="s">
        <v>200</v>
      </c>
    </row>
    <row r="31" spans="3:5" x14ac:dyDescent="0.25">
      <c r="C31" s="3" t="s">
        <v>201</v>
      </c>
      <c r="D31" s="134" t="s">
        <v>202</v>
      </c>
    </row>
    <row r="32" spans="3:5" ht="30" x14ac:dyDescent="0.25">
      <c r="C32" s="3" t="s">
        <v>203</v>
      </c>
      <c r="D32" s="134" t="s">
        <v>204</v>
      </c>
    </row>
    <row r="33" spans="1:4" x14ac:dyDescent="0.25">
      <c r="C33" s="3" t="s">
        <v>205</v>
      </c>
      <c r="D33" s="134" t="s">
        <v>206</v>
      </c>
    </row>
    <row r="34" spans="1:4" x14ac:dyDescent="0.25">
      <c r="C34" s="3" t="s">
        <v>207</v>
      </c>
      <c r="D34" s="134" t="s">
        <v>208</v>
      </c>
    </row>
    <row r="35" spans="1:4" x14ac:dyDescent="0.25">
      <c r="C35" s="3" t="s">
        <v>209</v>
      </c>
      <c r="D35" s="134" t="s">
        <v>210</v>
      </c>
    </row>
    <row r="36" spans="1:4" x14ac:dyDescent="0.25">
      <c r="C36" s="3" t="s">
        <v>211</v>
      </c>
      <c r="D36" s="134" t="s">
        <v>155</v>
      </c>
    </row>
    <row r="37" spans="1:4" ht="45" x14ac:dyDescent="0.25">
      <c r="C37" s="3" t="s">
        <v>212</v>
      </c>
      <c r="D37" s="134" t="s">
        <v>213</v>
      </c>
    </row>
    <row r="38" spans="1:4" x14ac:dyDescent="0.25">
      <c r="C38" s="3" t="s">
        <v>214</v>
      </c>
      <c r="D38" s="134" t="s">
        <v>215</v>
      </c>
    </row>
    <row r="39" spans="1:4" x14ac:dyDescent="0.25">
      <c r="C39" s="3"/>
    </row>
    <row r="40" spans="1:4" x14ac:dyDescent="0.25">
      <c r="A40" t="s">
        <v>216</v>
      </c>
    </row>
    <row r="41" spans="1:4" x14ac:dyDescent="0.25">
      <c r="C41" s="3" t="s">
        <v>217</v>
      </c>
      <c r="D41" s="134" t="s">
        <v>218</v>
      </c>
    </row>
    <row r="42" spans="1:4" x14ac:dyDescent="0.25">
      <c r="C42" s="3" t="s">
        <v>219</v>
      </c>
      <c r="D42" s="134" t="s">
        <v>220</v>
      </c>
    </row>
    <row r="43" spans="1:4" x14ac:dyDescent="0.25">
      <c r="C43" s="3" t="s">
        <v>221</v>
      </c>
      <c r="D43" s="134" t="s">
        <v>155</v>
      </c>
    </row>
    <row r="44" spans="1:4" x14ac:dyDescent="0.25">
      <c r="C44" s="3" t="s">
        <v>222</v>
      </c>
      <c r="D44" s="134" t="s">
        <v>155</v>
      </c>
    </row>
    <row r="45" spans="1:4" ht="30" x14ac:dyDescent="0.25">
      <c r="C45" s="3" t="s">
        <v>223</v>
      </c>
      <c r="D45" s="134" t="s">
        <v>224</v>
      </c>
    </row>
    <row r="46" spans="1:4" x14ac:dyDescent="0.25">
      <c r="C46" s="3" t="s">
        <v>225</v>
      </c>
      <c r="D46" s="134" t="s">
        <v>155</v>
      </c>
    </row>
    <row r="47" spans="1:4" x14ac:dyDescent="0.25">
      <c r="C47" s="3" t="s">
        <v>226</v>
      </c>
      <c r="D47" s="134" t="s">
        <v>155</v>
      </c>
    </row>
    <row r="48" spans="1:4" x14ac:dyDescent="0.25">
      <c r="A48" t="s">
        <v>216</v>
      </c>
    </row>
    <row r="49" spans="1:10" x14ac:dyDescent="0.25">
      <c r="C49" s="3" t="s">
        <v>227</v>
      </c>
      <c r="D49" s="134">
        <v>8</v>
      </c>
    </row>
    <row r="50" spans="1:10" x14ac:dyDescent="0.25">
      <c r="C50" s="3" t="s">
        <v>228</v>
      </c>
      <c r="D50" s="134" t="s">
        <v>229</v>
      </c>
    </row>
    <row r="51" spans="1:10" x14ac:dyDescent="0.25">
      <c r="C51" s="3" t="s">
        <v>230</v>
      </c>
      <c r="D51" s="134" t="s">
        <v>231</v>
      </c>
    </row>
    <row r="52" spans="1:10" x14ac:dyDescent="0.25">
      <c r="C52" s="3" t="s">
        <v>232</v>
      </c>
      <c r="D52" s="134" t="s">
        <v>231</v>
      </c>
    </row>
    <row r="53" spans="1:10" x14ac:dyDescent="0.25">
      <c r="C53" s="3" t="s">
        <v>233</v>
      </c>
      <c r="D53" s="134" t="s">
        <v>234</v>
      </c>
      <c r="E53" s="3" t="s">
        <v>12</v>
      </c>
    </row>
    <row r="54" spans="1:10" x14ac:dyDescent="0.25">
      <c r="C54" s="3" t="s">
        <v>235</v>
      </c>
      <c r="D54" s="134" t="s">
        <v>236</v>
      </c>
    </row>
    <row r="55" spans="1:10" x14ac:dyDescent="0.25">
      <c r="C55" s="3" t="s">
        <v>237</v>
      </c>
      <c r="D55" s="134" t="s">
        <v>155</v>
      </c>
    </row>
    <row r="56" spans="1:10" x14ac:dyDescent="0.25">
      <c r="C56" s="3" t="s">
        <v>238</v>
      </c>
      <c r="D56" s="134" t="s">
        <v>239</v>
      </c>
    </row>
    <row r="57" spans="1:10" x14ac:dyDescent="0.25">
      <c r="C57" s="3" t="s">
        <v>240</v>
      </c>
      <c r="D57" s="134" t="s">
        <v>155</v>
      </c>
    </row>
    <row r="58" spans="1:10" x14ac:dyDescent="0.25">
      <c r="C58" s="3" t="s">
        <v>241</v>
      </c>
      <c r="D58" s="134" t="s">
        <v>155</v>
      </c>
    </row>
    <row r="59" spans="1:10" x14ac:dyDescent="0.25">
      <c r="C59" s="3" t="s">
        <v>242</v>
      </c>
      <c r="D59" s="134" t="s">
        <v>155</v>
      </c>
    </row>
    <row r="60" spans="1:10" x14ac:dyDescent="0.25">
      <c r="C60" s="3" t="s">
        <v>243</v>
      </c>
      <c r="D60" s="134" t="s">
        <v>155</v>
      </c>
    </row>
    <row r="61" spans="1:10" x14ac:dyDescent="0.25">
      <c r="C61" s="3" t="s">
        <v>244</v>
      </c>
      <c r="D61" s="134" t="s">
        <v>155</v>
      </c>
    </row>
    <row r="63" spans="1:10" x14ac:dyDescent="0.25">
      <c r="A63" t="s">
        <v>124</v>
      </c>
      <c r="C63" s="3"/>
    </row>
    <row r="64" spans="1:10" ht="30" x14ac:dyDescent="0.25">
      <c r="B64" s="142" t="s">
        <v>245</v>
      </c>
      <c r="C64" s="142" t="s">
        <v>246</v>
      </c>
      <c r="D64" s="143" t="s">
        <v>167</v>
      </c>
      <c r="E64" s="143" t="s">
        <v>169</v>
      </c>
      <c r="F64" s="142" t="s">
        <v>247</v>
      </c>
      <c r="G64" s="143" t="s">
        <v>248</v>
      </c>
      <c r="H64" s="143" t="s">
        <v>249</v>
      </c>
      <c r="I64" s="142" t="s">
        <v>250</v>
      </c>
      <c r="J64" s="143" t="s">
        <v>251</v>
      </c>
    </row>
    <row r="65" spans="1:10" ht="45" x14ac:dyDescent="0.25">
      <c r="B65" t="s">
        <v>7</v>
      </c>
      <c r="C65" s="3" t="s">
        <v>12</v>
      </c>
      <c r="D65" s="134" t="s">
        <v>7</v>
      </c>
      <c r="E65" t="s">
        <v>176</v>
      </c>
      <c r="F65" t="s">
        <v>155</v>
      </c>
      <c r="G65" s="135" t="s">
        <v>155</v>
      </c>
      <c r="H65" s="135" t="s">
        <v>252</v>
      </c>
      <c r="I65" t="s">
        <v>253</v>
      </c>
      <c r="J65" s="135" t="s">
        <v>254</v>
      </c>
    </row>
    <row r="66" spans="1:10" ht="30" x14ac:dyDescent="0.25">
      <c r="B66" t="s">
        <v>255</v>
      </c>
      <c r="C66" s="3" t="s">
        <v>51</v>
      </c>
      <c r="D66" s="134" t="s">
        <v>13</v>
      </c>
      <c r="E66" t="s">
        <v>176</v>
      </c>
      <c r="F66" t="s">
        <v>155</v>
      </c>
      <c r="G66" s="135" t="s">
        <v>155</v>
      </c>
      <c r="H66" s="135" t="s">
        <v>256</v>
      </c>
      <c r="I66" t="s">
        <v>253</v>
      </c>
      <c r="J66" s="135" t="s">
        <v>155</v>
      </c>
    </row>
    <row r="67" spans="1:10" ht="30" x14ac:dyDescent="0.25">
      <c r="B67" t="s">
        <v>257</v>
      </c>
      <c r="C67" s="3" t="s">
        <v>51</v>
      </c>
      <c r="D67" s="134" t="s">
        <v>13</v>
      </c>
      <c r="E67" t="s">
        <v>176</v>
      </c>
      <c r="F67" t="s">
        <v>155</v>
      </c>
      <c r="G67" s="135" t="s">
        <v>155</v>
      </c>
      <c r="H67" s="135" t="s">
        <v>256</v>
      </c>
      <c r="I67" t="s">
        <v>253</v>
      </c>
      <c r="J67" s="135" t="s">
        <v>155</v>
      </c>
    </row>
    <row r="68" spans="1:10" x14ac:dyDescent="0.25">
      <c r="B68" t="s">
        <v>258</v>
      </c>
      <c r="C68" s="3" t="s">
        <v>12</v>
      </c>
      <c r="D68" s="134" t="s">
        <v>259</v>
      </c>
      <c r="E68" t="s">
        <v>260</v>
      </c>
      <c r="F68" t="s">
        <v>155</v>
      </c>
      <c r="G68" s="135" t="s">
        <v>155</v>
      </c>
    </row>
    <row r="69" spans="1:10" x14ac:dyDescent="0.25">
      <c r="B69" t="s">
        <v>4</v>
      </c>
      <c r="C69" s="3" t="s">
        <v>51</v>
      </c>
      <c r="D69" s="134" t="s">
        <v>4</v>
      </c>
      <c r="E69" t="s">
        <v>176</v>
      </c>
      <c r="F69" t="s">
        <v>155</v>
      </c>
      <c r="G69" t="s">
        <v>155</v>
      </c>
    </row>
    <row r="70" spans="1:10" x14ac:dyDescent="0.25">
      <c r="B70" t="s">
        <v>261</v>
      </c>
      <c r="C70" s="3" t="s">
        <v>51</v>
      </c>
      <c r="D70" s="134" t="s">
        <v>4</v>
      </c>
      <c r="E70" t="s">
        <v>262</v>
      </c>
      <c r="F70" t="s">
        <v>155</v>
      </c>
      <c r="G70" t="s">
        <v>155</v>
      </c>
    </row>
    <row r="71" spans="1:10" x14ac:dyDescent="0.25">
      <c r="B71" t="s">
        <v>263</v>
      </c>
      <c r="C71" s="3" t="s">
        <v>51</v>
      </c>
      <c r="D71" s="134" t="s">
        <v>4</v>
      </c>
      <c r="E71" t="s">
        <v>264</v>
      </c>
      <c r="F71" t="s">
        <v>155</v>
      </c>
      <c r="G71" t="s">
        <v>155</v>
      </c>
    </row>
    <row r="72" spans="1:10" x14ac:dyDescent="0.25">
      <c r="B72" t="s">
        <v>265</v>
      </c>
      <c r="C72" s="3" t="s">
        <v>12</v>
      </c>
      <c r="D72" s="134" t="s">
        <v>14</v>
      </c>
      <c r="E72" t="s">
        <v>260</v>
      </c>
      <c r="F72" t="s">
        <v>155</v>
      </c>
      <c r="G72" t="s">
        <v>155</v>
      </c>
    </row>
    <row r="73" spans="1:10" x14ac:dyDescent="0.25">
      <c r="B73" t="s">
        <v>266</v>
      </c>
      <c r="C73" s="3" t="s">
        <v>12</v>
      </c>
      <c r="D73" s="134" t="s">
        <v>14</v>
      </c>
      <c r="E73" t="s">
        <v>262</v>
      </c>
      <c r="F73" t="s">
        <v>155</v>
      </c>
      <c r="G73" t="s">
        <v>155</v>
      </c>
    </row>
    <row r="74" spans="1:10" x14ac:dyDescent="0.25">
      <c r="B74" t="s">
        <v>267</v>
      </c>
      <c r="C74" s="3" t="s">
        <v>11</v>
      </c>
      <c r="D74" s="134" t="s">
        <v>14</v>
      </c>
      <c r="E74" t="s">
        <v>176</v>
      </c>
      <c r="F74" t="s">
        <v>155</v>
      </c>
      <c r="G74" t="s">
        <v>155</v>
      </c>
    </row>
    <row r="75" spans="1:10" x14ac:dyDescent="0.25">
      <c r="B75" t="s">
        <v>268</v>
      </c>
      <c r="C75" s="3" t="s">
        <v>12</v>
      </c>
      <c r="D75" s="134" t="s">
        <v>269</v>
      </c>
      <c r="E75" t="s">
        <v>176</v>
      </c>
      <c r="F75" t="s">
        <v>155</v>
      </c>
      <c r="G75" t="s">
        <v>155</v>
      </c>
    </row>
    <row r="76" spans="1:10" x14ac:dyDescent="0.25">
      <c r="B76" t="s">
        <v>270</v>
      </c>
      <c r="C76" s="3" t="s">
        <v>12</v>
      </c>
      <c r="D76" t="s">
        <v>271</v>
      </c>
      <c r="E76" t="s">
        <v>260</v>
      </c>
      <c r="F76" t="s">
        <v>155</v>
      </c>
      <c r="G76" t="s">
        <v>155</v>
      </c>
    </row>
    <row r="77" spans="1:10" x14ac:dyDescent="0.25">
      <c r="B77" t="s">
        <v>272</v>
      </c>
      <c r="C77" s="3" t="s">
        <v>51</v>
      </c>
      <c r="D77" t="s">
        <v>273</v>
      </c>
      <c r="E77" t="s">
        <v>260</v>
      </c>
      <c r="F77" t="s">
        <v>155</v>
      </c>
      <c r="G77" t="s">
        <v>155</v>
      </c>
    </row>
    <row r="78" spans="1:10" s="135" customFormat="1" x14ac:dyDescent="0.25">
      <c r="A78"/>
      <c r="B78" t="s">
        <v>6</v>
      </c>
      <c r="C78" s="3" t="s">
        <v>51</v>
      </c>
      <c r="D78" s="134" t="s">
        <v>6</v>
      </c>
      <c r="E78" t="s">
        <v>262</v>
      </c>
      <c r="F78" t="s">
        <v>155</v>
      </c>
      <c r="G78" t="s">
        <v>155</v>
      </c>
      <c r="I78"/>
    </row>
    <row r="79" spans="1:10" s="135" customFormat="1" x14ac:dyDescent="0.25">
      <c r="A79"/>
      <c r="B79" t="s">
        <v>5</v>
      </c>
      <c r="C79" s="3" t="s">
        <v>12</v>
      </c>
      <c r="D79" s="134" t="s">
        <v>5</v>
      </c>
      <c r="E79" t="s">
        <v>176</v>
      </c>
      <c r="F79" t="s">
        <v>155</v>
      </c>
      <c r="G79" t="s">
        <v>155</v>
      </c>
      <c r="I79"/>
    </row>
    <row r="80" spans="1:10" s="135" customFormat="1" x14ac:dyDescent="0.25">
      <c r="A80"/>
      <c r="B80" t="s">
        <v>274</v>
      </c>
      <c r="C80" s="3" t="s">
        <v>12</v>
      </c>
      <c r="D80" s="134" t="s">
        <v>15</v>
      </c>
      <c r="E80" t="s">
        <v>176</v>
      </c>
      <c r="F80" t="s">
        <v>155</v>
      </c>
      <c r="G80" t="s">
        <v>155</v>
      </c>
      <c r="I80"/>
    </row>
    <row r="81" spans="1:9" s="135" customFormat="1" x14ac:dyDescent="0.25">
      <c r="A81"/>
      <c r="B81" t="s">
        <v>275</v>
      </c>
      <c r="C81" s="3" t="s">
        <v>51</v>
      </c>
      <c r="D81" s="134" t="s">
        <v>276</v>
      </c>
      <c r="E81" t="s">
        <v>176</v>
      </c>
      <c r="F81" t="s">
        <v>155</v>
      </c>
      <c r="G81" t="s">
        <v>155</v>
      </c>
      <c r="I81"/>
    </row>
    <row r="82" spans="1:9" s="135" customFormat="1" x14ac:dyDescent="0.25">
      <c r="A82"/>
      <c r="I82"/>
    </row>
    <row r="83" spans="1:9" s="135" customFormat="1" x14ac:dyDescent="0.25">
      <c r="A83"/>
      <c r="I83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DE57B-FDE1-47EB-A21D-3A569902FCB6}">
  <dimension ref="A1:B55"/>
  <sheetViews>
    <sheetView workbookViewId="0"/>
  </sheetViews>
  <sheetFormatPr defaultRowHeight="15" x14ac:dyDescent="0.25"/>
  <cols>
    <col min="1" max="1" width="20.140625" bestFit="1" customWidth="1"/>
    <col min="2" max="2" width="31.28515625" bestFit="1" customWidth="1"/>
  </cols>
  <sheetData>
    <row r="1" spans="1:2" x14ac:dyDescent="0.25">
      <c r="A1" s="63" t="s">
        <v>19</v>
      </c>
      <c r="B1" s="64" t="s">
        <v>646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277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606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234</v>
      </c>
    </row>
    <row r="15" spans="1:2" x14ac:dyDescent="0.25">
      <c r="A15" s="33" t="s">
        <v>112</v>
      </c>
      <c r="B15" s="55" t="s">
        <v>236</v>
      </c>
    </row>
    <row r="16" spans="1:2" x14ac:dyDescent="0.25">
      <c r="A16" s="33" t="s">
        <v>113</v>
      </c>
      <c r="B16" s="55">
        <v>1800</v>
      </c>
    </row>
    <row r="17" spans="1:2" x14ac:dyDescent="0.25">
      <c r="A17" s="33" t="s">
        <v>114</v>
      </c>
      <c r="B17" s="55">
        <v>167.23</v>
      </c>
    </row>
    <row r="18" spans="1:2" x14ac:dyDescent="0.25">
      <c r="A18" s="33" t="s">
        <v>115</v>
      </c>
      <c r="B18" s="55" t="s">
        <v>647</v>
      </c>
    </row>
    <row r="19" spans="1:2" x14ac:dyDescent="0.25">
      <c r="A19" s="33" t="s">
        <v>116</v>
      </c>
      <c r="B19" s="55" t="s">
        <v>648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649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9377.4740999999995</v>
      </c>
    </row>
    <row r="28" spans="1:2" x14ac:dyDescent="0.25">
      <c r="A28" s="54">
        <v>0</v>
      </c>
      <c r="B28" s="53">
        <v>9377.4740999999995</v>
      </c>
    </row>
    <row r="29" spans="1:2" x14ac:dyDescent="0.25">
      <c r="A29" s="54">
        <v>0.03</v>
      </c>
      <c r="B29" s="53">
        <v>36527.707175000003</v>
      </c>
    </row>
    <row r="30" spans="1:2" x14ac:dyDescent="0.25">
      <c r="A30" s="54">
        <v>0.05</v>
      </c>
      <c r="B30" s="53">
        <v>47531.388175</v>
      </c>
    </row>
    <row r="31" spans="1:2" x14ac:dyDescent="0.25">
      <c r="A31" s="54">
        <v>0.1</v>
      </c>
      <c r="B31" s="53">
        <v>51266.148175000002</v>
      </c>
    </row>
    <row r="32" spans="1:2" x14ac:dyDescent="0.25">
      <c r="A32" s="54">
        <v>0.15</v>
      </c>
      <c r="B32" s="53">
        <v>58478.194175000004</v>
      </c>
    </row>
    <row r="33" spans="1:2" x14ac:dyDescent="0.25">
      <c r="A33" s="54">
        <v>0.3</v>
      </c>
      <c r="B33" s="53">
        <v>58620.285425000009</v>
      </c>
    </row>
    <row r="34" spans="1:2" x14ac:dyDescent="0.25">
      <c r="A34" s="54">
        <v>0.46</v>
      </c>
      <c r="B34" s="53">
        <v>65681.772200000007</v>
      </c>
    </row>
    <row r="35" spans="1:2" x14ac:dyDescent="0.25">
      <c r="A35" s="54">
        <v>0.61</v>
      </c>
      <c r="B35" s="53">
        <v>66259.808200000014</v>
      </c>
    </row>
    <row r="36" spans="1:2" x14ac:dyDescent="0.25">
      <c r="A36" s="54">
        <v>0.76</v>
      </c>
      <c r="B36" s="53">
        <v>68957.791950000013</v>
      </c>
    </row>
    <row r="37" spans="1:2" x14ac:dyDescent="0.25">
      <c r="A37" s="54">
        <v>0.91</v>
      </c>
      <c r="B37" s="53">
        <v>81186.538950000002</v>
      </c>
    </row>
    <row r="38" spans="1:2" x14ac:dyDescent="0.25">
      <c r="A38" s="54">
        <v>1.02</v>
      </c>
      <c r="B38" s="53">
        <v>87405.768499999991</v>
      </c>
    </row>
    <row r="39" spans="1:2" x14ac:dyDescent="0.25">
      <c r="A39" s="54">
        <v>1.22</v>
      </c>
      <c r="B39" s="53">
        <v>87773.008499999996</v>
      </c>
    </row>
    <row r="40" spans="1:2" x14ac:dyDescent="0.25">
      <c r="A40" s="54">
        <v>1.52</v>
      </c>
      <c r="B40" s="53">
        <v>89581.277499999997</v>
      </c>
    </row>
    <row r="41" spans="1:2" x14ac:dyDescent="0.25">
      <c r="A41" s="54">
        <v>1.83</v>
      </c>
      <c r="B41" s="53">
        <v>89581.277499999997</v>
      </c>
    </row>
    <row r="42" spans="1:2" x14ac:dyDescent="0.25">
      <c r="A42" s="54">
        <v>2.7</v>
      </c>
      <c r="B42" s="53">
        <v>89581.277499999997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0DB97-61E0-4288-81C2-8F9302D7C57F}">
  <dimension ref="A1:B55"/>
  <sheetViews>
    <sheetView workbookViewId="0"/>
  </sheetViews>
  <sheetFormatPr defaultRowHeight="15" x14ac:dyDescent="0.25"/>
  <cols>
    <col min="1" max="1" width="20.140625" bestFit="1" customWidth="1"/>
    <col min="2" max="2" width="31.28515625" bestFit="1" customWidth="1"/>
  </cols>
  <sheetData>
    <row r="1" spans="1:2" x14ac:dyDescent="0.25">
      <c r="A1" s="63" t="s">
        <v>19</v>
      </c>
      <c r="B1" s="64" t="s">
        <v>651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277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606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234</v>
      </c>
    </row>
    <row r="15" spans="1:2" x14ac:dyDescent="0.25">
      <c r="A15" s="33" t="s">
        <v>112</v>
      </c>
      <c r="B15" s="55" t="s">
        <v>236</v>
      </c>
    </row>
    <row r="16" spans="1:2" x14ac:dyDescent="0.25">
      <c r="A16" s="33" t="s">
        <v>113</v>
      </c>
      <c r="B16" s="55">
        <v>1800</v>
      </c>
    </row>
    <row r="17" spans="1:2" x14ac:dyDescent="0.25">
      <c r="A17" s="33" t="s">
        <v>114</v>
      </c>
      <c r="B17" s="55">
        <v>167.23</v>
      </c>
    </row>
    <row r="18" spans="1:2" x14ac:dyDescent="0.25">
      <c r="A18" s="33" t="s">
        <v>115</v>
      </c>
      <c r="B18" s="55" t="s">
        <v>647</v>
      </c>
    </row>
    <row r="19" spans="1:2" x14ac:dyDescent="0.25">
      <c r="A19" s="33" t="s">
        <v>116</v>
      </c>
      <c r="B19" s="55" t="s">
        <v>648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649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112.15370511895919</v>
      </c>
    </row>
    <row r="28" spans="1:2" x14ac:dyDescent="0.25">
      <c r="A28" s="54">
        <v>0</v>
      </c>
      <c r="B28" s="53">
        <v>112.15370511895919</v>
      </c>
    </row>
    <row r="29" spans="1:2" x14ac:dyDescent="0.25">
      <c r="A29" s="54">
        <v>0.03</v>
      </c>
      <c r="B29" s="53">
        <v>436.86793005129607</v>
      </c>
    </row>
    <row r="30" spans="1:2" x14ac:dyDescent="0.25">
      <c r="A30" s="54">
        <v>0.05</v>
      </c>
      <c r="B30" s="53">
        <v>568.47091620052936</v>
      </c>
    </row>
    <row r="31" spans="1:2" x14ac:dyDescent="0.25">
      <c r="A31" s="54">
        <v>0.1</v>
      </c>
      <c r="B31" s="53">
        <v>613.13829328558938</v>
      </c>
    </row>
    <row r="32" spans="1:2" x14ac:dyDescent="0.25">
      <c r="A32" s="54">
        <v>0.15</v>
      </c>
      <c r="B32" s="53">
        <v>699.39368271805597</v>
      </c>
    </row>
    <row r="33" spans="1:2" x14ac:dyDescent="0.25">
      <c r="A33" s="54">
        <v>0.3</v>
      </c>
      <c r="B33" s="53">
        <v>701.09308065640755</v>
      </c>
    </row>
    <row r="34" spans="1:2" x14ac:dyDescent="0.25">
      <c r="A34" s="54">
        <v>0.46</v>
      </c>
      <c r="B34" s="53">
        <v>785.54779596879428</v>
      </c>
    </row>
    <row r="35" spans="1:2" x14ac:dyDescent="0.25">
      <c r="A35" s="54">
        <v>0.61</v>
      </c>
      <c r="B35" s="53">
        <v>792.46105196937799</v>
      </c>
    </row>
    <row r="36" spans="1:2" x14ac:dyDescent="0.25">
      <c r="A36" s="54">
        <v>0.76</v>
      </c>
      <c r="B36" s="53">
        <v>824.72868296323418</v>
      </c>
    </row>
    <row r="37" spans="1:2" x14ac:dyDescent="0.25">
      <c r="A37" s="54">
        <v>0.91</v>
      </c>
      <c r="B37" s="53">
        <v>970.98334284145824</v>
      </c>
    </row>
    <row r="38" spans="1:2" x14ac:dyDescent="0.25">
      <c r="A38" s="54">
        <v>1.02</v>
      </c>
      <c r="B38" s="53">
        <v>1045.3647412414621</v>
      </c>
    </row>
    <row r="39" spans="1:2" x14ac:dyDescent="0.25">
      <c r="A39" s="54">
        <v>1.22</v>
      </c>
      <c r="B39" s="53">
        <v>1049.7568969785689</v>
      </c>
    </row>
    <row r="40" spans="1:2" x14ac:dyDescent="0.25">
      <c r="A40" s="54">
        <v>1.52</v>
      </c>
      <c r="B40" s="53">
        <v>1071.3836235404428</v>
      </c>
    </row>
    <row r="41" spans="1:2" x14ac:dyDescent="0.25">
      <c r="A41" s="54">
        <v>1.83</v>
      </c>
      <c r="B41" s="53">
        <v>1071.3836235404428</v>
      </c>
    </row>
    <row r="42" spans="1:2" x14ac:dyDescent="0.25">
      <c r="A42" s="54">
        <v>2.7</v>
      </c>
      <c r="B42" s="53">
        <v>1071.3836235404428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2" workbookViewId="0">
      <selection activeCell="D6" sqref="D6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281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4" t="s">
        <v>278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4" t="s">
        <v>277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5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5" t="s">
        <v>61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5" t="s">
        <v>12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5" t="s">
        <v>279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5" t="s">
        <v>280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4" t="s">
        <v>606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281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281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637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637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637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637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637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650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B5FDF-A6F0-45CF-9A7C-C7C6B1574DE4}">
  <dimension ref="A1:AZ459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49" t="s">
        <v>642</v>
      </c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1"/>
      <c r="AJ1" s="149" t="s">
        <v>643</v>
      </c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1"/>
    </row>
    <row r="2" spans="1:52" x14ac:dyDescent="0.25">
      <c r="A2" s="146" t="s">
        <v>282</v>
      </c>
      <c r="B2" s="147" t="s">
        <v>283</v>
      </c>
      <c r="C2" s="147" t="s">
        <v>284</v>
      </c>
      <c r="D2" s="147" t="s">
        <v>285</v>
      </c>
      <c r="E2" s="147" t="s">
        <v>286</v>
      </c>
      <c r="F2" s="147" t="s">
        <v>287</v>
      </c>
      <c r="G2" s="147" t="s">
        <v>288</v>
      </c>
      <c r="H2" s="147" t="s">
        <v>289</v>
      </c>
      <c r="I2" s="147" t="s">
        <v>290</v>
      </c>
      <c r="J2" s="147" t="s">
        <v>291</v>
      </c>
      <c r="K2" s="147" t="s">
        <v>503</v>
      </c>
      <c r="L2" s="147" t="s">
        <v>157</v>
      </c>
      <c r="M2" s="147" t="s">
        <v>504</v>
      </c>
      <c r="N2" s="147" t="s">
        <v>638</v>
      </c>
      <c r="O2" s="148" t="s">
        <v>639</v>
      </c>
      <c r="P2" s="146">
        <v>-0.9</v>
      </c>
      <c r="Q2" s="147">
        <v>-0.46</v>
      </c>
      <c r="R2" s="147">
        <v>0</v>
      </c>
      <c r="S2" s="147">
        <v>0.03</v>
      </c>
      <c r="T2" s="147">
        <v>0.05</v>
      </c>
      <c r="U2" s="147">
        <v>0.1</v>
      </c>
      <c r="V2" s="147">
        <v>0.15</v>
      </c>
      <c r="W2" s="147">
        <v>0.3</v>
      </c>
      <c r="X2" s="147">
        <v>0.46</v>
      </c>
      <c r="Y2" s="147">
        <v>0.61</v>
      </c>
      <c r="Z2" s="147">
        <v>0.76</v>
      </c>
      <c r="AA2" s="147">
        <v>0.91</v>
      </c>
      <c r="AB2" s="147">
        <v>1.02</v>
      </c>
      <c r="AC2" s="147">
        <v>1.22</v>
      </c>
      <c r="AD2" s="147">
        <v>1.52</v>
      </c>
      <c r="AE2" s="147">
        <v>1.83</v>
      </c>
      <c r="AF2" s="147">
        <v>2.7</v>
      </c>
      <c r="AG2" s="147" t="s">
        <v>640</v>
      </c>
      <c r="AH2" s="147" t="s">
        <v>641</v>
      </c>
      <c r="AI2" s="147" t="s">
        <v>101</v>
      </c>
      <c r="AJ2" s="147">
        <v>-0.9</v>
      </c>
      <c r="AK2" s="147">
        <v>-0.46</v>
      </c>
      <c r="AL2" s="147">
        <v>0</v>
      </c>
      <c r="AM2" s="147">
        <v>0.03</v>
      </c>
      <c r="AN2" s="147">
        <v>0.05</v>
      </c>
      <c r="AO2" s="147">
        <v>0.1</v>
      </c>
      <c r="AP2" s="147">
        <v>0.15</v>
      </c>
      <c r="AQ2" s="147">
        <v>0.3</v>
      </c>
      <c r="AR2" s="147">
        <v>0.46</v>
      </c>
      <c r="AS2" s="147">
        <v>0.61</v>
      </c>
      <c r="AT2" s="147">
        <v>0.76</v>
      </c>
      <c r="AU2" s="147">
        <v>0.91</v>
      </c>
      <c r="AV2" s="147">
        <v>1.02</v>
      </c>
      <c r="AW2" s="147">
        <v>1.22</v>
      </c>
      <c r="AX2" s="147">
        <v>1.52</v>
      </c>
      <c r="AY2" s="147">
        <v>1.83</v>
      </c>
      <c r="AZ2" s="148">
        <v>2.7</v>
      </c>
    </row>
    <row r="3" spans="1:52" x14ac:dyDescent="0.25">
      <c r="A3">
        <v>1</v>
      </c>
      <c r="B3" t="s">
        <v>292</v>
      </c>
      <c r="C3" t="s">
        <v>293</v>
      </c>
      <c r="D3">
        <v>56</v>
      </c>
      <c r="E3">
        <v>140</v>
      </c>
      <c r="F3" t="s">
        <v>294</v>
      </c>
      <c r="G3">
        <v>2.5</v>
      </c>
      <c r="H3">
        <v>168</v>
      </c>
      <c r="I3" t="s">
        <v>295</v>
      </c>
      <c r="J3" t="s">
        <v>296</v>
      </c>
      <c r="K3" t="s">
        <v>505</v>
      </c>
      <c r="L3" t="s">
        <v>200</v>
      </c>
      <c r="M3" t="s">
        <v>506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506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168</v>
      </c>
      <c r="AV3">
        <f>$H$3*$AB$3</f>
        <v>168</v>
      </c>
      <c r="AW3">
        <f>$H$3*$AC$3</f>
        <v>168</v>
      </c>
      <c r="AX3">
        <f>$H$3*$AD$3</f>
        <v>168</v>
      </c>
      <c r="AY3">
        <f>$H$3*$AE$3</f>
        <v>168</v>
      </c>
      <c r="AZ3">
        <f>$H$3*$AF$3</f>
        <v>168</v>
      </c>
    </row>
    <row r="4" spans="1:52" x14ac:dyDescent="0.25">
      <c r="A4">
        <v>2</v>
      </c>
      <c r="B4" t="s">
        <v>292</v>
      </c>
      <c r="C4" t="s">
        <v>297</v>
      </c>
      <c r="D4">
        <v>56</v>
      </c>
      <c r="E4">
        <v>186.48</v>
      </c>
      <c r="F4" t="s">
        <v>294</v>
      </c>
      <c r="G4">
        <v>3.33</v>
      </c>
      <c r="H4">
        <v>223.78</v>
      </c>
      <c r="I4" t="s">
        <v>298</v>
      </c>
      <c r="J4" t="s">
        <v>296</v>
      </c>
      <c r="K4" t="s">
        <v>507</v>
      </c>
      <c r="L4" t="s">
        <v>200</v>
      </c>
      <c r="M4" t="s">
        <v>506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506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223.78</v>
      </c>
      <c r="AV4">
        <f>$H$4*$AB$4</f>
        <v>223.78</v>
      </c>
      <c r="AW4">
        <f>$H$4*$AC$4</f>
        <v>223.78</v>
      </c>
      <c r="AX4">
        <f>$H$4*$AD$4</f>
        <v>223.78</v>
      </c>
      <c r="AY4">
        <f>$H$4*$AE$4</f>
        <v>223.78</v>
      </c>
      <c r="AZ4">
        <f>$H$4*$AF$4</f>
        <v>223.78</v>
      </c>
    </row>
    <row r="5" spans="1:52" x14ac:dyDescent="0.25">
      <c r="A5">
        <v>4</v>
      </c>
      <c r="B5" t="s">
        <v>292</v>
      </c>
      <c r="C5" t="s">
        <v>300</v>
      </c>
      <c r="D5">
        <v>1</v>
      </c>
      <c r="E5">
        <v>60.4</v>
      </c>
      <c r="F5" t="s">
        <v>299</v>
      </c>
      <c r="G5">
        <v>60.4</v>
      </c>
      <c r="H5">
        <v>72.48</v>
      </c>
      <c r="I5" t="s">
        <v>301</v>
      </c>
      <c r="J5" t="s">
        <v>302</v>
      </c>
      <c r="K5" t="s">
        <v>508</v>
      </c>
      <c r="L5" t="s">
        <v>200</v>
      </c>
      <c r="M5" t="s">
        <v>506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506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72.48</v>
      </c>
      <c r="AY5">
        <f>$H$5*$AE$5</f>
        <v>72.48</v>
      </c>
      <c r="AZ5">
        <f>$H$5*$AF$5</f>
        <v>72.48</v>
      </c>
    </row>
    <row r="6" spans="1:52" x14ac:dyDescent="0.25">
      <c r="A6">
        <v>5</v>
      </c>
      <c r="B6" t="s">
        <v>292</v>
      </c>
      <c r="C6" t="s">
        <v>303</v>
      </c>
      <c r="D6">
        <v>1</v>
      </c>
      <c r="E6">
        <v>115.87</v>
      </c>
      <c r="F6" t="s">
        <v>299</v>
      </c>
      <c r="G6">
        <v>115.87</v>
      </c>
      <c r="H6">
        <v>139.05000000000001</v>
      </c>
      <c r="I6" t="s">
        <v>304</v>
      </c>
      <c r="J6" t="s">
        <v>305</v>
      </c>
      <c r="K6" t="s">
        <v>509</v>
      </c>
      <c r="L6" t="s">
        <v>200</v>
      </c>
      <c r="M6" t="s">
        <v>506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506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139.05000000000001</v>
      </c>
      <c r="AY6">
        <f>$H$6*$AE$6</f>
        <v>139.05000000000001</v>
      </c>
      <c r="AZ6">
        <f>$H$6*$AF$6</f>
        <v>139.05000000000001</v>
      </c>
    </row>
    <row r="7" spans="1:52" x14ac:dyDescent="0.25">
      <c r="A7">
        <v>6</v>
      </c>
      <c r="B7" t="s">
        <v>292</v>
      </c>
      <c r="C7" t="s">
        <v>306</v>
      </c>
      <c r="D7">
        <v>1</v>
      </c>
      <c r="E7">
        <v>75.02</v>
      </c>
      <c r="F7" t="s">
        <v>299</v>
      </c>
      <c r="G7">
        <v>75.02</v>
      </c>
      <c r="H7">
        <v>90.02</v>
      </c>
      <c r="I7" t="s">
        <v>307</v>
      </c>
      <c r="J7" t="s">
        <v>308</v>
      </c>
      <c r="K7" t="s">
        <v>510</v>
      </c>
      <c r="L7" t="s">
        <v>200</v>
      </c>
      <c r="M7" t="s">
        <v>506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506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292</v>
      </c>
      <c r="C8" t="s">
        <v>309</v>
      </c>
      <c r="D8">
        <v>15</v>
      </c>
      <c r="E8">
        <v>431.85</v>
      </c>
      <c r="F8" t="s">
        <v>294</v>
      </c>
      <c r="G8">
        <v>28.79</v>
      </c>
      <c r="H8">
        <v>518.23</v>
      </c>
      <c r="I8" t="s">
        <v>295</v>
      </c>
      <c r="J8" t="s">
        <v>310</v>
      </c>
      <c r="K8" t="s">
        <v>511</v>
      </c>
      <c r="L8" t="s">
        <v>200</v>
      </c>
      <c r="M8" t="s">
        <v>506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506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129.5575</v>
      </c>
      <c r="AS8">
        <f>$H$8*$Y$8</f>
        <v>129.5575</v>
      </c>
      <c r="AT8">
        <f>$H$8*$Z$8</f>
        <v>259.11500000000001</v>
      </c>
      <c r="AU8">
        <f>$H$8*$AA$8</f>
        <v>259.11500000000001</v>
      </c>
      <c r="AV8">
        <f>$H$8*$AB$8</f>
        <v>518.23</v>
      </c>
      <c r="AW8">
        <f>$H$8*$AC$8</f>
        <v>518.23</v>
      </c>
      <c r="AX8">
        <f>$H$8*$AD$8</f>
        <v>518.23</v>
      </c>
      <c r="AY8">
        <f>$H$8*$AE$8</f>
        <v>518.23</v>
      </c>
      <c r="AZ8">
        <f>$H$8*$AF$8</f>
        <v>518.23</v>
      </c>
    </row>
    <row r="9" spans="1:52" x14ac:dyDescent="0.25">
      <c r="A9">
        <v>8</v>
      </c>
      <c r="B9" t="s">
        <v>292</v>
      </c>
      <c r="C9" t="s">
        <v>311</v>
      </c>
      <c r="D9">
        <v>15</v>
      </c>
      <c r="E9">
        <v>2290.5</v>
      </c>
      <c r="F9" t="s">
        <v>294</v>
      </c>
      <c r="G9">
        <v>152.69999999999999</v>
      </c>
      <c r="H9">
        <v>2748.6</v>
      </c>
      <c r="I9" t="s">
        <v>298</v>
      </c>
      <c r="J9" t="s">
        <v>312</v>
      </c>
      <c r="K9" t="s">
        <v>512</v>
      </c>
      <c r="L9" t="s">
        <v>200</v>
      </c>
      <c r="M9" t="s">
        <v>506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506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687.15</v>
      </c>
      <c r="AS9">
        <f>$H$9*$Y$9</f>
        <v>687.15</v>
      </c>
      <c r="AT9">
        <f>$H$9*$Z$9</f>
        <v>1374.3</v>
      </c>
      <c r="AU9">
        <f>$H$9*$AA$9</f>
        <v>1374.3</v>
      </c>
      <c r="AV9">
        <f>$H$9*$AB$9</f>
        <v>2748.6</v>
      </c>
      <c r="AW9">
        <f>$H$9*$AC$9</f>
        <v>2748.6</v>
      </c>
      <c r="AX9">
        <f>$H$9*$AD$9</f>
        <v>2748.6</v>
      </c>
      <c r="AY9">
        <f>$H$9*$AE$9</f>
        <v>2748.6</v>
      </c>
      <c r="AZ9">
        <f>$H$9*$AF$9</f>
        <v>2748.6</v>
      </c>
    </row>
    <row r="10" spans="1:52" x14ac:dyDescent="0.25">
      <c r="A10">
        <v>19</v>
      </c>
      <c r="B10" t="s">
        <v>292</v>
      </c>
      <c r="C10" t="s">
        <v>316</v>
      </c>
      <c r="D10">
        <v>6</v>
      </c>
      <c r="E10">
        <v>461.94</v>
      </c>
      <c r="F10" t="s">
        <v>314</v>
      </c>
      <c r="G10">
        <v>76.989999999999995</v>
      </c>
      <c r="H10">
        <v>554.32000000000005</v>
      </c>
      <c r="I10" t="s">
        <v>298</v>
      </c>
      <c r="J10" t="s">
        <v>315</v>
      </c>
      <c r="K10" t="s">
        <v>513</v>
      </c>
      <c r="L10" t="s">
        <v>200</v>
      </c>
      <c r="M10" t="s">
        <v>506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0.1</v>
      </c>
      <c r="U10">
        <v>0.1</v>
      </c>
      <c r="V10">
        <v>0.2</v>
      </c>
      <c r="W10">
        <v>0.2</v>
      </c>
      <c r="X10">
        <v>0.2</v>
      </c>
      <c r="Y10">
        <v>0.3</v>
      </c>
      <c r="Z10">
        <v>0.3</v>
      </c>
      <c r="AA10">
        <v>0.5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506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55.432000000000009</v>
      </c>
      <c r="AO10">
        <f>$H$10*$U$10</f>
        <v>55.432000000000009</v>
      </c>
      <c r="AP10">
        <f>$H$10*$V$10</f>
        <v>110.86400000000002</v>
      </c>
      <c r="AQ10">
        <f>$H$10*$W$10</f>
        <v>110.86400000000002</v>
      </c>
      <c r="AR10">
        <f>$H$10*$X$10</f>
        <v>110.86400000000002</v>
      </c>
      <c r="AS10">
        <f>$H$10*$Y$10</f>
        <v>166.29600000000002</v>
      </c>
      <c r="AT10">
        <f>$H$10*$Z$10</f>
        <v>166.29600000000002</v>
      </c>
      <c r="AU10">
        <f>$H$10*$AA$10</f>
        <v>277.16000000000003</v>
      </c>
      <c r="AV10">
        <f>$H$10*$AB$10</f>
        <v>554.32000000000005</v>
      </c>
      <c r="AW10">
        <f>$H$10*$AC$10</f>
        <v>554.32000000000005</v>
      </c>
      <c r="AX10">
        <f>$H$10*$AD$10</f>
        <v>554.32000000000005</v>
      </c>
      <c r="AY10">
        <f>$H$10*$AE$10</f>
        <v>554.32000000000005</v>
      </c>
      <c r="AZ10">
        <f>$H$10*$AF$10</f>
        <v>554.32000000000005</v>
      </c>
    </row>
    <row r="11" spans="1:52" x14ac:dyDescent="0.25">
      <c r="A11">
        <v>22</v>
      </c>
      <c r="B11" t="s">
        <v>292</v>
      </c>
      <c r="C11" t="s">
        <v>318</v>
      </c>
      <c r="D11">
        <v>1</v>
      </c>
      <c r="E11">
        <v>1250.1400000000001</v>
      </c>
      <c r="F11" t="s">
        <v>299</v>
      </c>
      <c r="G11">
        <v>1250.1400000000001</v>
      </c>
      <c r="H11">
        <v>1500.16</v>
      </c>
      <c r="I11" t="s">
        <v>317</v>
      </c>
      <c r="J11" t="s">
        <v>319</v>
      </c>
      <c r="K11" t="s">
        <v>514</v>
      </c>
      <c r="L11" t="s">
        <v>200</v>
      </c>
      <c r="M11" t="s">
        <v>515</v>
      </c>
      <c r="N11" t="s">
        <v>26</v>
      </c>
      <c r="O11" t="s">
        <v>67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515</v>
      </c>
      <c r="AH11" t="s">
        <v>26</v>
      </c>
      <c r="AI11" t="s">
        <v>67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1500.16</v>
      </c>
      <c r="AP11">
        <f>$H$11*$V$11</f>
        <v>1500.16</v>
      </c>
      <c r="AQ11">
        <f>$H$11*$W$11</f>
        <v>1500.16</v>
      </c>
      <c r="AR11">
        <f>$H$11*$X$11</f>
        <v>1500.16</v>
      </c>
      <c r="AS11">
        <f>$H$11*$Y$11</f>
        <v>1500.16</v>
      </c>
      <c r="AT11">
        <f>$H$11*$Z$11</f>
        <v>1500.16</v>
      </c>
      <c r="AU11">
        <f>$H$11*$AA$11</f>
        <v>1500.16</v>
      </c>
      <c r="AV11">
        <f>$H$11*$AB$11</f>
        <v>1500.16</v>
      </c>
      <c r="AW11">
        <f>$H$11*$AC$11</f>
        <v>1500.16</v>
      </c>
      <c r="AX11">
        <f>$H$11*$AD$11</f>
        <v>1500.16</v>
      </c>
      <c r="AY11">
        <f>$H$11*$AE$11</f>
        <v>1500.16</v>
      </c>
      <c r="AZ11">
        <f>$H$11*$AF$11</f>
        <v>1500.16</v>
      </c>
    </row>
    <row r="12" spans="1:52" x14ac:dyDescent="0.25">
      <c r="A12">
        <v>31</v>
      </c>
      <c r="B12" t="s">
        <v>292</v>
      </c>
      <c r="C12" t="s">
        <v>320</v>
      </c>
      <c r="D12">
        <v>40</v>
      </c>
      <c r="E12">
        <v>177.6</v>
      </c>
      <c r="F12" t="s">
        <v>294</v>
      </c>
      <c r="G12">
        <v>4.4400000000000004</v>
      </c>
      <c r="H12">
        <v>213.12</v>
      </c>
      <c r="I12" t="s">
        <v>295</v>
      </c>
      <c r="J12" t="s">
        <v>321</v>
      </c>
      <c r="K12" t="s">
        <v>516</v>
      </c>
      <c r="L12" t="s">
        <v>200</v>
      </c>
      <c r="M12" t="s">
        <v>506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506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213.12</v>
      </c>
      <c r="AV12">
        <f>$H$12*$AB$12</f>
        <v>213.12</v>
      </c>
      <c r="AW12">
        <f>$H$12*$AC$12</f>
        <v>213.12</v>
      </c>
      <c r="AX12">
        <f>$H$12*$AD$12</f>
        <v>213.12</v>
      </c>
      <c r="AY12">
        <f>$H$12*$AE$12</f>
        <v>213.12</v>
      </c>
      <c r="AZ12">
        <f>$H$12*$AF$12</f>
        <v>213.12</v>
      </c>
    </row>
    <row r="13" spans="1:52" x14ac:dyDescent="0.25">
      <c r="A13">
        <v>32</v>
      </c>
      <c r="B13" t="s">
        <v>292</v>
      </c>
      <c r="C13" t="s">
        <v>322</v>
      </c>
      <c r="D13">
        <v>40</v>
      </c>
      <c r="E13">
        <v>462</v>
      </c>
      <c r="F13" t="s">
        <v>294</v>
      </c>
      <c r="G13">
        <v>11.55</v>
      </c>
      <c r="H13">
        <v>554.4</v>
      </c>
      <c r="I13" t="s">
        <v>298</v>
      </c>
      <c r="J13" t="s">
        <v>323</v>
      </c>
      <c r="K13" t="s">
        <v>517</v>
      </c>
      <c r="L13" t="s">
        <v>200</v>
      </c>
      <c r="M13" t="s">
        <v>506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506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0</v>
      </c>
      <c r="AT13">
        <f>$H$13*$Z$13</f>
        <v>0</v>
      </c>
      <c r="AU13">
        <f>$H$13*$AA$13</f>
        <v>554.4</v>
      </c>
      <c r="AV13">
        <f>$H$13*$AB$13</f>
        <v>554.4</v>
      </c>
      <c r="AW13">
        <f>$H$13*$AC$13</f>
        <v>554.4</v>
      </c>
      <c r="AX13">
        <f>$H$13*$AD$13</f>
        <v>554.4</v>
      </c>
      <c r="AY13">
        <f>$H$13*$AE$13</f>
        <v>554.4</v>
      </c>
      <c r="AZ13">
        <f>$H$13*$AF$13</f>
        <v>554.4</v>
      </c>
    </row>
    <row r="14" spans="1:52" x14ac:dyDescent="0.25">
      <c r="A14">
        <v>33</v>
      </c>
      <c r="B14" t="s">
        <v>292</v>
      </c>
      <c r="C14" t="s">
        <v>324</v>
      </c>
      <c r="D14">
        <v>208</v>
      </c>
      <c r="E14">
        <v>203.84</v>
      </c>
      <c r="F14" t="s">
        <v>313</v>
      </c>
      <c r="G14">
        <v>0.98</v>
      </c>
      <c r="H14">
        <v>244.6</v>
      </c>
      <c r="I14" t="s">
        <v>295</v>
      </c>
      <c r="J14" t="s">
        <v>325</v>
      </c>
      <c r="K14" t="s">
        <v>518</v>
      </c>
      <c r="L14" t="s">
        <v>200</v>
      </c>
      <c r="M14" t="s">
        <v>506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506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244.6</v>
      </c>
      <c r="AO14">
        <f>$H$14*$U$14</f>
        <v>244.6</v>
      </c>
      <c r="AP14">
        <f>$H$14*$V$14</f>
        <v>244.6</v>
      </c>
      <c r="AQ14">
        <f>$H$14*$W$14</f>
        <v>244.6</v>
      </c>
      <c r="AR14">
        <f>$H$14*$X$14</f>
        <v>244.6</v>
      </c>
      <c r="AS14">
        <f>$H$14*$Y$14</f>
        <v>244.6</v>
      </c>
      <c r="AT14">
        <f>$H$14*$Z$14</f>
        <v>244.6</v>
      </c>
      <c r="AU14">
        <f>$H$14*$AA$14</f>
        <v>244.6</v>
      </c>
      <c r="AV14">
        <f>$H$14*$AB$14</f>
        <v>244.6</v>
      </c>
      <c r="AW14">
        <f>$H$14*$AC$14</f>
        <v>244.6</v>
      </c>
      <c r="AX14">
        <f>$H$14*$AD$14</f>
        <v>244.6</v>
      </c>
      <c r="AY14">
        <f>$H$14*$AE$14</f>
        <v>244.6</v>
      </c>
      <c r="AZ14">
        <f>$H$14*$AF$14</f>
        <v>244.6</v>
      </c>
    </row>
    <row r="15" spans="1:52" x14ac:dyDescent="0.25">
      <c r="A15">
        <v>34</v>
      </c>
      <c r="B15" t="s">
        <v>292</v>
      </c>
      <c r="C15" t="s">
        <v>326</v>
      </c>
      <c r="D15">
        <v>208</v>
      </c>
      <c r="E15">
        <v>555.36</v>
      </c>
      <c r="F15" t="s">
        <v>313</v>
      </c>
      <c r="G15">
        <v>2.67</v>
      </c>
      <c r="H15">
        <v>666.44</v>
      </c>
      <c r="I15" t="s">
        <v>327</v>
      </c>
      <c r="J15" t="s">
        <v>328</v>
      </c>
      <c r="K15" t="s">
        <v>519</v>
      </c>
      <c r="L15" t="s">
        <v>200</v>
      </c>
      <c r="M15" t="s">
        <v>506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0.25</v>
      </c>
      <c r="T15">
        <v>0.25</v>
      </c>
      <c r="U15">
        <v>0.25</v>
      </c>
      <c r="V15">
        <v>0.25</v>
      </c>
      <c r="W15">
        <v>0.25</v>
      </c>
      <c r="X15">
        <v>0.5</v>
      </c>
      <c r="Y15">
        <v>0.5</v>
      </c>
      <c r="Z15">
        <v>0.5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506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166.61</v>
      </c>
      <c r="AN15">
        <f>$H$15*$T$15</f>
        <v>166.61</v>
      </c>
      <c r="AO15">
        <f>$H$15*$U$15</f>
        <v>166.61</v>
      </c>
      <c r="AP15">
        <f>$H$15*$V$15</f>
        <v>166.61</v>
      </c>
      <c r="AQ15">
        <f>$H$15*$W$15</f>
        <v>166.61</v>
      </c>
      <c r="AR15">
        <f>$H$15*$X$15</f>
        <v>333.22</v>
      </c>
      <c r="AS15">
        <f>$H$15*$Y$15</f>
        <v>333.22</v>
      </c>
      <c r="AT15">
        <f>$H$15*$Z$15</f>
        <v>333.22</v>
      </c>
      <c r="AU15">
        <f>$H$15*$AA$15</f>
        <v>666.44</v>
      </c>
      <c r="AV15">
        <f>$H$15*$AB$15</f>
        <v>666.44</v>
      </c>
      <c r="AW15">
        <f>$H$15*$AC$15</f>
        <v>666.44</v>
      </c>
      <c r="AX15">
        <f>$H$15*$AD$15</f>
        <v>666.44</v>
      </c>
      <c r="AY15">
        <f>$H$15*$AE$15</f>
        <v>666.44</v>
      </c>
      <c r="AZ15">
        <f>$H$15*$AF$15</f>
        <v>666.44</v>
      </c>
    </row>
    <row r="16" spans="1:52" x14ac:dyDescent="0.25">
      <c r="A16">
        <v>35</v>
      </c>
      <c r="B16" t="s">
        <v>292</v>
      </c>
      <c r="C16" t="s">
        <v>329</v>
      </c>
      <c r="D16">
        <v>2</v>
      </c>
      <c r="E16">
        <v>95.92</v>
      </c>
      <c r="F16" t="s">
        <v>299</v>
      </c>
      <c r="G16">
        <v>47.96</v>
      </c>
      <c r="H16">
        <v>115.1</v>
      </c>
      <c r="I16" t="s">
        <v>330</v>
      </c>
      <c r="J16" t="s">
        <v>331</v>
      </c>
      <c r="K16" t="s">
        <v>520</v>
      </c>
      <c r="L16" t="s">
        <v>200</v>
      </c>
      <c r="M16" t="s">
        <v>506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506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0</v>
      </c>
      <c r="AO16">
        <f>$H$16*$U$16</f>
        <v>0</v>
      </c>
      <c r="AP16">
        <f>$H$16*$V$16</f>
        <v>0</v>
      </c>
      <c r="AQ16">
        <f>$H$16*$W$16</f>
        <v>0</v>
      </c>
      <c r="AR16">
        <f>$H$16*$X$16</f>
        <v>0</v>
      </c>
      <c r="AS16">
        <f>$H$16*$Y$16</f>
        <v>0</v>
      </c>
      <c r="AT16">
        <f>$H$16*$Z$16</f>
        <v>0</v>
      </c>
      <c r="AU16">
        <f>$H$16*$AA$16</f>
        <v>115.1</v>
      </c>
      <c r="AV16">
        <f>$H$16*$AB$16</f>
        <v>115.1</v>
      </c>
      <c r="AW16">
        <f>$H$16*$AC$16</f>
        <v>115.1</v>
      </c>
      <c r="AX16">
        <f>$H$16*$AD$16</f>
        <v>115.1</v>
      </c>
      <c r="AY16">
        <f>$H$16*$AE$16</f>
        <v>115.1</v>
      </c>
      <c r="AZ16">
        <f>$H$16*$AF$16</f>
        <v>115.1</v>
      </c>
    </row>
    <row r="17" spans="1:52" x14ac:dyDescent="0.25">
      <c r="A17">
        <v>36</v>
      </c>
      <c r="B17" t="s">
        <v>292</v>
      </c>
      <c r="C17" t="s">
        <v>332</v>
      </c>
      <c r="D17">
        <v>2</v>
      </c>
      <c r="E17">
        <v>730.18</v>
      </c>
      <c r="F17" t="s">
        <v>299</v>
      </c>
      <c r="G17">
        <v>365.09</v>
      </c>
      <c r="H17">
        <v>876.22</v>
      </c>
      <c r="I17" t="s">
        <v>333</v>
      </c>
      <c r="J17" t="s">
        <v>334</v>
      </c>
      <c r="K17" t="s">
        <v>521</v>
      </c>
      <c r="L17" t="s">
        <v>200</v>
      </c>
      <c r="M17" t="s">
        <v>506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506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0</v>
      </c>
      <c r="AN17">
        <f>$H$17*$T$17</f>
        <v>876.22</v>
      </c>
      <c r="AO17">
        <f>$H$17*$U$17</f>
        <v>876.22</v>
      </c>
      <c r="AP17">
        <f>$H$17*$V$17</f>
        <v>876.22</v>
      </c>
      <c r="AQ17">
        <f>$H$17*$W$17</f>
        <v>876.22</v>
      </c>
      <c r="AR17">
        <f>$H$17*$X$17</f>
        <v>876.22</v>
      </c>
      <c r="AS17">
        <f>$H$17*$Y$17</f>
        <v>876.22</v>
      </c>
      <c r="AT17">
        <f>$H$17*$Z$17</f>
        <v>876.22</v>
      </c>
      <c r="AU17">
        <f>$H$17*$AA$17</f>
        <v>876.22</v>
      </c>
      <c r="AV17">
        <f>$H$17*$AB$17</f>
        <v>876.22</v>
      </c>
      <c r="AW17">
        <f>$H$17*$AC$17</f>
        <v>876.22</v>
      </c>
      <c r="AX17">
        <f>$H$17*$AD$17</f>
        <v>876.22</v>
      </c>
      <c r="AY17">
        <f>$H$17*$AE$17</f>
        <v>876.22</v>
      </c>
      <c r="AZ17">
        <f>$H$17*$AF$17</f>
        <v>876.22</v>
      </c>
    </row>
    <row r="18" spans="1:52" x14ac:dyDescent="0.25">
      <c r="A18">
        <v>37</v>
      </c>
      <c r="B18" t="s">
        <v>292</v>
      </c>
      <c r="C18" t="s">
        <v>335</v>
      </c>
      <c r="D18">
        <v>4</v>
      </c>
      <c r="E18">
        <v>125.44</v>
      </c>
      <c r="F18" t="s">
        <v>299</v>
      </c>
      <c r="G18">
        <v>31.36</v>
      </c>
      <c r="H18">
        <v>150.52000000000001</v>
      </c>
      <c r="I18" t="s">
        <v>295</v>
      </c>
      <c r="J18" t="s">
        <v>336</v>
      </c>
      <c r="K18" t="s">
        <v>522</v>
      </c>
      <c r="L18" t="s">
        <v>200</v>
      </c>
      <c r="M18" t="s">
        <v>506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506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150.52000000000001</v>
      </c>
      <c r="AN18">
        <f>$H$18*$T$18</f>
        <v>150.52000000000001</v>
      </c>
      <c r="AO18">
        <f>$H$18*$U$18</f>
        <v>150.52000000000001</v>
      </c>
      <c r="AP18">
        <f>$H$18*$V$18</f>
        <v>150.52000000000001</v>
      </c>
      <c r="AQ18">
        <f>$H$18*$W$18</f>
        <v>150.52000000000001</v>
      </c>
      <c r="AR18">
        <f>$H$18*$X$18</f>
        <v>150.52000000000001</v>
      </c>
      <c r="AS18">
        <f>$H$18*$Y$18</f>
        <v>150.52000000000001</v>
      </c>
      <c r="AT18">
        <f>$H$18*$Z$18</f>
        <v>150.52000000000001</v>
      </c>
      <c r="AU18">
        <f>$H$18*$AA$18</f>
        <v>150.52000000000001</v>
      </c>
      <c r="AV18">
        <f>$H$18*$AB$18</f>
        <v>150.52000000000001</v>
      </c>
      <c r="AW18">
        <f>$H$18*$AC$18</f>
        <v>150.52000000000001</v>
      </c>
      <c r="AX18">
        <f>$H$18*$AD$18</f>
        <v>150.52000000000001</v>
      </c>
      <c r="AY18">
        <f>$H$18*$AE$18</f>
        <v>150.52000000000001</v>
      </c>
      <c r="AZ18">
        <f>$H$18*$AF$18</f>
        <v>150.52000000000001</v>
      </c>
    </row>
    <row r="19" spans="1:52" x14ac:dyDescent="0.25">
      <c r="A19">
        <v>38</v>
      </c>
      <c r="B19" t="s">
        <v>292</v>
      </c>
      <c r="C19" t="s">
        <v>337</v>
      </c>
      <c r="D19">
        <v>4</v>
      </c>
      <c r="E19">
        <v>155.72</v>
      </c>
      <c r="F19" t="s">
        <v>299</v>
      </c>
      <c r="G19">
        <v>38.93</v>
      </c>
      <c r="H19">
        <v>186.86</v>
      </c>
      <c r="I19" t="s">
        <v>295</v>
      </c>
      <c r="J19" t="s">
        <v>333</v>
      </c>
      <c r="K19" t="s">
        <v>523</v>
      </c>
      <c r="L19" t="s">
        <v>200</v>
      </c>
      <c r="M19" t="s">
        <v>506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506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186.86</v>
      </c>
      <c r="AN19">
        <f>$H$19*$T$19</f>
        <v>186.86</v>
      </c>
      <c r="AO19">
        <f>$H$19*$U$19</f>
        <v>186.86</v>
      </c>
      <c r="AP19">
        <f>$H$19*$V$19</f>
        <v>186.86</v>
      </c>
      <c r="AQ19">
        <f>$H$19*$W$19</f>
        <v>186.86</v>
      </c>
      <c r="AR19">
        <f>$H$19*$X$19</f>
        <v>186.86</v>
      </c>
      <c r="AS19">
        <f>$H$19*$Y$19</f>
        <v>186.86</v>
      </c>
      <c r="AT19">
        <f>$H$19*$Z$19</f>
        <v>186.86</v>
      </c>
      <c r="AU19">
        <f>$H$19*$AA$19</f>
        <v>186.86</v>
      </c>
      <c r="AV19">
        <f>$H$19*$AB$19</f>
        <v>186.86</v>
      </c>
      <c r="AW19">
        <f>$H$19*$AC$19</f>
        <v>186.86</v>
      </c>
      <c r="AX19">
        <f>$H$19*$AD$19</f>
        <v>186.86</v>
      </c>
      <c r="AY19">
        <f>$H$19*$AE$19</f>
        <v>186.86</v>
      </c>
      <c r="AZ19">
        <f>$H$19*$AF$19</f>
        <v>186.86</v>
      </c>
    </row>
    <row r="20" spans="1:52" x14ac:dyDescent="0.25">
      <c r="A20">
        <v>41</v>
      </c>
      <c r="B20" t="s">
        <v>292</v>
      </c>
      <c r="C20" t="s">
        <v>338</v>
      </c>
      <c r="D20">
        <v>15</v>
      </c>
      <c r="E20">
        <v>315.75</v>
      </c>
      <c r="F20" t="s">
        <v>299</v>
      </c>
      <c r="G20">
        <v>21.05</v>
      </c>
      <c r="H20">
        <v>378.91</v>
      </c>
      <c r="I20" t="s">
        <v>339</v>
      </c>
      <c r="J20" t="s">
        <v>340</v>
      </c>
      <c r="K20" t="s">
        <v>524</v>
      </c>
      <c r="L20" t="s">
        <v>200</v>
      </c>
      <c r="M20" t="s">
        <v>506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506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94.727500000000006</v>
      </c>
      <c r="AN20">
        <f>$H$20*$T$20</f>
        <v>94.727500000000006</v>
      </c>
      <c r="AO20">
        <f>$H$20*$U$20</f>
        <v>94.727500000000006</v>
      </c>
      <c r="AP20">
        <f>$H$20*$V$20</f>
        <v>94.727500000000006</v>
      </c>
      <c r="AQ20">
        <f>$H$20*$W$20</f>
        <v>378.91</v>
      </c>
      <c r="AR20">
        <f>$H$20*$X$20</f>
        <v>378.91</v>
      </c>
      <c r="AS20">
        <f>$H$20*$Y$20</f>
        <v>378.91</v>
      </c>
      <c r="AT20">
        <f>$H$20*$Z$20</f>
        <v>378.91</v>
      </c>
      <c r="AU20">
        <f>$H$20*$AA$20</f>
        <v>378.91</v>
      </c>
      <c r="AV20">
        <f>$H$20*$AB$20</f>
        <v>378.91</v>
      </c>
      <c r="AW20">
        <f>$H$20*$AC$20</f>
        <v>378.91</v>
      </c>
      <c r="AX20">
        <f>$H$20*$AD$20</f>
        <v>378.91</v>
      </c>
      <c r="AY20">
        <f>$H$20*$AE$20</f>
        <v>378.91</v>
      </c>
      <c r="AZ20">
        <f>$H$20*$AF$20</f>
        <v>378.91</v>
      </c>
    </row>
    <row r="21" spans="1:52" x14ac:dyDescent="0.25">
      <c r="A21">
        <v>42</v>
      </c>
      <c r="B21" t="s">
        <v>292</v>
      </c>
      <c r="C21" t="s">
        <v>341</v>
      </c>
      <c r="D21">
        <v>2826.67</v>
      </c>
      <c r="E21">
        <v>4324.8100000000004</v>
      </c>
      <c r="F21" t="s">
        <v>313</v>
      </c>
      <c r="G21">
        <v>1.53</v>
      </c>
      <c r="H21">
        <v>5189.7700000000004</v>
      </c>
      <c r="I21" t="s">
        <v>342</v>
      </c>
      <c r="J21" t="s">
        <v>343</v>
      </c>
      <c r="K21" t="s">
        <v>525</v>
      </c>
      <c r="L21" t="s">
        <v>200</v>
      </c>
      <c r="M21" t="s">
        <v>526</v>
      </c>
      <c r="N21" t="s">
        <v>12</v>
      </c>
      <c r="O21" t="s">
        <v>68</v>
      </c>
      <c r="P21">
        <v>0</v>
      </c>
      <c r="Q21">
        <v>0.33</v>
      </c>
      <c r="R21">
        <v>0.33</v>
      </c>
      <c r="S21">
        <v>0.41250000000000003</v>
      </c>
      <c r="T21">
        <v>0.41250000000000003</v>
      </c>
      <c r="U21">
        <v>0.41250000000000003</v>
      </c>
      <c r="V21">
        <v>0.41250000000000003</v>
      </c>
      <c r="W21">
        <v>0.41250000000000003</v>
      </c>
      <c r="X21">
        <v>0.495</v>
      </c>
      <c r="Y21">
        <v>0.495</v>
      </c>
      <c r="Z21">
        <v>0.495</v>
      </c>
      <c r="AA21">
        <v>0.495</v>
      </c>
      <c r="AB21">
        <v>0.66</v>
      </c>
      <c r="AC21">
        <v>0.66</v>
      </c>
      <c r="AD21">
        <v>0.66</v>
      </c>
      <c r="AE21">
        <v>0.66</v>
      </c>
      <c r="AF21">
        <v>0.66</v>
      </c>
      <c r="AG21" t="s">
        <v>526</v>
      </c>
      <c r="AH21" t="s">
        <v>12</v>
      </c>
      <c r="AI21" t="s">
        <v>68</v>
      </c>
      <c r="AJ21">
        <f>$H$21*$P$21</f>
        <v>0</v>
      </c>
      <c r="AK21">
        <f>$H$21*$Q$21</f>
        <v>1712.6241000000002</v>
      </c>
      <c r="AL21">
        <f>$H$21*$R$21</f>
        <v>1712.6241000000002</v>
      </c>
      <c r="AM21">
        <f>$H$21*$S$21</f>
        <v>2140.7801250000002</v>
      </c>
      <c r="AN21">
        <f>$H$21*$T$21</f>
        <v>2140.7801250000002</v>
      </c>
      <c r="AO21">
        <f>$H$21*$U$21</f>
        <v>2140.7801250000002</v>
      </c>
      <c r="AP21">
        <f>$H$21*$V$21</f>
        <v>2140.7801250000002</v>
      </c>
      <c r="AQ21">
        <f>$H$21*$W$21</f>
        <v>2140.7801250000002</v>
      </c>
      <c r="AR21">
        <f>$H$21*$X$21</f>
        <v>2568.93615</v>
      </c>
      <c r="AS21">
        <f>$H$21*$Y$21</f>
        <v>2568.93615</v>
      </c>
      <c r="AT21">
        <f>$H$21*$Z$21</f>
        <v>2568.93615</v>
      </c>
      <c r="AU21">
        <f>$H$21*$AA$21</f>
        <v>2568.93615</v>
      </c>
      <c r="AV21">
        <f>$H$21*$AB$21</f>
        <v>3425.2482000000005</v>
      </c>
      <c r="AW21">
        <f>$H$21*$AC$21</f>
        <v>3425.2482000000005</v>
      </c>
      <c r="AX21">
        <f>$H$21*$AD$21</f>
        <v>3425.2482000000005</v>
      </c>
      <c r="AY21">
        <f>$H$21*$AE$21</f>
        <v>3425.2482000000005</v>
      </c>
      <c r="AZ21">
        <f>$H$21*$AF$21</f>
        <v>3425.2482000000005</v>
      </c>
    </row>
    <row r="22" spans="1:52" x14ac:dyDescent="0.25">
      <c r="A22">
        <v>43</v>
      </c>
      <c r="B22" t="s">
        <v>292</v>
      </c>
      <c r="C22" t="s">
        <v>344</v>
      </c>
      <c r="D22">
        <v>900</v>
      </c>
      <c r="E22">
        <v>2340</v>
      </c>
      <c r="F22" t="s">
        <v>313</v>
      </c>
      <c r="G22">
        <v>2.6</v>
      </c>
      <c r="H22">
        <v>2808</v>
      </c>
      <c r="I22" t="s">
        <v>342</v>
      </c>
      <c r="J22" t="s">
        <v>345</v>
      </c>
      <c r="K22" t="s">
        <v>527</v>
      </c>
      <c r="L22" t="s">
        <v>200</v>
      </c>
      <c r="M22" t="s">
        <v>526</v>
      </c>
      <c r="N22" t="s">
        <v>12</v>
      </c>
      <c r="O22" t="s">
        <v>68</v>
      </c>
      <c r="P22">
        <v>0</v>
      </c>
      <c r="Q22">
        <v>0.33</v>
      </c>
      <c r="R22">
        <v>0.33</v>
      </c>
      <c r="S22">
        <v>0.41250000000000003</v>
      </c>
      <c r="T22">
        <v>0.41250000000000003</v>
      </c>
      <c r="U22">
        <v>0.41250000000000003</v>
      </c>
      <c r="V22">
        <v>0.41250000000000003</v>
      </c>
      <c r="W22">
        <v>0.41250000000000003</v>
      </c>
      <c r="X22">
        <v>0.495</v>
      </c>
      <c r="Y22">
        <v>0.495</v>
      </c>
      <c r="Z22">
        <v>0.495</v>
      </c>
      <c r="AA22">
        <v>0.495</v>
      </c>
      <c r="AB22">
        <v>0.66</v>
      </c>
      <c r="AC22">
        <v>0.66</v>
      </c>
      <c r="AD22">
        <v>0.66</v>
      </c>
      <c r="AE22">
        <v>0.66</v>
      </c>
      <c r="AF22">
        <v>0.66</v>
      </c>
      <c r="AG22" t="s">
        <v>526</v>
      </c>
      <c r="AH22" t="s">
        <v>12</v>
      </c>
      <c r="AI22" t="s">
        <v>68</v>
      </c>
      <c r="AJ22">
        <f>$H$22*$P$22</f>
        <v>0</v>
      </c>
      <c r="AK22">
        <f>$H$22*$Q$22</f>
        <v>926.6400000000001</v>
      </c>
      <c r="AL22">
        <f>$H$22*$R$22</f>
        <v>926.6400000000001</v>
      </c>
      <c r="AM22">
        <f>$H$22*$S$22</f>
        <v>1158.3000000000002</v>
      </c>
      <c r="AN22">
        <f>$H$22*$T$22</f>
        <v>1158.3000000000002</v>
      </c>
      <c r="AO22">
        <f>$H$22*$U$22</f>
        <v>1158.3000000000002</v>
      </c>
      <c r="AP22">
        <f>$H$22*$V$22</f>
        <v>1158.3000000000002</v>
      </c>
      <c r="AQ22">
        <f>$H$22*$W$22</f>
        <v>1158.3000000000002</v>
      </c>
      <c r="AR22">
        <f>$H$22*$X$22</f>
        <v>1389.96</v>
      </c>
      <c r="AS22">
        <f>$H$22*$Y$22</f>
        <v>1389.96</v>
      </c>
      <c r="AT22">
        <f>$H$22*$Z$22</f>
        <v>1389.96</v>
      </c>
      <c r="AU22">
        <f>$H$22*$AA$22</f>
        <v>1389.96</v>
      </c>
      <c r="AV22">
        <f>$H$22*$AB$22</f>
        <v>1853.2800000000002</v>
      </c>
      <c r="AW22">
        <f>$H$22*$AC$22</f>
        <v>1853.2800000000002</v>
      </c>
      <c r="AX22">
        <f>$H$22*$AD$22</f>
        <v>1853.2800000000002</v>
      </c>
      <c r="AY22">
        <f>$H$22*$AE$22</f>
        <v>1853.2800000000002</v>
      </c>
      <c r="AZ22">
        <f>$H$22*$AF$22</f>
        <v>1853.2800000000002</v>
      </c>
    </row>
    <row r="23" spans="1:52" x14ac:dyDescent="0.25">
      <c r="A23">
        <v>45</v>
      </c>
      <c r="B23" t="s">
        <v>292</v>
      </c>
      <c r="C23" t="s">
        <v>346</v>
      </c>
      <c r="D23">
        <v>1</v>
      </c>
      <c r="E23">
        <v>126.85</v>
      </c>
      <c r="F23" t="s">
        <v>299</v>
      </c>
      <c r="G23">
        <v>126.85</v>
      </c>
      <c r="H23">
        <v>152.22999999999999</v>
      </c>
      <c r="I23" t="s">
        <v>307</v>
      </c>
      <c r="J23" t="s">
        <v>347</v>
      </c>
      <c r="K23" t="s">
        <v>528</v>
      </c>
      <c r="L23" t="s">
        <v>200</v>
      </c>
      <c r="M23" t="s">
        <v>506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1</v>
      </c>
      <c r="AD23">
        <v>1</v>
      </c>
      <c r="AE23">
        <v>1</v>
      </c>
      <c r="AF23">
        <v>1</v>
      </c>
      <c r="AG23" t="s">
        <v>506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152.22999999999999</v>
      </c>
      <c r="AX23">
        <f>$H$23*$AD$23</f>
        <v>152.22999999999999</v>
      </c>
      <c r="AY23">
        <f>$H$23*$AE$23</f>
        <v>152.22999999999999</v>
      </c>
      <c r="AZ23">
        <f>$H$23*$AF$23</f>
        <v>152.22999999999999</v>
      </c>
    </row>
    <row r="24" spans="1:52" x14ac:dyDescent="0.25">
      <c r="A24">
        <v>46</v>
      </c>
      <c r="B24" t="s">
        <v>292</v>
      </c>
      <c r="C24" t="s">
        <v>348</v>
      </c>
      <c r="D24">
        <v>1</v>
      </c>
      <c r="E24">
        <v>3057.31</v>
      </c>
      <c r="F24" t="s">
        <v>299</v>
      </c>
      <c r="G24">
        <v>3057.31</v>
      </c>
      <c r="H24">
        <v>3668.77</v>
      </c>
      <c r="I24" t="s">
        <v>307</v>
      </c>
      <c r="J24" t="s">
        <v>349</v>
      </c>
      <c r="K24" t="s">
        <v>529</v>
      </c>
      <c r="L24" t="s">
        <v>200</v>
      </c>
      <c r="M24" t="s">
        <v>515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515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3668.77</v>
      </c>
      <c r="AQ24">
        <f>$H$24*$W$24</f>
        <v>3668.77</v>
      </c>
      <c r="AR24">
        <f>$H$24*$X$24</f>
        <v>3668.77</v>
      </c>
      <c r="AS24">
        <f>$H$24*$Y$24</f>
        <v>3668.77</v>
      </c>
      <c r="AT24">
        <f>$H$24*$Z$24</f>
        <v>3668.77</v>
      </c>
      <c r="AU24">
        <f>$H$24*$AA$24</f>
        <v>3668.77</v>
      </c>
      <c r="AV24">
        <f>$H$24*$AB$24</f>
        <v>3668.77</v>
      </c>
      <c r="AW24">
        <f>$H$24*$AC$24</f>
        <v>3668.77</v>
      </c>
      <c r="AX24">
        <f>$H$24*$AD$24</f>
        <v>3668.77</v>
      </c>
      <c r="AY24">
        <f>$H$24*$AE$24</f>
        <v>3668.77</v>
      </c>
      <c r="AZ24">
        <f>$H$24*$AF$24</f>
        <v>3668.77</v>
      </c>
    </row>
    <row r="25" spans="1:52" x14ac:dyDescent="0.25">
      <c r="A25">
        <v>47</v>
      </c>
      <c r="B25" t="s">
        <v>292</v>
      </c>
      <c r="C25" t="s">
        <v>350</v>
      </c>
      <c r="D25">
        <v>1</v>
      </c>
      <c r="E25">
        <v>3972.72</v>
      </c>
      <c r="F25" t="s">
        <v>299</v>
      </c>
      <c r="G25">
        <v>3972.72</v>
      </c>
      <c r="H25">
        <v>4767.26</v>
      </c>
      <c r="I25" t="s">
        <v>307</v>
      </c>
      <c r="J25" t="s">
        <v>351</v>
      </c>
      <c r="K25" t="s">
        <v>530</v>
      </c>
      <c r="L25" t="s">
        <v>200</v>
      </c>
      <c r="M25" t="s">
        <v>515</v>
      </c>
      <c r="N25" t="s">
        <v>26</v>
      </c>
      <c r="O25" t="s">
        <v>67</v>
      </c>
      <c r="P25">
        <v>0</v>
      </c>
      <c r="Q25">
        <v>0.5</v>
      </c>
      <c r="R25">
        <v>0.5</v>
      </c>
      <c r="S25">
        <v>0.5</v>
      </c>
      <c r="T25">
        <v>0.5</v>
      </c>
      <c r="U25">
        <v>0.5</v>
      </c>
      <c r="V25">
        <v>0.5</v>
      </c>
      <c r="W25">
        <v>0.5</v>
      </c>
      <c r="X25">
        <v>0.5</v>
      </c>
      <c r="Y25">
        <v>0.5</v>
      </c>
      <c r="Z25">
        <v>0.5</v>
      </c>
      <c r="AA25">
        <v>0.5</v>
      </c>
      <c r="AB25">
        <v>0.5</v>
      </c>
      <c r="AC25">
        <v>0.5</v>
      </c>
      <c r="AD25">
        <v>0.5</v>
      </c>
      <c r="AE25">
        <v>0.5</v>
      </c>
      <c r="AF25">
        <v>0.5</v>
      </c>
      <c r="AG25" t="s">
        <v>515</v>
      </c>
      <c r="AH25" t="s">
        <v>26</v>
      </c>
      <c r="AI25" t="s">
        <v>67</v>
      </c>
      <c r="AJ25">
        <f>$H$25*$P$25</f>
        <v>0</v>
      </c>
      <c r="AK25">
        <f>$H$25*$Q$25</f>
        <v>2383.63</v>
      </c>
      <c r="AL25">
        <f>$H$25*$R$25</f>
        <v>2383.63</v>
      </c>
      <c r="AM25">
        <f>$H$25*$S$25</f>
        <v>2383.63</v>
      </c>
      <c r="AN25">
        <f>$H$25*$T$25</f>
        <v>2383.63</v>
      </c>
      <c r="AO25">
        <f>$H$25*$U$25</f>
        <v>2383.63</v>
      </c>
      <c r="AP25">
        <f>$H$25*$V$25</f>
        <v>2383.63</v>
      </c>
      <c r="AQ25">
        <f>$H$25*$W$25</f>
        <v>2383.63</v>
      </c>
      <c r="AR25">
        <f>$H$25*$X$25</f>
        <v>2383.63</v>
      </c>
      <c r="AS25">
        <f>$H$25*$Y$25</f>
        <v>2383.63</v>
      </c>
      <c r="AT25">
        <f>$H$25*$Z$25</f>
        <v>2383.63</v>
      </c>
      <c r="AU25">
        <f>$H$25*$AA$25</f>
        <v>2383.63</v>
      </c>
      <c r="AV25">
        <f>$H$25*$AB$25</f>
        <v>2383.63</v>
      </c>
      <c r="AW25">
        <f>$H$25*$AC$25</f>
        <v>2383.63</v>
      </c>
      <c r="AX25">
        <f>$H$25*$AD$25</f>
        <v>2383.63</v>
      </c>
      <c r="AY25">
        <f>$H$25*$AE$25</f>
        <v>2383.63</v>
      </c>
      <c r="AZ25">
        <f>$H$25*$AF$25</f>
        <v>2383.63</v>
      </c>
    </row>
    <row r="26" spans="1:52" x14ac:dyDescent="0.25">
      <c r="A26">
        <v>48</v>
      </c>
      <c r="B26" t="s">
        <v>292</v>
      </c>
      <c r="C26" t="s">
        <v>352</v>
      </c>
      <c r="D26">
        <v>1</v>
      </c>
      <c r="E26">
        <v>67.75</v>
      </c>
      <c r="F26" t="s">
        <v>299</v>
      </c>
      <c r="G26">
        <v>67.75</v>
      </c>
      <c r="H26">
        <v>81.31</v>
      </c>
      <c r="I26" t="s">
        <v>307</v>
      </c>
      <c r="J26" t="s">
        <v>353</v>
      </c>
      <c r="K26" t="s">
        <v>531</v>
      </c>
      <c r="L26" t="s">
        <v>200</v>
      </c>
      <c r="M26" t="s">
        <v>515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515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81.31</v>
      </c>
      <c r="AQ26">
        <f>$H$26*$W$26</f>
        <v>81.31</v>
      </c>
      <c r="AR26">
        <f>$H$26*$X$26</f>
        <v>81.31</v>
      </c>
      <c r="AS26">
        <f>$H$26*$Y$26</f>
        <v>81.31</v>
      </c>
      <c r="AT26">
        <f>$H$26*$Z$26</f>
        <v>81.31</v>
      </c>
      <c r="AU26">
        <f>$H$26*$AA$26</f>
        <v>81.31</v>
      </c>
      <c r="AV26">
        <f>$H$26*$AB$26</f>
        <v>81.31</v>
      </c>
      <c r="AW26">
        <f>$H$26*$AC$26</f>
        <v>81.31</v>
      </c>
      <c r="AX26">
        <f>$H$26*$AD$26</f>
        <v>81.31</v>
      </c>
      <c r="AY26">
        <f>$H$26*$AE$26</f>
        <v>81.31</v>
      </c>
      <c r="AZ26">
        <f>$H$26*$AF$26</f>
        <v>81.31</v>
      </c>
    </row>
    <row r="27" spans="1:52" x14ac:dyDescent="0.25">
      <c r="A27">
        <v>49</v>
      </c>
      <c r="B27" t="s">
        <v>292</v>
      </c>
      <c r="C27" t="s">
        <v>354</v>
      </c>
      <c r="D27">
        <v>1</v>
      </c>
      <c r="E27">
        <v>3628.82</v>
      </c>
      <c r="F27" t="s">
        <v>299</v>
      </c>
      <c r="G27">
        <v>3628.82</v>
      </c>
      <c r="H27">
        <v>4354.58</v>
      </c>
      <c r="I27" t="s">
        <v>307</v>
      </c>
      <c r="J27" t="s">
        <v>355</v>
      </c>
      <c r="K27" t="s">
        <v>532</v>
      </c>
      <c r="L27" t="s">
        <v>200</v>
      </c>
      <c r="M27" t="s">
        <v>515</v>
      </c>
      <c r="N27" t="s">
        <v>26</v>
      </c>
      <c r="O27" t="s">
        <v>67</v>
      </c>
      <c r="P27">
        <v>0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515</v>
      </c>
      <c r="AH27" t="s">
        <v>26</v>
      </c>
      <c r="AI27" t="s">
        <v>67</v>
      </c>
      <c r="AJ27">
        <f>$H$27*$P$27</f>
        <v>0</v>
      </c>
      <c r="AK27">
        <f>$H$27*$Q$27</f>
        <v>4354.58</v>
      </c>
      <c r="AL27">
        <f>$H$27*$R$27</f>
        <v>4354.58</v>
      </c>
      <c r="AM27">
        <f>$H$27*$S$27</f>
        <v>4354.58</v>
      </c>
      <c r="AN27">
        <f>$H$27*$T$27</f>
        <v>4354.58</v>
      </c>
      <c r="AO27">
        <f>$H$27*$U$27</f>
        <v>4354.58</v>
      </c>
      <c r="AP27">
        <f>$H$27*$V$27</f>
        <v>4354.58</v>
      </c>
      <c r="AQ27">
        <f>$H$27*$W$27</f>
        <v>4354.58</v>
      </c>
      <c r="AR27">
        <f>$H$27*$X$27</f>
        <v>4354.58</v>
      </c>
      <c r="AS27">
        <f>$H$27*$Y$27</f>
        <v>4354.58</v>
      </c>
      <c r="AT27">
        <f>$H$27*$Z$27</f>
        <v>4354.58</v>
      </c>
      <c r="AU27">
        <f>$H$27*$AA$27</f>
        <v>4354.58</v>
      </c>
      <c r="AV27">
        <f>$H$27*$AB$27</f>
        <v>4354.58</v>
      </c>
      <c r="AW27">
        <f>$H$27*$AC$27</f>
        <v>4354.58</v>
      </c>
      <c r="AX27">
        <f>$H$27*$AD$27</f>
        <v>4354.58</v>
      </c>
      <c r="AY27">
        <f>$H$27*$AE$27</f>
        <v>4354.58</v>
      </c>
      <c r="AZ27">
        <f>$H$27*$AF$27</f>
        <v>4354.58</v>
      </c>
    </row>
    <row r="28" spans="1:52" x14ac:dyDescent="0.25">
      <c r="A28">
        <v>55</v>
      </c>
      <c r="B28" t="s">
        <v>292</v>
      </c>
      <c r="C28" t="s">
        <v>356</v>
      </c>
      <c r="D28">
        <v>3</v>
      </c>
      <c r="E28">
        <v>196.95</v>
      </c>
      <c r="F28" t="s">
        <v>299</v>
      </c>
      <c r="G28">
        <v>65.650000000000006</v>
      </c>
      <c r="H28">
        <v>236.35</v>
      </c>
      <c r="I28" t="s">
        <v>304</v>
      </c>
      <c r="J28" t="s">
        <v>357</v>
      </c>
      <c r="K28" t="s">
        <v>533</v>
      </c>
      <c r="L28" t="s">
        <v>200</v>
      </c>
      <c r="M28" t="s">
        <v>526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1</v>
      </c>
      <c r="AF28">
        <v>1</v>
      </c>
      <c r="AG28" t="s">
        <v>526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0</v>
      </c>
      <c r="AV28">
        <f>$H$28*$AB$28</f>
        <v>0</v>
      </c>
      <c r="AW28">
        <f>$H$28*$AC$28</f>
        <v>0</v>
      </c>
      <c r="AX28">
        <f>$H$28*$AD$28</f>
        <v>236.35</v>
      </c>
      <c r="AY28">
        <f>$H$28*$AE$28</f>
        <v>236.35</v>
      </c>
      <c r="AZ28">
        <f>$H$28*$AF$28</f>
        <v>236.35</v>
      </c>
    </row>
    <row r="29" spans="1:52" x14ac:dyDescent="0.25">
      <c r="A29">
        <v>56</v>
      </c>
      <c r="B29" t="s">
        <v>292</v>
      </c>
      <c r="C29" t="s">
        <v>358</v>
      </c>
      <c r="D29">
        <v>3</v>
      </c>
      <c r="E29">
        <v>315.02999999999997</v>
      </c>
      <c r="F29" t="s">
        <v>299</v>
      </c>
      <c r="G29">
        <v>105.01</v>
      </c>
      <c r="H29">
        <v>378.03</v>
      </c>
      <c r="I29" t="s">
        <v>330</v>
      </c>
      <c r="J29" t="s">
        <v>359</v>
      </c>
      <c r="K29" t="s">
        <v>534</v>
      </c>
      <c r="L29" t="s">
        <v>200</v>
      </c>
      <c r="M29" t="s">
        <v>526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526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378.03</v>
      </c>
      <c r="AV29">
        <f>$H$29*$AB$29</f>
        <v>378.03</v>
      </c>
      <c r="AW29">
        <f>$H$29*$AC$29</f>
        <v>378.03</v>
      </c>
      <c r="AX29">
        <f>$H$29*$AD$29</f>
        <v>378.03</v>
      </c>
      <c r="AY29">
        <f>$H$29*$AE$29</f>
        <v>378.03</v>
      </c>
      <c r="AZ29">
        <f>$H$29*$AF$29</f>
        <v>378.03</v>
      </c>
    </row>
    <row r="30" spans="1:52" x14ac:dyDescent="0.25">
      <c r="A30">
        <v>57</v>
      </c>
      <c r="B30" t="s">
        <v>292</v>
      </c>
      <c r="C30" t="s">
        <v>360</v>
      </c>
      <c r="D30">
        <v>3</v>
      </c>
      <c r="E30">
        <v>1142.19</v>
      </c>
      <c r="F30" t="s">
        <v>299</v>
      </c>
      <c r="G30">
        <v>380.73</v>
      </c>
      <c r="H30">
        <v>1370.63</v>
      </c>
      <c r="I30" t="s">
        <v>333</v>
      </c>
      <c r="J30" t="s">
        <v>357</v>
      </c>
      <c r="K30" t="s">
        <v>535</v>
      </c>
      <c r="L30" t="s">
        <v>200</v>
      </c>
      <c r="M30" t="s">
        <v>526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526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1370.63</v>
      </c>
      <c r="AP30">
        <f>$H$30*$V$30</f>
        <v>1370.63</v>
      </c>
      <c r="AQ30">
        <f>$H$30*$W$30</f>
        <v>1370.63</v>
      </c>
      <c r="AR30">
        <f>$H$30*$X$30</f>
        <v>1370.63</v>
      </c>
      <c r="AS30">
        <f>$H$30*$Y$30</f>
        <v>1370.63</v>
      </c>
      <c r="AT30">
        <f>$H$30*$Z$30</f>
        <v>1370.63</v>
      </c>
      <c r="AU30">
        <f>$H$30*$AA$30</f>
        <v>1370.63</v>
      </c>
      <c r="AV30">
        <f>$H$30*$AB$30</f>
        <v>1370.63</v>
      </c>
      <c r="AW30">
        <f>$H$30*$AC$30</f>
        <v>1370.63</v>
      </c>
      <c r="AX30">
        <f>$H$30*$AD$30</f>
        <v>1370.63</v>
      </c>
      <c r="AY30">
        <f>$H$30*$AE$30</f>
        <v>1370.63</v>
      </c>
      <c r="AZ30">
        <f>$H$30*$AF$30</f>
        <v>1370.63</v>
      </c>
    </row>
    <row r="31" spans="1:52" x14ac:dyDescent="0.25">
      <c r="A31">
        <v>58</v>
      </c>
      <c r="B31" t="s">
        <v>292</v>
      </c>
      <c r="C31" t="s">
        <v>361</v>
      </c>
      <c r="D31">
        <v>1</v>
      </c>
      <c r="E31">
        <v>719.97</v>
      </c>
      <c r="F31" t="s">
        <v>299</v>
      </c>
      <c r="G31">
        <v>719.97</v>
      </c>
      <c r="H31">
        <v>863.97</v>
      </c>
      <c r="I31" t="s">
        <v>362</v>
      </c>
      <c r="J31" t="s">
        <v>363</v>
      </c>
      <c r="K31" t="s">
        <v>536</v>
      </c>
      <c r="L31" t="s">
        <v>200</v>
      </c>
      <c r="M31" t="s">
        <v>526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526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863.97</v>
      </c>
      <c r="AP31">
        <f>$H$31*$V$31</f>
        <v>863.97</v>
      </c>
      <c r="AQ31">
        <f>$H$31*$W$31</f>
        <v>863.97</v>
      </c>
      <c r="AR31">
        <f>$H$31*$X$31</f>
        <v>863.97</v>
      </c>
      <c r="AS31">
        <f>$H$31*$Y$31</f>
        <v>863.97</v>
      </c>
      <c r="AT31">
        <f>$H$31*$Z$31</f>
        <v>863.97</v>
      </c>
      <c r="AU31">
        <f>$H$31*$AA$31</f>
        <v>863.97</v>
      </c>
      <c r="AV31">
        <f>$H$31*$AB$31</f>
        <v>863.97</v>
      </c>
      <c r="AW31">
        <f>$H$31*$AC$31</f>
        <v>863.97</v>
      </c>
      <c r="AX31">
        <f>$H$31*$AD$31</f>
        <v>863.97</v>
      </c>
      <c r="AY31">
        <f>$H$31*$AE$31</f>
        <v>863.97</v>
      </c>
      <c r="AZ31">
        <f>$H$31*$AF$31</f>
        <v>863.97</v>
      </c>
    </row>
    <row r="32" spans="1:52" x14ac:dyDescent="0.25">
      <c r="A32">
        <v>73</v>
      </c>
      <c r="B32" t="s">
        <v>292</v>
      </c>
      <c r="C32" t="s">
        <v>364</v>
      </c>
      <c r="D32">
        <v>1</v>
      </c>
      <c r="E32">
        <v>1489.01</v>
      </c>
      <c r="F32" t="s">
        <v>299</v>
      </c>
      <c r="G32">
        <v>1489.01</v>
      </c>
      <c r="H32">
        <v>1786.81</v>
      </c>
      <c r="I32" t="s">
        <v>301</v>
      </c>
      <c r="J32" t="s">
        <v>365</v>
      </c>
      <c r="K32" t="s">
        <v>537</v>
      </c>
      <c r="L32" t="s">
        <v>200</v>
      </c>
      <c r="M32" t="s">
        <v>515</v>
      </c>
      <c r="N32" t="s">
        <v>26</v>
      </c>
      <c r="O32" t="s">
        <v>67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515</v>
      </c>
      <c r="AH32" t="s">
        <v>26</v>
      </c>
      <c r="AI32" t="s">
        <v>67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0</v>
      </c>
      <c r="AS32">
        <f>$H$32*$Y$32</f>
        <v>0</v>
      </c>
      <c r="AT32">
        <f>$H$32*$Z$32</f>
        <v>0</v>
      </c>
      <c r="AU32">
        <f>$H$32*$AA$32</f>
        <v>1786.81</v>
      </c>
      <c r="AV32">
        <f>$H$32*$AB$32</f>
        <v>1786.81</v>
      </c>
      <c r="AW32">
        <f>$H$32*$AC$32</f>
        <v>1786.81</v>
      </c>
      <c r="AX32">
        <f>$H$32*$AD$32</f>
        <v>1786.81</v>
      </c>
      <c r="AY32">
        <f>$H$32*$AE$32</f>
        <v>1786.81</v>
      </c>
      <c r="AZ32">
        <f>$H$32*$AF$32</f>
        <v>1786.81</v>
      </c>
    </row>
    <row r="33" spans="1:52" x14ac:dyDescent="0.25">
      <c r="A33">
        <v>77</v>
      </c>
      <c r="B33" t="s">
        <v>292</v>
      </c>
      <c r="C33" t="s">
        <v>366</v>
      </c>
      <c r="D33">
        <v>4</v>
      </c>
      <c r="E33">
        <v>71.08</v>
      </c>
      <c r="F33" t="s">
        <v>299</v>
      </c>
      <c r="G33">
        <v>17.77</v>
      </c>
      <c r="H33">
        <v>85.3</v>
      </c>
      <c r="I33" t="s">
        <v>301</v>
      </c>
      <c r="J33" t="s">
        <v>367</v>
      </c>
      <c r="K33" t="s">
        <v>538</v>
      </c>
      <c r="L33" t="s">
        <v>200</v>
      </c>
      <c r="M33" t="s">
        <v>506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506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85.3</v>
      </c>
      <c r="AS33">
        <f>$H$33*$Y$33</f>
        <v>85.3</v>
      </c>
      <c r="AT33">
        <f>$H$33*$Z$33</f>
        <v>85.3</v>
      </c>
      <c r="AU33">
        <f>$H$33*$AA$33</f>
        <v>85.3</v>
      </c>
      <c r="AV33">
        <f>$H$33*$AB$33</f>
        <v>85.3</v>
      </c>
      <c r="AW33">
        <f>$H$33*$AC$33</f>
        <v>85.3</v>
      </c>
      <c r="AX33">
        <f>$H$33*$AD$33</f>
        <v>85.3</v>
      </c>
      <c r="AY33">
        <f>$H$33*$AE$33</f>
        <v>85.3</v>
      </c>
      <c r="AZ33">
        <f>$H$33*$AF$33</f>
        <v>85.3</v>
      </c>
    </row>
    <row r="34" spans="1:52" x14ac:dyDescent="0.25">
      <c r="A34">
        <v>78</v>
      </c>
      <c r="B34" t="s">
        <v>292</v>
      </c>
      <c r="C34" t="s">
        <v>368</v>
      </c>
      <c r="D34">
        <v>2</v>
      </c>
      <c r="E34">
        <v>41.5</v>
      </c>
      <c r="F34" t="s">
        <v>299</v>
      </c>
      <c r="G34">
        <v>20.75</v>
      </c>
      <c r="H34">
        <v>49.8</v>
      </c>
      <c r="I34" t="s">
        <v>301</v>
      </c>
      <c r="J34" t="s">
        <v>369</v>
      </c>
      <c r="K34" t="s">
        <v>539</v>
      </c>
      <c r="L34" t="s">
        <v>200</v>
      </c>
      <c r="M34" t="s">
        <v>526</v>
      </c>
      <c r="N34" t="s">
        <v>12</v>
      </c>
      <c r="O34" t="s">
        <v>68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526</v>
      </c>
      <c r="AH34" t="s">
        <v>12</v>
      </c>
      <c r="AI34" t="s">
        <v>68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49.8</v>
      </c>
      <c r="AS34">
        <f>$H$34*$Y$34</f>
        <v>49.8</v>
      </c>
      <c r="AT34">
        <f>$H$34*$Z$34</f>
        <v>49.8</v>
      </c>
      <c r="AU34">
        <f>$H$34*$AA$34</f>
        <v>49.8</v>
      </c>
      <c r="AV34">
        <f>$H$34*$AB$34</f>
        <v>49.8</v>
      </c>
      <c r="AW34">
        <f>$H$34*$AC$34</f>
        <v>49.8</v>
      </c>
      <c r="AX34">
        <f>$H$34*$AD$34</f>
        <v>49.8</v>
      </c>
      <c r="AY34">
        <f>$H$34*$AE$34</f>
        <v>49.8</v>
      </c>
      <c r="AZ34">
        <f>$H$34*$AF$34</f>
        <v>49.8</v>
      </c>
    </row>
    <row r="35" spans="1:52" x14ac:dyDescent="0.25">
      <c r="A35">
        <v>79</v>
      </c>
      <c r="B35" t="s">
        <v>292</v>
      </c>
      <c r="C35" t="s">
        <v>370</v>
      </c>
      <c r="D35">
        <v>1800</v>
      </c>
      <c r="E35">
        <v>6444</v>
      </c>
      <c r="F35" t="s">
        <v>313</v>
      </c>
      <c r="G35">
        <v>3.58</v>
      </c>
      <c r="H35">
        <v>7732.8</v>
      </c>
      <c r="I35" t="s">
        <v>301</v>
      </c>
      <c r="J35" t="s">
        <v>371</v>
      </c>
      <c r="K35" t="s">
        <v>540</v>
      </c>
      <c r="L35" t="s">
        <v>200</v>
      </c>
      <c r="M35" t="s">
        <v>506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  <c r="Y35">
        <v>0.6</v>
      </c>
      <c r="Z35">
        <v>0.6</v>
      </c>
      <c r="AA35">
        <v>0.6</v>
      </c>
      <c r="AB35">
        <v>0.6</v>
      </c>
      <c r="AC35">
        <v>0.6</v>
      </c>
      <c r="AD35">
        <v>0.6</v>
      </c>
      <c r="AE35">
        <v>0.6</v>
      </c>
      <c r="AF35">
        <v>0.6</v>
      </c>
      <c r="AG35" t="s">
        <v>506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4639.68</v>
      </c>
      <c r="AS35">
        <f>$H$35*$Y$35</f>
        <v>4639.68</v>
      </c>
      <c r="AT35">
        <f>$H$35*$Z$35</f>
        <v>4639.68</v>
      </c>
      <c r="AU35">
        <f>$H$35*$AA$35</f>
        <v>4639.68</v>
      </c>
      <c r="AV35">
        <f>$H$35*$AB$35</f>
        <v>4639.68</v>
      </c>
      <c r="AW35">
        <f>$H$35*$AC$35</f>
        <v>4639.68</v>
      </c>
      <c r="AX35">
        <f>$H$35*$AD$35</f>
        <v>4639.68</v>
      </c>
      <c r="AY35">
        <f>$H$35*$AE$35</f>
        <v>4639.68</v>
      </c>
      <c r="AZ35">
        <f>$H$35*$AF$35</f>
        <v>4639.68</v>
      </c>
    </row>
    <row r="36" spans="1:52" x14ac:dyDescent="0.25">
      <c r="A36">
        <v>80</v>
      </c>
      <c r="B36" t="s">
        <v>292</v>
      </c>
      <c r="C36" t="s">
        <v>372</v>
      </c>
      <c r="D36">
        <v>40</v>
      </c>
      <c r="E36">
        <v>39.6</v>
      </c>
      <c r="F36" t="s">
        <v>294</v>
      </c>
      <c r="G36">
        <v>0.99</v>
      </c>
      <c r="H36">
        <v>47.52</v>
      </c>
      <c r="I36" t="s">
        <v>301</v>
      </c>
      <c r="J36" t="s">
        <v>373</v>
      </c>
      <c r="K36" t="s">
        <v>541</v>
      </c>
      <c r="L36" t="s">
        <v>200</v>
      </c>
      <c r="M36" t="s">
        <v>506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0.6</v>
      </c>
      <c r="Y36">
        <v>0.6</v>
      </c>
      <c r="Z36">
        <v>0.6</v>
      </c>
      <c r="AA36">
        <v>0.6</v>
      </c>
      <c r="AB36">
        <v>0.6</v>
      </c>
      <c r="AC36">
        <v>0.6</v>
      </c>
      <c r="AD36">
        <v>0.6</v>
      </c>
      <c r="AE36">
        <v>0.6</v>
      </c>
      <c r="AF36">
        <v>0.6</v>
      </c>
      <c r="AG36" t="s">
        <v>506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28.512</v>
      </c>
      <c r="AS36">
        <f>$H$36*$Y$36</f>
        <v>28.512</v>
      </c>
      <c r="AT36">
        <f>$H$36*$Z$36</f>
        <v>28.512</v>
      </c>
      <c r="AU36">
        <f>$H$36*$AA$36</f>
        <v>28.512</v>
      </c>
      <c r="AV36">
        <f>$H$36*$AB$36</f>
        <v>28.512</v>
      </c>
      <c r="AW36">
        <f>$H$36*$AC$36</f>
        <v>28.512</v>
      </c>
      <c r="AX36">
        <f>$H$36*$AD$36</f>
        <v>28.512</v>
      </c>
      <c r="AY36">
        <f>$H$36*$AE$36</f>
        <v>28.512</v>
      </c>
      <c r="AZ36">
        <f>$H$36*$AF$36</f>
        <v>28.512</v>
      </c>
    </row>
    <row r="37" spans="1:52" x14ac:dyDescent="0.25">
      <c r="A37">
        <v>82</v>
      </c>
      <c r="B37" t="s">
        <v>292</v>
      </c>
      <c r="C37" t="s">
        <v>320</v>
      </c>
      <c r="D37">
        <v>3</v>
      </c>
      <c r="E37">
        <v>13.32</v>
      </c>
      <c r="F37" t="s">
        <v>294</v>
      </c>
      <c r="G37">
        <v>4.4400000000000004</v>
      </c>
      <c r="H37">
        <v>15.98</v>
      </c>
      <c r="I37" t="s">
        <v>295</v>
      </c>
      <c r="J37" t="s">
        <v>321</v>
      </c>
      <c r="K37" t="s">
        <v>516</v>
      </c>
      <c r="L37" t="s">
        <v>200</v>
      </c>
      <c r="M37" t="s">
        <v>506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506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15.98</v>
      </c>
      <c r="AV37">
        <f>$H$37*$AB$37</f>
        <v>15.98</v>
      </c>
      <c r="AW37">
        <f>$H$37*$AC$37</f>
        <v>15.98</v>
      </c>
      <c r="AX37">
        <f>$H$37*$AD$37</f>
        <v>15.98</v>
      </c>
      <c r="AY37">
        <f>$H$37*$AE$37</f>
        <v>15.98</v>
      </c>
      <c r="AZ37">
        <f>$H$37*$AF$37</f>
        <v>15.98</v>
      </c>
    </row>
    <row r="38" spans="1:52" x14ac:dyDescent="0.25">
      <c r="A38">
        <v>83</v>
      </c>
      <c r="B38" t="s">
        <v>292</v>
      </c>
      <c r="C38" t="s">
        <v>322</v>
      </c>
      <c r="D38">
        <v>3</v>
      </c>
      <c r="E38">
        <v>34.65</v>
      </c>
      <c r="F38" t="s">
        <v>294</v>
      </c>
      <c r="G38">
        <v>11.55</v>
      </c>
      <c r="H38">
        <v>41.59</v>
      </c>
      <c r="I38" t="s">
        <v>298</v>
      </c>
      <c r="J38" t="s">
        <v>323</v>
      </c>
      <c r="K38" t="s">
        <v>517</v>
      </c>
      <c r="L38" t="s">
        <v>200</v>
      </c>
      <c r="M38" t="s">
        <v>506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506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41.59</v>
      </c>
      <c r="AV38">
        <f>$H$38*$AB$38</f>
        <v>41.59</v>
      </c>
      <c r="AW38">
        <f>$H$38*$AC$38</f>
        <v>41.59</v>
      </c>
      <c r="AX38">
        <f>$H$38*$AD$38</f>
        <v>41.59</v>
      </c>
      <c r="AY38">
        <f>$H$38*$AE$38</f>
        <v>41.59</v>
      </c>
      <c r="AZ38">
        <f>$H$38*$AF$38</f>
        <v>41.59</v>
      </c>
    </row>
    <row r="39" spans="1:52" x14ac:dyDescent="0.25">
      <c r="A39">
        <v>84</v>
      </c>
      <c r="B39" t="s">
        <v>292</v>
      </c>
      <c r="C39" t="s">
        <v>374</v>
      </c>
      <c r="D39">
        <v>3</v>
      </c>
      <c r="E39">
        <v>14.25</v>
      </c>
      <c r="F39" t="s">
        <v>294</v>
      </c>
      <c r="G39">
        <v>4.75</v>
      </c>
      <c r="H39">
        <v>17.11</v>
      </c>
      <c r="I39" t="s">
        <v>298</v>
      </c>
      <c r="J39" t="s">
        <v>375</v>
      </c>
      <c r="K39" t="s">
        <v>542</v>
      </c>
      <c r="L39" t="s">
        <v>200</v>
      </c>
      <c r="M39" t="s">
        <v>506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1</v>
      </c>
      <c r="AD39">
        <v>1</v>
      </c>
      <c r="AE39">
        <v>1</v>
      </c>
      <c r="AF39">
        <v>1</v>
      </c>
      <c r="AG39" t="s">
        <v>506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0</v>
      </c>
      <c r="AV39">
        <f>$H$39*$AB$39</f>
        <v>0</v>
      </c>
      <c r="AW39">
        <f>$H$39*$AC$39</f>
        <v>17.11</v>
      </c>
      <c r="AX39">
        <f>$H$39*$AD$39</f>
        <v>17.11</v>
      </c>
      <c r="AY39">
        <f>$H$39*$AE$39</f>
        <v>17.11</v>
      </c>
      <c r="AZ39">
        <f>$H$39*$AF$39</f>
        <v>17.11</v>
      </c>
    </row>
    <row r="40" spans="1:52" x14ac:dyDescent="0.25">
      <c r="A40">
        <v>85</v>
      </c>
      <c r="B40" t="s">
        <v>292</v>
      </c>
      <c r="C40" t="s">
        <v>324</v>
      </c>
      <c r="D40">
        <v>86</v>
      </c>
      <c r="E40">
        <v>84.28</v>
      </c>
      <c r="F40" t="s">
        <v>313</v>
      </c>
      <c r="G40">
        <v>0.98</v>
      </c>
      <c r="H40">
        <v>101.14</v>
      </c>
      <c r="I40" t="s">
        <v>295</v>
      </c>
      <c r="J40" t="s">
        <v>325</v>
      </c>
      <c r="K40" t="s">
        <v>518</v>
      </c>
      <c r="L40" t="s">
        <v>200</v>
      </c>
      <c r="M40" t="s">
        <v>506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506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101.14</v>
      </c>
      <c r="AO40">
        <f>$H$40*$U$40</f>
        <v>101.14</v>
      </c>
      <c r="AP40">
        <f>$H$40*$V$40</f>
        <v>101.14</v>
      </c>
      <c r="AQ40">
        <f>$H$40*$W$40</f>
        <v>101.14</v>
      </c>
      <c r="AR40">
        <f>$H$40*$X$40</f>
        <v>101.14</v>
      </c>
      <c r="AS40">
        <f>$H$40*$Y$40</f>
        <v>101.14</v>
      </c>
      <c r="AT40">
        <f>$H$40*$Z$40</f>
        <v>101.14</v>
      </c>
      <c r="AU40">
        <f>$H$40*$AA$40</f>
        <v>101.14</v>
      </c>
      <c r="AV40">
        <f>$H$40*$AB$40</f>
        <v>101.14</v>
      </c>
      <c r="AW40">
        <f>$H$40*$AC$40</f>
        <v>101.14</v>
      </c>
      <c r="AX40">
        <f>$H$40*$AD$40</f>
        <v>101.14</v>
      </c>
      <c r="AY40">
        <f>$H$40*$AE$40</f>
        <v>101.14</v>
      </c>
      <c r="AZ40">
        <f>$H$40*$AF$40</f>
        <v>101.14</v>
      </c>
    </row>
    <row r="41" spans="1:52" x14ac:dyDescent="0.25">
      <c r="A41">
        <v>86</v>
      </c>
      <c r="B41" t="s">
        <v>292</v>
      </c>
      <c r="C41" t="s">
        <v>376</v>
      </c>
      <c r="D41">
        <v>86</v>
      </c>
      <c r="E41">
        <v>202.1</v>
      </c>
      <c r="F41" t="s">
        <v>313</v>
      </c>
      <c r="G41">
        <v>2.35</v>
      </c>
      <c r="H41">
        <v>242.52</v>
      </c>
      <c r="I41" t="s">
        <v>327</v>
      </c>
      <c r="J41" t="s">
        <v>377</v>
      </c>
      <c r="K41" t="s">
        <v>543</v>
      </c>
      <c r="L41" t="s">
        <v>200</v>
      </c>
      <c r="M41" t="s">
        <v>506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0.25</v>
      </c>
      <c r="T41">
        <v>0.25</v>
      </c>
      <c r="U41">
        <v>0.25</v>
      </c>
      <c r="V41">
        <v>0.25</v>
      </c>
      <c r="W41">
        <v>0.25</v>
      </c>
      <c r="X41">
        <v>0.5</v>
      </c>
      <c r="Y41">
        <v>0.5</v>
      </c>
      <c r="Z41">
        <v>0.5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506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60.63</v>
      </c>
      <c r="AN41">
        <f>$H$41*$T$41</f>
        <v>60.63</v>
      </c>
      <c r="AO41">
        <f>$H$41*$U$41</f>
        <v>60.63</v>
      </c>
      <c r="AP41">
        <f>$H$41*$V$41</f>
        <v>60.63</v>
      </c>
      <c r="AQ41">
        <f>$H$41*$W$41</f>
        <v>60.63</v>
      </c>
      <c r="AR41">
        <f>$H$41*$X$41</f>
        <v>121.26</v>
      </c>
      <c r="AS41">
        <f>$H$41*$Y$41</f>
        <v>121.26</v>
      </c>
      <c r="AT41">
        <f>$H$41*$Z$41</f>
        <v>121.26</v>
      </c>
      <c r="AU41">
        <f>$H$41*$AA$41</f>
        <v>242.52</v>
      </c>
      <c r="AV41">
        <f>$H$41*$AB$41</f>
        <v>242.52</v>
      </c>
      <c r="AW41">
        <f>$H$41*$AC$41</f>
        <v>242.52</v>
      </c>
      <c r="AX41">
        <f>$H$41*$AD$41</f>
        <v>242.52</v>
      </c>
      <c r="AY41">
        <f>$H$41*$AE$41</f>
        <v>242.52</v>
      </c>
      <c r="AZ41">
        <f>$H$41*$AF$41</f>
        <v>242.52</v>
      </c>
    </row>
    <row r="42" spans="1:52" x14ac:dyDescent="0.25">
      <c r="A42">
        <v>87</v>
      </c>
      <c r="B42" t="s">
        <v>292</v>
      </c>
      <c r="C42" t="s">
        <v>378</v>
      </c>
      <c r="D42">
        <v>1</v>
      </c>
      <c r="E42">
        <v>40.14</v>
      </c>
      <c r="F42" t="s">
        <v>299</v>
      </c>
      <c r="G42">
        <v>40.14</v>
      </c>
      <c r="H42">
        <v>48.16</v>
      </c>
      <c r="I42" t="s">
        <v>330</v>
      </c>
      <c r="J42" t="s">
        <v>379</v>
      </c>
      <c r="K42" t="s">
        <v>544</v>
      </c>
      <c r="L42" t="s">
        <v>200</v>
      </c>
      <c r="M42" t="s">
        <v>506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506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48.16</v>
      </c>
      <c r="AU42">
        <f>$H$42*$AA$42</f>
        <v>48.16</v>
      </c>
      <c r="AV42">
        <f>$H$42*$AB$42</f>
        <v>48.16</v>
      </c>
      <c r="AW42">
        <f>$H$42*$AC$42</f>
        <v>48.16</v>
      </c>
      <c r="AX42">
        <f>$H$42*$AD$42</f>
        <v>48.16</v>
      </c>
      <c r="AY42">
        <f>$H$42*$AE$42</f>
        <v>48.16</v>
      </c>
      <c r="AZ42">
        <f>$H$42*$AF$42</f>
        <v>48.16</v>
      </c>
    </row>
    <row r="43" spans="1:52" x14ac:dyDescent="0.25">
      <c r="A43">
        <v>88</v>
      </c>
      <c r="B43" t="s">
        <v>292</v>
      </c>
      <c r="C43" t="s">
        <v>332</v>
      </c>
      <c r="D43">
        <v>1</v>
      </c>
      <c r="E43">
        <v>365.09</v>
      </c>
      <c r="F43" t="s">
        <v>299</v>
      </c>
      <c r="G43">
        <v>365.09</v>
      </c>
      <c r="H43">
        <v>438.11</v>
      </c>
      <c r="I43" t="s">
        <v>333</v>
      </c>
      <c r="J43" t="s">
        <v>334</v>
      </c>
      <c r="K43" t="s">
        <v>521</v>
      </c>
      <c r="L43" t="s">
        <v>200</v>
      </c>
      <c r="M43" t="s">
        <v>506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506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438.11</v>
      </c>
      <c r="AO43">
        <f>$H$43*$U$43</f>
        <v>438.11</v>
      </c>
      <c r="AP43">
        <f>$H$43*$V$43</f>
        <v>438.11</v>
      </c>
      <c r="AQ43">
        <f>$H$43*$W$43</f>
        <v>438.11</v>
      </c>
      <c r="AR43">
        <f>$H$43*$X$43</f>
        <v>438.11</v>
      </c>
      <c r="AS43">
        <f>$H$43*$Y$43</f>
        <v>438.11</v>
      </c>
      <c r="AT43">
        <f>$H$43*$Z$43</f>
        <v>438.11</v>
      </c>
      <c r="AU43">
        <f>$H$43*$AA$43</f>
        <v>438.11</v>
      </c>
      <c r="AV43">
        <f>$H$43*$AB$43</f>
        <v>438.11</v>
      </c>
      <c r="AW43">
        <f>$H$43*$AC$43</f>
        <v>438.11</v>
      </c>
      <c r="AX43">
        <f>$H$43*$AD$43</f>
        <v>438.11</v>
      </c>
      <c r="AY43">
        <f>$H$43*$AE$43</f>
        <v>438.11</v>
      </c>
      <c r="AZ43">
        <f>$H$43*$AF$43</f>
        <v>438.11</v>
      </c>
    </row>
    <row r="44" spans="1:52" x14ac:dyDescent="0.25">
      <c r="A44">
        <v>89</v>
      </c>
      <c r="B44" t="s">
        <v>292</v>
      </c>
      <c r="C44" t="s">
        <v>335</v>
      </c>
      <c r="D44">
        <v>2</v>
      </c>
      <c r="E44">
        <v>62.72</v>
      </c>
      <c r="F44" t="s">
        <v>299</v>
      </c>
      <c r="G44">
        <v>31.36</v>
      </c>
      <c r="H44">
        <v>75.260000000000005</v>
      </c>
      <c r="I44" t="s">
        <v>295</v>
      </c>
      <c r="J44" t="s">
        <v>336</v>
      </c>
      <c r="K44" t="s">
        <v>522</v>
      </c>
      <c r="L44" t="s">
        <v>200</v>
      </c>
      <c r="M44" t="s">
        <v>506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506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75.260000000000005</v>
      </c>
      <c r="AN44">
        <f>$H$44*$T$44</f>
        <v>75.260000000000005</v>
      </c>
      <c r="AO44">
        <f>$H$44*$U$44</f>
        <v>75.260000000000005</v>
      </c>
      <c r="AP44">
        <f>$H$44*$V$44</f>
        <v>75.260000000000005</v>
      </c>
      <c r="AQ44">
        <f>$H$44*$W$44</f>
        <v>75.260000000000005</v>
      </c>
      <c r="AR44">
        <f>$H$44*$X$44</f>
        <v>75.260000000000005</v>
      </c>
      <c r="AS44">
        <f>$H$44*$Y$44</f>
        <v>75.260000000000005</v>
      </c>
      <c r="AT44">
        <f>$H$44*$Z$44</f>
        <v>75.260000000000005</v>
      </c>
      <c r="AU44">
        <f>$H$44*$AA$44</f>
        <v>75.260000000000005</v>
      </c>
      <c r="AV44">
        <f>$H$44*$AB$44</f>
        <v>75.260000000000005</v>
      </c>
      <c r="AW44">
        <f>$H$44*$AC$44</f>
        <v>75.260000000000005</v>
      </c>
      <c r="AX44">
        <f>$H$44*$AD$44</f>
        <v>75.260000000000005</v>
      </c>
      <c r="AY44">
        <f>$H$44*$AE$44</f>
        <v>75.260000000000005</v>
      </c>
      <c r="AZ44">
        <f>$H$44*$AF$44</f>
        <v>75.260000000000005</v>
      </c>
    </row>
    <row r="45" spans="1:52" x14ac:dyDescent="0.25">
      <c r="A45">
        <v>90</v>
      </c>
      <c r="B45" t="s">
        <v>292</v>
      </c>
      <c r="C45" t="s">
        <v>337</v>
      </c>
      <c r="D45">
        <v>2</v>
      </c>
      <c r="E45">
        <v>77.86</v>
      </c>
      <c r="F45" t="s">
        <v>299</v>
      </c>
      <c r="G45">
        <v>38.93</v>
      </c>
      <c r="H45">
        <v>93.44</v>
      </c>
      <c r="I45" t="s">
        <v>295</v>
      </c>
      <c r="J45" t="s">
        <v>333</v>
      </c>
      <c r="K45" t="s">
        <v>523</v>
      </c>
      <c r="L45" t="s">
        <v>200</v>
      </c>
      <c r="M45" t="s">
        <v>506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506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93.44</v>
      </c>
      <c r="AN45">
        <f>$H$45*$T$45</f>
        <v>93.44</v>
      </c>
      <c r="AO45">
        <f>$H$45*$U$45</f>
        <v>93.44</v>
      </c>
      <c r="AP45">
        <f>$H$45*$V$45</f>
        <v>93.44</v>
      </c>
      <c r="AQ45">
        <f>$H$45*$W$45</f>
        <v>93.44</v>
      </c>
      <c r="AR45">
        <f>$H$45*$X$45</f>
        <v>93.44</v>
      </c>
      <c r="AS45">
        <f>$H$45*$Y$45</f>
        <v>93.44</v>
      </c>
      <c r="AT45">
        <f>$H$45*$Z$45</f>
        <v>93.44</v>
      </c>
      <c r="AU45">
        <f>$H$45*$AA$45</f>
        <v>93.44</v>
      </c>
      <c r="AV45">
        <f>$H$45*$AB$45</f>
        <v>93.44</v>
      </c>
      <c r="AW45">
        <f>$H$45*$AC$45</f>
        <v>93.44</v>
      </c>
      <c r="AX45">
        <f>$H$45*$AD$45</f>
        <v>93.44</v>
      </c>
      <c r="AY45">
        <f>$H$45*$AE$45</f>
        <v>93.44</v>
      </c>
      <c r="AZ45">
        <f>$H$45*$AF$45</f>
        <v>93.44</v>
      </c>
    </row>
    <row r="46" spans="1:52" x14ac:dyDescent="0.25">
      <c r="A46">
        <v>91</v>
      </c>
      <c r="B46" t="s">
        <v>270</v>
      </c>
      <c r="C46" t="s">
        <v>380</v>
      </c>
      <c r="D46">
        <v>2</v>
      </c>
      <c r="E46">
        <v>26.54</v>
      </c>
      <c r="F46" t="s">
        <v>299</v>
      </c>
      <c r="G46">
        <v>13.27</v>
      </c>
      <c r="H46">
        <v>31.84</v>
      </c>
      <c r="I46" t="s">
        <v>301</v>
      </c>
      <c r="J46" t="s">
        <v>381</v>
      </c>
      <c r="K46" t="s">
        <v>545</v>
      </c>
      <c r="L46" t="s">
        <v>200</v>
      </c>
      <c r="M46" t="s">
        <v>270</v>
      </c>
      <c r="N46" t="s">
        <v>12</v>
      </c>
      <c r="O46" t="s">
        <v>271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270</v>
      </c>
      <c r="AH46" t="s">
        <v>12</v>
      </c>
      <c r="AI46" t="s">
        <v>271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31.84</v>
      </c>
      <c r="AS46">
        <f>$H$46*$Y$46</f>
        <v>31.84</v>
      </c>
      <c r="AT46">
        <f>$H$46*$Z$46</f>
        <v>31.84</v>
      </c>
      <c r="AU46">
        <f>$H$46*$AA$46</f>
        <v>31.84</v>
      </c>
      <c r="AV46">
        <f>$H$46*$AB$46</f>
        <v>31.84</v>
      </c>
      <c r="AW46">
        <f>$H$46*$AC$46</f>
        <v>31.84</v>
      </c>
      <c r="AX46">
        <f>$H$46*$AD$46</f>
        <v>31.84</v>
      </c>
      <c r="AY46">
        <f>$H$46*$AE$46</f>
        <v>31.84</v>
      </c>
      <c r="AZ46">
        <f>$H$46*$AF$46</f>
        <v>31.84</v>
      </c>
    </row>
    <row r="47" spans="1:52" x14ac:dyDescent="0.25">
      <c r="A47">
        <v>92</v>
      </c>
      <c r="B47" t="s">
        <v>270</v>
      </c>
      <c r="C47" t="s">
        <v>382</v>
      </c>
      <c r="D47">
        <v>1</v>
      </c>
      <c r="E47">
        <v>63.51</v>
      </c>
      <c r="F47" t="s">
        <v>299</v>
      </c>
      <c r="G47">
        <v>63.51</v>
      </c>
      <c r="H47">
        <v>76.209999999999994</v>
      </c>
      <c r="I47" t="s">
        <v>304</v>
      </c>
      <c r="J47" t="s">
        <v>334</v>
      </c>
      <c r="K47" t="s">
        <v>546</v>
      </c>
      <c r="L47" t="s">
        <v>200</v>
      </c>
      <c r="M47" t="s">
        <v>270</v>
      </c>
      <c r="N47" t="s">
        <v>12</v>
      </c>
      <c r="O47" t="s">
        <v>271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1</v>
      </c>
      <c r="AF47">
        <v>1</v>
      </c>
      <c r="AG47" t="s">
        <v>270</v>
      </c>
      <c r="AH47" t="s">
        <v>12</v>
      </c>
      <c r="AI47" t="s">
        <v>271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0</v>
      </c>
      <c r="AV47">
        <f>$H$47*$AB$47</f>
        <v>0</v>
      </c>
      <c r="AW47">
        <f>$H$47*$AC$47</f>
        <v>0</v>
      </c>
      <c r="AX47">
        <f>$H$47*$AD$47</f>
        <v>76.209999999999994</v>
      </c>
      <c r="AY47">
        <f>$H$47*$AE$47</f>
        <v>76.209999999999994</v>
      </c>
      <c r="AZ47">
        <f>$H$47*$AF$47</f>
        <v>76.209999999999994</v>
      </c>
    </row>
    <row r="48" spans="1:52" x14ac:dyDescent="0.25">
      <c r="A48">
        <v>93</v>
      </c>
      <c r="B48" t="s">
        <v>270</v>
      </c>
      <c r="C48" t="s">
        <v>324</v>
      </c>
      <c r="D48">
        <v>202.67</v>
      </c>
      <c r="E48">
        <v>198.62</v>
      </c>
      <c r="F48" t="s">
        <v>313</v>
      </c>
      <c r="G48">
        <v>0.98</v>
      </c>
      <c r="H48">
        <v>238.34</v>
      </c>
      <c r="I48" t="s">
        <v>295</v>
      </c>
      <c r="J48" t="s">
        <v>325</v>
      </c>
      <c r="K48" t="s">
        <v>518</v>
      </c>
      <c r="L48" t="s">
        <v>200</v>
      </c>
      <c r="M48" t="s">
        <v>270</v>
      </c>
      <c r="N48" t="s">
        <v>12</v>
      </c>
      <c r="O48" t="s">
        <v>271</v>
      </c>
      <c r="P48">
        <v>0</v>
      </c>
      <c r="Q48">
        <v>0</v>
      </c>
      <c r="R48">
        <v>0</v>
      </c>
      <c r="S48">
        <v>0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270</v>
      </c>
      <c r="AH48" t="s">
        <v>12</v>
      </c>
      <c r="AI48" t="s">
        <v>271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238.34</v>
      </c>
      <c r="AO48">
        <f>$H$48*$U$48</f>
        <v>238.34</v>
      </c>
      <c r="AP48">
        <f>$H$48*$V$48</f>
        <v>238.34</v>
      </c>
      <c r="AQ48">
        <f>$H$48*$W$48</f>
        <v>238.34</v>
      </c>
      <c r="AR48">
        <f>$H$48*$X$48</f>
        <v>238.34</v>
      </c>
      <c r="AS48">
        <f>$H$48*$Y$48</f>
        <v>238.34</v>
      </c>
      <c r="AT48">
        <f>$H$48*$Z$48</f>
        <v>238.34</v>
      </c>
      <c r="AU48">
        <f>$H$48*$AA$48</f>
        <v>238.34</v>
      </c>
      <c r="AV48">
        <f>$H$48*$AB$48</f>
        <v>238.34</v>
      </c>
      <c r="AW48">
        <f>$H$48*$AC$48</f>
        <v>238.34</v>
      </c>
      <c r="AX48">
        <f>$H$48*$AD$48</f>
        <v>238.34</v>
      </c>
      <c r="AY48">
        <f>$H$48*$AE$48</f>
        <v>238.34</v>
      </c>
      <c r="AZ48">
        <f>$H$48*$AF$48</f>
        <v>238.34</v>
      </c>
    </row>
    <row r="49" spans="1:52" x14ac:dyDescent="0.25">
      <c r="A49">
        <v>94</v>
      </c>
      <c r="B49" t="s">
        <v>270</v>
      </c>
      <c r="C49" t="s">
        <v>326</v>
      </c>
      <c r="D49">
        <v>202.67</v>
      </c>
      <c r="E49">
        <v>541.13</v>
      </c>
      <c r="F49" t="s">
        <v>313</v>
      </c>
      <c r="G49">
        <v>2.67</v>
      </c>
      <c r="H49">
        <v>649.35</v>
      </c>
      <c r="I49" t="s">
        <v>327</v>
      </c>
      <c r="J49" t="s">
        <v>328</v>
      </c>
      <c r="K49" t="s">
        <v>519</v>
      </c>
      <c r="L49" t="s">
        <v>200</v>
      </c>
      <c r="M49" t="s">
        <v>270</v>
      </c>
      <c r="N49" t="s">
        <v>12</v>
      </c>
      <c r="O49" t="s">
        <v>271</v>
      </c>
      <c r="P49">
        <v>0</v>
      </c>
      <c r="Q49">
        <v>0</v>
      </c>
      <c r="R49">
        <v>0</v>
      </c>
      <c r="S49">
        <v>0.25</v>
      </c>
      <c r="T49">
        <v>0.25</v>
      </c>
      <c r="U49">
        <v>0.25</v>
      </c>
      <c r="V49">
        <v>0.25</v>
      </c>
      <c r="W49">
        <v>0.25</v>
      </c>
      <c r="X49">
        <v>0.5</v>
      </c>
      <c r="Y49">
        <v>0.5</v>
      </c>
      <c r="Z49">
        <v>0.5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270</v>
      </c>
      <c r="AH49" t="s">
        <v>12</v>
      </c>
      <c r="AI49" t="s">
        <v>271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162.33750000000001</v>
      </c>
      <c r="AN49">
        <f>$H$49*$T$49</f>
        <v>162.33750000000001</v>
      </c>
      <c r="AO49">
        <f>$H$49*$U$49</f>
        <v>162.33750000000001</v>
      </c>
      <c r="AP49">
        <f>$H$49*$V$49</f>
        <v>162.33750000000001</v>
      </c>
      <c r="AQ49">
        <f>$H$49*$W$49</f>
        <v>162.33750000000001</v>
      </c>
      <c r="AR49">
        <f>$H$49*$X$49</f>
        <v>324.67500000000001</v>
      </c>
      <c r="AS49">
        <f>$H$49*$Y$49</f>
        <v>324.67500000000001</v>
      </c>
      <c r="AT49">
        <f>$H$49*$Z$49</f>
        <v>324.67500000000001</v>
      </c>
      <c r="AU49">
        <f>$H$49*$AA$49</f>
        <v>649.35</v>
      </c>
      <c r="AV49">
        <f>$H$49*$AB$49</f>
        <v>649.35</v>
      </c>
      <c r="AW49">
        <f>$H$49*$AC$49</f>
        <v>649.35</v>
      </c>
      <c r="AX49">
        <f>$H$49*$AD$49</f>
        <v>649.35</v>
      </c>
      <c r="AY49">
        <f>$H$49*$AE$49</f>
        <v>649.35</v>
      </c>
      <c r="AZ49">
        <f>$H$49*$AF$49</f>
        <v>649.35</v>
      </c>
    </row>
    <row r="50" spans="1:52" x14ac:dyDescent="0.25">
      <c r="A50">
        <v>95</v>
      </c>
      <c r="B50" t="s">
        <v>270</v>
      </c>
      <c r="C50" t="s">
        <v>383</v>
      </c>
      <c r="D50">
        <v>25.33</v>
      </c>
      <c r="E50">
        <v>23.05</v>
      </c>
      <c r="F50" t="s">
        <v>294</v>
      </c>
      <c r="G50">
        <v>0.91</v>
      </c>
      <c r="H50">
        <v>27.67</v>
      </c>
      <c r="I50" t="s">
        <v>295</v>
      </c>
      <c r="J50" t="s">
        <v>384</v>
      </c>
      <c r="K50" t="s">
        <v>547</v>
      </c>
      <c r="L50" t="s">
        <v>200</v>
      </c>
      <c r="M50" t="s">
        <v>270</v>
      </c>
      <c r="N50" t="s">
        <v>12</v>
      </c>
      <c r="O50" t="s">
        <v>271</v>
      </c>
      <c r="P50">
        <v>0</v>
      </c>
      <c r="Q50">
        <v>0</v>
      </c>
      <c r="R50">
        <v>0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270</v>
      </c>
      <c r="AH50" t="s">
        <v>12</v>
      </c>
      <c r="AI50" t="s">
        <v>271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27.67</v>
      </c>
      <c r="AN50">
        <f>$H$50*$T$50</f>
        <v>27.67</v>
      </c>
      <c r="AO50">
        <f>$H$50*$U$50</f>
        <v>27.67</v>
      </c>
      <c r="AP50">
        <f>$H$50*$V$50</f>
        <v>27.67</v>
      </c>
      <c r="AQ50">
        <f>$H$50*$W$50</f>
        <v>27.67</v>
      </c>
      <c r="AR50">
        <f>$H$50*$X$50</f>
        <v>27.67</v>
      </c>
      <c r="AS50">
        <f>$H$50*$Y$50</f>
        <v>27.67</v>
      </c>
      <c r="AT50">
        <f>$H$50*$Z$50</f>
        <v>27.67</v>
      </c>
      <c r="AU50">
        <f>$H$50*$AA$50</f>
        <v>27.67</v>
      </c>
      <c r="AV50">
        <f>$H$50*$AB$50</f>
        <v>27.67</v>
      </c>
      <c r="AW50">
        <f>$H$50*$AC$50</f>
        <v>27.67</v>
      </c>
      <c r="AX50">
        <f>$H$50*$AD$50</f>
        <v>27.67</v>
      </c>
      <c r="AY50">
        <f>$H$50*$AE$50</f>
        <v>27.67</v>
      </c>
      <c r="AZ50">
        <f>$H$50*$AF$50</f>
        <v>27.67</v>
      </c>
    </row>
    <row r="51" spans="1:52" x14ac:dyDescent="0.25">
      <c r="A51">
        <v>96</v>
      </c>
      <c r="B51" t="s">
        <v>270</v>
      </c>
      <c r="C51" t="s">
        <v>385</v>
      </c>
      <c r="D51">
        <v>25.33</v>
      </c>
      <c r="E51">
        <v>129.69</v>
      </c>
      <c r="F51" t="s">
        <v>294</v>
      </c>
      <c r="G51">
        <v>5.12</v>
      </c>
      <c r="H51">
        <v>155.63</v>
      </c>
      <c r="I51" t="s">
        <v>298</v>
      </c>
      <c r="J51" t="s">
        <v>386</v>
      </c>
      <c r="K51" t="s">
        <v>548</v>
      </c>
      <c r="L51" t="s">
        <v>200</v>
      </c>
      <c r="M51" t="s">
        <v>270</v>
      </c>
      <c r="N51" t="s">
        <v>12</v>
      </c>
      <c r="O51" t="s">
        <v>271</v>
      </c>
      <c r="P51">
        <v>0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270</v>
      </c>
      <c r="AH51" t="s">
        <v>12</v>
      </c>
      <c r="AI51" t="s">
        <v>271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155.63</v>
      </c>
      <c r="AN51">
        <f>$H$51*$T$51</f>
        <v>155.63</v>
      </c>
      <c r="AO51">
        <f>$H$51*$U$51</f>
        <v>155.63</v>
      </c>
      <c r="AP51">
        <f>$H$51*$V$51</f>
        <v>155.63</v>
      </c>
      <c r="AQ51">
        <f>$H$51*$W$51</f>
        <v>155.63</v>
      </c>
      <c r="AR51">
        <f>$H$51*$X$51</f>
        <v>155.63</v>
      </c>
      <c r="AS51">
        <f>$H$51*$Y$51</f>
        <v>155.63</v>
      </c>
      <c r="AT51">
        <f>$H$51*$Z$51</f>
        <v>155.63</v>
      </c>
      <c r="AU51">
        <f>$H$51*$AA$51</f>
        <v>155.63</v>
      </c>
      <c r="AV51">
        <f>$H$51*$AB$51</f>
        <v>155.63</v>
      </c>
      <c r="AW51">
        <f>$H$51*$AC$51</f>
        <v>155.63</v>
      </c>
      <c r="AX51">
        <f>$H$51*$AD$51</f>
        <v>155.63</v>
      </c>
      <c r="AY51">
        <f>$H$51*$AE$51</f>
        <v>155.63</v>
      </c>
      <c r="AZ51">
        <f>$H$51*$AF$51</f>
        <v>155.63</v>
      </c>
    </row>
    <row r="52" spans="1:52" x14ac:dyDescent="0.25">
      <c r="A52">
        <v>97</v>
      </c>
      <c r="B52" t="s">
        <v>270</v>
      </c>
      <c r="C52" t="s">
        <v>326</v>
      </c>
      <c r="D52">
        <v>39.270000000000003</v>
      </c>
      <c r="E52">
        <v>104.85</v>
      </c>
      <c r="F52" t="s">
        <v>313</v>
      </c>
      <c r="G52">
        <v>2.67</v>
      </c>
      <c r="H52">
        <v>125.83</v>
      </c>
      <c r="I52" t="s">
        <v>327</v>
      </c>
      <c r="J52" t="s">
        <v>328</v>
      </c>
      <c r="K52" t="s">
        <v>519</v>
      </c>
      <c r="L52" t="s">
        <v>200</v>
      </c>
      <c r="M52" t="s">
        <v>270</v>
      </c>
      <c r="N52" t="s">
        <v>12</v>
      </c>
      <c r="O52" t="s">
        <v>271</v>
      </c>
      <c r="P52">
        <v>0</v>
      </c>
      <c r="Q52">
        <v>0</v>
      </c>
      <c r="R52">
        <v>0</v>
      </c>
      <c r="S52">
        <v>0.25</v>
      </c>
      <c r="T52">
        <v>0.25</v>
      </c>
      <c r="U52">
        <v>0.25</v>
      </c>
      <c r="V52">
        <v>0.25</v>
      </c>
      <c r="W52">
        <v>0.25</v>
      </c>
      <c r="X52">
        <v>0.5</v>
      </c>
      <c r="Y52">
        <v>0.5</v>
      </c>
      <c r="Z52">
        <v>0.5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270</v>
      </c>
      <c r="AH52" t="s">
        <v>12</v>
      </c>
      <c r="AI52" t="s">
        <v>271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31.4575</v>
      </c>
      <c r="AN52">
        <f>$H$52*$T$52</f>
        <v>31.4575</v>
      </c>
      <c r="AO52">
        <f>$H$52*$U$52</f>
        <v>31.4575</v>
      </c>
      <c r="AP52">
        <f>$H$52*$V$52</f>
        <v>31.4575</v>
      </c>
      <c r="AQ52">
        <f>$H$52*$W$52</f>
        <v>31.4575</v>
      </c>
      <c r="AR52">
        <f>$H$52*$X$52</f>
        <v>62.914999999999999</v>
      </c>
      <c r="AS52">
        <f>$H$52*$Y$52</f>
        <v>62.914999999999999</v>
      </c>
      <c r="AT52">
        <f>$H$52*$Z$52</f>
        <v>62.914999999999999</v>
      </c>
      <c r="AU52">
        <f>$H$52*$AA$52</f>
        <v>125.83</v>
      </c>
      <c r="AV52">
        <f>$H$52*$AB$52</f>
        <v>125.83</v>
      </c>
      <c r="AW52">
        <f>$H$52*$AC$52</f>
        <v>125.83</v>
      </c>
      <c r="AX52">
        <f>$H$52*$AD$52</f>
        <v>125.83</v>
      </c>
      <c r="AY52">
        <f>$H$52*$AE$52</f>
        <v>125.83</v>
      </c>
      <c r="AZ52">
        <f>$H$52*$AF$52</f>
        <v>125.83</v>
      </c>
    </row>
    <row r="53" spans="1:52" x14ac:dyDescent="0.25">
      <c r="A53">
        <v>98</v>
      </c>
      <c r="B53" t="s">
        <v>270</v>
      </c>
      <c r="C53" t="s">
        <v>387</v>
      </c>
      <c r="D53">
        <v>39.270000000000003</v>
      </c>
      <c r="E53">
        <v>24.74</v>
      </c>
      <c r="F53" t="s">
        <v>313</v>
      </c>
      <c r="G53">
        <v>0.63</v>
      </c>
      <c r="H53">
        <v>29.68</v>
      </c>
      <c r="I53" t="s">
        <v>295</v>
      </c>
      <c r="J53" t="s">
        <v>388</v>
      </c>
      <c r="K53" t="s">
        <v>549</v>
      </c>
      <c r="L53" t="s">
        <v>200</v>
      </c>
      <c r="M53" t="s">
        <v>270</v>
      </c>
      <c r="N53" t="s">
        <v>12</v>
      </c>
      <c r="O53" t="s">
        <v>271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1</v>
      </c>
      <c r="AF53">
        <v>1</v>
      </c>
      <c r="AG53" t="s">
        <v>270</v>
      </c>
      <c r="AH53" t="s">
        <v>12</v>
      </c>
      <c r="AI53" t="s">
        <v>271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0</v>
      </c>
      <c r="AV53">
        <f>$H$53*$AB$53</f>
        <v>0</v>
      </c>
      <c r="AW53">
        <f>$H$53*$AC$53</f>
        <v>0</v>
      </c>
      <c r="AX53">
        <f>$H$53*$AD$53</f>
        <v>29.68</v>
      </c>
      <c r="AY53">
        <f>$H$53*$AE$53</f>
        <v>29.68</v>
      </c>
      <c r="AZ53">
        <f>$H$53*$AF$53</f>
        <v>29.68</v>
      </c>
    </row>
    <row r="54" spans="1:52" x14ac:dyDescent="0.25">
      <c r="A54">
        <v>99</v>
      </c>
      <c r="B54" t="s">
        <v>270</v>
      </c>
      <c r="C54" t="s">
        <v>389</v>
      </c>
      <c r="D54">
        <v>39.270000000000003</v>
      </c>
      <c r="E54">
        <v>27.1</v>
      </c>
      <c r="F54" t="s">
        <v>313</v>
      </c>
      <c r="G54">
        <v>0.69</v>
      </c>
      <c r="H54">
        <v>32.520000000000003</v>
      </c>
      <c r="I54" t="s">
        <v>295</v>
      </c>
      <c r="J54" t="s">
        <v>390</v>
      </c>
      <c r="K54" t="s">
        <v>550</v>
      </c>
      <c r="L54" t="s">
        <v>200</v>
      </c>
      <c r="M54" t="s">
        <v>270</v>
      </c>
      <c r="N54" t="s">
        <v>12</v>
      </c>
      <c r="O54" t="s">
        <v>271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270</v>
      </c>
      <c r="AH54" t="s">
        <v>12</v>
      </c>
      <c r="AI54" t="s">
        <v>271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32.520000000000003</v>
      </c>
      <c r="AN54">
        <f>$H$54*$T$54</f>
        <v>32.520000000000003</v>
      </c>
      <c r="AO54">
        <f>$H$54*$U$54</f>
        <v>32.520000000000003</v>
      </c>
      <c r="AP54">
        <f>$H$54*$V$54</f>
        <v>32.520000000000003</v>
      </c>
      <c r="AQ54">
        <f>$H$54*$W$54</f>
        <v>32.520000000000003</v>
      </c>
      <c r="AR54">
        <f>$H$54*$X$54</f>
        <v>32.520000000000003</v>
      </c>
      <c r="AS54">
        <f>$H$54*$Y$54</f>
        <v>32.520000000000003</v>
      </c>
      <c r="AT54">
        <f>$H$54*$Z$54</f>
        <v>32.520000000000003</v>
      </c>
      <c r="AU54">
        <f>$H$54*$AA$54</f>
        <v>32.520000000000003</v>
      </c>
      <c r="AV54">
        <f>$H$54*$AB$54</f>
        <v>32.520000000000003</v>
      </c>
      <c r="AW54">
        <f>$H$54*$AC$54</f>
        <v>32.520000000000003</v>
      </c>
      <c r="AX54">
        <f>$H$54*$AD$54</f>
        <v>32.520000000000003</v>
      </c>
      <c r="AY54">
        <f>$H$54*$AE$54</f>
        <v>32.520000000000003</v>
      </c>
      <c r="AZ54">
        <f>$H$54*$AF$54</f>
        <v>32.520000000000003</v>
      </c>
    </row>
    <row r="55" spans="1:52" x14ac:dyDescent="0.25">
      <c r="A55">
        <v>100</v>
      </c>
      <c r="B55" t="s">
        <v>270</v>
      </c>
      <c r="C55" t="s">
        <v>391</v>
      </c>
      <c r="D55">
        <v>8.25</v>
      </c>
      <c r="E55">
        <v>46.94</v>
      </c>
      <c r="F55" t="s">
        <v>313</v>
      </c>
      <c r="G55">
        <v>5.69</v>
      </c>
      <c r="H55">
        <v>56.32</v>
      </c>
      <c r="I55" t="s">
        <v>392</v>
      </c>
      <c r="J55" t="s">
        <v>393</v>
      </c>
      <c r="K55" t="s">
        <v>551</v>
      </c>
      <c r="L55" t="s">
        <v>200</v>
      </c>
      <c r="M55" t="s">
        <v>270</v>
      </c>
      <c r="N55" t="s">
        <v>12</v>
      </c>
      <c r="O55" t="s">
        <v>271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270</v>
      </c>
      <c r="AH55" t="s">
        <v>12</v>
      </c>
      <c r="AI55" t="s">
        <v>271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56.32</v>
      </c>
      <c r="AN55">
        <f>$H$55*$T$55</f>
        <v>56.32</v>
      </c>
      <c r="AO55">
        <f>$H$55*$U$55</f>
        <v>56.32</v>
      </c>
      <c r="AP55">
        <f>$H$55*$V$55</f>
        <v>56.32</v>
      </c>
      <c r="AQ55">
        <f>$H$55*$W$55</f>
        <v>56.32</v>
      </c>
      <c r="AR55">
        <f>$H$55*$X$55</f>
        <v>56.32</v>
      </c>
      <c r="AS55">
        <f>$H$55*$Y$55</f>
        <v>56.32</v>
      </c>
      <c r="AT55">
        <f>$H$55*$Z$55</f>
        <v>56.32</v>
      </c>
      <c r="AU55">
        <f>$H$55*$AA$55</f>
        <v>56.32</v>
      </c>
      <c r="AV55">
        <f>$H$55*$AB$55</f>
        <v>56.32</v>
      </c>
      <c r="AW55">
        <f>$H$55*$AC$55</f>
        <v>56.32</v>
      </c>
      <c r="AX55">
        <f>$H$55*$AD$55</f>
        <v>56.32</v>
      </c>
      <c r="AY55">
        <f>$H$55*$AE$55</f>
        <v>56.32</v>
      </c>
      <c r="AZ55">
        <f>$H$55*$AF$55</f>
        <v>56.32</v>
      </c>
    </row>
    <row r="56" spans="1:52" x14ac:dyDescent="0.25">
      <c r="A56">
        <v>101</v>
      </c>
      <c r="B56" t="s">
        <v>270</v>
      </c>
      <c r="C56" t="s">
        <v>394</v>
      </c>
      <c r="D56">
        <v>9.0299999999999994</v>
      </c>
      <c r="E56">
        <v>53.46</v>
      </c>
      <c r="F56" t="s">
        <v>313</v>
      </c>
      <c r="G56">
        <v>5.92</v>
      </c>
      <c r="H56">
        <v>64.16</v>
      </c>
      <c r="I56" t="s">
        <v>392</v>
      </c>
      <c r="J56" t="s">
        <v>334</v>
      </c>
      <c r="K56" t="s">
        <v>552</v>
      </c>
      <c r="L56" t="s">
        <v>200</v>
      </c>
      <c r="M56" t="s">
        <v>270</v>
      </c>
      <c r="N56" t="s">
        <v>12</v>
      </c>
      <c r="O56" t="s">
        <v>271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270</v>
      </c>
      <c r="AH56" t="s">
        <v>12</v>
      </c>
      <c r="AI56" t="s">
        <v>271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64.16</v>
      </c>
      <c r="AN56">
        <f>$H$56*$T$56</f>
        <v>64.16</v>
      </c>
      <c r="AO56">
        <f>$H$56*$U$56</f>
        <v>64.16</v>
      </c>
      <c r="AP56">
        <f>$H$56*$V$56</f>
        <v>64.16</v>
      </c>
      <c r="AQ56">
        <f>$H$56*$W$56</f>
        <v>64.16</v>
      </c>
      <c r="AR56">
        <f>$H$56*$X$56</f>
        <v>64.16</v>
      </c>
      <c r="AS56">
        <f>$H$56*$Y$56</f>
        <v>64.16</v>
      </c>
      <c r="AT56">
        <f>$H$56*$Z$56</f>
        <v>64.16</v>
      </c>
      <c r="AU56">
        <f>$H$56*$AA$56</f>
        <v>64.16</v>
      </c>
      <c r="AV56">
        <f>$H$56*$AB$56</f>
        <v>64.16</v>
      </c>
      <c r="AW56">
        <f>$H$56*$AC$56</f>
        <v>64.16</v>
      </c>
      <c r="AX56">
        <f>$H$56*$AD$56</f>
        <v>64.16</v>
      </c>
      <c r="AY56">
        <f>$H$56*$AE$56</f>
        <v>64.16</v>
      </c>
      <c r="AZ56">
        <f>$H$56*$AF$56</f>
        <v>64.16</v>
      </c>
    </row>
    <row r="57" spans="1:52" x14ac:dyDescent="0.25">
      <c r="A57">
        <v>102</v>
      </c>
      <c r="B57" t="s">
        <v>270</v>
      </c>
      <c r="C57" t="s">
        <v>395</v>
      </c>
      <c r="D57">
        <v>9.4499999999999993</v>
      </c>
      <c r="E57">
        <v>51.6</v>
      </c>
      <c r="F57" t="s">
        <v>313</v>
      </c>
      <c r="G57">
        <v>5.46</v>
      </c>
      <c r="H57">
        <v>61.92</v>
      </c>
      <c r="I57" t="s">
        <v>396</v>
      </c>
      <c r="J57" t="s">
        <v>397</v>
      </c>
      <c r="K57" t="s">
        <v>553</v>
      </c>
      <c r="L57" t="s">
        <v>200</v>
      </c>
      <c r="M57" t="s">
        <v>270</v>
      </c>
      <c r="N57" t="s">
        <v>12</v>
      </c>
      <c r="O57" t="s">
        <v>271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270</v>
      </c>
      <c r="AH57" t="s">
        <v>12</v>
      </c>
      <c r="AI57" t="s">
        <v>271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61.92</v>
      </c>
      <c r="AN57">
        <f>$H$57*$T$57</f>
        <v>61.92</v>
      </c>
      <c r="AO57">
        <f>$H$57*$U$57</f>
        <v>61.92</v>
      </c>
      <c r="AP57">
        <f>$H$57*$V$57</f>
        <v>61.92</v>
      </c>
      <c r="AQ57">
        <f>$H$57*$W$57</f>
        <v>61.92</v>
      </c>
      <c r="AR57">
        <f>$H$57*$X$57</f>
        <v>61.92</v>
      </c>
      <c r="AS57">
        <f>$H$57*$Y$57</f>
        <v>61.92</v>
      </c>
      <c r="AT57">
        <f>$H$57*$Z$57</f>
        <v>61.92</v>
      </c>
      <c r="AU57">
        <f>$H$57*$AA$57</f>
        <v>61.92</v>
      </c>
      <c r="AV57">
        <f>$H$57*$AB$57</f>
        <v>61.92</v>
      </c>
      <c r="AW57">
        <f>$H$57*$AC$57</f>
        <v>61.92</v>
      </c>
      <c r="AX57">
        <f>$H$57*$AD$57</f>
        <v>61.92</v>
      </c>
      <c r="AY57">
        <f>$H$57*$AE$57</f>
        <v>61.92</v>
      </c>
      <c r="AZ57">
        <f>$H$57*$AF$57</f>
        <v>61.92</v>
      </c>
    </row>
    <row r="58" spans="1:52" x14ac:dyDescent="0.25">
      <c r="A58">
        <v>103</v>
      </c>
      <c r="B58" t="s">
        <v>270</v>
      </c>
      <c r="C58" t="s">
        <v>398</v>
      </c>
      <c r="D58">
        <v>9.4499999999999993</v>
      </c>
      <c r="E58">
        <v>33.83</v>
      </c>
      <c r="F58" t="s">
        <v>313</v>
      </c>
      <c r="G58">
        <v>3.58</v>
      </c>
      <c r="H58">
        <v>40.590000000000003</v>
      </c>
      <c r="I58" t="s">
        <v>396</v>
      </c>
      <c r="J58" t="s">
        <v>399</v>
      </c>
      <c r="K58" t="s">
        <v>554</v>
      </c>
      <c r="L58" t="s">
        <v>200</v>
      </c>
      <c r="M58" t="s">
        <v>270</v>
      </c>
      <c r="N58" t="s">
        <v>12</v>
      </c>
      <c r="O58" t="s">
        <v>271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270</v>
      </c>
      <c r="AH58" t="s">
        <v>12</v>
      </c>
      <c r="AI58" t="s">
        <v>271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40.590000000000003</v>
      </c>
      <c r="AN58">
        <f>$H$58*$T$58</f>
        <v>40.590000000000003</v>
      </c>
      <c r="AO58">
        <f>$H$58*$U$58</f>
        <v>40.590000000000003</v>
      </c>
      <c r="AP58">
        <f>$H$58*$V$58</f>
        <v>40.590000000000003</v>
      </c>
      <c r="AQ58">
        <f>$H$58*$W$58</f>
        <v>40.590000000000003</v>
      </c>
      <c r="AR58">
        <f>$H$58*$X$58</f>
        <v>40.590000000000003</v>
      </c>
      <c r="AS58">
        <f>$H$58*$Y$58</f>
        <v>40.590000000000003</v>
      </c>
      <c r="AT58">
        <f>$H$58*$Z$58</f>
        <v>40.590000000000003</v>
      </c>
      <c r="AU58">
        <f>$H$58*$AA$58</f>
        <v>40.590000000000003</v>
      </c>
      <c r="AV58">
        <f>$H$58*$AB$58</f>
        <v>40.590000000000003</v>
      </c>
      <c r="AW58">
        <f>$H$58*$AC$58</f>
        <v>40.590000000000003</v>
      </c>
      <c r="AX58">
        <f>$H$58*$AD$58</f>
        <v>40.590000000000003</v>
      </c>
      <c r="AY58">
        <f>$H$58*$AE$58</f>
        <v>40.590000000000003</v>
      </c>
      <c r="AZ58">
        <f>$H$58*$AF$58</f>
        <v>40.590000000000003</v>
      </c>
    </row>
    <row r="59" spans="1:52" x14ac:dyDescent="0.25">
      <c r="A59">
        <v>104</v>
      </c>
      <c r="B59" t="s">
        <v>270</v>
      </c>
      <c r="C59" t="s">
        <v>400</v>
      </c>
      <c r="D59">
        <v>9.4499999999999993</v>
      </c>
      <c r="E59">
        <v>82.22</v>
      </c>
      <c r="F59" t="s">
        <v>313</v>
      </c>
      <c r="G59">
        <v>8.6999999999999993</v>
      </c>
      <c r="H59">
        <v>98.66</v>
      </c>
      <c r="I59" t="s">
        <v>396</v>
      </c>
      <c r="J59" t="s">
        <v>334</v>
      </c>
      <c r="K59" t="s">
        <v>555</v>
      </c>
      <c r="L59" t="s">
        <v>200</v>
      </c>
      <c r="M59" t="s">
        <v>270</v>
      </c>
      <c r="N59" t="s">
        <v>12</v>
      </c>
      <c r="O59" t="s">
        <v>271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270</v>
      </c>
      <c r="AH59" t="s">
        <v>12</v>
      </c>
      <c r="AI59" t="s">
        <v>271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98.66</v>
      </c>
      <c r="AN59">
        <f>$H$59*$T$59</f>
        <v>98.66</v>
      </c>
      <c r="AO59">
        <f>$H$59*$U$59</f>
        <v>98.66</v>
      </c>
      <c r="AP59">
        <f>$H$59*$V$59</f>
        <v>98.66</v>
      </c>
      <c r="AQ59">
        <f>$H$59*$W$59</f>
        <v>98.66</v>
      </c>
      <c r="AR59">
        <f>$H$59*$X$59</f>
        <v>98.66</v>
      </c>
      <c r="AS59">
        <f>$H$59*$Y$59</f>
        <v>98.66</v>
      </c>
      <c r="AT59">
        <f>$H$59*$Z$59</f>
        <v>98.66</v>
      </c>
      <c r="AU59">
        <f>$H$59*$AA$59</f>
        <v>98.66</v>
      </c>
      <c r="AV59">
        <f>$H$59*$AB$59</f>
        <v>98.66</v>
      </c>
      <c r="AW59">
        <f>$H$59*$AC$59</f>
        <v>98.66</v>
      </c>
      <c r="AX59">
        <f>$H$59*$AD$59</f>
        <v>98.66</v>
      </c>
      <c r="AY59">
        <f>$H$59*$AE$59</f>
        <v>98.66</v>
      </c>
      <c r="AZ59">
        <f>$H$59*$AF$59</f>
        <v>98.66</v>
      </c>
    </row>
    <row r="60" spans="1:52" x14ac:dyDescent="0.25">
      <c r="A60">
        <v>105</v>
      </c>
      <c r="B60" t="s">
        <v>270</v>
      </c>
      <c r="C60" t="s">
        <v>401</v>
      </c>
      <c r="D60">
        <v>9.0299999999999994</v>
      </c>
      <c r="E60">
        <v>7.13</v>
      </c>
      <c r="F60" t="s">
        <v>313</v>
      </c>
      <c r="G60">
        <v>0.79</v>
      </c>
      <c r="H60">
        <v>8.5500000000000007</v>
      </c>
      <c r="I60" t="s">
        <v>339</v>
      </c>
      <c r="J60" t="s">
        <v>402</v>
      </c>
      <c r="K60" t="s">
        <v>556</v>
      </c>
      <c r="L60" t="s">
        <v>200</v>
      </c>
      <c r="M60" t="s">
        <v>270</v>
      </c>
      <c r="N60" t="s">
        <v>12</v>
      </c>
      <c r="O60" t="s">
        <v>271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270</v>
      </c>
      <c r="AH60" t="s">
        <v>12</v>
      </c>
      <c r="AI60" t="s">
        <v>271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8.5500000000000007</v>
      </c>
      <c r="AN60">
        <f>$H$60*$T$60</f>
        <v>8.5500000000000007</v>
      </c>
      <c r="AO60">
        <f>$H$60*$U$60</f>
        <v>8.5500000000000007</v>
      </c>
      <c r="AP60">
        <f>$H$60*$V$60</f>
        <v>8.5500000000000007</v>
      </c>
      <c r="AQ60">
        <f>$H$60*$W$60</f>
        <v>8.5500000000000007</v>
      </c>
      <c r="AR60">
        <f>$H$60*$X$60</f>
        <v>8.5500000000000007</v>
      </c>
      <c r="AS60">
        <f>$H$60*$Y$60</f>
        <v>8.5500000000000007</v>
      </c>
      <c r="AT60">
        <f>$H$60*$Z$60</f>
        <v>8.5500000000000007</v>
      </c>
      <c r="AU60">
        <f>$H$60*$AA$60</f>
        <v>8.5500000000000007</v>
      </c>
      <c r="AV60">
        <f>$H$60*$AB$60</f>
        <v>8.5500000000000007</v>
      </c>
      <c r="AW60">
        <f>$H$60*$AC$60</f>
        <v>8.5500000000000007</v>
      </c>
      <c r="AX60">
        <f>$H$60*$AD$60</f>
        <v>8.5500000000000007</v>
      </c>
      <c r="AY60">
        <f>$H$60*$AE$60</f>
        <v>8.5500000000000007</v>
      </c>
      <c r="AZ60">
        <f>$H$60*$AF$60</f>
        <v>8.5500000000000007</v>
      </c>
    </row>
    <row r="61" spans="1:52" x14ac:dyDescent="0.25">
      <c r="A61">
        <v>106</v>
      </c>
      <c r="B61" t="s">
        <v>270</v>
      </c>
      <c r="C61" t="s">
        <v>403</v>
      </c>
      <c r="D61">
        <v>9.0299999999999994</v>
      </c>
      <c r="E61">
        <v>48.13</v>
      </c>
      <c r="F61" t="s">
        <v>313</v>
      </c>
      <c r="G61">
        <v>5.33</v>
      </c>
      <c r="H61">
        <v>57.75</v>
      </c>
      <c r="I61" t="s">
        <v>339</v>
      </c>
      <c r="J61" t="s">
        <v>334</v>
      </c>
      <c r="K61" t="s">
        <v>557</v>
      </c>
      <c r="L61" t="s">
        <v>200</v>
      </c>
      <c r="M61" t="s">
        <v>270</v>
      </c>
      <c r="N61" t="s">
        <v>12</v>
      </c>
      <c r="O61" t="s">
        <v>271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270</v>
      </c>
      <c r="AH61" t="s">
        <v>12</v>
      </c>
      <c r="AI61" t="s">
        <v>271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57.75</v>
      </c>
      <c r="AN61">
        <f>$H$61*$T$61</f>
        <v>57.75</v>
      </c>
      <c r="AO61">
        <f>$H$61*$U$61</f>
        <v>57.75</v>
      </c>
      <c r="AP61">
        <f>$H$61*$V$61</f>
        <v>57.75</v>
      </c>
      <c r="AQ61">
        <f>$H$61*$W$61</f>
        <v>57.75</v>
      </c>
      <c r="AR61">
        <f>$H$61*$X$61</f>
        <v>57.75</v>
      </c>
      <c r="AS61">
        <f>$H$61*$Y$61</f>
        <v>57.75</v>
      </c>
      <c r="AT61">
        <f>$H$61*$Z$61</f>
        <v>57.75</v>
      </c>
      <c r="AU61">
        <f>$H$61*$AA$61</f>
        <v>57.75</v>
      </c>
      <c r="AV61">
        <f>$H$61*$AB$61</f>
        <v>57.75</v>
      </c>
      <c r="AW61">
        <f>$H$61*$AC$61</f>
        <v>57.75</v>
      </c>
      <c r="AX61">
        <f>$H$61*$AD$61</f>
        <v>57.75</v>
      </c>
      <c r="AY61">
        <f>$H$61*$AE$61</f>
        <v>57.75</v>
      </c>
      <c r="AZ61">
        <f>$H$61*$AF$61</f>
        <v>57.75</v>
      </c>
    </row>
    <row r="62" spans="1:52" x14ac:dyDescent="0.25">
      <c r="A62">
        <v>107</v>
      </c>
      <c r="B62" t="s">
        <v>255</v>
      </c>
      <c r="C62" t="s">
        <v>404</v>
      </c>
      <c r="D62">
        <v>50</v>
      </c>
      <c r="E62">
        <v>440.5</v>
      </c>
      <c r="F62" t="s">
        <v>313</v>
      </c>
      <c r="G62">
        <v>8.81</v>
      </c>
      <c r="H62">
        <v>528.6</v>
      </c>
      <c r="I62" t="s">
        <v>405</v>
      </c>
      <c r="J62" t="s">
        <v>406</v>
      </c>
      <c r="K62" t="s">
        <v>558</v>
      </c>
      <c r="L62" t="s">
        <v>200</v>
      </c>
      <c r="M62" t="s">
        <v>255</v>
      </c>
      <c r="N62" t="s">
        <v>51</v>
      </c>
      <c r="O62" t="s">
        <v>13</v>
      </c>
      <c r="P62">
        <v>0</v>
      </c>
      <c r="Q62">
        <v>0</v>
      </c>
      <c r="R62">
        <v>0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255</v>
      </c>
      <c r="AH62" t="s">
        <v>51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528.6</v>
      </c>
      <c r="AN62">
        <f>$H$62*$T$62</f>
        <v>528.6</v>
      </c>
      <c r="AO62">
        <f>$H$62*$U$62</f>
        <v>528.6</v>
      </c>
      <c r="AP62">
        <f>$H$62*$V$62</f>
        <v>528.6</v>
      </c>
      <c r="AQ62">
        <f>$H$62*$W$62</f>
        <v>528.6</v>
      </c>
      <c r="AR62">
        <f>$H$62*$X$62</f>
        <v>528.6</v>
      </c>
      <c r="AS62">
        <f>$H$62*$Y$62</f>
        <v>528.6</v>
      </c>
      <c r="AT62">
        <f>$H$62*$Z$62</f>
        <v>528.6</v>
      </c>
      <c r="AU62">
        <f>$H$62*$AA$62</f>
        <v>528.6</v>
      </c>
      <c r="AV62">
        <f>$H$62*$AB$62</f>
        <v>528.6</v>
      </c>
      <c r="AW62">
        <f>$H$62*$AC$62</f>
        <v>528.6</v>
      </c>
      <c r="AX62">
        <f>$H$62*$AD$62</f>
        <v>528.6</v>
      </c>
      <c r="AY62">
        <f>$H$62*$AE$62</f>
        <v>528.6</v>
      </c>
      <c r="AZ62">
        <f>$H$62*$AF$62</f>
        <v>528.6</v>
      </c>
    </row>
    <row r="63" spans="1:52" x14ac:dyDescent="0.25">
      <c r="A63">
        <v>108</v>
      </c>
      <c r="B63" t="s">
        <v>255</v>
      </c>
      <c r="C63" t="s">
        <v>407</v>
      </c>
      <c r="D63">
        <v>1</v>
      </c>
      <c r="E63">
        <v>1081.7</v>
      </c>
      <c r="F63" t="s">
        <v>299</v>
      </c>
      <c r="G63">
        <v>1081.7</v>
      </c>
      <c r="H63">
        <v>1298.04</v>
      </c>
      <c r="I63" t="s">
        <v>405</v>
      </c>
      <c r="J63" t="s">
        <v>408</v>
      </c>
      <c r="K63" t="s">
        <v>559</v>
      </c>
      <c r="L63" t="s">
        <v>200</v>
      </c>
      <c r="M63" t="s">
        <v>255</v>
      </c>
      <c r="N63" t="s">
        <v>51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255</v>
      </c>
      <c r="AH63" t="s">
        <v>51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1298.04</v>
      </c>
      <c r="AU63">
        <f>$H$63*$AA$63</f>
        <v>1298.04</v>
      </c>
      <c r="AV63">
        <f>$H$63*$AB$63</f>
        <v>1298.04</v>
      </c>
      <c r="AW63">
        <f>$H$63*$AC$63</f>
        <v>1298.04</v>
      </c>
      <c r="AX63">
        <f>$H$63*$AD$63</f>
        <v>1298.04</v>
      </c>
      <c r="AY63">
        <f>$H$63*$AE$63</f>
        <v>1298.04</v>
      </c>
      <c r="AZ63">
        <f>$H$63*$AF$63</f>
        <v>1298.04</v>
      </c>
    </row>
    <row r="64" spans="1:52" x14ac:dyDescent="0.25">
      <c r="A64">
        <v>109</v>
      </c>
      <c r="B64" t="s">
        <v>255</v>
      </c>
      <c r="C64" t="s">
        <v>409</v>
      </c>
      <c r="D64">
        <v>1</v>
      </c>
      <c r="E64">
        <v>27.56</v>
      </c>
      <c r="F64" t="s">
        <v>299</v>
      </c>
      <c r="G64">
        <v>27.56</v>
      </c>
      <c r="H64">
        <v>33.08</v>
      </c>
      <c r="I64" t="s">
        <v>330</v>
      </c>
      <c r="J64" t="s">
        <v>410</v>
      </c>
      <c r="K64" t="s">
        <v>560</v>
      </c>
      <c r="L64" t="s">
        <v>200</v>
      </c>
      <c r="M64" t="s">
        <v>255</v>
      </c>
      <c r="N64" t="s">
        <v>51</v>
      </c>
      <c r="O64" t="s">
        <v>13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255</v>
      </c>
      <c r="AH64" t="s">
        <v>51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33.08</v>
      </c>
      <c r="AV64">
        <f>$H$64*$AB$64</f>
        <v>33.08</v>
      </c>
      <c r="AW64">
        <f>$H$64*$AC$64</f>
        <v>33.08</v>
      </c>
      <c r="AX64">
        <f>$H$64*$AD$64</f>
        <v>33.08</v>
      </c>
      <c r="AY64">
        <f>$H$64*$AE$64</f>
        <v>33.08</v>
      </c>
      <c r="AZ64">
        <f>$H$64*$AF$64</f>
        <v>33.08</v>
      </c>
    </row>
    <row r="65" spans="1:52" x14ac:dyDescent="0.25">
      <c r="A65">
        <v>110</v>
      </c>
      <c r="B65" t="s">
        <v>255</v>
      </c>
      <c r="C65" t="s">
        <v>411</v>
      </c>
      <c r="D65">
        <v>1</v>
      </c>
      <c r="E65">
        <v>24.93</v>
      </c>
      <c r="F65" t="s">
        <v>299</v>
      </c>
      <c r="G65">
        <v>24.93</v>
      </c>
      <c r="H65">
        <v>29.91</v>
      </c>
      <c r="I65" t="s">
        <v>330</v>
      </c>
      <c r="J65" t="s">
        <v>412</v>
      </c>
      <c r="K65" t="s">
        <v>561</v>
      </c>
      <c r="L65" t="s">
        <v>200</v>
      </c>
      <c r="M65" t="s">
        <v>255</v>
      </c>
      <c r="N65" t="s">
        <v>51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255</v>
      </c>
      <c r="AH65" t="s">
        <v>51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29.91</v>
      </c>
      <c r="AT65">
        <f>$H$65*$Z$65</f>
        <v>29.91</v>
      </c>
      <c r="AU65">
        <f>$H$65*$AA$65</f>
        <v>29.91</v>
      </c>
      <c r="AV65">
        <f>$H$65*$AB$65</f>
        <v>29.91</v>
      </c>
      <c r="AW65">
        <f>$H$65*$AC$65</f>
        <v>29.91</v>
      </c>
      <c r="AX65">
        <f>$H$65*$AD$65</f>
        <v>29.91</v>
      </c>
      <c r="AY65">
        <f>$H$65*$AE$65</f>
        <v>29.91</v>
      </c>
      <c r="AZ65">
        <f>$H$65*$AF$65</f>
        <v>29.91</v>
      </c>
    </row>
    <row r="66" spans="1:52" x14ac:dyDescent="0.25">
      <c r="A66">
        <v>111</v>
      </c>
      <c r="B66" t="s">
        <v>255</v>
      </c>
      <c r="C66" t="s">
        <v>413</v>
      </c>
      <c r="D66">
        <v>1</v>
      </c>
      <c r="E66">
        <v>25.92</v>
      </c>
      <c r="F66" t="s">
        <v>299</v>
      </c>
      <c r="G66">
        <v>25.92</v>
      </c>
      <c r="H66">
        <v>31.1</v>
      </c>
      <c r="I66" t="s">
        <v>330</v>
      </c>
      <c r="J66" t="s">
        <v>414</v>
      </c>
      <c r="K66" t="s">
        <v>562</v>
      </c>
      <c r="L66" t="s">
        <v>200</v>
      </c>
      <c r="M66" t="s">
        <v>255</v>
      </c>
      <c r="N66" t="s">
        <v>51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255</v>
      </c>
      <c r="AH66" t="s">
        <v>51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31.1</v>
      </c>
      <c r="AV66">
        <f>$H$66*$AB$66</f>
        <v>31.1</v>
      </c>
      <c r="AW66">
        <f>$H$66*$AC$66</f>
        <v>31.1</v>
      </c>
      <c r="AX66">
        <f>$H$66*$AD$66</f>
        <v>31.1</v>
      </c>
      <c r="AY66">
        <f>$H$66*$AE$66</f>
        <v>31.1</v>
      </c>
      <c r="AZ66">
        <f>$H$66*$AF$66</f>
        <v>31.1</v>
      </c>
    </row>
    <row r="67" spans="1:52" x14ac:dyDescent="0.25">
      <c r="A67">
        <v>112</v>
      </c>
      <c r="B67" t="s">
        <v>255</v>
      </c>
      <c r="C67" t="s">
        <v>320</v>
      </c>
      <c r="D67">
        <v>10</v>
      </c>
      <c r="E67">
        <v>44.4</v>
      </c>
      <c r="F67" t="s">
        <v>294</v>
      </c>
      <c r="G67">
        <v>4.4400000000000004</v>
      </c>
      <c r="H67">
        <v>53.28</v>
      </c>
      <c r="I67" t="s">
        <v>295</v>
      </c>
      <c r="J67" t="s">
        <v>321</v>
      </c>
      <c r="K67" t="s">
        <v>516</v>
      </c>
      <c r="L67" t="s">
        <v>200</v>
      </c>
      <c r="M67" t="s">
        <v>255</v>
      </c>
      <c r="N67" t="s">
        <v>51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255</v>
      </c>
      <c r="AH67" t="s">
        <v>51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53.28</v>
      </c>
      <c r="AV67">
        <f>$H$67*$AB$67</f>
        <v>53.28</v>
      </c>
      <c r="AW67">
        <f>$H$67*$AC$67</f>
        <v>53.28</v>
      </c>
      <c r="AX67">
        <f>$H$67*$AD$67</f>
        <v>53.28</v>
      </c>
      <c r="AY67">
        <f>$H$67*$AE$67</f>
        <v>53.28</v>
      </c>
      <c r="AZ67">
        <f>$H$67*$AF$67</f>
        <v>53.28</v>
      </c>
    </row>
    <row r="68" spans="1:52" x14ac:dyDescent="0.25">
      <c r="A68">
        <v>113</v>
      </c>
      <c r="B68" t="s">
        <v>255</v>
      </c>
      <c r="C68" t="s">
        <v>322</v>
      </c>
      <c r="D68">
        <v>10</v>
      </c>
      <c r="E68">
        <v>115.5</v>
      </c>
      <c r="F68" t="s">
        <v>294</v>
      </c>
      <c r="G68">
        <v>11.55</v>
      </c>
      <c r="H68">
        <v>138.6</v>
      </c>
      <c r="I68" t="s">
        <v>298</v>
      </c>
      <c r="J68" t="s">
        <v>323</v>
      </c>
      <c r="K68" t="s">
        <v>517</v>
      </c>
      <c r="L68" t="s">
        <v>200</v>
      </c>
      <c r="M68" t="s">
        <v>255</v>
      </c>
      <c r="N68" t="s">
        <v>51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255</v>
      </c>
      <c r="AH68" t="s">
        <v>51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138.6</v>
      </c>
      <c r="AV68">
        <f>$H$68*$AB$68</f>
        <v>138.6</v>
      </c>
      <c r="AW68">
        <f>$H$68*$AC$68</f>
        <v>138.6</v>
      </c>
      <c r="AX68">
        <f>$H$68*$AD$68</f>
        <v>138.6</v>
      </c>
      <c r="AY68">
        <f>$H$68*$AE$68</f>
        <v>138.6</v>
      </c>
      <c r="AZ68">
        <f>$H$68*$AF$68</f>
        <v>138.6</v>
      </c>
    </row>
    <row r="69" spans="1:52" x14ac:dyDescent="0.25">
      <c r="A69">
        <v>114</v>
      </c>
      <c r="B69" t="s">
        <v>255</v>
      </c>
      <c r="C69" t="s">
        <v>380</v>
      </c>
      <c r="D69">
        <v>2</v>
      </c>
      <c r="E69">
        <v>26.54</v>
      </c>
      <c r="F69" t="s">
        <v>299</v>
      </c>
      <c r="G69">
        <v>13.27</v>
      </c>
      <c r="H69">
        <v>31.84</v>
      </c>
      <c r="I69" t="s">
        <v>301</v>
      </c>
      <c r="J69" t="s">
        <v>381</v>
      </c>
      <c r="K69" t="s">
        <v>545</v>
      </c>
      <c r="L69" t="s">
        <v>200</v>
      </c>
      <c r="M69" t="s">
        <v>255</v>
      </c>
      <c r="N69" t="s">
        <v>51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255</v>
      </c>
      <c r="AH69" t="s">
        <v>51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31.84</v>
      </c>
      <c r="AS69">
        <f>$H$69*$Y$69</f>
        <v>31.84</v>
      </c>
      <c r="AT69">
        <f>$H$69*$Z$69</f>
        <v>31.84</v>
      </c>
      <c r="AU69">
        <f>$H$69*$AA$69</f>
        <v>31.84</v>
      </c>
      <c r="AV69">
        <f>$H$69*$AB$69</f>
        <v>31.84</v>
      </c>
      <c r="AW69">
        <f>$H$69*$AC$69</f>
        <v>31.84</v>
      </c>
      <c r="AX69">
        <f>$H$69*$AD$69</f>
        <v>31.84</v>
      </c>
      <c r="AY69">
        <f>$H$69*$AE$69</f>
        <v>31.84</v>
      </c>
      <c r="AZ69">
        <f>$H$69*$AF$69</f>
        <v>31.84</v>
      </c>
    </row>
    <row r="70" spans="1:52" x14ac:dyDescent="0.25">
      <c r="A70">
        <v>115</v>
      </c>
      <c r="B70" t="s">
        <v>255</v>
      </c>
      <c r="C70" t="s">
        <v>415</v>
      </c>
      <c r="D70">
        <v>6</v>
      </c>
      <c r="E70">
        <v>112.38</v>
      </c>
      <c r="F70" t="s">
        <v>313</v>
      </c>
      <c r="G70">
        <v>18.73</v>
      </c>
      <c r="H70">
        <v>134.86000000000001</v>
      </c>
      <c r="I70" t="s">
        <v>416</v>
      </c>
      <c r="J70" t="s">
        <v>334</v>
      </c>
      <c r="K70" t="s">
        <v>563</v>
      </c>
      <c r="L70" t="s">
        <v>200</v>
      </c>
      <c r="M70" t="s">
        <v>255</v>
      </c>
      <c r="N70" t="s">
        <v>51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255</v>
      </c>
      <c r="AH70" t="s">
        <v>51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134.86000000000001</v>
      </c>
      <c r="AV70">
        <f>$H$70*$AB$70</f>
        <v>134.86000000000001</v>
      </c>
      <c r="AW70">
        <f>$H$70*$AC$70</f>
        <v>134.86000000000001</v>
      </c>
      <c r="AX70">
        <f>$H$70*$AD$70</f>
        <v>134.86000000000001</v>
      </c>
      <c r="AY70">
        <f>$H$70*$AE$70</f>
        <v>134.86000000000001</v>
      </c>
      <c r="AZ70">
        <f>$H$70*$AF$70</f>
        <v>134.86000000000001</v>
      </c>
    </row>
    <row r="71" spans="1:52" x14ac:dyDescent="0.25">
      <c r="A71">
        <v>116</v>
      </c>
      <c r="B71" t="s">
        <v>255</v>
      </c>
      <c r="C71" t="s">
        <v>417</v>
      </c>
      <c r="D71">
        <v>0.75</v>
      </c>
      <c r="E71">
        <v>412.99</v>
      </c>
      <c r="F71" t="s">
        <v>299</v>
      </c>
      <c r="G71">
        <v>550.65</v>
      </c>
      <c r="H71">
        <v>495.59</v>
      </c>
      <c r="I71" t="s">
        <v>317</v>
      </c>
      <c r="J71" t="s">
        <v>418</v>
      </c>
      <c r="K71" t="s">
        <v>564</v>
      </c>
      <c r="L71" t="s">
        <v>200</v>
      </c>
      <c r="M71" t="s">
        <v>255</v>
      </c>
      <c r="N71" t="s">
        <v>51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255</v>
      </c>
      <c r="AH71" t="s">
        <v>51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495.59</v>
      </c>
      <c r="AV71">
        <f>$H$71*$AB$71</f>
        <v>495.59</v>
      </c>
      <c r="AW71">
        <f>$H$71*$AC$71</f>
        <v>495.59</v>
      </c>
      <c r="AX71">
        <f>$H$71*$AD$71</f>
        <v>495.59</v>
      </c>
      <c r="AY71">
        <f>$H$71*$AE$71</f>
        <v>495.59</v>
      </c>
      <c r="AZ71">
        <f>$H$71*$AF$71</f>
        <v>495.59</v>
      </c>
    </row>
    <row r="72" spans="1:52" x14ac:dyDescent="0.25">
      <c r="A72">
        <v>117</v>
      </c>
      <c r="B72" t="s">
        <v>255</v>
      </c>
      <c r="C72" t="s">
        <v>417</v>
      </c>
      <c r="D72">
        <v>0.75</v>
      </c>
      <c r="E72">
        <v>412.99</v>
      </c>
      <c r="F72" t="s">
        <v>299</v>
      </c>
      <c r="G72">
        <v>550.65</v>
      </c>
      <c r="H72">
        <v>495.59</v>
      </c>
      <c r="I72" t="s">
        <v>317</v>
      </c>
      <c r="J72" t="s">
        <v>418</v>
      </c>
      <c r="K72" t="s">
        <v>564</v>
      </c>
      <c r="L72" t="s">
        <v>200</v>
      </c>
      <c r="M72" t="s">
        <v>255</v>
      </c>
      <c r="N72" t="s">
        <v>51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255</v>
      </c>
      <c r="AH72" t="s">
        <v>51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495.59</v>
      </c>
      <c r="AV72">
        <f>$H$72*$AB$72</f>
        <v>495.59</v>
      </c>
      <c r="AW72">
        <f>$H$72*$AC$72</f>
        <v>495.59</v>
      </c>
      <c r="AX72">
        <f>$H$72*$AD$72</f>
        <v>495.59</v>
      </c>
      <c r="AY72">
        <f>$H$72*$AE$72</f>
        <v>495.59</v>
      </c>
      <c r="AZ72">
        <f>$H$72*$AF$72</f>
        <v>495.59</v>
      </c>
    </row>
    <row r="73" spans="1:52" x14ac:dyDescent="0.25">
      <c r="A73">
        <v>118</v>
      </c>
      <c r="B73" t="s">
        <v>255</v>
      </c>
      <c r="C73" t="s">
        <v>417</v>
      </c>
      <c r="D73">
        <v>0.25</v>
      </c>
      <c r="E73">
        <v>137.66</v>
      </c>
      <c r="F73" t="s">
        <v>299</v>
      </c>
      <c r="G73">
        <v>550.65</v>
      </c>
      <c r="H73">
        <v>165.2</v>
      </c>
      <c r="I73" t="s">
        <v>317</v>
      </c>
      <c r="J73" t="s">
        <v>418</v>
      </c>
      <c r="K73" t="s">
        <v>564</v>
      </c>
      <c r="L73" t="s">
        <v>200</v>
      </c>
      <c r="M73" t="s">
        <v>255</v>
      </c>
      <c r="N73" t="s">
        <v>51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255</v>
      </c>
      <c r="AH73" t="s">
        <v>51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165.2</v>
      </c>
      <c r="AV73">
        <f>$H$73*$AB$73</f>
        <v>165.2</v>
      </c>
      <c r="AW73">
        <f>$H$73*$AC$73</f>
        <v>165.2</v>
      </c>
      <c r="AX73">
        <f>$H$73*$AD$73</f>
        <v>165.2</v>
      </c>
      <c r="AY73">
        <f>$H$73*$AE$73</f>
        <v>165.2</v>
      </c>
      <c r="AZ73">
        <f>$H$73*$AF$73</f>
        <v>165.2</v>
      </c>
    </row>
    <row r="74" spans="1:52" x14ac:dyDescent="0.25">
      <c r="A74">
        <v>119</v>
      </c>
      <c r="B74" t="s">
        <v>255</v>
      </c>
      <c r="C74" t="s">
        <v>417</v>
      </c>
      <c r="D74">
        <v>0.25</v>
      </c>
      <c r="E74">
        <v>137.66</v>
      </c>
      <c r="F74" t="s">
        <v>299</v>
      </c>
      <c r="G74">
        <v>550.65</v>
      </c>
      <c r="H74">
        <v>165.2</v>
      </c>
      <c r="I74" t="s">
        <v>317</v>
      </c>
      <c r="J74" t="s">
        <v>418</v>
      </c>
      <c r="K74" t="s">
        <v>564</v>
      </c>
      <c r="L74" t="s">
        <v>200</v>
      </c>
      <c r="M74" t="s">
        <v>255</v>
      </c>
      <c r="N74" t="s">
        <v>51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255</v>
      </c>
      <c r="AH74" t="s">
        <v>51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165.2</v>
      </c>
      <c r="AV74">
        <f>$H$74*$AB$74</f>
        <v>165.2</v>
      </c>
      <c r="AW74">
        <f>$H$74*$AC$74</f>
        <v>165.2</v>
      </c>
      <c r="AX74">
        <f>$H$74*$AD$74</f>
        <v>165.2</v>
      </c>
      <c r="AY74">
        <f>$H$74*$AE$74</f>
        <v>165.2</v>
      </c>
      <c r="AZ74">
        <f>$H$74*$AF$74</f>
        <v>165.2</v>
      </c>
    </row>
    <row r="75" spans="1:52" x14ac:dyDescent="0.25">
      <c r="A75">
        <v>120</v>
      </c>
      <c r="B75" t="s">
        <v>255</v>
      </c>
      <c r="C75" t="s">
        <v>419</v>
      </c>
      <c r="D75">
        <v>1</v>
      </c>
      <c r="E75">
        <v>39.43</v>
      </c>
      <c r="F75" t="s">
        <v>299</v>
      </c>
      <c r="G75">
        <v>39.43</v>
      </c>
      <c r="H75">
        <v>47.31</v>
      </c>
      <c r="I75" t="s">
        <v>317</v>
      </c>
      <c r="J75" t="s">
        <v>420</v>
      </c>
      <c r="K75" t="s">
        <v>565</v>
      </c>
      <c r="L75" t="s">
        <v>200</v>
      </c>
      <c r="M75" t="s">
        <v>255</v>
      </c>
      <c r="N75" t="s">
        <v>51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255</v>
      </c>
      <c r="AH75" t="s">
        <v>51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47.31</v>
      </c>
      <c r="AT75">
        <f>$H$75*$Z$75</f>
        <v>47.31</v>
      </c>
      <c r="AU75">
        <f>$H$75*$AA$75</f>
        <v>47.31</v>
      </c>
      <c r="AV75">
        <f>$H$75*$AB$75</f>
        <v>47.31</v>
      </c>
      <c r="AW75">
        <f>$H$75*$AC$75</f>
        <v>47.31</v>
      </c>
      <c r="AX75">
        <f>$H$75*$AD$75</f>
        <v>47.31</v>
      </c>
      <c r="AY75">
        <f>$H$75*$AE$75</f>
        <v>47.31</v>
      </c>
      <c r="AZ75">
        <f>$H$75*$AF$75</f>
        <v>47.31</v>
      </c>
    </row>
    <row r="76" spans="1:52" x14ac:dyDescent="0.25">
      <c r="A76">
        <v>121</v>
      </c>
      <c r="B76" t="s">
        <v>255</v>
      </c>
      <c r="C76" t="s">
        <v>421</v>
      </c>
      <c r="D76">
        <v>1</v>
      </c>
      <c r="E76">
        <v>419.17</v>
      </c>
      <c r="F76" t="s">
        <v>299</v>
      </c>
      <c r="G76">
        <v>419.17</v>
      </c>
      <c r="H76">
        <v>503.01</v>
      </c>
      <c r="I76" t="s">
        <v>317</v>
      </c>
      <c r="J76" t="s">
        <v>422</v>
      </c>
      <c r="K76" t="s">
        <v>566</v>
      </c>
      <c r="L76" t="s">
        <v>200</v>
      </c>
      <c r="M76" t="s">
        <v>255</v>
      </c>
      <c r="N76" t="s">
        <v>51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255</v>
      </c>
      <c r="AH76" t="s">
        <v>51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503.01</v>
      </c>
      <c r="AT76">
        <f>$H$76*$Z$76</f>
        <v>503.01</v>
      </c>
      <c r="AU76">
        <f>$H$76*$AA$76</f>
        <v>503.01</v>
      </c>
      <c r="AV76">
        <f>$H$76*$AB$76</f>
        <v>503.01</v>
      </c>
      <c r="AW76">
        <f>$H$76*$AC$76</f>
        <v>503.01</v>
      </c>
      <c r="AX76">
        <f>$H$76*$AD$76</f>
        <v>503.01</v>
      </c>
      <c r="AY76">
        <f>$H$76*$AE$76</f>
        <v>503.01</v>
      </c>
      <c r="AZ76">
        <f>$H$76*$AF$76</f>
        <v>503.01</v>
      </c>
    </row>
    <row r="77" spans="1:52" x14ac:dyDescent="0.25">
      <c r="A77">
        <v>122</v>
      </c>
      <c r="B77" t="s">
        <v>255</v>
      </c>
      <c r="C77" t="s">
        <v>423</v>
      </c>
      <c r="D77">
        <v>1</v>
      </c>
      <c r="E77">
        <v>773</v>
      </c>
      <c r="F77" t="s">
        <v>299</v>
      </c>
      <c r="G77">
        <v>773</v>
      </c>
      <c r="H77">
        <v>927.6</v>
      </c>
      <c r="I77" t="s">
        <v>317</v>
      </c>
      <c r="J77" t="s">
        <v>424</v>
      </c>
      <c r="K77" t="s">
        <v>567</v>
      </c>
      <c r="L77" t="s">
        <v>200</v>
      </c>
      <c r="M77" t="s">
        <v>255</v>
      </c>
      <c r="N77" t="s">
        <v>51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255</v>
      </c>
      <c r="AH77" t="s">
        <v>51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927.6</v>
      </c>
      <c r="AT77">
        <f>$H$77*$Z$77</f>
        <v>927.6</v>
      </c>
      <c r="AU77">
        <f>$H$77*$AA$77</f>
        <v>927.6</v>
      </c>
      <c r="AV77">
        <f>$H$77*$AB$77</f>
        <v>927.6</v>
      </c>
      <c r="AW77">
        <f>$H$77*$AC$77</f>
        <v>927.6</v>
      </c>
      <c r="AX77">
        <f>$H$77*$AD$77</f>
        <v>927.6</v>
      </c>
      <c r="AY77">
        <f>$H$77*$AE$77</f>
        <v>927.6</v>
      </c>
      <c r="AZ77">
        <f>$H$77*$AF$77</f>
        <v>927.6</v>
      </c>
    </row>
    <row r="78" spans="1:52" x14ac:dyDescent="0.25">
      <c r="A78">
        <v>123</v>
      </c>
      <c r="B78" t="s">
        <v>255</v>
      </c>
      <c r="C78" t="s">
        <v>425</v>
      </c>
      <c r="D78">
        <v>1</v>
      </c>
      <c r="E78">
        <v>34.520000000000003</v>
      </c>
      <c r="F78" t="s">
        <v>299</v>
      </c>
      <c r="G78">
        <v>34.520000000000003</v>
      </c>
      <c r="H78">
        <v>41.42</v>
      </c>
      <c r="I78" t="s">
        <v>330</v>
      </c>
      <c r="J78" t="s">
        <v>426</v>
      </c>
      <c r="K78" t="s">
        <v>568</v>
      </c>
      <c r="L78" t="s">
        <v>200</v>
      </c>
      <c r="M78" t="s">
        <v>255</v>
      </c>
      <c r="N78" t="s">
        <v>51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255</v>
      </c>
      <c r="AH78" t="s">
        <v>51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0</v>
      </c>
      <c r="AT78">
        <f>$H$78*$Z$78</f>
        <v>0</v>
      </c>
      <c r="AU78">
        <f>$H$78*$AA$78</f>
        <v>41.42</v>
      </c>
      <c r="AV78">
        <f>$H$78*$AB$78</f>
        <v>41.42</v>
      </c>
      <c r="AW78">
        <f>$H$78*$AC$78</f>
        <v>41.42</v>
      </c>
      <c r="AX78">
        <f>$H$78*$AD$78</f>
        <v>41.42</v>
      </c>
      <c r="AY78">
        <f>$H$78*$AE$78</f>
        <v>41.42</v>
      </c>
      <c r="AZ78">
        <f>$H$78*$AF$78</f>
        <v>41.42</v>
      </c>
    </row>
    <row r="79" spans="1:52" x14ac:dyDescent="0.25">
      <c r="A79">
        <v>124</v>
      </c>
      <c r="B79" t="s">
        <v>255</v>
      </c>
      <c r="C79" t="s">
        <v>427</v>
      </c>
      <c r="D79">
        <v>1</v>
      </c>
      <c r="E79">
        <v>259.22000000000003</v>
      </c>
      <c r="F79" t="s">
        <v>299</v>
      </c>
      <c r="G79">
        <v>259.22000000000003</v>
      </c>
      <c r="H79">
        <v>311.06</v>
      </c>
      <c r="I79" t="s">
        <v>317</v>
      </c>
      <c r="J79" t="s">
        <v>428</v>
      </c>
      <c r="K79" t="s">
        <v>569</v>
      </c>
      <c r="L79" t="s">
        <v>200</v>
      </c>
      <c r="M79" t="s">
        <v>255</v>
      </c>
      <c r="N79" t="s">
        <v>51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255</v>
      </c>
      <c r="AH79" t="s">
        <v>51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311.06</v>
      </c>
      <c r="AV79">
        <f>$H$79*$AB$79</f>
        <v>311.06</v>
      </c>
      <c r="AW79">
        <f>$H$79*$AC$79</f>
        <v>311.06</v>
      </c>
      <c r="AX79">
        <f>$H$79*$AD$79</f>
        <v>311.06</v>
      </c>
      <c r="AY79">
        <f>$H$79*$AE$79</f>
        <v>311.06</v>
      </c>
      <c r="AZ79">
        <f>$H$79*$AF$79</f>
        <v>311.06</v>
      </c>
    </row>
    <row r="80" spans="1:52" x14ac:dyDescent="0.25">
      <c r="A80">
        <v>125</v>
      </c>
      <c r="B80" t="s">
        <v>255</v>
      </c>
      <c r="C80" t="s">
        <v>429</v>
      </c>
      <c r="D80">
        <v>10</v>
      </c>
      <c r="E80">
        <v>65.7</v>
      </c>
      <c r="F80" t="s">
        <v>294</v>
      </c>
      <c r="G80">
        <v>6.57</v>
      </c>
      <c r="H80">
        <v>78.84</v>
      </c>
      <c r="I80" t="s">
        <v>307</v>
      </c>
      <c r="J80" t="s">
        <v>430</v>
      </c>
      <c r="K80" t="s">
        <v>570</v>
      </c>
      <c r="L80" t="s">
        <v>200</v>
      </c>
      <c r="M80" t="s">
        <v>255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1</v>
      </c>
      <c r="AF80">
        <v>1</v>
      </c>
      <c r="AG80" t="s">
        <v>255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0</v>
      </c>
      <c r="AV80">
        <f>$H$80*$AB$80</f>
        <v>0</v>
      </c>
      <c r="AW80">
        <f>$H$80*$AC$80</f>
        <v>0</v>
      </c>
      <c r="AX80">
        <f>$H$80*$AD$80</f>
        <v>78.84</v>
      </c>
      <c r="AY80">
        <f>$H$80*$AE$80</f>
        <v>78.84</v>
      </c>
      <c r="AZ80">
        <f>$H$80*$AF$80</f>
        <v>78.84</v>
      </c>
    </row>
    <row r="81" spans="1:52" x14ac:dyDescent="0.25">
      <c r="A81">
        <v>126</v>
      </c>
      <c r="B81" t="s">
        <v>255</v>
      </c>
      <c r="C81" t="s">
        <v>431</v>
      </c>
      <c r="D81">
        <v>1</v>
      </c>
      <c r="E81">
        <v>89.58</v>
      </c>
      <c r="F81" t="s">
        <v>299</v>
      </c>
      <c r="G81">
        <v>89.58</v>
      </c>
      <c r="H81">
        <v>107.5</v>
      </c>
      <c r="I81" t="s">
        <v>307</v>
      </c>
      <c r="J81" t="s">
        <v>432</v>
      </c>
      <c r="K81" t="s">
        <v>571</v>
      </c>
      <c r="L81" t="s">
        <v>200</v>
      </c>
      <c r="M81" t="s">
        <v>255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1</v>
      </c>
      <c r="AE81">
        <v>1</v>
      </c>
      <c r="AF81">
        <v>1</v>
      </c>
      <c r="AG81" t="s">
        <v>255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0</v>
      </c>
      <c r="AV81">
        <f>$H$81*$AB$81</f>
        <v>0</v>
      </c>
      <c r="AW81">
        <f>$H$81*$AC$81</f>
        <v>0</v>
      </c>
      <c r="AX81">
        <f>$H$81*$AD$81</f>
        <v>107.5</v>
      </c>
      <c r="AY81">
        <f>$H$81*$AE$81</f>
        <v>107.5</v>
      </c>
      <c r="AZ81">
        <f>$H$81*$AF$81</f>
        <v>107.5</v>
      </c>
    </row>
    <row r="82" spans="1:52" x14ac:dyDescent="0.25">
      <c r="A82">
        <v>127</v>
      </c>
      <c r="B82" t="s">
        <v>255</v>
      </c>
      <c r="C82" t="s">
        <v>433</v>
      </c>
      <c r="D82">
        <v>1</v>
      </c>
      <c r="E82">
        <v>89.45</v>
      </c>
      <c r="F82" t="s">
        <v>299</v>
      </c>
      <c r="G82">
        <v>89.45</v>
      </c>
      <c r="H82">
        <v>107.35</v>
      </c>
      <c r="I82" t="s">
        <v>304</v>
      </c>
      <c r="J82" t="s">
        <v>434</v>
      </c>
      <c r="K82" t="s">
        <v>572</v>
      </c>
      <c r="L82" t="s">
        <v>200</v>
      </c>
      <c r="M82" t="s">
        <v>255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1</v>
      </c>
      <c r="AF82">
        <v>1</v>
      </c>
      <c r="AG82" t="s">
        <v>255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0</v>
      </c>
      <c r="AV82">
        <f>$H$82*$AB$82</f>
        <v>0</v>
      </c>
      <c r="AW82">
        <f>$H$82*$AC$82</f>
        <v>0</v>
      </c>
      <c r="AX82">
        <f>$H$82*$AD$82</f>
        <v>107.35</v>
      </c>
      <c r="AY82">
        <f>$H$82*$AE$82</f>
        <v>107.35</v>
      </c>
      <c r="AZ82">
        <f>$H$82*$AF$82</f>
        <v>107.35</v>
      </c>
    </row>
    <row r="83" spans="1:52" x14ac:dyDescent="0.25">
      <c r="A83">
        <v>128</v>
      </c>
      <c r="B83" t="s">
        <v>255</v>
      </c>
      <c r="C83" t="s">
        <v>378</v>
      </c>
      <c r="D83">
        <v>1</v>
      </c>
      <c r="E83">
        <v>40.14</v>
      </c>
      <c r="F83" t="s">
        <v>299</v>
      </c>
      <c r="G83">
        <v>40.14</v>
      </c>
      <c r="H83">
        <v>48.16</v>
      </c>
      <c r="I83" t="s">
        <v>330</v>
      </c>
      <c r="J83" t="s">
        <v>379</v>
      </c>
      <c r="K83" t="s">
        <v>544</v>
      </c>
      <c r="L83" t="s">
        <v>200</v>
      </c>
      <c r="M83" t="s">
        <v>255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255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48.16</v>
      </c>
      <c r="AU83">
        <f>$H$83*$AA$83</f>
        <v>48.16</v>
      </c>
      <c r="AV83">
        <f>$H$83*$AB$83</f>
        <v>48.16</v>
      </c>
      <c r="AW83">
        <f>$H$83*$AC$83</f>
        <v>48.16</v>
      </c>
      <c r="AX83">
        <f>$H$83*$AD$83</f>
        <v>48.16</v>
      </c>
      <c r="AY83">
        <f>$H$83*$AE$83</f>
        <v>48.16</v>
      </c>
      <c r="AZ83">
        <f>$H$83*$AF$83</f>
        <v>48.16</v>
      </c>
    </row>
    <row r="84" spans="1:52" x14ac:dyDescent="0.25">
      <c r="A84">
        <v>129</v>
      </c>
      <c r="B84" t="s">
        <v>255</v>
      </c>
      <c r="C84" t="s">
        <v>337</v>
      </c>
      <c r="D84">
        <v>2</v>
      </c>
      <c r="E84">
        <v>77.86</v>
      </c>
      <c r="F84" t="s">
        <v>299</v>
      </c>
      <c r="G84">
        <v>38.93</v>
      </c>
      <c r="H84">
        <v>93.44</v>
      </c>
      <c r="I84" t="s">
        <v>295</v>
      </c>
      <c r="J84" t="s">
        <v>333</v>
      </c>
      <c r="K84" t="s">
        <v>523</v>
      </c>
      <c r="L84" t="s">
        <v>200</v>
      </c>
      <c r="M84" t="s">
        <v>255</v>
      </c>
      <c r="N84" t="s">
        <v>51</v>
      </c>
      <c r="O84" t="s">
        <v>13</v>
      </c>
      <c r="P84">
        <v>0</v>
      </c>
      <c r="Q84">
        <v>0</v>
      </c>
      <c r="R84">
        <v>0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255</v>
      </c>
      <c r="AH84" t="s">
        <v>51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93.44</v>
      </c>
      <c r="AN84">
        <f>$H$84*$T$84</f>
        <v>93.44</v>
      </c>
      <c r="AO84">
        <f>$H$84*$U$84</f>
        <v>93.44</v>
      </c>
      <c r="AP84">
        <f>$H$84*$V$84</f>
        <v>93.44</v>
      </c>
      <c r="AQ84">
        <f>$H$84*$W$84</f>
        <v>93.44</v>
      </c>
      <c r="AR84">
        <f>$H$84*$X$84</f>
        <v>93.44</v>
      </c>
      <c r="AS84">
        <f>$H$84*$Y$84</f>
        <v>93.44</v>
      </c>
      <c r="AT84">
        <f>$H$84*$Z$84</f>
        <v>93.44</v>
      </c>
      <c r="AU84">
        <f>$H$84*$AA$84</f>
        <v>93.44</v>
      </c>
      <c r="AV84">
        <f>$H$84*$AB$84</f>
        <v>93.44</v>
      </c>
      <c r="AW84">
        <f>$H$84*$AC$84</f>
        <v>93.44</v>
      </c>
      <c r="AX84">
        <f>$H$84*$AD$84</f>
        <v>93.44</v>
      </c>
      <c r="AY84">
        <f>$H$84*$AE$84</f>
        <v>93.44</v>
      </c>
      <c r="AZ84">
        <f>$H$84*$AF$84</f>
        <v>93.44</v>
      </c>
    </row>
    <row r="85" spans="1:52" x14ac:dyDescent="0.25">
      <c r="A85">
        <v>130</v>
      </c>
      <c r="B85" t="s">
        <v>255</v>
      </c>
      <c r="C85" t="s">
        <v>335</v>
      </c>
      <c r="D85">
        <v>2</v>
      </c>
      <c r="E85">
        <v>62.72</v>
      </c>
      <c r="F85" t="s">
        <v>299</v>
      </c>
      <c r="G85">
        <v>31.36</v>
      </c>
      <c r="H85">
        <v>75.260000000000005</v>
      </c>
      <c r="I85" t="s">
        <v>295</v>
      </c>
      <c r="J85" t="s">
        <v>336</v>
      </c>
      <c r="K85" t="s">
        <v>522</v>
      </c>
      <c r="L85" t="s">
        <v>200</v>
      </c>
      <c r="M85" t="s">
        <v>255</v>
      </c>
      <c r="N85" t="s">
        <v>51</v>
      </c>
      <c r="O85" t="s">
        <v>13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255</v>
      </c>
      <c r="AH85" t="s">
        <v>51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75.260000000000005</v>
      </c>
      <c r="AN85">
        <f>$H$85*$T$85</f>
        <v>75.260000000000005</v>
      </c>
      <c r="AO85">
        <f>$H$85*$U$85</f>
        <v>75.260000000000005</v>
      </c>
      <c r="AP85">
        <f>$H$85*$V$85</f>
        <v>75.260000000000005</v>
      </c>
      <c r="AQ85">
        <f>$H$85*$W$85</f>
        <v>75.260000000000005</v>
      </c>
      <c r="AR85">
        <f>$H$85*$X$85</f>
        <v>75.260000000000005</v>
      </c>
      <c r="AS85">
        <f>$H$85*$Y$85</f>
        <v>75.260000000000005</v>
      </c>
      <c r="AT85">
        <f>$H$85*$Z$85</f>
        <v>75.260000000000005</v>
      </c>
      <c r="AU85">
        <f>$H$85*$AA$85</f>
        <v>75.260000000000005</v>
      </c>
      <c r="AV85">
        <f>$H$85*$AB$85</f>
        <v>75.260000000000005</v>
      </c>
      <c r="AW85">
        <f>$H$85*$AC$85</f>
        <v>75.260000000000005</v>
      </c>
      <c r="AX85">
        <f>$H$85*$AD$85</f>
        <v>75.260000000000005</v>
      </c>
      <c r="AY85">
        <f>$H$85*$AE$85</f>
        <v>75.260000000000005</v>
      </c>
      <c r="AZ85">
        <f>$H$85*$AF$85</f>
        <v>75.260000000000005</v>
      </c>
    </row>
    <row r="86" spans="1:52" x14ac:dyDescent="0.25">
      <c r="A86">
        <v>131</v>
      </c>
      <c r="B86" t="s">
        <v>255</v>
      </c>
      <c r="C86" t="s">
        <v>435</v>
      </c>
      <c r="D86">
        <v>1</v>
      </c>
      <c r="E86">
        <v>292.48</v>
      </c>
      <c r="F86" t="s">
        <v>299</v>
      </c>
      <c r="G86">
        <v>292.48</v>
      </c>
      <c r="H86">
        <v>350.98</v>
      </c>
      <c r="I86" t="s">
        <v>333</v>
      </c>
      <c r="J86" t="s">
        <v>436</v>
      </c>
      <c r="K86" t="s">
        <v>573</v>
      </c>
      <c r="L86" t="s">
        <v>200</v>
      </c>
      <c r="M86" t="s">
        <v>255</v>
      </c>
      <c r="N86" t="s">
        <v>51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255</v>
      </c>
      <c r="AH86" t="s">
        <v>51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350.98</v>
      </c>
      <c r="AO86">
        <f>$H$86*$U$86</f>
        <v>350.98</v>
      </c>
      <c r="AP86">
        <f>$H$86*$V$86</f>
        <v>350.98</v>
      </c>
      <c r="AQ86">
        <f>$H$86*$W$86</f>
        <v>350.98</v>
      </c>
      <c r="AR86">
        <f>$H$86*$X$86</f>
        <v>350.98</v>
      </c>
      <c r="AS86">
        <f>$H$86*$Y$86</f>
        <v>350.98</v>
      </c>
      <c r="AT86">
        <f>$H$86*$Z$86</f>
        <v>350.98</v>
      </c>
      <c r="AU86">
        <f>$H$86*$AA$86</f>
        <v>350.98</v>
      </c>
      <c r="AV86">
        <f>$H$86*$AB$86</f>
        <v>350.98</v>
      </c>
      <c r="AW86">
        <f>$H$86*$AC$86</f>
        <v>350.98</v>
      </c>
      <c r="AX86">
        <f>$H$86*$AD$86</f>
        <v>350.98</v>
      </c>
      <c r="AY86">
        <f>$H$86*$AE$86</f>
        <v>350.98</v>
      </c>
      <c r="AZ86">
        <f>$H$86*$AF$86</f>
        <v>350.98</v>
      </c>
    </row>
    <row r="87" spans="1:52" x14ac:dyDescent="0.25">
      <c r="A87">
        <v>132</v>
      </c>
      <c r="B87" t="s">
        <v>255</v>
      </c>
      <c r="C87" t="s">
        <v>437</v>
      </c>
      <c r="D87">
        <v>1</v>
      </c>
      <c r="E87">
        <v>37</v>
      </c>
      <c r="F87" t="s">
        <v>299</v>
      </c>
      <c r="G87">
        <v>37</v>
      </c>
      <c r="H87">
        <v>44.4</v>
      </c>
      <c r="I87" t="s">
        <v>301</v>
      </c>
      <c r="J87" t="s">
        <v>438</v>
      </c>
      <c r="K87" t="s">
        <v>574</v>
      </c>
      <c r="L87" t="s">
        <v>200</v>
      </c>
      <c r="M87" t="s">
        <v>255</v>
      </c>
      <c r="N87" t="s">
        <v>51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0.6</v>
      </c>
      <c r="Y87">
        <v>0.6</v>
      </c>
      <c r="Z87">
        <v>0.6</v>
      </c>
      <c r="AA87">
        <v>0.6</v>
      </c>
      <c r="AB87">
        <v>0.6</v>
      </c>
      <c r="AC87">
        <v>0.6</v>
      </c>
      <c r="AD87">
        <v>1</v>
      </c>
      <c r="AE87">
        <v>1</v>
      </c>
      <c r="AF87">
        <v>1</v>
      </c>
      <c r="AG87" t="s">
        <v>255</v>
      </c>
      <c r="AH87" t="s">
        <v>51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26.639999999999997</v>
      </c>
      <c r="AS87">
        <f>$H$87*$Y$87</f>
        <v>26.639999999999997</v>
      </c>
      <c r="AT87">
        <f>$H$87*$Z$87</f>
        <v>26.639999999999997</v>
      </c>
      <c r="AU87">
        <f>$H$87*$AA$87</f>
        <v>26.639999999999997</v>
      </c>
      <c r="AV87">
        <f>$H$87*$AB$87</f>
        <v>26.639999999999997</v>
      </c>
      <c r="AW87">
        <f>$H$87*$AC$87</f>
        <v>26.639999999999997</v>
      </c>
      <c r="AX87">
        <f>$H$87*$AD$87</f>
        <v>44.4</v>
      </c>
      <c r="AY87">
        <f>$H$87*$AE$87</f>
        <v>44.4</v>
      </c>
      <c r="AZ87">
        <f>$H$87*$AF$87</f>
        <v>44.4</v>
      </c>
    </row>
    <row r="88" spans="1:52" x14ac:dyDescent="0.25">
      <c r="A88">
        <v>133</v>
      </c>
      <c r="B88" t="s">
        <v>255</v>
      </c>
      <c r="C88" t="s">
        <v>439</v>
      </c>
      <c r="D88">
        <v>3</v>
      </c>
      <c r="E88">
        <v>448.2</v>
      </c>
      <c r="F88" t="s">
        <v>294</v>
      </c>
      <c r="G88">
        <v>149.4</v>
      </c>
      <c r="H88">
        <v>537.84</v>
      </c>
      <c r="I88" t="s">
        <v>440</v>
      </c>
      <c r="J88" t="s">
        <v>441</v>
      </c>
      <c r="K88" t="s">
        <v>575</v>
      </c>
      <c r="L88" t="s">
        <v>200</v>
      </c>
      <c r="M88" t="s">
        <v>255</v>
      </c>
      <c r="N88" t="s">
        <v>51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255</v>
      </c>
      <c r="AH88" t="s">
        <v>51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537.84</v>
      </c>
      <c r="AO88">
        <f>$H$88*$U$88</f>
        <v>537.84</v>
      </c>
      <c r="AP88">
        <f>$H$88*$V$88</f>
        <v>537.84</v>
      </c>
      <c r="AQ88">
        <f>$H$88*$W$88</f>
        <v>537.84</v>
      </c>
      <c r="AR88">
        <f>$H$88*$X$88</f>
        <v>537.84</v>
      </c>
      <c r="AS88">
        <f>$H$88*$Y$88</f>
        <v>537.84</v>
      </c>
      <c r="AT88">
        <f>$H$88*$Z$88</f>
        <v>537.84</v>
      </c>
      <c r="AU88">
        <f>$H$88*$AA$88</f>
        <v>537.84</v>
      </c>
      <c r="AV88">
        <f>$H$88*$AB$88</f>
        <v>537.84</v>
      </c>
      <c r="AW88">
        <f>$H$88*$AC$88</f>
        <v>537.84</v>
      </c>
      <c r="AX88">
        <f>$H$88*$AD$88</f>
        <v>537.84</v>
      </c>
      <c r="AY88">
        <f>$H$88*$AE$88</f>
        <v>537.84</v>
      </c>
      <c r="AZ88">
        <f>$H$88*$AF$88</f>
        <v>537.84</v>
      </c>
    </row>
    <row r="89" spans="1:52" x14ac:dyDescent="0.25">
      <c r="A89">
        <v>134</v>
      </c>
      <c r="B89" t="s">
        <v>255</v>
      </c>
      <c r="C89" t="s">
        <v>442</v>
      </c>
      <c r="D89">
        <v>3</v>
      </c>
      <c r="E89">
        <v>28.92</v>
      </c>
      <c r="F89" t="s">
        <v>294</v>
      </c>
      <c r="G89">
        <v>9.64</v>
      </c>
      <c r="H89">
        <v>34.700000000000003</v>
      </c>
      <c r="I89" t="s">
        <v>440</v>
      </c>
      <c r="J89" t="s">
        <v>443</v>
      </c>
      <c r="K89" t="s">
        <v>576</v>
      </c>
      <c r="L89" t="s">
        <v>200</v>
      </c>
      <c r="M89" t="s">
        <v>255</v>
      </c>
      <c r="N89" t="s">
        <v>51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255</v>
      </c>
      <c r="AH89" t="s">
        <v>51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34.700000000000003</v>
      </c>
      <c r="AU89">
        <f>$H$89*$AA$89</f>
        <v>34.700000000000003</v>
      </c>
      <c r="AV89">
        <f>$H$89*$AB$89</f>
        <v>34.700000000000003</v>
      </c>
      <c r="AW89">
        <f>$H$89*$AC$89</f>
        <v>34.700000000000003</v>
      </c>
      <c r="AX89">
        <f>$H$89*$AD$89</f>
        <v>34.700000000000003</v>
      </c>
      <c r="AY89">
        <f>$H$89*$AE$89</f>
        <v>34.700000000000003</v>
      </c>
      <c r="AZ89">
        <f>$H$89*$AF$89</f>
        <v>34.700000000000003</v>
      </c>
    </row>
    <row r="90" spans="1:52" x14ac:dyDescent="0.25">
      <c r="A90">
        <v>135</v>
      </c>
      <c r="B90" t="s">
        <v>255</v>
      </c>
      <c r="C90" t="s">
        <v>444</v>
      </c>
      <c r="D90">
        <v>3</v>
      </c>
      <c r="E90">
        <v>112.11</v>
      </c>
      <c r="F90" t="s">
        <v>294</v>
      </c>
      <c r="G90">
        <v>37.369999999999997</v>
      </c>
      <c r="H90">
        <v>134.53</v>
      </c>
      <c r="I90" t="s">
        <v>440</v>
      </c>
      <c r="J90" t="s">
        <v>445</v>
      </c>
      <c r="K90" t="s">
        <v>577</v>
      </c>
      <c r="L90" t="s">
        <v>200</v>
      </c>
      <c r="M90" t="s">
        <v>255</v>
      </c>
      <c r="N90" t="s">
        <v>51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255</v>
      </c>
      <c r="AH90" t="s">
        <v>51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134.53</v>
      </c>
      <c r="AU90">
        <f>$H$90*$AA$90</f>
        <v>134.53</v>
      </c>
      <c r="AV90">
        <f>$H$90*$AB$90</f>
        <v>134.53</v>
      </c>
      <c r="AW90">
        <f>$H$90*$AC$90</f>
        <v>134.53</v>
      </c>
      <c r="AX90">
        <f>$H$90*$AD$90</f>
        <v>134.53</v>
      </c>
      <c r="AY90">
        <f>$H$90*$AE$90</f>
        <v>134.53</v>
      </c>
      <c r="AZ90">
        <f>$H$90*$AF$90</f>
        <v>134.53</v>
      </c>
    </row>
    <row r="91" spans="1:52" x14ac:dyDescent="0.25">
      <c r="A91">
        <v>136</v>
      </c>
      <c r="B91" t="s">
        <v>255</v>
      </c>
      <c r="C91" t="s">
        <v>446</v>
      </c>
      <c r="D91">
        <v>1</v>
      </c>
      <c r="E91">
        <v>176.94</v>
      </c>
      <c r="F91" t="s">
        <v>299</v>
      </c>
      <c r="G91">
        <v>176.94</v>
      </c>
      <c r="H91">
        <v>212.32</v>
      </c>
      <c r="I91" t="s">
        <v>317</v>
      </c>
      <c r="J91" t="s">
        <v>447</v>
      </c>
      <c r="K91" t="s">
        <v>578</v>
      </c>
      <c r="L91" t="s">
        <v>200</v>
      </c>
      <c r="M91" t="s">
        <v>255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255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212.32</v>
      </c>
      <c r="AV91">
        <f>$H$91*$AB$91</f>
        <v>212.32</v>
      </c>
      <c r="AW91">
        <f>$H$91*$AC$91</f>
        <v>212.32</v>
      </c>
      <c r="AX91">
        <f>$H$91*$AD$91</f>
        <v>212.32</v>
      </c>
      <c r="AY91">
        <f>$H$91*$AE$91</f>
        <v>212.32</v>
      </c>
      <c r="AZ91">
        <f>$H$91*$AF$91</f>
        <v>212.32</v>
      </c>
    </row>
    <row r="92" spans="1:52" x14ac:dyDescent="0.25">
      <c r="A92">
        <v>137</v>
      </c>
      <c r="B92" t="s">
        <v>255</v>
      </c>
      <c r="C92" t="s">
        <v>417</v>
      </c>
      <c r="D92">
        <v>0.75</v>
      </c>
      <c r="E92">
        <v>412.99</v>
      </c>
      <c r="F92" t="s">
        <v>299</v>
      </c>
      <c r="G92">
        <v>550.65</v>
      </c>
      <c r="H92">
        <v>495.59</v>
      </c>
      <c r="I92" t="s">
        <v>317</v>
      </c>
      <c r="J92" t="s">
        <v>418</v>
      </c>
      <c r="K92" t="s">
        <v>564</v>
      </c>
      <c r="L92" t="s">
        <v>200</v>
      </c>
      <c r="M92" t="s">
        <v>255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255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495.59</v>
      </c>
      <c r="AV92">
        <f>$H$92*$AB$92</f>
        <v>495.59</v>
      </c>
      <c r="AW92">
        <f>$H$92*$AC$92</f>
        <v>495.59</v>
      </c>
      <c r="AX92">
        <f>$H$92*$AD$92</f>
        <v>495.59</v>
      </c>
      <c r="AY92">
        <f>$H$92*$AE$92</f>
        <v>495.59</v>
      </c>
      <c r="AZ92">
        <f>$H$92*$AF$92</f>
        <v>495.59</v>
      </c>
    </row>
    <row r="93" spans="1:52" x14ac:dyDescent="0.25">
      <c r="A93">
        <v>138</v>
      </c>
      <c r="B93" t="s">
        <v>255</v>
      </c>
      <c r="C93" t="s">
        <v>417</v>
      </c>
      <c r="D93">
        <v>0.25</v>
      </c>
      <c r="E93">
        <v>137.66</v>
      </c>
      <c r="F93" t="s">
        <v>299</v>
      </c>
      <c r="G93">
        <v>550.65</v>
      </c>
      <c r="H93">
        <v>165.2</v>
      </c>
      <c r="I93" t="s">
        <v>317</v>
      </c>
      <c r="J93" t="s">
        <v>418</v>
      </c>
      <c r="K93" t="s">
        <v>564</v>
      </c>
      <c r="L93" t="s">
        <v>200</v>
      </c>
      <c r="M93" t="s">
        <v>255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255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165.2</v>
      </c>
      <c r="AV93">
        <f>$H$93*$AB$93</f>
        <v>165.2</v>
      </c>
      <c r="AW93">
        <f>$H$93*$AC$93</f>
        <v>165.2</v>
      </c>
      <c r="AX93">
        <f>$H$93*$AD$93</f>
        <v>165.2</v>
      </c>
      <c r="AY93">
        <f>$H$93*$AE$93</f>
        <v>165.2</v>
      </c>
      <c r="AZ93">
        <f>$H$93*$AF$93</f>
        <v>165.2</v>
      </c>
    </row>
    <row r="94" spans="1:52" x14ac:dyDescent="0.25">
      <c r="A94">
        <v>139</v>
      </c>
      <c r="B94" t="s">
        <v>255</v>
      </c>
      <c r="C94" t="s">
        <v>448</v>
      </c>
      <c r="D94">
        <v>1</v>
      </c>
      <c r="E94">
        <v>198.39</v>
      </c>
      <c r="F94" t="s">
        <v>299</v>
      </c>
      <c r="G94">
        <v>198.39</v>
      </c>
      <c r="H94">
        <v>238.07</v>
      </c>
      <c r="I94" t="s">
        <v>317</v>
      </c>
      <c r="J94" t="s">
        <v>449</v>
      </c>
      <c r="K94" t="s">
        <v>579</v>
      </c>
      <c r="L94" t="s">
        <v>200</v>
      </c>
      <c r="M94" t="s">
        <v>255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255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238.07</v>
      </c>
      <c r="AV94">
        <f>$H$94*$AB$94</f>
        <v>238.07</v>
      </c>
      <c r="AW94">
        <f>$H$94*$AC$94</f>
        <v>238.07</v>
      </c>
      <c r="AX94">
        <f>$H$94*$AD$94</f>
        <v>238.07</v>
      </c>
      <c r="AY94">
        <f>$H$94*$AE$94</f>
        <v>238.07</v>
      </c>
      <c r="AZ94">
        <f>$H$94*$AF$94</f>
        <v>238.07</v>
      </c>
    </row>
    <row r="95" spans="1:52" x14ac:dyDescent="0.25">
      <c r="A95">
        <v>140</v>
      </c>
      <c r="B95" t="s">
        <v>255</v>
      </c>
      <c r="C95" t="s">
        <v>324</v>
      </c>
      <c r="D95">
        <v>188</v>
      </c>
      <c r="E95">
        <v>184.24</v>
      </c>
      <c r="F95" t="s">
        <v>313</v>
      </c>
      <c r="G95">
        <v>0.98</v>
      </c>
      <c r="H95">
        <v>221.08</v>
      </c>
      <c r="I95" t="s">
        <v>295</v>
      </c>
      <c r="J95" t="s">
        <v>325</v>
      </c>
      <c r="K95" t="s">
        <v>518</v>
      </c>
      <c r="L95" t="s">
        <v>200</v>
      </c>
      <c r="M95" t="s">
        <v>255</v>
      </c>
      <c r="N95" t="s">
        <v>51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255</v>
      </c>
      <c r="AH95" t="s">
        <v>51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221.08</v>
      </c>
      <c r="AO95">
        <f>$H$95*$U$95</f>
        <v>221.08</v>
      </c>
      <c r="AP95">
        <f>$H$95*$V$95</f>
        <v>221.08</v>
      </c>
      <c r="AQ95">
        <f>$H$95*$W$95</f>
        <v>221.08</v>
      </c>
      <c r="AR95">
        <f>$H$95*$X$95</f>
        <v>221.08</v>
      </c>
      <c r="AS95">
        <f>$H$95*$Y$95</f>
        <v>221.08</v>
      </c>
      <c r="AT95">
        <f>$H$95*$Z$95</f>
        <v>221.08</v>
      </c>
      <c r="AU95">
        <f>$H$95*$AA$95</f>
        <v>221.08</v>
      </c>
      <c r="AV95">
        <f>$H$95*$AB$95</f>
        <v>221.08</v>
      </c>
      <c r="AW95">
        <f>$H$95*$AC$95</f>
        <v>221.08</v>
      </c>
      <c r="AX95">
        <f>$H$95*$AD$95</f>
        <v>221.08</v>
      </c>
      <c r="AY95">
        <f>$H$95*$AE$95</f>
        <v>221.08</v>
      </c>
      <c r="AZ95">
        <f>$H$95*$AF$95</f>
        <v>221.08</v>
      </c>
    </row>
    <row r="96" spans="1:52" x14ac:dyDescent="0.25">
      <c r="A96">
        <v>141</v>
      </c>
      <c r="B96" t="s">
        <v>255</v>
      </c>
      <c r="C96" t="s">
        <v>326</v>
      </c>
      <c r="D96">
        <v>188</v>
      </c>
      <c r="E96">
        <v>501.96</v>
      </c>
      <c r="F96" t="s">
        <v>313</v>
      </c>
      <c r="G96">
        <v>2.67</v>
      </c>
      <c r="H96">
        <v>602.36</v>
      </c>
      <c r="I96" t="s">
        <v>327</v>
      </c>
      <c r="J96" t="s">
        <v>328</v>
      </c>
      <c r="K96" t="s">
        <v>519</v>
      </c>
      <c r="L96" t="s">
        <v>200</v>
      </c>
      <c r="M96" t="s">
        <v>255</v>
      </c>
      <c r="N96" t="s">
        <v>51</v>
      </c>
      <c r="O96" t="s">
        <v>13</v>
      </c>
      <c r="P96">
        <v>0</v>
      </c>
      <c r="Q96">
        <v>0</v>
      </c>
      <c r="R96">
        <v>0</v>
      </c>
      <c r="S96">
        <v>0.25</v>
      </c>
      <c r="T96">
        <v>0.25</v>
      </c>
      <c r="U96">
        <v>0.25</v>
      </c>
      <c r="V96">
        <v>0.25</v>
      </c>
      <c r="W96">
        <v>0.25</v>
      </c>
      <c r="X96">
        <v>0.5</v>
      </c>
      <c r="Y96">
        <v>0.5</v>
      </c>
      <c r="Z96">
        <v>0.5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255</v>
      </c>
      <c r="AH96" t="s">
        <v>51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150.59</v>
      </c>
      <c r="AN96">
        <f>$H$96*$T$96</f>
        <v>150.59</v>
      </c>
      <c r="AO96">
        <f>$H$96*$U$96</f>
        <v>150.59</v>
      </c>
      <c r="AP96">
        <f>$H$96*$V$96</f>
        <v>150.59</v>
      </c>
      <c r="AQ96">
        <f>$H$96*$W$96</f>
        <v>150.59</v>
      </c>
      <c r="AR96">
        <f>$H$96*$X$96</f>
        <v>301.18</v>
      </c>
      <c r="AS96">
        <f>$H$96*$Y$96</f>
        <v>301.18</v>
      </c>
      <c r="AT96">
        <f>$H$96*$Z$96</f>
        <v>301.18</v>
      </c>
      <c r="AU96">
        <f>$H$96*$AA$96</f>
        <v>602.36</v>
      </c>
      <c r="AV96">
        <f>$H$96*$AB$96</f>
        <v>602.36</v>
      </c>
      <c r="AW96">
        <f>$H$96*$AC$96</f>
        <v>602.36</v>
      </c>
      <c r="AX96">
        <f>$H$96*$AD$96</f>
        <v>602.36</v>
      </c>
      <c r="AY96">
        <f>$H$96*$AE$96</f>
        <v>602.36</v>
      </c>
      <c r="AZ96">
        <f>$H$96*$AF$96</f>
        <v>602.36</v>
      </c>
    </row>
    <row r="97" spans="1:52" x14ac:dyDescent="0.25">
      <c r="A97">
        <v>142</v>
      </c>
      <c r="B97" t="s">
        <v>255</v>
      </c>
      <c r="C97" t="s">
        <v>383</v>
      </c>
      <c r="D97">
        <v>11.75</v>
      </c>
      <c r="E97">
        <v>10.69</v>
      </c>
      <c r="F97" t="s">
        <v>294</v>
      </c>
      <c r="G97">
        <v>0.91</v>
      </c>
      <c r="H97">
        <v>12.83</v>
      </c>
      <c r="I97" t="s">
        <v>295</v>
      </c>
      <c r="J97" t="s">
        <v>384</v>
      </c>
      <c r="K97" t="s">
        <v>547</v>
      </c>
      <c r="L97" t="s">
        <v>200</v>
      </c>
      <c r="M97" t="s">
        <v>255</v>
      </c>
      <c r="N97" t="s">
        <v>51</v>
      </c>
      <c r="O97" t="s">
        <v>13</v>
      </c>
      <c r="P97">
        <v>0</v>
      </c>
      <c r="Q97">
        <v>0</v>
      </c>
      <c r="R97">
        <v>0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255</v>
      </c>
      <c r="AH97" t="s">
        <v>51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12.83</v>
      </c>
      <c r="AN97">
        <f>$H$97*$T$97</f>
        <v>12.83</v>
      </c>
      <c r="AO97">
        <f>$H$97*$U$97</f>
        <v>12.83</v>
      </c>
      <c r="AP97">
        <f>$H$97*$V$97</f>
        <v>12.83</v>
      </c>
      <c r="AQ97">
        <f>$H$97*$W$97</f>
        <v>12.83</v>
      </c>
      <c r="AR97">
        <f>$H$97*$X$97</f>
        <v>12.83</v>
      </c>
      <c r="AS97">
        <f>$H$97*$Y$97</f>
        <v>12.83</v>
      </c>
      <c r="AT97">
        <f>$H$97*$Z$97</f>
        <v>12.83</v>
      </c>
      <c r="AU97">
        <f>$H$97*$AA$97</f>
        <v>12.83</v>
      </c>
      <c r="AV97">
        <f>$H$97*$AB$97</f>
        <v>12.83</v>
      </c>
      <c r="AW97">
        <f>$H$97*$AC$97</f>
        <v>12.83</v>
      </c>
      <c r="AX97">
        <f>$H$97*$AD$97</f>
        <v>12.83</v>
      </c>
      <c r="AY97">
        <f>$H$97*$AE$97</f>
        <v>12.83</v>
      </c>
      <c r="AZ97">
        <f>$H$97*$AF$97</f>
        <v>12.83</v>
      </c>
    </row>
    <row r="98" spans="1:52" x14ac:dyDescent="0.25">
      <c r="A98">
        <v>143</v>
      </c>
      <c r="B98" t="s">
        <v>255</v>
      </c>
      <c r="C98" t="s">
        <v>385</v>
      </c>
      <c r="D98">
        <v>11.75</v>
      </c>
      <c r="E98">
        <v>60.16</v>
      </c>
      <c r="F98" t="s">
        <v>294</v>
      </c>
      <c r="G98">
        <v>5.12</v>
      </c>
      <c r="H98">
        <v>72.2</v>
      </c>
      <c r="I98" t="s">
        <v>298</v>
      </c>
      <c r="J98" t="s">
        <v>386</v>
      </c>
      <c r="K98" t="s">
        <v>548</v>
      </c>
      <c r="L98" t="s">
        <v>200</v>
      </c>
      <c r="M98" t="s">
        <v>255</v>
      </c>
      <c r="N98" t="s">
        <v>51</v>
      </c>
      <c r="O98" t="s">
        <v>13</v>
      </c>
      <c r="P98">
        <v>0</v>
      </c>
      <c r="Q98">
        <v>0</v>
      </c>
      <c r="R98">
        <v>0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255</v>
      </c>
      <c r="AH98" t="s">
        <v>51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72.2</v>
      </c>
      <c r="AN98">
        <f>$H$98*$T$98</f>
        <v>72.2</v>
      </c>
      <c r="AO98">
        <f>$H$98*$U$98</f>
        <v>72.2</v>
      </c>
      <c r="AP98">
        <f>$H$98*$V$98</f>
        <v>72.2</v>
      </c>
      <c r="AQ98">
        <f>$H$98*$W$98</f>
        <v>72.2</v>
      </c>
      <c r="AR98">
        <f>$H$98*$X$98</f>
        <v>72.2</v>
      </c>
      <c r="AS98">
        <f>$H$98*$Y$98</f>
        <v>72.2</v>
      </c>
      <c r="AT98">
        <f>$H$98*$Z$98</f>
        <v>72.2</v>
      </c>
      <c r="AU98">
        <f>$H$98*$AA$98</f>
        <v>72.2</v>
      </c>
      <c r="AV98">
        <f>$H$98*$AB$98</f>
        <v>72.2</v>
      </c>
      <c r="AW98">
        <f>$H$98*$AC$98</f>
        <v>72.2</v>
      </c>
      <c r="AX98">
        <f>$H$98*$AD$98</f>
        <v>72.2</v>
      </c>
      <c r="AY98">
        <f>$H$98*$AE$98</f>
        <v>72.2</v>
      </c>
      <c r="AZ98">
        <f>$H$98*$AF$98</f>
        <v>72.2</v>
      </c>
    </row>
    <row r="99" spans="1:52" x14ac:dyDescent="0.25">
      <c r="A99">
        <v>144</v>
      </c>
      <c r="B99" t="s">
        <v>255</v>
      </c>
      <c r="C99" t="s">
        <v>326</v>
      </c>
      <c r="D99">
        <v>32.630000000000003</v>
      </c>
      <c r="E99">
        <v>87.12</v>
      </c>
      <c r="F99" t="s">
        <v>313</v>
      </c>
      <c r="G99">
        <v>2.67</v>
      </c>
      <c r="H99">
        <v>104.54</v>
      </c>
      <c r="I99" t="s">
        <v>327</v>
      </c>
      <c r="J99" t="s">
        <v>328</v>
      </c>
      <c r="K99" t="s">
        <v>519</v>
      </c>
      <c r="L99" t="s">
        <v>200</v>
      </c>
      <c r="M99" t="s">
        <v>255</v>
      </c>
      <c r="N99" t="s">
        <v>51</v>
      </c>
      <c r="O99" t="s">
        <v>13</v>
      </c>
      <c r="P99">
        <v>0</v>
      </c>
      <c r="Q99">
        <v>0</v>
      </c>
      <c r="R99">
        <v>0</v>
      </c>
      <c r="S99">
        <v>0.25</v>
      </c>
      <c r="T99">
        <v>0.25</v>
      </c>
      <c r="U99">
        <v>0.25</v>
      </c>
      <c r="V99">
        <v>0.25</v>
      </c>
      <c r="W99">
        <v>0.25</v>
      </c>
      <c r="X99">
        <v>0.5</v>
      </c>
      <c r="Y99">
        <v>0.5</v>
      </c>
      <c r="Z99">
        <v>0.5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255</v>
      </c>
      <c r="AH99" t="s">
        <v>51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26.135000000000002</v>
      </c>
      <c r="AN99">
        <f>$H$99*$T$99</f>
        <v>26.135000000000002</v>
      </c>
      <c r="AO99">
        <f>$H$99*$U$99</f>
        <v>26.135000000000002</v>
      </c>
      <c r="AP99">
        <f>$H$99*$V$99</f>
        <v>26.135000000000002</v>
      </c>
      <c r="AQ99">
        <f>$H$99*$W$99</f>
        <v>26.135000000000002</v>
      </c>
      <c r="AR99">
        <f>$H$99*$X$99</f>
        <v>52.27</v>
      </c>
      <c r="AS99">
        <f>$H$99*$Y$99</f>
        <v>52.27</v>
      </c>
      <c r="AT99">
        <f>$H$99*$Z$99</f>
        <v>52.27</v>
      </c>
      <c r="AU99">
        <f>$H$99*$AA$99</f>
        <v>104.54</v>
      </c>
      <c r="AV99">
        <f>$H$99*$AB$99</f>
        <v>104.54</v>
      </c>
      <c r="AW99">
        <f>$H$99*$AC$99</f>
        <v>104.54</v>
      </c>
      <c r="AX99">
        <f>$H$99*$AD$99</f>
        <v>104.54</v>
      </c>
      <c r="AY99">
        <f>$H$99*$AE$99</f>
        <v>104.54</v>
      </c>
      <c r="AZ99">
        <f>$H$99*$AF$99</f>
        <v>104.54</v>
      </c>
    </row>
    <row r="100" spans="1:52" x14ac:dyDescent="0.25">
      <c r="A100">
        <v>145</v>
      </c>
      <c r="B100" t="s">
        <v>255</v>
      </c>
      <c r="C100" t="s">
        <v>387</v>
      </c>
      <c r="D100">
        <v>32.630000000000003</v>
      </c>
      <c r="E100">
        <v>20.56</v>
      </c>
      <c r="F100" t="s">
        <v>313</v>
      </c>
      <c r="G100">
        <v>0.63</v>
      </c>
      <c r="H100">
        <v>24.68</v>
      </c>
      <c r="I100" t="s">
        <v>295</v>
      </c>
      <c r="J100" t="s">
        <v>388</v>
      </c>
      <c r="K100" t="s">
        <v>549</v>
      </c>
      <c r="L100" t="s">
        <v>200</v>
      </c>
      <c r="M100" t="s">
        <v>255</v>
      </c>
      <c r="N100" t="s">
        <v>51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1</v>
      </c>
      <c r="AE100">
        <v>1</v>
      </c>
      <c r="AF100">
        <v>1</v>
      </c>
      <c r="AG100" t="s">
        <v>255</v>
      </c>
      <c r="AH100" t="s">
        <v>51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0</v>
      </c>
      <c r="AV100">
        <f>$H$100*$AB$100</f>
        <v>0</v>
      </c>
      <c r="AW100">
        <f>$H$100*$AC$100</f>
        <v>0</v>
      </c>
      <c r="AX100">
        <f>$H$100*$AD$100</f>
        <v>24.68</v>
      </c>
      <c r="AY100">
        <f>$H$100*$AE$100</f>
        <v>24.68</v>
      </c>
      <c r="AZ100">
        <f>$H$100*$AF$100</f>
        <v>24.68</v>
      </c>
    </row>
    <row r="101" spans="1:52" x14ac:dyDescent="0.25">
      <c r="A101">
        <v>146</v>
      </c>
      <c r="B101" t="s">
        <v>255</v>
      </c>
      <c r="C101" t="s">
        <v>389</v>
      </c>
      <c r="D101">
        <v>32.630000000000003</v>
      </c>
      <c r="E101">
        <v>22.51</v>
      </c>
      <c r="F101" t="s">
        <v>313</v>
      </c>
      <c r="G101">
        <v>0.69</v>
      </c>
      <c r="H101">
        <v>27.01</v>
      </c>
      <c r="I101" t="s">
        <v>295</v>
      </c>
      <c r="J101" t="s">
        <v>390</v>
      </c>
      <c r="K101" t="s">
        <v>550</v>
      </c>
      <c r="L101" t="s">
        <v>200</v>
      </c>
      <c r="M101" t="s">
        <v>255</v>
      </c>
      <c r="N101" t="s">
        <v>51</v>
      </c>
      <c r="O101" t="s">
        <v>13</v>
      </c>
      <c r="P101">
        <v>0</v>
      </c>
      <c r="Q101">
        <v>0</v>
      </c>
      <c r="R101">
        <v>0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255</v>
      </c>
      <c r="AH101" t="s">
        <v>51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27.01</v>
      </c>
      <c r="AN101">
        <f>$H$101*$T$101</f>
        <v>27.01</v>
      </c>
      <c r="AO101">
        <f>$H$101*$U$101</f>
        <v>27.01</v>
      </c>
      <c r="AP101">
        <f>$H$101*$V$101</f>
        <v>27.01</v>
      </c>
      <c r="AQ101">
        <f>$H$101*$W$101</f>
        <v>27.01</v>
      </c>
      <c r="AR101">
        <f>$H$101*$X$101</f>
        <v>27.01</v>
      </c>
      <c r="AS101">
        <f>$H$101*$Y$101</f>
        <v>27.01</v>
      </c>
      <c r="AT101">
        <f>$H$101*$Z$101</f>
        <v>27.01</v>
      </c>
      <c r="AU101">
        <f>$H$101*$AA$101</f>
        <v>27.01</v>
      </c>
      <c r="AV101">
        <f>$H$101*$AB$101</f>
        <v>27.01</v>
      </c>
      <c r="AW101">
        <f>$H$101*$AC$101</f>
        <v>27.01</v>
      </c>
      <c r="AX101">
        <f>$H$101*$AD$101</f>
        <v>27.01</v>
      </c>
      <c r="AY101">
        <f>$H$101*$AE$101</f>
        <v>27.01</v>
      </c>
      <c r="AZ101">
        <f>$H$101*$AF$101</f>
        <v>27.01</v>
      </c>
    </row>
    <row r="102" spans="1:52" x14ac:dyDescent="0.25">
      <c r="A102">
        <v>147</v>
      </c>
      <c r="B102" t="s">
        <v>255</v>
      </c>
      <c r="C102" t="s">
        <v>391</v>
      </c>
      <c r="D102">
        <v>6.85</v>
      </c>
      <c r="E102">
        <v>38.979999999999997</v>
      </c>
      <c r="F102" t="s">
        <v>313</v>
      </c>
      <c r="G102">
        <v>5.69</v>
      </c>
      <c r="H102">
        <v>46.78</v>
      </c>
      <c r="I102" t="s">
        <v>392</v>
      </c>
      <c r="J102" t="s">
        <v>393</v>
      </c>
      <c r="K102" t="s">
        <v>551</v>
      </c>
      <c r="L102" t="s">
        <v>200</v>
      </c>
      <c r="M102" t="s">
        <v>255</v>
      </c>
      <c r="N102" t="s">
        <v>51</v>
      </c>
      <c r="O102" t="s">
        <v>13</v>
      </c>
      <c r="P102">
        <v>0</v>
      </c>
      <c r="Q102">
        <v>0</v>
      </c>
      <c r="R102">
        <v>0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255</v>
      </c>
      <c r="AH102" t="s">
        <v>51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46.78</v>
      </c>
      <c r="AN102">
        <f>$H$102*$T$102</f>
        <v>46.78</v>
      </c>
      <c r="AO102">
        <f>$H$102*$U$102</f>
        <v>46.78</v>
      </c>
      <c r="AP102">
        <f>$H$102*$V$102</f>
        <v>46.78</v>
      </c>
      <c r="AQ102">
        <f>$H$102*$W$102</f>
        <v>46.78</v>
      </c>
      <c r="AR102">
        <f>$H$102*$X$102</f>
        <v>46.78</v>
      </c>
      <c r="AS102">
        <f>$H$102*$Y$102</f>
        <v>46.78</v>
      </c>
      <c r="AT102">
        <f>$H$102*$Z$102</f>
        <v>46.78</v>
      </c>
      <c r="AU102">
        <f>$H$102*$AA$102</f>
        <v>46.78</v>
      </c>
      <c r="AV102">
        <f>$H$102*$AB$102</f>
        <v>46.78</v>
      </c>
      <c r="AW102">
        <f>$H$102*$AC$102</f>
        <v>46.78</v>
      </c>
      <c r="AX102">
        <f>$H$102*$AD$102</f>
        <v>46.78</v>
      </c>
      <c r="AY102">
        <f>$H$102*$AE$102</f>
        <v>46.78</v>
      </c>
      <c r="AZ102">
        <f>$H$102*$AF$102</f>
        <v>46.78</v>
      </c>
    </row>
    <row r="103" spans="1:52" x14ac:dyDescent="0.25">
      <c r="A103">
        <v>148</v>
      </c>
      <c r="B103" t="s">
        <v>255</v>
      </c>
      <c r="C103" t="s">
        <v>394</v>
      </c>
      <c r="D103">
        <v>7.5</v>
      </c>
      <c r="E103">
        <v>44.4</v>
      </c>
      <c r="F103" t="s">
        <v>313</v>
      </c>
      <c r="G103">
        <v>5.92</v>
      </c>
      <c r="H103">
        <v>53.28</v>
      </c>
      <c r="I103" t="s">
        <v>392</v>
      </c>
      <c r="J103" t="s">
        <v>334</v>
      </c>
      <c r="K103" t="s">
        <v>552</v>
      </c>
      <c r="L103" t="s">
        <v>200</v>
      </c>
      <c r="M103" t="s">
        <v>255</v>
      </c>
      <c r="N103" t="s">
        <v>51</v>
      </c>
      <c r="O103" t="s">
        <v>13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255</v>
      </c>
      <c r="AH103" t="s">
        <v>51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53.28</v>
      </c>
      <c r="AN103">
        <f>$H$103*$T$103</f>
        <v>53.28</v>
      </c>
      <c r="AO103">
        <f>$H$103*$U$103</f>
        <v>53.28</v>
      </c>
      <c r="AP103">
        <f>$H$103*$V$103</f>
        <v>53.28</v>
      </c>
      <c r="AQ103">
        <f>$H$103*$W$103</f>
        <v>53.28</v>
      </c>
      <c r="AR103">
        <f>$H$103*$X$103</f>
        <v>53.28</v>
      </c>
      <c r="AS103">
        <f>$H$103*$Y$103</f>
        <v>53.28</v>
      </c>
      <c r="AT103">
        <f>$H$103*$Z$103</f>
        <v>53.28</v>
      </c>
      <c r="AU103">
        <f>$H$103*$AA$103</f>
        <v>53.28</v>
      </c>
      <c r="AV103">
        <f>$H$103*$AB$103</f>
        <v>53.28</v>
      </c>
      <c r="AW103">
        <f>$H$103*$AC$103</f>
        <v>53.28</v>
      </c>
      <c r="AX103">
        <f>$H$103*$AD$103</f>
        <v>53.28</v>
      </c>
      <c r="AY103">
        <f>$H$103*$AE$103</f>
        <v>53.28</v>
      </c>
      <c r="AZ103">
        <f>$H$103*$AF$103</f>
        <v>53.28</v>
      </c>
    </row>
    <row r="104" spans="1:52" x14ac:dyDescent="0.25">
      <c r="A104">
        <v>149</v>
      </c>
      <c r="B104" t="s">
        <v>255</v>
      </c>
      <c r="C104" t="s">
        <v>395</v>
      </c>
      <c r="D104">
        <v>8.1300000000000008</v>
      </c>
      <c r="E104">
        <v>44.39</v>
      </c>
      <c r="F104" t="s">
        <v>313</v>
      </c>
      <c r="G104">
        <v>5.46</v>
      </c>
      <c r="H104">
        <v>53.27</v>
      </c>
      <c r="I104" t="s">
        <v>396</v>
      </c>
      <c r="J104" t="s">
        <v>397</v>
      </c>
      <c r="K104" t="s">
        <v>553</v>
      </c>
      <c r="L104" t="s">
        <v>200</v>
      </c>
      <c r="M104" t="s">
        <v>255</v>
      </c>
      <c r="N104" t="s">
        <v>51</v>
      </c>
      <c r="O104" t="s">
        <v>13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255</v>
      </c>
      <c r="AH104" t="s">
        <v>51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53.27</v>
      </c>
      <c r="AN104">
        <f>$H$104*$T$104</f>
        <v>53.27</v>
      </c>
      <c r="AO104">
        <f>$H$104*$U$104</f>
        <v>53.27</v>
      </c>
      <c r="AP104">
        <f>$H$104*$V$104</f>
        <v>53.27</v>
      </c>
      <c r="AQ104">
        <f>$H$104*$W$104</f>
        <v>53.27</v>
      </c>
      <c r="AR104">
        <f>$H$104*$X$104</f>
        <v>53.27</v>
      </c>
      <c r="AS104">
        <f>$H$104*$Y$104</f>
        <v>53.27</v>
      </c>
      <c r="AT104">
        <f>$H$104*$Z$104</f>
        <v>53.27</v>
      </c>
      <c r="AU104">
        <f>$H$104*$AA$104</f>
        <v>53.27</v>
      </c>
      <c r="AV104">
        <f>$H$104*$AB$104</f>
        <v>53.27</v>
      </c>
      <c r="AW104">
        <f>$H$104*$AC$104</f>
        <v>53.27</v>
      </c>
      <c r="AX104">
        <f>$H$104*$AD$104</f>
        <v>53.27</v>
      </c>
      <c r="AY104">
        <f>$H$104*$AE$104</f>
        <v>53.27</v>
      </c>
      <c r="AZ104">
        <f>$H$104*$AF$104</f>
        <v>53.27</v>
      </c>
    </row>
    <row r="105" spans="1:52" x14ac:dyDescent="0.25">
      <c r="A105">
        <v>150</v>
      </c>
      <c r="B105" t="s">
        <v>255</v>
      </c>
      <c r="C105" t="s">
        <v>398</v>
      </c>
      <c r="D105">
        <v>8.1300000000000008</v>
      </c>
      <c r="E105">
        <v>29.11</v>
      </c>
      <c r="F105" t="s">
        <v>313</v>
      </c>
      <c r="G105">
        <v>3.58</v>
      </c>
      <c r="H105">
        <v>34.93</v>
      </c>
      <c r="I105" t="s">
        <v>396</v>
      </c>
      <c r="J105" t="s">
        <v>399</v>
      </c>
      <c r="K105" t="s">
        <v>554</v>
      </c>
      <c r="L105" t="s">
        <v>200</v>
      </c>
      <c r="M105" t="s">
        <v>255</v>
      </c>
      <c r="N105" t="s">
        <v>51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255</v>
      </c>
      <c r="AH105" t="s">
        <v>51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34.93</v>
      </c>
      <c r="AN105">
        <f>$H$105*$T$105</f>
        <v>34.93</v>
      </c>
      <c r="AO105">
        <f>$H$105*$U$105</f>
        <v>34.93</v>
      </c>
      <c r="AP105">
        <f>$H$105*$V$105</f>
        <v>34.93</v>
      </c>
      <c r="AQ105">
        <f>$H$105*$W$105</f>
        <v>34.93</v>
      </c>
      <c r="AR105">
        <f>$H$105*$X$105</f>
        <v>34.93</v>
      </c>
      <c r="AS105">
        <f>$H$105*$Y$105</f>
        <v>34.93</v>
      </c>
      <c r="AT105">
        <f>$H$105*$Z$105</f>
        <v>34.93</v>
      </c>
      <c r="AU105">
        <f>$H$105*$AA$105</f>
        <v>34.93</v>
      </c>
      <c r="AV105">
        <f>$H$105*$AB$105</f>
        <v>34.93</v>
      </c>
      <c r="AW105">
        <f>$H$105*$AC$105</f>
        <v>34.93</v>
      </c>
      <c r="AX105">
        <f>$H$105*$AD$105</f>
        <v>34.93</v>
      </c>
      <c r="AY105">
        <f>$H$105*$AE$105</f>
        <v>34.93</v>
      </c>
      <c r="AZ105">
        <f>$H$105*$AF$105</f>
        <v>34.93</v>
      </c>
    </row>
    <row r="106" spans="1:52" x14ac:dyDescent="0.25">
      <c r="A106">
        <v>151</v>
      </c>
      <c r="B106" t="s">
        <v>255</v>
      </c>
      <c r="C106" t="s">
        <v>400</v>
      </c>
      <c r="D106">
        <v>8.1300000000000008</v>
      </c>
      <c r="E106">
        <v>70.73</v>
      </c>
      <c r="F106" t="s">
        <v>313</v>
      </c>
      <c r="G106">
        <v>8.6999999999999993</v>
      </c>
      <c r="H106">
        <v>84.87</v>
      </c>
      <c r="I106" t="s">
        <v>396</v>
      </c>
      <c r="J106" t="s">
        <v>334</v>
      </c>
      <c r="K106" t="s">
        <v>555</v>
      </c>
      <c r="L106" t="s">
        <v>200</v>
      </c>
      <c r="M106" t="s">
        <v>255</v>
      </c>
      <c r="N106" t="s">
        <v>51</v>
      </c>
      <c r="O106" t="s">
        <v>13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255</v>
      </c>
      <c r="AH106" t="s">
        <v>51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84.87</v>
      </c>
      <c r="AN106">
        <f>$H$106*$T$106</f>
        <v>84.87</v>
      </c>
      <c r="AO106">
        <f>$H$106*$U$106</f>
        <v>84.87</v>
      </c>
      <c r="AP106">
        <f>$H$106*$V$106</f>
        <v>84.87</v>
      </c>
      <c r="AQ106">
        <f>$H$106*$W$106</f>
        <v>84.87</v>
      </c>
      <c r="AR106">
        <f>$H$106*$X$106</f>
        <v>84.87</v>
      </c>
      <c r="AS106">
        <f>$H$106*$Y$106</f>
        <v>84.87</v>
      </c>
      <c r="AT106">
        <f>$H$106*$Z$106</f>
        <v>84.87</v>
      </c>
      <c r="AU106">
        <f>$H$106*$AA$106</f>
        <v>84.87</v>
      </c>
      <c r="AV106">
        <f>$H$106*$AB$106</f>
        <v>84.87</v>
      </c>
      <c r="AW106">
        <f>$H$106*$AC$106</f>
        <v>84.87</v>
      </c>
      <c r="AX106">
        <f>$H$106*$AD$106</f>
        <v>84.87</v>
      </c>
      <c r="AY106">
        <f>$H$106*$AE$106</f>
        <v>84.87</v>
      </c>
      <c r="AZ106">
        <f>$H$106*$AF$106</f>
        <v>84.87</v>
      </c>
    </row>
    <row r="107" spans="1:52" x14ac:dyDescent="0.25">
      <c r="A107">
        <v>152</v>
      </c>
      <c r="B107" t="s">
        <v>255</v>
      </c>
      <c r="C107" t="s">
        <v>401</v>
      </c>
      <c r="D107">
        <v>7.5</v>
      </c>
      <c r="E107">
        <v>5.93</v>
      </c>
      <c r="F107" t="s">
        <v>313</v>
      </c>
      <c r="G107">
        <v>0.79</v>
      </c>
      <c r="H107">
        <v>7.11</v>
      </c>
      <c r="I107" t="s">
        <v>339</v>
      </c>
      <c r="J107" t="s">
        <v>402</v>
      </c>
      <c r="K107" t="s">
        <v>556</v>
      </c>
      <c r="L107" t="s">
        <v>200</v>
      </c>
      <c r="M107" t="s">
        <v>255</v>
      </c>
      <c r="N107" t="s">
        <v>51</v>
      </c>
      <c r="O107" t="s">
        <v>13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255</v>
      </c>
      <c r="AH107" t="s">
        <v>51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7.11</v>
      </c>
      <c r="AN107">
        <f>$H$107*$T$107</f>
        <v>7.11</v>
      </c>
      <c r="AO107">
        <f>$H$107*$U$107</f>
        <v>7.11</v>
      </c>
      <c r="AP107">
        <f>$H$107*$V$107</f>
        <v>7.11</v>
      </c>
      <c r="AQ107">
        <f>$H$107*$W$107</f>
        <v>7.11</v>
      </c>
      <c r="AR107">
        <f>$H$107*$X$107</f>
        <v>7.11</v>
      </c>
      <c r="AS107">
        <f>$H$107*$Y$107</f>
        <v>7.11</v>
      </c>
      <c r="AT107">
        <f>$H$107*$Z$107</f>
        <v>7.11</v>
      </c>
      <c r="AU107">
        <f>$H$107*$AA$107</f>
        <v>7.11</v>
      </c>
      <c r="AV107">
        <f>$H$107*$AB$107</f>
        <v>7.11</v>
      </c>
      <c r="AW107">
        <f>$H$107*$AC$107</f>
        <v>7.11</v>
      </c>
      <c r="AX107">
        <f>$H$107*$AD$107</f>
        <v>7.11</v>
      </c>
      <c r="AY107">
        <f>$H$107*$AE$107</f>
        <v>7.11</v>
      </c>
      <c r="AZ107">
        <f>$H$107*$AF$107</f>
        <v>7.11</v>
      </c>
    </row>
    <row r="108" spans="1:52" x14ac:dyDescent="0.25">
      <c r="A108">
        <v>153</v>
      </c>
      <c r="B108" t="s">
        <v>255</v>
      </c>
      <c r="C108" t="s">
        <v>403</v>
      </c>
      <c r="D108">
        <v>7.5</v>
      </c>
      <c r="E108">
        <v>39.979999999999997</v>
      </c>
      <c r="F108" t="s">
        <v>313</v>
      </c>
      <c r="G108">
        <v>5.33</v>
      </c>
      <c r="H108">
        <v>47.98</v>
      </c>
      <c r="I108" t="s">
        <v>339</v>
      </c>
      <c r="J108" t="s">
        <v>334</v>
      </c>
      <c r="K108" t="s">
        <v>557</v>
      </c>
      <c r="L108" t="s">
        <v>200</v>
      </c>
      <c r="M108" t="s">
        <v>255</v>
      </c>
      <c r="N108" t="s">
        <v>51</v>
      </c>
      <c r="O108" t="s">
        <v>13</v>
      </c>
      <c r="P108">
        <v>0</v>
      </c>
      <c r="Q108">
        <v>0</v>
      </c>
      <c r="R108">
        <v>0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255</v>
      </c>
      <c r="AH108" t="s">
        <v>51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47.98</v>
      </c>
      <c r="AN108">
        <f>$H$108*$T$108</f>
        <v>47.98</v>
      </c>
      <c r="AO108">
        <f>$H$108*$U$108</f>
        <v>47.98</v>
      </c>
      <c r="AP108">
        <f>$H$108*$V$108</f>
        <v>47.98</v>
      </c>
      <c r="AQ108">
        <f>$H$108*$W$108</f>
        <v>47.98</v>
      </c>
      <c r="AR108">
        <f>$H$108*$X$108</f>
        <v>47.98</v>
      </c>
      <c r="AS108">
        <f>$H$108*$Y$108</f>
        <v>47.98</v>
      </c>
      <c r="AT108">
        <f>$H$108*$Z$108</f>
        <v>47.98</v>
      </c>
      <c r="AU108">
        <f>$H$108*$AA$108</f>
        <v>47.98</v>
      </c>
      <c r="AV108">
        <f>$H$108*$AB$108</f>
        <v>47.98</v>
      </c>
      <c r="AW108">
        <f>$H$108*$AC$108</f>
        <v>47.98</v>
      </c>
      <c r="AX108">
        <f>$H$108*$AD$108</f>
        <v>47.98</v>
      </c>
      <c r="AY108">
        <f>$H$108*$AE$108</f>
        <v>47.98</v>
      </c>
      <c r="AZ108">
        <f>$H$108*$AF$108</f>
        <v>47.98</v>
      </c>
    </row>
    <row r="109" spans="1:52" x14ac:dyDescent="0.25">
      <c r="A109">
        <v>154</v>
      </c>
      <c r="B109" t="s">
        <v>258</v>
      </c>
      <c r="C109" t="s">
        <v>380</v>
      </c>
      <c r="D109">
        <v>2</v>
      </c>
      <c r="E109">
        <v>26.54</v>
      </c>
      <c r="F109" t="s">
        <v>299</v>
      </c>
      <c r="G109">
        <v>13.27</v>
      </c>
      <c r="H109">
        <v>31.84</v>
      </c>
      <c r="I109" t="s">
        <v>301</v>
      </c>
      <c r="J109" t="s">
        <v>381</v>
      </c>
      <c r="K109" t="s">
        <v>545</v>
      </c>
      <c r="L109" t="s">
        <v>200</v>
      </c>
      <c r="M109" t="s">
        <v>258</v>
      </c>
      <c r="N109" t="s">
        <v>12</v>
      </c>
      <c r="O109" t="s">
        <v>259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258</v>
      </c>
      <c r="AH109" t="s">
        <v>12</v>
      </c>
      <c r="AI109" t="s">
        <v>259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31.84</v>
      </c>
      <c r="AS109">
        <f>$H$109*$Y$109</f>
        <v>31.84</v>
      </c>
      <c r="AT109">
        <f>$H$109*$Z$109</f>
        <v>31.84</v>
      </c>
      <c r="AU109">
        <f>$H$109*$AA$109</f>
        <v>31.84</v>
      </c>
      <c r="AV109">
        <f>$H$109*$AB$109</f>
        <v>31.84</v>
      </c>
      <c r="AW109">
        <f>$H$109*$AC$109</f>
        <v>31.84</v>
      </c>
      <c r="AX109">
        <f>$H$109*$AD$109</f>
        <v>31.84</v>
      </c>
      <c r="AY109">
        <f>$H$109*$AE$109</f>
        <v>31.84</v>
      </c>
      <c r="AZ109">
        <f>$H$109*$AF$109</f>
        <v>31.84</v>
      </c>
    </row>
    <row r="110" spans="1:52" x14ac:dyDescent="0.25">
      <c r="A110">
        <v>155</v>
      </c>
      <c r="B110" t="s">
        <v>258</v>
      </c>
      <c r="C110" t="s">
        <v>437</v>
      </c>
      <c r="D110">
        <v>1</v>
      </c>
      <c r="E110">
        <v>37</v>
      </c>
      <c r="F110" t="s">
        <v>299</v>
      </c>
      <c r="G110">
        <v>37</v>
      </c>
      <c r="H110">
        <v>44.4</v>
      </c>
      <c r="I110" t="s">
        <v>301</v>
      </c>
      <c r="J110" t="s">
        <v>438</v>
      </c>
      <c r="K110" t="s">
        <v>574</v>
      </c>
      <c r="L110" t="s">
        <v>200</v>
      </c>
      <c r="M110" t="s">
        <v>258</v>
      </c>
      <c r="N110" t="s">
        <v>12</v>
      </c>
      <c r="O110" t="s">
        <v>259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0.6</v>
      </c>
      <c r="Y110">
        <v>0.6</v>
      </c>
      <c r="Z110">
        <v>0.6</v>
      </c>
      <c r="AA110">
        <v>0.6</v>
      </c>
      <c r="AB110">
        <v>0.6</v>
      </c>
      <c r="AC110">
        <v>0.6</v>
      </c>
      <c r="AD110">
        <v>1</v>
      </c>
      <c r="AE110">
        <v>1</v>
      </c>
      <c r="AF110">
        <v>1</v>
      </c>
      <c r="AG110" t="s">
        <v>258</v>
      </c>
      <c r="AH110" t="s">
        <v>12</v>
      </c>
      <c r="AI110" t="s">
        <v>259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26.639999999999997</v>
      </c>
      <c r="AS110">
        <f>$H$110*$Y$110</f>
        <v>26.639999999999997</v>
      </c>
      <c r="AT110">
        <f>$H$110*$Z$110</f>
        <v>26.639999999999997</v>
      </c>
      <c r="AU110">
        <f>$H$110*$AA$110</f>
        <v>26.639999999999997</v>
      </c>
      <c r="AV110">
        <f>$H$110*$AB$110</f>
        <v>26.639999999999997</v>
      </c>
      <c r="AW110">
        <f>$H$110*$AC$110</f>
        <v>26.639999999999997</v>
      </c>
      <c r="AX110">
        <f>$H$110*$AD$110</f>
        <v>44.4</v>
      </c>
      <c r="AY110">
        <f>$H$110*$AE$110</f>
        <v>44.4</v>
      </c>
      <c r="AZ110">
        <f>$H$110*$AF$110</f>
        <v>44.4</v>
      </c>
    </row>
    <row r="111" spans="1:52" x14ac:dyDescent="0.25">
      <c r="A111">
        <v>156</v>
      </c>
      <c r="B111" t="s">
        <v>258</v>
      </c>
      <c r="C111" t="s">
        <v>450</v>
      </c>
      <c r="D111">
        <v>1</v>
      </c>
      <c r="E111">
        <v>36.590000000000003</v>
      </c>
      <c r="F111" t="s">
        <v>299</v>
      </c>
      <c r="G111">
        <v>36.590000000000003</v>
      </c>
      <c r="H111">
        <v>43.91</v>
      </c>
      <c r="I111" t="s">
        <v>330</v>
      </c>
      <c r="J111" t="s">
        <v>451</v>
      </c>
      <c r="K111" t="s">
        <v>580</v>
      </c>
      <c r="L111" t="s">
        <v>200</v>
      </c>
      <c r="M111" t="s">
        <v>258</v>
      </c>
      <c r="N111" t="s">
        <v>12</v>
      </c>
      <c r="O111" t="s">
        <v>259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258</v>
      </c>
      <c r="AH111" t="s">
        <v>12</v>
      </c>
      <c r="AI111" t="s">
        <v>259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0</v>
      </c>
      <c r="AU111">
        <f>$H$111*$AA$111</f>
        <v>43.91</v>
      </c>
      <c r="AV111">
        <f>$H$111*$AB$111</f>
        <v>43.91</v>
      </c>
      <c r="AW111">
        <f>$H$111*$AC$111</f>
        <v>43.91</v>
      </c>
      <c r="AX111">
        <f>$H$111*$AD$111</f>
        <v>43.91</v>
      </c>
      <c r="AY111">
        <f>$H$111*$AE$111</f>
        <v>43.91</v>
      </c>
      <c r="AZ111">
        <f>$H$111*$AF$111</f>
        <v>43.91</v>
      </c>
    </row>
    <row r="112" spans="1:52" x14ac:dyDescent="0.25">
      <c r="A112">
        <v>157</v>
      </c>
      <c r="B112" t="s">
        <v>258</v>
      </c>
      <c r="C112" t="s">
        <v>320</v>
      </c>
      <c r="D112">
        <v>10</v>
      </c>
      <c r="E112">
        <v>44.4</v>
      </c>
      <c r="F112" t="s">
        <v>294</v>
      </c>
      <c r="G112">
        <v>4.4400000000000004</v>
      </c>
      <c r="H112">
        <v>53.28</v>
      </c>
      <c r="I112" t="s">
        <v>295</v>
      </c>
      <c r="J112" t="s">
        <v>321</v>
      </c>
      <c r="K112" t="s">
        <v>516</v>
      </c>
      <c r="L112" t="s">
        <v>200</v>
      </c>
      <c r="M112" t="s">
        <v>258</v>
      </c>
      <c r="N112" t="s">
        <v>12</v>
      </c>
      <c r="O112" t="s">
        <v>259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258</v>
      </c>
      <c r="AH112" t="s">
        <v>12</v>
      </c>
      <c r="AI112" t="s">
        <v>259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53.28</v>
      </c>
      <c r="AV112">
        <f>$H$112*$AB$112</f>
        <v>53.28</v>
      </c>
      <c r="AW112">
        <f>$H$112*$AC$112</f>
        <v>53.28</v>
      </c>
      <c r="AX112">
        <f>$H$112*$AD$112</f>
        <v>53.28</v>
      </c>
      <c r="AY112">
        <f>$H$112*$AE$112</f>
        <v>53.28</v>
      </c>
      <c r="AZ112">
        <f>$H$112*$AF$112</f>
        <v>53.28</v>
      </c>
    </row>
    <row r="113" spans="1:52" x14ac:dyDescent="0.25">
      <c r="A113">
        <v>158</v>
      </c>
      <c r="B113" t="s">
        <v>258</v>
      </c>
      <c r="C113" t="s">
        <v>322</v>
      </c>
      <c r="D113">
        <v>10</v>
      </c>
      <c r="E113">
        <v>115.5</v>
      </c>
      <c r="F113" t="s">
        <v>294</v>
      </c>
      <c r="G113">
        <v>11.55</v>
      </c>
      <c r="H113">
        <v>138.6</v>
      </c>
      <c r="I113" t="s">
        <v>298</v>
      </c>
      <c r="J113" t="s">
        <v>323</v>
      </c>
      <c r="K113" t="s">
        <v>517</v>
      </c>
      <c r="L113" t="s">
        <v>200</v>
      </c>
      <c r="M113" t="s">
        <v>258</v>
      </c>
      <c r="N113" t="s">
        <v>12</v>
      </c>
      <c r="O113" t="s">
        <v>259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258</v>
      </c>
      <c r="AH113" t="s">
        <v>12</v>
      </c>
      <c r="AI113" t="s">
        <v>259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138.6</v>
      </c>
      <c r="AV113">
        <f>$H$113*$AB$113</f>
        <v>138.6</v>
      </c>
      <c r="AW113">
        <f>$H$113*$AC$113</f>
        <v>138.6</v>
      </c>
      <c r="AX113">
        <f>$H$113*$AD$113</f>
        <v>138.6</v>
      </c>
      <c r="AY113">
        <f>$H$113*$AE$113</f>
        <v>138.6</v>
      </c>
      <c r="AZ113">
        <f>$H$113*$AF$113</f>
        <v>138.6</v>
      </c>
    </row>
    <row r="114" spans="1:52" x14ac:dyDescent="0.25">
      <c r="A114">
        <v>159</v>
      </c>
      <c r="B114" t="s">
        <v>258</v>
      </c>
      <c r="C114" t="s">
        <v>415</v>
      </c>
      <c r="D114">
        <v>6</v>
      </c>
      <c r="E114">
        <v>112.38</v>
      </c>
      <c r="F114" t="s">
        <v>313</v>
      </c>
      <c r="G114">
        <v>18.73</v>
      </c>
      <c r="H114">
        <v>134.86000000000001</v>
      </c>
      <c r="I114" t="s">
        <v>416</v>
      </c>
      <c r="J114" t="s">
        <v>334</v>
      </c>
      <c r="K114" t="s">
        <v>563</v>
      </c>
      <c r="L114" t="s">
        <v>200</v>
      </c>
      <c r="M114" t="s">
        <v>258</v>
      </c>
      <c r="N114" t="s">
        <v>12</v>
      </c>
      <c r="O114" t="s">
        <v>259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258</v>
      </c>
      <c r="AH114" t="s">
        <v>12</v>
      </c>
      <c r="AI114" t="s">
        <v>259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134.86000000000001</v>
      </c>
      <c r="AV114">
        <f>$H$114*$AB$114</f>
        <v>134.86000000000001</v>
      </c>
      <c r="AW114">
        <f>$H$114*$AC$114</f>
        <v>134.86000000000001</v>
      </c>
      <c r="AX114">
        <f>$H$114*$AD$114</f>
        <v>134.86000000000001</v>
      </c>
      <c r="AY114">
        <f>$H$114*$AE$114</f>
        <v>134.86000000000001</v>
      </c>
      <c r="AZ114">
        <f>$H$114*$AF$114</f>
        <v>134.86000000000001</v>
      </c>
    </row>
    <row r="115" spans="1:52" x14ac:dyDescent="0.25">
      <c r="A115">
        <v>160</v>
      </c>
      <c r="B115" t="s">
        <v>258</v>
      </c>
      <c r="C115" t="s">
        <v>417</v>
      </c>
      <c r="D115">
        <v>0.75</v>
      </c>
      <c r="E115">
        <v>412.99</v>
      </c>
      <c r="F115" t="s">
        <v>299</v>
      </c>
      <c r="G115">
        <v>550.65</v>
      </c>
      <c r="H115">
        <v>495.59</v>
      </c>
      <c r="I115" t="s">
        <v>317</v>
      </c>
      <c r="J115" t="s">
        <v>418</v>
      </c>
      <c r="K115" t="s">
        <v>564</v>
      </c>
      <c r="L115" t="s">
        <v>200</v>
      </c>
      <c r="M115" t="s">
        <v>258</v>
      </c>
      <c r="N115" t="s">
        <v>12</v>
      </c>
      <c r="O115" t="s">
        <v>259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258</v>
      </c>
      <c r="AH115" t="s">
        <v>12</v>
      </c>
      <c r="AI115" t="s">
        <v>259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495.59</v>
      </c>
      <c r="AV115">
        <f>$H$115*$AB$115</f>
        <v>495.59</v>
      </c>
      <c r="AW115">
        <f>$H$115*$AC$115</f>
        <v>495.59</v>
      </c>
      <c r="AX115">
        <f>$H$115*$AD$115</f>
        <v>495.59</v>
      </c>
      <c r="AY115">
        <f>$H$115*$AE$115</f>
        <v>495.59</v>
      </c>
      <c r="AZ115">
        <f>$H$115*$AF$115</f>
        <v>495.59</v>
      </c>
    </row>
    <row r="116" spans="1:52" x14ac:dyDescent="0.25">
      <c r="A116">
        <v>161</v>
      </c>
      <c r="B116" t="s">
        <v>258</v>
      </c>
      <c r="C116" t="s">
        <v>417</v>
      </c>
      <c r="D116">
        <v>0.25</v>
      </c>
      <c r="E116">
        <v>137.66</v>
      </c>
      <c r="F116" t="s">
        <v>299</v>
      </c>
      <c r="G116">
        <v>550.65</v>
      </c>
      <c r="H116">
        <v>165.2</v>
      </c>
      <c r="I116" t="s">
        <v>317</v>
      </c>
      <c r="J116" t="s">
        <v>418</v>
      </c>
      <c r="K116" t="s">
        <v>564</v>
      </c>
      <c r="L116" t="s">
        <v>200</v>
      </c>
      <c r="M116" t="s">
        <v>258</v>
      </c>
      <c r="N116" t="s">
        <v>12</v>
      </c>
      <c r="O116" t="s">
        <v>259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258</v>
      </c>
      <c r="AH116" t="s">
        <v>12</v>
      </c>
      <c r="AI116" t="s">
        <v>259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165.2</v>
      </c>
      <c r="AV116">
        <f>$H$116*$AB$116</f>
        <v>165.2</v>
      </c>
      <c r="AW116">
        <f>$H$116*$AC$116</f>
        <v>165.2</v>
      </c>
      <c r="AX116">
        <f>$H$116*$AD$116</f>
        <v>165.2</v>
      </c>
      <c r="AY116">
        <f>$H$116*$AE$116</f>
        <v>165.2</v>
      </c>
      <c r="AZ116">
        <f>$H$116*$AF$116</f>
        <v>165.2</v>
      </c>
    </row>
    <row r="117" spans="1:52" x14ac:dyDescent="0.25">
      <c r="A117">
        <v>162</v>
      </c>
      <c r="B117" t="s">
        <v>258</v>
      </c>
      <c r="C117" t="s">
        <v>419</v>
      </c>
      <c r="D117">
        <v>1</v>
      </c>
      <c r="E117">
        <v>39.43</v>
      </c>
      <c r="F117" t="s">
        <v>299</v>
      </c>
      <c r="G117">
        <v>39.43</v>
      </c>
      <c r="H117">
        <v>47.31</v>
      </c>
      <c r="I117" t="s">
        <v>317</v>
      </c>
      <c r="J117" t="s">
        <v>420</v>
      </c>
      <c r="K117" t="s">
        <v>565</v>
      </c>
      <c r="L117" t="s">
        <v>200</v>
      </c>
      <c r="M117" t="s">
        <v>258</v>
      </c>
      <c r="N117" t="s">
        <v>12</v>
      </c>
      <c r="O117" t="s">
        <v>259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258</v>
      </c>
      <c r="AH117" t="s">
        <v>12</v>
      </c>
      <c r="AI117" t="s">
        <v>259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47.31</v>
      </c>
      <c r="AT117">
        <f>$H$117*$Z$117</f>
        <v>47.31</v>
      </c>
      <c r="AU117">
        <f>$H$117*$AA$117</f>
        <v>47.31</v>
      </c>
      <c r="AV117">
        <f>$H$117*$AB$117</f>
        <v>47.31</v>
      </c>
      <c r="AW117">
        <f>$H$117*$AC$117</f>
        <v>47.31</v>
      </c>
      <c r="AX117">
        <f>$H$117*$AD$117</f>
        <v>47.31</v>
      </c>
      <c r="AY117">
        <f>$H$117*$AE$117</f>
        <v>47.31</v>
      </c>
      <c r="AZ117">
        <f>$H$117*$AF$117</f>
        <v>47.31</v>
      </c>
    </row>
    <row r="118" spans="1:52" x14ac:dyDescent="0.25">
      <c r="A118">
        <v>163</v>
      </c>
      <c r="B118" t="s">
        <v>258</v>
      </c>
      <c r="C118" t="s">
        <v>421</v>
      </c>
      <c r="D118">
        <v>1</v>
      </c>
      <c r="E118">
        <v>419.17</v>
      </c>
      <c r="F118" t="s">
        <v>299</v>
      </c>
      <c r="G118">
        <v>419.17</v>
      </c>
      <c r="H118">
        <v>503.01</v>
      </c>
      <c r="I118" t="s">
        <v>317</v>
      </c>
      <c r="J118" t="s">
        <v>422</v>
      </c>
      <c r="K118" t="s">
        <v>566</v>
      </c>
      <c r="L118" t="s">
        <v>200</v>
      </c>
      <c r="M118" t="s">
        <v>258</v>
      </c>
      <c r="N118" t="s">
        <v>12</v>
      </c>
      <c r="O118" t="s">
        <v>259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258</v>
      </c>
      <c r="AH118" t="s">
        <v>12</v>
      </c>
      <c r="AI118" t="s">
        <v>259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503.01</v>
      </c>
      <c r="AT118">
        <f>$H$118*$Z$118</f>
        <v>503.01</v>
      </c>
      <c r="AU118">
        <f>$H$118*$AA$118</f>
        <v>503.01</v>
      </c>
      <c r="AV118">
        <f>$H$118*$AB$118</f>
        <v>503.01</v>
      </c>
      <c r="AW118">
        <f>$H$118*$AC$118</f>
        <v>503.01</v>
      </c>
      <c r="AX118">
        <f>$H$118*$AD$118</f>
        <v>503.01</v>
      </c>
      <c r="AY118">
        <f>$H$118*$AE$118</f>
        <v>503.01</v>
      </c>
      <c r="AZ118">
        <f>$H$118*$AF$118</f>
        <v>503.01</v>
      </c>
    </row>
    <row r="119" spans="1:52" x14ac:dyDescent="0.25">
      <c r="A119">
        <v>164</v>
      </c>
      <c r="B119" t="s">
        <v>258</v>
      </c>
      <c r="C119" t="s">
        <v>429</v>
      </c>
      <c r="D119">
        <v>10</v>
      </c>
      <c r="E119">
        <v>65.7</v>
      </c>
      <c r="F119" t="s">
        <v>294</v>
      </c>
      <c r="G119">
        <v>6.57</v>
      </c>
      <c r="H119">
        <v>78.84</v>
      </c>
      <c r="I119" t="s">
        <v>307</v>
      </c>
      <c r="J119" t="s">
        <v>430</v>
      </c>
      <c r="K119" t="s">
        <v>570</v>
      </c>
      <c r="L119" t="s">
        <v>200</v>
      </c>
      <c r="M119" t="s">
        <v>258</v>
      </c>
      <c r="N119" t="s">
        <v>12</v>
      </c>
      <c r="O119" t="s">
        <v>259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1</v>
      </c>
      <c r="AE119">
        <v>1</v>
      </c>
      <c r="AF119">
        <v>1</v>
      </c>
      <c r="AG119" t="s">
        <v>258</v>
      </c>
      <c r="AH119" t="s">
        <v>12</v>
      </c>
      <c r="AI119" t="s">
        <v>259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0</v>
      </c>
      <c r="AV119">
        <f>$H$119*$AB$119</f>
        <v>0</v>
      </c>
      <c r="AW119">
        <f>$H$119*$AC$119</f>
        <v>0</v>
      </c>
      <c r="AX119">
        <f>$H$119*$AD$119</f>
        <v>78.84</v>
      </c>
      <c r="AY119">
        <f>$H$119*$AE$119</f>
        <v>78.84</v>
      </c>
      <c r="AZ119">
        <f>$H$119*$AF$119</f>
        <v>78.84</v>
      </c>
    </row>
    <row r="120" spans="1:52" x14ac:dyDescent="0.25">
      <c r="A120">
        <v>165</v>
      </c>
      <c r="B120" t="s">
        <v>258</v>
      </c>
      <c r="C120" t="s">
        <v>431</v>
      </c>
      <c r="D120">
        <v>1</v>
      </c>
      <c r="E120">
        <v>89.58</v>
      </c>
      <c r="F120" t="s">
        <v>299</v>
      </c>
      <c r="G120">
        <v>89.58</v>
      </c>
      <c r="H120">
        <v>107.5</v>
      </c>
      <c r="I120" t="s">
        <v>307</v>
      </c>
      <c r="J120" t="s">
        <v>432</v>
      </c>
      <c r="K120" t="s">
        <v>571</v>
      </c>
      <c r="L120" t="s">
        <v>200</v>
      </c>
      <c r="M120" t="s">
        <v>258</v>
      </c>
      <c r="N120" t="s">
        <v>12</v>
      </c>
      <c r="O120" t="s">
        <v>259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1</v>
      </c>
      <c r="AE120">
        <v>1</v>
      </c>
      <c r="AF120">
        <v>1</v>
      </c>
      <c r="AG120" t="s">
        <v>258</v>
      </c>
      <c r="AH120" t="s">
        <v>12</v>
      </c>
      <c r="AI120" t="s">
        <v>259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0</v>
      </c>
      <c r="AV120">
        <f>$H$120*$AB$120</f>
        <v>0</v>
      </c>
      <c r="AW120">
        <f>$H$120*$AC$120</f>
        <v>0</v>
      </c>
      <c r="AX120">
        <f>$H$120*$AD$120</f>
        <v>107.5</v>
      </c>
      <c r="AY120">
        <f>$H$120*$AE$120</f>
        <v>107.5</v>
      </c>
      <c r="AZ120">
        <f>$H$120*$AF$120</f>
        <v>107.5</v>
      </c>
    </row>
    <row r="121" spans="1:52" x14ac:dyDescent="0.25">
      <c r="A121">
        <v>166</v>
      </c>
      <c r="B121" t="s">
        <v>258</v>
      </c>
      <c r="C121" t="s">
        <v>452</v>
      </c>
      <c r="D121">
        <v>1</v>
      </c>
      <c r="E121">
        <v>75.66</v>
      </c>
      <c r="F121" t="s">
        <v>299</v>
      </c>
      <c r="G121">
        <v>75.66</v>
      </c>
      <c r="H121">
        <v>90.8</v>
      </c>
      <c r="I121" t="s">
        <v>304</v>
      </c>
      <c r="J121" t="s">
        <v>453</v>
      </c>
      <c r="K121" t="s">
        <v>581</v>
      </c>
      <c r="L121" t="s">
        <v>200</v>
      </c>
      <c r="M121" t="s">
        <v>258</v>
      </c>
      <c r="N121" t="s">
        <v>12</v>
      </c>
      <c r="O121" t="s">
        <v>259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1</v>
      </c>
      <c r="AE121">
        <v>1</v>
      </c>
      <c r="AF121">
        <v>1</v>
      </c>
      <c r="AG121" t="s">
        <v>258</v>
      </c>
      <c r="AH121" t="s">
        <v>12</v>
      </c>
      <c r="AI121" t="s">
        <v>259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0</v>
      </c>
      <c r="AV121">
        <f>$H$121*$AB$121</f>
        <v>0</v>
      </c>
      <c r="AW121">
        <f>$H$121*$AC$121</f>
        <v>0</v>
      </c>
      <c r="AX121">
        <f>$H$121*$AD$121</f>
        <v>90.8</v>
      </c>
      <c r="AY121">
        <f>$H$121*$AE$121</f>
        <v>90.8</v>
      </c>
      <c r="AZ121">
        <f>$H$121*$AF$121</f>
        <v>90.8</v>
      </c>
    </row>
    <row r="122" spans="1:52" x14ac:dyDescent="0.25">
      <c r="A122">
        <v>167</v>
      </c>
      <c r="B122" t="s">
        <v>258</v>
      </c>
      <c r="C122" t="s">
        <v>378</v>
      </c>
      <c r="D122">
        <v>1</v>
      </c>
      <c r="E122">
        <v>40.14</v>
      </c>
      <c r="F122" t="s">
        <v>299</v>
      </c>
      <c r="G122">
        <v>40.14</v>
      </c>
      <c r="H122">
        <v>48.16</v>
      </c>
      <c r="I122" t="s">
        <v>330</v>
      </c>
      <c r="J122" t="s">
        <v>379</v>
      </c>
      <c r="K122" t="s">
        <v>544</v>
      </c>
      <c r="L122" t="s">
        <v>200</v>
      </c>
      <c r="M122" t="s">
        <v>258</v>
      </c>
      <c r="N122" t="s">
        <v>12</v>
      </c>
      <c r="O122" t="s">
        <v>259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258</v>
      </c>
      <c r="AH122" t="s">
        <v>12</v>
      </c>
      <c r="AI122" t="s">
        <v>259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48.16</v>
      </c>
      <c r="AU122">
        <f>$H$122*$AA$122</f>
        <v>48.16</v>
      </c>
      <c r="AV122">
        <f>$H$122*$AB$122</f>
        <v>48.16</v>
      </c>
      <c r="AW122">
        <f>$H$122*$AC$122</f>
        <v>48.16</v>
      </c>
      <c r="AX122">
        <f>$H$122*$AD$122</f>
        <v>48.16</v>
      </c>
      <c r="AY122">
        <f>$H$122*$AE$122</f>
        <v>48.16</v>
      </c>
      <c r="AZ122">
        <f>$H$122*$AF$122</f>
        <v>48.16</v>
      </c>
    </row>
    <row r="123" spans="1:52" x14ac:dyDescent="0.25">
      <c r="A123">
        <v>168</v>
      </c>
      <c r="B123" t="s">
        <v>258</v>
      </c>
      <c r="C123" t="s">
        <v>337</v>
      </c>
      <c r="D123">
        <v>2</v>
      </c>
      <c r="E123">
        <v>77.86</v>
      </c>
      <c r="F123" t="s">
        <v>299</v>
      </c>
      <c r="G123">
        <v>38.93</v>
      </c>
      <c r="H123">
        <v>93.44</v>
      </c>
      <c r="I123" t="s">
        <v>295</v>
      </c>
      <c r="J123" t="s">
        <v>333</v>
      </c>
      <c r="K123" t="s">
        <v>523</v>
      </c>
      <c r="L123" t="s">
        <v>200</v>
      </c>
      <c r="M123" t="s">
        <v>258</v>
      </c>
      <c r="N123" t="s">
        <v>12</v>
      </c>
      <c r="O123" t="s">
        <v>259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258</v>
      </c>
      <c r="AH123" t="s">
        <v>12</v>
      </c>
      <c r="AI123" t="s">
        <v>259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93.44</v>
      </c>
      <c r="AN123">
        <f>$H$123*$T$123</f>
        <v>93.44</v>
      </c>
      <c r="AO123">
        <f>$H$123*$U$123</f>
        <v>93.44</v>
      </c>
      <c r="AP123">
        <f>$H$123*$V$123</f>
        <v>93.44</v>
      </c>
      <c r="AQ123">
        <f>$H$123*$W$123</f>
        <v>93.44</v>
      </c>
      <c r="AR123">
        <f>$H$123*$X$123</f>
        <v>93.44</v>
      </c>
      <c r="AS123">
        <f>$H$123*$Y$123</f>
        <v>93.44</v>
      </c>
      <c r="AT123">
        <f>$H$123*$Z$123</f>
        <v>93.44</v>
      </c>
      <c r="AU123">
        <f>$H$123*$AA$123</f>
        <v>93.44</v>
      </c>
      <c r="AV123">
        <f>$H$123*$AB$123</f>
        <v>93.44</v>
      </c>
      <c r="AW123">
        <f>$H$123*$AC$123</f>
        <v>93.44</v>
      </c>
      <c r="AX123">
        <f>$H$123*$AD$123</f>
        <v>93.44</v>
      </c>
      <c r="AY123">
        <f>$H$123*$AE$123</f>
        <v>93.44</v>
      </c>
      <c r="AZ123">
        <f>$H$123*$AF$123</f>
        <v>93.44</v>
      </c>
    </row>
    <row r="124" spans="1:52" x14ac:dyDescent="0.25">
      <c r="A124">
        <v>169</v>
      </c>
      <c r="B124" t="s">
        <v>258</v>
      </c>
      <c r="C124" t="s">
        <v>335</v>
      </c>
      <c r="D124">
        <v>2</v>
      </c>
      <c r="E124">
        <v>62.72</v>
      </c>
      <c r="F124" t="s">
        <v>299</v>
      </c>
      <c r="G124">
        <v>31.36</v>
      </c>
      <c r="H124">
        <v>75.260000000000005</v>
      </c>
      <c r="I124" t="s">
        <v>295</v>
      </c>
      <c r="J124" t="s">
        <v>336</v>
      </c>
      <c r="K124" t="s">
        <v>522</v>
      </c>
      <c r="L124" t="s">
        <v>200</v>
      </c>
      <c r="M124" t="s">
        <v>258</v>
      </c>
      <c r="N124" t="s">
        <v>12</v>
      </c>
      <c r="O124" t="s">
        <v>259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258</v>
      </c>
      <c r="AH124" t="s">
        <v>12</v>
      </c>
      <c r="AI124" t="s">
        <v>259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75.260000000000005</v>
      </c>
      <c r="AN124">
        <f>$H$124*$T$124</f>
        <v>75.260000000000005</v>
      </c>
      <c r="AO124">
        <f>$H$124*$U$124</f>
        <v>75.260000000000005</v>
      </c>
      <c r="AP124">
        <f>$H$124*$V$124</f>
        <v>75.260000000000005</v>
      </c>
      <c r="AQ124">
        <f>$H$124*$W$124</f>
        <v>75.260000000000005</v>
      </c>
      <c r="AR124">
        <f>$H$124*$X$124</f>
        <v>75.260000000000005</v>
      </c>
      <c r="AS124">
        <f>$H$124*$Y$124</f>
        <v>75.260000000000005</v>
      </c>
      <c r="AT124">
        <f>$H$124*$Z$124</f>
        <v>75.260000000000005</v>
      </c>
      <c r="AU124">
        <f>$H$124*$AA$124</f>
        <v>75.260000000000005</v>
      </c>
      <c r="AV124">
        <f>$H$124*$AB$124</f>
        <v>75.260000000000005</v>
      </c>
      <c r="AW124">
        <f>$H$124*$AC$124</f>
        <v>75.260000000000005</v>
      </c>
      <c r="AX124">
        <f>$H$124*$AD$124</f>
        <v>75.260000000000005</v>
      </c>
      <c r="AY124">
        <f>$H$124*$AE$124</f>
        <v>75.260000000000005</v>
      </c>
      <c r="AZ124">
        <f>$H$124*$AF$124</f>
        <v>75.260000000000005</v>
      </c>
    </row>
    <row r="125" spans="1:52" x14ac:dyDescent="0.25">
      <c r="A125">
        <v>170</v>
      </c>
      <c r="B125" t="s">
        <v>258</v>
      </c>
      <c r="C125" t="s">
        <v>454</v>
      </c>
      <c r="D125">
        <v>1</v>
      </c>
      <c r="E125">
        <v>322.02</v>
      </c>
      <c r="F125" t="s">
        <v>299</v>
      </c>
      <c r="G125">
        <v>322.02</v>
      </c>
      <c r="H125">
        <v>386.42</v>
      </c>
      <c r="I125" t="s">
        <v>333</v>
      </c>
      <c r="J125" t="s">
        <v>455</v>
      </c>
      <c r="K125" t="s">
        <v>582</v>
      </c>
      <c r="L125" t="s">
        <v>200</v>
      </c>
      <c r="M125" t="s">
        <v>258</v>
      </c>
      <c r="N125" t="s">
        <v>12</v>
      </c>
      <c r="O125" t="s">
        <v>259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258</v>
      </c>
      <c r="AH125" t="s">
        <v>12</v>
      </c>
      <c r="AI125" t="s">
        <v>259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386.42</v>
      </c>
      <c r="AO125">
        <f>$H$125*$U$125</f>
        <v>386.42</v>
      </c>
      <c r="AP125">
        <f>$H$125*$V$125</f>
        <v>386.42</v>
      </c>
      <c r="AQ125">
        <f>$H$125*$W$125</f>
        <v>386.42</v>
      </c>
      <c r="AR125">
        <f>$H$125*$X$125</f>
        <v>386.42</v>
      </c>
      <c r="AS125">
        <f>$H$125*$Y$125</f>
        <v>386.42</v>
      </c>
      <c r="AT125">
        <f>$H$125*$Z$125</f>
        <v>386.42</v>
      </c>
      <c r="AU125">
        <f>$H$125*$AA$125</f>
        <v>386.42</v>
      </c>
      <c r="AV125">
        <f>$H$125*$AB$125</f>
        <v>386.42</v>
      </c>
      <c r="AW125">
        <f>$H$125*$AC$125</f>
        <v>386.42</v>
      </c>
      <c r="AX125">
        <f>$H$125*$AD$125</f>
        <v>386.42</v>
      </c>
      <c r="AY125">
        <f>$H$125*$AE$125</f>
        <v>386.42</v>
      </c>
      <c r="AZ125">
        <f>$H$125*$AF$125</f>
        <v>386.42</v>
      </c>
    </row>
    <row r="126" spans="1:52" x14ac:dyDescent="0.25">
      <c r="A126">
        <v>171</v>
      </c>
      <c r="B126" t="s">
        <v>258</v>
      </c>
      <c r="C126" t="s">
        <v>439</v>
      </c>
      <c r="D126">
        <v>2.5</v>
      </c>
      <c r="E126">
        <v>373.5</v>
      </c>
      <c r="F126" t="s">
        <v>294</v>
      </c>
      <c r="G126">
        <v>149.4</v>
      </c>
      <c r="H126">
        <v>448.2</v>
      </c>
      <c r="I126" t="s">
        <v>440</v>
      </c>
      <c r="J126" t="s">
        <v>441</v>
      </c>
      <c r="K126" t="s">
        <v>575</v>
      </c>
      <c r="L126" t="s">
        <v>200</v>
      </c>
      <c r="M126" t="s">
        <v>258</v>
      </c>
      <c r="N126" t="s">
        <v>12</v>
      </c>
      <c r="O126" t="s">
        <v>259</v>
      </c>
      <c r="P126">
        <v>0</v>
      </c>
      <c r="Q126">
        <v>0</v>
      </c>
      <c r="R126">
        <v>0</v>
      </c>
      <c r="S126">
        <v>0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258</v>
      </c>
      <c r="AH126" t="s">
        <v>12</v>
      </c>
      <c r="AI126" t="s">
        <v>259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448.2</v>
      </c>
      <c r="AO126">
        <f>$H$126*$U$126</f>
        <v>448.2</v>
      </c>
      <c r="AP126">
        <f>$H$126*$V$126</f>
        <v>448.2</v>
      </c>
      <c r="AQ126">
        <f>$H$126*$W$126</f>
        <v>448.2</v>
      </c>
      <c r="AR126">
        <f>$H$126*$X$126</f>
        <v>448.2</v>
      </c>
      <c r="AS126">
        <f>$H$126*$Y$126</f>
        <v>448.2</v>
      </c>
      <c r="AT126">
        <f>$H$126*$Z$126</f>
        <v>448.2</v>
      </c>
      <c r="AU126">
        <f>$H$126*$AA$126</f>
        <v>448.2</v>
      </c>
      <c r="AV126">
        <f>$H$126*$AB$126</f>
        <v>448.2</v>
      </c>
      <c r="AW126">
        <f>$H$126*$AC$126</f>
        <v>448.2</v>
      </c>
      <c r="AX126">
        <f>$H$126*$AD$126</f>
        <v>448.2</v>
      </c>
      <c r="AY126">
        <f>$H$126*$AE$126</f>
        <v>448.2</v>
      </c>
      <c r="AZ126">
        <f>$H$126*$AF$126</f>
        <v>448.2</v>
      </c>
    </row>
    <row r="127" spans="1:52" x14ac:dyDescent="0.25">
      <c r="A127">
        <v>172</v>
      </c>
      <c r="B127" t="s">
        <v>258</v>
      </c>
      <c r="C127" t="s">
        <v>442</v>
      </c>
      <c r="D127">
        <v>2.5</v>
      </c>
      <c r="E127">
        <v>24.1</v>
      </c>
      <c r="F127" t="s">
        <v>294</v>
      </c>
      <c r="G127">
        <v>9.64</v>
      </c>
      <c r="H127">
        <v>28.92</v>
      </c>
      <c r="I127" t="s">
        <v>440</v>
      </c>
      <c r="J127" t="s">
        <v>443</v>
      </c>
      <c r="K127" t="s">
        <v>576</v>
      </c>
      <c r="L127" t="s">
        <v>200</v>
      </c>
      <c r="M127" t="s">
        <v>258</v>
      </c>
      <c r="N127" t="s">
        <v>12</v>
      </c>
      <c r="O127" t="s">
        <v>259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258</v>
      </c>
      <c r="AH127" t="s">
        <v>12</v>
      </c>
      <c r="AI127" t="s">
        <v>259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28.92</v>
      </c>
      <c r="AU127">
        <f>$H$127*$AA$127</f>
        <v>28.92</v>
      </c>
      <c r="AV127">
        <f>$H$127*$AB$127</f>
        <v>28.92</v>
      </c>
      <c r="AW127">
        <f>$H$127*$AC$127</f>
        <v>28.92</v>
      </c>
      <c r="AX127">
        <f>$H$127*$AD$127</f>
        <v>28.92</v>
      </c>
      <c r="AY127">
        <f>$H$127*$AE$127</f>
        <v>28.92</v>
      </c>
      <c r="AZ127">
        <f>$H$127*$AF$127</f>
        <v>28.92</v>
      </c>
    </row>
    <row r="128" spans="1:52" x14ac:dyDescent="0.25">
      <c r="A128">
        <v>173</v>
      </c>
      <c r="B128" t="s">
        <v>258</v>
      </c>
      <c r="C128" t="s">
        <v>444</v>
      </c>
      <c r="D128">
        <v>2.5</v>
      </c>
      <c r="E128">
        <v>93.43</v>
      </c>
      <c r="F128" t="s">
        <v>294</v>
      </c>
      <c r="G128">
        <v>37.369999999999997</v>
      </c>
      <c r="H128">
        <v>112.11</v>
      </c>
      <c r="I128" t="s">
        <v>440</v>
      </c>
      <c r="J128" t="s">
        <v>445</v>
      </c>
      <c r="K128" t="s">
        <v>577</v>
      </c>
      <c r="L128" t="s">
        <v>200</v>
      </c>
      <c r="M128" t="s">
        <v>258</v>
      </c>
      <c r="N128" t="s">
        <v>12</v>
      </c>
      <c r="O128" t="s">
        <v>259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258</v>
      </c>
      <c r="AH128" t="s">
        <v>12</v>
      </c>
      <c r="AI128" t="s">
        <v>259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112.11</v>
      </c>
      <c r="AU128">
        <f>$H$128*$AA$128</f>
        <v>112.11</v>
      </c>
      <c r="AV128">
        <f>$H$128*$AB$128</f>
        <v>112.11</v>
      </c>
      <c r="AW128">
        <f>$H$128*$AC$128</f>
        <v>112.11</v>
      </c>
      <c r="AX128">
        <f>$H$128*$AD$128</f>
        <v>112.11</v>
      </c>
      <c r="AY128">
        <f>$H$128*$AE$128</f>
        <v>112.11</v>
      </c>
      <c r="AZ128">
        <f>$H$128*$AF$128</f>
        <v>112.11</v>
      </c>
    </row>
    <row r="129" spans="1:52" x14ac:dyDescent="0.25">
      <c r="A129">
        <v>174</v>
      </c>
      <c r="B129" t="s">
        <v>258</v>
      </c>
      <c r="C129" t="s">
        <v>446</v>
      </c>
      <c r="D129">
        <v>1</v>
      </c>
      <c r="E129">
        <v>176.94</v>
      </c>
      <c r="F129" t="s">
        <v>299</v>
      </c>
      <c r="G129">
        <v>176.94</v>
      </c>
      <c r="H129">
        <v>212.32</v>
      </c>
      <c r="I129" t="s">
        <v>317</v>
      </c>
      <c r="J129" t="s">
        <v>447</v>
      </c>
      <c r="K129" t="s">
        <v>578</v>
      </c>
      <c r="L129" t="s">
        <v>200</v>
      </c>
      <c r="M129" t="s">
        <v>258</v>
      </c>
      <c r="N129" t="s">
        <v>12</v>
      </c>
      <c r="O129" t="s">
        <v>259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258</v>
      </c>
      <c r="AH129" t="s">
        <v>12</v>
      </c>
      <c r="AI129" t="s">
        <v>259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212.32</v>
      </c>
      <c r="AV129">
        <f>$H$129*$AB$129</f>
        <v>212.32</v>
      </c>
      <c r="AW129">
        <f>$H$129*$AC$129</f>
        <v>212.32</v>
      </c>
      <c r="AX129">
        <f>$H$129*$AD$129</f>
        <v>212.32</v>
      </c>
      <c r="AY129">
        <f>$H$129*$AE$129</f>
        <v>212.32</v>
      </c>
      <c r="AZ129">
        <f>$H$129*$AF$129</f>
        <v>212.32</v>
      </c>
    </row>
    <row r="130" spans="1:52" x14ac:dyDescent="0.25">
      <c r="A130">
        <v>175</v>
      </c>
      <c r="B130" t="s">
        <v>258</v>
      </c>
      <c r="C130" t="s">
        <v>417</v>
      </c>
      <c r="D130">
        <v>0.75</v>
      </c>
      <c r="E130">
        <v>412.99</v>
      </c>
      <c r="F130" t="s">
        <v>299</v>
      </c>
      <c r="G130">
        <v>550.65</v>
      </c>
      <c r="H130">
        <v>495.59</v>
      </c>
      <c r="I130" t="s">
        <v>317</v>
      </c>
      <c r="J130" t="s">
        <v>418</v>
      </c>
      <c r="K130" t="s">
        <v>564</v>
      </c>
      <c r="L130" t="s">
        <v>200</v>
      </c>
      <c r="M130" t="s">
        <v>258</v>
      </c>
      <c r="N130" t="s">
        <v>12</v>
      </c>
      <c r="O130" t="s">
        <v>259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258</v>
      </c>
      <c r="AH130" t="s">
        <v>12</v>
      </c>
      <c r="AI130" t="s">
        <v>259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495.59</v>
      </c>
      <c r="AV130">
        <f>$H$130*$AB$130</f>
        <v>495.59</v>
      </c>
      <c r="AW130">
        <f>$H$130*$AC$130</f>
        <v>495.59</v>
      </c>
      <c r="AX130">
        <f>$H$130*$AD$130</f>
        <v>495.59</v>
      </c>
      <c r="AY130">
        <f>$H$130*$AE$130</f>
        <v>495.59</v>
      </c>
      <c r="AZ130">
        <f>$H$130*$AF$130</f>
        <v>495.59</v>
      </c>
    </row>
    <row r="131" spans="1:52" x14ac:dyDescent="0.25">
      <c r="A131">
        <v>176</v>
      </c>
      <c r="B131" t="s">
        <v>258</v>
      </c>
      <c r="C131" t="s">
        <v>417</v>
      </c>
      <c r="D131">
        <v>0.25</v>
      </c>
      <c r="E131">
        <v>137.66</v>
      </c>
      <c r="F131" t="s">
        <v>299</v>
      </c>
      <c r="G131">
        <v>550.65</v>
      </c>
      <c r="H131">
        <v>165.2</v>
      </c>
      <c r="I131" t="s">
        <v>317</v>
      </c>
      <c r="J131" t="s">
        <v>418</v>
      </c>
      <c r="K131" t="s">
        <v>564</v>
      </c>
      <c r="L131" t="s">
        <v>200</v>
      </c>
      <c r="M131" t="s">
        <v>258</v>
      </c>
      <c r="N131" t="s">
        <v>12</v>
      </c>
      <c r="O131" t="s">
        <v>259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258</v>
      </c>
      <c r="AH131" t="s">
        <v>12</v>
      </c>
      <c r="AI131" t="s">
        <v>259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165.2</v>
      </c>
      <c r="AV131">
        <f>$H$131*$AB$131</f>
        <v>165.2</v>
      </c>
      <c r="AW131">
        <f>$H$131*$AC$131</f>
        <v>165.2</v>
      </c>
      <c r="AX131">
        <f>$H$131*$AD$131</f>
        <v>165.2</v>
      </c>
      <c r="AY131">
        <f>$H$131*$AE$131</f>
        <v>165.2</v>
      </c>
      <c r="AZ131">
        <f>$H$131*$AF$131</f>
        <v>165.2</v>
      </c>
    </row>
    <row r="132" spans="1:52" x14ac:dyDescent="0.25">
      <c r="A132">
        <v>177</v>
      </c>
      <c r="B132" t="s">
        <v>258</v>
      </c>
      <c r="C132" t="s">
        <v>448</v>
      </c>
      <c r="D132">
        <v>1</v>
      </c>
      <c r="E132">
        <v>198.39</v>
      </c>
      <c r="F132" t="s">
        <v>299</v>
      </c>
      <c r="G132">
        <v>198.39</v>
      </c>
      <c r="H132">
        <v>238.07</v>
      </c>
      <c r="I132" t="s">
        <v>317</v>
      </c>
      <c r="J132" t="s">
        <v>449</v>
      </c>
      <c r="K132" t="s">
        <v>579</v>
      </c>
      <c r="L132" t="s">
        <v>200</v>
      </c>
      <c r="M132" t="s">
        <v>258</v>
      </c>
      <c r="N132" t="s">
        <v>12</v>
      </c>
      <c r="O132" t="s">
        <v>259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258</v>
      </c>
      <c r="AH132" t="s">
        <v>12</v>
      </c>
      <c r="AI132" t="s">
        <v>259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238.07</v>
      </c>
      <c r="AV132">
        <f>$H$132*$AB$132</f>
        <v>238.07</v>
      </c>
      <c r="AW132">
        <f>$H$132*$AC$132</f>
        <v>238.07</v>
      </c>
      <c r="AX132">
        <f>$H$132*$AD$132</f>
        <v>238.07</v>
      </c>
      <c r="AY132">
        <f>$H$132*$AE$132</f>
        <v>238.07</v>
      </c>
      <c r="AZ132">
        <f>$H$132*$AF$132</f>
        <v>238.07</v>
      </c>
    </row>
    <row r="133" spans="1:52" x14ac:dyDescent="0.25">
      <c r="A133">
        <v>178</v>
      </c>
      <c r="B133" t="s">
        <v>258</v>
      </c>
      <c r="C133" t="s">
        <v>324</v>
      </c>
      <c r="D133">
        <v>144</v>
      </c>
      <c r="E133">
        <v>141.12</v>
      </c>
      <c r="F133" t="s">
        <v>313</v>
      </c>
      <c r="G133">
        <v>0.98</v>
      </c>
      <c r="H133">
        <v>169.34</v>
      </c>
      <c r="I133" t="s">
        <v>295</v>
      </c>
      <c r="J133" t="s">
        <v>325</v>
      </c>
      <c r="K133" t="s">
        <v>518</v>
      </c>
      <c r="L133" t="s">
        <v>200</v>
      </c>
      <c r="M133" t="s">
        <v>258</v>
      </c>
      <c r="N133" t="s">
        <v>12</v>
      </c>
      <c r="O133" t="s">
        <v>259</v>
      </c>
      <c r="P133">
        <v>0</v>
      </c>
      <c r="Q133">
        <v>0</v>
      </c>
      <c r="R133">
        <v>0</v>
      </c>
      <c r="S133">
        <v>0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258</v>
      </c>
      <c r="AH133" t="s">
        <v>12</v>
      </c>
      <c r="AI133" t="s">
        <v>259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169.34</v>
      </c>
      <c r="AO133">
        <f>$H$133*$U$133</f>
        <v>169.34</v>
      </c>
      <c r="AP133">
        <f>$H$133*$V$133</f>
        <v>169.34</v>
      </c>
      <c r="AQ133">
        <f>$H$133*$W$133</f>
        <v>169.34</v>
      </c>
      <c r="AR133">
        <f>$H$133*$X$133</f>
        <v>169.34</v>
      </c>
      <c r="AS133">
        <f>$H$133*$Y$133</f>
        <v>169.34</v>
      </c>
      <c r="AT133">
        <f>$H$133*$Z$133</f>
        <v>169.34</v>
      </c>
      <c r="AU133">
        <f>$H$133*$AA$133</f>
        <v>169.34</v>
      </c>
      <c r="AV133">
        <f>$H$133*$AB$133</f>
        <v>169.34</v>
      </c>
      <c r="AW133">
        <f>$H$133*$AC$133</f>
        <v>169.34</v>
      </c>
      <c r="AX133">
        <f>$H$133*$AD$133</f>
        <v>169.34</v>
      </c>
      <c r="AY133">
        <f>$H$133*$AE$133</f>
        <v>169.34</v>
      </c>
      <c r="AZ133">
        <f>$H$133*$AF$133</f>
        <v>169.34</v>
      </c>
    </row>
    <row r="134" spans="1:52" x14ac:dyDescent="0.25">
      <c r="A134">
        <v>179</v>
      </c>
      <c r="B134" t="s">
        <v>258</v>
      </c>
      <c r="C134" t="s">
        <v>326</v>
      </c>
      <c r="D134">
        <v>144</v>
      </c>
      <c r="E134">
        <v>384.48</v>
      </c>
      <c r="F134" t="s">
        <v>313</v>
      </c>
      <c r="G134">
        <v>2.67</v>
      </c>
      <c r="H134">
        <v>461.38</v>
      </c>
      <c r="I134" t="s">
        <v>327</v>
      </c>
      <c r="J134" t="s">
        <v>328</v>
      </c>
      <c r="K134" t="s">
        <v>519</v>
      </c>
      <c r="L134" t="s">
        <v>200</v>
      </c>
      <c r="M134" t="s">
        <v>258</v>
      </c>
      <c r="N134" t="s">
        <v>12</v>
      </c>
      <c r="O134" t="s">
        <v>259</v>
      </c>
      <c r="P134">
        <v>0</v>
      </c>
      <c r="Q134">
        <v>0</v>
      </c>
      <c r="R134">
        <v>0</v>
      </c>
      <c r="S134">
        <v>0.25</v>
      </c>
      <c r="T134">
        <v>0.25</v>
      </c>
      <c r="U134">
        <v>0.25</v>
      </c>
      <c r="V134">
        <v>0.25</v>
      </c>
      <c r="W134">
        <v>0.25</v>
      </c>
      <c r="X134">
        <v>0.5</v>
      </c>
      <c r="Y134">
        <v>0.5</v>
      </c>
      <c r="Z134">
        <v>0.5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258</v>
      </c>
      <c r="AH134" t="s">
        <v>12</v>
      </c>
      <c r="AI134" t="s">
        <v>259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115.345</v>
      </c>
      <c r="AN134">
        <f>$H$134*$T$134</f>
        <v>115.345</v>
      </c>
      <c r="AO134">
        <f>$H$134*$U$134</f>
        <v>115.345</v>
      </c>
      <c r="AP134">
        <f>$H$134*$V$134</f>
        <v>115.345</v>
      </c>
      <c r="AQ134">
        <f>$H$134*$W$134</f>
        <v>115.345</v>
      </c>
      <c r="AR134">
        <f>$H$134*$X$134</f>
        <v>230.69</v>
      </c>
      <c r="AS134">
        <f>$H$134*$Y$134</f>
        <v>230.69</v>
      </c>
      <c r="AT134">
        <f>$H$134*$Z$134</f>
        <v>230.69</v>
      </c>
      <c r="AU134">
        <f>$H$134*$AA$134</f>
        <v>461.38</v>
      </c>
      <c r="AV134">
        <f>$H$134*$AB$134</f>
        <v>461.38</v>
      </c>
      <c r="AW134">
        <f>$H$134*$AC$134</f>
        <v>461.38</v>
      </c>
      <c r="AX134">
        <f>$H$134*$AD$134</f>
        <v>461.38</v>
      </c>
      <c r="AY134">
        <f>$H$134*$AE$134</f>
        <v>461.38</v>
      </c>
      <c r="AZ134">
        <f>$H$134*$AF$134</f>
        <v>461.38</v>
      </c>
    </row>
    <row r="135" spans="1:52" x14ac:dyDescent="0.25">
      <c r="A135">
        <v>180</v>
      </c>
      <c r="B135" t="s">
        <v>258</v>
      </c>
      <c r="C135" t="s">
        <v>383</v>
      </c>
      <c r="D135">
        <v>9</v>
      </c>
      <c r="E135">
        <v>8.19</v>
      </c>
      <c r="F135" t="s">
        <v>294</v>
      </c>
      <c r="G135">
        <v>0.91</v>
      </c>
      <c r="H135">
        <v>9.83</v>
      </c>
      <c r="I135" t="s">
        <v>295</v>
      </c>
      <c r="J135" t="s">
        <v>384</v>
      </c>
      <c r="K135" t="s">
        <v>547</v>
      </c>
      <c r="L135" t="s">
        <v>200</v>
      </c>
      <c r="M135" t="s">
        <v>258</v>
      </c>
      <c r="N135" t="s">
        <v>12</v>
      </c>
      <c r="O135" t="s">
        <v>259</v>
      </c>
      <c r="P135">
        <v>0</v>
      </c>
      <c r="Q135">
        <v>0</v>
      </c>
      <c r="R135">
        <v>0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258</v>
      </c>
      <c r="AH135" t="s">
        <v>12</v>
      </c>
      <c r="AI135" t="s">
        <v>259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9.83</v>
      </c>
      <c r="AN135">
        <f>$H$135*$T$135</f>
        <v>9.83</v>
      </c>
      <c r="AO135">
        <f>$H$135*$U$135</f>
        <v>9.83</v>
      </c>
      <c r="AP135">
        <f>$H$135*$V$135</f>
        <v>9.83</v>
      </c>
      <c r="AQ135">
        <f>$H$135*$W$135</f>
        <v>9.83</v>
      </c>
      <c r="AR135">
        <f>$H$135*$X$135</f>
        <v>9.83</v>
      </c>
      <c r="AS135">
        <f>$H$135*$Y$135</f>
        <v>9.83</v>
      </c>
      <c r="AT135">
        <f>$H$135*$Z$135</f>
        <v>9.83</v>
      </c>
      <c r="AU135">
        <f>$H$135*$AA$135</f>
        <v>9.83</v>
      </c>
      <c r="AV135">
        <f>$H$135*$AB$135</f>
        <v>9.83</v>
      </c>
      <c r="AW135">
        <f>$H$135*$AC$135</f>
        <v>9.83</v>
      </c>
      <c r="AX135">
        <f>$H$135*$AD$135</f>
        <v>9.83</v>
      </c>
      <c r="AY135">
        <f>$H$135*$AE$135</f>
        <v>9.83</v>
      </c>
      <c r="AZ135">
        <f>$H$135*$AF$135</f>
        <v>9.83</v>
      </c>
    </row>
    <row r="136" spans="1:52" x14ac:dyDescent="0.25">
      <c r="A136">
        <v>181</v>
      </c>
      <c r="B136" t="s">
        <v>258</v>
      </c>
      <c r="C136" t="s">
        <v>385</v>
      </c>
      <c r="D136">
        <v>9</v>
      </c>
      <c r="E136">
        <v>46.08</v>
      </c>
      <c r="F136" t="s">
        <v>294</v>
      </c>
      <c r="G136">
        <v>5.12</v>
      </c>
      <c r="H136">
        <v>55.3</v>
      </c>
      <c r="I136" t="s">
        <v>298</v>
      </c>
      <c r="J136" t="s">
        <v>386</v>
      </c>
      <c r="K136" t="s">
        <v>548</v>
      </c>
      <c r="L136" t="s">
        <v>200</v>
      </c>
      <c r="M136" t="s">
        <v>258</v>
      </c>
      <c r="N136" t="s">
        <v>12</v>
      </c>
      <c r="O136" t="s">
        <v>259</v>
      </c>
      <c r="P136">
        <v>0</v>
      </c>
      <c r="Q136">
        <v>0</v>
      </c>
      <c r="R136">
        <v>0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258</v>
      </c>
      <c r="AH136" t="s">
        <v>12</v>
      </c>
      <c r="AI136" t="s">
        <v>259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55.3</v>
      </c>
      <c r="AN136">
        <f>$H$136*$T$136</f>
        <v>55.3</v>
      </c>
      <c r="AO136">
        <f>$H$136*$U$136</f>
        <v>55.3</v>
      </c>
      <c r="AP136">
        <f>$H$136*$V$136</f>
        <v>55.3</v>
      </c>
      <c r="AQ136">
        <f>$H$136*$W$136</f>
        <v>55.3</v>
      </c>
      <c r="AR136">
        <f>$H$136*$X$136</f>
        <v>55.3</v>
      </c>
      <c r="AS136">
        <f>$H$136*$Y$136</f>
        <v>55.3</v>
      </c>
      <c r="AT136">
        <f>$H$136*$Z$136</f>
        <v>55.3</v>
      </c>
      <c r="AU136">
        <f>$H$136*$AA$136</f>
        <v>55.3</v>
      </c>
      <c r="AV136">
        <f>$H$136*$AB$136</f>
        <v>55.3</v>
      </c>
      <c r="AW136">
        <f>$H$136*$AC$136</f>
        <v>55.3</v>
      </c>
      <c r="AX136">
        <f>$H$136*$AD$136</f>
        <v>55.3</v>
      </c>
      <c r="AY136">
        <f>$H$136*$AE$136</f>
        <v>55.3</v>
      </c>
      <c r="AZ136">
        <f>$H$136*$AF$136</f>
        <v>55.3</v>
      </c>
    </row>
    <row r="137" spans="1:52" x14ac:dyDescent="0.25">
      <c r="A137">
        <v>182</v>
      </c>
      <c r="B137" t="s">
        <v>258</v>
      </c>
      <c r="C137" t="s">
        <v>326</v>
      </c>
      <c r="D137">
        <v>20.25</v>
      </c>
      <c r="E137">
        <v>54.07</v>
      </c>
      <c r="F137" t="s">
        <v>313</v>
      </c>
      <c r="G137">
        <v>2.67</v>
      </c>
      <c r="H137">
        <v>64.89</v>
      </c>
      <c r="I137" t="s">
        <v>327</v>
      </c>
      <c r="J137" t="s">
        <v>328</v>
      </c>
      <c r="K137" t="s">
        <v>519</v>
      </c>
      <c r="L137" t="s">
        <v>200</v>
      </c>
      <c r="M137" t="s">
        <v>258</v>
      </c>
      <c r="N137" t="s">
        <v>12</v>
      </c>
      <c r="O137" t="s">
        <v>259</v>
      </c>
      <c r="P137">
        <v>0</v>
      </c>
      <c r="Q137">
        <v>0</v>
      </c>
      <c r="R137">
        <v>0</v>
      </c>
      <c r="S137">
        <v>0.25</v>
      </c>
      <c r="T137">
        <v>0.25</v>
      </c>
      <c r="U137">
        <v>0.25</v>
      </c>
      <c r="V137">
        <v>0.25</v>
      </c>
      <c r="W137">
        <v>0.25</v>
      </c>
      <c r="X137">
        <v>0.5</v>
      </c>
      <c r="Y137">
        <v>0.5</v>
      </c>
      <c r="Z137">
        <v>0.5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258</v>
      </c>
      <c r="AH137" t="s">
        <v>12</v>
      </c>
      <c r="AI137" t="s">
        <v>259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16.2225</v>
      </c>
      <c r="AN137">
        <f>$H$137*$T$137</f>
        <v>16.2225</v>
      </c>
      <c r="AO137">
        <f>$H$137*$U$137</f>
        <v>16.2225</v>
      </c>
      <c r="AP137">
        <f>$H$137*$V$137</f>
        <v>16.2225</v>
      </c>
      <c r="AQ137">
        <f>$H$137*$W$137</f>
        <v>16.2225</v>
      </c>
      <c r="AR137">
        <f>$H$137*$X$137</f>
        <v>32.445</v>
      </c>
      <c r="AS137">
        <f>$H$137*$Y$137</f>
        <v>32.445</v>
      </c>
      <c r="AT137">
        <f>$H$137*$Z$137</f>
        <v>32.445</v>
      </c>
      <c r="AU137">
        <f>$H$137*$AA$137</f>
        <v>64.89</v>
      </c>
      <c r="AV137">
        <f>$H$137*$AB$137</f>
        <v>64.89</v>
      </c>
      <c r="AW137">
        <f>$H$137*$AC$137</f>
        <v>64.89</v>
      </c>
      <c r="AX137">
        <f>$H$137*$AD$137</f>
        <v>64.89</v>
      </c>
      <c r="AY137">
        <f>$H$137*$AE$137</f>
        <v>64.89</v>
      </c>
      <c r="AZ137">
        <f>$H$137*$AF$137</f>
        <v>64.89</v>
      </c>
    </row>
    <row r="138" spans="1:52" x14ac:dyDescent="0.25">
      <c r="A138">
        <v>183</v>
      </c>
      <c r="B138" t="s">
        <v>258</v>
      </c>
      <c r="C138" t="s">
        <v>387</v>
      </c>
      <c r="D138">
        <v>20.25</v>
      </c>
      <c r="E138">
        <v>12.76</v>
      </c>
      <c r="F138" t="s">
        <v>313</v>
      </c>
      <c r="G138">
        <v>0.63</v>
      </c>
      <c r="H138">
        <v>15.32</v>
      </c>
      <c r="I138" t="s">
        <v>295</v>
      </c>
      <c r="J138" t="s">
        <v>388</v>
      </c>
      <c r="K138" t="s">
        <v>549</v>
      </c>
      <c r="L138" t="s">
        <v>200</v>
      </c>
      <c r="M138" t="s">
        <v>258</v>
      </c>
      <c r="N138" t="s">
        <v>12</v>
      </c>
      <c r="O138" t="s">
        <v>259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1</v>
      </c>
      <c r="AF138">
        <v>1</v>
      </c>
      <c r="AG138" t="s">
        <v>258</v>
      </c>
      <c r="AH138" t="s">
        <v>12</v>
      </c>
      <c r="AI138" t="s">
        <v>259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0</v>
      </c>
      <c r="AV138">
        <f>$H$138*$AB$138</f>
        <v>0</v>
      </c>
      <c r="AW138">
        <f>$H$138*$AC$138</f>
        <v>0</v>
      </c>
      <c r="AX138">
        <f>$H$138*$AD$138</f>
        <v>15.32</v>
      </c>
      <c r="AY138">
        <f>$H$138*$AE$138</f>
        <v>15.32</v>
      </c>
      <c r="AZ138">
        <f>$H$138*$AF$138</f>
        <v>15.32</v>
      </c>
    </row>
    <row r="139" spans="1:52" x14ac:dyDescent="0.25">
      <c r="A139">
        <v>184</v>
      </c>
      <c r="B139" t="s">
        <v>258</v>
      </c>
      <c r="C139" t="s">
        <v>389</v>
      </c>
      <c r="D139">
        <v>20.25</v>
      </c>
      <c r="E139">
        <v>13.97</v>
      </c>
      <c r="F139" t="s">
        <v>313</v>
      </c>
      <c r="G139">
        <v>0.69</v>
      </c>
      <c r="H139">
        <v>16.77</v>
      </c>
      <c r="I139" t="s">
        <v>295</v>
      </c>
      <c r="J139" t="s">
        <v>390</v>
      </c>
      <c r="K139" t="s">
        <v>550</v>
      </c>
      <c r="L139" t="s">
        <v>200</v>
      </c>
      <c r="M139" t="s">
        <v>258</v>
      </c>
      <c r="N139" t="s">
        <v>12</v>
      </c>
      <c r="O139" t="s">
        <v>259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258</v>
      </c>
      <c r="AH139" t="s">
        <v>12</v>
      </c>
      <c r="AI139" t="s">
        <v>259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16.77</v>
      </c>
      <c r="AN139">
        <f>$H$139*$T$139</f>
        <v>16.77</v>
      </c>
      <c r="AO139">
        <f>$H$139*$U$139</f>
        <v>16.77</v>
      </c>
      <c r="AP139">
        <f>$H$139*$V$139</f>
        <v>16.77</v>
      </c>
      <c r="AQ139">
        <f>$H$139*$W$139</f>
        <v>16.77</v>
      </c>
      <c r="AR139">
        <f>$H$139*$X$139</f>
        <v>16.77</v>
      </c>
      <c r="AS139">
        <f>$H$139*$Y$139</f>
        <v>16.77</v>
      </c>
      <c r="AT139">
        <f>$H$139*$Z$139</f>
        <v>16.77</v>
      </c>
      <c r="AU139">
        <f>$H$139*$AA$139</f>
        <v>16.77</v>
      </c>
      <c r="AV139">
        <f>$H$139*$AB$139</f>
        <v>16.77</v>
      </c>
      <c r="AW139">
        <f>$H$139*$AC$139</f>
        <v>16.77</v>
      </c>
      <c r="AX139">
        <f>$H$139*$AD$139</f>
        <v>16.77</v>
      </c>
      <c r="AY139">
        <f>$H$139*$AE$139</f>
        <v>16.77</v>
      </c>
      <c r="AZ139">
        <f>$H$139*$AF$139</f>
        <v>16.77</v>
      </c>
    </row>
    <row r="140" spans="1:52" x14ac:dyDescent="0.25">
      <c r="A140">
        <v>185</v>
      </c>
      <c r="B140" t="s">
        <v>258</v>
      </c>
      <c r="C140" t="s">
        <v>391</v>
      </c>
      <c r="D140">
        <v>4.25</v>
      </c>
      <c r="E140">
        <v>24.18</v>
      </c>
      <c r="F140" t="s">
        <v>313</v>
      </c>
      <c r="G140">
        <v>5.69</v>
      </c>
      <c r="H140">
        <v>29.02</v>
      </c>
      <c r="I140" t="s">
        <v>392</v>
      </c>
      <c r="J140" t="s">
        <v>393</v>
      </c>
      <c r="K140" t="s">
        <v>551</v>
      </c>
      <c r="L140" t="s">
        <v>200</v>
      </c>
      <c r="M140" t="s">
        <v>258</v>
      </c>
      <c r="N140" t="s">
        <v>12</v>
      </c>
      <c r="O140" t="s">
        <v>259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258</v>
      </c>
      <c r="AH140" t="s">
        <v>12</v>
      </c>
      <c r="AI140" t="s">
        <v>259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29.02</v>
      </c>
      <c r="AN140">
        <f>$H$140*$T$140</f>
        <v>29.02</v>
      </c>
      <c r="AO140">
        <f>$H$140*$U$140</f>
        <v>29.02</v>
      </c>
      <c r="AP140">
        <f>$H$140*$V$140</f>
        <v>29.02</v>
      </c>
      <c r="AQ140">
        <f>$H$140*$W$140</f>
        <v>29.02</v>
      </c>
      <c r="AR140">
        <f>$H$140*$X$140</f>
        <v>29.02</v>
      </c>
      <c r="AS140">
        <f>$H$140*$Y$140</f>
        <v>29.02</v>
      </c>
      <c r="AT140">
        <f>$H$140*$Z$140</f>
        <v>29.02</v>
      </c>
      <c r="AU140">
        <f>$H$140*$AA$140</f>
        <v>29.02</v>
      </c>
      <c r="AV140">
        <f>$H$140*$AB$140</f>
        <v>29.02</v>
      </c>
      <c r="AW140">
        <f>$H$140*$AC$140</f>
        <v>29.02</v>
      </c>
      <c r="AX140">
        <f>$H$140*$AD$140</f>
        <v>29.02</v>
      </c>
      <c r="AY140">
        <f>$H$140*$AE$140</f>
        <v>29.02</v>
      </c>
      <c r="AZ140">
        <f>$H$140*$AF$140</f>
        <v>29.02</v>
      </c>
    </row>
    <row r="141" spans="1:52" x14ac:dyDescent="0.25">
      <c r="A141">
        <v>186</v>
      </c>
      <c r="B141" t="s">
        <v>258</v>
      </c>
      <c r="C141" t="s">
        <v>394</v>
      </c>
      <c r="D141">
        <v>4.66</v>
      </c>
      <c r="E141">
        <v>27.59</v>
      </c>
      <c r="F141" t="s">
        <v>313</v>
      </c>
      <c r="G141">
        <v>5.92</v>
      </c>
      <c r="H141">
        <v>33.11</v>
      </c>
      <c r="I141" t="s">
        <v>392</v>
      </c>
      <c r="J141" t="s">
        <v>334</v>
      </c>
      <c r="K141" t="s">
        <v>552</v>
      </c>
      <c r="L141" t="s">
        <v>200</v>
      </c>
      <c r="M141" t="s">
        <v>258</v>
      </c>
      <c r="N141" t="s">
        <v>12</v>
      </c>
      <c r="O141" t="s">
        <v>259</v>
      </c>
      <c r="P141">
        <v>0</v>
      </c>
      <c r="Q141">
        <v>0</v>
      </c>
      <c r="R141">
        <v>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258</v>
      </c>
      <c r="AH141" t="s">
        <v>12</v>
      </c>
      <c r="AI141" t="s">
        <v>259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33.11</v>
      </c>
      <c r="AN141">
        <f>$H$141*$T$141</f>
        <v>33.11</v>
      </c>
      <c r="AO141">
        <f>$H$141*$U$141</f>
        <v>33.11</v>
      </c>
      <c r="AP141">
        <f>$H$141*$V$141</f>
        <v>33.11</v>
      </c>
      <c r="AQ141">
        <f>$H$141*$W$141</f>
        <v>33.11</v>
      </c>
      <c r="AR141">
        <f>$H$141*$X$141</f>
        <v>33.11</v>
      </c>
      <c r="AS141">
        <f>$H$141*$Y$141</f>
        <v>33.11</v>
      </c>
      <c r="AT141">
        <f>$H$141*$Z$141</f>
        <v>33.11</v>
      </c>
      <c r="AU141">
        <f>$H$141*$AA$141</f>
        <v>33.11</v>
      </c>
      <c r="AV141">
        <f>$H$141*$AB$141</f>
        <v>33.11</v>
      </c>
      <c r="AW141">
        <f>$H$141*$AC$141</f>
        <v>33.11</v>
      </c>
      <c r="AX141">
        <f>$H$141*$AD$141</f>
        <v>33.11</v>
      </c>
      <c r="AY141">
        <f>$H$141*$AE$141</f>
        <v>33.11</v>
      </c>
      <c r="AZ141">
        <f>$H$141*$AF$141</f>
        <v>33.11</v>
      </c>
    </row>
    <row r="142" spans="1:52" x14ac:dyDescent="0.25">
      <c r="A142">
        <v>187</v>
      </c>
      <c r="B142" t="s">
        <v>258</v>
      </c>
      <c r="C142" t="s">
        <v>395</v>
      </c>
      <c r="D142">
        <v>5.65</v>
      </c>
      <c r="E142">
        <v>30.85</v>
      </c>
      <c r="F142" t="s">
        <v>313</v>
      </c>
      <c r="G142">
        <v>5.46</v>
      </c>
      <c r="H142">
        <v>37.03</v>
      </c>
      <c r="I142" t="s">
        <v>396</v>
      </c>
      <c r="J142" t="s">
        <v>397</v>
      </c>
      <c r="K142" t="s">
        <v>553</v>
      </c>
      <c r="L142" t="s">
        <v>200</v>
      </c>
      <c r="M142" t="s">
        <v>258</v>
      </c>
      <c r="N142" t="s">
        <v>12</v>
      </c>
      <c r="O142" t="s">
        <v>259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258</v>
      </c>
      <c r="AH142" t="s">
        <v>12</v>
      </c>
      <c r="AI142" t="s">
        <v>259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37.03</v>
      </c>
      <c r="AN142">
        <f>$H$142*$T$142</f>
        <v>37.03</v>
      </c>
      <c r="AO142">
        <f>$H$142*$U$142</f>
        <v>37.03</v>
      </c>
      <c r="AP142">
        <f>$H$142*$V$142</f>
        <v>37.03</v>
      </c>
      <c r="AQ142">
        <f>$H$142*$W$142</f>
        <v>37.03</v>
      </c>
      <c r="AR142">
        <f>$H$142*$X$142</f>
        <v>37.03</v>
      </c>
      <c r="AS142">
        <f>$H$142*$Y$142</f>
        <v>37.03</v>
      </c>
      <c r="AT142">
        <f>$H$142*$Z$142</f>
        <v>37.03</v>
      </c>
      <c r="AU142">
        <f>$H$142*$AA$142</f>
        <v>37.03</v>
      </c>
      <c r="AV142">
        <f>$H$142*$AB$142</f>
        <v>37.03</v>
      </c>
      <c r="AW142">
        <f>$H$142*$AC$142</f>
        <v>37.03</v>
      </c>
      <c r="AX142">
        <f>$H$142*$AD$142</f>
        <v>37.03</v>
      </c>
      <c r="AY142">
        <f>$H$142*$AE$142</f>
        <v>37.03</v>
      </c>
      <c r="AZ142">
        <f>$H$142*$AF$142</f>
        <v>37.03</v>
      </c>
    </row>
    <row r="143" spans="1:52" x14ac:dyDescent="0.25">
      <c r="A143">
        <v>188</v>
      </c>
      <c r="B143" t="s">
        <v>258</v>
      </c>
      <c r="C143" t="s">
        <v>398</v>
      </c>
      <c r="D143">
        <v>5.65</v>
      </c>
      <c r="E143">
        <v>20.23</v>
      </c>
      <c r="F143" t="s">
        <v>313</v>
      </c>
      <c r="G143">
        <v>3.58</v>
      </c>
      <c r="H143">
        <v>24.27</v>
      </c>
      <c r="I143" t="s">
        <v>396</v>
      </c>
      <c r="J143" t="s">
        <v>399</v>
      </c>
      <c r="K143" t="s">
        <v>554</v>
      </c>
      <c r="L143" t="s">
        <v>200</v>
      </c>
      <c r="M143" t="s">
        <v>258</v>
      </c>
      <c r="N143" t="s">
        <v>12</v>
      </c>
      <c r="O143" t="s">
        <v>259</v>
      </c>
      <c r="P143">
        <v>0</v>
      </c>
      <c r="Q143">
        <v>0</v>
      </c>
      <c r="R143">
        <v>0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258</v>
      </c>
      <c r="AH143" t="s">
        <v>12</v>
      </c>
      <c r="AI143" t="s">
        <v>259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24.27</v>
      </c>
      <c r="AN143">
        <f>$H$143*$T$143</f>
        <v>24.27</v>
      </c>
      <c r="AO143">
        <f>$H$143*$U$143</f>
        <v>24.27</v>
      </c>
      <c r="AP143">
        <f>$H$143*$V$143</f>
        <v>24.27</v>
      </c>
      <c r="AQ143">
        <f>$H$143*$W$143</f>
        <v>24.27</v>
      </c>
      <c r="AR143">
        <f>$H$143*$X$143</f>
        <v>24.27</v>
      </c>
      <c r="AS143">
        <f>$H$143*$Y$143</f>
        <v>24.27</v>
      </c>
      <c r="AT143">
        <f>$H$143*$Z$143</f>
        <v>24.27</v>
      </c>
      <c r="AU143">
        <f>$H$143*$AA$143</f>
        <v>24.27</v>
      </c>
      <c r="AV143">
        <f>$H$143*$AB$143</f>
        <v>24.27</v>
      </c>
      <c r="AW143">
        <f>$H$143*$AC$143</f>
        <v>24.27</v>
      </c>
      <c r="AX143">
        <f>$H$143*$AD$143</f>
        <v>24.27</v>
      </c>
      <c r="AY143">
        <f>$H$143*$AE$143</f>
        <v>24.27</v>
      </c>
      <c r="AZ143">
        <f>$H$143*$AF$143</f>
        <v>24.27</v>
      </c>
    </row>
    <row r="144" spans="1:52" x14ac:dyDescent="0.25">
      <c r="A144">
        <v>189</v>
      </c>
      <c r="B144" t="s">
        <v>258</v>
      </c>
      <c r="C144" t="s">
        <v>400</v>
      </c>
      <c r="D144">
        <v>5.65</v>
      </c>
      <c r="E144">
        <v>49.16</v>
      </c>
      <c r="F144" t="s">
        <v>313</v>
      </c>
      <c r="G144">
        <v>8.6999999999999993</v>
      </c>
      <c r="H144">
        <v>59</v>
      </c>
      <c r="I144" t="s">
        <v>396</v>
      </c>
      <c r="J144" t="s">
        <v>334</v>
      </c>
      <c r="K144" t="s">
        <v>555</v>
      </c>
      <c r="L144" t="s">
        <v>200</v>
      </c>
      <c r="M144" t="s">
        <v>258</v>
      </c>
      <c r="N144" t="s">
        <v>12</v>
      </c>
      <c r="O144" t="s">
        <v>259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258</v>
      </c>
      <c r="AH144" t="s">
        <v>12</v>
      </c>
      <c r="AI144" t="s">
        <v>259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59</v>
      </c>
      <c r="AN144">
        <f>$H$144*$T$144</f>
        <v>59</v>
      </c>
      <c r="AO144">
        <f>$H$144*$U$144</f>
        <v>59</v>
      </c>
      <c r="AP144">
        <f>$H$144*$V$144</f>
        <v>59</v>
      </c>
      <c r="AQ144">
        <f>$H$144*$W$144</f>
        <v>59</v>
      </c>
      <c r="AR144">
        <f>$H$144*$X$144</f>
        <v>59</v>
      </c>
      <c r="AS144">
        <f>$H$144*$Y$144</f>
        <v>59</v>
      </c>
      <c r="AT144">
        <f>$H$144*$Z$144</f>
        <v>59</v>
      </c>
      <c r="AU144">
        <f>$H$144*$AA$144</f>
        <v>59</v>
      </c>
      <c r="AV144">
        <f>$H$144*$AB$144</f>
        <v>59</v>
      </c>
      <c r="AW144">
        <f>$H$144*$AC$144</f>
        <v>59</v>
      </c>
      <c r="AX144">
        <f>$H$144*$AD$144</f>
        <v>59</v>
      </c>
      <c r="AY144">
        <f>$H$144*$AE$144</f>
        <v>59</v>
      </c>
      <c r="AZ144">
        <f>$H$144*$AF$144</f>
        <v>59</v>
      </c>
    </row>
    <row r="145" spans="1:52" x14ac:dyDescent="0.25">
      <c r="A145">
        <v>190</v>
      </c>
      <c r="B145" t="s">
        <v>258</v>
      </c>
      <c r="C145" t="s">
        <v>401</v>
      </c>
      <c r="D145">
        <v>4.66</v>
      </c>
      <c r="E145">
        <v>3.68</v>
      </c>
      <c r="F145" t="s">
        <v>313</v>
      </c>
      <c r="G145">
        <v>0.79</v>
      </c>
      <c r="H145">
        <v>4.42</v>
      </c>
      <c r="I145" t="s">
        <v>339</v>
      </c>
      <c r="J145" t="s">
        <v>402</v>
      </c>
      <c r="K145" t="s">
        <v>556</v>
      </c>
      <c r="L145" t="s">
        <v>200</v>
      </c>
      <c r="M145" t="s">
        <v>258</v>
      </c>
      <c r="N145" t="s">
        <v>12</v>
      </c>
      <c r="O145" t="s">
        <v>259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258</v>
      </c>
      <c r="AH145" t="s">
        <v>12</v>
      </c>
      <c r="AI145" t="s">
        <v>259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4.42</v>
      </c>
      <c r="AN145">
        <f>$H$145*$T$145</f>
        <v>4.42</v>
      </c>
      <c r="AO145">
        <f>$H$145*$U$145</f>
        <v>4.42</v>
      </c>
      <c r="AP145">
        <f>$H$145*$V$145</f>
        <v>4.42</v>
      </c>
      <c r="AQ145">
        <f>$H$145*$W$145</f>
        <v>4.42</v>
      </c>
      <c r="AR145">
        <f>$H$145*$X$145</f>
        <v>4.42</v>
      </c>
      <c r="AS145">
        <f>$H$145*$Y$145</f>
        <v>4.42</v>
      </c>
      <c r="AT145">
        <f>$H$145*$Z$145</f>
        <v>4.42</v>
      </c>
      <c r="AU145">
        <f>$H$145*$AA$145</f>
        <v>4.42</v>
      </c>
      <c r="AV145">
        <f>$H$145*$AB$145</f>
        <v>4.42</v>
      </c>
      <c r="AW145">
        <f>$H$145*$AC$145</f>
        <v>4.42</v>
      </c>
      <c r="AX145">
        <f>$H$145*$AD$145</f>
        <v>4.42</v>
      </c>
      <c r="AY145">
        <f>$H$145*$AE$145</f>
        <v>4.42</v>
      </c>
      <c r="AZ145">
        <f>$H$145*$AF$145</f>
        <v>4.42</v>
      </c>
    </row>
    <row r="146" spans="1:52" x14ac:dyDescent="0.25">
      <c r="A146">
        <v>191</v>
      </c>
      <c r="B146" t="s">
        <v>258</v>
      </c>
      <c r="C146" t="s">
        <v>403</v>
      </c>
      <c r="D146">
        <v>4.66</v>
      </c>
      <c r="E146">
        <v>24.84</v>
      </c>
      <c r="F146" t="s">
        <v>313</v>
      </c>
      <c r="G146">
        <v>5.33</v>
      </c>
      <c r="H146">
        <v>29.8</v>
      </c>
      <c r="I146" t="s">
        <v>339</v>
      </c>
      <c r="J146" t="s">
        <v>334</v>
      </c>
      <c r="K146" t="s">
        <v>557</v>
      </c>
      <c r="L146" t="s">
        <v>200</v>
      </c>
      <c r="M146" t="s">
        <v>258</v>
      </c>
      <c r="N146" t="s">
        <v>12</v>
      </c>
      <c r="O146" t="s">
        <v>259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258</v>
      </c>
      <c r="AH146" t="s">
        <v>12</v>
      </c>
      <c r="AI146" t="s">
        <v>259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29.8</v>
      </c>
      <c r="AN146">
        <f>$H$146*$T$146</f>
        <v>29.8</v>
      </c>
      <c r="AO146">
        <f>$H$146*$U$146</f>
        <v>29.8</v>
      </c>
      <c r="AP146">
        <f>$H$146*$V$146</f>
        <v>29.8</v>
      </c>
      <c r="AQ146">
        <f>$H$146*$W$146</f>
        <v>29.8</v>
      </c>
      <c r="AR146">
        <f>$H$146*$X$146</f>
        <v>29.8</v>
      </c>
      <c r="AS146">
        <f>$H$146*$Y$146</f>
        <v>29.8</v>
      </c>
      <c r="AT146">
        <f>$H$146*$Z$146</f>
        <v>29.8</v>
      </c>
      <c r="AU146">
        <f>$H$146*$AA$146</f>
        <v>29.8</v>
      </c>
      <c r="AV146">
        <f>$H$146*$AB$146</f>
        <v>29.8</v>
      </c>
      <c r="AW146">
        <f>$H$146*$AC$146</f>
        <v>29.8</v>
      </c>
      <c r="AX146">
        <f>$H$146*$AD$146</f>
        <v>29.8</v>
      </c>
      <c r="AY146">
        <f>$H$146*$AE$146</f>
        <v>29.8</v>
      </c>
      <c r="AZ146">
        <f>$H$146*$AF$146</f>
        <v>29.8</v>
      </c>
    </row>
    <row r="147" spans="1:52" x14ac:dyDescent="0.25">
      <c r="A147">
        <v>192</v>
      </c>
      <c r="B147" t="s">
        <v>257</v>
      </c>
      <c r="C147" t="s">
        <v>404</v>
      </c>
      <c r="D147">
        <v>50</v>
      </c>
      <c r="E147">
        <v>440.5</v>
      </c>
      <c r="F147" t="s">
        <v>313</v>
      </c>
      <c r="G147">
        <v>8.81</v>
      </c>
      <c r="H147">
        <v>528.6</v>
      </c>
      <c r="I147" t="s">
        <v>405</v>
      </c>
      <c r="J147" t="s">
        <v>406</v>
      </c>
      <c r="K147" t="s">
        <v>558</v>
      </c>
      <c r="L147" t="s">
        <v>200</v>
      </c>
      <c r="M147" t="s">
        <v>257</v>
      </c>
      <c r="N147" t="s">
        <v>51</v>
      </c>
      <c r="O147" t="s">
        <v>13</v>
      </c>
      <c r="P147">
        <v>0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257</v>
      </c>
      <c r="AH147" t="s">
        <v>51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528.6</v>
      </c>
      <c r="AN147">
        <f>$H$147*$T$147</f>
        <v>528.6</v>
      </c>
      <c r="AO147">
        <f>$H$147*$U$147</f>
        <v>528.6</v>
      </c>
      <c r="AP147">
        <f>$H$147*$V$147</f>
        <v>528.6</v>
      </c>
      <c r="AQ147">
        <f>$H$147*$W$147</f>
        <v>528.6</v>
      </c>
      <c r="AR147">
        <f>$H$147*$X$147</f>
        <v>528.6</v>
      </c>
      <c r="AS147">
        <f>$H$147*$Y$147</f>
        <v>528.6</v>
      </c>
      <c r="AT147">
        <f>$H$147*$Z$147</f>
        <v>528.6</v>
      </c>
      <c r="AU147">
        <f>$H$147*$AA$147</f>
        <v>528.6</v>
      </c>
      <c r="AV147">
        <f>$H$147*$AB$147</f>
        <v>528.6</v>
      </c>
      <c r="AW147">
        <f>$H$147*$AC$147</f>
        <v>528.6</v>
      </c>
      <c r="AX147">
        <f>$H$147*$AD$147</f>
        <v>528.6</v>
      </c>
      <c r="AY147">
        <f>$H$147*$AE$147</f>
        <v>528.6</v>
      </c>
      <c r="AZ147">
        <f>$H$147*$AF$147</f>
        <v>528.6</v>
      </c>
    </row>
    <row r="148" spans="1:52" x14ac:dyDescent="0.25">
      <c r="A148">
        <v>193</v>
      </c>
      <c r="B148" t="s">
        <v>257</v>
      </c>
      <c r="C148" t="s">
        <v>407</v>
      </c>
      <c r="D148">
        <v>1</v>
      </c>
      <c r="E148">
        <v>1081.7</v>
      </c>
      <c r="F148" t="s">
        <v>299</v>
      </c>
      <c r="G148">
        <v>1081.7</v>
      </c>
      <c r="H148">
        <v>1298.04</v>
      </c>
      <c r="I148" t="s">
        <v>405</v>
      </c>
      <c r="J148" t="s">
        <v>408</v>
      </c>
      <c r="K148" t="s">
        <v>559</v>
      </c>
      <c r="L148" t="s">
        <v>200</v>
      </c>
      <c r="M148" t="s">
        <v>257</v>
      </c>
      <c r="N148" t="s">
        <v>51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257</v>
      </c>
      <c r="AH148" t="s">
        <v>51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1298.04</v>
      </c>
      <c r="AU148">
        <f>$H$148*$AA$148</f>
        <v>1298.04</v>
      </c>
      <c r="AV148">
        <f>$H$148*$AB$148</f>
        <v>1298.04</v>
      </c>
      <c r="AW148">
        <f>$H$148*$AC$148</f>
        <v>1298.04</v>
      </c>
      <c r="AX148">
        <f>$H$148*$AD$148</f>
        <v>1298.04</v>
      </c>
      <c r="AY148">
        <f>$H$148*$AE$148</f>
        <v>1298.04</v>
      </c>
      <c r="AZ148">
        <f>$H$148*$AF$148</f>
        <v>1298.04</v>
      </c>
    </row>
    <row r="149" spans="1:52" x14ac:dyDescent="0.25">
      <c r="A149">
        <v>194</v>
      </c>
      <c r="B149" t="s">
        <v>257</v>
      </c>
      <c r="C149" t="s">
        <v>409</v>
      </c>
      <c r="D149">
        <v>1</v>
      </c>
      <c r="E149">
        <v>27.56</v>
      </c>
      <c r="F149" t="s">
        <v>299</v>
      </c>
      <c r="G149">
        <v>27.56</v>
      </c>
      <c r="H149">
        <v>33.08</v>
      </c>
      <c r="I149" t="s">
        <v>330</v>
      </c>
      <c r="J149" t="s">
        <v>410</v>
      </c>
      <c r="K149" t="s">
        <v>560</v>
      </c>
      <c r="L149" t="s">
        <v>200</v>
      </c>
      <c r="M149" t="s">
        <v>257</v>
      </c>
      <c r="N149" t="s">
        <v>51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257</v>
      </c>
      <c r="AH149" t="s">
        <v>51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33.08</v>
      </c>
      <c r="AV149">
        <f>$H$149*$AB$149</f>
        <v>33.08</v>
      </c>
      <c r="AW149">
        <f>$H$149*$AC$149</f>
        <v>33.08</v>
      </c>
      <c r="AX149">
        <f>$H$149*$AD$149</f>
        <v>33.08</v>
      </c>
      <c r="AY149">
        <f>$H$149*$AE$149</f>
        <v>33.08</v>
      </c>
      <c r="AZ149">
        <f>$H$149*$AF$149</f>
        <v>33.08</v>
      </c>
    </row>
    <row r="150" spans="1:52" x14ac:dyDescent="0.25">
      <c r="A150">
        <v>195</v>
      </c>
      <c r="B150" t="s">
        <v>257</v>
      </c>
      <c r="C150" t="s">
        <v>411</v>
      </c>
      <c r="D150">
        <v>1</v>
      </c>
      <c r="E150">
        <v>24.93</v>
      </c>
      <c r="F150" t="s">
        <v>299</v>
      </c>
      <c r="G150">
        <v>24.93</v>
      </c>
      <c r="H150">
        <v>29.91</v>
      </c>
      <c r="I150" t="s">
        <v>330</v>
      </c>
      <c r="J150" t="s">
        <v>412</v>
      </c>
      <c r="K150" t="s">
        <v>561</v>
      </c>
      <c r="L150" t="s">
        <v>200</v>
      </c>
      <c r="M150" t="s">
        <v>257</v>
      </c>
      <c r="N150" t="s">
        <v>51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257</v>
      </c>
      <c r="AH150" t="s">
        <v>51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29.91</v>
      </c>
      <c r="AT150">
        <f>$H$150*$Z$150</f>
        <v>29.91</v>
      </c>
      <c r="AU150">
        <f>$H$150*$AA$150</f>
        <v>29.91</v>
      </c>
      <c r="AV150">
        <f>$H$150*$AB$150</f>
        <v>29.91</v>
      </c>
      <c r="AW150">
        <f>$H$150*$AC$150</f>
        <v>29.91</v>
      </c>
      <c r="AX150">
        <f>$H$150*$AD$150</f>
        <v>29.91</v>
      </c>
      <c r="AY150">
        <f>$H$150*$AE$150</f>
        <v>29.91</v>
      </c>
      <c r="AZ150">
        <f>$H$150*$AF$150</f>
        <v>29.91</v>
      </c>
    </row>
    <row r="151" spans="1:52" x14ac:dyDescent="0.25">
      <c r="A151">
        <v>196</v>
      </c>
      <c r="B151" t="s">
        <v>257</v>
      </c>
      <c r="C151" t="s">
        <v>413</v>
      </c>
      <c r="D151">
        <v>1</v>
      </c>
      <c r="E151">
        <v>25.92</v>
      </c>
      <c r="F151" t="s">
        <v>299</v>
      </c>
      <c r="G151">
        <v>25.92</v>
      </c>
      <c r="H151">
        <v>31.1</v>
      </c>
      <c r="I151" t="s">
        <v>330</v>
      </c>
      <c r="J151" t="s">
        <v>414</v>
      </c>
      <c r="K151" t="s">
        <v>562</v>
      </c>
      <c r="L151" t="s">
        <v>200</v>
      </c>
      <c r="M151" t="s">
        <v>257</v>
      </c>
      <c r="N151" t="s">
        <v>51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257</v>
      </c>
      <c r="AH151" t="s">
        <v>51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31.1</v>
      </c>
      <c r="AV151">
        <f>$H$151*$AB$151</f>
        <v>31.1</v>
      </c>
      <c r="AW151">
        <f>$H$151*$AC$151</f>
        <v>31.1</v>
      </c>
      <c r="AX151">
        <f>$H$151*$AD$151</f>
        <v>31.1</v>
      </c>
      <c r="AY151">
        <f>$H$151*$AE$151</f>
        <v>31.1</v>
      </c>
      <c r="AZ151">
        <f>$H$151*$AF$151</f>
        <v>31.1</v>
      </c>
    </row>
    <row r="152" spans="1:52" x14ac:dyDescent="0.25">
      <c r="A152">
        <v>197</v>
      </c>
      <c r="B152" t="s">
        <v>257</v>
      </c>
      <c r="C152" t="s">
        <v>320</v>
      </c>
      <c r="D152">
        <v>10</v>
      </c>
      <c r="E152">
        <v>44.4</v>
      </c>
      <c r="F152" t="s">
        <v>294</v>
      </c>
      <c r="G152">
        <v>4.4400000000000004</v>
      </c>
      <c r="H152">
        <v>53.28</v>
      </c>
      <c r="I152" t="s">
        <v>295</v>
      </c>
      <c r="J152" t="s">
        <v>321</v>
      </c>
      <c r="K152" t="s">
        <v>516</v>
      </c>
      <c r="L152" t="s">
        <v>200</v>
      </c>
      <c r="M152" t="s">
        <v>257</v>
      </c>
      <c r="N152" t="s">
        <v>51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257</v>
      </c>
      <c r="AH152" t="s">
        <v>51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53.28</v>
      </c>
      <c r="AV152">
        <f>$H$152*$AB$152</f>
        <v>53.28</v>
      </c>
      <c r="AW152">
        <f>$H$152*$AC$152</f>
        <v>53.28</v>
      </c>
      <c r="AX152">
        <f>$H$152*$AD$152</f>
        <v>53.28</v>
      </c>
      <c r="AY152">
        <f>$H$152*$AE$152</f>
        <v>53.28</v>
      </c>
      <c r="AZ152">
        <f>$H$152*$AF$152</f>
        <v>53.28</v>
      </c>
    </row>
    <row r="153" spans="1:52" x14ac:dyDescent="0.25">
      <c r="A153">
        <v>198</v>
      </c>
      <c r="B153" t="s">
        <v>257</v>
      </c>
      <c r="C153" t="s">
        <v>322</v>
      </c>
      <c r="D153">
        <v>10</v>
      </c>
      <c r="E153">
        <v>115.5</v>
      </c>
      <c r="F153" t="s">
        <v>294</v>
      </c>
      <c r="G153">
        <v>11.55</v>
      </c>
      <c r="H153">
        <v>138.6</v>
      </c>
      <c r="I153" t="s">
        <v>298</v>
      </c>
      <c r="J153" t="s">
        <v>323</v>
      </c>
      <c r="K153" t="s">
        <v>517</v>
      </c>
      <c r="L153" t="s">
        <v>200</v>
      </c>
      <c r="M153" t="s">
        <v>257</v>
      </c>
      <c r="N153" t="s">
        <v>51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257</v>
      </c>
      <c r="AH153" t="s">
        <v>51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138.6</v>
      </c>
      <c r="AV153">
        <f>$H$153*$AB$153</f>
        <v>138.6</v>
      </c>
      <c r="AW153">
        <f>$H$153*$AC$153</f>
        <v>138.6</v>
      </c>
      <c r="AX153">
        <f>$H$153*$AD$153</f>
        <v>138.6</v>
      </c>
      <c r="AY153">
        <f>$H$153*$AE$153</f>
        <v>138.6</v>
      </c>
      <c r="AZ153">
        <f>$H$153*$AF$153</f>
        <v>138.6</v>
      </c>
    </row>
    <row r="154" spans="1:52" x14ac:dyDescent="0.25">
      <c r="A154">
        <v>199</v>
      </c>
      <c r="B154" t="s">
        <v>257</v>
      </c>
      <c r="C154" t="s">
        <v>380</v>
      </c>
      <c r="D154">
        <v>2</v>
      </c>
      <c r="E154">
        <v>26.54</v>
      </c>
      <c r="F154" t="s">
        <v>299</v>
      </c>
      <c r="G154">
        <v>13.27</v>
      </c>
      <c r="H154">
        <v>31.84</v>
      </c>
      <c r="I154" t="s">
        <v>301</v>
      </c>
      <c r="J154" t="s">
        <v>381</v>
      </c>
      <c r="K154" t="s">
        <v>545</v>
      </c>
      <c r="L154" t="s">
        <v>200</v>
      </c>
      <c r="M154" t="s">
        <v>257</v>
      </c>
      <c r="N154" t="s">
        <v>51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257</v>
      </c>
      <c r="AH154" t="s">
        <v>51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31.84</v>
      </c>
      <c r="AS154">
        <f>$H$154*$Y$154</f>
        <v>31.84</v>
      </c>
      <c r="AT154">
        <f>$H$154*$Z$154</f>
        <v>31.84</v>
      </c>
      <c r="AU154">
        <f>$H$154*$AA$154</f>
        <v>31.84</v>
      </c>
      <c r="AV154">
        <f>$H$154*$AB$154</f>
        <v>31.84</v>
      </c>
      <c r="AW154">
        <f>$H$154*$AC$154</f>
        <v>31.84</v>
      </c>
      <c r="AX154">
        <f>$H$154*$AD$154</f>
        <v>31.84</v>
      </c>
      <c r="AY154">
        <f>$H$154*$AE$154</f>
        <v>31.84</v>
      </c>
      <c r="AZ154">
        <f>$H$154*$AF$154</f>
        <v>31.84</v>
      </c>
    </row>
    <row r="155" spans="1:52" x14ac:dyDescent="0.25">
      <c r="A155">
        <v>200</v>
      </c>
      <c r="B155" t="s">
        <v>257</v>
      </c>
      <c r="C155" t="s">
        <v>415</v>
      </c>
      <c r="D155">
        <v>6</v>
      </c>
      <c r="E155">
        <v>112.38</v>
      </c>
      <c r="F155" t="s">
        <v>313</v>
      </c>
      <c r="G155">
        <v>18.73</v>
      </c>
      <c r="H155">
        <v>134.86000000000001</v>
      </c>
      <c r="I155" t="s">
        <v>416</v>
      </c>
      <c r="J155" t="s">
        <v>334</v>
      </c>
      <c r="K155" t="s">
        <v>563</v>
      </c>
      <c r="L155" t="s">
        <v>200</v>
      </c>
      <c r="M155" t="s">
        <v>257</v>
      </c>
      <c r="N155" t="s">
        <v>51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257</v>
      </c>
      <c r="AH155" t="s">
        <v>51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134.86000000000001</v>
      </c>
      <c r="AV155">
        <f>$H$155*$AB$155</f>
        <v>134.86000000000001</v>
      </c>
      <c r="AW155">
        <f>$H$155*$AC$155</f>
        <v>134.86000000000001</v>
      </c>
      <c r="AX155">
        <f>$H$155*$AD$155</f>
        <v>134.86000000000001</v>
      </c>
      <c r="AY155">
        <f>$H$155*$AE$155</f>
        <v>134.86000000000001</v>
      </c>
      <c r="AZ155">
        <f>$H$155*$AF$155</f>
        <v>134.86000000000001</v>
      </c>
    </row>
    <row r="156" spans="1:52" x14ac:dyDescent="0.25">
      <c r="A156">
        <v>201</v>
      </c>
      <c r="B156" t="s">
        <v>257</v>
      </c>
      <c r="C156" t="s">
        <v>417</v>
      </c>
      <c r="D156">
        <v>0.75</v>
      </c>
      <c r="E156">
        <v>412.99</v>
      </c>
      <c r="F156" t="s">
        <v>299</v>
      </c>
      <c r="G156">
        <v>550.65</v>
      </c>
      <c r="H156">
        <v>495.59</v>
      </c>
      <c r="I156" t="s">
        <v>317</v>
      </c>
      <c r="J156" t="s">
        <v>418</v>
      </c>
      <c r="K156" t="s">
        <v>564</v>
      </c>
      <c r="L156" t="s">
        <v>200</v>
      </c>
      <c r="M156" t="s">
        <v>257</v>
      </c>
      <c r="N156" t="s">
        <v>51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257</v>
      </c>
      <c r="AH156" t="s">
        <v>51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0</v>
      </c>
      <c r="AS156">
        <f>$H$156*$Y$156</f>
        <v>0</v>
      </c>
      <c r="AT156">
        <f>$H$156*$Z$156</f>
        <v>0</v>
      </c>
      <c r="AU156">
        <f>$H$156*$AA$156</f>
        <v>495.59</v>
      </c>
      <c r="AV156">
        <f>$H$156*$AB$156</f>
        <v>495.59</v>
      </c>
      <c r="AW156">
        <f>$H$156*$AC$156</f>
        <v>495.59</v>
      </c>
      <c r="AX156">
        <f>$H$156*$AD$156</f>
        <v>495.59</v>
      </c>
      <c r="AY156">
        <f>$H$156*$AE$156</f>
        <v>495.59</v>
      </c>
      <c r="AZ156">
        <f>$H$156*$AF$156</f>
        <v>495.59</v>
      </c>
    </row>
    <row r="157" spans="1:52" x14ac:dyDescent="0.25">
      <c r="A157">
        <v>202</v>
      </c>
      <c r="B157" t="s">
        <v>257</v>
      </c>
      <c r="C157" t="s">
        <v>417</v>
      </c>
      <c r="D157">
        <v>0.75</v>
      </c>
      <c r="E157">
        <v>412.99</v>
      </c>
      <c r="F157" t="s">
        <v>299</v>
      </c>
      <c r="G157">
        <v>550.65</v>
      </c>
      <c r="H157">
        <v>495.59</v>
      </c>
      <c r="I157" t="s">
        <v>317</v>
      </c>
      <c r="J157" t="s">
        <v>418</v>
      </c>
      <c r="K157" t="s">
        <v>564</v>
      </c>
      <c r="L157" t="s">
        <v>200</v>
      </c>
      <c r="M157" t="s">
        <v>257</v>
      </c>
      <c r="N157" t="s">
        <v>51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257</v>
      </c>
      <c r="AH157" t="s">
        <v>51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495.59</v>
      </c>
      <c r="AV157">
        <f>$H$157*$AB$157</f>
        <v>495.59</v>
      </c>
      <c r="AW157">
        <f>$H$157*$AC$157</f>
        <v>495.59</v>
      </c>
      <c r="AX157">
        <f>$H$157*$AD$157</f>
        <v>495.59</v>
      </c>
      <c r="AY157">
        <f>$H$157*$AE$157</f>
        <v>495.59</v>
      </c>
      <c r="AZ157">
        <f>$H$157*$AF$157</f>
        <v>495.59</v>
      </c>
    </row>
    <row r="158" spans="1:52" x14ac:dyDescent="0.25">
      <c r="A158">
        <v>203</v>
      </c>
      <c r="B158" t="s">
        <v>257</v>
      </c>
      <c r="C158" t="s">
        <v>417</v>
      </c>
      <c r="D158">
        <v>0.25</v>
      </c>
      <c r="E158">
        <v>137.66</v>
      </c>
      <c r="F158" t="s">
        <v>299</v>
      </c>
      <c r="G158">
        <v>550.65</v>
      </c>
      <c r="H158">
        <v>165.2</v>
      </c>
      <c r="I158" t="s">
        <v>317</v>
      </c>
      <c r="J158" t="s">
        <v>418</v>
      </c>
      <c r="K158" t="s">
        <v>564</v>
      </c>
      <c r="L158" t="s">
        <v>200</v>
      </c>
      <c r="M158" t="s">
        <v>257</v>
      </c>
      <c r="N158" t="s">
        <v>51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257</v>
      </c>
      <c r="AH158" t="s">
        <v>51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0</v>
      </c>
      <c r="AU158">
        <f>$H$158*$AA$158</f>
        <v>165.2</v>
      </c>
      <c r="AV158">
        <f>$H$158*$AB$158</f>
        <v>165.2</v>
      </c>
      <c r="AW158">
        <f>$H$158*$AC$158</f>
        <v>165.2</v>
      </c>
      <c r="AX158">
        <f>$H$158*$AD$158</f>
        <v>165.2</v>
      </c>
      <c r="AY158">
        <f>$H$158*$AE$158</f>
        <v>165.2</v>
      </c>
      <c r="AZ158">
        <f>$H$158*$AF$158</f>
        <v>165.2</v>
      </c>
    </row>
    <row r="159" spans="1:52" x14ac:dyDescent="0.25">
      <c r="A159">
        <v>204</v>
      </c>
      <c r="B159" t="s">
        <v>257</v>
      </c>
      <c r="C159" t="s">
        <v>417</v>
      </c>
      <c r="D159">
        <v>0.25</v>
      </c>
      <c r="E159">
        <v>137.66</v>
      </c>
      <c r="F159" t="s">
        <v>299</v>
      </c>
      <c r="G159">
        <v>550.65</v>
      </c>
      <c r="H159">
        <v>165.2</v>
      </c>
      <c r="I159" t="s">
        <v>317</v>
      </c>
      <c r="J159" t="s">
        <v>418</v>
      </c>
      <c r="K159" t="s">
        <v>564</v>
      </c>
      <c r="L159" t="s">
        <v>200</v>
      </c>
      <c r="M159" t="s">
        <v>257</v>
      </c>
      <c r="N159" t="s">
        <v>51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257</v>
      </c>
      <c r="AH159" t="s">
        <v>51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165.2</v>
      </c>
      <c r="AV159">
        <f>$H$159*$AB$159</f>
        <v>165.2</v>
      </c>
      <c r="AW159">
        <f>$H$159*$AC$159</f>
        <v>165.2</v>
      </c>
      <c r="AX159">
        <f>$H$159*$AD$159</f>
        <v>165.2</v>
      </c>
      <c r="AY159">
        <f>$H$159*$AE$159</f>
        <v>165.2</v>
      </c>
      <c r="AZ159">
        <f>$H$159*$AF$159</f>
        <v>165.2</v>
      </c>
    </row>
    <row r="160" spans="1:52" x14ac:dyDescent="0.25">
      <c r="A160">
        <v>205</v>
      </c>
      <c r="B160" t="s">
        <v>257</v>
      </c>
      <c r="C160" t="s">
        <v>419</v>
      </c>
      <c r="D160">
        <v>1</v>
      </c>
      <c r="E160">
        <v>39.43</v>
      </c>
      <c r="F160" t="s">
        <v>299</v>
      </c>
      <c r="G160">
        <v>39.43</v>
      </c>
      <c r="H160">
        <v>47.31</v>
      </c>
      <c r="I160" t="s">
        <v>317</v>
      </c>
      <c r="J160" t="s">
        <v>420</v>
      </c>
      <c r="K160" t="s">
        <v>565</v>
      </c>
      <c r="L160" t="s">
        <v>200</v>
      </c>
      <c r="M160" t="s">
        <v>257</v>
      </c>
      <c r="N160" t="s">
        <v>51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257</v>
      </c>
      <c r="AH160" t="s">
        <v>51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47.31</v>
      </c>
      <c r="AT160">
        <f>$H$160*$Z$160</f>
        <v>47.31</v>
      </c>
      <c r="AU160">
        <f>$H$160*$AA$160</f>
        <v>47.31</v>
      </c>
      <c r="AV160">
        <f>$H$160*$AB$160</f>
        <v>47.31</v>
      </c>
      <c r="AW160">
        <f>$H$160*$AC$160</f>
        <v>47.31</v>
      </c>
      <c r="AX160">
        <f>$H$160*$AD$160</f>
        <v>47.31</v>
      </c>
      <c r="AY160">
        <f>$H$160*$AE$160</f>
        <v>47.31</v>
      </c>
      <c r="AZ160">
        <f>$H$160*$AF$160</f>
        <v>47.31</v>
      </c>
    </row>
    <row r="161" spans="1:52" x14ac:dyDescent="0.25">
      <c r="A161">
        <v>206</v>
      </c>
      <c r="B161" t="s">
        <v>257</v>
      </c>
      <c r="C161" t="s">
        <v>421</v>
      </c>
      <c r="D161">
        <v>1</v>
      </c>
      <c r="E161">
        <v>419.17</v>
      </c>
      <c r="F161" t="s">
        <v>299</v>
      </c>
      <c r="G161">
        <v>419.17</v>
      </c>
      <c r="H161">
        <v>503.01</v>
      </c>
      <c r="I161" t="s">
        <v>317</v>
      </c>
      <c r="J161" t="s">
        <v>422</v>
      </c>
      <c r="K161" t="s">
        <v>566</v>
      </c>
      <c r="L161" t="s">
        <v>200</v>
      </c>
      <c r="M161" t="s">
        <v>257</v>
      </c>
      <c r="N161" t="s">
        <v>51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257</v>
      </c>
      <c r="AH161" t="s">
        <v>51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503.01</v>
      </c>
      <c r="AT161">
        <f>$H$161*$Z$161</f>
        <v>503.01</v>
      </c>
      <c r="AU161">
        <f>$H$161*$AA$161</f>
        <v>503.01</v>
      </c>
      <c r="AV161">
        <f>$H$161*$AB$161</f>
        <v>503.01</v>
      </c>
      <c r="AW161">
        <f>$H$161*$AC$161</f>
        <v>503.01</v>
      </c>
      <c r="AX161">
        <f>$H$161*$AD$161</f>
        <v>503.01</v>
      </c>
      <c r="AY161">
        <f>$H$161*$AE$161</f>
        <v>503.01</v>
      </c>
      <c r="AZ161">
        <f>$H$161*$AF$161</f>
        <v>503.01</v>
      </c>
    </row>
    <row r="162" spans="1:52" x14ac:dyDescent="0.25">
      <c r="A162">
        <v>207</v>
      </c>
      <c r="B162" t="s">
        <v>257</v>
      </c>
      <c r="C162" t="s">
        <v>423</v>
      </c>
      <c r="D162">
        <v>1</v>
      </c>
      <c r="E162">
        <v>773</v>
      </c>
      <c r="F162" t="s">
        <v>299</v>
      </c>
      <c r="G162">
        <v>773</v>
      </c>
      <c r="H162">
        <v>927.6</v>
      </c>
      <c r="I162" t="s">
        <v>317</v>
      </c>
      <c r="J162" t="s">
        <v>424</v>
      </c>
      <c r="K162" t="s">
        <v>567</v>
      </c>
      <c r="L162" t="s">
        <v>200</v>
      </c>
      <c r="M162" t="s">
        <v>257</v>
      </c>
      <c r="N162" t="s">
        <v>51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257</v>
      </c>
      <c r="AH162" t="s">
        <v>51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927.6</v>
      </c>
      <c r="AT162">
        <f>$H$162*$Z$162</f>
        <v>927.6</v>
      </c>
      <c r="AU162">
        <f>$H$162*$AA$162</f>
        <v>927.6</v>
      </c>
      <c r="AV162">
        <f>$H$162*$AB$162</f>
        <v>927.6</v>
      </c>
      <c r="AW162">
        <f>$H$162*$AC$162</f>
        <v>927.6</v>
      </c>
      <c r="AX162">
        <f>$H$162*$AD$162</f>
        <v>927.6</v>
      </c>
      <c r="AY162">
        <f>$H$162*$AE$162</f>
        <v>927.6</v>
      </c>
      <c r="AZ162">
        <f>$H$162*$AF$162</f>
        <v>927.6</v>
      </c>
    </row>
    <row r="163" spans="1:52" x14ac:dyDescent="0.25">
      <c r="A163">
        <v>208</v>
      </c>
      <c r="B163" t="s">
        <v>257</v>
      </c>
      <c r="C163" t="s">
        <v>425</v>
      </c>
      <c r="D163">
        <v>1</v>
      </c>
      <c r="E163">
        <v>34.520000000000003</v>
      </c>
      <c r="F163" t="s">
        <v>299</v>
      </c>
      <c r="G163">
        <v>34.520000000000003</v>
      </c>
      <c r="H163">
        <v>41.42</v>
      </c>
      <c r="I163" t="s">
        <v>330</v>
      </c>
      <c r="J163" t="s">
        <v>426</v>
      </c>
      <c r="K163" t="s">
        <v>568</v>
      </c>
      <c r="L163" t="s">
        <v>200</v>
      </c>
      <c r="M163" t="s">
        <v>257</v>
      </c>
      <c r="N163" t="s">
        <v>51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257</v>
      </c>
      <c r="AH163" t="s">
        <v>51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41.42</v>
      </c>
      <c r="AV163">
        <f>$H$163*$AB$163</f>
        <v>41.42</v>
      </c>
      <c r="AW163">
        <f>$H$163*$AC$163</f>
        <v>41.42</v>
      </c>
      <c r="AX163">
        <f>$H$163*$AD$163</f>
        <v>41.42</v>
      </c>
      <c r="AY163">
        <f>$H$163*$AE$163</f>
        <v>41.42</v>
      </c>
      <c r="AZ163">
        <f>$H$163*$AF$163</f>
        <v>41.42</v>
      </c>
    </row>
    <row r="164" spans="1:52" x14ac:dyDescent="0.25">
      <c r="A164">
        <v>209</v>
      </c>
      <c r="B164" t="s">
        <v>257</v>
      </c>
      <c r="C164" t="s">
        <v>427</v>
      </c>
      <c r="D164">
        <v>1</v>
      </c>
      <c r="E164">
        <v>259.22000000000003</v>
      </c>
      <c r="F164" t="s">
        <v>299</v>
      </c>
      <c r="G164">
        <v>259.22000000000003</v>
      </c>
      <c r="H164">
        <v>311.06</v>
      </c>
      <c r="I164" t="s">
        <v>317</v>
      </c>
      <c r="J164" t="s">
        <v>428</v>
      </c>
      <c r="K164" t="s">
        <v>569</v>
      </c>
      <c r="L164" t="s">
        <v>200</v>
      </c>
      <c r="M164" t="s">
        <v>257</v>
      </c>
      <c r="N164" t="s">
        <v>51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257</v>
      </c>
      <c r="AH164" t="s">
        <v>51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311.06</v>
      </c>
      <c r="AV164">
        <f>$H$164*$AB$164</f>
        <v>311.06</v>
      </c>
      <c r="AW164">
        <f>$H$164*$AC$164</f>
        <v>311.06</v>
      </c>
      <c r="AX164">
        <f>$H$164*$AD$164</f>
        <v>311.06</v>
      </c>
      <c r="AY164">
        <f>$H$164*$AE$164</f>
        <v>311.06</v>
      </c>
      <c r="AZ164">
        <f>$H$164*$AF$164</f>
        <v>311.06</v>
      </c>
    </row>
    <row r="165" spans="1:52" x14ac:dyDescent="0.25">
      <c r="A165">
        <v>210</v>
      </c>
      <c r="B165" t="s">
        <v>257</v>
      </c>
      <c r="C165" t="s">
        <v>429</v>
      </c>
      <c r="D165">
        <v>10</v>
      </c>
      <c r="E165">
        <v>65.7</v>
      </c>
      <c r="F165" t="s">
        <v>294</v>
      </c>
      <c r="G165">
        <v>6.57</v>
      </c>
      <c r="H165">
        <v>78.84</v>
      </c>
      <c r="I165" t="s">
        <v>307</v>
      </c>
      <c r="J165" t="s">
        <v>430</v>
      </c>
      <c r="K165" t="s">
        <v>570</v>
      </c>
      <c r="L165" t="s">
        <v>200</v>
      </c>
      <c r="M165" t="s">
        <v>257</v>
      </c>
      <c r="N165" t="s">
        <v>51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1</v>
      </c>
      <c r="AE165">
        <v>1</v>
      </c>
      <c r="AF165">
        <v>1</v>
      </c>
      <c r="AG165" t="s">
        <v>257</v>
      </c>
      <c r="AH165" t="s">
        <v>51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0</v>
      </c>
      <c r="AV165">
        <f>$H$165*$AB$165</f>
        <v>0</v>
      </c>
      <c r="AW165">
        <f>$H$165*$AC$165</f>
        <v>0</v>
      </c>
      <c r="AX165">
        <f>$H$165*$AD$165</f>
        <v>78.84</v>
      </c>
      <c r="AY165">
        <f>$H$165*$AE$165</f>
        <v>78.84</v>
      </c>
      <c r="AZ165">
        <f>$H$165*$AF$165</f>
        <v>78.84</v>
      </c>
    </row>
    <row r="166" spans="1:52" x14ac:dyDescent="0.25">
      <c r="A166">
        <v>211</v>
      </c>
      <c r="B166" t="s">
        <v>257</v>
      </c>
      <c r="C166" t="s">
        <v>431</v>
      </c>
      <c r="D166">
        <v>1</v>
      </c>
      <c r="E166">
        <v>89.58</v>
      </c>
      <c r="F166" t="s">
        <v>299</v>
      </c>
      <c r="G166">
        <v>89.58</v>
      </c>
      <c r="H166">
        <v>107.5</v>
      </c>
      <c r="I166" t="s">
        <v>307</v>
      </c>
      <c r="J166" t="s">
        <v>432</v>
      </c>
      <c r="K166" t="s">
        <v>571</v>
      </c>
      <c r="L166" t="s">
        <v>200</v>
      </c>
      <c r="M166" t="s">
        <v>257</v>
      </c>
      <c r="N166" t="s">
        <v>51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1</v>
      </c>
      <c r="AE166">
        <v>1</v>
      </c>
      <c r="AF166">
        <v>1</v>
      </c>
      <c r="AG166" t="s">
        <v>257</v>
      </c>
      <c r="AH166" t="s">
        <v>51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0</v>
      </c>
      <c r="AU166">
        <f>$H$166*$AA$166</f>
        <v>0</v>
      </c>
      <c r="AV166">
        <f>$H$166*$AB$166</f>
        <v>0</v>
      </c>
      <c r="AW166">
        <f>$H$166*$AC$166</f>
        <v>0</v>
      </c>
      <c r="AX166">
        <f>$H$166*$AD$166</f>
        <v>107.5</v>
      </c>
      <c r="AY166">
        <f>$H$166*$AE$166</f>
        <v>107.5</v>
      </c>
      <c r="AZ166">
        <f>$H$166*$AF$166</f>
        <v>107.5</v>
      </c>
    </row>
    <row r="167" spans="1:52" x14ac:dyDescent="0.25">
      <c r="A167">
        <v>212</v>
      </c>
      <c r="B167" t="s">
        <v>257</v>
      </c>
      <c r="C167" t="s">
        <v>433</v>
      </c>
      <c r="D167">
        <v>1</v>
      </c>
      <c r="E167">
        <v>89.45</v>
      </c>
      <c r="F167" t="s">
        <v>299</v>
      </c>
      <c r="G167">
        <v>89.45</v>
      </c>
      <c r="H167">
        <v>107.35</v>
      </c>
      <c r="I167" t="s">
        <v>304</v>
      </c>
      <c r="J167" t="s">
        <v>434</v>
      </c>
      <c r="K167" t="s">
        <v>572</v>
      </c>
      <c r="L167" t="s">
        <v>200</v>
      </c>
      <c r="M167" t="s">
        <v>257</v>
      </c>
      <c r="N167" t="s">
        <v>51</v>
      </c>
      <c r="O167" t="s">
        <v>13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1</v>
      </c>
      <c r="AF167">
        <v>1</v>
      </c>
      <c r="AG167" t="s">
        <v>257</v>
      </c>
      <c r="AH167" t="s">
        <v>51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0</v>
      </c>
      <c r="AX167">
        <f>$H$167*$AD$167</f>
        <v>107.35</v>
      </c>
      <c r="AY167">
        <f>$H$167*$AE$167</f>
        <v>107.35</v>
      </c>
      <c r="AZ167">
        <f>$H$167*$AF$167</f>
        <v>107.35</v>
      </c>
    </row>
    <row r="168" spans="1:52" x14ac:dyDescent="0.25">
      <c r="A168">
        <v>213</v>
      </c>
      <c r="B168" t="s">
        <v>257</v>
      </c>
      <c r="C168" t="s">
        <v>378</v>
      </c>
      <c r="D168">
        <v>1</v>
      </c>
      <c r="E168">
        <v>40.14</v>
      </c>
      <c r="F168" t="s">
        <v>299</v>
      </c>
      <c r="G168">
        <v>40.14</v>
      </c>
      <c r="H168">
        <v>48.16</v>
      </c>
      <c r="I168" t="s">
        <v>330</v>
      </c>
      <c r="J168" t="s">
        <v>379</v>
      </c>
      <c r="K168" t="s">
        <v>544</v>
      </c>
      <c r="L168" t="s">
        <v>200</v>
      </c>
      <c r="M168" t="s">
        <v>257</v>
      </c>
      <c r="N168" t="s">
        <v>51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257</v>
      </c>
      <c r="AH168" t="s">
        <v>51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48.16</v>
      </c>
      <c r="AU168">
        <f>$H$168*$AA$168</f>
        <v>48.16</v>
      </c>
      <c r="AV168">
        <f>$H$168*$AB$168</f>
        <v>48.16</v>
      </c>
      <c r="AW168">
        <f>$H$168*$AC$168</f>
        <v>48.16</v>
      </c>
      <c r="AX168">
        <f>$H$168*$AD$168</f>
        <v>48.16</v>
      </c>
      <c r="AY168">
        <f>$H$168*$AE$168</f>
        <v>48.16</v>
      </c>
      <c r="AZ168">
        <f>$H$168*$AF$168</f>
        <v>48.16</v>
      </c>
    </row>
    <row r="169" spans="1:52" x14ac:dyDescent="0.25">
      <c r="A169">
        <v>214</v>
      </c>
      <c r="B169" t="s">
        <v>257</v>
      </c>
      <c r="C169" t="s">
        <v>337</v>
      </c>
      <c r="D169">
        <v>2</v>
      </c>
      <c r="E169">
        <v>77.86</v>
      </c>
      <c r="F169" t="s">
        <v>299</v>
      </c>
      <c r="G169">
        <v>38.93</v>
      </c>
      <c r="H169">
        <v>93.44</v>
      </c>
      <c r="I169" t="s">
        <v>295</v>
      </c>
      <c r="J169" t="s">
        <v>333</v>
      </c>
      <c r="K169" t="s">
        <v>523</v>
      </c>
      <c r="L169" t="s">
        <v>200</v>
      </c>
      <c r="M169" t="s">
        <v>257</v>
      </c>
      <c r="N169" t="s">
        <v>51</v>
      </c>
      <c r="O169" t="s">
        <v>13</v>
      </c>
      <c r="P169">
        <v>0</v>
      </c>
      <c r="Q169">
        <v>0</v>
      </c>
      <c r="R169">
        <v>0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257</v>
      </c>
      <c r="AH169" t="s">
        <v>51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93.44</v>
      </c>
      <c r="AN169">
        <f>$H$169*$T$169</f>
        <v>93.44</v>
      </c>
      <c r="AO169">
        <f>$H$169*$U$169</f>
        <v>93.44</v>
      </c>
      <c r="AP169">
        <f>$H$169*$V$169</f>
        <v>93.44</v>
      </c>
      <c r="AQ169">
        <f>$H$169*$W$169</f>
        <v>93.44</v>
      </c>
      <c r="AR169">
        <f>$H$169*$X$169</f>
        <v>93.44</v>
      </c>
      <c r="AS169">
        <f>$H$169*$Y$169</f>
        <v>93.44</v>
      </c>
      <c r="AT169">
        <f>$H$169*$Z$169</f>
        <v>93.44</v>
      </c>
      <c r="AU169">
        <f>$H$169*$AA$169</f>
        <v>93.44</v>
      </c>
      <c r="AV169">
        <f>$H$169*$AB$169</f>
        <v>93.44</v>
      </c>
      <c r="AW169">
        <f>$H$169*$AC$169</f>
        <v>93.44</v>
      </c>
      <c r="AX169">
        <f>$H$169*$AD$169</f>
        <v>93.44</v>
      </c>
      <c r="AY169">
        <f>$H$169*$AE$169</f>
        <v>93.44</v>
      </c>
      <c r="AZ169">
        <f>$H$169*$AF$169</f>
        <v>93.44</v>
      </c>
    </row>
    <row r="170" spans="1:52" x14ac:dyDescent="0.25">
      <c r="A170">
        <v>215</v>
      </c>
      <c r="B170" t="s">
        <v>257</v>
      </c>
      <c r="C170" t="s">
        <v>335</v>
      </c>
      <c r="D170">
        <v>2</v>
      </c>
      <c r="E170">
        <v>62.72</v>
      </c>
      <c r="F170" t="s">
        <v>299</v>
      </c>
      <c r="G170">
        <v>31.36</v>
      </c>
      <c r="H170">
        <v>75.260000000000005</v>
      </c>
      <c r="I170" t="s">
        <v>295</v>
      </c>
      <c r="J170" t="s">
        <v>336</v>
      </c>
      <c r="K170" t="s">
        <v>522</v>
      </c>
      <c r="L170" t="s">
        <v>200</v>
      </c>
      <c r="M170" t="s">
        <v>257</v>
      </c>
      <c r="N170" t="s">
        <v>51</v>
      </c>
      <c r="O170" t="s">
        <v>13</v>
      </c>
      <c r="P170">
        <v>0</v>
      </c>
      <c r="Q170">
        <v>0</v>
      </c>
      <c r="R170">
        <v>0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257</v>
      </c>
      <c r="AH170" t="s">
        <v>51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75.260000000000005</v>
      </c>
      <c r="AN170">
        <f>$H$170*$T$170</f>
        <v>75.260000000000005</v>
      </c>
      <c r="AO170">
        <f>$H$170*$U$170</f>
        <v>75.260000000000005</v>
      </c>
      <c r="AP170">
        <f>$H$170*$V$170</f>
        <v>75.260000000000005</v>
      </c>
      <c r="AQ170">
        <f>$H$170*$W$170</f>
        <v>75.260000000000005</v>
      </c>
      <c r="AR170">
        <f>$H$170*$X$170</f>
        <v>75.260000000000005</v>
      </c>
      <c r="AS170">
        <f>$H$170*$Y$170</f>
        <v>75.260000000000005</v>
      </c>
      <c r="AT170">
        <f>$H$170*$Z$170</f>
        <v>75.260000000000005</v>
      </c>
      <c r="AU170">
        <f>$H$170*$AA$170</f>
        <v>75.260000000000005</v>
      </c>
      <c r="AV170">
        <f>$H$170*$AB$170</f>
        <v>75.260000000000005</v>
      </c>
      <c r="AW170">
        <f>$H$170*$AC$170</f>
        <v>75.260000000000005</v>
      </c>
      <c r="AX170">
        <f>$H$170*$AD$170</f>
        <v>75.260000000000005</v>
      </c>
      <c r="AY170">
        <f>$H$170*$AE$170</f>
        <v>75.260000000000005</v>
      </c>
      <c r="AZ170">
        <f>$H$170*$AF$170</f>
        <v>75.260000000000005</v>
      </c>
    </row>
    <row r="171" spans="1:52" x14ac:dyDescent="0.25">
      <c r="A171">
        <v>216</v>
      </c>
      <c r="B171" t="s">
        <v>257</v>
      </c>
      <c r="C171" t="s">
        <v>435</v>
      </c>
      <c r="D171">
        <v>1</v>
      </c>
      <c r="E171">
        <v>292.48</v>
      </c>
      <c r="F171" t="s">
        <v>299</v>
      </c>
      <c r="G171">
        <v>292.48</v>
      </c>
      <c r="H171">
        <v>350.98</v>
      </c>
      <c r="I171" t="s">
        <v>333</v>
      </c>
      <c r="J171" t="s">
        <v>436</v>
      </c>
      <c r="K171" t="s">
        <v>573</v>
      </c>
      <c r="L171" t="s">
        <v>200</v>
      </c>
      <c r="M171" t="s">
        <v>257</v>
      </c>
      <c r="N171" t="s">
        <v>51</v>
      </c>
      <c r="O171" t="s">
        <v>13</v>
      </c>
      <c r="P171">
        <v>0</v>
      </c>
      <c r="Q171">
        <v>0</v>
      </c>
      <c r="R171">
        <v>0</v>
      </c>
      <c r="S171">
        <v>0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257</v>
      </c>
      <c r="AH171" t="s">
        <v>51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350.98</v>
      </c>
      <c r="AO171">
        <f>$H$171*$U$171</f>
        <v>350.98</v>
      </c>
      <c r="AP171">
        <f>$H$171*$V$171</f>
        <v>350.98</v>
      </c>
      <c r="AQ171">
        <f>$H$171*$W$171</f>
        <v>350.98</v>
      </c>
      <c r="AR171">
        <f>$H$171*$X$171</f>
        <v>350.98</v>
      </c>
      <c r="AS171">
        <f>$H$171*$Y$171</f>
        <v>350.98</v>
      </c>
      <c r="AT171">
        <f>$H$171*$Z$171</f>
        <v>350.98</v>
      </c>
      <c r="AU171">
        <f>$H$171*$AA$171</f>
        <v>350.98</v>
      </c>
      <c r="AV171">
        <f>$H$171*$AB$171</f>
        <v>350.98</v>
      </c>
      <c r="AW171">
        <f>$H$171*$AC$171</f>
        <v>350.98</v>
      </c>
      <c r="AX171">
        <f>$H$171*$AD$171</f>
        <v>350.98</v>
      </c>
      <c r="AY171">
        <f>$H$171*$AE$171</f>
        <v>350.98</v>
      </c>
      <c r="AZ171">
        <f>$H$171*$AF$171</f>
        <v>350.98</v>
      </c>
    </row>
    <row r="172" spans="1:52" x14ac:dyDescent="0.25">
      <c r="A172">
        <v>217</v>
      </c>
      <c r="B172" t="s">
        <v>257</v>
      </c>
      <c r="C172" t="s">
        <v>437</v>
      </c>
      <c r="D172">
        <v>1</v>
      </c>
      <c r="E172">
        <v>37</v>
      </c>
      <c r="F172" t="s">
        <v>299</v>
      </c>
      <c r="G172">
        <v>37</v>
      </c>
      <c r="H172">
        <v>44.4</v>
      </c>
      <c r="I172" t="s">
        <v>301</v>
      </c>
      <c r="J172" t="s">
        <v>438</v>
      </c>
      <c r="K172" t="s">
        <v>574</v>
      </c>
      <c r="L172" t="s">
        <v>200</v>
      </c>
      <c r="M172" t="s">
        <v>257</v>
      </c>
      <c r="N172" t="s">
        <v>51</v>
      </c>
      <c r="O172" t="s">
        <v>13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0.6</v>
      </c>
      <c r="Y172">
        <v>0.6</v>
      </c>
      <c r="Z172">
        <v>0.6</v>
      </c>
      <c r="AA172">
        <v>0.6</v>
      </c>
      <c r="AB172">
        <v>0.6</v>
      </c>
      <c r="AC172">
        <v>0.6</v>
      </c>
      <c r="AD172">
        <v>1</v>
      </c>
      <c r="AE172">
        <v>1</v>
      </c>
      <c r="AF172">
        <v>1</v>
      </c>
      <c r="AG172" t="s">
        <v>257</v>
      </c>
      <c r="AH172" t="s">
        <v>51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26.639999999999997</v>
      </c>
      <c r="AS172">
        <f>$H$172*$Y$172</f>
        <v>26.639999999999997</v>
      </c>
      <c r="AT172">
        <f>$H$172*$Z$172</f>
        <v>26.639999999999997</v>
      </c>
      <c r="AU172">
        <f>$H$172*$AA$172</f>
        <v>26.639999999999997</v>
      </c>
      <c r="AV172">
        <f>$H$172*$AB$172</f>
        <v>26.639999999999997</v>
      </c>
      <c r="AW172">
        <f>$H$172*$AC$172</f>
        <v>26.639999999999997</v>
      </c>
      <c r="AX172">
        <f>$H$172*$AD$172</f>
        <v>44.4</v>
      </c>
      <c r="AY172">
        <f>$H$172*$AE$172</f>
        <v>44.4</v>
      </c>
      <c r="AZ172">
        <f>$H$172*$AF$172</f>
        <v>44.4</v>
      </c>
    </row>
    <row r="173" spans="1:52" x14ac:dyDescent="0.25">
      <c r="A173">
        <v>218</v>
      </c>
      <c r="B173" t="s">
        <v>257</v>
      </c>
      <c r="C173" t="s">
        <v>439</v>
      </c>
      <c r="D173">
        <v>3</v>
      </c>
      <c r="E173">
        <v>448.2</v>
      </c>
      <c r="F173" t="s">
        <v>294</v>
      </c>
      <c r="G173">
        <v>149.4</v>
      </c>
      <c r="H173">
        <v>537.84</v>
      </c>
      <c r="I173" t="s">
        <v>440</v>
      </c>
      <c r="J173" t="s">
        <v>441</v>
      </c>
      <c r="K173" t="s">
        <v>575</v>
      </c>
      <c r="L173" t="s">
        <v>200</v>
      </c>
      <c r="M173" t="s">
        <v>257</v>
      </c>
      <c r="N173" t="s">
        <v>51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257</v>
      </c>
      <c r="AH173" t="s">
        <v>51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537.84</v>
      </c>
      <c r="AO173">
        <f>$H$173*$U$173</f>
        <v>537.84</v>
      </c>
      <c r="AP173">
        <f>$H$173*$V$173</f>
        <v>537.84</v>
      </c>
      <c r="AQ173">
        <f>$H$173*$W$173</f>
        <v>537.84</v>
      </c>
      <c r="AR173">
        <f>$H$173*$X$173</f>
        <v>537.84</v>
      </c>
      <c r="AS173">
        <f>$H$173*$Y$173</f>
        <v>537.84</v>
      </c>
      <c r="AT173">
        <f>$H$173*$Z$173</f>
        <v>537.84</v>
      </c>
      <c r="AU173">
        <f>$H$173*$AA$173</f>
        <v>537.84</v>
      </c>
      <c r="AV173">
        <f>$H$173*$AB$173</f>
        <v>537.84</v>
      </c>
      <c r="AW173">
        <f>$H$173*$AC$173</f>
        <v>537.84</v>
      </c>
      <c r="AX173">
        <f>$H$173*$AD$173</f>
        <v>537.84</v>
      </c>
      <c r="AY173">
        <f>$H$173*$AE$173</f>
        <v>537.84</v>
      </c>
      <c r="AZ173">
        <f>$H$173*$AF$173</f>
        <v>537.84</v>
      </c>
    </row>
    <row r="174" spans="1:52" x14ac:dyDescent="0.25">
      <c r="A174">
        <v>219</v>
      </c>
      <c r="B174" t="s">
        <v>257</v>
      </c>
      <c r="C174" t="s">
        <v>442</v>
      </c>
      <c r="D174">
        <v>3</v>
      </c>
      <c r="E174">
        <v>28.92</v>
      </c>
      <c r="F174" t="s">
        <v>294</v>
      </c>
      <c r="G174">
        <v>9.64</v>
      </c>
      <c r="H174">
        <v>34.700000000000003</v>
      </c>
      <c r="I174" t="s">
        <v>440</v>
      </c>
      <c r="J174" t="s">
        <v>443</v>
      </c>
      <c r="K174" t="s">
        <v>576</v>
      </c>
      <c r="L174" t="s">
        <v>200</v>
      </c>
      <c r="M174" t="s">
        <v>257</v>
      </c>
      <c r="N174" t="s">
        <v>51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257</v>
      </c>
      <c r="AH174" t="s">
        <v>51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34.700000000000003</v>
      </c>
      <c r="AU174">
        <f>$H$174*$AA$174</f>
        <v>34.700000000000003</v>
      </c>
      <c r="AV174">
        <f>$H$174*$AB$174</f>
        <v>34.700000000000003</v>
      </c>
      <c r="AW174">
        <f>$H$174*$AC$174</f>
        <v>34.700000000000003</v>
      </c>
      <c r="AX174">
        <f>$H$174*$AD$174</f>
        <v>34.700000000000003</v>
      </c>
      <c r="AY174">
        <f>$H$174*$AE$174</f>
        <v>34.700000000000003</v>
      </c>
      <c r="AZ174">
        <f>$H$174*$AF$174</f>
        <v>34.700000000000003</v>
      </c>
    </row>
    <row r="175" spans="1:52" x14ac:dyDescent="0.25">
      <c r="A175">
        <v>220</v>
      </c>
      <c r="B175" t="s">
        <v>257</v>
      </c>
      <c r="C175" t="s">
        <v>444</v>
      </c>
      <c r="D175">
        <v>3</v>
      </c>
      <c r="E175">
        <v>112.11</v>
      </c>
      <c r="F175" t="s">
        <v>294</v>
      </c>
      <c r="G175">
        <v>37.369999999999997</v>
      </c>
      <c r="H175">
        <v>134.53</v>
      </c>
      <c r="I175" t="s">
        <v>440</v>
      </c>
      <c r="J175" t="s">
        <v>445</v>
      </c>
      <c r="K175" t="s">
        <v>577</v>
      </c>
      <c r="L175" t="s">
        <v>200</v>
      </c>
      <c r="M175" t="s">
        <v>257</v>
      </c>
      <c r="N175" t="s">
        <v>51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257</v>
      </c>
      <c r="AH175" t="s">
        <v>51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134.53</v>
      </c>
      <c r="AU175">
        <f>$H$175*$AA$175</f>
        <v>134.53</v>
      </c>
      <c r="AV175">
        <f>$H$175*$AB$175</f>
        <v>134.53</v>
      </c>
      <c r="AW175">
        <f>$H$175*$AC$175</f>
        <v>134.53</v>
      </c>
      <c r="AX175">
        <f>$H$175*$AD$175</f>
        <v>134.53</v>
      </c>
      <c r="AY175">
        <f>$H$175*$AE$175</f>
        <v>134.53</v>
      </c>
      <c r="AZ175">
        <f>$H$175*$AF$175</f>
        <v>134.53</v>
      </c>
    </row>
    <row r="176" spans="1:52" x14ac:dyDescent="0.25">
      <c r="A176">
        <v>221</v>
      </c>
      <c r="B176" t="s">
        <v>257</v>
      </c>
      <c r="C176" t="s">
        <v>446</v>
      </c>
      <c r="D176">
        <v>1</v>
      </c>
      <c r="E176">
        <v>176.94</v>
      </c>
      <c r="F176" t="s">
        <v>299</v>
      </c>
      <c r="G176">
        <v>176.94</v>
      </c>
      <c r="H176">
        <v>212.32</v>
      </c>
      <c r="I176" t="s">
        <v>317</v>
      </c>
      <c r="J176" t="s">
        <v>447</v>
      </c>
      <c r="K176" t="s">
        <v>578</v>
      </c>
      <c r="L176" t="s">
        <v>200</v>
      </c>
      <c r="M176" t="s">
        <v>257</v>
      </c>
      <c r="N176" t="s">
        <v>51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257</v>
      </c>
      <c r="AH176" t="s">
        <v>51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212.32</v>
      </c>
      <c r="AV176">
        <f>$H$176*$AB$176</f>
        <v>212.32</v>
      </c>
      <c r="AW176">
        <f>$H$176*$AC$176</f>
        <v>212.32</v>
      </c>
      <c r="AX176">
        <f>$H$176*$AD$176</f>
        <v>212.32</v>
      </c>
      <c r="AY176">
        <f>$H$176*$AE$176</f>
        <v>212.32</v>
      </c>
      <c r="AZ176">
        <f>$H$176*$AF$176</f>
        <v>212.32</v>
      </c>
    </row>
    <row r="177" spans="1:52" x14ac:dyDescent="0.25">
      <c r="A177">
        <v>222</v>
      </c>
      <c r="B177" t="s">
        <v>257</v>
      </c>
      <c r="C177" t="s">
        <v>417</v>
      </c>
      <c r="D177">
        <v>0.75</v>
      </c>
      <c r="E177">
        <v>412.99</v>
      </c>
      <c r="F177" t="s">
        <v>299</v>
      </c>
      <c r="G177">
        <v>550.65</v>
      </c>
      <c r="H177">
        <v>495.59</v>
      </c>
      <c r="I177" t="s">
        <v>317</v>
      </c>
      <c r="J177" t="s">
        <v>418</v>
      </c>
      <c r="K177" t="s">
        <v>564</v>
      </c>
      <c r="L177" t="s">
        <v>200</v>
      </c>
      <c r="M177" t="s">
        <v>257</v>
      </c>
      <c r="N177" t="s">
        <v>51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257</v>
      </c>
      <c r="AH177" t="s">
        <v>51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495.59</v>
      </c>
      <c r="AV177">
        <f>$H$177*$AB$177</f>
        <v>495.59</v>
      </c>
      <c r="AW177">
        <f>$H$177*$AC$177</f>
        <v>495.59</v>
      </c>
      <c r="AX177">
        <f>$H$177*$AD$177</f>
        <v>495.59</v>
      </c>
      <c r="AY177">
        <f>$H$177*$AE$177</f>
        <v>495.59</v>
      </c>
      <c r="AZ177">
        <f>$H$177*$AF$177</f>
        <v>495.59</v>
      </c>
    </row>
    <row r="178" spans="1:52" x14ac:dyDescent="0.25">
      <c r="A178">
        <v>223</v>
      </c>
      <c r="B178" t="s">
        <v>257</v>
      </c>
      <c r="C178" t="s">
        <v>417</v>
      </c>
      <c r="D178">
        <v>0.25</v>
      </c>
      <c r="E178">
        <v>137.66</v>
      </c>
      <c r="F178" t="s">
        <v>299</v>
      </c>
      <c r="G178">
        <v>550.65</v>
      </c>
      <c r="H178">
        <v>165.2</v>
      </c>
      <c r="I178" t="s">
        <v>317</v>
      </c>
      <c r="J178" t="s">
        <v>418</v>
      </c>
      <c r="K178" t="s">
        <v>564</v>
      </c>
      <c r="L178" t="s">
        <v>200</v>
      </c>
      <c r="M178" t="s">
        <v>257</v>
      </c>
      <c r="N178" t="s">
        <v>51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257</v>
      </c>
      <c r="AH178" t="s">
        <v>51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165.2</v>
      </c>
      <c r="AV178">
        <f>$H$178*$AB$178</f>
        <v>165.2</v>
      </c>
      <c r="AW178">
        <f>$H$178*$AC$178</f>
        <v>165.2</v>
      </c>
      <c r="AX178">
        <f>$H$178*$AD$178</f>
        <v>165.2</v>
      </c>
      <c r="AY178">
        <f>$H$178*$AE$178</f>
        <v>165.2</v>
      </c>
      <c r="AZ178">
        <f>$H$178*$AF$178</f>
        <v>165.2</v>
      </c>
    </row>
    <row r="179" spans="1:52" x14ac:dyDescent="0.25">
      <c r="A179">
        <v>224</v>
      </c>
      <c r="B179" t="s">
        <v>257</v>
      </c>
      <c r="C179" t="s">
        <v>448</v>
      </c>
      <c r="D179">
        <v>1</v>
      </c>
      <c r="E179">
        <v>198.39</v>
      </c>
      <c r="F179" t="s">
        <v>299</v>
      </c>
      <c r="G179">
        <v>198.39</v>
      </c>
      <c r="H179">
        <v>238.07</v>
      </c>
      <c r="I179" t="s">
        <v>317</v>
      </c>
      <c r="J179" t="s">
        <v>449</v>
      </c>
      <c r="K179" t="s">
        <v>579</v>
      </c>
      <c r="L179" t="s">
        <v>200</v>
      </c>
      <c r="M179" t="s">
        <v>257</v>
      </c>
      <c r="N179" t="s">
        <v>51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257</v>
      </c>
      <c r="AH179" t="s">
        <v>51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238.07</v>
      </c>
      <c r="AV179">
        <f>$H$179*$AB$179</f>
        <v>238.07</v>
      </c>
      <c r="AW179">
        <f>$H$179*$AC$179</f>
        <v>238.07</v>
      </c>
      <c r="AX179">
        <f>$H$179*$AD$179</f>
        <v>238.07</v>
      </c>
      <c r="AY179">
        <f>$H$179*$AE$179</f>
        <v>238.07</v>
      </c>
      <c r="AZ179">
        <f>$H$179*$AF$179</f>
        <v>238.07</v>
      </c>
    </row>
    <row r="180" spans="1:52" x14ac:dyDescent="0.25">
      <c r="A180">
        <v>225</v>
      </c>
      <c r="B180" t="s">
        <v>257</v>
      </c>
      <c r="C180" t="s">
        <v>324</v>
      </c>
      <c r="D180">
        <v>188</v>
      </c>
      <c r="E180">
        <v>184.24</v>
      </c>
      <c r="F180" t="s">
        <v>313</v>
      </c>
      <c r="G180">
        <v>0.98</v>
      </c>
      <c r="H180">
        <v>221.08</v>
      </c>
      <c r="I180" t="s">
        <v>295</v>
      </c>
      <c r="J180" t="s">
        <v>325</v>
      </c>
      <c r="K180" t="s">
        <v>518</v>
      </c>
      <c r="L180" t="s">
        <v>200</v>
      </c>
      <c r="M180" t="s">
        <v>257</v>
      </c>
      <c r="N180" t="s">
        <v>51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257</v>
      </c>
      <c r="AH180" t="s">
        <v>51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221.08</v>
      </c>
      <c r="AO180">
        <f>$H$180*$U$180</f>
        <v>221.08</v>
      </c>
      <c r="AP180">
        <f>$H$180*$V$180</f>
        <v>221.08</v>
      </c>
      <c r="AQ180">
        <f>$H$180*$W$180</f>
        <v>221.08</v>
      </c>
      <c r="AR180">
        <f>$H$180*$X$180</f>
        <v>221.08</v>
      </c>
      <c r="AS180">
        <f>$H$180*$Y$180</f>
        <v>221.08</v>
      </c>
      <c r="AT180">
        <f>$H$180*$Z$180</f>
        <v>221.08</v>
      </c>
      <c r="AU180">
        <f>$H$180*$AA$180</f>
        <v>221.08</v>
      </c>
      <c r="AV180">
        <f>$H$180*$AB$180</f>
        <v>221.08</v>
      </c>
      <c r="AW180">
        <f>$H$180*$AC$180</f>
        <v>221.08</v>
      </c>
      <c r="AX180">
        <f>$H$180*$AD$180</f>
        <v>221.08</v>
      </c>
      <c r="AY180">
        <f>$H$180*$AE$180</f>
        <v>221.08</v>
      </c>
      <c r="AZ180">
        <f>$H$180*$AF$180</f>
        <v>221.08</v>
      </c>
    </row>
    <row r="181" spans="1:52" x14ac:dyDescent="0.25">
      <c r="A181">
        <v>226</v>
      </c>
      <c r="B181" t="s">
        <v>257</v>
      </c>
      <c r="C181" t="s">
        <v>326</v>
      </c>
      <c r="D181">
        <v>188</v>
      </c>
      <c r="E181">
        <v>501.96</v>
      </c>
      <c r="F181" t="s">
        <v>313</v>
      </c>
      <c r="G181">
        <v>2.67</v>
      </c>
      <c r="H181">
        <v>602.36</v>
      </c>
      <c r="I181" t="s">
        <v>327</v>
      </c>
      <c r="J181" t="s">
        <v>328</v>
      </c>
      <c r="K181" t="s">
        <v>519</v>
      </c>
      <c r="L181" t="s">
        <v>200</v>
      </c>
      <c r="M181" t="s">
        <v>257</v>
      </c>
      <c r="N181" t="s">
        <v>51</v>
      </c>
      <c r="O181" t="s">
        <v>13</v>
      </c>
      <c r="P181">
        <v>0</v>
      </c>
      <c r="Q181">
        <v>0</v>
      </c>
      <c r="R181">
        <v>0</v>
      </c>
      <c r="S181">
        <v>0.25</v>
      </c>
      <c r="T181">
        <v>0.25</v>
      </c>
      <c r="U181">
        <v>0.25</v>
      </c>
      <c r="V181">
        <v>0.25</v>
      </c>
      <c r="W181">
        <v>0.25</v>
      </c>
      <c r="X181">
        <v>0.5</v>
      </c>
      <c r="Y181">
        <v>0.5</v>
      </c>
      <c r="Z181">
        <v>0.5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257</v>
      </c>
      <c r="AH181" t="s">
        <v>51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150.59</v>
      </c>
      <c r="AN181">
        <f>$H$181*$T$181</f>
        <v>150.59</v>
      </c>
      <c r="AO181">
        <f>$H$181*$U$181</f>
        <v>150.59</v>
      </c>
      <c r="AP181">
        <f>$H$181*$V$181</f>
        <v>150.59</v>
      </c>
      <c r="AQ181">
        <f>$H$181*$W$181</f>
        <v>150.59</v>
      </c>
      <c r="AR181">
        <f>$H$181*$X$181</f>
        <v>301.18</v>
      </c>
      <c r="AS181">
        <f>$H$181*$Y$181</f>
        <v>301.18</v>
      </c>
      <c r="AT181">
        <f>$H$181*$Z$181</f>
        <v>301.18</v>
      </c>
      <c r="AU181">
        <f>$H$181*$AA$181</f>
        <v>602.36</v>
      </c>
      <c r="AV181">
        <f>$H$181*$AB$181</f>
        <v>602.36</v>
      </c>
      <c r="AW181">
        <f>$H$181*$AC$181</f>
        <v>602.36</v>
      </c>
      <c r="AX181">
        <f>$H$181*$AD$181</f>
        <v>602.36</v>
      </c>
      <c r="AY181">
        <f>$H$181*$AE$181</f>
        <v>602.36</v>
      </c>
      <c r="AZ181">
        <f>$H$181*$AF$181</f>
        <v>602.36</v>
      </c>
    </row>
    <row r="182" spans="1:52" x14ac:dyDescent="0.25">
      <c r="A182">
        <v>227</v>
      </c>
      <c r="B182" t="s">
        <v>257</v>
      </c>
      <c r="C182" t="s">
        <v>383</v>
      </c>
      <c r="D182">
        <v>11.75</v>
      </c>
      <c r="E182">
        <v>10.69</v>
      </c>
      <c r="F182" t="s">
        <v>294</v>
      </c>
      <c r="G182">
        <v>0.91</v>
      </c>
      <c r="H182">
        <v>12.83</v>
      </c>
      <c r="I182" t="s">
        <v>295</v>
      </c>
      <c r="J182" t="s">
        <v>384</v>
      </c>
      <c r="K182" t="s">
        <v>547</v>
      </c>
      <c r="L182" t="s">
        <v>200</v>
      </c>
      <c r="M182" t="s">
        <v>257</v>
      </c>
      <c r="N182" t="s">
        <v>51</v>
      </c>
      <c r="O182" t="s">
        <v>13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257</v>
      </c>
      <c r="AH182" t="s">
        <v>51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12.83</v>
      </c>
      <c r="AN182">
        <f>$H$182*$T$182</f>
        <v>12.83</v>
      </c>
      <c r="AO182">
        <f>$H$182*$U$182</f>
        <v>12.83</v>
      </c>
      <c r="AP182">
        <f>$H$182*$V$182</f>
        <v>12.83</v>
      </c>
      <c r="AQ182">
        <f>$H$182*$W$182</f>
        <v>12.83</v>
      </c>
      <c r="AR182">
        <f>$H$182*$X$182</f>
        <v>12.83</v>
      </c>
      <c r="AS182">
        <f>$H$182*$Y$182</f>
        <v>12.83</v>
      </c>
      <c r="AT182">
        <f>$H$182*$Z$182</f>
        <v>12.83</v>
      </c>
      <c r="AU182">
        <f>$H$182*$AA$182</f>
        <v>12.83</v>
      </c>
      <c r="AV182">
        <f>$H$182*$AB$182</f>
        <v>12.83</v>
      </c>
      <c r="AW182">
        <f>$H$182*$AC$182</f>
        <v>12.83</v>
      </c>
      <c r="AX182">
        <f>$H$182*$AD$182</f>
        <v>12.83</v>
      </c>
      <c r="AY182">
        <f>$H$182*$AE$182</f>
        <v>12.83</v>
      </c>
      <c r="AZ182">
        <f>$H$182*$AF$182</f>
        <v>12.83</v>
      </c>
    </row>
    <row r="183" spans="1:52" x14ac:dyDescent="0.25">
      <c r="A183">
        <v>228</v>
      </c>
      <c r="B183" t="s">
        <v>257</v>
      </c>
      <c r="C183" t="s">
        <v>385</v>
      </c>
      <c r="D183">
        <v>11.75</v>
      </c>
      <c r="E183">
        <v>60.16</v>
      </c>
      <c r="F183" t="s">
        <v>294</v>
      </c>
      <c r="G183">
        <v>5.12</v>
      </c>
      <c r="H183">
        <v>72.2</v>
      </c>
      <c r="I183" t="s">
        <v>298</v>
      </c>
      <c r="J183" t="s">
        <v>386</v>
      </c>
      <c r="K183" t="s">
        <v>548</v>
      </c>
      <c r="L183" t="s">
        <v>200</v>
      </c>
      <c r="M183" t="s">
        <v>257</v>
      </c>
      <c r="N183" t="s">
        <v>51</v>
      </c>
      <c r="O183" t="s">
        <v>13</v>
      </c>
      <c r="P183">
        <v>0</v>
      </c>
      <c r="Q183">
        <v>0</v>
      </c>
      <c r="R183">
        <v>0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257</v>
      </c>
      <c r="AH183" t="s">
        <v>51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72.2</v>
      </c>
      <c r="AN183">
        <f>$H$183*$T$183</f>
        <v>72.2</v>
      </c>
      <c r="AO183">
        <f>$H$183*$U$183</f>
        <v>72.2</v>
      </c>
      <c r="AP183">
        <f>$H$183*$V$183</f>
        <v>72.2</v>
      </c>
      <c r="AQ183">
        <f>$H$183*$W$183</f>
        <v>72.2</v>
      </c>
      <c r="AR183">
        <f>$H$183*$X$183</f>
        <v>72.2</v>
      </c>
      <c r="AS183">
        <f>$H$183*$Y$183</f>
        <v>72.2</v>
      </c>
      <c r="AT183">
        <f>$H$183*$Z$183</f>
        <v>72.2</v>
      </c>
      <c r="AU183">
        <f>$H$183*$AA$183</f>
        <v>72.2</v>
      </c>
      <c r="AV183">
        <f>$H$183*$AB$183</f>
        <v>72.2</v>
      </c>
      <c r="AW183">
        <f>$H$183*$AC$183</f>
        <v>72.2</v>
      </c>
      <c r="AX183">
        <f>$H$183*$AD$183</f>
        <v>72.2</v>
      </c>
      <c r="AY183">
        <f>$H$183*$AE$183</f>
        <v>72.2</v>
      </c>
      <c r="AZ183">
        <f>$H$183*$AF$183</f>
        <v>72.2</v>
      </c>
    </row>
    <row r="184" spans="1:52" x14ac:dyDescent="0.25">
      <c r="A184">
        <v>229</v>
      </c>
      <c r="B184" t="s">
        <v>257</v>
      </c>
      <c r="C184" t="s">
        <v>326</v>
      </c>
      <c r="D184">
        <v>32.630000000000003</v>
      </c>
      <c r="E184">
        <v>87.12</v>
      </c>
      <c r="F184" t="s">
        <v>313</v>
      </c>
      <c r="G184">
        <v>2.67</v>
      </c>
      <c r="H184">
        <v>104.54</v>
      </c>
      <c r="I184" t="s">
        <v>327</v>
      </c>
      <c r="J184" t="s">
        <v>328</v>
      </c>
      <c r="K184" t="s">
        <v>519</v>
      </c>
      <c r="L184" t="s">
        <v>200</v>
      </c>
      <c r="M184" t="s">
        <v>257</v>
      </c>
      <c r="N184" t="s">
        <v>51</v>
      </c>
      <c r="O184" t="s">
        <v>13</v>
      </c>
      <c r="P184">
        <v>0</v>
      </c>
      <c r="Q184">
        <v>0</v>
      </c>
      <c r="R184">
        <v>0</v>
      </c>
      <c r="S184">
        <v>0.25</v>
      </c>
      <c r="T184">
        <v>0.25</v>
      </c>
      <c r="U184">
        <v>0.25</v>
      </c>
      <c r="V184">
        <v>0.25</v>
      </c>
      <c r="W184">
        <v>0.25</v>
      </c>
      <c r="X184">
        <v>0.5</v>
      </c>
      <c r="Y184">
        <v>0.5</v>
      </c>
      <c r="Z184">
        <v>0.5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257</v>
      </c>
      <c r="AH184" t="s">
        <v>51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26.135000000000002</v>
      </c>
      <c r="AN184">
        <f>$H$184*$T$184</f>
        <v>26.135000000000002</v>
      </c>
      <c r="AO184">
        <f>$H$184*$U$184</f>
        <v>26.135000000000002</v>
      </c>
      <c r="AP184">
        <f>$H$184*$V$184</f>
        <v>26.135000000000002</v>
      </c>
      <c r="AQ184">
        <f>$H$184*$W$184</f>
        <v>26.135000000000002</v>
      </c>
      <c r="AR184">
        <f>$H$184*$X$184</f>
        <v>52.27</v>
      </c>
      <c r="AS184">
        <f>$H$184*$Y$184</f>
        <v>52.27</v>
      </c>
      <c r="AT184">
        <f>$H$184*$Z$184</f>
        <v>52.27</v>
      </c>
      <c r="AU184">
        <f>$H$184*$AA$184</f>
        <v>104.54</v>
      </c>
      <c r="AV184">
        <f>$H$184*$AB$184</f>
        <v>104.54</v>
      </c>
      <c r="AW184">
        <f>$H$184*$AC$184</f>
        <v>104.54</v>
      </c>
      <c r="AX184">
        <f>$H$184*$AD$184</f>
        <v>104.54</v>
      </c>
      <c r="AY184">
        <f>$H$184*$AE$184</f>
        <v>104.54</v>
      </c>
      <c r="AZ184">
        <f>$H$184*$AF$184</f>
        <v>104.54</v>
      </c>
    </row>
    <row r="185" spans="1:52" x14ac:dyDescent="0.25">
      <c r="A185">
        <v>230</v>
      </c>
      <c r="B185" t="s">
        <v>257</v>
      </c>
      <c r="C185" t="s">
        <v>387</v>
      </c>
      <c r="D185">
        <v>32.630000000000003</v>
      </c>
      <c r="E185">
        <v>20.56</v>
      </c>
      <c r="F185" t="s">
        <v>313</v>
      </c>
      <c r="G185">
        <v>0.63</v>
      </c>
      <c r="H185">
        <v>24.68</v>
      </c>
      <c r="I185" t="s">
        <v>295</v>
      </c>
      <c r="J185" t="s">
        <v>388</v>
      </c>
      <c r="K185" t="s">
        <v>549</v>
      </c>
      <c r="L185" t="s">
        <v>200</v>
      </c>
      <c r="M185" t="s">
        <v>257</v>
      </c>
      <c r="N185" t="s">
        <v>51</v>
      </c>
      <c r="O185" t="s">
        <v>13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1</v>
      </c>
      <c r="AE185">
        <v>1</v>
      </c>
      <c r="AF185">
        <v>1</v>
      </c>
      <c r="AG185" t="s">
        <v>257</v>
      </c>
      <c r="AH185" t="s">
        <v>51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0</v>
      </c>
      <c r="AT185">
        <f>$H$185*$Z$185</f>
        <v>0</v>
      </c>
      <c r="AU185">
        <f>$H$185*$AA$185</f>
        <v>0</v>
      </c>
      <c r="AV185">
        <f>$H$185*$AB$185</f>
        <v>0</v>
      </c>
      <c r="AW185">
        <f>$H$185*$AC$185</f>
        <v>0</v>
      </c>
      <c r="AX185">
        <f>$H$185*$AD$185</f>
        <v>24.68</v>
      </c>
      <c r="AY185">
        <f>$H$185*$AE$185</f>
        <v>24.68</v>
      </c>
      <c r="AZ185">
        <f>$H$185*$AF$185</f>
        <v>24.68</v>
      </c>
    </row>
    <row r="186" spans="1:52" x14ac:dyDescent="0.25">
      <c r="A186">
        <v>231</v>
      </c>
      <c r="B186" t="s">
        <v>257</v>
      </c>
      <c r="C186" t="s">
        <v>389</v>
      </c>
      <c r="D186">
        <v>32.630000000000003</v>
      </c>
      <c r="E186">
        <v>22.51</v>
      </c>
      <c r="F186" t="s">
        <v>313</v>
      </c>
      <c r="G186">
        <v>0.69</v>
      </c>
      <c r="H186">
        <v>27.01</v>
      </c>
      <c r="I186" t="s">
        <v>295</v>
      </c>
      <c r="J186" t="s">
        <v>390</v>
      </c>
      <c r="K186" t="s">
        <v>550</v>
      </c>
      <c r="L186" t="s">
        <v>200</v>
      </c>
      <c r="M186" t="s">
        <v>257</v>
      </c>
      <c r="N186" t="s">
        <v>51</v>
      </c>
      <c r="O186" t="s">
        <v>13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257</v>
      </c>
      <c r="AH186" t="s">
        <v>51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27.01</v>
      </c>
      <c r="AN186">
        <f>$H$186*$T$186</f>
        <v>27.01</v>
      </c>
      <c r="AO186">
        <f>$H$186*$U$186</f>
        <v>27.01</v>
      </c>
      <c r="AP186">
        <f>$H$186*$V$186</f>
        <v>27.01</v>
      </c>
      <c r="AQ186">
        <f>$H$186*$W$186</f>
        <v>27.01</v>
      </c>
      <c r="AR186">
        <f>$H$186*$X$186</f>
        <v>27.01</v>
      </c>
      <c r="AS186">
        <f>$H$186*$Y$186</f>
        <v>27.01</v>
      </c>
      <c r="AT186">
        <f>$H$186*$Z$186</f>
        <v>27.01</v>
      </c>
      <c r="AU186">
        <f>$H$186*$AA$186</f>
        <v>27.01</v>
      </c>
      <c r="AV186">
        <f>$H$186*$AB$186</f>
        <v>27.01</v>
      </c>
      <c r="AW186">
        <f>$H$186*$AC$186</f>
        <v>27.01</v>
      </c>
      <c r="AX186">
        <f>$H$186*$AD$186</f>
        <v>27.01</v>
      </c>
      <c r="AY186">
        <f>$H$186*$AE$186</f>
        <v>27.01</v>
      </c>
      <c r="AZ186">
        <f>$H$186*$AF$186</f>
        <v>27.01</v>
      </c>
    </row>
    <row r="187" spans="1:52" x14ac:dyDescent="0.25">
      <c r="A187">
        <v>232</v>
      </c>
      <c r="B187" t="s">
        <v>257</v>
      </c>
      <c r="C187" t="s">
        <v>391</v>
      </c>
      <c r="D187">
        <v>6.85</v>
      </c>
      <c r="E187">
        <v>38.979999999999997</v>
      </c>
      <c r="F187" t="s">
        <v>313</v>
      </c>
      <c r="G187">
        <v>5.69</v>
      </c>
      <c r="H187">
        <v>46.78</v>
      </c>
      <c r="I187" t="s">
        <v>392</v>
      </c>
      <c r="J187" t="s">
        <v>393</v>
      </c>
      <c r="K187" t="s">
        <v>551</v>
      </c>
      <c r="L187" t="s">
        <v>200</v>
      </c>
      <c r="M187" t="s">
        <v>257</v>
      </c>
      <c r="N187" t="s">
        <v>51</v>
      </c>
      <c r="O187" t="s">
        <v>13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257</v>
      </c>
      <c r="AH187" t="s">
        <v>51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46.78</v>
      </c>
      <c r="AN187">
        <f>$H$187*$T$187</f>
        <v>46.78</v>
      </c>
      <c r="AO187">
        <f>$H$187*$U$187</f>
        <v>46.78</v>
      </c>
      <c r="AP187">
        <f>$H$187*$V$187</f>
        <v>46.78</v>
      </c>
      <c r="AQ187">
        <f>$H$187*$W$187</f>
        <v>46.78</v>
      </c>
      <c r="AR187">
        <f>$H$187*$X$187</f>
        <v>46.78</v>
      </c>
      <c r="AS187">
        <f>$H$187*$Y$187</f>
        <v>46.78</v>
      </c>
      <c r="AT187">
        <f>$H$187*$Z$187</f>
        <v>46.78</v>
      </c>
      <c r="AU187">
        <f>$H$187*$AA$187</f>
        <v>46.78</v>
      </c>
      <c r="AV187">
        <f>$H$187*$AB$187</f>
        <v>46.78</v>
      </c>
      <c r="AW187">
        <f>$H$187*$AC$187</f>
        <v>46.78</v>
      </c>
      <c r="AX187">
        <f>$H$187*$AD$187</f>
        <v>46.78</v>
      </c>
      <c r="AY187">
        <f>$H$187*$AE$187</f>
        <v>46.78</v>
      </c>
      <c r="AZ187">
        <f>$H$187*$AF$187</f>
        <v>46.78</v>
      </c>
    </row>
    <row r="188" spans="1:52" x14ac:dyDescent="0.25">
      <c r="A188">
        <v>233</v>
      </c>
      <c r="B188" t="s">
        <v>257</v>
      </c>
      <c r="C188" t="s">
        <v>394</v>
      </c>
      <c r="D188">
        <v>7.5</v>
      </c>
      <c r="E188">
        <v>44.4</v>
      </c>
      <c r="F188" t="s">
        <v>313</v>
      </c>
      <c r="G188">
        <v>5.92</v>
      </c>
      <c r="H188">
        <v>53.28</v>
      </c>
      <c r="I188" t="s">
        <v>392</v>
      </c>
      <c r="J188" t="s">
        <v>334</v>
      </c>
      <c r="K188" t="s">
        <v>552</v>
      </c>
      <c r="L188" t="s">
        <v>200</v>
      </c>
      <c r="M188" t="s">
        <v>257</v>
      </c>
      <c r="N188" t="s">
        <v>51</v>
      </c>
      <c r="O188" t="s">
        <v>13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257</v>
      </c>
      <c r="AH188" t="s">
        <v>51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53.28</v>
      </c>
      <c r="AN188">
        <f>$H$188*$T$188</f>
        <v>53.28</v>
      </c>
      <c r="AO188">
        <f>$H$188*$U$188</f>
        <v>53.28</v>
      </c>
      <c r="AP188">
        <f>$H$188*$V$188</f>
        <v>53.28</v>
      </c>
      <c r="AQ188">
        <f>$H$188*$W$188</f>
        <v>53.28</v>
      </c>
      <c r="AR188">
        <f>$H$188*$X$188</f>
        <v>53.28</v>
      </c>
      <c r="AS188">
        <f>$H$188*$Y$188</f>
        <v>53.28</v>
      </c>
      <c r="AT188">
        <f>$H$188*$Z$188</f>
        <v>53.28</v>
      </c>
      <c r="AU188">
        <f>$H$188*$AA$188</f>
        <v>53.28</v>
      </c>
      <c r="AV188">
        <f>$H$188*$AB$188</f>
        <v>53.28</v>
      </c>
      <c r="AW188">
        <f>$H$188*$AC$188</f>
        <v>53.28</v>
      </c>
      <c r="AX188">
        <f>$H$188*$AD$188</f>
        <v>53.28</v>
      </c>
      <c r="AY188">
        <f>$H$188*$AE$188</f>
        <v>53.28</v>
      </c>
      <c r="AZ188">
        <f>$H$188*$AF$188</f>
        <v>53.28</v>
      </c>
    </row>
    <row r="189" spans="1:52" x14ac:dyDescent="0.25">
      <c r="A189">
        <v>234</v>
      </c>
      <c r="B189" t="s">
        <v>257</v>
      </c>
      <c r="C189" t="s">
        <v>395</v>
      </c>
      <c r="D189">
        <v>8.1300000000000008</v>
      </c>
      <c r="E189">
        <v>44.39</v>
      </c>
      <c r="F189" t="s">
        <v>313</v>
      </c>
      <c r="G189">
        <v>5.46</v>
      </c>
      <c r="H189">
        <v>53.27</v>
      </c>
      <c r="I189" t="s">
        <v>396</v>
      </c>
      <c r="J189" t="s">
        <v>397</v>
      </c>
      <c r="K189" t="s">
        <v>553</v>
      </c>
      <c r="L189" t="s">
        <v>200</v>
      </c>
      <c r="M189" t="s">
        <v>257</v>
      </c>
      <c r="N189" t="s">
        <v>51</v>
      </c>
      <c r="O189" t="s">
        <v>13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257</v>
      </c>
      <c r="AH189" t="s">
        <v>51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53.27</v>
      </c>
      <c r="AN189">
        <f>$H$189*$T$189</f>
        <v>53.27</v>
      </c>
      <c r="AO189">
        <f>$H$189*$U$189</f>
        <v>53.27</v>
      </c>
      <c r="AP189">
        <f>$H$189*$V$189</f>
        <v>53.27</v>
      </c>
      <c r="AQ189">
        <f>$H$189*$W$189</f>
        <v>53.27</v>
      </c>
      <c r="AR189">
        <f>$H$189*$X$189</f>
        <v>53.27</v>
      </c>
      <c r="AS189">
        <f>$H$189*$Y$189</f>
        <v>53.27</v>
      </c>
      <c r="AT189">
        <f>$H$189*$Z$189</f>
        <v>53.27</v>
      </c>
      <c r="AU189">
        <f>$H$189*$AA$189</f>
        <v>53.27</v>
      </c>
      <c r="AV189">
        <f>$H$189*$AB$189</f>
        <v>53.27</v>
      </c>
      <c r="AW189">
        <f>$H$189*$AC$189</f>
        <v>53.27</v>
      </c>
      <c r="AX189">
        <f>$H$189*$AD$189</f>
        <v>53.27</v>
      </c>
      <c r="AY189">
        <f>$H$189*$AE$189</f>
        <v>53.27</v>
      </c>
      <c r="AZ189">
        <f>$H$189*$AF$189</f>
        <v>53.27</v>
      </c>
    </row>
    <row r="190" spans="1:52" x14ac:dyDescent="0.25">
      <c r="A190">
        <v>235</v>
      </c>
      <c r="B190" t="s">
        <v>257</v>
      </c>
      <c r="C190" t="s">
        <v>398</v>
      </c>
      <c r="D190">
        <v>8.1300000000000008</v>
      </c>
      <c r="E190">
        <v>29.11</v>
      </c>
      <c r="F190" t="s">
        <v>313</v>
      </c>
      <c r="G190">
        <v>3.58</v>
      </c>
      <c r="H190">
        <v>34.93</v>
      </c>
      <c r="I190" t="s">
        <v>396</v>
      </c>
      <c r="J190" t="s">
        <v>399</v>
      </c>
      <c r="K190" t="s">
        <v>554</v>
      </c>
      <c r="L190" t="s">
        <v>200</v>
      </c>
      <c r="M190" t="s">
        <v>257</v>
      </c>
      <c r="N190" t="s">
        <v>51</v>
      </c>
      <c r="O190" t="s">
        <v>13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257</v>
      </c>
      <c r="AH190" t="s">
        <v>51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34.93</v>
      </c>
      <c r="AN190">
        <f>$H$190*$T$190</f>
        <v>34.93</v>
      </c>
      <c r="AO190">
        <f>$H$190*$U$190</f>
        <v>34.93</v>
      </c>
      <c r="AP190">
        <f>$H$190*$V$190</f>
        <v>34.93</v>
      </c>
      <c r="AQ190">
        <f>$H$190*$W$190</f>
        <v>34.93</v>
      </c>
      <c r="AR190">
        <f>$H$190*$X$190</f>
        <v>34.93</v>
      </c>
      <c r="AS190">
        <f>$H$190*$Y$190</f>
        <v>34.93</v>
      </c>
      <c r="AT190">
        <f>$H$190*$Z$190</f>
        <v>34.93</v>
      </c>
      <c r="AU190">
        <f>$H$190*$AA$190</f>
        <v>34.93</v>
      </c>
      <c r="AV190">
        <f>$H$190*$AB$190</f>
        <v>34.93</v>
      </c>
      <c r="AW190">
        <f>$H$190*$AC$190</f>
        <v>34.93</v>
      </c>
      <c r="AX190">
        <f>$H$190*$AD$190</f>
        <v>34.93</v>
      </c>
      <c r="AY190">
        <f>$H$190*$AE$190</f>
        <v>34.93</v>
      </c>
      <c r="AZ190">
        <f>$H$190*$AF$190</f>
        <v>34.93</v>
      </c>
    </row>
    <row r="191" spans="1:52" x14ac:dyDescent="0.25">
      <c r="A191">
        <v>236</v>
      </c>
      <c r="B191" t="s">
        <v>257</v>
      </c>
      <c r="C191" t="s">
        <v>400</v>
      </c>
      <c r="D191">
        <v>8.1300000000000008</v>
      </c>
      <c r="E191">
        <v>70.73</v>
      </c>
      <c r="F191" t="s">
        <v>313</v>
      </c>
      <c r="G191">
        <v>8.6999999999999993</v>
      </c>
      <c r="H191">
        <v>84.87</v>
      </c>
      <c r="I191" t="s">
        <v>396</v>
      </c>
      <c r="J191" t="s">
        <v>334</v>
      </c>
      <c r="K191" t="s">
        <v>555</v>
      </c>
      <c r="L191" t="s">
        <v>200</v>
      </c>
      <c r="M191" t="s">
        <v>257</v>
      </c>
      <c r="N191" t="s">
        <v>51</v>
      </c>
      <c r="O191" t="s">
        <v>13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257</v>
      </c>
      <c r="AH191" t="s">
        <v>51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84.87</v>
      </c>
      <c r="AN191">
        <f>$H$191*$T$191</f>
        <v>84.87</v>
      </c>
      <c r="AO191">
        <f>$H$191*$U$191</f>
        <v>84.87</v>
      </c>
      <c r="AP191">
        <f>$H$191*$V$191</f>
        <v>84.87</v>
      </c>
      <c r="AQ191">
        <f>$H$191*$W$191</f>
        <v>84.87</v>
      </c>
      <c r="AR191">
        <f>$H$191*$X$191</f>
        <v>84.87</v>
      </c>
      <c r="AS191">
        <f>$H$191*$Y$191</f>
        <v>84.87</v>
      </c>
      <c r="AT191">
        <f>$H$191*$Z$191</f>
        <v>84.87</v>
      </c>
      <c r="AU191">
        <f>$H$191*$AA$191</f>
        <v>84.87</v>
      </c>
      <c r="AV191">
        <f>$H$191*$AB$191</f>
        <v>84.87</v>
      </c>
      <c r="AW191">
        <f>$H$191*$AC$191</f>
        <v>84.87</v>
      </c>
      <c r="AX191">
        <f>$H$191*$AD$191</f>
        <v>84.87</v>
      </c>
      <c r="AY191">
        <f>$H$191*$AE$191</f>
        <v>84.87</v>
      </c>
      <c r="AZ191">
        <f>$H$191*$AF$191</f>
        <v>84.87</v>
      </c>
    </row>
    <row r="192" spans="1:52" x14ac:dyDescent="0.25">
      <c r="A192">
        <v>237</v>
      </c>
      <c r="B192" t="s">
        <v>257</v>
      </c>
      <c r="C192" t="s">
        <v>401</v>
      </c>
      <c r="D192">
        <v>7.5</v>
      </c>
      <c r="E192">
        <v>5.93</v>
      </c>
      <c r="F192" t="s">
        <v>313</v>
      </c>
      <c r="G192">
        <v>0.79</v>
      </c>
      <c r="H192">
        <v>7.11</v>
      </c>
      <c r="I192" t="s">
        <v>339</v>
      </c>
      <c r="J192" t="s">
        <v>402</v>
      </c>
      <c r="K192" t="s">
        <v>556</v>
      </c>
      <c r="L192" t="s">
        <v>200</v>
      </c>
      <c r="M192" t="s">
        <v>257</v>
      </c>
      <c r="N192" t="s">
        <v>51</v>
      </c>
      <c r="O192" t="s">
        <v>13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257</v>
      </c>
      <c r="AH192" t="s">
        <v>51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7.11</v>
      </c>
      <c r="AN192">
        <f>$H$192*$T$192</f>
        <v>7.11</v>
      </c>
      <c r="AO192">
        <f>$H$192*$U$192</f>
        <v>7.11</v>
      </c>
      <c r="AP192">
        <f>$H$192*$V$192</f>
        <v>7.11</v>
      </c>
      <c r="AQ192">
        <f>$H$192*$W$192</f>
        <v>7.11</v>
      </c>
      <c r="AR192">
        <f>$H$192*$X$192</f>
        <v>7.11</v>
      </c>
      <c r="AS192">
        <f>$H$192*$Y$192</f>
        <v>7.11</v>
      </c>
      <c r="AT192">
        <f>$H$192*$Z$192</f>
        <v>7.11</v>
      </c>
      <c r="AU192">
        <f>$H$192*$AA$192</f>
        <v>7.11</v>
      </c>
      <c r="AV192">
        <f>$H$192*$AB$192</f>
        <v>7.11</v>
      </c>
      <c r="AW192">
        <f>$H$192*$AC$192</f>
        <v>7.11</v>
      </c>
      <c r="AX192">
        <f>$H$192*$AD$192</f>
        <v>7.11</v>
      </c>
      <c r="AY192">
        <f>$H$192*$AE$192</f>
        <v>7.11</v>
      </c>
      <c r="AZ192">
        <f>$H$192*$AF$192</f>
        <v>7.11</v>
      </c>
    </row>
    <row r="193" spans="1:52" x14ac:dyDescent="0.25">
      <c r="A193">
        <v>238</v>
      </c>
      <c r="B193" t="s">
        <v>257</v>
      </c>
      <c r="C193" t="s">
        <v>403</v>
      </c>
      <c r="D193">
        <v>7.5</v>
      </c>
      <c r="E193">
        <v>39.979999999999997</v>
      </c>
      <c r="F193" t="s">
        <v>313</v>
      </c>
      <c r="G193">
        <v>5.33</v>
      </c>
      <c r="H193">
        <v>47.98</v>
      </c>
      <c r="I193" t="s">
        <v>339</v>
      </c>
      <c r="J193" t="s">
        <v>334</v>
      </c>
      <c r="K193" t="s">
        <v>557</v>
      </c>
      <c r="L193" t="s">
        <v>200</v>
      </c>
      <c r="M193" t="s">
        <v>257</v>
      </c>
      <c r="N193" t="s">
        <v>51</v>
      </c>
      <c r="O193" t="s">
        <v>13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257</v>
      </c>
      <c r="AH193" t="s">
        <v>51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47.98</v>
      </c>
      <c r="AN193">
        <f>$H$193*$T$193</f>
        <v>47.98</v>
      </c>
      <c r="AO193">
        <f>$H$193*$U$193</f>
        <v>47.98</v>
      </c>
      <c r="AP193">
        <f>$H$193*$V$193</f>
        <v>47.98</v>
      </c>
      <c r="AQ193">
        <f>$H$193*$W$193</f>
        <v>47.98</v>
      </c>
      <c r="AR193">
        <f>$H$193*$X$193</f>
        <v>47.98</v>
      </c>
      <c r="AS193">
        <f>$H$193*$Y$193</f>
        <v>47.98</v>
      </c>
      <c r="AT193">
        <f>$H$193*$Z$193</f>
        <v>47.98</v>
      </c>
      <c r="AU193">
        <f>$H$193*$AA$193</f>
        <v>47.98</v>
      </c>
      <c r="AV193">
        <f>$H$193*$AB$193</f>
        <v>47.98</v>
      </c>
      <c r="AW193">
        <f>$H$193*$AC$193</f>
        <v>47.98</v>
      </c>
      <c r="AX193">
        <f>$H$193*$AD$193</f>
        <v>47.98</v>
      </c>
      <c r="AY193">
        <f>$H$193*$AE$193</f>
        <v>47.98</v>
      </c>
      <c r="AZ193">
        <f>$H$193*$AF$193</f>
        <v>47.98</v>
      </c>
    </row>
    <row r="194" spans="1:52" x14ac:dyDescent="0.25">
      <c r="A194">
        <v>239</v>
      </c>
      <c r="B194" t="s">
        <v>272</v>
      </c>
      <c r="C194" t="s">
        <v>456</v>
      </c>
      <c r="D194">
        <v>1</v>
      </c>
      <c r="E194">
        <v>212.06</v>
      </c>
      <c r="F194" t="s">
        <v>299</v>
      </c>
      <c r="G194">
        <v>212.06</v>
      </c>
      <c r="H194">
        <v>254.48</v>
      </c>
      <c r="I194" t="s">
        <v>317</v>
      </c>
      <c r="J194" t="s">
        <v>457</v>
      </c>
      <c r="K194" t="s">
        <v>583</v>
      </c>
      <c r="L194" t="s">
        <v>200</v>
      </c>
      <c r="M194" t="s">
        <v>272</v>
      </c>
      <c r="N194" t="s">
        <v>51</v>
      </c>
      <c r="O194" t="s">
        <v>273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272</v>
      </c>
      <c r="AH194" t="s">
        <v>51</v>
      </c>
      <c r="AI194" t="s">
        <v>273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254.48</v>
      </c>
      <c r="AT194">
        <f>$H$194*$Z$194</f>
        <v>254.48</v>
      </c>
      <c r="AU194">
        <f>$H$194*$AA$194</f>
        <v>254.48</v>
      </c>
      <c r="AV194">
        <f>$H$194*$AB$194</f>
        <v>254.48</v>
      </c>
      <c r="AW194">
        <f>$H$194*$AC$194</f>
        <v>254.48</v>
      </c>
      <c r="AX194">
        <f>$H$194*$AD$194</f>
        <v>254.48</v>
      </c>
      <c r="AY194">
        <f>$H$194*$AE$194</f>
        <v>254.48</v>
      </c>
      <c r="AZ194">
        <f>$H$194*$AF$194</f>
        <v>254.48</v>
      </c>
    </row>
    <row r="195" spans="1:52" x14ac:dyDescent="0.25">
      <c r="A195">
        <v>240</v>
      </c>
      <c r="B195" t="s">
        <v>272</v>
      </c>
      <c r="C195" t="s">
        <v>458</v>
      </c>
      <c r="D195">
        <v>1</v>
      </c>
      <c r="E195">
        <v>33.1</v>
      </c>
      <c r="F195" t="s">
        <v>299</v>
      </c>
      <c r="G195">
        <v>33.1</v>
      </c>
      <c r="H195">
        <v>39.72</v>
      </c>
      <c r="I195" t="s">
        <v>301</v>
      </c>
      <c r="J195" t="s">
        <v>459</v>
      </c>
      <c r="K195" t="s">
        <v>584</v>
      </c>
      <c r="L195" t="s">
        <v>200</v>
      </c>
      <c r="M195" t="s">
        <v>272</v>
      </c>
      <c r="N195" t="s">
        <v>51</v>
      </c>
      <c r="O195" t="s">
        <v>273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272</v>
      </c>
      <c r="AH195" t="s">
        <v>51</v>
      </c>
      <c r="AI195" t="s">
        <v>273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39.72</v>
      </c>
      <c r="AQ195">
        <f>$H$195*$W$195</f>
        <v>39.72</v>
      </c>
      <c r="AR195">
        <f>$H$195*$X$195</f>
        <v>39.72</v>
      </c>
      <c r="AS195">
        <f>$H$195*$Y$195</f>
        <v>39.72</v>
      </c>
      <c r="AT195">
        <f>$H$195*$Z$195</f>
        <v>39.72</v>
      </c>
      <c r="AU195">
        <f>$H$195*$AA$195</f>
        <v>39.72</v>
      </c>
      <c r="AV195">
        <f>$H$195*$AB$195</f>
        <v>39.72</v>
      </c>
      <c r="AW195">
        <f>$H$195*$AC$195</f>
        <v>39.72</v>
      </c>
      <c r="AX195">
        <f>$H$195*$AD$195</f>
        <v>39.72</v>
      </c>
      <c r="AY195">
        <f>$H$195*$AE$195</f>
        <v>39.72</v>
      </c>
      <c r="AZ195">
        <f>$H$195*$AF$195</f>
        <v>39.72</v>
      </c>
    </row>
    <row r="196" spans="1:52" x14ac:dyDescent="0.25">
      <c r="A196">
        <v>241</v>
      </c>
      <c r="B196" t="s">
        <v>272</v>
      </c>
      <c r="C196" t="s">
        <v>437</v>
      </c>
      <c r="D196">
        <v>1</v>
      </c>
      <c r="E196">
        <v>37</v>
      </c>
      <c r="F196" t="s">
        <v>299</v>
      </c>
      <c r="G196">
        <v>37</v>
      </c>
      <c r="H196">
        <v>44.4</v>
      </c>
      <c r="I196" t="s">
        <v>301</v>
      </c>
      <c r="J196" t="s">
        <v>438</v>
      </c>
      <c r="K196" t="s">
        <v>574</v>
      </c>
      <c r="L196" t="s">
        <v>200</v>
      </c>
      <c r="M196" t="s">
        <v>272</v>
      </c>
      <c r="N196" t="s">
        <v>51</v>
      </c>
      <c r="O196" t="s">
        <v>273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0.6</v>
      </c>
      <c r="Y196">
        <v>0.6</v>
      </c>
      <c r="Z196">
        <v>0.6</v>
      </c>
      <c r="AA196">
        <v>0.6</v>
      </c>
      <c r="AB196">
        <v>0.6</v>
      </c>
      <c r="AC196">
        <v>0.6</v>
      </c>
      <c r="AD196">
        <v>1</v>
      </c>
      <c r="AE196">
        <v>1</v>
      </c>
      <c r="AF196">
        <v>1</v>
      </c>
      <c r="AG196" t="s">
        <v>272</v>
      </c>
      <c r="AH196" t="s">
        <v>51</v>
      </c>
      <c r="AI196" t="s">
        <v>273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26.639999999999997</v>
      </c>
      <c r="AS196">
        <f>$H$196*$Y$196</f>
        <v>26.639999999999997</v>
      </c>
      <c r="AT196">
        <f>$H$196*$Z$196</f>
        <v>26.639999999999997</v>
      </c>
      <c r="AU196">
        <f>$H$196*$AA$196</f>
        <v>26.639999999999997</v>
      </c>
      <c r="AV196">
        <f>$H$196*$AB$196</f>
        <v>26.639999999999997</v>
      </c>
      <c r="AW196">
        <f>$H$196*$AC$196</f>
        <v>26.639999999999997</v>
      </c>
      <c r="AX196">
        <f>$H$196*$AD$196</f>
        <v>44.4</v>
      </c>
      <c r="AY196">
        <f>$H$196*$AE$196</f>
        <v>44.4</v>
      </c>
      <c r="AZ196">
        <f>$H$196*$AF$196</f>
        <v>44.4</v>
      </c>
    </row>
    <row r="197" spans="1:52" x14ac:dyDescent="0.25">
      <c r="A197">
        <v>242</v>
      </c>
      <c r="B197" t="s">
        <v>272</v>
      </c>
      <c r="C197" t="s">
        <v>380</v>
      </c>
      <c r="D197">
        <v>1</v>
      </c>
      <c r="E197">
        <v>13.27</v>
      </c>
      <c r="F197" t="s">
        <v>299</v>
      </c>
      <c r="G197">
        <v>13.27</v>
      </c>
      <c r="H197">
        <v>15.93</v>
      </c>
      <c r="I197" t="s">
        <v>301</v>
      </c>
      <c r="J197" t="s">
        <v>381</v>
      </c>
      <c r="K197" t="s">
        <v>545</v>
      </c>
      <c r="L197" t="s">
        <v>200</v>
      </c>
      <c r="M197" t="s">
        <v>272</v>
      </c>
      <c r="N197" t="s">
        <v>51</v>
      </c>
      <c r="O197" t="s">
        <v>273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272</v>
      </c>
      <c r="AH197" t="s">
        <v>51</v>
      </c>
      <c r="AI197" t="s">
        <v>273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15.93</v>
      </c>
      <c r="AS197">
        <f>$H$197*$Y$197</f>
        <v>15.93</v>
      </c>
      <c r="AT197">
        <f>$H$197*$Z$197</f>
        <v>15.93</v>
      </c>
      <c r="AU197">
        <f>$H$197*$AA$197</f>
        <v>15.93</v>
      </c>
      <c r="AV197">
        <f>$H$197*$AB$197</f>
        <v>15.93</v>
      </c>
      <c r="AW197">
        <f>$H$197*$AC$197</f>
        <v>15.93</v>
      </c>
      <c r="AX197">
        <f>$H$197*$AD$197</f>
        <v>15.93</v>
      </c>
      <c r="AY197">
        <f>$H$197*$AE$197</f>
        <v>15.93</v>
      </c>
      <c r="AZ197">
        <f>$H$197*$AF$197</f>
        <v>15.93</v>
      </c>
    </row>
    <row r="198" spans="1:52" x14ac:dyDescent="0.25">
      <c r="A198">
        <v>243</v>
      </c>
      <c r="B198" t="s">
        <v>272</v>
      </c>
      <c r="C198" t="s">
        <v>460</v>
      </c>
      <c r="D198">
        <v>1</v>
      </c>
      <c r="E198">
        <v>655.73</v>
      </c>
      <c r="F198" t="s">
        <v>299</v>
      </c>
      <c r="G198">
        <v>655.73</v>
      </c>
      <c r="H198">
        <v>786.87</v>
      </c>
      <c r="I198" t="s">
        <v>317</v>
      </c>
      <c r="J198" t="s">
        <v>461</v>
      </c>
      <c r="K198" t="s">
        <v>585</v>
      </c>
      <c r="L198" t="s">
        <v>200</v>
      </c>
      <c r="M198" t="s">
        <v>272</v>
      </c>
      <c r="N198" t="s">
        <v>51</v>
      </c>
      <c r="O198" t="s">
        <v>273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272</v>
      </c>
      <c r="AH198" t="s">
        <v>51</v>
      </c>
      <c r="AI198" t="s">
        <v>273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786.87</v>
      </c>
      <c r="AT198">
        <f>$H$198*$Z$198</f>
        <v>786.87</v>
      </c>
      <c r="AU198">
        <f>$H$198*$AA$198</f>
        <v>786.87</v>
      </c>
      <c r="AV198">
        <f>$H$198*$AB$198</f>
        <v>786.87</v>
      </c>
      <c r="AW198">
        <f>$H$198*$AC$198</f>
        <v>786.87</v>
      </c>
      <c r="AX198">
        <f>$H$198*$AD$198</f>
        <v>786.87</v>
      </c>
      <c r="AY198">
        <f>$H$198*$AE$198</f>
        <v>786.87</v>
      </c>
      <c r="AZ198">
        <f>$H$198*$AF$198</f>
        <v>786.87</v>
      </c>
    </row>
    <row r="199" spans="1:52" x14ac:dyDescent="0.25">
      <c r="A199">
        <v>244</v>
      </c>
      <c r="B199" t="s">
        <v>272</v>
      </c>
      <c r="C199" t="s">
        <v>462</v>
      </c>
      <c r="D199">
        <v>1</v>
      </c>
      <c r="E199">
        <v>48.06</v>
      </c>
      <c r="F199" t="s">
        <v>299</v>
      </c>
      <c r="G199">
        <v>48.06</v>
      </c>
      <c r="H199">
        <v>57.68</v>
      </c>
      <c r="I199" t="s">
        <v>304</v>
      </c>
      <c r="J199" t="s">
        <v>436</v>
      </c>
      <c r="K199" t="s">
        <v>586</v>
      </c>
      <c r="L199" t="s">
        <v>200</v>
      </c>
      <c r="M199" t="s">
        <v>272</v>
      </c>
      <c r="N199" t="s">
        <v>51</v>
      </c>
      <c r="O199" t="s">
        <v>273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1</v>
      </c>
      <c r="AE199">
        <v>1</v>
      </c>
      <c r="AF199">
        <v>1</v>
      </c>
      <c r="AG199" t="s">
        <v>272</v>
      </c>
      <c r="AH199" t="s">
        <v>51</v>
      </c>
      <c r="AI199" t="s">
        <v>273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0</v>
      </c>
      <c r="AV199">
        <f>$H$199*$AB$199</f>
        <v>0</v>
      </c>
      <c r="AW199">
        <f>$H$199*$AC$199</f>
        <v>0</v>
      </c>
      <c r="AX199">
        <f>$H$199*$AD$199</f>
        <v>57.68</v>
      </c>
      <c r="AY199">
        <f>$H$199*$AE$199</f>
        <v>57.68</v>
      </c>
      <c r="AZ199">
        <f>$H$199*$AF$199</f>
        <v>57.68</v>
      </c>
    </row>
    <row r="200" spans="1:52" x14ac:dyDescent="0.25">
      <c r="A200">
        <v>245</v>
      </c>
      <c r="B200" t="s">
        <v>272</v>
      </c>
      <c r="C200" t="s">
        <v>329</v>
      </c>
      <c r="D200">
        <v>1</v>
      </c>
      <c r="E200">
        <v>47.96</v>
      </c>
      <c r="F200" t="s">
        <v>299</v>
      </c>
      <c r="G200">
        <v>47.96</v>
      </c>
      <c r="H200">
        <v>57.56</v>
      </c>
      <c r="I200" t="s">
        <v>330</v>
      </c>
      <c r="J200" t="s">
        <v>331</v>
      </c>
      <c r="K200" t="s">
        <v>520</v>
      </c>
      <c r="L200" t="s">
        <v>200</v>
      </c>
      <c r="M200" t="s">
        <v>272</v>
      </c>
      <c r="N200" t="s">
        <v>51</v>
      </c>
      <c r="O200" t="s">
        <v>273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272</v>
      </c>
      <c r="AH200" t="s">
        <v>51</v>
      </c>
      <c r="AI200" t="s">
        <v>273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57.56</v>
      </c>
      <c r="AV200">
        <f>$H$200*$AB$200</f>
        <v>57.56</v>
      </c>
      <c r="AW200">
        <f>$H$200*$AC$200</f>
        <v>57.56</v>
      </c>
      <c r="AX200">
        <f>$H$200*$AD$200</f>
        <v>57.56</v>
      </c>
      <c r="AY200">
        <f>$H$200*$AE$200</f>
        <v>57.56</v>
      </c>
      <c r="AZ200">
        <f>$H$200*$AF$200</f>
        <v>57.56</v>
      </c>
    </row>
    <row r="201" spans="1:52" x14ac:dyDescent="0.25">
      <c r="A201">
        <v>246</v>
      </c>
      <c r="B201" t="s">
        <v>272</v>
      </c>
      <c r="C201" t="s">
        <v>337</v>
      </c>
      <c r="D201">
        <v>2</v>
      </c>
      <c r="E201">
        <v>77.86</v>
      </c>
      <c r="F201" t="s">
        <v>299</v>
      </c>
      <c r="G201">
        <v>38.93</v>
      </c>
      <c r="H201">
        <v>93.44</v>
      </c>
      <c r="I201" t="s">
        <v>295</v>
      </c>
      <c r="J201" t="s">
        <v>333</v>
      </c>
      <c r="K201" t="s">
        <v>523</v>
      </c>
      <c r="L201" t="s">
        <v>200</v>
      </c>
      <c r="M201" t="s">
        <v>272</v>
      </c>
      <c r="N201" t="s">
        <v>51</v>
      </c>
      <c r="O201" t="s">
        <v>273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272</v>
      </c>
      <c r="AH201" t="s">
        <v>51</v>
      </c>
      <c r="AI201" t="s">
        <v>273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93.44</v>
      </c>
      <c r="AN201">
        <f>$H$201*$T$201</f>
        <v>93.44</v>
      </c>
      <c r="AO201">
        <f>$H$201*$U$201</f>
        <v>93.44</v>
      </c>
      <c r="AP201">
        <f>$H$201*$V$201</f>
        <v>93.44</v>
      </c>
      <c r="AQ201">
        <f>$H$201*$W$201</f>
        <v>93.44</v>
      </c>
      <c r="AR201">
        <f>$H$201*$X$201</f>
        <v>93.44</v>
      </c>
      <c r="AS201">
        <f>$H$201*$Y$201</f>
        <v>93.44</v>
      </c>
      <c r="AT201">
        <f>$H$201*$Z$201</f>
        <v>93.44</v>
      </c>
      <c r="AU201">
        <f>$H$201*$AA$201</f>
        <v>93.44</v>
      </c>
      <c r="AV201">
        <f>$H$201*$AB$201</f>
        <v>93.44</v>
      </c>
      <c r="AW201">
        <f>$H$201*$AC$201</f>
        <v>93.44</v>
      </c>
      <c r="AX201">
        <f>$H$201*$AD$201</f>
        <v>93.44</v>
      </c>
      <c r="AY201">
        <f>$H$201*$AE$201</f>
        <v>93.44</v>
      </c>
      <c r="AZ201">
        <f>$H$201*$AF$201</f>
        <v>93.44</v>
      </c>
    </row>
    <row r="202" spans="1:52" x14ac:dyDescent="0.25">
      <c r="A202">
        <v>247</v>
      </c>
      <c r="B202" t="s">
        <v>272</v>
      </c>
      <c r="C202" t="s">
        <v>335</v>
      </c>
      <c r="D202">
        <v>2</v>
      </c>
      <c r="E202">
        <v>62.72</v>
      </c>
      <c r="F202" t="s">
        <v>299</v>
      </c>
      <c r="G202">
        <v>31.36</v>
      </c>
      <c r="H202">
        <v>75.260000000000005</v>
      </c>
      <c r="I202" t="s">
        <v>295</v>
      </c>
      <c r="J202" t="s">
        <v>336</v>
      </c>
      <c r="K202" t="s">
        <v>522</v>
      </c>
      <c r="L202" t="s">
        <v>200</v>
      </c>
      <c r="M202" t="s">
        <v>272</v>
      </c>
      <c r="N202" t="s">
        <v>51</v>
      </c>
      <c r="O202" t="s">
        <v>273</v>
      </c>
      <c r="P202">
        <v>0</v>
      </c>
      <c r="Q202">
        <v>0</v>
      </c>
      <c r="R202">
        <v>0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272</v>
      </c>
      <c r="AH202" t="s">
        <v>51</v>
      </c>
      <c r="AI202" t="s">
        <v>273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75.260000000000005</v>
      </c>
      <c r="AN202">
        <f>$H$202*$T$202</f>
        <v>75.260000000000005</v>
      </c>
      <c r="AO202">
        <f>$H$202*$U$202</f>
        <v>75.260000000000005</v>
      </c>
      <c r="AP202">
        <f>$H$202*$V$202</f>
        <v>75.260000000000005</v>
      </c>
      <c r="AQ202">
        <f>$H$202*$W$202</f>
        <v>75.260000000000005</v>
      </c>
      <c r="AR202">
        <f>$H$202*$X$202</f>
        <v>75.260000000000005</v>
      </c>
      <c r="AS202">
        <f>$H$202*$Y$202</f>
        <v>75.260000000000005</v>
      </c>
      <c r="AT202">
        <f>$H$202*$Z$202</f>
        <v>75.260000000000005</v>
      </c>
      <c r="AU202">
        <f>$H$202*$AA$202</f>
        <v>75.260000000000005</v>
      </c>
      <c r="AV202">
        <f>$H$202*$AB$202</f>
        <v>75.260000000000005</v>
      </c>
      <c r="AW202">
        <f>$H$202*$AC$202</f>
        <v>75.260000000000005</v>
      </c>
      <c r="AX202">
        <f>$H$202*$AD$202</f>
        <v>75.260000000000005</v>
      </c>
      <c r="AY202">
        <f>$H$202*$AE$202</f>
        <v>75.260000000000005</v>
      </c>
      <c r="AZ202">
        <f>$H$202*$AF$202</f>
        <v>75.260000000000005</v>
      </c>
    </row>
    <row r="203" spans="1:52" x14ac:dyDescent="0.25">
      <c r="A203">
        <v>248</v>
      </c>
      <c r="B203" t="s">
        <v>272</v>
      </c>
      <c r="C203" t="s">
        <v>332</v>
      </c>
      <c r="D203">
        <v>1</v>
      </c>
      <c r="E203">
        <v>365.09</v>
      </c>
      <c r="F203" t="s">
        <v>299</v>
      </c>
      <c r="G203">
        <v>365.09</v>
      </c>
      <c r="H203">
        <v>438.11</v>
      </c>
      <c r="I203" t="s">
        <v>333</v>
      </c>
      <c r="J203" t="s">
        <v>334</v>
      </c>
      <c r="K203" t="s">
        <v>521</v>
      </c>
      <c r="L203" t="s">
        <v>200</v>
      </c>
      <c r="M203" t="s">
        <v>272</v>
      </c>
      <c r="N203" t="s">
        <v>51</v>
      </c>
      <c r="O203" t="s">
        <v>273</v>
      </c>
      <c r="P203">
        <v>0</v>
      </c>
      <c r="Q203">
        <v>0</v>
      </c>
      <c r="R203">
        <v>0</v>
      </c>
      <c r="S203">
        <v>0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272</v>
      </c>
      <c r="AH203" t="s">
        <v>51</v>
      </c>
      <c r="AI203" t="s">
        <v>273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438.11</v>
      </c>
      <c r="AO203">
        <f>$H$203*$U$203</f>
        <v>438.11</v>
      </c>
      <c r="AP203">
        <f>$H$203*$V$203</f>
        <v>438.11</v>
      </c>
      <c r="AQ203">
        <f>$H$203*$W$203</f>
        <v>438.11</v>
      </c>
      <c r="AR203">
        <f>$H$203*$X$203</f>
        <v>438.11</v>
      </c>
      <c r="AS203">
        <f>$H$203*$Y$203</f>
        <v>438.11</v>
      </c>
      <c r="AT203">
        <f>$H$203*$Z$203</f>
        <v>438.11</v>
      </c>
      <c r="AU203">
        <f>$H$203*$AA$203</f>
        <v>438.11</v>
      </c>
      <c r="AV203">
        <f>$H$203*$AB$203</f>
        <v>438.11</v>
      </c>
      <c r="AW203">
        <f>$H$203*$AC$203</f>
        <v>438.11</v>
      </c>
      <c r="AX203">
        <f>$H$203*$AD$203</f>
        <v>438.11</v>
      </c>
      <c r="AY203">
        <f>$H$203*$AE$203</f>
        <v>438.11</v>
      </c>
      <c r="AZ203">
        <f>$H$203*$AF$203</f>
        <v>438.11</v>
      </c>
    </row>
    <row r="204" spans="1:52" x14ac:dyDescent="0.25">
      <c r="A204">
        <v>249</v>
      </c>
      <c r="B204" t="s">
        <v>272</v>
      </c>
      <c r="C204" t="s">
        <v>463</v>
      </c>
      <c r="D204">
        <v>3</v>
      </c>
      <c r="E204">
        <v>480.39</v>
      </c>
      <c r="F204" t="s">
        <v>294</v>
      </c>
      <c r="G204">
        <v>160.13</v>
      </c>
      <c r="H204">
        <v>576.47</v>
      </c>
      <c r="I204" t="s">
        <v>440</v>
      </c>
      <c r="J204" t="s">
        <v>464</v>
      </c>
      <c r="K204" t="s">
        <v>587</v>
      </c>
      <c r="L204" t="s">
        <v>200</v>
      </c>
      <c r="M204" t="s">
        <v>272</v>
      </c>
      <c r="N204" t="s">
        <v>51</v>
      </c>
      <c r="O204" t="s">
        <v>273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272</v>
      </c>
      <c r="AH204" t="s">
        <v>51</v>
      </c>
      <c r="AI204" t="s">
        <v>273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0</v>
      </c>
      <c r="AU204">
        <f>$H$204*$AA$204</f>
        <v>0</v>
      </c>
      <c r="AV204">
        <f>$H$204*$AB$204</f>
        <v>576.47</v>
      </c>
      <c r="AW204">
        <f>$H$204*$AC$204</f>
        <v>576.47</v>
      </c>
      <c r="AX204">
        <f>$H$204*$AD$204</f>
        <v>576.47</v>
      </c>
      <c r="AY204">
        <f>$H$204*$AE$204</f>
        <v>576.47</v>
      </c>
      <c r="AZ204">
        <f>$H$204*$AF$204</f>
        <v>576.47</v>
      </c>
    </row>
    <row r="205" spans="1:52" x14ac:dyDescent="0.25">
      <c r="A205">
        <v>250</v>
      </c>
      <c r="B205" t="s">
        <v>272</v>
      </c>
      <c r="C205" t="s">
        <v>324</v>
      </c>
      <c r="D205">
        <v>173.33</v>
      </c>
      <c r="E205">
        <v>169.86</v>
      </c>
      <c r="F205" t="s">
        <v>313</v>
      </c>
      <c r="G205">
        <v>0.98</v>
      </c>
      <c r="H205">
        <v>203.84</v>
      </c>
      <c r="I205" t="s">
        <v>295</v>
      </c>
      <c r="J205" t="s">
        <v>325</v>
      </c>
      <c r="K205" t="s">
        <v>518</v>
      </c>
      <c r="L205" t="s">
        <v>200</v>
      </c>
      <c r="M205" t="s">
        <v>272</v>
      </c>
      <c r="N205" t="s">
        <v>51</v>
      </c>
      <c r="O205" t="s">
        <v>273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272</v>
      </c>
      <c r="AH205" t="s">
        <v>51</v>
      </c>
      <c r="AI205" t="s">
        <v>273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203.84</v>
      </c>
      <c r="AO205">
        <f>$H$205*$U$205</f>
        <v>203.84</v>
      </c>
      <c r="AP205">
        <f>$H$205*$V$205</f>
        <v>203.84</v>
      </c>
      <c r="AQ205">
        <f>$H$205*$W$205</f>
        <v>203.84</v>
      </c>
      <c r="AR205">
        <f>$H$205*$X$205</f>
        <v>203.84</v>
      </c>
      <c r="AS205">
        <f>$H$205*$Y$205</f>
        <v>203.84</v>
      </c>
      <c r="AT205">
        <f>$H$205*$Z$205</f>
        <v>203.84</v>
      </c>
      <c r="AU205">
        <f>$H$205*$AA$205</f>
        <v>203.84</v>
      </c>
      <c r="AV205">
        <f>$H$205*$AB$205</f>
        <v>203.84</v>
      </c>
      <c r="AW205">
        <f>$H$205*$AC$205</f>
        <v>203.84</v>
      </c>
      <c r="AX205">
        <f>$H$205*$AD$205</f>
        <v>203.84</v>
      </c>
      <c r="AY205">
        <f>$H$205*$AE$205</f>
        <v>203.84</v>
      </c>
      <c r="AZ205">
        <f>$H$205*$AF$205</f>
        <v>203.84</v>
      </c>
    </row>
    <row r="206" spans="1:52" x14ac:dyDescent="0.25">
      <c r="A206">
        <v>251</v>
      </c>
      <c r="B206" t="s">
        <v>272</v>
      </c>
      <c r="C206" t="s">
        <v>326</v>
      </c>
      <c r="D206">
        <v>173.33</v>
      </c>
      <c r="E206">
        <v>462.79</v>
      </c>
      <c r="F206" t="s">
        <v>313</v>
      </c>
      <c r="G206">
        <v>2.67</v>
      </c>
      <c r="H206">
        <v>555.35</v>
      </c>
      <c r="I206" t="s">
        <v>327</v>
      </c>
      <c r="J206" t="s">
        <v>328</v>
      </c>
      <c r="K206" t="s">
        <v>519</v>
      </c>
      <c r="L206" t="s">
        <v>200</v>
      </c>
      <c r="M206" t="s">
        <v>272</v>
      </c>
      <c r="N206" t="s">
        <v>51</v>
      </c>
      <c r="O206" t="s">
        <v>273</v>
      </c>
      <c r="P206">
        <v>0</v>
      </c>
      <c r="Q206">
        <v>0</v>
      </c>
      <c r="R206">
        <v>0</v>
      </c>
      <c r="S206">
        <v>0.25</v>
      </c>
      <c r="T206">
        <v>0.25</v>
      </c>
      <c r="U206">
        <v>0.25</v>
      </c>
      <c r="V206">
        <v>0.25</v>
      </c>
      <c r="W206">
        <v>0.25</v>
      </c>
      <c r="X206">
        <v>0.5</v>
      </c>
      <c r="Y206">
        <v>0.5</v>
      </c>
      <c r="Z206">
        <v>0.5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272</v>
      </c>
      <c r="AH206" t="s">
        <v>51</v>
      </c>
      <c r="AI206" t="s">
        <v>273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138.83750000000001</v>
      </c>
      <c r="AN206">
        <f>$H$206*$T$206</f>
        <v>138.83750000000001</v>
      </c>
      <c r="AO206">
        <f>$H$206*$U$206</f>
        <v>138.83750000000001</v>
      </c>
      <c r="AP206">
        <f>$H$206*$V$206</f>
        <v>138.83750000000001</v>
      </c>
      <c r="AQ206">
        <f>$H$206*$W$206</f>
        <v>138.83750000000001</v>
      </c>
      <c r="AR206">
        <f>$H$206*$X$206</f>
        <v>277.67500000000001</v>
      </c>
      <c r="AS206">
        <f>$H$206*$Y$206</f>
        <v>277.67500000000001</v>
      </c>
      <c r="AT206">
        <f>$H$206*$Z$206</f>
        <v>277.67500000000001</v>
      </c>
      <c r="AU206">
        <f>$H$206*$AA$206</f>
        <v>555.35</v>
      </c>
      <c r="AV206">
        <f>$H$206*$AB$206</f>
        <v>555.35</v>
      </c>
      <c r="AW206">
        <f>$H$206*$AC$206</f>
        <v>555.35</v>
      </c>
      <c r="AX206">
        <f>$H$206*$AD$206</f>
        <v>555.35</v>
      </c>
      <c r="AY206">
        <f>$H$206*$AE$206</f>
        <v>555.35</v>
      </c>
      <c r="AZ206">
        <f>$H$206*$AF$206</f>
        <v>555.35</v>
      </c>
    </row>
    <row r="207" spans="1:52" x14ac:dyDescent="0.25">
      <c r="A207">
        <v>252</v>
      </c>
      <c r="B207" t="s">
        <v>272</v>
      </c>
      <c r="C207" t="s">
        <v>383</v>
      </c>
      <c r="D207">
        <v>21.67</v>
      </c>
      <c r="E207">
        <v>19.72</v>
      </c>
      <c r="F207" t="s">
        <v>294</v>
      </c>
      <c r="G207">
        <v>0.91</v>
      </c>
      <c r="H207">
        <v>23.66</v>
      </c>
      <c r="I207" t="s">
        <v>295</v>
      </c>
      <c r="J207" t="s">
        <v>384</v>
      </c>
      <c r="K207" t="s">
        <v>547</v>
      </c>
      <c r="L207" t="s">
        <v>200</v>
      </c>
      <c r="M207" t="s">
        <v>272</v>
      </c>
      <c r="N207" t="s">
        <v>51</v>
      </c>
      <c r="O207" t="s">
        <v>273</v>
      </c>
      <c r="P207">
        <v>0</v>
      </c>
      <c r="Q207">
        <v>0</v>
      </c>
      <c r="R207">
        <v>0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272</v>
      </c>
      <c r="AH207" t="s">
        <v>51</v>
      </c>
      <c r="AI207" t="s">
        <v>273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23.66</v>
      </c>
      <c r="AN207">
        <f>$H$207*$T$207</f>
        <v>23.66</v>
      </c>
      <c r="AO207">
        <f>$H$207*$U$207</f>
        <v>23.66</v>
      </c>
      <c r="AP207">
        <f>$H$207*$V$207</f>
        <v>23.66</v>
      </c>
      <c r="AQ207">
        <f>$H$207*$W$207</f>
        <v>23.66</v>
      </c>
      <c r="AR207">
        <f>$H$207*$X$207</f>
        <v>23.66</v>
      </c>
      <c r="AS207">
        <f>$H$207*$Y$207</f>
        <v>23.66</v>
      </c>
      <c r="AT207">
        <f>$H$207*$Z$207</f>
        <v>23.66</v>
      </c>
      <c r="AU207">
        <f>$H$207*$AA$207</f>
        <v>23.66</v>
      </c>
      <c r="AV207">
        <f>$H$207*$AB$207</f>
        <v>23.66</v>
      </c>
      <c r="AW207">
        <f>$H$207*$AC$207</f>
        <v>23.66</v>
      </c>
      <c r="AX207">
        <f>$H$207*$AD$207</f>
        <v>23.66</v>
      </c>
      <c r="AY207">
        <f>$H$207*$AE$207</f>
        <v>23.66</v>
      </c>
      <c r="AZ207">
        <f>$H$207*$AF$207</f>
        <v>23.66</v>
      </c>
    </row>
    <row r="208" spans="1:52" x14ac:dyDescent="0.25">
      <c r="A208">
        <v>253</v>
      </c>
      <c r="B208" t="s">
        <v>272</v>
      </c>
      <c r="C208" t="s">
        <v>385</v>
      </c>
      <c r="D208">
        <v>21.67</v>
      </c>
      <c r="E208">
        <v>110.95</v>
      </c>
      <c r="F208" t="s">
        <v>294</v>
      </c>
      <c r="G208">
        <v>5.12</v>
      </c>
      <c r="H208">
        <v>133.15</v>
      </c>
      <c r="I208" t="s">
        <v>298</v>
      </c>
      <c r="J208" t="s">
        <v>386</v>
      </c>
      <c r="K208" t="s">
        <v>548</v>
      </c>
      <c r="L208" t="s">
        <v>200</v>
      </c>
      <c r="M208" t="s">
        <v>272</v>
      </c>
      <c r="N208" t="s">
        <v>51</v>
      </c>
      <c r="O208" t="s">
        <v>273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272</v>
      </c>
      <c r="AH208" t="s">
        <v>51</v>
      </c>
      <c r="AI208" t="s">
        <v>273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133.15</v>
      </c>
      <c r="AN208">
        <f>$H$208*$T$208</f>
        <v>133.15</v>
      </c>
      <c r="AO208">
        <f>$H$208*$U$208</f>
        <v>133.15</v>
      </c>
      <c r="AP208">
        <f>$H$208*$V$208</f>
        <v>133.15</v>
      </c>
      <c r="AQ208">
        <f>$H$208*$W$208</f>
        <v>133.15</v>
      </c>
      <c r="AR208">
        <f>$H$208*$X$208</f>
        <v>133.15</v>
      </c>
      <c r="AS208">
        <f>$H$208*$Y$208</f>
        <v>133.15</v>
      </c>
      <c r="AT208">
        <f>$H$208*$Z$208</f>
        <v>133.15</v>
      </c>
      <c r="AU208">
        <f>$H$208*$AA$208</f>
        <v>133.15</v>
      </c>
      <c r="AV208">
        <f>$H$208*$AB$208</f>
        <v>133.15</v>
      </c>
      <c r="AW208">
        <f>$H$208*$AC$208</f>
        <v>133.15</v>
      </c>
      <c r="AX208">
        <f>$H$208*$AD$208</f>
        <v>133.15</v>
      </c>
      <c r="AY208">
        <f>$H$208*$AE$208</f>
        <v>133.15</v>
      </c>
      <c r="AZ208">
        <f>$H$208*$AF$208</f>
        <v>133.15</v>
      </c>
    </row>
    <row r="209" spans="1:52" x14ac:dyDescent="0.25">
      <c r="A209">
        <v>254</v>
      </c>
      <c r="B209" t="s">
        <v>272</v>
      </c>
      <c r="C209" t="s">
        <v>326</v>
      </c>
      <c r="D209">
        <v>28.5</v>
      </c>
      <c r="E209">
        <v>76.099999999999994</v>
      </c>
      <c r="F209" t="s">
        <v>313</v>
      </c>
      <c r="G209">
        <v>2.67</v>
      </c>
      <c r="H209">
        <v>91.32</v>
      </c>
      <c r="I209" t="s">
        <v>327</v>
      </c>
      <c r="J209" t="s">
        <v>328</v>
      </c>
      <c r="K209" t="s">
        <v>519</v>
      </c>
      <c r="L209" t="s">
        <v>200</v>
      </c>
      <c r="M209" t="s">
        <v>272</v>
      </c>
      <c r="N209" t="s">
        <v>51</v>
      </c>
      <c r="O209" t="s">
        <v>273</v>
      </c>
      <c r="P209">
        <v>0</v>
      </c>
      <c r="Q209">
        <v>0</v>
      </c>
      <c r="R209">
        <v>0</v>
      </c>
      <c r="S209">
        <v>0.25</v>
      </c>
      <c r="T209">
        <v>0.25</v>
      </c>
      <c r="U209">
        <v>0.25</v>
      </c>
      <c r="V209">
        <v>0.25</v>
      </c>
      <c r="W209">
        <v>0.25</v>
      </c>
      <c r="X209">
        <v>0.5</v>
      </c>
      <c r="Y209">
        <v>0.5</v>
      </c>
      <c r="Z209">
        <v>0.5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272</v>
      </c>
      <c r="AH209" t="s">
        <v>51</v>
      </c>
      <c r="AI209" t="s">
        <v>273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22.83</v>
      </c>
      <c r="AN209">
        <f>$H$209*$T$209</f>
        <v>22.83</v>
      </c>
      <c r="AO209">
        <f>$H$209*$U$209</f>
        <v>22.83</v>
      </c>
      <c r="AP209">
        <f>$H$209*$V$209</f>
        <v>22.83</v>
      </c>
      <c r="AQ209">
        <f>$H$209*$W$209</f>
        <v>22.83</v>
      </c>
      <c r="AR209">
        <f>$H$209*$X$209</f>
        <v>45.66</v>
      </c>
      <c r="AS209">
        <f>$H$209*$Y$209</f>
        <v>45.66</v>
      </c>
      <c r="AT209">
        <f>$H$209*$Z$209</f>
        <v>45.66</v>
      </c>
      <c r="AU209">
        <f>$H$209*$AA$209</f>
        <v>91.32</v>
      </c>
      <c r="AV209">
        <f>$H$209*$AB$209</f>
        <v>91.32</v>
      </c>
      <c r="AW209">
        <f>$H$209*$AC$209</f>
        <v>91.32</v>
      </c>
      <c r="AX209">
        <f>$H$209*$AD$209</f>
        <v>91.32</v>
      </c>
      <c r="AY209">
        <f>$H$209*$AE$209</f>
        <v>91.32</v>
      </c>
      <c r="AZ209">
        <f>$H$209*$AF$209</f>
        <v>91.32</v>
      </c>
    </row>
    <row r="210" spans="1:52" x14ac:dyDescent="0.25">
      <c r="A210">
        <v>255</v>
      </c>
      <c r="B210" t="s">
        <v>272</v>
      </c>
      <c r="C210" t="s">
        <v>387</v>
      </c>
      <c r="D210">
        <v>28.5</v>
      </c>
      <c r="E210">
        <v>17.96</v>
      </c>
      <c r="F210" t="s">
        <v>313</v>
      </c>
      <c r="G210">
        <v>0.63</v>
      </c>
      <c r="H210">
        <v>21.56</v>
      </c>
      <c r="I210" t="s">
        <v>295</v>
      </c>
      <c r="J210" t="s">
        <v>388</v>
      </c>
      <c r="K210" t="s">
        <v>549</v>
      </c>
      <c r="L210" t="s">
        <v>200</v>
      </c>
      <c r="M210" t="s">
        <v>272</v>
      </c>
      <c r="N210" t="s">
        <v>51</v>
      </c>
      <c r="O210" t="s">
        <v>273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1</v>
      </c>
      <c r="AE210">
        <v>1</v>
      </c>
      <c r="AF210">
        <v>1</v>
      </c>
      <c r="AG210" t="s">
        <v>272</v>
      </c>
      <c r="AH210" t="s">
        <v>51</v>
      </c>
      <c r="AI210" t="s">
        <v>273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0</v>
      </c>
      <c r="AU210">
        <f>$H$210*$AA$210</f>
        <v>0</v>
      </c>
      <c r="AV210">
        <f>$H$210*$AB$210</f>
        <v>0</v>
      </c>
      <c r="AW210">
        <f>$H$210*$AC$210</f>
        <v>0</v>
      </c>
      <c r="AX210">
        <f>$H$210*$AD$210</f>
        <v>21.56</v>
      </c>
      <c r="AY210">
        <f>$H$210*$AE$210</f>
        <v>21.56</v>
      </c>
      <c r="AZ210">
        <f>$H$210*$AF$210</f>
        <v>21.56</v>
      </c>
    </row>
    <row r="211" spans="1:52" x14ac:dyDescent="0.25">
      <c r="A211">
        <v>256</v>
      </c>
      <c r="B211" t="s">
        <v>272</v>
      </c>
      <c r="C211" t="s">
        <v>389</v>
      </c>
      <c r="D211">
        <v>28.5</v>
      </c>
      <c r="E211">
        <v>19.670000000000002</v>
      </c>
      <c r="F211" t="s">
        <v>313</v>
      </c>
      <c r="G211">
        <v>0.69</v>
      </c>
      <c r="H211">
        <v>23.61</v>
      </c>
      <c r="I211" t="s">
        <v>295</v>
      </c>
      <c r="J211" t="s">
        <v>390</v>
      </c>
      <c r="K211" t="s">
        <v>550</v>
      </c>
      <c r="L211" t="s">
        <v>200</v>
      </c>
      <c r="M211" t="s">
        <v>272</v>
      </c>
      <c r="N211" t="s">
        <v>51</v>
      </c>
      <c r="O211" t="s">
        <v>273</v>
      </c>
      <c r="P211">
        <v>0</v>
      </c>
      <c r="Q211">
        <v>0</v>
      </c>
      <c r="R211">
        <v>0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272</v>
      </c>
      <c r="AH211" t="s">
        <v>51</v>
      </c>
      <c r="AI211" t="s">
        <v>273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23.61</v>
      </c>
      <c r="AN211">
        <f>$H$211*$T$211</f>
        <v>23.61</v>
      </c>
      <c r="AO211">
        <f>$H$211*$U$211</f>
        <v>23.61</v>
      </c>
      <c r="AP211">
        <f>$H$211*$V$211</f>
        <v>23.61</v>
      </c>
      <c r="AQ211">
        <f>$H$211*$W$211</f>
        <v>23.61</v>
      </c>
      <c r="AR211">
        <f>$H$211*$X$211</f>
        <v>23.61</v>
      </c>
      <c r="AS211">
        <f>$H$211*$Y$211</f>
        <v>23.61</v>
      </c>
      <c r="AT211">
        <f>$H$211*$Z$211</f>
        <v>23.61</v>
      </c>
      <c r="AU211">
        <f>$H$211*$AA$211</f>
        <v>23.61</v>
      </c>
      <c r="AV211">
        <f>$H$211*$AB$211</f>
        <v>23.61</v>
      </c>
      <c r="AW211">
        <f>$H$211*$AC$211</f>
        <v>23.61</v>
      </c>
      <c r="AX211">
        <f>$H$211*$AD$211</f>
        <v>23.61</v>
      </c>
      <c r="AY211">
        <f>$H$211*$AE$211</f>
        <v>23.61</v>
      </c>
      <c r="AZ211">
        <f>$H$211*$AF$211</f>
        <v>23.61</v>
      </c>
    </row>
    <row r="212" spans="1:52" x14ac:dyDescent="0.25">
      <c r="A212">
        <v>257</v>
      </c>
      <c r="B212" t="s">
        <v>272</v>
      </c>
      <c r="C212" t="s">
        <v>391</v>
      </c>
      <c r="D212">
        <v>5.99</v>
      </c>
      <c r="E212">
        <v>34.08</v>
      </c>
      <c r="F212" t="s">
        <v>313</v>
      </c>
      <c r="G212">
        <v>5.69</v>
      </c>
      <c r="H212">
        <v>40.9</v>
      </c>
      <c r="I212" t="s">
        <v>392</v>
      </c>
      <c r="J212" t="s">
        <v>393</v>
      </c>
      <c r="K212" t="s">
        <v>551</v>
      </c>
      <c r="L212" t="s">
        <v>200</v>
      </c>
      <c r="M212" t="s">
        <v>272</v>
      </c>
      <c r="N212" t="s">
        <v>51</v>
      </c>
      <c r="O212" t="s">
        <v>273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272</v>
      </c>
      <c r="AH212" t="s">
        <v>51</v>
      </c>
      <c r="AI212" t="s">
        <v>273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40.9</v>
      </c>
      <c r="AN212">
        <f>$H$212*$T$212</f>
        <v>40.9</v>
      </c>
      <c r="AO212">
        <f>$H$212*$U$212</f>
        <v>40.9</v>
      </c>
      <c r="AP212">
        <f>$H$212*$V$212</f>
        <v>40.9</v>
      </c>
      <c r="AQ212">
        <f>$H$212*$W$212</f>
        <v>40.9</v>
      </c>
      <c r="AR212">
        <f>$H$212*$X$212</f>
        <v>40.9</v>
      </c>
      <c r="AS212">
        <f>$H$212*$Y$212</f>
        <v>40.9</v>
      </c>
      <c r="AT212">
        <f>$H$212*$Z$212</f>
        <v>40.9</v>
      </c>
      <c r="AU212">
        <f>$H$212*$AA$212</f>
        <v>40.9</v>
      </c>
      <c r="AV212">
        <f>$H$212*$AB$212</f>
        <v>40.9</v>
      </c>
      <c r="AW212">
        <f>$H$212*$AC$212</f>
        <v>40.9</v>
      </c>
      <c r="AX212">
        <f>$H$212*$AD$212</f>
        <v>40.9</v>
      </c>
      <c r="AY212">
        <f>$H$212*$AE$212</f>
        <v>40.9</v>
      </c>
      <c r="AZ212">
        <f>$H$212*$AF$212</f>
        <v>40.9</v>
      </c>
    </row>
    <row r="213" spans="1:52" x14ac:dyDescent="0.25">
      <c r="A213">
        <v>258</v>
      </c>
      <c r="B213" t="s">
        <v>272</v>
      </c>
      <c r="C213" t="s">
        <v>394</v>
      </c>
      <c r="D213">
        <v>6.56</v>
      </c>
      <c r="E213">
        <v>38.840000000000003</v>
      </c>
      <c r="F213" t="s">
        <v>313</v>
      </c>
      <c r="G213">
        <v>5.92</v>
      </c>
      <c r="H213">
        <v>46.6</v>
      </c>
      <c r="I213" t="s">
        <v>392</v>
      </c>
      <c r="J213" t="s">
        <v>334</v>
      </c>
      <c r="K213" t="s">
        <v>552</v>
      </c>
      <c r="L213" t="s">
        <v>200</v>
      </c>
      <c r="M213" t="s">
        <v>272</v>
      </c>
      <c r="N213" t="s">
        <v>51</v>
      </c>
      <c r="O213" t="s">
        <v>273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272</v>
      </c>
      <c r="AH213" t="s">
        <v>51</v>
      </c>
      <c r="AI213" t="s">
        <v>273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46.6</v>
      </c>
      <c r="AN213">
        <f>$H$213*$T$213</f>
        <v>46.6</v>
      </c>
      <c r="AO213">
        <f>$H$213*$U$213</f>
        <v>46.6</v>
      </c>
      <c r="AP213">
        <f>$H$213*$V$213</f>
        <v>46.6</v>
      </c>
      <c r="AQ213">
        <f>$H$213*$W$213</f>
        <v>46.6</v>
      </c>
      <c r="AR213">
        <f>$H$213*$X$213</f>
        <v>46.6</v>
      </c>
      <c r="AS213">
        <f>$H$213*$Y$213</f>
        <v>46.6</v>
      </c>
      <c r="AT213">
        <f>$H$213*$Z$213</f>
        <v>46.6</v>
      </c>
      <c r="AU213">
        <f>$H$213*$AA$213</f>
        <v>46.6</v>
      </c>
      <c r="AV213">
        <f>$H$213*$AB$213</f>
        <v>46.6</v>
      </c>
      <c r="AW213">
        <f>$H$213*$AC$213</f>
        <v>46.6</v>
      </c>
      <c r="AX213">
        <f>$H$213*$AD$213</f>
        <v>46.6</v>
      </c>
      <c r="AY213">
        <f>$H$213*$AE$213</f>
        <v>46.6</v>
      </c>
      <c r="AZ213">
        <f>$H$213*$AF$213</f>
        <v>46.6</v>
      </c>
    </row>
    <row r="214" spans="1:52" x14ac:dyDescent="0.25">
      <c r="A214">
        <v>259</v>
      </c>
      <c r="B214" t="s">
        <v>272</v>
      </c>
      <c r="C214" t="s">
        <v>395</v>
      </c>
      <c r="D214">
        <v>7.3</v>
      </c>
      <c r="E214">
        <v>39.86</v>
      </c>
      <c r="F214" t="s">
        <v>313</v>
      </c>
      <c r="G214">
        <v>5.46</v>
      </c>
      <c r="H214">
        <v>47.84</v>
      </c>
      <c r="I214" t="s">
        <v>396</v>
      </c>
      <c r="J214" t="s">
        <v>397</v>
      </c>
      <c r="K214" t="s">
        <v>553</v>
      </c>
      <c r="L214" t="s">
        <v>200</v>
      </c>
      <c r="M214" t="s">
        <v>272</v>
      </c>
      <c r="N214" t="s">
        <v>51</v>
      </c>
      <c r="O214" t="s">
        <v>273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272</v>
      </c>
      <c r="AH214" t="s">
        <v>51</v>
      </c>
      <c r="AI214" t="s">
        <v>273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47.84</v>
      </c>
      <c r="AN214">
        <f>$H$214*$T$214</f>
        <v>47.84</v>
      </c>
      <c r="AO214">
        <f>$H$214*$U$214</f>
        <v>47.84</v>
      </c>
      <c r="AP214">
        <f>$H$214*$V$214</f>
        <v>47.84</v>
      </c>
      <c r="AQ214">
        <f>$H$214*$W$214</f>
        <v>47.84</v>
      </c>
      <c r="AR214">
        <f>$H$214*$X$214</f>
        <v>47.84</v>
      </c>
      <c r="AS214">
        <f>$H$214*$Y$214</f>
        <v>47.84</v>
      </c>
      <c r="AT214">
        <f>$H$214*$Z$214</f>
        <v>47.84</v>
      </c>
      <c r="AU214">
        <f>$H$214*$AA$214</f>
        <v>47.84</v>
      </c>
      <c r="AV214">
        <f>$H$214*$AB$214</f>
        <v>47.84</v>
      </c>
      <c r="AW214">
        <f>$H$214*$AC$214</f>
        <v>47.84</v>
      </c>
      <c r="AX214">
        <f>$H$214*$AD$214</f>
        <v>47.84</v>
      </c>
      <c r="AY214">
        <f>$H$214*$AE$214</f>
        <v>47.84</v>
      </c>
      <c r="AZ214">
        <f>$H$214*$AF$214</f>
        <v>47.84</v>
      </c>
    </row>
    <row r="215" spans="1:52" x14ac:dyDescent="0.25">
      <c r="A215">
        <v>260</v>
      </c>
      <c r="B215" t="s">
        <v>272</v>
      </c>
      <c r="C215" t="s">
        <v>398</v>
      </c>
      <c r="D215">
        <v>7.3</v>
      </c>
      <c r="E215">
        <v>26.13</v>
      </c>
      <c r="F215" t="s">
        <v>313</v>
      </c>
      <c r="G215">
        <v>3.58</v>
      </c>
      <c r="H215">
        <v>31.35</v>
      </c>
      <c r="I215" t="s">
        <v>396</v>
      </c>
      <c r="J215" t="s">
        <v>399</v>
      </c>
      <c r="K215" t="s">
        <v>554</v>
      </c>
      <c r="L215" t="s">
        <v>200</v>
      </c>
      <c r="M215" t="s">
        <v>272</v>
      </c>
      <c r="N215" t="s">
        <v>51</v>
      </c>
      <c r="O215" t="s">
        <v>273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272</v>
      </c>
      <c r="AH215" t="s">
        <v>51</v>
      </c>
      <c r="AI215" t="s">
        <v>273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31.35</v>
      </c>
      <c r="AN215">
        <f>$H$215*$T$215</f>
        <v>31.35</v>
      </c>
      <c r="AO215">
        <f>$H$215*$U$215</f>
        <v>31.35</v>
      </c>
      <c r="AP215">
        <f>$H$215*$V$215</f>
        <v>31.35</v>
      </c>
      <c r="AQ215">
        <f>$H$215*$W$215</f>
        <v>31.35</v>
      </c>
      <c r="AR215">
        <f>$H$215*$X$215</f>
        <v>31.35</v>
      </c>
      <c r="AS215">
        <f>$H$215*$Y$215</f>
        <v>31.35</v>
      </c>
      <c r="AT215">
        <f>$H$215*$Z$215</f>
        <v>31.35</v>
      </c>
      <c r="AU215">
        <f>$H$215*$AA$215</f>
        <v>31.35</v>
      </c>
      <c r="AV215">
        <f>$H$215*$AB$215</f>
        <v>31.35</v>
      </c>
      <c r="AW215">
        <f>$H$215*$AC$215</f>
        <v>31.35</v>
      </c>
      <c r="AX215">
        <f>$H$215*$AD$215</f>
        <v>31.35</v>
      </c>
      <c r="AY215">
        <f>$H$215*$AE$215</f>
        <v>31.35</v>
      </c>
      <c r="AZ215">
        <f>$H$215*$AF$215</f>
        <v>31.35</v>
      </c>
    </row>
    <row r="216" spans="1:52" x14ac:dyDescent="0.25">
      <c r="A216">
        <v>261</v>
      </c>
      <c r="B216" t="s">
        <v>272</v>
      </c>
      <c r="C216" t="s">
        <v>400</v>
      </c>
      <c r="D216">
        <v>7.3</v>
      </c>
      <c r="E216">
        <v>63.51</v>
      </c>
      <c r="F216" t="s">
        <v>313</v>
      </c>
      <c r="G216">
        <v>8.6999999999999993</v>
      </c>
      <c r="H216">
        <v>76.209999999999994</v>
      </c>
      <c r="I216" t="s">
        <v>396</v>
      </c>
      <c r="J216" t="s">
        <v>334</v>
      </c>
      <c r="K216" t="s">
        <v>555</v>
      </c>
      <c r="L216" t="s">
        <v>200</v>
      </c>
      <c r="M216" t="s">
        <v>272</v>
      </c>
      <c r="N216" t="s">
        <v>51</v>
      </c>
      <c r="O216" t="s">
        <v>273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272</v>
      </c>
      <c r="AH216" t="s">
        <v>51</v>
      </c>
      <c r="AI216" t="s">
        <v>273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76.209999999999994</v>
      </c>
      <c r="AN216">
        <f>$H$216*$T$216</f>
        <v>76.209999999999994</v>
      </c>
      <c r="AO216">
        <f>$H$216*$U$216</f>
        <v>76.209999999999994</v>
      </c>
      <c r="AP216">
        <f>$H$216*$V$216</f>
        <v>76.209999999999994</v>
      </c>
      <c r="AQ216">
        <f>$H$216*$W$216</f>
        <v>76.209999999999994</v>
      </c>
      <c r="AR216">
        <f>$H$216*$X$216</f>
        <v>76.209999999999994</v>
      </c>
      <c r="AS216">
        <f>$H$216*$Y$216</f>
        <v>76.209999999999994</v>
      </c>
      <c r="AT216">
        <f>$H$216*$Z$216</f>
        <v>76.209999999999994</v>
      </c>
      <c r="AU216">
        <f>$H$216*$AA$216</f>
        <v>76.209999999999994</v>
      </c>
      <c r="AV216">
        <f>$H$216*$AB$216</f>
        <v>76.209999999999994</v>
      </c>
      <c r="AW216">
        <f>$H$216*$AC$216</f>
        <v>76.209999999999994</v>
      </c>
      <c r="AX216">
        <f>$H$216*$AD$216</f>
        <v>76.209999999999994</v>
      </c>
      <c r="AY216">
        <f>$H$216*$AE$216</f>
        <v>76.209999999999994</v>
      </c>
      <c r="AZ216">
        <f>$H$216*$AF$216</f>
        <v>76.209999999999994</v>
      </c>
    </row>
    <row r="217" spans="1:52" x14ac:dyDescent="0.25">
      <c r="A217">
        <v>262</v>
      </c>
      <c r="B217" t="s">
        <v>272</v>
      </c>
      <c r="C217" t="s">
        <v>401</v>
      </c>
      <c r="D217">
        <v>6.56</v>
      </c>
      <c r="E217">
        <v>5.18</v>
      </c>
      <c r="F217" t="s">
        <v>313</v>
      </c>
      <c r="G217">
        <v>0.79</v>
      </c>
      <c r="H217">
        <v>6.22</v>
      </c>
      <c r="I217" t="s">
        <v>339</v>
      </c>
      <c r="J217" t="s">
        <v>402</v>
      </c>
      <c r="K217" t="s">
        <v>556</v>
      </c>
      <c r="L217" t="s">
        <v>200</v>
      </c>
      <c r="M217" t="s">
        <v>272</v>
      </c>
      <c r="N217" t="s">
        <v>51</v>
      </c>
      <c r="O217" t="s">
        <v>273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272</v>
      </c>
      <c r="AH217" t="s">
        <v>51</v>
      </c>
      <c r="AI217" t="s">
        <v>273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6.22</v>
      </c>
      <c r="AN217">
        <f>$H$217*$T$217</f>
        <v>6.22</v>
      </c>
      <c r="AO217">
        <f>$H$217*$U$217</f>
        <v>6.22</v>
      </c>
      <c r="AP217">
        <f>$H$217*$V$217</f>
        <v>6.22</v>
      </c>
      <c r="AQ217">
        <f>$H$217*$W$217</f>
        <v>6.22</v>
      </c>
      <c r="AR217">
        <f>$H$217*$X$217</f>
        <v>6.22</v>
      </c>
      <c r="AS217">
        <f>$H$217*$Y$217</f>
        <v>6.22</v>
      </c>
      <c r="AT217">
        <f>$H$217*$Z$217</f>
        <v>6.22</v>
      </c>
      <c r="AU217">
        <f>$H$217*$AA$217</f>
        <v>6.22</v>
      </c>
      <c r="AV217">
        <f>$H$217*$AB$217</f>
        <v>6.22</v>
      </c>
      <c r="AW217">
        <f>$H$217*$AC$217</f>
        <v>6.22</v>
      </c>
      <c r="AX217">
        <f>$H$217*$AD$217</f>
        <v>6.22</v>
      </c>
      <c r="AY217">
        <f>$H$217*$AE$217</f>
        <v>6.22</v>
      </c>
      <c r="AZ217">
        <f>$H$217*$AF$217</f>
        <v>6.22</v>
      </c>
    </row>
    <row r="218" spans="1:52" x14ac:dyDescent="0.25">
      <c r="A218">
        <v>263</v>
      </c>
      <c r="B218" t="s">
        <v>272</v>
      </c>
      <c r="C218" t="s">
        <v>403</v>
      </c>
      <c r="D218">
        <v>6.56</v>
      </c>
      <c r="E218">
        <v>34.96</v>
      </c>
      <c r="F218" t="s">
        <v>313</v>
      </c>
      <c r="G218">
        <v>5.33</v>
      </c>
      <c r="H218">
        <v>41.96</v>
      </c>
      <c r="I218" t="s">
        <v>339</v>
      </c>
      <c r="J218" t="s">
        <v>334</v>
      </c>
      <c r="K218" t="s">
        <v>557</v>
      </c>
      <c r="L218" t="s">
        <v>200</v>
      </c>
      <c r="M218" t="s">
        <v>272</v>
      </c>
      <c r="N218" t="s">
        <v>51</v>
      </c>
      <c r="O218" t="s">
        <v>273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272</v>
      </c>
      <c r="AH218" t="s">
        <v>51</v>
      </c>
      <c r="AI218" t="s">
        <v>273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41.96</v>
      </c>
      <c r="AN218">
        <f>$H$218*$T$218</f>
        <v>41.96</v>
      </c>
      <c r="AO218">
        <f>$H$218*$U$218</f>
        <v>41.96</v>
      </c>
      <c r="AP218">
        <f>$H$218*$V$218</f>
        <v>41.96</v>
      </c>
      <c r="AQ218">
        <f>$H$218*$W$218</f>
        <v>41.96</v>
      </c>
      <c r="AR218">
        <f>$H$218*$X$218</f>
        <v>41.96</v>
      </c>
      <c r="AS218">
        <f>$H$218*$Y$218</f>
        <v>41.96</v>
      </c>
      <c r="AT218">
        <f>$H$218*$Z$218</f>
        <v>41.96</v>
      </c>
      <c r="AU218">
        <f>$H$218*$AA$218</f>
        <v>41.96</v>
      </c>
      <c r="AV218">
        <f>$H$218*$AB$218</f>
        <v>41.96</v>
      </c>
      <c r="AW218">
        <f>$H$218*$AC$218</f>
        <v>41.96</v>
      </c>
      <c r="AX218">
        <f>$H$218*$AD$218</f>
        <v>41.96</v>
      </c>
      <c r="AY218">
        <f>$H$218*$AE$218</f>
        <v>41.96</v>
      </c>
      <c r="AZ218">
        <f>$H$218*$AF$218</f>
        <v>41.96</v>
      </c>
    </row>
    <row r="219" spans="1:52" x14ac:dyDescent="0.25">
      <c r="A219">
        <v>264</v>
      </c>
      <c r="B219" t="s">
        <v>274</v>
      </c>
      <c r="C219" t="s">
        <v>380</v>
      </c>
      <c r="D219">
        <v>6</v>
      </c>
      <c r="E219">
        <v>79.62</v>
      </c>
      <c r="F219" t="s">
        <v>299</v>
      </c>
      <c r="G219">
        <v>13.27</v>
      </c>
      <c r="H219">
        <v>95.54</v>
      </c>
      <c r="I219" t="s">
        <v>301</v>
      </c>
      <c r="J219" t="s">
        <v>381</v>
      </c>
      <c r="K219" t="s">
        <v>545</v>
      </c>
      <c r="L219" t="s">
        <v>200</v>
      </c>
      <c r="M219" t="s">
        <v>274</v>
      </c>
      <c r="N219" t="s">
        <v>12</v>
      </c>
      <c r="O219" t="s">
        <v>15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274</v>
      </c>
      <c r="AH219" t="s">
        <v>12</v>
      </c>
      <c r="AI219" t="s">
        <v>15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95.54</v>
      </c>
      <c r="AS219">
        <f>$H$219*$Y$219</f>
        <v>95.54</v>
      </c>
      <c r="AT219">
        <f>$H$219*$Z$219</f>
        <v>95.54</v>
      </c>
      <c r="AU219">
        <f>$H$219*$AA$219</f>
        <v>95.54</v>
      </c>
      <c r="AV219">
        <f>$H$219*$AB$219</f>
        <v>95.54</v>
      </c>
      <c r="AW219">
        <f>$H$219*$AC$219</f>
        <v>95.54</v>
      </c>
      <c r="AX219">
        <f>$H$219*$AD$219</f>
        <v>95.54</v>
      </c>
      <c r="AY219">
        <f>$H$219*$AE$219</f>
        <v>95.54</v>
      </c>
      <c r="AZ219">
        <f>$H$219*$AF$219</f>
        <v>95.54</v>
      </c>
    </row>
    <row r="220" spans="1:52" x14ac:dyDescent="0.25">
      <c r="A220">
        <v>265</v>
      </c>
      <c r="B220" t="s">
        <v>274</v>
      </c>
      <c r="C220" t="s">
        <v>320</v>
      </c>
      <c r="D220">
        <v>17</v>
      </c>
      <c r="E220">
        <v>75.48</v>
      </c>
      <c r="F220" t="s">
        <v>294</v>
      </c>
      <c r="G220">
        <v>4.4400000000000004</v>
      </c>
      <c r="H220">
        <v>90.58</v>
      </c>
      <c r="I220" t="s">
        <v>295</v>
      </c>
      <c r="J220" t="s">
        <v>321</v>
      </c>
      <c r="K220" t="s">
        <v>516</v>
      </c>
      <c r="L220" t="s">
        <v>200</v>
      </c>
      <c r="M220" t="s">
        <v>274</v>
      </c>
      <c r="N220" t="s">
        <v>12</v>
      </c>
      <c r="O220" t="s">
        <v>15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274</v>
      </c>
      <c r="AH220" t="s">
        <v>12</v>
      </c>
      <c r="AI220" t="s">
        <v>15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0</v>
      </c>
      <c r="AS220">
        <f>$H$220*$Y$220</f>
        <v>0</v>
      </c>
      <c r="AT220">
        <f>$H$220*$Z$220</f>
        <v>0</v>
      </c>
      <c r="AU220">
        <f>$H$220*$AA$220</f>
        <v>90.58</v>
      </c>
      <c r="AV220">
        <f>$H$220*$AB$220</f>
        <v>90.58</v>
      </c>
      <c r="AW220">
        <f>$H$220*$AC$220</f>
        <v>90.58</v>
      </c>
      <c r="AX220">
        <f>$H$220*$AD$220</f>
        <v>90.58</v>
      </c>
      <c r="AY220">
        <f>$H$220*$AE$220</f>
        <v>90.58</v>
      </c>
      <c r="AZ220">
        <f>$H$220*$AF$220</f>
        <v>90.58</v>
      </c>
    </row>
    <row r="221" spans="1:52" x14ac:dyDescent="0.25">
      <c r="A221">
        <v>266</v>
      </c>
      <c r="B221" t="s">
        <v>274</v>
      </c>
      <c r="C221" t="s">
        <v>322</v>
      </c>
      <c r="D221">
        <v>17</v>
      </c>
      <c r="E221">
        <v>196.35</v>
      </c>
      <c r="F221" t="s">
        <v>294</v>
      </c>
      <c r="G221">
        <v>11.55</v>
      </c>
      <c r="H221">
        <v>235.63</v>
      </c>
      <c r="I221" t="s">
        <v>298</v>
      </c>
      <c r="J221" t="s">
        <v>323</v>
      </c>
      <c r="K221" t="s">
        <v>517</v>
      </c>
      <c r="L221" t="s">
        <v>200</v>
      </c>
      <c r="M221" t="s">
        <v>274</v>
      </c>
      <c r="N221" t="s">
        <v>12</v>
      </c>
      <c r="O221" t="s">
        <v>15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274</v>
      </c>
      <c r="AH221" t="s">
        <v>12</v>
      </c>
      <c r="AI221" t="s">
        <v>15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0</v>
      </c>
      <c r="AS221">
        <f>$H$221*$Y$221</f>
        <v>0</v>
      </c>
      <c r="AT221">
        <f>$H$221*$Z$221</f>
        <v>0</v>
      </c>
      <c r="AU221">
        <f>$H$221*$AA$221</f>
        <v>235.63</v>
      </c>
      <c r="AV221">
        <f>$H$221*$AB$221</f>
        <v>235.63</v>
      </c>
      <c r="AW221">
        <f>$H$221*$AC$221</f>
        <v>235.63</v>
      </c>
      <c r="AX221">
        <f>$H$221*$AD$221</f>
        <v>235.63</v>
      </c>
      <c r="AY221">
        <f>$H$221*$AE$221</f>
        <v>235.63</v>
      </c>
      <c r="AZ221">
        <f>$H$221*$AF$221</f>
        <v>235.63</v>
      </c>
    </row>
    <row r="222" spans="1:52" x14ac:dyDescent="0.25">
      <c r="A222">
        <v>267</v>
      </c>
      <c r="B222" t="s">
        <v>274</v>
      </c>
      <c r="C222" t="s">
        <v>462</v>
      </c>
      <c r="D222">
        <v>1</v>
      </c>
      <c r="E222">
        <v>48.06</v>
      </c>
      <c r="F222" t="s">
        <v>299</v>
      </c>
      <c r="G222">
        <v>48.06</v>
      </c>
      <c r="H222">
        <v>57.68</v>
      </c>
      <c r="I222" t="s">
        <v>304</v>
      </c>
      <c r="J222" t="s">
        <v>436</v>
      </c>
      <c r="K222" t="s">
        <v>586</v>
      </c>
      <c r="L222" t="s">
        <v>200</v>
      </c>
      <c r="M222" t="s">
        <v>274</v>
      </c>
      <c r="N222" t="s">
        <v>12</v>
      </c>
      <c r="O222" t="s">
        <v>15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1</v>
      </c>
      <c r="AE222">
        <v>1</v>
      </c>
      <c r="AF222">
        <v>1</v>
      </c>
      <c r="AG222" t="s">
        <v>274</v>
      </c>
      <c r="AH222" t="s">
        <v>12</v>
      </c>
      <c r="AI222" t="s">
        <v>15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0</v>
      </c>
      <c r="AT222">
        <f>$H$222*$Z$222</f>
        <v>0</v>
      </c>
      <c r="AU222">
        <f>$H$222*$AA$222</f>
        <v>0</v>
      </c>
      <c r="AV222">
        <f>$H$222*$AB$222</f>
        <v>0</v>
      </c>
      <c r="AW222">
        <f>$H$222*$AC$222</f>
        <v>0</v>
      </c>
      <c r="AX222">
        <f>$H$222*$AD$222</f>
        <v>57.68</v>
      </c>
      <c r="AY222">
        <f>$H$222*$AE$222</f>
        <v>57.68</v>
      </c>
      <c r="AZ222">
        <f>$H$222*$AF$222</f>
        <v>57.68</v>
      </c>
    </row>
    <row r="223" spans="1:52" x14ac:dyDescent="0.25">
      <c r="A223">
        <v>268</v>
      </c>
      <c r="B223" t="s">
        <v>274</v>
      </c>
      <c r="C223" t="s">
        <v>329</v>
      </c>
      <c r="D223">
        <v>1</v>
      </c>
      <c r="E223">
        <v>47.96</v>
      </c>
      <c r="F223" t="s">
        <v>299</v>
      </c>
      <c r="G223">
        <v>47.96</v>
      </c>
      <c r="H223">
        <v>57.56</v>
      </c>
      <c r="I223" t="s">
        <v>330</v>
      </c>
      <c r="J223" t="s">
        <v>331</v>
      </c>
      <c r="K223" t="s">
        <v>520</v>
      </c>
      <c r="L223" t="s">
        <v>200</v>
      </c>
      <c r="M223" t="s">
        <v>274</v>
      </c>
      <c r="N223" t="s">
        <v>12</v>
      </c>
      <c r="O223" t="s">
        <v>15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274</v>
      </c>
      <c r="AH223" t="s">
        <v>12</v>
      </c>
      <c r="AI223" t="s">
        <v>15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0</v>
      </c>
      <c r="AT223">
        <f>$H$223*$Z$223</f>
        <v>0</v>
      </c>
      <c r="AU223">
        <f>$H$223*$AA$223</f>
        <v>57.56</v>
      </c>
      <c r="AV223">
        <f>$H$223*$AB$223</f>
        <v>57.56</v>
      </c>
      <c r="AW223">
        <f>$H$223*$AC$223</f>
        <v>57.56</v>
      </c>
      <c r="AX223">
        <f>$H$223*$AD$223</f>
        <v>57.56</v>
      </c>
      <c r="AY223">
        <f>$H$223*$AE$223</f>
        <v>57.56</v>
      </c>
      <c r="AZ223">
        <f>$H$223*$AF$223</f>
        <v>57.56</v>
      </c>
    </row>
    <row r="224" spans="1:52" x14ac:dyDescent="0.25">
      <c r="A224">
        <v>269</v>
      </c>
      <c r="B224" t="s">
        <v>274</v>
      </c>
      <c r="C224" t="s">
        <v>337</v>
      </c>
      <c r="D224">
        <v>2</v>
      </c>
      <c r="E224">
        <v>77.86</v>
      </c>
      <c r="F224" t="s">
        <v>299</v>
      </c>
      <c r="G224">
        <v>38.93</v>
      </c>
      <c r="H224">
        <v>93.44</v>
      </c>
      <c r="I224" t="s">
        <v>295</v>
      </c>
      <c r="J224" t="s">
        <v>333</v>
      </c>
      <c r="K224" t="s">
        <v>523</v>
      </c>
      <c r="L224" t="s">
        <v>200</v>
      </c>
      <c r="M224" t="s">
        <v>274</v>
      </c>
      <c r="N224" t="s">
        <v>12</v>
      </c>
      <c r="O224" t="s">
        <v>15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274</v>
      </c>
      <c r="AH224" t="s">
        <v>12</v>
      </c>
      <c r="AI224" t="s">
        <v>15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93.44</v>
      </c>
      <c r="AN224">
        <f>$H$224*$T$224</f>
        <v>93.44</v>
      </c>
      <c r="AO224">
        <f>$H$224*$U$224</f>
        <v>93.44</v>
      </c>
      <c r="AP224">
        <f>$H$224*$V$224</f>
        <v>93.44</v>
      </c>
      <c r="AQ224">
        <f>$H$224*$W$224</f>
        <v>93.44</v>
      </c>
      <c r="AR224">
        <f>$H$224*$X$224</f>
        <v>93.44</v>
      </c>
      <c r="AS224">
        <f>$H$224*$Y$224</f>
        <v>93.44</v>
      </c>
      <c r="AT224">
        <f>$H$224*$Z$224</f>
        <v>93.44</v>
      </c>
      <c r="AU224">
        <f>$H$224*$AA$224</f>
        <v>93.44</v>
      </c>
      <c r="AV224">
        <f>$H$224*$AB$224</f>
        <v>93.44</v>
      </c>
      <c r="AW224">
        <f>$H$224*$AC$224</f>
        <v>93.44</v>
      </c>
      <c r="AX224">
        <f>$H$224*$AD$224</f>
        <v>93.44</v>
      </c>
      <c r="AY224">
        <f>$H$224*$AE$224</f>
        <v>93.44</v>
      </c>
      <c r="AZ224">
        <f>$H$224*$AF$224</f>
        <v>93.44</v>
      </c>
    </row>
    <row r="225" spans="1:52" x14ac:dyDescent="0.25">
      <c r="A225">
        <v>270</v>
      </c>
      <c r="B225" t="s">
        <v>274</v>
      </c>
      <c r="C225" t="s">
        <v>335</v>
      </c>
      <c r="D225">
        <v>2</v>
      </c>
      <c r="E225">
        <v>62.72</v>
      </c>
      <c r="F225" t="s">
        <v>299</v>
      </c>
      <c r="G225">
        <v>31.36</v>
      </c>
      <c r="H225">
        <v>75.260000000000005</v>
      </c>
      <c r="I225" t="s">
        <v>295</v>
      </c>
      <c r="J225" t="s">
        <v>336</v>
      </c>
      <c r="K225" t="s">
        <v>522</v>
      </c>
      <c r="L225" t="s">
        <v>200</v>
      </c>
      <c r="M225" t="s">
        <v>274</v>
      </c>
      <c r="N225" t="s">
        <v>12</v>
      </c>
      <c r="O225" t="s">
        <v>15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274</v>
      </c>
      <c r="AH225" t="s">
        <v>12</v>
      </c>
      <c r="AI225" t="s">
        <v>15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75.260000000000005</v>
      </c>
      <c r="AN225">
        <f>$H$225*$T$225</f>
        <v>75.260000000000005</v>
      </c>
      <c r="AO225">
        <f>$H$225*$U$225</f>
        <v>75.260000000000005</v>
      </c>
      <c r="AP225">
        <f>$H$225*$V$225</f>
        <v>75.260000000000005</v>
      </c>
      <c r="AQ225">
        <f>$H$225*$W$225</f>
        <v>75.260000000000005</v>
      </c>
      <c r="AR225">
        <f>$H$225*$X$225</f>
        <v>75.260000000000005</v>
      </c>
      <c r="AS225">
        <f>$H$225*$Y$225</f>
        <v>75.260000000000005</v>
      </c>
      <c r="AT225">
        <f>$H$225*$Z$225</f>
        <v>75.260000000000005</v>
      </c>
      <c r="AU225">
        <f>$H$225*$AA$225</f>
        <v>75.260000000000005</v>
      </c>
      <c r="AV225">
        <f>$H$225*$AB$225</f>
        <v>75.260000000000005</v>
      </c>
      <c r="AW225">
        <f>$H$225*$AC$225</f>
        <v>75.260000000000005</v>
      </c>
      <c r="AX225">
        <f>$H$225*$AD$225</f>
        <v>75.260000000000005</v>
      </c>
      <c r="AY225">
        <f>$H$225*$AE$225</f>
        <v>75.260000000000005</v>
      </c>
      <c r="AZ225">
        <f>$H$225*$AF$225</f>
        <v>75.260000000000005</v>
      </c>
    </row>
    <row r="226" spans="1:52" x14ac:dyDescent="0.25">
      <c r="A226">
        <v>271</v>
      </c>
      <c r="B226" t="s">
        <v>274</v>
      </c>
      <c r="C226" t="s">
        <v>332</v>
      </c>
      <c r="D226">
        <v>1</v>
      </c>
      <c r="E226">
        <v>365.09</v>
      </c>
      <c r="F226" t="s">
        <v>299</v>
      </c>
      <c r="G226">
        <v>365.09</v>
      </c>
      <c r="H226">
        <v>438.11</v>
      </c>
      <c r="I226" t="s">
        <v>333</v>
      </c>
      <c r="J226" t="s">
        <v>334</v>
      </c>
      <c r="K226" t="s">
        <v>521</v>
      </c>
      <c r="L226" t="s">
        <v>200</v>
      </c>
      <c r="M226" t="s">
        <v>274</v>
      </c>
      <c r="N226" t="s">
        <v>12</v>
      </c>
      <c r="O226" t="s">
        <v>15</v>
      </c>
      <c r="P226">
        <v>0</v>
      </c>
      <c r="Q226">
        <v>0</v>
      </c>
      <c r="R226">
        <v>0</v>
      </c>
      <c r="S226">
        <v>0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274</v>
      </c>
      <c r="AH226" t="s">
        <v>12</v>
      </c>
      <c r="AI226" t="s">
        <v>15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438.11</v>
      </c>
      <c r="AO226">
        <f>$H$226*$U$226</f>
        <v>438.11</v>
      </c>
      <c r="AP226">
        <f>$H$226*$V$226</f>
        <v>438.11</v>
      </c>
      <c r="AQ226">
        <f>$H$226*$W$226</f>
        <v>438.11</v>
      </c>
      <c r="AR226">
        <f>$H$226*$X$226</f>
        <v>438.11</v>
      </c>
      <c r="AS226">
        <f>$H$226*$Y$226</f>
        <v>438.11</v>
      </c>
      <c r="AT226">
        <f>$H$226*$Z$226</f>
        <v>438.11</v>
      </c>
      <c r="AU226">
        <f>$H$226*$AA$226</f>
        <v>438.11</v>
      </c>
      <c r="AV226">
        <f>$H$226*$AB$226</f>
        <v>438.11</v>
      </c>
      <c r="AW226">
        <f>$H$226*$AC$226</f>
        <v>438.11</v>
      </c>
      <c r="AX226">
        <f>$H$226*$AD$226</f>
        <v>438.11</v>
      </c>
      <c r="AY226">
        <f>$H$226*$AE$226</f>
        <v>438.11</v>
      </c>
      <c r="AZ226">
        <f>$H$226*$AF$226</f>
        <v>438.11</v>
      </c>
    </row>
    <row r="227" spans="1:52" x14ac:dyDescent="0.25">
      <c r="A227">
        <v>272</v>
      </c>
      <c r="B227" t="s">
        <v>274</v>
      </c>
      <c r="C227" t="s">
        <v>324</v>
      </c>
      <c r="D227">
        <v>261.33</v>
      </c>
      <c r="E227">
        <v>256.10000000000002</v>
      </c>
      <c r="F227" t="s">
        <v>313</v>
      </c>
      <c r="G227">
        <v>0.98</v>
      </c>
      <c r="H227">
        <v>307.32</v>
      </c>
      <c r="I227" t="s">
        <v>295</v>
      </c>
      <c r="J227" t="s">
        <v>325</v>
      </c>
      <c r="K227" t="s">
        <v>518</v>
      </c>
      <c r="L227" t="s">
        <v>200</v>
      </c>
      <c r="M227" t="s">
        <v>274</v>
      </c>
      <c r="N227" t="s">
        <v>12</v>
      </c>
      <c r="O227" t="s">
        <v>15</v>
      </c>
      <c r="P227">
        <v>0</v>
      </c>
      <c r="Q227">
        <v>0</v>
      </c>
      <c r="R227">
        <v>0</v>
      </c>
      <c r="S227">
        <v>0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274</v>
      </c>
      <c r="AH227" t="s">
        <v>12</v>
      </c>
      <c r="AI227" t="s">
        <v>15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307.32</v>
      </c>
      <c r="AO227">
        <f>$H$227*$U$227</f>
        <v>307.32</v>
      </c>
      <c r="AP227">
        <f>$H$227*$V$227</f>
        <v>307.32</v>
      </c>
      <c r="AQ227">
        <f>$H$227*$W$227</f>
        <v>307.32</v>
      </c>
      <c r="AR227">
        <f>$H$227*$X$227</f>
        <v>307.32</v>
      </c>
      <c r="AS227">
        <f>$H$227*$Y$227</f>
        <v>307.32</v>
      </c>
      <c r="AT227">
        <f>$H$227*$Z$227</f>
        <v>307.32</v>
      </c>
      <c r="AU227">
        <f>$H$227*$AA$227</f>
        <v>307.32</v>
      </c>
      <c r="AV227">
        <f>$H$227*$AB$227</f>
        <v>307.32</v>
      </c>
      <c r="AW227">
        <f>$H$227*$AC$227</f>
        <v>307.32</v>
      </c>
      <c r="AX227">
        <f>$H$227*$AD$227</f>
        <v>307.32</v>
      </c>
      <c r="AY227">
        <f>$H$227*$AE$227</f>
        <v>307.32</v>
      </c>
      <c r="AZ227">
        <f>$H$227*$AF$227</f>
        <v>307.32</v>
      </c>
    </row>
    <row r="228" spans="1:52" x14ac:dyDescent="0.25">
      <c r="A228">
        <v>273</v>
      </c>
      <c r="B228" t="s">
        <v>274</v>
      </c>
      <c r="C228" t="s">
        <v>326</v>
      </c>
      <c r="D228">
        <v>261.33</v>
      </c>
      <c r="E228">
        <v>697.75</v>
      </c>
      <c r="F228" t="s">
        <v>313</v>
      </c>
      <c r="G228">
        <v>2.67</v>
      </c>
      <c r="H228">
        <v>837.31</v>
      </c>
      <c r="I228" t="s">
        <v>327</v>
      </c>
      <c r="J228" t="s">
        <v>328</v>
      </c>
      <c r="K228" t="s">
        <v>519</v>
      </c>
      <c r="L228" t="s">
        <v>200</v>
      </c>
      <c r="M228" t="s">
        <v>274</v>
      </c>
      <c r="N228" t="s">
        <v>12</v>
      </c>
      <c r="O228" t="s">
        <v>15</v>
      </c>
      <c r="P228">
        <v>0</v>
      </c>
      <c r="Q228">
        <v>0</v>
      </c>
      <c r="R228">
        <v>0</v>
      </c>
      <c r="S228">
        <v>0.25</v>
      </c>
      <c r="T228">
        <v>0.25</v>
      </c>
      <c r="U228">
        <v>0.25</v>
      </c>
      <c r="V228">
        <v>0.25</v>
      </c>
      <c r="W228">
        <v>0.25</v>
      </c>
      <c r="X228">
        <v>0.5</v>
      </c>
      <c r="Y228">
        <v>0.5</v>
      </c>
      <c r="Z228">
        <v>0.5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274</v>
      </c>
      <c r="AH228" t="s">
        <v>12</v>
      </c>
      <c r="AI228" t="s">
        <v>15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209.32749999999999</v>
      </c>
      <c r="AN228">
        <f>$H$228*$T$228</f>
        <v>209.32749999999999</v>
      </c>
      <c r="AO228">
        <f>$H$228*$U$228</f>
        <v>209.32749999999999</v>
      </c>
      <c r="AP228">
        <f>$H$228*$V$228</f>
        <v>209.32749999999999</v>
      </c>
      <c r="AQ228">
        <f>$H$228*$W$228</f>
        <v>209.32749999999999</v>
      </c>
      <c r="AR228">
        <f>$H$228*$X$228</f>
        <v>418.65499999999997</v>
      </c>
      <c r="AS228">
        <f>$H$228*$Y$228</f>
        <v>418.65499999999997</v>
      </c>
      <c r="AT228">
        <f>$H$228*$Z$228</f>
        <v>418.65499999999997</v>
      </c>
      <c r="AU228">
        <f>$H$228*$AA$228</f>
        <v>837.31</v>
      </c>
      <c r="AV228">
        <f>$H$228*$AB$228</f>
        <v>837.31</v>
      </c>
      <c r="AW228">
        <f>$H$228*$AC$228</f>
        <v>837.31</v>
      </c>
      <c r="AX228">
        <f>$H$228*$AD$228</f>
        <v>837.31</v>
      </c>
      <c r="AY228">
        <f>$H$228*$AE$228</f>
        <v>837.31</v>
      </c>
      <c r="AZ228">
        <f>$H$228*$AF$228</f>
        <v>837.31</v>
      </c>
    </row>
    <row r="229" spans="1:52" x14ac:dyDescent="0.25">
      <c r="A229">
        <v>274</v>
      </c>
      <c r="B229" t="s">
        <v>274</v>
      </c>
      <c r="C229" t="s">
        <v>383</v>
      </c>
      <c r="D229">
        <v>32.67</v>
      </c>
      <c r="E229">
        <v>29.73</v>
      </c>
      <c r="F229" t="s">
        <v>294</v>
      </c>
      <c r="G229">
        <v>0.91</v>
      </c>
      <c r="H229">
        <v>35.67</v>
      </c>
      <c r="I229" t="s">
        <v>295</v>
      </c>
      <c r="J229" t="s">
        <v>384</v>
      </c>
      <c r="K229" t="s">
        <v>547</v>
      </c>
      <c r="L229" t="s">
        <v>200</v>
      </c>
      <c r="M229" t="s">
        <v>274</v>
      </c>
      <c r="N229" t="s">
        <v>12</v>
      </c>
      <c r="O229" t="s">
        <v>15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274</v>
      </c>
      <c r="AH229" t="s">
        <v>12</v>
      </c>
      <c r="AI229" t="s">
        <v>15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35.67</v>
      </c>
      <c r="AN229">
        <f>$H$229*$T$229</f>
        <v>35.67</v>
      </c>
      <c r="AO229">
        <f>$H$229*$U$229</f>
        <v>35.67</v>
      </c>
      <c r="AP229">
        <f>$H$229*$V$229</f>
        <v>35.67</v>
      </c>
      <c r="AQ229">
        <f>$H$229*$W$229</f>
        <v>35.67</v>
      </c>
      <c r="AR229">
        <f>$H$229*$X$229</f>
        <v>35.67</v>
      </c>
      <c r="AS229">
        <f>$H$229*$Y$229</f>
        <v>35.67</v>
      </c>
      <c r="AT229">
        <f>$H$229*$Z$229</f>
        <v>35.67</v>
      </c>
      <c r="AU229">
        <f>$H$229*$AA$229</f>
        <v>35.67</v>
      </c>
      <c r="AV229">
        <f>$H$229*$AB$229</f>
        <v>35.67</v>
      </c>
      <c r="AW229">
        <f>$H$229*$AC$229</f>
        <v>35.67</v>
      </c>
      <c r="AX229">
        <f>$H$229*$AD$229</f>
        <v>35.67</v>
      </c>
      <c r="AY229">
        <f>$H$229*$AE$229</f>
        <v>35.67</v>
      </c>
      <c r="AZ229">
        <f>$H$229*$AF$229</f>
        <v>35.67</v>
      </c>
    </row>
    <row r="230" spans="1:52" x14ac:dyDescent="0.25">
      <c r="A230">
        <v>275</v>
      </c>
      <c r="B230" t="s">
        <v>274</v>
      </c>
      <c r="C230" t="s">
        <v>385</v>
      </c>
      <c r="D230">
        <v>32.67</v>
      </c>
      <c r="E230">
        <v>167.27</v>
      </c>
      <c r="F230" t="s">
        <v>294</v>
      </c>
      <c r="G230">
        <v>5.12</v>
      </c>
      <c r="H230">
        <v>200.73</v>
      </c>
      <c r="I230" t="s">
        <v>298</v>
      </c>
      <c r="J230" t="s">
        <v>386</v>
      </c>
      <c r="K230" t="s">
        <v>548</v>
      </c>
      <c r="L230" t="s">
        <v>200</v>
      </c>
      <c r="M230" t="s">
        <v>274</v>
      </c>
      <c r="N230" t="s">
        <v>12</v>
      </c>
      <c r="O230" t="s">
        <v>15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274</v>
      </c>
      <c r="AH230" t="s">
        <v>12</v>
      </c>
      <c r="AI230" t="s">
        <v>15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200.73</v>
      </c>
      <c r="AN230">
        <f>$H$230*$T$230</f>
        <v>200.73</v>
      </c>
      <c r="AO230">
        <f>$H$230*$U$230</f>
        <v>200.73</v>
      </c>
      <c r="AP230">
        <f>$H$230*$V$230</f>
        <v>200.73</v>
      </c>
      <c r="AQ230">
        <f>$H$230*$W$230</f>
        <v>200.73</v>
      </c>
      <c r="AR230">
        <f>$H$230*$X$230</f>
        <v>200.73</v>
      </c>
      <c r="AS230">
        <f>$H$230*$Y$230</f>
        <v>200.73</v>
      </c>
      <c r="AT230">
        <f>$H$230*$Z$230</f>
        <v>200.73</v>
      </c>
      <c r="AU230">
        <f>$H$230*$AA$230</f>
        <v>200.73</v>
      </c>
      <c r="AV230">
        <f>$H$230*$AB$230</f>
        <v>200.73</v>
      </c>
      <c r="AW230">
        <f>$H$230*$AC$230</f>
        <v>200.73</v>
      </c>
      <c r="AX230">
        <f>$H$230*$AD$230</f>
        <v>200.73</v>
      </c>
      <c r="AY230">
        <f>$H$230*$AE$230</f>
        <v>200.73</v>
      </c>
      <c r="AZ230">
        <f>$H$230*$AF$230</f>
        <v>200.73</v>
      </c>
    </row>
    <row r="231" spans="1:52" x14ac:dyDescent="0.25">
      <c r="A231">
        <v>276</v>
      </c>
      <c r="B231" t="s">
        <v>274</v>
      </c>
      <c r="C231" t="s">
        <v>326</v>
      </c>
      <c r="D231">
        <v>65.849999999999994</v>
      </c>
      <c r="E231">
        <v>175.82</v>
      </c>
      <c r="F231" t="s">
        <v>313</v>
      </c>
      <c r="G231">
        <v>2.67</v>
      </c>
      <c r="H231">
        <v>210.98</v>
      </c>
      <c r="I231" t="s">
        <v>327</v>
      </c>
      <c r="J231" t="s">
        <v>328</v>
      </c>
      <c r="K231" t="s">
        <v>519</v>
      </c>
      <c r="L231" t="s">
        <v>200</v>
      </c>
      <c r="M231" t="s">
        <v>274</v>
      </c>
      <c r="N231" t="s">
        <v>12</v>
      </c>
      <c r="O231" t="s">
        <v>15</v>
      </c>
      <c r="P231">
        <v>0</v>
      </c>
      <c r="Q231">
        <v>0</v>
      </c>
      <c r="R231">
        <v>0</v>
      </c>
      <c r="S231">
        <v>0.25</v>
      </c>
      <c r="T231">
        <v>0.25</v>
      </c>
      <c r="U231">
        <v>0.25</v>
      </c>
      <c r="V231">
        <v>0.25</v>
      </c>
      <c r="W231">
        <v>0.25</v>
      </c>
      <c r="X231">
        <v>0.5</v>
      </c>
      <c r="Y231">
        <v>0.5</v>
      </c>
      <c r="Z231">
        <v>0.5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274</v>
      </c>
      <c r="AH231" t="s">
        <v>12</v>
      </c>
      <c r="AI231" t="s">
        <v>15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52.744999999999997</v>
      </c>
      <c r="AN231">
        <f>$H$231*$T$231</f>
        <v>52.744999999999997</v>
      </c>
      <c r="AO231">
        <f>$H$231*$U$231</f>
        <v>52.744999999999997</v>
      </c>
      <c r="AP231">
        <f>$H$231*$V$231</f>
        <v>52.744999999999997</v>
      </c>
      <c r="AQ231">
        <f>$H$231*$W$231</f>
        <v>52.744999999999997</v>
      </c>
      <c r="AR231">
        <f>$H$231*$X$231</f>
        <v>105.49</v>
      </c>
      <c r="AS231">
        <f>$H$231*$Y$231</f>
        <v>105.49</v>
      </c>
      <c r="AT231">
        <f>$H$231*$Z$231</f>
        <v>105.49</v>
      </c>
      <c r="AU231">
        <f>$H$231*$AA$231</f>
        <v>210.98</v>
      </c>
      <c r="AV231">
        <f>$H$231*$AB$231</f>
        <v>210.98</v>
      </c>
      <c r="AW231">
        <f>$H$231*$AC$231</f>
        <v>210.98</v>
      </c>
      <c r="AX231">
        <f>$H$231*$AD$231</f>
        <v>210.98</v>
      </c>
      <c r="AY231">
        <f>$H$231*$AE$231</f>
        <v>210.98</v>
      </c>
      <c r="AZ231">
        <f>$H$231*$AF$231</f>
        <v>210.98</v>
      </c>
    </row>
    <row r="232" spans="1:52" x14ac:dyDescent="0.25">
      <c r="A232">
        <v>277</v>
      </c>
      <c r="B232" t="s">
        <v>274</v>
      </c>
      <c r="C232" t="s">
        <v>387</v>
      </c>
      <c r="D232">
        <v>65.849999999999994</v>
      </c>
      <c r="E232">
        <v>41.49</v>
      </c>
      <c r="F232" t="s">
        <v>313</v>
      </c>
      <c r="G232">
        <v>0.63</v>
      </c>
      <c r="H232">
        <v>49.79</v>
      </c>
      <c r="I232" t="s">
        <v>295</v>
      </c>
      <c r="J232" t="s">
        <v>388</v>
      </c>
      <c r="K232" t="s">
        <v>549</v>
      </c>
      <c r="L232" t="s">
        <v>200</v>
      </c>
      <c r="M232" t="s">
        <v>274</v>
      </c>
      <c r="N232" t="s">
        <v>12</v>
      </c>
      <c r="O232" t="s">
        <v>15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1</v>
      </c>
      <c r="AE232">
        <v>1</v>
      </c>
      <c r="AF232">
        <v>1</v>
      </c>
      <c r="AG232" t="s">
        <v>274</v>
      </c>
      <c r="AH232" t="s">
        <v>12</v>
      </c>
      <c r="AI232" t="s">
        <v>15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0</v>
      </c>
      <c r="AV232">
        <f>$H$232*$AB$232</f>
        <v>0</v>
      </c>
      <c r="AW232">
        <f>$H$232*$AC$232</f>
        <v>0</v>
      </c>
      <c r="AX232">
        <f>$H$232*$AD$232</f>
        <v>49.79</v>
      </c>
      <c r="AY232">
        <f>$H$232*$AE$232</f>
        <v>49.79</v>
      </c>
      <c r="AZ232">
        <f>$H$232*$AF$232</f>
        <v>49.79</v>
      </c>
    </row>
    <row r="233" spans="1:52" x14ac:dyDescent="0.25">
      <c r="A233">
        <v>278</v>
      </c>
      <c r="B233" t="s">
        <v>274</v>
      </c>
      <c r="C233" t="s">
        <v>389</v>
      </c>
      <c r="D233">
        <v>65.849999999999994</v>
      </c>
      <c r="E233">
        <v>45.44</v>
      </c>
      <c r="F233" t="s">
        <v>313</v>
      </c>
      <c r="G233">
        <v>0.69</v>
      </c>
      <c r="H233">
        <v>54.52</v>
      </c>
      <c r="I233" t="s">
        <v>295</v>
      </c>
      <c r="J233" t="s">
        <v>390</v>
      </c>
      <c r="K233" t="s">
        <v>550</v>
      </c>
      <c r="L233" t="s">
        <v>200</v>
      </c>
      <c r="M233" t="s">
        <v>274</v>
      </c>
      <c r="N233" t="s">
        <v>12</v>
      </c>
      <c r="O233" t="s">
        <v>15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274</v>
      </c>
      <c r="AH233" t="s">
        <v>12</v>
      </c>
      <c r="AI233" t="s">
        <v>15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54.52</v>
      </c>
      <c r="AN233">
        <f>$H$233*$T$233</f>
        <v>54.52</v>
      </c>
      <c r="AO233">
        <f>$H$233*$U$233</f>
        <v>54.52</v>
      </c>
      <c r="AP233">
        <f>$H$233*$V$233</f>
        <v>54.52</v>
      </c>
      <c r="AQ233">
        <f>$H$233*$W$233</f>
        <v>54.52</v>
      </c>
      <c r="AR233">
        <f>$H$233*$X$233</f>
        <v>54.52</v>
      </c>
      <c r="AS233">
        <f>$H$233*$Y$233</f>
        <v>54.52</v>
      </c>
      <c r="AT233">
        <f>$H$233*$Z$233</f>
        <v>54.52</v>
      </c>
      <c r="AU233">
        <f>$H$233*$AA$233</f>
        <v>54.52</v>
      </c>
      <c r="AV233">
        <f>$H$233*$AB$233</f>
        <v>54.52</v>
      </c>
      <c r="AW233">
        <f>$H$233*$AC$233</f>
        <v>54.52</v>
      </c>
      <c r="AX233">
        <f>$H$233*$AD$233</f>
        <v>54.52</v>
      </c>
      <c r="AY233">
        <f>$H$233*$AE$233</f>
        <v>54.52</v>
      </c>
      <c r="AZ233">
        <f>$H$233*$AF$233</f>
        <v>54.52</v>
      </c>
    </row>
    <row r="234" spans="1:52" x14ac:dyDescent="0.25">
      <c r="A234">
        <v>279</v>
      </c>
      <c r="B234" t="s">
        <v>274</v>
      </c>
      <c r="C234" t="s">
        <v>391</v>
      </c>
      <c r="D234">
        <v>13.83</v>
      </c>
      <c r="E234">
        <v>78.69</v>
      </c>
      <c r="F234" t="s">
        <v>313</v>
      </c>
      <c r="G234">
        <v>5.69</v>
      </c>
      <c r="H234">
        <v>94.43</v>
      </c>
      <c r="I234" t="s">
        <v>392</v>
      </c>
      <c r="J234" t="s">
        <v>393</v>
      </c>
      <c r="K234" t="s">
        <v>551</v>
      </c>
      <c r="L234" t="s">
        <v>200</v>
      </c>
      <c r="M234" t="s">
        <v>274</v>
      </c>
      <c r="N234" t="s">
        <v>12</v>
      </c>
      <c r="O234" t="s">
        <v>15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274</v>
      </c>
      <c r="AH234" t="s">
        <v>12</v>
      </c>
      <c r="AI234" t="s">
        <v>15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94.43</v>
      </c>
      <c r="AN234">
        <f>$H$234*$T$234</f>
        <v>94.43</v>
      </c>
      <c r="AO234">
        <f>$H$234*$U$234</f>
        <v>94.43</v>
      </c>
      <c r="AP234">
        <f>$H$234*$V$234</f>
        <v>94.43</v>
      </c>
      <c r="AQ234">
        <f>$H$234*$W$234</f>
        <v>94.43</v>
      </c>
      <c r="AR234">
        <f>$H$234*$X$234</f>
        <v>94.43</v>
      </c>
      <c r="AS234">
        <f>$H$234*$Y$234</f>
        <v>94.43</v>
      </c>
      <c r="AT234">
        <f>$H$234*$Z$234</f>
        <v>94.43</v>
      </c>
      <c r="AU234">
        <f>$H$234*$AA$234</f>
        <v>94.43</v>
      </c>
      <c r="AV234">
        <f>$H$234*$AB$234</f>
        <v>94.43</v>
      </c>
      <c r="AW234">
        <f>$H$234*$AC$234</f>
        <v>94.43</v>
      </c>
      <c r="AX234">
        <f>$H$234*$AD$234</f>
        <v>94.43</v>
      </c>
      <c r="AY234">
        <f>$H$234*$AE$234</f>
        <v>94.43</v>
      </c>
      <c r="AZ234">
        <f>$H$234*$AF$234</f>
        <v>94.43</v>
      </c>
    </row>
    <row r="235" spans="1:52" x14ac:dyDescent="0.25">
      <c r="A235">
        <v>280</v>
      </c>
      <c r="B235" t="s">
        <v>274</v>
      </c>
      <c r="C235" t="s">
        <v>394</v>
      </c>
      <c r="D235">
        <v>15.15</v>
      </c>
      <c r="E235">
        <v>89.69</v>
      </c>
      <c r="F235" t="s">
        <v>313</v>
      </c>
      <c r="G235">
        <v>5.92</v>
      </c>
      <c r="H235">
        <v>107.63</v>
      </c>
      <c r="I235" t="s">
        <v>392</v>
      </c>
      <c r="J235" t="s">
        <v>334</v>
      </c>
      <c r="K235" t="s">
        <v>552</v>
      </c>
      <c r="L235" t="s">
        <v>200</v>
      </c>
      <c r="M235" t="s">
        <v>274</v>
      </c>
      <c r="N235" t="s">
        <v>12</v>
      </c>
      <c r="O235" t="s">
        <v>15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274</v>
      </c>
      <c r="AH235" t="s">
        <v>12</v>
      </c>
      <c r="AI235" t="s">
        <v>15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107.63</v>
      </c>
      <c r="AN235">
        <f>$H$235*$T$235</f>
        <v>107.63</v>
      </c>
      <c r="AO235">
        <f>$H$235*$U$235</f>
        <v>107.63</v>
      </c>
      <c r="AP235">
        <f>$H$235*$V$235</f>
        <v>107.63</v>
      </c>
      <c r="AQ235">
        <f>$H$235*$W$235</f>
        <v>107.63</v>
      </c>
      <c r="AR235">
        <f>$H$235*$X$235</f>
        <v>107.63</v>
      </c>
      <c r="AS235">
        <f>$H$235*$Y$235</f>
        <v>107.63</v>
      </c>
      <c r="AT235">
        <f>$H$235*$Z$235</f>
        <v>107.63</v>
      </c>
      <c r="AU235">
        <f>$H$235*$AA$235</f>
        <v>107.63</v>
      </c>
      <c r="AV235">
        <f>$H$235*$AB$235</f>
        <v>107.63</v>
      </c>
      <c r="AW235">
        <f>$H$235*$AC$235</f>
        <v>107.63</v>
      </c>
      <c r="AX235">
        <f>$H$235*$AD$235</f>
        <v>107.63</v>
      </c>
      <c r="AY235">
        <f>$H$235*$AE$235</f>
        <v>107.63</v>
      </c>
      <c r="AZ235">
        <f>$H$235*$AF$235</f>
        <v>107.63</v>
      </c>
    </row>
    <row r="236" spans="1:52" x14ac:dyDescent="0.25">
      <c r="A236">
        <v>281</v>
      </c>
      <c r="B236" t="s">
        <v>274</v>
      </c>
      <c r="C236" t="s">
        <v>395</v>
      </c>
      <c r="D236">
        <v>14.77</v>
      </c>
      <c r="E236">
        <v>80.64</v>
      </c>
      <c r="F236" t="s">
        <v>313</v>
      </c>
      <c r="G236">
        <v>5.46</v>
      </c>
      <c r="H236">
        <v>96.76</v>
      </c>
      <c r="I236" t="s">
        <v>396</v>
      </c>
      <c r="J236" t="s">
        <v>397</v>
      </c>
      <c r="K236" t="s">
        <v>553</v>
      </c>
      <c r="L236" t="s">
        <v>200</v>
      </c>
      <c r="M236" t="s">
        <v>274</v>
      </c>
      <c r="N236" t="s">
        <v>12</v>
      </c>
      <c r="O236" t="s">
        <v>15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274</v>
      </c>
      <c r="AH236" t="s">
        <v>12</v>
      </c>
      <c r="AI236" t="s">
        <v>15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96.76</v>
      </c>
      <c r="AN236">
        <f>$H$236*$T$236</f>
        <v>96.76</v>
      </c>
      <c r="AO236">
        <f>$H$236*$U$236</f>
        <v>96.76</v>
      </c>
      <c r="AP236">
        <f>$H$236*$V$236</f>
        <v>96.76</v>
      </c>
      <c r="AQ236">
        <f>$H$236*$W$236</f>
        <v>96.76</v>
      </c>
      <c r="AR236">
        <f>$H$236*$X$236</f>
        <v>96.76</v>
      </c>
      <c r="AS236">
        <f>$H$236*$Y$236</f>
        <v>96.76</v>
      </c>
      <c r="AT236">
        <f>$H$236*$Z$236</f>
        <v>96.76</v>
      </c>
      <c r="AU236">
        <f>$H$236*$AA$236</f>
        <v>96.76</v>
      </c>
      <c r="AV236">
        <f>$H$236*$AB$236</f>
        <v>96.76</v>
      </c>
      <c r="AW236">
        <f>$H$236*$AC$236</f>
        <v>96.76</v>
      </c>
      <c r="AX236">
        <f>$H$236*$AD$236</f>
        <v>96.76</v>
      </c>
      <c r="AY236">
        <f>$H$236*$AE$236</f>
        <v>96.76</v>
      </c>
      <c r="AZ236">
        <f>$H$236*$AF$236</f>
        <v>96.76</v>
      </c>
    </row>
    <row r="237" spans="1:52" x14ac:dyDescent="0.25">
      <c r="A237">
        <v>282</v>
      </c>
      <c r="B237" t="s">
        <v>274</v>
      </c>
      <c r="C237" t="s">
        <v>398</v>
      </c>
      <c r="D237">
        <v>14.77</v>
      </c>
      <c r="E237">
        <v>52.88</v>
      </c>
      <c r="F237" t="s">
        <v>313</v>
      </c>
      <c r="G237">
        <v>3.58</v>
      </c>
      <c r="H237">
        <v>63.46</v>
      </c>
      <c r="I237" t="s">
        <v>396</v>
      </c>
      <c r="J237" t="s">
        <v>399</v>
      </c>
      <c r="K237" t="s">
        <v>554</v>
      </c>
      <c r="L237" t="s">
        <v>200</v>
      </c>
      <c r="M237" t="s">
        <v>274</v>
      </c>
      <c r="N237" t="s">
        <v>12</v>
      </c>
      <c r="O237" t="s">
        <v>15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274</v>
      </c>
      <c r="AH237" t="s">
        <v>12</v>
      </c>
      <c r="AI237" t="s">
        <v>15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63.46</v>
      </c>
      <c r="AN237">
        <f>$H$237*$T$237</f>
        <v>63.46</v>
      </c>
      <c r="AO237">
        <f>$H$237*$U$237</f>
        <v>63.46</v>
      </c>
      <c r="AP237">
        <f>$H$237*$V$237</f>
        <v>63.46</v>
      </c>
      <c r="AQ237">
        <f>$H$237*$W$237</f>
        <v>63.46</v>
      </c>
      <c r="AR237">
        <f>$H$237*$X$237</f>
        <v>63.46</v>
      </c>
      <c r="AS237">
        <f>$H$237*$Y$237</f>
        <v>63.46</v>
      </c>
      <c r="AT237">
        <f>$H$237*$Z$237</f>
        <v>63.46</v>
      </c>
      <c r="AU237">
        <f>$H$237*$AA$237</f>
        <v>63.46</v>
      </c>
      <c r="AV237">
        <f>$H$237*$AB$237</f>
        <v>63.46</v>
      </c>
      <c r="AW237">
        <f>$H$237*$AC$237</f>
        <v>63.46</v>
      </c>
      <c r="AX237">
        <f>$H$237*$AD$237</f>
        <v>63.46</v>
      </c>
      <c r="AY237">
        <f>$H$237*$AE$237</f>
        <v>63.46</v>
      </c>
      <c r="AZ237">
        <f>$H$237*$AF$237</f>
        <v>63.46</v>
      </c>
    </row>
    <row r="238" spans="1:52" x14ac:dyDescent="0.25">
      <c r="A238">
        <v>283</v>
      </c>
      <c r="B238" t="s">
        <v>274</v>
      </c>
      <c r="C238" t="s">
        <v>400</v>
      </c>
      <c r="D238">
        <v>14.77</v>
      </c>
      <c r="E238">
        <v>128.5</v>
      </c>
      <c r="F238" t="s">
        <v>313</v>
      </c>
      <c r="G238">
        <v>8.6999999999999993</v>
      </c>
      <c r="H238">
        <v>154.19999999999999</v>
      </c>
      <c r="I238" t="s">
        <v>396</v>
      </c>
      <c r="J238" t="s">
        <v>334</v>
      </c>
      <c r="K238" t="s">
        <v>555</v>
      </c>
      <c r="L238" t="s">
        <v>200</v>
      </c>
      <c r="M238" t="s">
        <v>274</v>
      </c>
      <c r="N238" t="s">
        <v>12</v>
      </c>
      <c r="O238" t="s">
        <v>15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274</v>
      </c>
      <c r="AH238" t="s">
        <v>12</v>
      </c>
      <c r="AI238" t="s">
        <v>15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154.19999999999999</v>
      </c>
      <c r="AN238">
        <f>$H$238*$T$238</f>
        <v>154.19999999999999</v>
      </c>
      <c r="AO238">
        <f>$H$238*$U$238</f>
        <v>154.19999999999999</v>
      </c>
      <c r="AP238">
        <f>$H$238*$V$238</f>
        <v>154.19999999999999</v>
      </c>
      <c r="AQ238">
        <f>$H$238*$W$238</f>
        <v>154.19999999999999</v>
      </c>
      <c r="AR238">
        <f>$H$238*$X$238</f>
        <v>154.19999999999999</v>
      </c>
      <c r="AS238">
        <f>$H$238*$Y$238</f>
        <v>154.19999999999999</v>
      </c>
      <c r="AT238">
        <f>$H$238*$Z$238</f>
        <v>154.19999999999999</v>
      </c>
      <c r="AU238">
        <f>$H$238*$AA$238</f>
        <v>154.19999999999999</v>
      </c>
      <c r="AV238">
        <f>$H$238*$AB$238</f>
        <v>154.19999999999999</v>
      </c>
      <c r="AW238">
        <f>$H$238*$AC$238</f>
        <v>154.19999999999999</v>
      </c>
      <c r="AX238">
        <f>$H$238*$AD$238</f>
        <v>154.19999999999999</v>
      </c>
      <c r="AY238">
        <f>$H$238*$AE$238</f>
        <v>154.19999999999999</v>
      </c>
      <c r="AZ238">
        <f>$H$238*$AF$238</f>
        <v>154.19999999999999</v>
      </c>
    </row>
    <row r="239" spans="1:52" x14ac:dyDescent="0.25">
      <c r="A239">
        <v>284</v>
      </c>
      <c r="B239" t="s">
        <v>274</v>
      </c>
      <c r="C239" t="s">
        <v>401</v>
      </c>
      <c r="D239">
        <v>15.15</v>
      </c>
      <c r="E239">
        <v>11.97</v>
      </c>
      <c r="F239" t="s">
        <v>313</v>
      </c>
      <c r="G239">
        <v>0.79</v>
      </c>
      <c r="H239">
        <v>14.37</v>
      </c>
      <c r="I239" t="s">
        <v>339</v>
      </c>
      <c r="J239" t="s">
        <v>402</v>
      </c>
      <c r="K239" t="s">
        <v>556</v>
      </c>
      <c r="L239" t="s">
        <v>200</v>
      </c>
      <c r="M239" t="s">
        <v>274</v>
      </c>
      <c r="N239" t="s">
        <v>12</v>
      </c>
      <c r="O239" t="s">
        <v>15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274</v>
      </c>
      <c r="AH239" t="s">
        <v>12</v>
      </c>
      <c r="AI239" t="s">
        <v>15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14.37</v>
      </c>
      <c r="AN239">
        <f>$H$239*$T$239</f>
        <v>14.37</v>
      </c>
      <c r="AO239">
        <f>$H$239*$U$239</f>
        <v>14.37</v>
      </c>
      <c r="AP239">
        <f>$H$239*$V$239</f>
        <v>14.37</v>
      </c>
      <c r="AQ239">
        <f>$H$239*$W$239</f>
        <v>14.37</v>
      </c>
      <c r="AR239">
        <f>$H$239*$X$239</f>
        <v>14.37</v>
      </c>
      <c r="AS239">
        <f>$H$239*$Y$239</f>
        <v>14.37</v>
      </c>
      <c r="AT239">
        <f>$H$239*$Z$239</f>
        <v>14.37</v>
      </c>
      <c r="AU239">
        <f>$H$239*$AA$239</f>
        <v>14.37</v>
      </c>
      <c r="AV239">
        <f>$H$239*$AB$239</f>
        <v>14.37</v>
      </c>
      <c r="AW239">
        <f>$H$239*$AC$239</f>
        <v>14.37</v>
      </c>
      <c r="AX239">
        <f>$H$239*$AD$239</f>
        <v>14.37</v>
      </c>
      <c r="AY239">
        <f>$H$239*$AE$239</f>
        <v>14.37</v>
      </c>
      <c r="AZ239">
        <f>$H$239*$AF$239</f>
        <v>14.37</v>
      </c>
    </row>
    <row r="240" spans="1:52" x14ac:dyDescent="0.25">
      <c r="A240">
        <v>285</v>
      </c>
      <c r="B240" t="s">
        <v>274</v>
      </c>
      <c r="C240" t="s">
        <v>403</v>
      </c>
      <c r="D240">
        <v>15.15</v>
      </c>
      <c r="E240">
        <v>80.75</v>
      </c>
      <c r="F240" t="s">
        <v>313</v>
      </c>
      <c r="G240">
        <v>5.33</v>
      </c>
      <c r="H240">
        <v>96.91</v>
      </c>
      <c r="I240" t="s">
        <v>339</v>
      </c>
      <c r="J240" t="s">
        <v>334</v>
      </c>
      <c r="K240" t="s">
        <v>557</v>
      </c>
      <c r="L240" t="s">
        <v>200</v>
      </c>
      <c r="M240" t="s">
        <v>274</v>
      </c>
      <c r="N240" t="s">
        <v>12</v>
      </c>
      <c r="O240" t="s">
        <v>15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274</v>
      </c>
      <c r="AH240" t="s">
        <v>12</v>
      </c>
      <c r="AI240" t="s">
        <v>15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96.91</v>
      </c>
      <c r="AN240">
        <f>$H$240*$T$240</f>
        <v>96.91</v>
      </c>
      <c r="AO240">
        <f>$H$240*$U$240</f>
        <v>96.91</v>
      </c>
      <c r="AP240">
        <f>$H$240*$V$240</f>
        <v>96.91</v>
      </c>
      <c r="AQ240">
        <f>$H$240*$W$240</f>
        <v>96.91</v>
      </c>
      <c r="AR240">
        <f>$H$240*$X$240</f>
        <v>96.91</v>
      </c>
      <c r="AS240">
        <f>$H$240*$Y$240</f>
        <v>96.91</v>
      </c>
      <c r="AT240">
        <f>$H$240*$Z$240</f>
        <v>96.91</v>
      </c>
      <c r="AU240">
        <f>$H$240*$AA$240</f>
        <v>96.91</v>
      </c>
      <c r="AV240">
        <f>$H$240*$AB$240</f>
        <v>96.91</v>
      </c>
      <c r="AW240">
        <f>$H$240*$AC$240</f>
        <v>96.91</v>
      </c>
      <c r="AX240">
        <f>$H$240*$AD$240</f>
        <v>96.91</v>
      </c>
      <c r="AY240">
        <f>$H$240*$AE$240</f>
        <v>96.91</v>
      </c>
      <c r="AZ240">
        <f>$H$240*$AF$240</f>
        <v>96.91</v>
      </c>
    </row>
    <row r="241" spans="1:52" x14ac:dyDescent="0.25">
      <c r="A241">
        <v>286</v>
      </c>
      <c r="B241" t="s">
        <v>275</v>
      </c>
      <c r="C241" t="s">
        <v>380</v>
      </c>
      <c r="D241">
        <v>2</v>
      </c>
      <c r="E241">
        <v>26.54</v>
      </c>
      <c r="F241" t="s">
        <v>299</v>
      </c>
      <c r="G241">
        <v>13.27</v>
      </c>
      <c r="H241">
        <v>31.84</v>
      </c>
      <c r="I241" t="s">
        <v>301</v>
      </c>
      <c r="J241" t="s">
        <v>381</v>
      </c>
      <c r="K241" t="s">
        <v>545</v>
      </c>
      <c r="L241" t="s">
        <v>200</v>
      </c>
      <c r="M241" t="s">
        <v>275</v>
      </c>
      <c r="N241" t="s">
        <v>51</v>
      </c>
      <c r="O241" t="s">
        <v>276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275</v>
      </c>
      <c r="AH241" t="s">
        <v>51</v>
      </c>
      <c r="AI241" t="s">
        <v>276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0</v>
      </c>
      <c r="AO241">
        <f>$H$241*$U$241</f>
        <v>0</v>
      </c>
      <c r="AP241">
        <f>$H$241*$V$241</f>
        <v>0</v>
      </c>
      <c r="AQ241">
        <f>$H$241*$W$241</f>
        <v>0</v>
      </c>
      <c r="AR241">
        <f>$H$241*$X$241</f>
        <v>31.84</v>
      </c>
      <c r="AS241">
        <f>$H$241*$Y$241</f>
        <v>31.84</v>
      </c>
      <c r="AT241">
        <f>$H$241*$Z$241</f>
        <v>31.84</v>
      </c>
      <c r="AU241">
        <f>$H$241*$AA$241</f>
        <v>31.84</v>
      </c>
      <c r="AV241">
        <f>$H$241*$AB$241</f>
        <v>31.84</v>
      </c>
      <c r="AW241">
        <f>$H$241*$AC$241</f>
        <v>31.84</v>
      </c>
      <c r="AX241">
        <f>$H$241*$AD$241</f>
        <v>31.84</v>
      </c>
      <c r="AY241">
        <f>$H$241*$AE$241</f>
        <v>31.84</v>
      </c>
      <c r="AZ241">
        <f>$H$241*$AF$241</f>
        <v>31.84</v>
      </c>
    </row>
    <row r="242" spans="1:52" x14ac:dyDescent="0.25">
      <c r="A242">
        <v>287</v>
      </c>
      <c r="B242" t="s">
        <v>275</v>
      </c>
      <c r="C242" t="s">
        <v>320</v>
      </c>
      <c r="D242">
        <v>17</v>
      </c>
      <c r="E242">
        <v>75.48</v>
      </c>
      <c r="F242" t="s">
        <v>294</v>
      </c>
      <c r="G242">
        <v>4.4400000000000004</v>
      </c>
      <c r="H242">
        <v>90.58</v>
      </c>
      <c r="I242" t="s">
        <v>295</v>
      </c>
      <c r="J242" t="s">
        <v>321</v>
      </c>
      <c r="K242" t="s">
        <v>516</v>
      </c>
      <c r="L242" t="s">
        <v>200</v>
      </c>
      <c r="M242" t="s">
        <v>275</v>
      </c>
      <c r="N242" t="s">
        <v>51</v>
      </c>
      <c r="O242" t="s">
        <v>276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275</v>
      </c>
      <c r="AH242" t="s">
        <v>51</v>
      </c>
      <c r="AI242" t="s">
        <v>276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90.58</v>
      </c>
      <c r="AV242">
        <f>$H$242*$AB$242</f>
        <v>90.58</v>
      </c>
      <c r="AW242">
        <f>$H$242*$AC$242</f>
        <v>90.58</v>
      </c>
      <c r="AX242">
        <f>$H$242*$AD$242</f>
        <v>90.58</v>
      </c>
      <c r="AY242">
        <f>$H$242*$AE$242</f>
        <v>90.58</v>
      </c>
      <c r="AZ242">
        <f>$H$242*$AF$242</f>
        <v>90.58</v>
      </c>
    </row>
    <row r="243" spans="1:52" x14ac:dyDescent="0.25">
      <c r="A243">
        <v>288</v>
      </c>
      <c r="B243" t="s">
        <v>275</v>
      </c>
      <c r="C243" t="s">
        <v>322</v>
      </c>
      <c r="D243">
        <v>17</v>
      </c>
      <c r="E243">
        <v>196.35</v>
      </c>
      <c r="F243" t="s">
        <v>294</v>
      </c>
      <c r="G243">
        <v>11.55</v>
      </c>
      <c r="H243">
        <v>235.63</v>
      </c>
      <c r="I243" t="s">
        <v>298</v>
      </c>
      <c r="J243" t="s">
        <v>323</v>
      </c>
      <c r="K243" t="s">
        <v>517</v>
      </c>
      <c r="L243" t="s">
        <v>200</v>
      </c>
      <c r="M243" t="s">
        <v>275</v>
      </c>
      <c r="N243" t="s">
        <v>51</v>
      </c>
      <c r="O243" t="s">
        <v>276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275</v>
      </c>
      <c r="AH243" t="s">
        <v>51</v>
      </c>
      <c r="AI243" t="s">
        <v>276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0</v>
      </c>
      <c r="AT243">
        <f>$H$243*$Z$243</f>
        <v>0</v>
      </c>
      <c r="AU243">
        <f>$H$243*$AA$243</f>
        <v>235.63</v>
      </c>
      <c r="AV243">
        <f>$H$243*$AB$243</f>
        <v>235.63</v>
      </c>
      <c r="AW243">
        <f>$H$243*$AC$243</f>
        <v>235.63</v>
      </c>
      <c r="AX243">
        <f>$H$243*$AD$243</f>
        <v>235.63</v>
      </c>
      <c r="AY243">
        <f>$H$243*$AE$243</f>
        <v>235.63</v>
      </c>
      <c r="AZ243">
        <f>$H$243*$AF$243</f>
        <v>235.63</v>
      </c>
    </row>
    <row r="244" spans="1:52" x14ac:dyDescent="0.25">
      <c r="A244">
        <v>289</v>
      </c>
      <c r="B244" t="s">
        <v>275</v>
      </c>
      <c r="C244" t="s">
        <v>374</v>
      </c>
      <c r="D244">
        <v>17</v>
      </c>
      <c r="E244">
        <v>80.75</v>
      </c>
      <c r="F244" t="s">
        <v>294</v>
      </c>
      <c r="G244">
        <v>4.75</v>
      </c>
      <c r="H244">
        <v>96.91</v>
      </c>
      <c r="I244" t="s">
        <v>298</v>
      </c>
      <c r="J244" t="s">
        <v>375</v>
      </c>
      <c r="K244" t="s">
        <v>542</v>
      </c>
      <c r="L244" t="s">
        <v>200</v>
      </c>
      <c r="M244" t="s">
        <v>275</v>
      </c>
      <c r="N244" t="s">
        <v>51</v>
      </c>
      <c r="O244" t="s">
        <v>276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1</v>
      </c>
      <c r="AD244">
        <v>1</v>
      </c>
      <c r="AE244">
        <v>1</v>
      </c>
      <c r="AF244">
        <v>1</v>
      </c>
      <c r="AG244" t="s">
        <v>275</v>
      </c>
      <c r="AH244" t="s">
        <v>51</v>
      </c>
      <c r="AI244" t="s">
        <v>276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0</v>
      </c>
      <c r="AT244">
        <f>$H$244*$Z$244</f>
        <v>0</v>
      </c>
      <c r="AU244">
        <f>$H$244*$AA$244</f>
        <v>0</v>
      </c>
      <c r="AV244">
        <f>$H$244*$AB$244</f>
        <v>0</v>
      </c>
      <c r="AW244">
        <f>$H$244*$AC$244</f>
        <v>96.91</v>
      </c>
      <c r="AX244">
        <f>$H$244*$AD$244</f>
        <v>96.91</v>
      </c>
      <c r="AY244">
        <f>$H$244*$AE$244</f>
        <v>96.91</v>
      </c>
      <c r="AZ244">
        <f>$H$244*$AF$244</f>
        <v>96.91</v>
      </c>
    </row>
    <row r="245" spans="1:52" x14ac:dyDescent="0.25">
      <c r="A245">
        <v>290</v>
      </c>
      <c r="B245" t="s">
        <v>275</v>
      </c>
      <c r="C245" t="s">
        <v>462</v>
      </c>
      <c r="D245">
        <v>1</v>
      </c>
      <c r="E245">
        <v>48.06</v>
      </c>
      <c r="F245" t="s">
        <v>299</v>
      </c>
      <c r="G245">
        <v>48.06</v>
      </c>
      <c r="H245">
        <v>57.68</v>
      </c>
      <c r="I245" t="s">
        <v>304</v>
      </c>
      <c r="J245" t="s">
        <v>436</v>
      </c>
      <c r="K245" t="s">
        <v>586</v>
      </c>
      <c r="L245" t="s">
        <v>200</v>
      </c>
      <c r="M245" t="s">
        <v>275</v>
      </c>
      <c r="N245" t="s">
        <v>51</v>
      </c>
      <c r="O245" t="s">
        <v>276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1</v>
      </c>
      <c r="AF245">
        <v>1</v>
      </c>
      <c r="AG245" t="s">
        <v>275</v>
      </c>
      <c r="AH245" t="s">
        <v>51</v>
      </c>
      <c r="AI245" t="s">
        <v>276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0</v>
      </c>
      <c r="AV245">
        <f>$H$245*$AB$245</f>
        <v>0</v>
      </c>
      <c r="AW245">
        <f>$H$245*$AC$245</f>
        <v>0</v>
      </c>
      <c r="AX245">
        <f>$H$245*$AD$245</f>
        <v>57.68</v>
      </c>
      <c r="AY245">
        <f>$H$245*$AE$245</f>
        <v>57.68</v>
      </c>
      <c r="AZ245">
        <f>$H$245*$AF$245</f>
        <v>57.68</v>
      </c>
    </row>
    <row r="246" spans="1:52" x14ac:dyDescent="0.25">
      <c r="A246">
        <v>291</v>
      </c>
      <c r="B246" t="s">
        <v>275</v>
      </c>
      <c r="C246" t="s">
        <v>329</v>
      </c>
      <c r="D246">
        <v>1</v>
      </c>
      <c r="E246">
        <v>47.96</v>
      </c>
      <c r="F246" t="s">
        <v>299</v>
      </c>
      <c r="G246">
        <v>47.96</v>
      </c>
      <c r="H246">
        <v>57.56</v>
      </c>
      <c r="I246" t="s">
        <v>330</v>
      </c>
      <c r="J246" t="s">
        <v>331</v>
      </c>
      <c r="K246" t="s">
        <v>520</v>
      </c>
      <c r="L246" t="s">
        <v>200</v>
      </c>
      <c r="M246" t="s">
        <v>275</v>
      </c>
      <c r="N246" t="s">
        <v>51</v>
      </c>
      <c r="O246" t="s">
        <v>276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275</v>
      </c>
      <c r="AH246" t="s">
        <v>51</v>
      </c>
      <c r="AI246" t="s">
        <v>276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57.56</v>
      </c>
      <c r="AV246">
        <f>$H$246*$AB$246</f>
        <v>57.56</v>
      </c>
      <c r="AW246">
        <f>$H$246*$AC$246</f>
        <v>57.56</v>
      </c>
      <c r="AX246">
        <f>$H$246*$AD$246</f>
        <v>57.56</v>
      </c>
      <c r="AY246">
        <f>$H$246*$AE$246</f>
        <v>57.56</v>
      </c>
      <c r="AZ246">
        <f>$H$246*$AF$246</f>
        <v>57.56</v>
      </c>
    </row>
    <row r="247" spans="1:52" x14ac:dyDescent="0.25">
      <c r="A247">
        <v>292</v>
      </c>
      <c r="B247" t="s">
        <v>275</v>
      </c>
      <c r="C247" t="s">
        <v>337</v>
      </c>
      <c r="D247">
        <v>2</v>
      </c>
      <c r="E247">
        <v>77.86</v>
      </c>
      <c r="F247" t="s">
        <v>299</v>
      </c>
      <c r="G247">
        <v>38.93</v>
      </c>
      <c r="H247">
        <v>93.44</v>
      </c>
      <c r="I247" t="s">
        <v>295</v>
      </c>
      <c r="J247" t="s">
        <v>333</v>
      </c>
      <c r="K247" t="s">
        <v>523</v>
      </c>
      <c r="L247" t="s">
        <v>200</v>
      </c>
      <c r="M247" t="s">
        <v>275</v>
      </c>
      <c r="N247" t="s">
        <v>51</v>
      </c>
      <c r="O247" t="s">
        <v>276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275</v>
      </c>
      <c r="AH247" t="s">
        <v>51</v>
      </c>
      <c r="AI247" t="s">
        <v>276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93.44</v>
      </c>
      <c r="AN247">
        <f>$H$247*$T$247</f>
        <v>93.44</v>
      </c>
      <c r="AO247">
        <f>$H$247*$U$247</f>
        <v>93.44</v>
      </c>
      <c r="AP247">
        <f>$H$247*$V$247</f>
        <v>93.44</v>
      </c>
      <c r="AQ247">
        <f>$H$247*$W$247</f>
        <v>93.44</v>
      </c>
      <c r="AR247">
        <f>$H$247*$X$247</f>
        <v>93.44</v>
      </c>
      <c r="AS247">
        <f>$H$247*$Y$247</f>
        <v>93.44</v>
      </c>
      <c r="AT247">
        <f>$H$247*$Z$247</f>
        <v>93.44</v>
      </c>
      <c r="AU247">
        <f>$H$247*$AA$247</f>
        <v>93.44</v>
      </c>
      <c r="AV247">
        <f>$H$247*$AB$247</f>
        <v>93.44</v>
      </c>
      <c r="AW247">
        <f>$H$247*$AC$247</f>
        <v>93.44</v>
      </c>
      <c r="AX247">
        <f>$H$247*$AD$247</f>
        <v>93.44</v>
      </c>
      <c r="AY247">
        <f>$H$247*$AE$247</f>
        <v>93.44</v>
      </c>
      <c r="AZ247">
        <f>$H$247*$AF$247</f>
        <v>93.44</v>
      </c>
    </row>
    <row r="248" spans="1:52" x14ac:dyDescent="0.25">
      <c r="A248">
        <v>293</v>
      </c>
      <c r="B248" t="s">
        <v>275</v>
      </c>
      <c r="C248" t="s">
        <v>335</v>
      </c>
      <c r="D248">
        <v>2</v>
      </c>
      <c r="E248">
        <v>62.72</v>
      </c>
      <c r="F248" t="s">
        <v>299</v>
      </c>
      <c r="G248">
        <v>31.36</v>
      </c>
      <c r="H248">
        <v>75.260000000000005</v>
      </c>
      <c r="I248" t="s">
        <v>295</v>
      </c>
      <c r="J248" t="s">
        <v>336</v>
      </c>
      <c r="K248" t="s">
        <v>522</v>
      </c>
      <c r="L248" t="s">
        <v>200</v>
      </c>
      <c r="M248" t="s">
        <v>275</v>
      </c>
      <c r="N248" t="s">
        <v>51</v>
      </c>
      <c r="O248" t="s">
        <v>276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275</v>
      </c>
      <c r="AH248" t="s">
        <v>51</v>
      </c>
      <c r="AI248" t="s">
        <v>276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75.260000000000005</v>
      </c>
      <c r="AN248">
        <f>$H$248*$T$248</f>
        <v>75.260000000000005</v>
      </c>
      <c r="AO248">
        <f>$H$248*$U$248</f>
        <v>75.260000000000005</v>
      </c>
      <c r="AP248">
        <f>$H$248*$V$248</f>
        <v>75.260000000000005</v>
      </c>
      <c r="AQ248">
        <f>$H$248*$W$248</f>
        <v>75.260000000000005</v>
      </c>
      <c r="AR248">
        <f>$H$248*$X$248</f>
        <v>75.260000000000005</v>
      </c>
      <c r="AS248">
        <f>$H$248*$Y$248</f>
        <v>75.260000000000005</v>
      </c>
      <c r="AT248">
        <f>$H$248*$Z$248</f>
        <v>75.260000000000005</v>
      </c>
      <c r="AU248">
        <f>$H$248*$AA$248</f>
        <v>75.260000000000005</v>
      </c>
      <c r="AV248">
        <f>$H$248*$AB$248</f>
        <v>75.260000000000005</v>
      </c>
      <c r="AW248">
        <f>$H$248*$AC$248</f>
        <v>75.260000000000005</v>
      </c>
      <c r="AX248">
        <f>$H$248*$AD$248</f>
        <v>75.260000000000005</v>
      </c>
      <c r="AY248">
        <f>$H$248*$AE$248</f>
        <v>75.260000000000005</v>
      </c>
      <c r="AZ248">
        <f>$H$248*$AF$248</f>
        <v>75.260000000000005</v>
      </c>
    </row>
    <row r="249" spans="1:52" x14ac:dyDescent="0.25">
      <c r="A249">
        <v>294</v>
      </c>
      <c r="B249" t="s">
        <v>275</v>
      </c>
      <c r="C249" t="s">
        <v>332</v>
      </c>
      <c r="D249">
        <v>1</v>
      </c>
      <c r="E249">
        <v>365.09</v>
      </c>
      <c r="F249" t="s">
        <v>299</v>
      </c>
      <c r="G249">
        <v>365.09</v>
      </c>
      <c r="H249">
        <v>438.11</v>
      </c>
      <c r="I249" t="s">
        <v>333</v>
      </c>
      <c r="J249" t="s">
        <v>334</v>
      </c>
      <c r="K249" t="s">
        <v>521</v>
      </c>
      <c r="L249" t="s">
        <v>200</v>
      </c>
      <c r="M249" t="s">
        <v>275</v>
      </c>
      <c r="N249" t="s">
        <v>51</v>
      </c>
      <c r="O249" t="s">
        <v>276</v>
      </c>
      <c r="P249">
        <v>0</v>
      </c>
      <c r="Q249">
        <v>0</v>
      </c>
      <c r="R249">
        <v>0</v>
      </c>
      <c r="S249">
        <v>0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275</v>
      </c>
      <c r="AH249" t="s">
        <v>51</v>
      </c>
      <c r="AI249" t="s">
        <v>276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438.11</v>
      </c>
      <c r="AO249">
        <f>$H$249*$U$249</f>
        <v>438.11</v>
      </c>
      <c r="AP249">
        <f>$H$249*$V$249</f>
        <v>438.11</v>
      </c>
      <c r="AQ249">
        <f>$H$249*$W$249</f>
        <v>438.11</v>
      </c>
      <c r="AR249">
        <f>$H$249*$X$249</f>
        <v>438.11</v>
      </c>
      <c r="AS249">
        <f>$H$249*$Y$249</f>
        <v>438.11</v>
      </c>
      <c r="AT249">
        <f>$H$249*$Z$249</f>
        <v>438.11</v>
      </c>
      <c r="AU249">
        <f>$H$249*$AA$249</f>
        <v>438.11</v>
      </c>
      <c r="AV249">
        <f>$H$249*$AB$249</f>
        <v>438.11</v>
      </c>
      <c r="AW249">
        <f>$H$249*$AC$249</f>
        <v>438.11</v>
      </c>
      <c r="AX249">
        <f>$H$249*$AD$249</f>
        <v>438.11</v>
      </c>
      <c r="AY249">
        <f>$H$249*$AE$249</f>
        <v>438.11</v>
      </c>
      <c r="AZ249">
        <f>$H$249*$AF$249</f>
        <v>438.11</v>
      </c>
    </row>
    <row r="250" spans="1:52" x14ac:dyDescent="0.25">
      <c r="A250">
        <v>295</v>
      </c>
      <c r="B250" t="s">
        <v>275</v>
      </c>
      <c r="C250" t="s">
        <v>324</v>
      </c>
      <c r="D250">
        <v>261.33</v>
      </c>
      <c r="E250">
        <v>256.10000000000002</v>
      </c>
      <c r="F250" t="s">
        <v>313</v>
      </c>
      <c r="G250">
        <v>0.98</v>
      </c>
      <c r="H250">
        <v>307.32</v>
      </c>
      <c r="I250" t="s">
        <v>295</v>
      </c>
      <c r="J250" t="s">
        <v>325</v>
      </c>
      <c r="K250" t="s">
        <v>518</v>
      </c>
      <c r="L250" t="s">
        <v>200</v>
      </c>
      <c r="M250" t="s">
        <v>275</v>
      </c>
      <c r="N250" t="s">
        <v>51</v>
      </c>
      <c r="O250" t="s">
        <v>276</v>
      </c>
      <c r="P250">
        <v>0</v>
      </c>
      <c r="Q250">
        <v>0</v>
      </c>
      <c r="R250">
        <v>0</v>
      </c>
      <c r="S250">
        <v>0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275</v>
      </c>
      <c r="AH250" t="s">
        <v>51</v>
      </c>
      <c r="AI250" t="s">
        <v>276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307.32</v>
      </c>
      <c r="AO250">
        <f>$H$250*$U$250</f>
        <v>307.32</v>
      </c>
      <c r="AP250">
        <f>$H$250*$V$250</f>
        <v>307.32</v>
      </c>
      <c r="AQ250">
        <f>$H$250*$W$250</f>
        <v>307.32</v>
      </c>
      <c r="AR250">
        <f>$H$250*$X$250</f>
        <v>307.32</v>
      </c>
      <c r="AS250">
        <f>$H$250*$Y$250</f>
        <v>307.32</v>
      </c>
      <c r="AT250">
        <f>$H$250*$Z$250</f>
        <v>307.32</v>
      </c>
      <c r="AU250">
        <f>$H$250*$AA$250</f>
        <v>307.32</v>
      </c>
      <c r="AV250">
        <f>$H$250*$AB$250</f>
        <v>307.32</v>
      </c>
      <c r="AW250">
        <f>$H$250*$AC$250</f>
        <v>307.32</v>
      </c>
      <c r="AX250">
        <f>$H$250*$AD$250</f>
        <v>307.32</v>
      </c>
      <c r="AY250">
        <f>$H$250*$AE$250</f>
        <v>307.32</v>
      </c>
      <c r="AZ250">
        <f>$H$250*$AF$250</f>
        <v>307.32</v>
      </c>
    </row>
    <row r="251" spans="1:52" x14ac:dyDescent="0.25">
      <c r="A251">
        <v>296</v>
      </c>
      <c r="B251" t="s">
        <v>275</v>
      </c>
      <c r="C251" t="s">
        <v>326</v>
      </c>
      <c r="D251">
        <v>261.33</v>
      </c>
      <c r="E251">
        <v>697.75</v>
      </c>
      <c r="F251" t="s">
        <v>313</v>
      </c>
      <c r="G251">
        <v>2.67</v>
      </c>
      <c r="H251">
        <v>837.31</v>
      </c>
      <c r="I251" t="s">
        <v>327</v>
      </c>
      <c r="J251" t="s">
        <v>328</v>
      </c>
      <c r="K251" t="s">
        <v>519</v>
      </c>
      <c r="L251" t="s">
        <v>200</v>
      </c>
      <c r="M251" t="s">
        <v>275</v>
      </c>
      <c r="N251" t="s">
        <v>51</v>
      </c>
      <c r="O251" t="s">
        <v>276</v>
      </c>
      <c r="P251">
        <v>0</v>
      </c>
      <c r="Q251">
        <v>0</v>
      </c>
      <c r="R251">
        <v>0</v>
      </c>
      <c r="S251">
        <v>0.25</v>
      </c>
      <c r="T251">
        <v>0.25</v>
      </c>
      <c r="U251">
        <v>0.25</v>
      </c>
      <c r="V251">
        <v>0.25</v>
      </c>
      <c r="W251">
        <v>0.25</v>
      </c>
      <c r="X251">
        <v>0.5</v>
      </c>
      <c r="Y251">
        <v>0.5</v>
      </c>
      <c r="Z251">
        <v>0.5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275</v>
      </c>
      <c r="AH251" t="s">
        <v>51</v>
      </c>
      <c r="AI251" t="s">
        <v>276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209.32749999999999</v>
      </c>
      <c r="AN251">
        <f>$H$251*$T$251</f>
        <v>209.32749999999999</v>
      </c>
      <c r="AO251">
        <f>$H$251*$U$251</f>
        <v>209.32749999999999</v>
      </c>
      <c r="AP251">
        <f>$H$251*$V$251</f>
        <v>209.32749999999999</v>
      </c>
      <c r="AQ251">
        <f>$H$251*$W$251</f>
        <v>209.32749999999999</v>
      </c>
      <c r="AR251">
        <f>$H$251*$X$251</f>
        <v>418.65499999999997</v>
      </c>
      <c r="AS251">
        <f>$H$251*$Y$251</f>
        <v>418.65499999999997</v>
      </c>
      <c r="AT251">
        <f>$H$251*$Z$251</f>
        <v>418.65499999999997</v>
      </c>
      <c r="AU251">
        <f>$H$251*$AA$251</f>
        <v>837.31</v>
      </c>
      <c r="AV251">
        <f>$H$251*$AB$251</f>
        <v>837.31</v>
      </c>
      <c r="AW251">
        <f>$H$251*$AC$251</f>
        <v>837.31</v>
      </c>
      <c r="AX251">
        <f>$H$251*$AD$251</f>
        <v>837.31</v>
      </c>
      <c r="AY251">
        <f>$H$251*$AE$251</f>
        <v>837.31</v>
      </c>
      <c r="AZ251">
        <f>$H$251*$AF$251</f>
        <v>837.31</v>
      </c>
    </row>
    <row r="252" spans="1:52" x14ac:dyDescent="0.25">
      <c r="A252">
        <v>297</v>
      </c>
      <c r="B252" t="s">
        <v>275</v>
      </c>
      <c r="C252" t="s">
        <v>383</v>
      </c>
      <c r="D252">
        <v>32.67</v>
      </c>
      <c r="E252">
        <v>29.73</v>
      </c>
      <c r="F252" t="s">
        <v>294</v>
      </c>
      <c r="G252">
        <v>0.91</v>
      </c>
      <c r="H252">
        <v>35.67</v>
      </c>
      <c r="I252" t="s">
        <v>295</v>
      </c>
      <c r="J252" t="s">
        <v>384</v>
      </c>
      <c r="K252" t="s">
        <v>547</v>
      </c>
      <c r="L252" t="s">
        <v>200</v>
      </c>
      <c r="M252" t="s">
        <v>275</v>
      </c>
      <c r="N252" t="s">
        <v>51</v>
      </c>
      <c r="O252" t="s">
        <v>276</v>
      </c>
      <c r="P252">
        <v>0</v>
      </c>
      <c r="Q252">
        <v>0</v>
      </c>
      <c r="R252">
        <v>0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275</v>
      </c>
      <c r="AH252" t="s">
        <v>51</v>
      </c>
      <c r="AI252" t="s">
        <v>276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35.67</v>
      </c>
      <c r="AN252">
        <f>$H$252*$T$252</f>
        <v>35.67</v>
      </c>
      <c r="AO252">
        <f>$H$252*$U$252</f>
        <v>35.67</v>
      </c>
      <c r="AP252">
        <f>$H$252*$V$252</f>
        <v>35.67</v>
      </c>
      <c r="AQ252">
        <f>$H$252*$W$252</f>
        <v>35.67</v>
      </c>
      <c r="AR252">
        <f>$H$252*$X$252</f>
        <v>35.67</v>
      </c>
      <c r="AS252">
        <f>$H$252*$Y$252</f>
        <v>35.67</v>
      </c>
      <c r="AT252">
        <f>$H$252*$Z$252</f>
        <v>35.67</v>
      </c>
      <c r="AU252">
        <f>$H$252*$AA$252</f>
        <v>35.67</v>
      </c>
      <c r="AV252">
        <f>$H$252*$AB$252</f>
        <v>35.67</v>
      </c>
      <c r="AW252">
        <f>$H$252*$AC$252</f>
        <v>35.67</v>
      </c>
      <c r="AX252">
        <f>$H$252*$AD$252</f>
        <v>35.67</v>
      </c>
      <c r="AY252">
        <f>$H$252*$AE$252</f>
        <v>35.67</v>
      </c>
      <c r="AZ252">
        <f>$H$252*$AF$252</f>
        <v>35.67</v>
      </c>
    </row>
    <row r="253" spans="1:52" x14ac:dyDescent="0.25">
      <c r="A253">
        <v>298</v>
      </c>
      <c r="B253" t="s">
        <v>275</v>
      </c>
      <c r="C253" t="s">
        <v>385</v>
      </c>
      <c r="D253">
        <v>32.67</v>
      </c>
      <c r="E253">
        <v>167.27</v>
      </c>
      <c r="F253" t="s">
        <v>294</v>
      </c>
      <c r="G253">
        <v>5.12</v>
      </c>
      <c r="H253">
        <v>200.73</v>
      </c>
      <c r="I253" t="s">
        <v>298</v>
      </c>
      <c r="J253" t="s">
        <v>386</v>
      </c>
      <c r="K253" t="s">
        <v>548</v>
      </c>
      <c r="L253" t="s">
        <v>200</v>
      </c>
      <c r="M253" t="s">
        <v>275</v>
      </c>
      <c r="N253" t="s">
        <v>51</v>
      </c>
      <c r="O253" t="s">
        <v>276</v>
      </c>
      <c r="P253">
        <v>0</v>
      </c>
      <c r="Q253">
        <v>0</v>
      </c>
      <c r="R253">
        <v>0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275</v>
      </c>
      <c r="AH253" t="s">
        <v>51</v>
      </c>
      <c r="AI253" t="s">
        <v>276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200.73</v>
      </c>
      <c r="AN253">
        <f>$H$253*$T$253</f>
        <v>200.73</v>
      </c>
      <c r="AO253">
        <f>$H$253*$U$253</f>
        <v>200.73</v>
      </c>
      <c r="AP253">
        <f>$H$253*$V$253</f>
        <v>200.73</v>
      </c>
      <c r="AQ253">
        <f>$H$253*$W$253</f>
        <v>200.73</v>
      </c>
      <c r="AR253">
        <f>$H$253*$X$253</f>
        <v>200.73</v>
      </c>
      <c r="AS253">
        <f>$H$253*$Y$253</f>
        <v>200.73</v>
      </c>
      <c r="AT253">
        <f>$H$253*$Z$253</f>
        <v>200.73</v>
      </c>
      <c r="AU253">
        <f>$H$253*$AA$253</f>
        <v>200.73</v>
      </c>
      <c r="AV253">
        <f>$H$253*$AB$253</f>
        <v>200.73</v>
      </c>
      <c r="AW253">
        <f>$H$253*$AC$253</f>
        <v>200.73</v>
      </c>
      <c r="AX253">
        <f>$H$253*$AD$253</f>
        <v>200.73</v>
      </c>
      <c r="AY253">
        <f>$H$253*$AE$253</f>
        <v>200.73</v>
      </c>
      <c r="AZ253">
        <f>$H$253*$AF$253</f>
        <v>200.73</v>
      </c>
    </row>
    <row r="254" spans="1:52" x14ac:dyDescent="0.25">
      <c r="A254">
        <v>299</v>
      </c>
      <c r="B254" t="s">
        <v>275</v>
      </c>
      <c r="C254" t="s">
        <v>326</v>
      </c>
      <c r="D254">
        <v>65.849999999999994</v>
      </c>
      <c r="E254">
        <v>175.82</v>
      </c>
      <c r="F254" t="s">
        <v>313</v>
      </c>
      <c r="G254">
        <v>2.67</v>
      </c>
      <c r="H254">
        <v>210.98</v>
      </c>
      <c r="I254" t="s">
        <v>327</v>
      </c>
      <c r="J254" t="s">
        <v>328</v>
      </c>
      <c r="K254" t="s">
        <v>519</v>
      </c>
      <c r="L254" t="s">
        <v>200</v>
      </c>
      <c r="M254" t="s">
        <v>275</v>
      </c>
      <c r="N254" t="s">
        <v>51</v>
      </c>
      <c r="O254" t="s">
        <v>276</v>
      </c>
      <c r="P254">
        <v>0</v>
      </c>
      <c r="Q254">
        <v>0</v>
      </c>
      <c r="R254">
        <v>0</v>
      </c>
      <c r="S254">
        <v>0.25</v>
      </c>
      <c r="T254">
        <v>0.25</v>
      </c>
      <c r="U254">
        <v>0.25</v>
      </c>
      <c r="V254">
        <v>0.25</v>
      </c>
      <c r="W254">
        <v>0.25</v>
      </c>
      <c r="X254">
        <v>0.5</v>
      </c>
      <c r="Y254">
        <v>0.5</v>
      </c>
      <c r="Z254">
        <v>0.5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275</v>
      </c>
      <c r="AH254" t="s">
        <v>51</v>
      </c>
      <c r="AI254" t="s">
        <v>276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52.744999999999997</v>
      </c>
      <c r="AN254">
        <f>$H$254*$T$254</f>
        <v>52.744999999999997</v>
      </c>
      <c r="AO254">
        <f>$H$254*$U$254</f>
        <v>52.744999999999997</v>
      </c>
      <c r="AP254">
        <f>$H$254*$V$254</f>
        <v>52.744999999999997</v>
      </c>
      <c r="AQ254">
        <f>$H$254*$W$254</f>
        <v>52.744999999999997</v>
      </c>
      <c r="AR254">
        <f>$H$254*$X$254</f>
        <v>105.49</v>
      </c>
      <c r="AS254">
        <f>$H$254*$Y$254</f>
        <v>105.49</v>
      </c>
      <c r="AT254">
        <f>$H$254*$Z$254</f>
        <v>105.49</v>
      </c>
      <c r="AU254">
        <f>$H$254*$AA$254</f>
        <v>210.98</v>
      </c>
      <c r="AV254">
        <f>$H$254*$AB$254</f>
        <v>210.98</v>
      </c>
      <c r="AW254">
        <f>$H$254*$AC$254</f>
        <v>210.98</v>
      </c>
      <c r="AX254">
        <f>$H$254*$AD$254</f>
        <v>210.98</v>
      </c>
      <c r="AY254">
        <f>$H$254*$AE$254</f>
        <v>210.98</v>
      </c>
      <c r="AZ254">
        <f>$H$254*$AF$254</f>
        <v>210.98</v>
      </c>
    </row>
    <row r="255" spans="1:52" x14ac:dyDescent="0.25">
      <c r="A255">
        <v>300</v>
      </c>
      <c r="B255" t="s">
        <v>275</v>
      </c>
      <c r="C255" t="s">
        <v>387</v>
      </c>
      <c r="D255">
        <v>65.849999999999994</v>
      </c>
      <c r="E255">
        <v>41.49</v>
      </c>
      <c r="F255" t="s">
        <v>313</v>
      </c>
      <c r="G255">
        <v>0.63</v>
      </c>
      <c r="H255">
        <v>49.79</v>
      </c>
      <c r="I255" t="s">
        <v>295</v>
      </c>
      <c r="J255" t="s">
        <v>388</v>
      </c>
      <c r="K255" t="s">
        <v>549</v>
      </c>
      <c r="L255" t="s">
        <v>200</v>
      </c>
      <c r="M255" t="s">
        <v>275</v>
      </c>
      <c r="N255" t="s">
        <v>51</v>
      </c>
      <c r="O255" t="s">
        <v>276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1</v>
      </c>
      <c r="AE255">
        <v>1</v>
      </c>
      <c r="AF255">
        <v>1</v>
      </c>
      <c r="AG255" t="s">
        <v>275</v>
      </c>
      <c r="AH255" t="s">
        <v>51</v>
      </c>
      <c r="AI255" t="s">
        <v>276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0</v>
      </c>
      <c r="AV255">
        <f>$H$255*$AB$255</f>
        <v>0</v>
      </c>
      <c r="AW255">
        <f>$H$255*$AC$255</f>
        <v>0</v>
      </c>
      <c r="AX255">
        <f>$H$255*$AD$255</f>
        <v>49.79</v>
      </c>
      <c r="AY255">
        <f>$H$255*$AE$255</f>
        <v>49.79</v>
      </c>
      <c r="AZ255">
        <f>$H$255*$AF$255</f>
        <v>49.79</v>
      </c>
    </row>
    <row r="256" spans="1:52" x14ac:dyDescent="0.25">
      <c r="A256">
        <v>301</v>
      </c>
      <c r="B256" t="s">
        <v>275</v>
      </c>
      <c r="C256" t="s">
        <v>389</v>
      </c>
      <c r="D256">
        <v>65.849999999999994</v>
      </c>
      <c r="E256">
        <v>45.44</v>
      </c>
      <c r="F256" t="s">
        <v>313</v>
      </c>
      <c r="G256">
        <v>0.69</v>
      </c>
      <c r="H256">
        <v>54.52</v>
      </c>
      <c r="I256" t="s">
        <v>295</v>
      </c>
      <c r="J256" t="s">
        <v>390</v>
      </c>
      <c r="K256" t="s">
        <v>550</v>
      </c>
      <c r="L256" t="s">
        <v>200</v>
      </c>
      <c r="M256" t="s">
        <v>275</v>
      </c>
      <c r="N256" t="s">
        <v>51</v>
      </c>
      <c r="O256" t="s">
        <v>276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275</v>
      </c>
      <c r="AH256" t="s">
        <v>51</v>
      </c>
      <c r="AI256" t="s">
        <v>276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54.52</v>
      </c>
      <c r="AN256">
        <f>$H$256*$T$256</f>
        <v>54.52</v>
      </c>
      <c r="AO256">
        <f>$H$256*$U$256</f>
        <v>54.52</v>
      </c>
      <c r="AP256">
        <f>$H$256*$V$256</f>
        <v>54.52</v>
      </c>
      <c r="AQ256">
        <f>$H$256*$W$256</f>
        <v>54.52</v>
      </c>
      <c r="AR256">
        <f>$H$256*$X$256</f>
        <v>54.52</v>
      </c>
      <c r="AS256">
        <f>$H$256*$Y$256</f>
        <v>54.52</v>
      </c>
      <c r="AT256">
        <f>$H$256*$Z$256</f>
        <v>54.52</v>
      </c>
      <c r="AU256">
        <f>$H$256*$AA$256</f>
        <v>54.52</v>
      </c>
      <c r="AV256">
        <f>$H$256*$AB$256</f>
        <v>54.52</v>
      </c>
      <c r="AW256">
        <f>$H$256*$AC$256</f>
        <v>54.52</v>
      </c>
      <c r="AX256">
        <f>$H$256*$AD$256</f>
        <v>54.52</v>
      </c>
      <c r="AY256">
        <f>$H$256*$AE$256</f>
        <v>54.52</v>
      </c>
      <c r="AZ256">
        <f>$H$256*$AF$256</f>
        <v>54.52</v>
      </c>
    </row>
    <row r="257" spans="1:52" x14ac:dyDescent="0.25">
      <c r="A257">
        <v>302</v>
      </c>
      <c r="B257" t="s">
        <v>275</v>
      </c>
      <c r="C257" t="s">
        <v>391</v>
      </c>
      <c r="D257">
        <v>13.83</v>
      </c>
      <c r="E257">
        <v>78.69</v>
      </c>
      <c r="F257" t="s">
        <v>313</v>
      </c>
      <c r="G257">
        <v>5.69</v>
      </c>
      <c r="H257">
        <v>94.43</v>
      </c>
      <c r="I257" t="s">
        <v>392</v>
      </c>
      <c r="J257" t="s">
        <v>393</v>
      </c>
      <c r="K257" t="s">
        <v>551</v>
      </c>
      <c r="L257" t="s">
        <v>200</v>
      </c>
      <c r="M257" t="s">
        <v>275</v>
      </c>
      <c r="N257" t="s">
        <v>51</v>
      </c>
      <c r="O257" t="s">
        <v>276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275</v>
      </c>
      <c r="AH257" t="s">
        <v>51</v>
      </c>
      <c r="AI257" t="s">
        <v>276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94.43</v>
      </c>
      <c r="AN257">
        <f>$H$257*$T$257</f>
        <v>94.43</v>
      </c>
      <c r="AO257">
        <f>$H$257*$U$257</f>
        <v>94.43</v>
      </c>
      <c r="AP257">
        <f>$H$257*$V$257</f>
        <v>94.43</v>
      </c>
      <c r="AQ257">
        <f>$H$257*$W$257</f>
        <v>94.43</v>
      </c>
      <c r="AR257">
        <f>$H$257*$X$257</f>
        <v>94.43</v>
      </c>
      <c r="AS257">
        <f>$H$257*$Y$257</f>
        <v>94.43</v>
      </c>
      <c r="AT257">
        <f>$H$257*$Z$257</f>
        <v>94.43</v>
      </c>
      <c r="AU257">
        <f>$H$257*$AA$257</f>
        <v>94.43</v>
      </c>
      <c r="AV257">
        <f>$H$257*$AB$257</f>
        <v>94.43</v>
      </c>
      <c r="AW257">
        <f>$H$257*$AC$257</f>
        <v>94.43</v>
      </c>
      <c r="AX257">
        <f>$H$257*$AD$257</f>
        <v>94.43</v>
      </c>
      <c r="AY257">
        <f>$H$257*$AE$257</f>
        <v>94.43</v>
      </c>
      <c r="AZ257">
        <f>$H$257*$AF$257</f>
        <v>94.43</v>
      </c>
    </row>
    <row r="258" spans="1:52" x14ac:dyDescent="0.25">
      <c r="A258">
        <v>303</v>
      </c>
      <c r="B258" t="s">
        <v>275</v>
      </c>
      <c r="C258" t="s">
        <v>394</v>
      </c>
      <c r="D258">
        <v>15.15</v>
      </c>
      <c r="E258">
        <v>89.69</v>
      </c>
      <c r="F258" t="s">
        <v>313</v>
      </c>
      <c r="G258">
        <v>5.92</v>
      </c>
      <c r="H258">
        <v>107.63</v>
      </c>
      <c r="I258" t="s">
        <v>392</v>
      </c>
      <c r="J258" t="s">
        <v>334</v>
      </c>
      <c r="K258" t="s">
        <v>552</v>
      </c>
      <c r="L258" t="s">
        <v>200</v>
      </c>
      <c r="M258" t="s">
        <v>275</v>
      </c>
      <c r="N258" t="s">
        <v>51</v>
      </c>
      <c r="O258" t="s">
        <v>276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275</v>
      </c>
      <c r="AH258" t="s">
        <v>51</v>
      </c>
      <c r="AI258" t="s">
        <v>276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107.63</v>
      </c>
      <c r="AN258">
        <f>$H$258*$T$258</f>
        <v>107.63</v>
      </c>
      <c r="AO258">
        <f>$H$258*$U$258</f>
        <v>107.63</v>
      </c>
      <c r="AP258">
        <f>$H$258*$V$258</f>
        <v>107.63</v>
      </c>
      <c r="AQ258">
        <f>$H$258*$W$258</f>
        <v>107.63</v>
      </c>
      <c r="AR258">
        <f>$H$258*$X$258</f>
        <v>107.63</v>
      </c>
      <c r="AS258">
        <f>$H$258*$Y$258</f>
        <v>107.63</v>
      </c>
      <c r="AT258">
        <f>$H$258*$Z$258</f>
        <v>107.63</v>
      </c>
      <c r="AU258">
        <f>$H$258*$AA$258</f>
        <v>107.63</v>
      </c>
      <c r="AV258">
        <f>$H$258*$AB$258</f>
        <v>107.63</v>
      </c>
      <c r="AW258">
        <f>$H$258*$AC$258</f>
        <v>107.63</v>
      </c>
      <c r="AX258">
        <f>$H$258*$AD$258</f>
        <v>107.63</v>
      </c>
      <c r="AY258">
        <f>$H$258*$AE$258</f>
        <v>107.63</v>
      </c>
      <c r="AZ258">
        <f>$H$258*$AF$258</f>
        <v>107.63</v>
      </c>
    </row>
    <row r="259" spans="1:52" x14ac:dyDescent="0.25">
      <c r="A259">
        <v>304</v>
      </c>
      <c r="B259" t="s">
        <v>275</v>
      </c>
      <c r="C259" t="s">
        <v>395</v>
      </c>
      <c r="D259">
        <v>14.77</v>
      </c>
      <c r="E259">
        <v>80.64</v>
      </c>
      <c r="F259" t="s">
        <v>313</v>
      </c>
      <c r="G259">
        <v>5.46</v>
      </c>
      <c r="H259">
        <v>96.76</v>
      </c>
      <c r="I259" t="s">
        <v>396</v>
      </c>
      <c r="J259" t="s">
        <v>397</v>
      </c>
      <c r="K259" t="s">
        <v>553</v>
      </c>
      <c r="L259" t="s">
        <v>200</v>
      </c>
      <c r="M259" t="s">
        <v>275</v>
      </c>
      <c r="N259" t="s">
        <v>51</v>
      </c>
      <c r="O259" t="s">
        <v>276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275</v>
      </c>
      <c r="AH259" t="s">
        <v>51</v>
      </c>
      <c r="AI259" t="s">
        <v>276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96.76</v>
      </c>
      <c r="AN259">
        <f>$H$259*$T$259</f>
        <v>96.76</v>
      </c>
      <c r="AO259">
        <f>$H$259*$U$259</f>
        <v>96.76</v>
      </c>
      <c r="AP259">
        <f>$H$259*$V$259</f>
        <v>96.76</v>
      </c>
      <c r="AQ259">
        <f>$H$259*$W$259</f>
        <v>96.76</v>
      </c>
      <c r="AR259">
        <f>$H$259*$X$259</f>
        <v>96.76</v>
      </c>
      <c r="AS259">
        <f>$H$259*$Y$259</f>
        <v>96.76</v>
      </c>
      <c r="AT259">
        <f>$H$259*$Z$259</f>
        <v>96.76</v>
      </c>
      <c r="AU259">
        <f>$H$259*$AA$259</f>
        <v>96.76</v>
      </c>
      <c r="AV259">
        <f>$H$259*$AB$259</f>
        <v>96.76</v>
      </c>
      <c r="AW259">
        <f>$H$259*$AC$259</f>
        <v>96.76</v>
      </c>
      <c r="AX259">
        <f>$H$259*$AD$259</f>
        <v>96.76</v>
      </c>
      <c r="AY259">
        <f>$H$259*$AE$259</f>
        <v>96.76</v>
      </c>
      <c r="AZ259">
        <f>$H$259*$AF$259</f>
        <v>96.76</v>
      </c>
    </row>
    <row r="260" spans="1:52" x14ac:dyDescent="0.25">
      <c r="A260">
        <v>305</v>
      </c>
      <c r="B260" t="s">
        <v>275</v>
      </c>
      <c r="C260" t="s">
        <v>398</v>
      </c>
      <c r="D260">
        <v>14.77</v>
      </c>
      <c r="E260">
        <v>52.88</v>
      </c>
      <c r="F260" t="s">
        <v>313</v>
      </c>
      <c r="G260">
        <v>3.58</v>
      </c>
      <c r="H260">
        <v>63.46</v>
      </c>
      <c r="I260" t="s">
        <v>396</v>
      </c>
      <c r="J260" t="s">
        <v>399</v>
      </c>
      <c r="K260" t="s">
        <v>554</v>
      </c>
      <c r="L260" t="s">
        <v>200</v>
      </c>
      <c r="M260" t="s">
        <v>275</v>
      </c>
      <c r="N260" t="s">
        <v>51</v>
      </c>
      <c r="O260" t="s">
        <v>276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275</v>
      </c>
      <c r="AH260" t="s">
        <v>51</v>
      </c>
      <c r="AI260" t="s">
        <v>276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63.46</v>
      </c>
      <c r="AN260">
        <f>$H$260*$T$260</f>
        <v>63.46</v>
      </c>
      <c r="AO260">
        <f>$H$260*$U$260</f>
        <v>63.46</v>
      </c>
      <c r="AP260">
        <f>$H$260*$V$260</f>
        <v>63.46</v>
      </c>
      <c r="AQ260">
        <f>$H$260*$W$260</f>
        <v>63.46</v>
      </c>
      <c r="AR260">
        <f>$H$260*$X$260</f>
        <v>63.46</v>
      </c>
      <c r="AS260">
        <f>$H$260*$Y$260</f>
        <v>63.46</v>
      </c>
      <c r="AT260">
        <f>$H$260*$Z$260</f>
        <v>63.46</v>
      </c>
      <c r="AU260">
        <f>$H$260*$AA$260</f>
        <v>63.46</v>
      </c>
      <c r="AV260">
        <f>$H$260*$AB$260</f>
        <v>63.46</v>
      </c>
      <c r="AW260">
        <f>$H$260*$AC$260</f>
        <v>63.46</v>
      </c>
      <c r="AX260">
        <f>$H$260*$AD$260</f>
        <v>63.46</v>
      </c>
      <c r="AY260">
        <f>$H$260*$AE$260</f>
        <v>63.46</v>
      </c>
      <c r="AZ260">
        <f>$H$260*$AF$260</f>
        <v>63.46</v>
      </c>
    </row>
    <row r="261" spans="1:52" x14ac:dyDescent="0.25">
      <c r="A261">
        <v>306</v>
      </c>
      <c r="B261" t="s">
        <v>275</v>
      </c>
      <c r="C261" t="s">
        <v>400</v>
      </c>
      <c r="D261">
        <v>14.77</v>
      </c>
      <c r="E261">
        <v>128.5</v>
      </c>
      <c r="F261" t="s">
        <v>313</v>
      </c>
      <c r="G261">
        <v>8.6999999999999993</v>
      </c>
      <c r="H261">
        <v>154.19999999999999</v>
      </c>
      <c r="I261" t="s">
        <v>396</v>
      </c>
      <c r="J261" t="s">
        <v>334</v>
      </c>
      <c r="K261" t="s">
        <v>555</v>
      </c>
      <c r="L261" t="s">
        <v>200</v>
      </c>
      <c r="M261" t="s">
        <v>275</v>
      </c>
      <c r="N261" t="s">
        <v>51</v>
      </c>
      <c r="O261" t="s">
        <v>276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275</v>
      </c>
      <c r="AH261" t="s">
        <v>51</v>
      </c>
      <c r="AI261" t="s">
        <v>276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154.19999999999999</v>
      </c>
      <c r="AN261">
        <f>$H$261*$T$261</f>
        <v>154.19999999999999</v>
      </c>
      <c r="AO261">
        <f>$H$261*$U$261</f>
        <v>154.19999999999999</v>
      </c>
      <c r="AP261">
        <f>$H$261*$V$261</f>
        <v>154.19999999999999</v>
      </c>
      <c r="AQ261">
        <f>$H$261*$W$261</f>
        <v>154.19999999999999</v>
      </c>
      <c r="AR261">
        <f>$H$261*$X$261</f>
        <v>154.19999999999999</v>
      </c>
      <c r="AS261">
        <f>$H$261*$Y$261</f>
        <v>154.19999999999999</v>
      </c>
      <c r="AT261">
        <f>$H$261*$Z$261</f>
        <v>154.19999999999999</v>
      </c>
      <c r="AU261">
        <f>$H$261*$AA$261</f>
        <v>154.19999999999999</v>
      </c>
      <c r="AV261">
        <f>$H$261*$AB$261</f>
        <v>154.19999999999999</v>
      </c>
      <c r="AW261">
        <f>$H$261*$AC$261</f>
        <v>154.19999999999999</v>
      </c>
      <c r="AX261">
        <f>$H$261*$AD$261</f>
        <v>154.19999999999999</v>
      </c>
      <c r="AY261">
        <f>$H$261*$AE$261</f>
        <v>154.19999999999999</v>
      </c>
      <c r="AZ261">
        <f>$H$261*$AF$261</f>
        <v>154.19999999999999</v>
      </c>
    </row>
    <row r="262" spans="1:52" x14ac:dyDescent="0.25">
      <c r="A262">
        <v>307</v>
      </c>
      <c r="B262" t="s">
        <v>275</v>
      </c>
      <c r="C262" t="s">
        <v>401</v>
      </c>
      <c r="D262">
        <v>15.15</v>
      </c>
      <c r="E262">
        <v>11.97</v>
      </c>
      <c r="F262" t="s">
        <v>313</v>
      </c>
      <c r="G262">
        <v>0.79</v>
      </c>
      <c r="H262">
        <v>14.37</v>
      </c>
      <c r="I262" t="s">
        <v>339</v>
      </c>
      <c r="J262" t="s">
        <v>402</v>
      </c>
      <c r="K262" t="s">
        <v>556</v>
      </c>
      <c r="L262" t="s">
        <v>200</v>
      </c>
      <c r="M262" t="s">
        <v>275</v>
      </c>
      <c r="N262" t="s">
        <v>51</v>
      </c>
      <c r="O262" t="s">
        <v>276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275</v>
      </c>
      <c r="AH262" t="s">
        <v>51</v>
      </c>
      <c r="AI262" t="s">
        <v>276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14.37</v>
      </c>
      <c r="AN262">
        <f>$H$262*$T$262</f>
        <v>14.37</v>
      </c>
      <c r="AO262">
        <f>$H$262*$U$262</f>
        <v>14.37</v>
      </c>
      <c r="AP262">
        <f>$H$262*$V$262</f>
        <v>14.37</v>
      </c>
      <c r="AQ262">
        <f>$H$262*$W$262</f>
        <v>14.37</v>
      </c>
      <c r="AR262">
        <f>$H$262*$X$262</f>
        <v>14.37</v>
      </c>
      <c r="AS262">
        <f>$H$262*$Y$262</f>
        <v>14.37</v>
      </c>
      <c r="AT262">
        <f>$H$262*$Z$262</f>
        <v>14.37</v>
      </c>
      <c r="AU262">
        <f>$H$262*$AA$262</f>
        <v>14.37</v>
      </c>
      <c r="AV262">
        <f>$H$262*$AB$262</f>
        <v>14.37</v>
      </c>
      <c r="AW262">
        <f>$H$262*$AC$262</f>
        <v>14.37</v>
      </c>
      <c r="AX262">
        <f>$H$262*$AD$262</f>
        <v>14.37</v>
      </c>
      <c r="AY262">
        <f>$H$262*$AE$262</f>
        <v>14.37</v>
      </c>
      <c r="AZ262">
        <f>$H$262*$AF$262</f>
        <v>14.37</v>
      </c>
    </row>
    <row r="263" spans="1:52" x14ac:dyDescent="0.25">
      <c r="A263">
        <v>308</v>
      </c>
      <c r="B263" t="s">
        <v>275</v>
      </c>
      <c r="C263" t="s">
        <v>403</v>
      </c>
      <c r="D263">
        <v>15.15</v>
      </c>
      <c r="E263">
        <v>80.75</v>
      </c>
      <c r="F263" t="s">
        <v>313</v>
      </c>
      <c r="G263">
        <v>5.33</v>
      </c>
      <c r="H263">
        <v>96.91</v>
      </c>
      <c r="I263" t="s">
        <v>339</v>
      </c>
      <c r="J263" t="s">
        <v>334</v>
      </c>
      <c r="K263" t="s">
        <v>557</v>
      </c>
      <c r="L263" t="s">
        <v>200</v>
      </c>
      <c r="M263" t="s">
        <v>275</v>
      </c>
      <c r="N263" t="s">
        <v>51</v>
      </c>
      <c r="O263" t="s">
        <v>276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275</v>
      </c>
      <c r="AH263" t="s">
        <v>51</v>
      </c>
      <c r="AI263" t="s">
        <v>276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96.91</v>
      </c>
      <c r="AN263">
        <f>$H$263*$T$263</f>
        <v>96.91</v>
      </c>
      <c r="AO263">
        <f>$H$263*$U$263</f>
        <v>96.91</v>
      </c>
      <c r="AP263">
        <f>$H$263*$V$263</f>
        <v>96.91</v>
      </c>
      <c r="AQ263">
        <f>$H$263*$W$263</f>
        <v>96.91</v>
      </c>
      <c r="AR263">
        <f>$H$263*$X$263</f>
        <v>96.91</v>
      </c>
      <c r="AS263">
        <f>$H$263*$Y$263</f>
        <v>96.91</v>
      </c>
      <c r="AT263">
        <f>$H$263*$Z$263</f>
        <v>96.91</v>
      </c>
      <c r="AU263">
        <f>$H$263*$AA$263</f>
        <v>96.91</v>
      </c>
      <c r="AV263">
        <f>$H$263*$AB$263</f>
        <v>96.91</v>
      </c>
      <c r="AW263">
        <f>$H$263*$AC$263</f>
        <v>96.91</v>
      </c>
      <c r="AX263">
        <f>$H$263*$AD$263</f>
        <v>96.91</v>
      </c>
      <c r="AY263">
        <f>$H$263*$AE$263</f>
        <v>96.91</v>
      </c>
      <c r="AZ263">
        <f>$H$263*$AF$263</f>
        <v>96.91</v>
      </c>
    </row>
    <row r="264" spans="1:52" x14ac:dyDescent="0.25">
      <c r="A264">
        <v>309</v>
      </c>
      <c r="B264" t="s">
        <v>265</v>
      </c>
      <c r="C264" t="s">
        <v>380</v>
      </c>
      <c r="D264">
        <v>6</v>
      </c>
      <c r="E264">
        <v>79.62</v>
      </c>
      <c r="F264" t="s">
        <v>299</v>
      </c>
      <c r="G264">
        <v>13.27</v>
      </c>
      <c r="H264">
        <v>95.54</v>
      </c>
      <c r="I264" t="s">
        <v>301</v>
      </c>
      <c r="J264" t="s">
        <v>381</v>
      </c>
      <c r="K264" t="s">
        <v>545</v>
      </c>
      <c r="L264" t="s">
        <v>200</v>
      </c>
      <c r="M264" t="s">
        <v>265</v>
      </c>
      <c r="N264" t="s">
        <v>12</v>
      </c>
      <c r="O264" t="s">
        <v>14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265</v>
      </c>
      <c r="AH264" t="s">
        <v>12</v>
      </c>
      <c r="AI264" t="s">
        <v>14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0</v>
      </c>
      <c r="AQ264">
        <f>$H$264*$W$264</f>
        <v>0</v>
      </c>
      <c r="AR264">
        <f>$H$264*$X$264</f>
        <v>95.54</v>
      </c>
      <c r="AS264">
        <f>$H$264*$Y$264</f>
        <v>95.54</v>
      </c>
      <c r="AT264">
        <f>$H$264*$Z$264</f>
        <v>95.54</v>
      </c>
      <c r="AU264">
        <f>$H$264*$AA$264</f>
        <v>95.54</v>
      </c>
      <c r="AV264">
        <f>$H$264*$AB$264</f>
        <v>95.54</v>
      </c>
      <c r="AW264">
        <f>$H$264*$AC$264</f>
        <v>95.54</v>
      </c>
      <c r="AX264">
        <f>$H$264*$AD$264</f>
        <v>95.54</v>
      </c>
      <c r="AY264">
        <f>$H$264*$AE$264</f>
        <v>95.54</v>
      </c>
      <c r="AZ264">
        <f>$H$264*$AF$264</f>
        <v>95.54</v>
      </c>
    </row>
    <row r="265" spans="1:52" x14ac:dyDescent="0.25">
      <c r="A265">
        <v>310</v>
      </c>
      <c r="B265" t="s">
        <v>265</v>
      </c>
      <c r="C265" t="s">
        <v>462</v>
      </c>
      <c r="D265">
        <v>1</v>
      </c>
      <c r="E265">
        <v>48.06</v>
      </c>
      <c r="F265" t="s">
        <v>299</v>
      </c>
      <c r="G265">
        <v>48.06</v>
      </c>
      <c r="H265">
        <v>57.68</v>
      </c>
      <c r="I265" t="s">
        <v>304</v>
      </c>
      <c r="J265" t="s">
        <v>436</v>
      </c>
      <c r="K265" t="s">
        <v>586</v>
      </c>
      <c r="L265" t="s">
        <v>200</v>
      </c>
      <c r="M265" t="s">
        <v>265</v>
      </c>
      <c r="N265" t="s">
        <v>12</v>
      </c>
      <c r="O265" t="s">
        <v>14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1</v>
      </c>
      <c r="AE265">
        <v>1</v>
      </c>
      <c r="AF265">
        <v>1</v>
      </c>
      <c r="AG265" t="s">
        <v>265</v>
      </c>
      <c r="AH265" t="s">
        <v>12</v>
      </c>
      <c r="AI265" t="s">
        <v>14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0</v>
      </c>
      <c r="AO265">
        <f>$H$265*$U$265</f>
        <v>0</v>
      </c>
      <c r="AP265">
        <f>$H$265*$V$265</f>
        <v>0</v>
      </c>
      <c r="AQ265">
        <f>$H$265*$W$265</f>
        <v>0</v>
      </c>
      <c r="AR265">
        <f>$H$265*$X$265</f>
        <v>0</v>
      </c>
      <c r="AS265">
        <f>$H$265*$Y$265</f>
        <v>0</v>
      </c>
      <c r="AT265">
        <f>$H$265*$Z$265</f>
        <v>0</v>
      </c>
      <c r="AU265">
        <f>$H$265*$AA$265</f>
        <v>0</v>
      </c>
      <c r="AV265">
        <f>$H$265*$AB$265</f>
        <v>0</v>
      </c>
      <c r="AW265">
        <f>$H$265*$AC$265</f>
        <v>0</v>
      </c>
      <c r="AX265">
        <f>$H$265*$AD$265</f>
        <v>57.68</v>
      </c>
      <c r="AY265">
        <f>$H$265*$AE$265</f>
        <v>57.68</v>
      </c>
      <c r="AZ265">
        <f>$H$265*$AF$265</f>
        <v>57.68</v>
      </c>
    </row>
    <row r="266" spans="1:52" x14ac:dyDescent="0.25">
      <c r="A266">
        <v>311</v>
      </c>
      <c r="B266" t="s">
        <v>265</v>
      </c>
      <c r="C266" t="s">
        <v>324</v>
      </c>
      <c r="D266">
        <v>348</v>
      </c>
      <c r="E266">
        <v>341.04</v>
      </c>
      <c r="F266" t="s">
        <v>313</v>
      </c>
      <c r="G266">
        <v>0.98</v>
      </c>
      <c r="H266">
        <v>409.24</v>
      </c>
      <c r="I266" t="s">
        <v>295</v>
      </c>
      <c r="J266" t="s">
        <v>325</v>
      </c>
      <c r="K266" t="s">
        <v>518</v>
      </c>
      <c r="L266" t="s">
        <v>200</v>
      </c>
      <c r="M266" t="s">
        <v>265</v>
      </c>
      <c r="N266" t="s">
        <v>12</v>
      </c>
      <c r="O266" t="s">
        <v>14</v>
      </c>
      <c r="P266">
        <v>0</v>
      </c>
      <c r="Q266">
        <v>0</v>
      </c>
      <c r="R266">
        <v>0</v>
      </c>
      <c r="S266">
        <v>0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265</v>
      </c>
      <c r="AH266" t="s">
        <v>12</v>
      </c>
      <c r="AI266" t="s">
        <v>14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409.24</v>
      </c>
      <c r="AO266">
        <f>$H$266*$U$266</f>
        <v>409.24</v>
      </c>
      <c r="AP266">
        <f>$H$266*$V$266</f>
        <v>409.24</v>
      </c>
      <c r="AQ266">
        <f>$H$266*$W$266</f>
        <v>409.24</v>
      </c>
      <c r="AR266">
        <f>$H$266*$X$266</f>
        <v>409.24</v>
      </c>
      <c r="AS266">
        <f>$H$266*$Y$266</f>
        <v>409.24</v>
      </c>
      <c r="AT266">
        <f>$H$266*$Z$266</f>
        <v>409.24</v>
      </c>
      <c r="AU266">
        <f>$H$266*$AA$266</f>
        <v>409.24</v>
      </c>
      <c r="AV266">
        <f>$H$266*$AB$266</f>
        <v>409.24</v>
      </c>
      <c r="AW266">
        <f>$H$266*$AC$266</f>
        <v>409.24</v>
      </c>
      <c r="AX266">
        <f>$H$266*$AD$266</f>
        <v>409.24</v>
      </c>
      <c r="AY266">
        <f>$H$266*$AE$266</f>
        <v>409.24</v>
      </c>
      <c r="AZ266">
        <f>$H$266*$AF$266</f>
        <v>409.24</v>
      </c>
    </row>
    <row r="267" spans="1:52" x14ac:dyDescent="0.25">
      <c r="A267">
        <v>312</v>
      </c>
      <c r="B267" t="s">
        <v>265</v>
      </c>
      <c r="C267" t="s">
        <v>326</v>
      </c>
      <c r="D267">
        <v>348</v>
      </c>
      <c r="E267">
        <v>929.16</v>
      </c>
      <c r="F267" t="s">
        <v>313</v>
      </c>
      <c r="G267">
        <v>2.67</v>
      </c>
      <c r="H267">
        <v>1115</v>
      </c>
      <c r="I267" t="s">
        <v>327</v>
      </c>
      <c r="J267" t="s">
        <v>328</v>
      </c>
      <c r="K267" t="s">
        <v>519</v>
      </c>
      <c r="L267" t="s">
        <v>200</v>
      </c>
      <c r="M267" t="s">
        <v>265</v>
      </c>
      <c r="N267" t="s">
        <v>12</v>
      </c>
      <c r="O267" t="s">
        <v>14</v>
      </c>
      <c r="P267">
        <v>0</v>
      </c>
      <c r="Q267">
        <v>0</v>
      </c>
      <c r="R267">
        <v>0</v>
      </c>
      <c r="S267">
        <v>0.25</v>
      </c>
      <c r="T267">
        <v>0.25</v>
      </c>
      <c r="U267">
        <v>0.25</v>
      </c>
      <c r="V267">
        <v>0.25</v>
      </c>
      <c r="W267">
        <v>0.25</v>
      </c>
      <c r="X267">
        <v>0.5</v>
      </c>
      <c r="Y267">
        <v>0.5</v>
      </c>
      <c r="Z267">
        <v>0.5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265</v>
      </c>
      <c r="AH267" t="s">
        <v>12</v>
      </c>
      <c r="AI267" t="s">
        <v>14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278.75</v>
      </c>
      <c r="AN267">
        <f>$H$267*$T$267</f>
        <v>278.75</v>
      </c>
      <c r="AO267">
        <f>$H$267*$U$267</f>
        <v>278.75</v>
      </c>
      <c r="AP267">
        <f>$H$267*$V$267</f>
        <v>278.75</v>
      </c>
      <c r="AQ267">
        <f>$H$267*$W$267</f>
        <v>278.75</v>
      </c>
      <c r="AR267">
        <f>$H$267*$X$267</f>
        <v>557.5</v>
      </c>
      <c r="AS267">
        <f>$H$267*$Y$267</f>
        <v>557.5</v>
      </c>
      <c r="AT267">
        <f>$H$267*$Z$267</f>
        <v>557.5</v>
      </c>
      <c r="AU267">
        <f>$H$267*$AA$267</f>
        <v>1115</v>
      </c>
      <c r="AV267">
        <f>$H$267*$AB$267</f>
        <v>1115</v>
      </c>
      <c r="AW267">
        <f>$H$267*$AC$267</f>
        <v>1115</v>
      </c>
      <c r="AX267">
        <f>$H$267*$AD$267</f>
        <v>1115</v>
      </c>
      <c r="AY267">
        <f>$H$267*$AE$267</f>
        <v>1115</v>
      </c>
      <c r="AZ267">
        <f>$H$267*$AF$267</f>
        <v>1115</v>
      </c>
    </row>
    <row r="268" spans="1:52" x14ac:dyDescent="0.25">
      <c r="A268">
        <v>313</v>
      </c>
      <c r="B268" t="s">
        <v>265</v>
      </c>
      <c r="C268" t="s">
        <v>383</v>
      </c>
      <c r="D268">
        <v>43.5</v>
      </c>
      <c r="E268">
        <v>39.590000000000003</v>
      </c>
      <c r="F268" t="s">
        <v>294</v>
      </c>
      <c r="G268">
        <v>0.91</v>
      </c>
      <c r="H268">
        <v>47.51</v>
      </c>
      <c r="I268" t="s">
        <v>295</v>
      </c>
      <c r="J268" t="s">
        <v>384</v>
      </c>
      <c r="K268" t="s">
        <v>547</v>
      </c>
      <c r="L268" t="s">
        <v>200</v>
      </c>
      <c r="M268" t="s">
        <v>265</v>
      </c>
      <c r="N268" t="s">
        <v>12</v>
      </c>
      <c r="O268" t="s">
        <v>14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265</v>
      </c>
      <c r="AH268" t="s">
        <v>12</v>
      </c>
      <c r="AI268" t="s">
        <v>14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47.51</v>
      </c>
      <c r="AN268">
        <f>$H$268*$T$268</f>
        <v>47.51</v>
      </c>
      <c r="AO268">
        <f>$H$268*$U$268</f>
        <v>47.51</v>
      </c>
      <c r="AP268">
        <f>$H$268*$V$268</f>
        <v>47.51</v>
      </c>
      <c r="AQ268">
        <f>$H$268*$W$268</f>
        <v>47.51</v>
      </c>
      <c r="AR268">
        <f>$H$268*$X$268</f>
        <v>47.51</v>
      </c>
      <c r="AS268">
        <f>$H$268*$Y$268</f>
        <v>47.51</v>
      </c>
      <c r="AT268">
        <f>$H$268*$Z$268</f>
        <v>47.51</v>
      </c>
      <c r="AU268">
        <f>$H$268*$AA$268</f>
        <v>47.51</v>
      </c>
      <c r="AV268">
        <f>$H$268*$AB$268</f>
        <v>47.51</v>
      </c>
      <c r="AW268">
        <f>$H$268*$AC$268</f>
        <v>47.51</v>
      </c>
      <c r="AX268">
        <f>$H$268*$AD$268</f>
        <v>47.51</v>
      </c>
      <c r="AY268">
        <f>$H$268*$AE$268</f>
        <v>47.51</v>
      </c>
      <c r="AZ268">
        <f>$H$268*$AF$268</f>
        <v>47.51</v>
      </c>
    </row>
    <row r="269" spans="1:52" x14ac:dyDescent="0.25">
      <c r="A269">
        <v>314</v>
      </c>
      <c r="B269" t="s">
        <v>265</v>
      </c>
      <c r="C269" t="s">
        <v>385</v>
      </c>
      <c r="D269">
        <v>43.5</v>
      </c>
      <c r="E269">
        <v>222.72</v>
      </c>
      <c r="F269" t="s">
        <v>294</v>
      </c>
      <c r="G269">
        <v>5.12</v>
      </c>
      <c r="H269">
        <v>267.26</v>
      </c>
      <c r="I269" t="s">
        <v>298</v>
      </c>
      <c r="J269" t="s">
        <v>386</v>
      </c>
      <c r="K269" t="s">
        <v>548</v>
      </c>
      <c r="L269" t="s">
        <v>200</v>
      </c>
      <c r="M269" t="s">
        <v>265</v>
      </c>
      <c r="N269" t="s">
        <v>12</v>
      </c>
      <c r="O269" t="s">
        <v>14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265</v>
      </c>
      <c r="AH269" t="s">
        <v>12</v>
      </c>
      <c r="AI269" t="s">
        <v>14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267.26</v>
      </c>
      <c r="AN269">
        <f>$H$269*$T$269</f>
        <v>267.26</v>
      </c>
      <c r="AO269">
        <f>$H$269*$U$269</f>
        <v>267.26</v>
      </c>
      <c r="AP269">
        <f>$H$269*$V$269</f>
        <v>267.26</v>
      </c>
      <c r="AQ269">
        <f>$H$269*$W$269</f>
        <v>267.26</v>
      </c>
      <c r="AR269">
        <f>$H$269*$X$269</f>
        <v>267.26</v>
      </c>
      <c r="AS269">
        <f>$H$269*$Y$269</f>
        <v>267.26</v>
      </c>
      <c r="AT269">
        <f>$H$269*$Z$269</f>
        <v>267.26</v>
      </c>
      <c r="AU269">
        <f>$H$269*$AA$269</f>
        <v>267.26</v>
      </c>
      <c r="AV269">
        <f>$H$269*$AB$269</f>
        <v>267.26</v>
      </c>
      <c r="AW269">
        <f>$H$269*$AC$269</f>
        <v>267.26</v>
      </c>
      <c r="AX269">
        <f>$H$269*$AD$269</f>
        <v>267.26</v>
      </c>
      <c r="AY269">
        <f>$H$269*$AE$269</f>
        <v>267.26</v>
      </c>
      <c r="AZ269">
        <f>$H$269*$AF$269</f>
        <v>267.26</v>
      </c>
    </row>
    <row r="270" spans="1:52" x14ac:dyDescent="0.25">
      <c r="A270">
        <v>315</v>
      </c>
      <c r="B270" t="s">
        <v>265</v>
      </c>
      <c r="C270" t="s">
        <v>326</v>
      </c>
      <c r="D270">
        <v>115.06</v>
      </c>
      <c r="E270">
        <v>307.20999999999998</v>
      </c>
      <c r="F270" t="s">
        <v>313</v>
      </c>
      <c r="G270">
        <v>2.67</v>
      </c>
      <c r="H270">
        <v>368.65</v>
      </c>
      <c r="I270" t="s">
        <v>327</v>
      </c>
      <c r="J270" t="s">
        <v>328</v>
      </c>
      <c r="K270" t="s">
        <v>519</v>
      </c>
      <c r="L270" t="s">
        <v>200</v>
      </c>
      <c r="M270" t="s">
        <v>265</v>
      </c>
      <c r="N270" t="s">
        <v>12</v>
      </c>
      <c r="O270" t="s">
        <v>14</v>
      </c>
      <c r="P270">
        <v>0</v>
      </c>
      <c r="Q270">
        <v>0</v>
      </c>
      <c r="R270">
        <v>0</v>
      </c>
      <c r="S270">
        <v>0.25</v>
      </c>
      <c r="T270">
        <v>0.25</v>
      </c>
      <c r="U270">
        <v>0.25</v>
      </c>
      <c r="V270">
        <v>0.25</v>
      </c>
      <c r="W270">
        <v>0.25</v>
      </c>
      <c r="X270">
        <v>0.5</v>
      </c>
      <c r="Y270">
        <v>0.5</v>
      </c>
      <c r="Z270">
        <v>0.5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265</v>
      </c>
      <c r="AH270" t="s">
        <v>12</v>
      </c>
      <c r="AI270" t="s">
        <v>14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92.162499999999994</v>
      </c>
      <c r="AN270">
        <f>$H$270*$T$270</f>
        <v>92.162499999999994</v>
      </c>
      <c r="AO270">
        <f>$H$270*$U$270</f>
        <v>92.162499999999994</v>
      </c>
      <c r="AP270">
        <f>$H$270*$V$270</f>
        <v>92.162499999999994</v>
      </c>
      <c r="AQ270">
        <f>$H$270*$W$270</f>
        <v>92.162499999999994</v>
      </c>
      <c r="AR270">
        <f>$H$270*$X$270</f>
        <v>184.32499999999999</v>
      </c>
      <c r="AS270">
        <f>$H$270*$Y$270</f>
        <v>184.32499999999999</v>
      </c>
      <c r="AT270">
        <f>$H$270*$Z$270</f>
        <v>184.32499999999999</v>
      </c>
      <c r="AU270">
        <f>$H$270*$AA$270</f>
        <v>368.65</v>
      </c>
      <c r="AV270">
        <f>$H$270*$AB$270</f>
        <v>368.65</v>
      </c>
      <c r="AW270">
        <f>$H$270*$AC$270</f>
        <v>368.65</v>
      </c>
      <c r="AX270">
        <f>$H$270*$AD$270</f>
        <v>368.65</v>
      </c>
      <c r="AY270">
        <f>$H$270*$AE$270</f>
        <v>368.65</v>
      </c>
      <c r="AZ270">
        <f>$H$270*$AF$270</f>
        <v>368.65</v>
      </c>
    </row>
    <row r="271" spans="1:52" x14ac:dyDescent="0.25">
      <c r="A271">
        <v>316</v>
      </c>
      <c r="B271" t="s">
        <v>265</v>
      </c>
      <c r="C271" t="s">
        <v>387</v>
      </c>
      <c r="D271">
        <v>115.06</v>
      </c>
      <c r="E271">
        <v>72.489999999999995</v>
      </c>
      <c r="F271" t="s">
        <v>313</v>
      </c>
      <c r="G271">
        <v>0.63</v>
      </c>
      <c r="H271">
        <v>86.99</v>
      </c>
      <c r="I271" t="s">
        <v>295</v>
      </c>
      <c r="J271" t="s">
        <v>388</v>
      </c>
      <c r="K271" t="s">
        <v>549</v>
      </c>
      <c r="L271" t="s">
        <v>200</v>
      </c>
      <c r="M271" t="s">
        <v>265</v>
      </c>
      <c r="N271" t="s">
        <v>12</v>
      </c>
      <c r="O271" t="s">
        <v>14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1</v>
      </c>
      <c r="AE271">
        <v>1</v>
      </c>
      <c r="AF271">
        <v>1</v>
      </c>
      <c r="AG271" t="s">
        <v>265</v>
      </c>
      <c r="AH271" t="s">
        <v>12</v>
      </c>
      <c r="AI271" t="s">
        <v>14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0</v>
      </c>
      <c r="AS271">
        <f>$H$271*$Y$271</f>
        <v>0</v>
      </c>
      <c r="AT271">
        <f>$H$271*$Z$271</f>
        <v>0</v>
      </c>
      <c r="AU271">
        <f>$H$271*$AA$271</f>
        <v>0</v>
      </c>
      <c r="AV271">
        <f>$H$271*$AB$271</f>
        <v>0</v>
      </c>
      <c r="AW271">
        <f>$H$271*$AC$271</f>
        <v>0</v>
      </c>
      <c r="AX271">
        <f>$H$271*$AD$271</f>
        <v>86.99</v>
      </c>
      <c r="AY271">
        <f>$H$271*$AE$271</f>
        <v>86.99</v>
      </c>
      <c r="AZ271">
        <f>$H$271*$AF$271</f>
        <v>86.99</v>
      </c>
    </row>
    <row r="272" spans="1:52" x14ac:dyDescent="0.25">
      <c r="A272">
        <v>317</v>
      </c>
      <c r="B272" t="s">
        <v>265</v>
      </c>
      <c r="C272" t="s">
        <v>389</v>
      </c>
      <c r="D272">
        <v>115.06</v>
      </c>
      <c r="E272">
        <v>79.39</v>
      </c>
      <c r="F272" t="s">
        <v>313</v>
      </c>
      <c r="G272">
        <v>0.69</v>
      </c>
      <c r="H272">
        <v>95.27</v>
      </c>
      <c r="I272" t="s">
        <v>295</v>
      </c>
      <c r="J272" t="s">
        <v>390</v>
      </c>
      <c r="K272" t="s">
        <v>550</v>
      </c>
      <c r="L272" t="s">
        <v>200</v>
      </c>
      <c r="M272" t="s">
        <v>265</v>
      </c>
      <c r="N272" t="s">
        <v>12</v>
      </c>
      <c r="O272" t="s">
        <v>14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265</v>
      </c>
      <c r="AH272" t="s">
        <v>12</v>
      </c>
      <c r="AI272" t="s">
        <v>14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95.27</v>
      </c>
      <c r="AN272">
        <f>$H$272*$T$272</f>
        <v>95.27</v>
      </c>
      <c r="AO272">
        <f>$H$272*$U$272</f>
        <v>95.27</v>
      </c>
      <c r="AP272">
        <f>$H$272*$V$272</f>
        <v>95.27</v>
      </c>
      <c r="AQ272">
        <f>$H$272*$W$272</f>
        <v>95.27</v>
      </c>
      <c r="AR272">
        <f>$H$272*$X$272</f>
        <v>95.27</v>
      </c>
      <c r="AS272">
        <f>$H$272*$Y$272</f>
        <v>95.27</v>
      </c>
      <c r="AT272">
        <f>$H$272*$Z$272</f>
        <v>95.27</v>
      </c>
      <c r="AU272">
        <f>$H$272*$AA$272</f>
        <v>95.27</v>
      </c>
      <c r="AV272">
        <f>$H$272*$AB$272</f>
        <v>95.27</v>
      </c>
      <c r="AW272">
        <f>$H$272*$AC$272</f>
        <v>95.27</v>
      </c>
      <c r="AX272">
        <f>$H$272*$AD$272</f>
        <v>95.27</v>
      </c>
      <c r="AY272">
        <f>$H$272*$AE$272</f>
        <v>95.27</v>
      </c>
      <c r="AZ272">
        <f>$H$272*$AF$272</f>
        <v>95.27</v>
      </c>
    </row>
    <row r="273" spans="1:52" x14ac:dyDescent="0.25">
      <c r="A273">
        <v>318</v>
      </c>
      <c r="B273" t="s">
        <v>265</v>
      </c>
      <c r="C273" t="s">
        <v>391</v>
      </c>
      <c r="D273">
        <v>24.16</v>
      </c>
      <c r="E273">
        <v>137.47</v>
      </c>
      <c r="F273" t="s">
        <v>313</v>
      </c>
      <c r="G273">
        <v>5.69</v>
      </c>
      <c r="H273">
        <v>164.97</v>
      </c>
      <c r="I273" t="s">
        <v>392</v>
      </c>
      <c r="J273" t="s">
        <v>393</v>
      </c>
      <c r="K273" t="s">
        <v>551</v>
      </c>
      <c r="L273" t="s">
        <v>200</v>
      </c>
      <c r="M273" t="s">
        <v>265</v>
      </c>
      <c r="N273" t="s">
        <v>12</v>
      </c>
      <c r="O273" t="s">
        <v>14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265</v>
      </c>
      <c r="AH273" t="s">
        <v>12</v>
      </c>
      <c r="AI273" t="s">
        <v>14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164.97</v>
      </c>
      <c r="AN273">
        <f>$H$273*$T$273</f>
        <v>164.97</v>
      </c>
      <c r="AO273">
        <f>$H$273*$U$273</f>
        <v>164.97</v>
      </c>
      <c r="AP273">
        <f>$H$273*$V$273</f>
        <v>164.97</v>
      </c>
      <c r="AQ273">
        <f>$H$273*$W$273</f>
        <v>164.97</v>
      </c>
      <c r="AR273">
        <f>$H$273*$X$273</f>
        <v>164.97</v>
      </c>
      <c r="AS273">
        <f>$H$273*$Y$273</f>
        <v>164.97</v>
      </c>
      <c r="AT273">
        <f>$H$273*$Z$273</f>
        <v>164.97</v>
      </c>
      <c r="AU273">
        <f>$H$273*$AA$273</f>
        <v>164.97</v>
      </c>
      <c r="AV273">
        <f>$H$273*$AB$273</f>
        <v>164.97</v>
      </c>
      <c r="AW273">
        <f>$H$273*$AC$273</f>
        <v>164.97</v>
      </c>
      <c r="AX273">
        <f>$H$273*$AD$273</f>
        <v>164.97</v>
      </c>
      <c r="AY273">
        <f>$H$273*$AE$273</f>
        <v>164.97</v>
      </c>
      <c r="AZ273">
        <f>$H$273*$AF$273</f>
        <v>164.97</v>
      </c>
    </row>
    <row r="274" spans="1:52" x14ac:dyDescent="0.25">
      <c r="A274">
        <v>319</v>
      </c>
      <c r="B274" t="s">
        <v>265</v>
      </c>
      <c r="C274" t="s">
        <v>394</v>
      </c>
      <c r="D274">
        <v>26.46</v>
      </c>
      <c r="E274">
        <v>156.63999999999999</v>
      </c>
      <c r="F274" t="s">
        <v>313</v>
      </c>
      <c r="G274">
        <v>5.92</v>
      </c>
      <c r="H274">
        <v>187.96</v>
      </c>
      <c r="I274" t="s">
        <v>392</v>
      </c>
      <c r="J274" t="s">
        <v>334</v>
      </c>
      <c r="K274" t="s">
        <v>552</v>
      </c>
      <c r="L274" t="s">
        <v>200</v>
      </c>
      <c r="M274" t="s">
        <v>265</v>
      </c>
      <c r="N274" t="s">
        <v>12</v>
      </c>
      <c r="O274" t="s">
        <v>14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265</v>
      </c>
      <c r="AH274" t="s">
        <v>12</v>
      </c>
      <c r="AI274" t="s">
        <v>14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187.96</v>
      </c>
      <c r="AN274">
        <f>$H$274*$T$274</f>
        <v>187.96</v>
      </c>
      <c r="AO274">
        <f>$H$274*$U$274</f>
        <v>187.96</v>
      </c>
      <c r="AP274">
        <f>$H$274*$V$274</f>
        <v>187.96</v>
      </c>
      <c r="AQ274">
        <f>$H$274*$W$274</f>
        <v>187.96</v>
      </c>
      <c r="AR274">
        <f>$H$274*$X$274</f>
        <v>187.96</v>
      </c>
      <c r="AS274">
        <f>$H$274*$Y$274</f>
        <v>187.96</v>
      </c>
      <c r="AT274">
        <f>$H$274*$Z$274</f>
        <v>187.96</v>
      </c>
      <c r="AU274">
        <f>$H$274*$AA$274</f>
        <v>187.96</v>
      </c>
      <c r="AV274">
        <f>$H$274*$AB$274</f>
        <v>187.96</v>
      </c>
      <c r="AW274">
        <f>$H$274*$AC$274</f>
        <v>187.96</v>
      </c>
      <c r="AX274">
        <f>$H$274*$AD$274</f>
        <v>187.96</v>
      </c>
      <c r="AY274">
        <f>$H$274*$AE$274</f>
        <v>187.96</v>
      </c>
      <c r="AZ274">
        <f>$H$274*$AF$274</f>
        <v>187.96</v>
      </c>
    </row>
    <row r="275" spans="1:52" x14ac:dyDescent="0.25">
      <c r="A275">
        <v>320</v>
      </c>
      <c r="B275" t="s">
        <v>265</v>
      </c>
      <c r="C275" t="s">
        <v>395</v>
      </c>
      <c r="D275">
        <v>24.61</v>
      </c>
      <c r="E275">
        <v>134.37</v>
      </c>
      <c r="F275" t="s">
        <v>313</v>
      </c>
      <c r="G275">
        <v>5.46</v>
      </c>
      <c r="H275">
        <v>161.25</v>
      </c>
      <c r="I275" t="s">
        <v>396</v>
      </c>
      <c r="J275" t="s">
        <v>397</v>
      </c>
      <c r="K275" t="s">
        <v>553</v>
      </c>
      <c r="L275" t="s">
        <v>200</v>
      </c>
      <c r="M275" t="s">
        <v>265</v>
      </c>
      <c r="N275" t="s">
        <v>12</v>
      </c>
      <c r="O275" t="s">
        <v>14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265</v>
      </c>
      <c r="AH275" t="s">
        <v>12</v>
      </c>
      <c r="AI275" t="s">
        <v>14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161.25</v>
      </c>
      <c r="AN275">
        <f>$H$275*$T$275</f>
        <v>161.25</v>
      </c>
      <c r="AO275">
        <f>$H$275*$U$275</f>
        <v>161.25</v>
      </c>
      <c r="AP275">
        <f>$H$275*$V$275</f>
        <v>161.25</v>
      </c>
      <c r="AQ275">
        <f>$H$275*$W$275</f>
        <v>161.25</v>
      </c>
      <c r="AR275">
        <f>$H$275*$X$275</f>
        <v>161.25</v>
      </c>
      <c r="AS275">
        <f>$H$275*$Y$275</f>
        <v>161.25</v>
      </c>
      <c r="AT275">
        <f>$H$275*$Z$275</f>
        <v>161.25</v>
      </c>
      <c r="AU275">
        <f>$H$275*$AA$275</f>
        <v>161.25</v>
      </c>
      <c r="AV275">
        <f>$H$275*$AB$275</f>
        <v>161.25</v>
      </c>
      <c r="AW275">
        <f>$H$275*$AC$275</f>
        <v>161.25</v>
      </c>
      <c r="AX275">
        <f>$H$275*$AD$275</f>
        <v>161.25</v>
      </c>
      <c r="AY275">
        <f>$H$275*$AE$275</f>
        <v>161.25</v>
      </c>
      <c r="AZ275">
        <f>$H$275*$AF$275</f>
        <v>161.25</v>
      </c>
    </row>
    <row r="276" spans="1:52" x14ac:dyDescent="0.25">
      <c r="A276">
        <v>321</v>
      </c>
      <c r="B276" t="s">
        <v>265</v>
      </c>
      <c r="C276" t="s">
        <v>398</v>
      </c>
      <c r="D276">
        <v>24.61</v>
      </c>
      <c r="E276">
        <v>88.1</v>
      </c>
      <c r="F276" t="s">
        <v>313</v>
      </c>
      <c r="G276">
        <v>3.58</v>
      </c>
      <c r="H276">
        <v>105.72</v>
      </c>
      <c r="I276" t="s">
        <v>396</v>
      </c>
      <c r="J276" t="s">
        <v>399</v>
      </c>
      <c r="K276" t="s">
        <v>554</v>
      </c>
      <c r="L276" t="s">
        <v>200</v>
      </c>
      <c r="M276" t="s">
        <v>265</v>
      </c>
      <c r="N276" t="s">
        <v>12</v>
      </c>
      <c r="O276" t="s">
        <v>14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265</v>
      </c>
      <c r="AH276" t="s">
        <v>12</v>
      </c>
      <c r="AI276" t="s">
        <v>14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105.72</v>
      </c>
      <c r="AN276">
        <f>$H$276*$T$276</f>
        <v>105.72</v>
      </c>
      <c r="AO276">
        <f>$H$276*$U$276</f>
        <v>105.72</v>
      </c>
      <c r="AP276">
        <f>$H$276*$V$276</f>
        <v>105.72</v>
      </c>
      <c r="AQ276">
        <f>$H$276*$W$276</f>
        <v>105.72</v>
      </c>
      <c r="AR276">
        <f>$H$276*$X$276</f>
        <v>105.72</v>
      </c>
      <c r="AS276">
        <f>$H$276*$Y$276</f>
        <v>105.72</v>
      </c>
      <c r="AT276">
        <f>$H$276*$Z$276</f>
        <v>105.72</v>
      </c>
      <c r="AU276">
        <f>$H$276*$AA$276</f>
        <v>105.72</v>
      </c>
      <c r="AV276">
        <f>$H$276*$AB$276</f>
        <v>105.72</v>
      </c>
      <c r="AW276">
        <f>$H$276*$AC$276</f>
        <v>105.72</v>
      </c>
      <c r="AX276">
        <f>$H$276*$AD$276</f>
        <v>105.72</v>
      </c>
      <c r="AY276">
        <f>$H$276*$AE$276</f>
        <v>105.72</v>
      </c>
      <c r="AZ276">
        <f>$H$276*$AF$276</f>
        <v>105.72</v>
      </c>
    </row>
    <row r="277" spans="1:52" x14ac:dyDescent="0.25">
      <c r="A277">
        <v>322</v>
      </c>
      <c r="B277" t="s">
        <v>265</v>
      </c>
      <c r="C277" t="s">
        <v>400</v>
      </c>
      <c r="D277">
        <v>24.61</v>
      </c>
      <c r="E277">
        <v>214.11</v>
      </c>
      <c r="F277" t="s">
        <v>313</v>
      </c>
      <c r="G277">
        <v>8.6999999999999993</v>
      </c>
      <c r="H277">
        <v>256.93</v>
      </c>
      <c r="I277" t="s">
        <v>396</v>
      </c>
      <c r="J277" t="s">
        <v>334</v>
      </c>
      <c r="K277" t="s">
        <v>555</v>
      </c>
      <c r="L277" t="s">
        <v>200</v>
      </c>
      <c r="M277" t="s">
        <v>265</v>
      </c>
      <c r="N277" t="s">
        <v>12</v>
      </c>
      <c r="O277" t="s">
        <v>14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265</v>
      </c>
      <c r="AH277" t="s">
        <v>12</v>
      </c>
      <c r="AI277" t="s">
        <v>14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256.93</v>
      </c>
      <c r="AN277">
        <f>$H$277*$T$277</f>
        <v>256.93</v>
      </c>
      <c r="AO277">
        <f>$H$277*$U$277</f>
        <v>256.93</v>
      </c>
      <c r="AP277">
        <f>$H$277*$V$277</f>
        <v>256.93</v>
      </c>
      <c r="AQ277">
        <f>$H$277*$W$277</f>
        <v>256.93</v>
      </c>
      <c r="AR277">
        <f>$H$277*$X$277</f>
        <v>256.93</v>
      </c>
      <c r="AS277">
        <f>$H$277*$Y$277</f>
        <v>256.93</v>
      </c>
      <c r="AT277">
        <f>$H$277*$Z$277</f>
        <v>256.93</v>
      </c>
      <c r="AU277">
        <f>$H$277*$AA$277</f>
        <v>256.93</v>
      </c>
      <c r="AV277">
        <f>$H$277*$AB$277</f>
        <v>256.93</v>
      </c>
      <c r="AW277">
        <f>$H$277*$AC$277</f>
        <v>256.93</v>
      </c>
      <c r="AX277">
        <f>$H$277*$AD$277</f>
        <v>256.93</v>
      </c>
      <c r="AY277">
        <f>$H$277*$AE$277</f>
        <v>256.93</v>
      </c>
      <c r="AZ277">
        <f>$H$277*$AF$277</f>
        <v>256.93</v>
      </c>
    </row>
    <row r="278" spans="1:52" x14ac:dyDescent="0.25">
      <c r="A278">
        <v>323</v>
      </c>
      <c r="B278" t="s">
        <v>265</v>
      </c>
      <c r="C278" t="s">
        <v>401</v>
      </c>
      <c r="D278">
        <v>26.46</v>
      </c>
      <c r="E278">
        <v>20.9</v>
      </c>
      <c r="F278" t="s">
        <v>313</v>
      </c>
      <c r="G278">
        <v>0.79</v>
      </c>
      <c r="H278">
        <v>25.08</v>
      </c>
      <c r="I278" t="s">
        <v>339</v>
      </c>
      <c r="J278" t="s">
        <v>402</v>
      </c>
      <c r="K278" t="s">
        <v>556</v>
      </c>
      <c r="L278" t="s">
        <v>200</v>
      </c>
      <c r="M278" t="s">
        <v>265</v>
      </c>
      <c r="N278" t="s">
        <v>12</v>
      </c>
      <c r="O278" t="s">
        <v>14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265</v>
      </c>
      <c r="AH278" t="s">
        <v>12</v>
      </c>
      <c r="AI278" t="s">
        <v>14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25.08</v>
      </c>
      <c r="AN278">
        <f>$H$278*$T$278</f>
        <v>25.08</v>
      </c>
      <c r="AO278">
        <f>$H$278*$U$278</f>
        <v>25.08</v>
      </c>
      <c r="AP278">
        <f>$H$278*$V$278</f>
        <v>25.08</v>
      </c>
      <c r="AQ278">
        <f>$H$278*$W$278</f>
        <v>25.08</v>
      </c>
      <c r="AR278">
        <f>$H$278*$X$278</f>
        <v>25.08</v>
      </c>
      <c r="AS278">
        <f>$H$278*$Y$278</f>
        <v>25.08</v>
      </c>
      <c r="AT278">
        <f>$H$278*$Z$278</f>
        <v>25.08</v>
      </c>
      <c r="AU278">
        <f>$H$278*$AA$278</f>
        <v>25.08</v>
      </c>
      <c r="AV278">
        <f>$H$278*$AB$278</f>
        <v>25.08</v>
      </c>
      <c r="AW278">
        <f>$H$278*$AC$278</f>
        <v>25.08</v>
      </c>
      <c r="AX278">
        <f>$H$278*$AD$278</f>
        <v>25.08</v>
      </c>
      <c r="AY278">
        <f>$H$278*$AE$278</f>
        <v>25.08</v>
      </c>
      <c r="AZ278">
        <f>$H$278*$AF$278</f>
        <v>25.08</v>
      </c>
    </row>
    <row r="279" spans="1:52" x14ac:dyDescent="0.25">
      <c r="A279">
        <v>324</v>
      </c>
      <c r="B279" t="s">
        <v>265</v>
      </c>
      <c r="C279" t="s">
        <v>403</v>
      </c>
      <c r="D279">
        <v>26.46</v>
      </c>
      <c r="E279">
        <v>141.03</v>
      </c>
      <c r="F279" t="s">
        <v>313</v>
      </c>
      <c r="G279">
        <v>5.33</v>
      </c>
      <c r="H279">
        <v>169.23</v>
      </c>
      <c r="I279" t="s">
        <v>339</v>
      </c>
      <c r="J279" t="s">
        <v>334</v>
      </c>
      <c r="K279" t="s">
        <v>557</v>
      </c>
      <c r="L279" t="s">
        <v>200</v>
      </c>
      <c r="M279" t="s">
        <v>265</v>
      </c>
      <c r="N279" t="s">
        <v>12</v>
      </c>
      <c r="O279" t="s">
        <v>14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265</v>
      </c>
      <c r="AH279" t="s">
        <v>12</v>
      </c>
      <c r="AI279" t="s">
        <v>14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169.23</v>
      </c>
      <c r="AN279">
        <f>$H$279*$T$279</f>
        <v>169.23</v>
      </c>
      <c r="AO279">
        <f>$H$279*$U$279</f>
        <v>169.23</v>
      </c>
      <c r="AP279">
        <f>$H$279*$V$279</f>
        <v>169.23</v>
      </c>
      <c r="AQ279">
        <f>$H$279*$W$279</f>
        <v>169.23</v>
      </c>
      <c r="AR279">
        <f>$H$279*$X$279</f>
        <v>169.23</v>
      </c>
      <c r="AS279">
        <f>$H$279*$Y$279</f>
        <v>169.23</v>
      </c>
      <c r="AT279">
        <f>$H$279*$Z$279</f>
        <v>169.23</v>
      </c>
      <c r="AU279">
        <f>$H$279*$AA$279</f>
        <v>169.23</v>
      </c>
      <c r="AV279">
        <f>$H$279*$AB$279</f>
        <v>169.23</v>
      </c>
      <c r="AW279">
        <f>$H$279*$AC$279</f>
        <v>169.23</v>
      </c>
      <c r="AX279">
        <f>$H$279*$AD$279</f>
        <v>169.23</v>
      </c>
      <c r="AY279">
        <f>$H$279*$AE$279</f>
        <v>169.23</v>
      </c>
      <c r="AZ279">
        <f>$H$279*$AF$279</f>
        <v>169.23</v>
      </c>
    </row>
    <row r="280" spans="1:52" x14ac:dyDescent="0.25">
      <c r="A280">
        <v>325</v>
      </c>
      <c r="B280" t="s">
        <v>261</v>
      </c>
      <c r="C280" t="s">
        <v>465</v>
      </c>
      <c r="D280">
        <v>1</v>
      </c>
      <c r="E280">
        <v>39.700000000000003</v>
      </c>
      <c r="F280" t="s">
        <v>299</v>
      </c>
      <c r="G280">
        <v>39.700000000000003</v>
      </c>
      <c r="H280">
        <v>47.64</v>
      </c>
      <c r="I280" t="s">
        <v>301</v>
      </c>
      <c r="J280" t="s">
        <v>466</v>
      </c>
      <c r="K280" t="s">
        <v>588</v>
      </c>
      <c r="L280" t="s">
        <v>200</v>
      </c>
      <c r="M280" t="s">
        <v>261</v>
      </c>
      <c r="N280" t="s">
        <v>51</v>
      </c>
      <c r="O280" t="s">
        <v>4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1</v>
      </c>
      <c r="AE280">
        <v>1</v>
      </c>
      <c r="AF280">
        <v>1</v>
      </c>
      <c r="AG280" t="s">
        <v>261</v>
      </c>
      <c r="AH280" t="s">
        <v>51</v>
      </c>
      <c r="AI280" t="s">
        <v>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0</v>
      </c>
      <c r="AV280">
        <f>$H$280*$AB$280</f>
        <v>0</v>
      </c>
      <c r="AW280">
        <f>$H$280*$AC$280</f>
        <v>0</v>
      </c>
      <c r="AX280">
        <f>$H$280*$AD$280</f>
        <v>47.64</v>
      </c>
      <c r="AY280">
        <f>$H$280*$AE$280</f>
        <v>47.64</v>
      </c>
      <c r="AZ280">
        <f>$H$280*$AF$280</f>
        <v>47.64</v>
      </c>
    </row>
    <row r="281" spans="1:52" x14ac:dyDescent="0.25">
      <c r="A281">
        <v>326</v>
      </c>
      <c r="B281" t="s">
        <v>261</v>
      </c>
      <c r="C281" t="s">
        <v>320</v>
      </c>
      <c r="D281">
        <v>4</v>
      </c>
      <c r="E281">
        <v>17.760000000000002</v>
      </c>
      <c r="F281" t="s">
        <v>294</v>
      </c>
      <c r="G281">
        <v>4.4400000000000004</v>
      </c>
      <c r="H281">
        <v>21.32</v>
      </c>
      <c r="I281" t="s">
        <v>295</v>
      </c>
      <c r="J281" t="s">
        <v>321</v>
      </c>
      <c r="K281" t="s">
        <v>516</v>
      </c>
      <c r="L281" t="s">
        <v>200</v>
      </c>
      <c r="M281" t="s">
        <v>261</v>
      </c>
      <c r="N281" t="s">
        <v>51</v>
      </c>
      <c r="O281" t="s">
        <v>4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261</v>
      </c>
      <c r="AH281" t="s">
        <v>51</v>
      </c>
      <c r="AI281" t="s">
        <v>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0</v>
      </c>
      <c r="AT281">
        <f>$H$281*$Z$281</f>
        <v>0</v>
      </c>
      <c r="AU281">
        <f>$H$281*$AA$281</f>
        <v>21.32</v>
      </c>
      <c r="AV281">
        <f>$H$281*$AB$281</f>
        <v>21.32</v>
      </c>
      <c r="AW281">
        <f>$H$281*$AC$281</f>
        <v>21.32</v>
      </c>
      <c r="AX281">
        <f>$H$281*$AD$281</f>
        <v>21.32</v>
      </c>
      <c r="AY281">
        <f>$H$281*$AE$281</f>
        <v>21.32</v>
      </c>
      <c r="AZ281">
        <f>$H$281*$AF$281</f>
        <v>21.32</v>
      </c>
    </row>
    <row r="282" spans="1:52" x14ac:dyDescent="0.25">
      <c r="A282">
        <v>327</v>
      </c>
      <c r="B282" t="s">
        <v>261</v>
      </c>
      <c r="C282" t="s">
        <v>322</v>
      </c>
      <c r="D282">
        <v>4</v>
      </c>
      <c r="E282">
        <v>46.2</v>
      </c>
      <c r="F282" t="s">
        <v>294</v>
      </c>
      <c r="G282">
        <v>11.55</v>
      </c>
      <c r="H282">
        <v>55.44</v>
      </c>
      <c r="I282" t="s">
        <v>298</v>
      </c>
      <c r="J282" t="s">
        <v>323</v>
      </c>
      <c r="K282" t="s">
        <v>517</v>
      </c>
      <c r="L282" t="s">
        <v>200</v>
      </c>
      <c r="M282" t="s">
        <v>261</v>
      </c>
      <c r="N282" t="s">
        <v>51</v>
      </c>
      <c r="O282" t="s">
        <v>4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261</v>
      </c>
      <c r="AH282" t="s">
        <v>51</v>
      </c>
      <c r="AI282" t="s">
        <v>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0</v>
      </c>
      <c r="AO282">
        <f>$H$282*$U$282</f>
        <v>0</v>
      </c>
      <c r="AP282">
        <f>$H$282*$V$282</f>
        <v>0</v>
      </c>
      <c r="AQ282">
        <f>$H$282*$W$282</f>
        <v>0</v>
      </c>
      <c r="AR282">
        <f>$H$282*$X$282</f>
        <v>0</v>
      </c>
      <c r="AS282">
        <f>$H$282*$Y$282</f>
        <v>0</v>
      </c>
      <c r="AT282">
        <f>$H$282*$Z$282</f>
        <v>0</v>
      </c>
      <c r="AU282">
        <f>$H$282*$AA$282</f>
        <v>55.44</v>
      </c>
      <c r="AV282">
        <f>$H$282*$AB$282</f>
        <v>55.44</v>
      </c>
      <c r="AW282">
        <f>$H$282*$AC$282</f>
        <v>55.44</v>
      </c>
      <c r="AX282">
        <f>$H$282*$AD$282</f>
        <v>55.44</v>
      </c>
      <c r="AY282">
        <f>$H$282*$AE$282</f>
        <v>55.44</v>
      </c>
      <c r="AZ282">
        <f>$H$282*$AF$282</f>
        <v>55.44</v>
      </c>
    </row>
    <row r="283" spans="1:52" x14ac:dyDescent="0.25">
      <c r="A283">
        <v>328</v>
      </c>
      <c r="B283" t="s">
        <v>261</v>
      </c>
      <c r="C283" t="s">
        <v>374</v>
      </c>
      <c r="D283">
        <v>4</v>
      </c>
      <c r="E283">
        <v>19</v>
      </c>
      <c r="F283" t="s">
        <v>294</v>
      </c>
      <c r="G283">
        <v>4.75</v>
      </c>
      <c r="H283">
        <v>22.8</v>
      </c>
      <c r="I283" t="s">
        <v>298</v>
      </c>
      <c r="J283" t="s">
        <v>375</v>
      </c>
      <c r="K283" t="s">
        <v>542</v>
      </c>
      <c r="L283" t="s">
        <v>200</v>
      </c>
      <c r="M283" t="s">
        <v>261</v>
      </c>
      <c r="N283" t="s">
        <v>51</v>
      </c>
      <c r="O283" t="s">
        <v>4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1</v>
      </c>
      <c r="AD283">
        <v>1</v>
      </c>
      <c r="AE283">
        <v>1</v>
      </c>
      <c r="AF283">
        <v>1</v>
      </c>
      <c r="AG283" t="s">
        <v>261</v>
      </c>
      <c r="AH283" t="s">
        <v>51</v>
      </c>
      <c r="AI283" t="s">
        <v>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0</v>
      </c>
      <c r="AO283">
        <f>$H$283*$U$283</f>
        <v>0</v>
      </c>
      <c r="AP283">
        <f>$H$283*$V$283</f>
        <v>0</v>
      </c>
      <c r="AQ283">
        <f>$H$283*$W$283</f>
        <v>0</v>
      </c>
      <c r="AR283">
        <f>$H$283*$X$283</f>
        <v>0</v>
      </c>
      <c r="AS283">
        <f>$H$283*$Y$283</f>
        <v>0</v>
      </c>
      <c r="AT283">
        <f>$H$283*$Z$283</f>
        <v>0</v>
      </c>
      <c r="AU283">
        <f>$H$283*$AA$283</f>
        <v>0</v>
      </c>
      <c r="AV283">
        <f>$H$283*$AB$283</f>
        <v>0</v>
      </c>
      <c r="AW283">
        <f>$H$283*$AC$283</f>
        <v>22.8</v>
      </c>
      <c r="AX283">
        <f>$H$283*$AD$283</f>
        <v>22.8</v>
      </c>
      <c r="AY283">
        <f>$H$283*$AE$283</f>
        <v>22.8</v>
      </c>
      <c r="AZ283">
        <f>$H$283*$AF$283</f>
        <v>22.8</v>
      </c>
    </row>
    <row r="284" spans="1:52" x14ac:dyDescent="0.25">
      <c r="A284">
        <v>329</v>
      </c>
      <c r="B284" t="s">
        <v>261</v>
      </c>
      <c r="C284" t="s">
        <v>380</v>
      </c>
      <c r="D284">
        <v>5</v>
      </c>
      <c r="E284">
        <v>66.349999999999994</v>
      </c>
      <c r="F284" t="s">
        <v>299</v>
      </c>
      <c r="G284">
        <v>13.27</v>
      </c>
      <c r="H284">
        <v>79.63</v>
      </c>
      <c r="I284" t="s">
        <v>301</v>
      </c>
      <c r="J284" t="s">
        <v>381</v>
      </c>
      <c r="K284" t="s">
        <v>545</v>
      </c>
      <c r="L284" t="s">
        <v>200</v>
      </c>
      <c r="M284" t="s">
        <v>261</v>
      </c>
      <c r="N284" t="s">
        <v>51</v>
      </c>
      <c r="O284" t="s">
        <v>4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261</v>
      </c>
      <c r="AH284" t="s">
        <v>51</v>
      </c>
      <c r="AI284" t="s">
        <v>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79.63</v>
      </c>
      <c r="AS284">
        <f>$H$284*$Y$284</f>
        <v>79.63</v>
      </c>
      <c r="AT284">
        <f>$H$284*$Z$284</f>
        <v>79.63</v>
      </c>
      <c r="AU284">
        <f>$H$284*$AA$284</f>
        <v>79.63</v>
      </c>
      <c r="AV284">
        <f>$H$284*$AB$284</f>
        <v>79.63</v>
      </c>
      <c r="AW284">
        <f>$H$284*$AC$284</f>
        <v>79.63</v>
      </c>
      <c r="AX284">
        <f>$H$284*$AD$284</f>
        <v>79.63</v>
      </c>
      <c r="AY284">
        <f>$H$284*$AE$284</f>
        <v>79.63</v>
      </c>
      <c r="AZ284">
        <f>$H$284*$AF$284</f>
        <v>79.63</v>
      </c>
    </row>
    <row r="285" spans="1:52" x14ac:dyDescent="0.25">
      <c r="A285">
        <v>330</v>
      </c>
      <c r="B285" t="s">
        <v>261</v>
      </c>
      <c r="C285" t="s">
        <v>462</v>
      </c>
      <c r="D285">
        <v>1</v>
      </c>
      <c r="E285">
        <v>48.06</v>
      </c>
      <c r="F285" t="s">
        <v>299</v>
      </c>
      <c r="G285">
        <v>48.06</v>
      </c>
      <c r="H285">
        <v>57.68</v>
      </c>
      <c r="I285" t="s">
        <v>304</v>
      </c>
      <c r="J285" t="s">
        <v>436</v>
      </c>
      <c r="K285" t="s">
        <v>586</v>
      </c>
      <c r="L285" t="s">
        <v>200</v>
      </c>
      <c r="M285" t="s">
        <v>261</v>
      </c>
      <c r="N285" t="s">
        <v>51</v>
      </c>
      <c r="O285" t="s">
        <v>4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1</v>
      </c>
      <c r="AE285">
        <v>1</v>
      </c>
      <c r="AF285">
        <v>1</v>
      </c>
      <c r="AG285" t="s">
        <v>261</v>
      </c>
      <c r="AH285" t="s">
        <v>51</v>
      </c>
      <c r="AI285" t="s">
        <v>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0</v>
      </c>
      <c r="AO285">
        <f>$H$285*$U$285</f>
        <v>0</v>
      </c>
      <c r="AP285">
        <f>$H$285*$V$285</f>
        <v>0</v>
      </c>
      <c r="AQ285">
        <f>$H$285*$W$285</f>
        <v>0</v>
      </c>
      <c r="AR285">
        <f>$H$285*$X$285</f>
        <v>0</v>
      </c>
      <c r="AS285">
        <f>$H$285*$Y$285</f>
        <v>0</v>
      </c>
      <c r="AT285">
        <f>$H$285*$Z$285</f>
        <v>0</v>
      </c>
      <c r="AU285">
        <f>$H$285*$AA$285</f>
        <v>0</v>
      </c>
      <c r="AV285">
        <f>$H$285*$AB$285</f>
        <v>0</v>
      </c>
      <c r="AW285">
        <f>$H$285*$AC$285</f>
        <v>0</v>
      </c>
      <c r="AX285">
        <f>$H$285*$AD$285</f>
        <v>57.68</v>
      </c>
      <c r="AY285">
        <f>$H$285*$AE$285</f>
        <v>57.68</v>
      </c>
      <c r="AZ285">
        <f>$H$285*$AF$285</f>
        <v>57.68</v>
      </c>
    </row>
    <row r="286" spans="1:52" x14ac:dyDescent="0.25">
      <c r="A286">
        <v>331</v>
      </c>
      <c r="B286" t="s">
        <v>261</v>
      </c>
      <c r="C286" t="s">
        <v>329</v>
      </c>
      <c r="D286">
        <v>1</v>
      </c>
      <c r="E286">
        <v>47.96</v>
      </c>
      <c r="F286" t="s">
        <v>299</v>
      </c>
      <c r="G286">
        <v>47.96</v>
      </c>
      <c r="H286">
        <v>57.56</v>
      </c>
      <c r="I286" t="s">
        <v>330</v>
      </c>
      <c r="J286" t="s">
        <v>331</v>
      </c>
      <c r="K286" t="s">
        <v>520</v>
      </c>
      <c r="L286" t="s">
        <v>200</v>
      </c>
      <c r="M286" t="s">
        <v>261</v>
      </c>
      <c r="N286" t="s">
        <v>51</v>
      </c>
      <c r="O286" t="s">
        <v>4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261</v>
      </c>
      <c r="AH286" t="s">
        <v>51</v>
      </c>
      <c r="AI286" t="s">
        <v>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0</v>
      </c>
      <c r="AU286">
        <f>$H$286*$AA$286</f>
        <v>57.56</v>
      </c>
      <c r="AV286">
        <f>$H$286*$AB$286</f>
        <v>57.56</v>
      </c>
      <c r="AW286">
        <f>$H$286*$AC$286</f>
        <v>57.56</v>
      </c>
      <c r="AX286">
        <f>$H$286*$AD$286</f>
        <v>57.56</v>
      </c>
      <c r="AY286">
        <f>$H$286*$AE$286</f>
        <v>57.56</v>
      </c>
      <c r="AZ286">
        <f>$H$286*$AF$286</f>
        <v>57.56</v>
      </c>
    </row>
    <row r="287" spans="1:52" x14ac:dyDescent="0.25">
      <c r="A287">
        <v>332</v>
      </c>
      <c r="B287" t="s">
        <v>261</v>
      </c>
      <c r="C287" t="s">
        <v>467</v>
      </c>
      <c r="D287">
        <v>2</v>
      </c>
      <c r="E287">
        <v>110.04</v>
      </c>
      <c r="F287" t="s">
        <v>299</v>
      </c>
      <c r="G287">
        <v>55.02</v>
      </c>
      <c r="H287">
        <v>132.04</v>
      </c>
      <c r="I287" t="s">
        <v>295</v>
      </c>
      <c r="J287" t="s">
        <v>468</v>
      </c>
      <c r="K287" t="s">
        <v>589</v>
      </c>
      <c r="L287" t="s">
        <v>200</v>
      </c>
      <c r="M287" t="s">
        <v>261</v>
      </c>
      <c r="N287" t="s">
        <v>51</v>
      </c>
      <c r="O287" t="s">
        <v>4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261</v>
      </c>
      <c r="AH287" t="s">
        <v>51</v>
      </c>
      <c r="AI287" t="s">
        <v>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132.04</v>
      </c>
      <c r="AN287">
        <f>$H$287*$T$287</f>
        <v>132.04</v>
      </c>
      <c r="AO287">
        <f>$H$287*$U$287</f>
        <v>132.04</v>
      </c>
      <c r="AP287">
        <f>$H$287*$V$287</f>
        <v>132.04</v>
      </c>
      <c r="AQ287">
        <f>$H$287*$W$287</f>
        <v>132.04</v>
      </c>
      <c r="AR287">
        <f>$H$287*$X$287</f>
        <v>132.04</v>
      </c>
      <c r="AS287">
        <f>$H$287*$Y$287</f>
        <v>132.04</v>
      </c>
      <c r="AT287">
        <f>$H$287*$Z$287</f>
        <v>132.04</v>
      </c>
      <c r="AU287">
        <f>$H$287*$AA$287</f>
        <v>132.04</v>
      </c>
      <c r="AV287">
        <f>$H$287*$AB$287</f>
        <v>132.04</v>
      </c>
      <c r="AW287">
        <f>$H$287*$AC$287</f>
        <v>132.04</v>
      </c>
      <c r="AX287">
        <f>$H$287*$AD$287</f>
        <v>132.04</v>
      </c>
      <c r="AY287">
        <f>$H$287*$AE$287</f>
        <v>132.04</v>
      </c>
      <c r="AZ287">
        <f>$H$287*$AF$287</f>
        <v>132.04</v>
      </c>
    </row>
    <row r="288" spans="1:52" x14ac:dyDescent="0.25">
      <c r="A288">
        <v>333</v>
      </c>
      <c r="B288" t="s">
        <v>261</v>
      </c>
      <c r="C288" t="s">
        <v>469</v>
      </c>
      <c r="D288">
        <v>1</v>
      </c>
      <c r="E288">
        <v>376.12</v>
      </c>
      <c r="F288" t="s">
        <v>299</v>
      </c>
      <c r="G288">
        <v>376.12</v>
      </c>
      <c r="H288">
        <v>451.34</v>
      </c>
      <c r="I288" t="s">
        <v>333</v>
      </c>
      <c r="J288" t="s">
        <v>470</v>
      </c>
      <c r="K288" t="s">
        <v>590</v>
      </c>
      <c r="L288" t="s">
        <v>200</v>
      </c>
      <c r="M288" t="s">
        <v>261</v>
      </c>
      <c r="N288" t="s">
        <v>51</v>
      </c>
      <c r="O288" t="s">
        <v>4</v>
      </c>
      <c r="P288">
        <v>0</v>
      </c>
      <c r="Q288">
        <v>0</v>
      </c>
      <c r="R288">
        <v>0</v>
      </c>
      <c r="S288">
        <v>0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261</v>
      </c>
      <c r="AH288" t="s">
        <v>51</v>
      </c>
      <c r="AI288" t="s">
        <v>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451.34</v>
      </c>
      <c r="AO288">
        <f>$H$288*$U$288</f>
        <v>451.34</v>
      </c>
      <c r="AP288">
        <f>$H$288*$V$288</f>
        <v>451.34</v>
      </c>
      <c r="AQ288">
        <f>$H$288*$W$288</f>
        <v>451.34</v>
      </c>
      <c r="AR288">
        <f>$H$288*$X$288</f>
        <v>451.34</v>
      </c>
      <c r="AS288">
        <f>$H$288*$Y$288</f>
        <v>451.34</v>
      </c>
      <c r="AT288">
        <f>$H$288*$Z$288</f>
        <v>451.34</v>
      </c>
      <c r="AU288">
        <f>$H$288*$AA$288</f>
        <v>451.34</v>
      </c>
      <c r="AV288">
        <f>$H$288*$AB$288</f>
        <v>451.34</v>
      </c>
      <c r="AW288">
        <f>$H$288*$AC$288</f>
        <v>451.34</v>
      </c>
      <c r="AX288">
        <f>$H$288*$AD$288</f>
        <v>451.34</v>
      </c>
      <c r="AY288">
        <f>$H$288*$AE$288</f>
        <v>451.34</v>
      </c>
      <c r="AZ288">
        <f>$H$288*$AF$288</f>
        <v>451.34</v>
      </c>
    </row>
    <row r="289" spans="1:52" x14ac:dyDescent="0.25">
      <c r="A289">
        <v>334</v>
      </c>
      <c r="B289" t="s">
        <v>261</v>
      </c>
      <c r="C289" t="s">
        <v>337</v>
      </c>
      <c r="D289">
        <v>2</v>
      </c>
      <c r="E289">
        <v>77.86</v>
      </c>
      <c r="F289" t="s">
        <v>299</v>
      </c>
      <c r="G289">
        <v>38.93</v>
      </c>
      <c r="H289">
        <v>93.44</v>
      </c>
      <c r="I289" t="s">
        <v>295</v>
      </c>
      <c r="J289" t="s">
        <v>333</v>
      </c>
      <c r="K289" t="s">
        <v>523</v>
      </c>
      <c r="L289" t="s">
        <v>200</v>
      </c>
      <c r="M289" t="s">
        <v>261</v>
      </c>
      <c r="N289" t="s">
        <v>51</v>
      </c>
      <c r="O289" t="s">
        <v>4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261</v>
      </c>
      <c r="AH289" t="s">
        <v>51</v>
      </c>
      <c r="AI289" t="s">
        <v>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93.44</v>
      </c>
      <c r="AN289">
        <f>$H$289*$T$289</f>
        <v>93.44</v>
      </c>
      <c r="AO289">
        <f>$H$289*$U$289</f>
        <v>93.44</v>
      </c>
      <c r="AP289">
        <f>$H$289*$V$289</f>
        <v>93.44</v>
      </c>
      <c r="AQ289">
        <f>$H$289*$W$289</f>
        <v>93.44</v>
      </c>
      <c r="AR289">
        <f>$H$289*$X$289</f>
        <v>93.44</v>
      </c>
      <c r="AS289">
        <f>$H$289*$Y$289</f>
        <v>93.44</v>
      </c>
      <c r="AT289">
        <f>$H$289*$Z$289</f>
        <v>93.44</v>
      </c>
      <c r="AU289">
        <f>$H$289*$AA$289</f>
        <v>93.44</v>
      </c>
      <c r="AV289">
        <f>$H$289*$AB$289</f>
        <v>93.44</v>
      </c>
      <c r="AW289">
        <f>$H$289*$AC$289</f>
        <v>93.44</v>
      </c>
      <c r="AX289">
        <f>$H$289*$AD$289</f>
        <v>93.44</v>
      </c>
      <c r="AY289">
        <f>$H$289*$AE$289</f>
        <v>93.44</v>
      </c>
      <c r="AZ289">
        <f>$H$289*$AF$289</f>
        <v>93.44</v>
      </c>
    </row>
    <row r="290" spans="1:52" x14ac:dyDescent="0.25">
      <c r="A290">
        <v>335</v>
      </c>
      <c r="B290" t="s">
        <v>261</v>
      </c>
      <c r="C290" t="s">
        <v>335</v>
      </c>
      <c r="D290">
        <v>2</v>
      </c>
      <c r="E290">
        <v>62.72</v>
      </c>
      <c r="F290" t="s">
        <v>299</v>
      </c>
      <c r="G290">
        <v>31.36</v>
      </c>
      <c r="H290">
        <v>75.260000000000005</v>
      </c>
      <c r="I290" t="s">
        <v>295</v>
      </c>
      <c r="J290" t="s">
        <v>336</v>
      </c>
      <c r="K290" t="s">
        <v>522</v>
      </c>
      <c r="L290" t="s">
        <v>200</v>
      </c>
      <c r="M290" t="s">
        <v>261</v>
      </c>
      <c r="N290" t="s">
        <v>51</v>
      </c>
      <c r="O290" t="s">
        <v>4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261</v>
      </c>
      <c r="AH290" t="s">
        <v>51</v>
      </c>
      <c r="AI290" t="s">
        <v>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75.260000000000005</v>
      </c>
      <c r="AN290">
        <f>$H$290*$T$290</f>
        <v>75.260000000000005</v>
      </c>
      <c r="AO290">
        <f>$H$290*$U$290</f>
        <v>75.260000000000005</v>
      </c>
      <c r="AP290">
        <f>$H$290*$V$290</f>
        <v>75.260000000000005</v>
      </c>
      <c r="AQ290">
        <f>$H$290*$W$290</f>
        <v>75.260000000000005</v>
      </c>
      <c r="AR290">
        <f>$H$290*$X$290</f>
        <v>75.260000000000005</v>
      </c>
      <c r="AS290">
        <f>$H$290*$Y$290</f>
        <v>75.260000000000005</v>
      </c>
      <c r="AT290">
        <f>$H$290*$Z$290</f>
        <v>75.260000000000005</v>
      </c>
      <c r="AU290">
        <f>$H$290*$AA$290</f>
        <v>75.260000000000005</v>
      </c>
      <c r="AV290">
        <f>$H$290*$AB$290</f>
        <v>75.260000000000005</v>
      </c>
      <c r="AW290">
        <f>$H$290*$AC$290</f>
        <v>75.260000000000005</v>
      </c>
      <c r="AX290">
        <f>$H$290*$AD$290</f>
        <v>75.260000000000005</v>
      </c>
      <c r="AY290">
        <f>$H$290*$AE$290</f>
        <v>75.260000000000005</v>
      </c>
      <c r="AZ290">
        <f>$H$290*$AF$290</f>
        <v>75.260000000000005</v>
      </c>
    </row>
    <row r="291" spans="1:52" x14ac:dyDescent="0.25">
      <c r="A291">
        <v>336</v>
      </c>
      <c r="B291" t="s">
        <v>261</v>
      </c>
      <c r="C291" t="s">
        <v>332</v>
      </c>
      <c r="D291">
        <v>1</v>
      </c>
      <c r="E291">
        <v>365.09</v>
      </c>
      <c r="F291" t="s">
        <v>299</v>
      </c>
      <c r="G291">
        <v>365.09</v>
      </c>
      <c r="H291">
        <v>438.11</v>
      </c>
      <c r="I291" t="s">
        <v>333</v>
      </c>
      <c r="J291" t="s">
        <v>334</v>
      </c>
      <c r="K291" t="s">
        <v>521</v>
      </c>
      <c r="L291" t="s">
        <v>200</v>
      </c>
      <c r="M291" t="s">
        <v>261</v>
      </c>
      <c r="N291" t="s">
        <v>51</v>
      </c>
      <c r="O291" t="s">
        <v>4</v>
      </c>
      <c r="P291">
        <v>0</v>
      </c>
      <c r="Q291">
        <v>0</v>
      </c>
      <c r="R291">
        <v>0</v>
      </c>
      <c r="S291">
        <v>0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261</v>
      </c>
      <c r="AH291" t="s">
        <v>51</v>
      </c>
      <c r="AI291" t="s">
        <v>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438.11</v>
      </c>
      <c r="AO291">
        <f>$H$291*$U$291</f>
        <v>438.11</v>
      </c>
      <c r="AP291">
        <f>$H$291*$V$291</f>
        <v>438.11</v>
      </c>
      <c r="AQ291">
        <f>$H$291*$W$291</f>
        <v>438.11</v>
      </c>
      <c r="AR291">
        <f>$H$291*$X$291</f>
        <v>438.11</v>
      </c>
      <c r="AS291">
        <f>$H$291*$Y$291</f>
        <v>438.11</v>
      </c>
      <c r="AT291">
        <f>$H$291*$Z$291</f>
        <v>438.11</v>
      </c>
      <c r="AU291">
        <f>$H$291*$AA$291</f>
        <v>438.11</v>
      </c>
      <c r="AV291">
        <f>$H$291*$AB$291</f>
        <v>438.11</v>
      </c>
      <c r="AW291">
        <f>$H$291*$AC$291</f>
        <v>438.11</v>
      </c>
      <c r="AX291">
        <f>$H$291*$AD$291</f>
        <v>438.11</v>
      </c>
      <c r="AY291">
        <f>$H$291*$AE$291</f>
        <v>438.11</v>
      </c>
      <c r="AZ291">
        <f>$H$291*$AF$291</f>
        <v>438.11</v>
      </c>
    </row>
    <row r="292" spans="1:52" x14ac:dyDescent="0.25">
      <c r="A292">
        <v>337</v>
      </c>
      <c r="B292" t="s">
        <v>261</v>
      </c>
      <c r="C292" t="s">
        <v>324</v>
      </c>
      <c r="D292">
        <v>376</v>
      </c>
      <c r="E292">
        <v>368.48</v>
      </c>
      <c r="F292" t="s">
        <v>313</v>
      </c>
      <c r="G292">
        <v>0.98</v>
      </c>
      <c r="H292">
        <v>442.18</v>
      </c>
      <c r="I292" t="s">
        <v>295</v>
      </c>
      <c r="J292" t="s">
        <v>325</v>
      </c>
      <c r="K292" t="s">
        <v>518</v>
      </c>
      <c r="L292" t="s">
        <v>200</v>
      </c>
      <c r="M292" t="s">
        <v>261</v>
      </c>
      <c r="N292" t="s">
        <v>51</v>
      </c>
      <c r="O292" t="s">
        <v>4</v>
      </c>
      <c r="P292">
        <v>0</v>
      </c>
      <c r="Q292">
        <v>0</v>
      </c>
      <c r="R292">
        <v>0</v>
      </c>
      <c r="S292">
        <v>0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261</v>
      </c>
      <c r="AH292" t="s">
        <v>51</v>
      </c>
      <c r="AI292" t="s">
        <v>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442.18</v>
      </c>
      <c r="AO292">
        <f>$H$292*$U$292</f>
        <v>442.18</v>
      </c>
      <c r="AP292">
        <f>$H$292*$V$292</f>
        <v>442.18</v>
      </c>
      <c r="AQ292">
        <f>$H$292*$W$292</f>
        <v>442.18</v>
      </c>
      <c r="AR292">
        <f>$H$292*$X$292</f>
        <v>442.18</v>
      </c>
      <c r="AS292">
        <f>$H$292*$Y$292</f>
        <v>442.18</v>
      </c>
      <c r="AT292">
        <f>$H$292*$Z$292</f>
        <v>442.18</v>
      </c>
      <c r="AU292">
        <f>$H$292*$AA$292</f>
        <v>442.18</v>
      </c>
      <c r="AV292">
        <f>$H$292*$AB$292</f>
        <v>442.18</v>
      </c>
      <c r="AW292">
        <f>$H$292*$AC$292</f>
        <v>442.18</v>
      </c>
      <c r="AX292">
        <f>$H$292*$AD$292</f>
        <v>442.18</v>
      </c>
      <c r="AY292">
        <f>$H$292*$AE$292</f>
        <v>442.18</v>
      </c>
      <c r="AZ292">
        <f>$H$292*$AF$292</f>
        <v>442.18</v>
      </c>
    </row>
    <row r="293" spans="1:52" x14ac:dyDescent="0.25">
      <c r="A293">
        <v>338</v>
      </c>
      <c r="B293" t="s">
        <v>261</v>
      </c>
      <c r="C293" t="s">
        <v>326</v>
      </c>
      <c r="D293">
        <v>376</v>
      </c>
      <c r="E293">
        <v>1003.92</v>
      </c>
      <c r="F293" t="s">
        <v>313</v>
      </c>
      <c r="G293">
        <v>2.67</v>
      </c>
      <c r="H293">
        <v>1204.7</v>
      </c>
      <c r="I293" t="s">
        <v>327</v>
      </c>
      <c r="J293" t="s">
        <v>328</v>
      </c>
      <c r="K293" t="s">
        <v>519</v>
      </c>
      <c r="L293" t="s">
        <v>200</v>
      </c>
      <c r="M293" t="s">
        <v>261</v>
      </c>
      <c r="N293" t="s">
        <v>51</v>
      </c>
      <c r="O293" t="s">
        <v>4</v>
      </c>
      <c r="P293">
        <v>0</v>
      </c>
      <c r="Q293">
        <v>0</v>
      </c>
      <c r="R293">
        <v>0</v>
      </c>
      <c r="S293">
        <v>0.25</v>
      </c>
      <c r="T293">
        <v>0.25</v>
      </c>
      <c r="U293">
        <v>0.25</v>
      </c>
      <c r="V293">
        <v>0.25</v>
      </c>
      <c r="W293">
        <v>0.25</v>
      </c>
      <c r="X293">
        <v>0.5</v>
      </c>
      <c r="Y293">
        <v>0.5</v>
      </c>
      <c r="Z293">
        <v>0.5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261</v>
      </c>
      <c r="AH293" t="s">
        <v>51</v>
      </c>
      <c r="AI293" t="s">
        <v>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301.17500000000001</v>
      </c>
      <c r="AN293">
        <f>$H$293*$T$293</f>
        <v>301.17500000000001</v>
      </c>
      <c r="AO293">
        <f>$H$293*$U$293</f>
        <v>301.17500000000001</v>
      </c>
      <c r="AP293">
        <f>$H$293*$V$293</f>
        <v>301.17500000000001</v>
      </c>
      <c r="AQ293">
        <f>$H$293*$W$293</f>
        <v>301.17500000000001</v>
      </c>
      <c r="AR293">
        <f>$H$293*$X$293</f>
        <v>602.35</v>
      </c>
      <c r="AS293">
        <f>$H$293*$Y$293</f>
        <v>602.35</v>
      </c>
      <c r="AT293">
        <f>$H$293*$Z$293</f>
        <v>602.35</v>
      </c>
      <c r="AU293">
        <f>$H$293*$AA$293</f>
        <v>1204.7</v>
      </c>
      <c r="AV293">
        <f>$H$293*$AB$293</f>
        <v>1204.7</v>
      </c>
      <c r="AW293">
        <f>$H$293*$AC$293</f>
        <v>1204.7</v>
      </c>
      <c r="AX293">
        <f>$H$293*$AD$293</f>
        <v>1204.7</v>
      </c>
      <c r="AY293">
        <f>$H$293*$AE$293</f>
        <v>1204.7</v>
      </c>
      <c r="AZ293">
        <f>$H$293*$AF$293</f>
        <v>1204.7</v>
      </c>
    </row>
    <row r="294" spans="1:52" x14ac:dyDescent="0.25">
      <c r="A294">
        <v>339</v>
      </c>
      <c r="B294" t="s">
        <v>261</v>
      </c>
      <c r="C294" t="s">
        <v>383</v>
      </c>
      <c r="D294">
        <v>47</v>
      </c>
      <c r="E294">
        <v>42.77</v>
      </c>
      <c r="F294" t="s">
        <v>294</v>
      </c>
      <c r="G294">
        <v>0.91</v>
      </c>
      <c r="H294">
        <v>51.33</v>
      </c>
      <c r="I294" t="s">
        <v>295</v>
      </c>
      <c r="J294" t="s">
        <v>384</v>
      </c>
      <c r="K294" t="s">
        <v>547</v>
      </c>
      <c r="L294" t="s">
        <v>200</v>
      </c>
      <c r="M294" t="s">
        <v>261</v>
      </c>
      <c r="N294" t="s">
        <v>51</v>
      </c>
      <c r="O294" t="s">
        <v>4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261</v>
      </c>
      <c r="AH294" t="s">
        <v>51</v>
      </c>
      <c r="AI294" t="s">
        <v>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51.33</v>
      </c>
      <c r="AN294">
        <f>$H$294*$T$294</f>
        <v>51.33</v>
      </c>
      <c r="AO294">
        <f>$H$294*$U$294</f>
        <v>51.33</v>
      </c>
      <c r="AP294">
        <f>$H$294*$V$294</f>
        <v>51.33</v>
      </c>
      <c r="AQ294">
        <f>$H$294*$W$294</f>
        <v>51.33</v>
      </c>
      <c r="AR294">
        <f>$H$294*$X$294</f>
        <v>51.33</v>
      </c>
      <c r="AS294">
        <f>$H$294*$Y$294</f>
        <v>51.33</v>
      </c>
      <c r="AT294">
        <f>$H$294*$Z$294</f>
        <v>51.33</v>
      </c>
      <c r="AU294">
        <f>$H$294*$AA$294</f>
        <v>51.33</v>
      </c>
      <c r="AV294">
        <f>$H$294*$AB$294</f>
        <v>51.33</v>
      </c>
      <c r="AW294">
        <f>$H$294*$AC$294</f>
        <v>51.33</v>
      </c>
      <c r="AX294">
        <f>$H$294*$AD$294</f>
        <v>51.33</v>
      </c>
      <c r="AY294">
        <f>$H$294*$AE$294</f>
        <v>51.33</v>
      </c>
      <c r="AZ294">
        <f>$H$294*$AF$294</f>
        <v>51.33</v>
      </c>
    </row>
    <row r="295" spans="1:52" x14ac:dyDescent="0.25">
      <c r="A295">
        <v>340</v>
      </c>
      <c r="B295" t="s">
        <v>261</v>
      </c>
      <c r="C295" t="s">
        <v>385</v>
      </c>
      <c r="D295">
        <v>47</v>
      </c>
      <c r="E295">
        <v>240.64</v>
      </c>
      <c r="F295" t="s">
        <v>294</v>
      </c>
      <c r="G295">
        <v>5.12</v>
      </c>
      <c r="H295">
        <v>288.76</v>
      </c>
      <c r="I295" t="s">
        <v>298</v>
      </c>
      <c r="J295" t="s">
        <v>386</v>
      </c>
      <c r="K295" t="s">
        <v>548</v>
      </c>
      <c r="L295" t="s">
        <v>200</v>
      </c>
      <c r="M295" t="s">
        <v>261</v>
      </c>
      <c r="N295" t="s">
        <v>51</v>
      </c>
      <c r="O295" t="s">
        <v>4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261</v>
      </c>
      <c r="AH295" t="s">
        <v>51</v>
      </c>
      <c r="AI295" t="s">
        <v>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288.76</v>
      </c>
      <c r="AN295">
        <f>$H$295*$T$295</f>
        <v>288.76</v>
      </c>
      <c r="AO295">
        <f>$H$295*$U$295</f>
        <v>288.76</v>
      </c>
      <c r="AP295">
        <f>$H$295*$V$295</f>
        <v>288.76</v>
      </c>
      <c r="AQ295">
        <f>$H$295*$W$295</f>
        <v>288.76</v>
      </c>
      <c r="AR295">
        <f>$H$295*$X$295</f>
        <v>288.76</v>
      </c>
      <c r="AS295">
        <f>$H$295*$Y$295</f>
        <v>288.76</v>
      </c>
      <c r="AT295">
        <f>$H$295*$Z$295</f>
        <v>288.76</v>
      </c>
      <c r="AU295">
        <f>$H$295*$AA$295</f>
        <v>288.76</v>
      </c>
      <c r="AV295">
        <f>$H$295*$AB$295</f>
        <v>288.76</v>
      </c>
      <c r="AW295">
        <f>$H$295*$AC$295</f>
        <v>288.76</v>
      </c>
      <c r="AX295">
        <f>$H$295*$AD$295</f>
        <v>288.76</v>
      </c>
      <c r="AY295">
        <f>$H$295*$AE$295</f>
        <v>288.76</v>
      </c>
      <c r="AZ295">
        <f>$H$295*$AF$295</f>
        <v>288.76</v>
      </c>
    </row>
    <row r="296" spans="1:52" x14ac:dyDescent="0.25">
      <c r="A296">
        <v>341</v>
      </c>
      <c r="B296" t="s">
        <v>261</v>
      </c>
      <c r="C296" t="s">
        <v>326</v>
      </c>
      <c r="D296">
        <v>137.22</v>
      </c>
      <c r="E296">
        <v>366.38</v>
      </c>
      <c r="F296" t="s">
        <v>313</v>
      </c>
      <c r="G296">
        <v>2.67</v>
      </c>
      <c r="H296">
        <v>439.66</v>
      </c>
      <c r="I296" t="s">
        <v>327</v>
      </c>
      <c r="J296" t="s">
        <v>328</v>
      </c>
      <c r="K296" t="s">
        <v>519</v>
      </c>
      <c r="L296" t="s">
        <v>200</v>
      </c>
      <c r="M296" t="s">
        <v>261</v>
      </c>
      <c r="N296" t="s">
        <v>51</v>
      </c>
      <c r="O296" t="s">
        <v>4</v>
      </c>
      <c r="P296">
        <v>0</v>
      </c>
      <c r="Q296">
        <v>0</v>
      </c>
      <c r="R296">
        <v>0</v>
      </c>
      <c r="S296">
        <v>0.25</v>
      </c>
      <c r="T296">
        <v>0.25</v>
      </c>
      <c r="U296">
        <v>0.25</v>
      </c>
      <c r="V296">
        <v>0.25</v>
      </c>
      <c r="W296">
        <v>0.25</v>
      </c>
      <c r="X296">
        <v>0.5</v>
      </c>
      <c r="Y296">
        <v>0.5</v>
      </c>
      <c r="Z296">
        <v>0.5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261</v>
      </c>
      <c r="AH296" t="s">
        <v>51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109.91500000000001</v>
      </c>
      <c r="AN296">
        <f>$H$296*$T$296</f>
        <v>109.91500000000001</v>
      </c>
      <c r="AO296">
        <f>$H$296*$U$296</f>
        <v>109.91500000000001</v>
      </c>
      <c r="AP296">
        <f>$H$296*$V$296</f>
        <v>109.91500000000001</v>
      </c>
      <c r="AQ296">
        <f>$H$296*$W$296</f>
        <v>109.91500000000001</v>
      </c>
      <c r="AR296">
        <f>$H$296*$X$296</f>
        <v>219.83</v>
      </c>
      <c r="AS296">
        <f>$H$296*$Y$296</f>
        <v>219.83</v>
      </c>
      <c r="AT296">
        <f>$H$296*$Z$296</f>
        <v>219.83</v>
      </c>
      <c r="AU296">
        <f>$H$296*$AA$296</f>
        <v>439.66</v>
      </c>
      <c r="AV296">
        <f>$H$296*$AB$296</f>
        <v>439.66</v>
      </c>
      <c r="AW296">
        <f>$H$296*$AC$296</f>
        <v>439.66</v>
      </c>
      <c r="AX296">
        <f>$H$296*$AD$296</f>
        <v>439.66</v>
      </c>
      <c r="AY296">
        <f>$H$296*$AE$296</f>
        <v>439.66</v>
      </c>
      <c r="AZ296">
        <f>$H$296*$AF$296</f>
        <v>439.66</v>
      </c>
    </row>
    <row r="297" spans="1:52" x14ac:dyDescent="0.25">
      <c r="A297">
        <v>342</v>
      </c>
      <c r="B297" t="s">
        <v>261</v>
      </c>
      <c r="C297" t="s">
        <v>387</v>
      </c>
      <c r="D297">
        <v>137.22</v>
      </c>
      <c r="E297">
        <v>86.45</v>
      </c>
      <c r="F297" t="s">
        <v>313</v>
      </c>
      <c r="G297">
        <v>0.63</v>
      </c>
      <c r="H297">
        <v>103.75</v>
      </c>
      <c r="I297" t="s">
        <v>295</v>
      </c>
      <c r="J297" t="s">
        <v>388</v>
      </c>
      <c r="K297" t="s">
        <v>549</v>
      </c>
      <c r="L297" t="s">
        <v>200</v>
      </c>
      <c r="M297" t="s">
        <v>261</v>
      </c>
      <c r="N297" t="s">
        <v>51</v>
      </c>
      <c r="O297" t="s">
        <v>4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1</v>
      </c>
      <c r="AE297">
        <v>1</v>
      </c>
      <c r="AF297">
        <v>1</v>
      </c>
      <c r="AG297" t="s">
        <v>261</v>
      </c>
      <c r="AH297" t="s">
        <v>51</v>
      </c>
      <c r="AI297" t="s">
        <v>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0</v>
      </c>
      <c r="AS297">
        <f>$H$297*$Y$297</f>
        <v>0</v>
      </c>
      <c r="AT297">
        <f>$H$297*$Z$297</f>
        <v>0</v>
      </c>
      <c r="AU297">
        <f>$H$297*$AA$297</f>
        <v>0</v>
      </c>
      <c r="AV297">
        <f>$H$297*$AB$297</f>
        <v>0</v>
      </c>
      <c r="AW297">
        <f>$H$297*$AC$297</f>
        <v>0</v>
      </c>
      <c r="AX297">
        <f>$H$297*$AD$297</f>
        <v>103.75</v>
      </c>
      <c r="AY297">
        <f>$H$297*$AE$297</f>
        <v>103.75</v>
      </c>
      <c r="AZ297">
        <f>$H$297*$AF$297</f>
        <v>103.75</v>
      </c>
    </row>
    <row r="298" spans="1:52" x14ac:dyDescent="0.25">
      <c r="A298">
        <v>343</v>
      </c>
      <c r="B298" t="s">
        <v>261</v>
      </c>
      <c r="C298" t="s">
        <v>389</v>
      </c>
      <c r="D298">
        <v>137.22</v>
      </c>
      <c r="E298">
        <v>94.68</v>
      </c>
      <c r="F298" t="s">
        <v>313</v>
      </c>
      <c r="G298">
        <v>0.69</v>
      </c>
      <c r="H298">
        <v>113.62</v>
      </c>
      <c r="I298" t="s">
        <v>295</v>
      </c>
      <c r="J298" t="s">
        <v>390</v>
      </c>
      <c r="K298" t="s">
        <v>550</v>
      </c>
      <c r="L298" t="s">
        <v>200</v>
      </c>
      <c r="M298" t="s">
        <v>261</v>
      </c>
      <c r="N298" t="s">
        <v>51</v>
      </c>
      <c r="O298" t="s">
        <v>4</v>
      </c>
      <c r="P298">
        <v>0</v>
      </c>
      <c r="Q298">
        <v>0</v>
      </c>
      <c r="R298">
        <v>0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261</v>
      </c>
      <c r="AH298" t="s">
        <v>51</v>
      </c>
      <c r="AI298" t="s">
        <v>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113.62</v>
      </c>
      <c r="AN298">
        <f>$H$298*$T$298</f>
        <v>113.62</v>
      </c>
      <c r="AO298">
        <f>$H$298*$U$298</f>
        <v>113.62</v>
      </c>
      <c r="AP298">
        <f>$H$298*$V$298</f>
        <v>113.62</v>
      </c>
      <c r="AQ298">
        <f>$H$298*$W$298</f>
        <v>113.62</v>
      </c>
      <c r="AR298">
        <f>$H$298*$X$298</f>
        <v>113.62</v>
      </c>
      <c r="AS298">
        <f>$H$298*$Y$298</f>
        <v>113.62</v>
      </c>
      <c r="AT298">
        <f>$H$298*$Z$298</f>
        <v>113.62</v>
      </c>
      <c r="AU298">
        <f>$H$298*$AA$298</f>
        <v>113.62</v>
      </c>
      <c r="AV298">
        <f>$H$298*$AB$298</f>
        <v>113.62</v>
      </c>
      <c r="AW298">
        <f>$H$298*$AC$298</f>
        <v>113.62</v>
      </c>
      <c r="AX298">
        <f>$H$298*$AD$298</f>
        <v>113.62</v>
      </c>
      <c r="AY298">
        <f>$H$298*$AE$298</f>
        <v>113.62</v>
      </c>
      <c r="AZ298">
        <f>$H$298*$AF$298</f>
        <v>113.62</v>
      </c>
    </row>
    <row r="299" spans="1:52" x14ac:dyDescent="0.25">
      <c r="A299">
        <v>344</v>
      </c>
      <c r="B299" t="s">
        <v>261</v>
      </c>
      <c r="C299" t="s">
        <v>391</v>
      </c>
      <c r="D299">
        <v>28.82</v>
      </c>
      <c r="E299">
        <v>163.99</v>
      </c>
      <c r="F299" t="s">
        <v>313</v>
      </c>
      <c r="G299">
        <v>5.69</v>
      </c>
      <c r="H299">
        <v>196.79</v>
      </c>
      <c r="I299" t="s">
        <v>392</v>
      </c>
      <c r="J299" t="s">
        <v>393</v>
      </c>
      <c r="K299" t="s">
        <v>551</v>
      </c>
      <c r="L299" t="s">
        <v>200</v>
      </c>
      <c r="M299" t="s">
        <v>261</v>
      </c>
      <c r="N299" t="s">
        <v>51</v>
      </c>
      <c r="O299" t="s">
        <v>4</v>
      </c>
      <c r="P299">
        <v>0</v>
      </c>
      <c r="Q299">
        <v>0</v>
      </c>
      <c r="R299">
        <v>0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261</v>
      </c>
      <c r="AH299" t="s">
        <v>51</v>
      </c>
      <c r="AI299" t="s">
        <v>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196.79</v>
      </c>
      <c r="AN299">
        <f>$H$299*$T$299</f>
        <v>196.79</v>
      </c>
      <c r="AO299">
        <f>$H$299*$U$299</f>
        <v>196.79</v>
      </c>
      <c r="AP299">
        <f>$H$299*$V$299</f>
        <v>196.79</v>
      </c>
      <c r="AQ299">
        <f>$H$299*$W$299</f>
        <v>196.79</v>
      </c>
      <c r="AR299">
        <f>$H$299*$X$299</f>
        <v>196.79</v>
      </c>
      <c r="AS299">
        <f>$H$299*$Y$299</f>
        <v>196.79</v>
      </c>
      <c r="AT299">
        <f>$H$299*$Z$299</f>
        <v>196.79</v>
      </c>
      <c r="AU299">
        <f>$H$299*$AA$299</f>
        <v>196.79</v>
      </c>
      <c r="AV299">
        <f>$H$299*$AB$299</f>
        <v>196.79</v>
      </c>
      <c r="AW299">
        <f>$H$299*$AC$299</f>
        <v>196.79</v>
      </c>
      <c r="AX299">
        <f>$H$299*$AD$299</f>
        <v>196.79</v>
      </c>
      <c r="AY299">
        <f>$H$299*$AE$299</f>
        <v>196.79</v>
      </c>
      <c r="AZ299">
        <f>$H$299*$AF$299</f>
        <v>196.79</v>
      </c>
    </row>
    <row r="300" spans="1:52" x14ac:dyDescent="0.25">
      <c r="A300">
        <v>345</v>
      </c>
      <c r="B300" t="s">
        <v>261</v>
      </c>
      <c r="C300" t="s">
        <v>394</v>
      </c>
      <c r="D300">
        <v>31.56</v>
      </c>
      <c r="E300">
        <v>186.84</v>
      </c>
      <c r="F300" t="s">
        <v>313</v>
      </c>
      <c r="G300">
        <v>5.92</v>
      </c>
      <c r="H300">
        <v>224.2</v>
      </c>
      <c r="I300" t="s">
        <v>392</v>
      </c>
      <c r="J300" t="s">
        <v>334</v>
      </c>
      <c r="K300" t="s">
        <v>552</v>
      </c>
      <c r="L300" t="s">
        <v>200</v>
      </c>
      <c r="M300" t="s">
        <v>261</v>
      </c>
      <c r="N300" t="s">
        <v>51</v>
      </c>
      <c r="O300" t="s">
        <v>4</v>
      </c>
      <c r="P300">
        <v>0</v>
      </c>
      <c r="Q300">
        <v>0</v>
      </c>
      <c r="R300">
        <v>0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261</v>
      </c>
      <c r="AH300" t="s">
        <v>51</v>
      </c>
      <c r="AI300" t="s">
        <v>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224.2</v>
      </c>
      <c r="AN300">
        <f>$H$300*$T$300</f>
        <v>224.2</v>
      </c>
      <c r="AO300">
        <f>$H$300*$U$300</f>
        <v>224.2</v>
      </c>
      <c r="AP300">
        <f>$H$300*$V$300</f>
        <v>224.2</v>
      </c>
      <c r="AQ300">
        <f>$H$300*$W$300</f>
        <v>224.2</v>
      </c>
      <c r="AR300">
        <f>$H$300*$X$300</f>
        <v>224.2</v>
      </c>
      <c r="AS300">
        <f>$H$300*$Y$300</f>
        <v>224.2</v>
      </c>
      <c r="AT300">
        <f>$H$300*$Z$300</f>
        <v>224.2</v>
      </c>
      <c r="AU300">
        <f>$H$300*$AA$300</f>
        <v>224.2</v>
      </c>
      <c r="AV300">
        <f>$H$300*$AB$300</f>
        <v>224.2</v>
      </c>
      <c r="AW300">
        <f>$H$300*$AC$300</f>
        <v>224.2</v>
      </c>
      <c r="AX300">
        <f>$H$300*$AD$300</f>
        <v>224.2</v>
      </c>
      <c r="AY300">
        <f>$H$300*$AE$300</f>
        <v>224.2</v>
      </c>
      <c r="AZ300">
        <f>$H$300*$AF$300</f>
        <v>224.2</v>
      </c>
    </row>
    <row r="301" spans="1:52" x14ac:dyDescent="0.25">
      <c r="A301">
        <v>346</v>
      </c>
      <c r="B301" t="s">
        <v>261</v>
      </c>
      <c r="C301" t="s">
        <v>395</v>
      </c>
      <c r="D301">
        <v>29.04</v>
      </c>
      <c r="E301">
        <v>158.56</v>
      </c>
      <c r="F301" t="s">
        <v>313</v>
      </c>
      <c r="G301">
        <v>5.46</v>
      </c>
      <c r="H301">
        <v>190.28</v>
      </c>
      <c r="I301" t="s">
        <v>396</v>
      </c>
      <c r="J301" t="s">
        <v>397</v>
      </c>
      <c r="K301" t="s">
        <v>553</v>
      </c>
      <c r="L301" t="s">
        <v>200</v>
      </c>
      <c r="M301" t="s">
        <v>261</v>
      </c>
      <c r="N301" t="s">
        <v>51</v>
      </c>
      <c r="O301" t="s">
        <v>4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261</v>
      </c>
      <c r="AH301" t="s">
        <v>51</v>
      </c>
      <c r="AI301" t="s">
        <v>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190.28</v>
      </c>
      <c r="AN301">
        <f>$H$301*$T$301</f>
        <v>190.28</v>
      </c>
      <c r="AO301">
        <f>$H$301*$U$301</f>
        <v>190.28</v>
      </c>
      <c r="AP301">
        <f>$H$301*$V$301</f>
        <v>190.28</v>
      </c>
      <c r="AQ301">
        <f>$H$301*$W$301</f>
        <v>190.28</v>
      </c>
      <c r="AR301">
        <f>$H$301*$X$301</f>
        <v>190.28</v>
      </c>
      <c r="AS301">
        <f>$H$301*$Y$301</f>
        <v>190.28</v>
      </c>
      <c r="AT301">
        <f>$H$301*$Z$301</f>
        <v>190.28</v>
      </c>
      <c r="AU301">
        <f>$H$301*$AA$301</f>
        <v>190.28</v>
      </c>
      <c r="AV301">
        <f>$H$301*$AB$301</f>
        <v>190.28</v>
      </c>
      <c r="AW301">
        <f>$H$301*$AC$301</f>
        <v>190.28</v>
      </c>
      <c r="AX301">
        <f>$H$301*$AD$301</f>
        <v>190.28</v>
      </c>
      <c r="AY301">
        <f>$H$301*$AE$301</f>
        <v>190.28</v>
      </c>
      <c r="AZ301">
        <f>$H$301*$AF$301</f>
        <v>190.28</v>
      </c>
    </row>
    <row r="302" spans="1:52" x14ac:dyDescent="0.25">
      <c r="A302">
        <v>347</v>
      </c>
      <c r="B302" t="s">
        <v>261</v>
      </c>
      <c r="C302" t="s">
        <v>398</v>
      </c>
      <c r="D302">
        <v>29.04</v>
      </c>
      <c r="E302">
        <v>103.96</v>
      </c>
      <c r="F302" t="s">
        <v>313</v>
      </c>
      <c r="G302">
        <v>3.58</v>
      </c>
      <c r="H302">
        <v>124.76</v>
      </c>
      <c r="I302" t="s">
        <v>396</v>
      </c>
      <c r="J302" t="s">
        <v>399</v>
      </c>
      <c r="K302" t="s">
        <v>554</v>
      </c>
      <c r="L302" t="s">
        <v>200</v>
      </c>
      <c r="M302" t="s">
        <v>261</v>
      </c>
      <c r="N302" t="s">
        <v>51</v>
      </c>
      <c r="O302" t="s">
        <v>4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261</v>
      </c>
      <c r="AH302" t="s">
        <v>51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124.76</v>
      </c>
      <c r="AN302">
        <f>$H$302*$T$302</f>
        <v>124.76</v>
      </c>
      <c r="AO302">
        <f>$H$302*$U$302</f>
        <v>124.76</v>
      </c>
      <c r="AP302">
        <f>$H$302*$V$302</f>
        <v>124.76</v>
      </c>
      <c r="AQ302">
        <f>$H$302*$W$302</f>
        <v>124.76</v>
      </c>
      <c r="AR302">
        <f>$H$302*$X$302</f>
        <v>124.76</v>
      </c>
      <c r="AS302">
        <f>$H$302*$Y$302</f>
        <v>124.76</v>
      </c>
      <c r="AT302">
        <f>$H$302*$Z$302</f>
        <v>124.76</v>
      </c>
      <c r="AU302">
        <f>$H$302*$AA$302</f>
        <v>124.76</v>
      </c>
      <c r="AV302">
        <f>$H$302*$AB$302</f>
        <v>124.76</v>
      </c>
      <c r="AW302">
        <f>$H$302*$AC$302</f>
        <v>124.76</v>
      </c>
      <c r="AX302">
        <f>$H$302*$AD$302</f>
        <v>124.76</v>
      </c>
      <c r="AY302">
        <f>$H$302*$AE$302</f>
        <v>124.76</v>
      </c>
      <c r="AZ302">
        <f>$H$302*$AF$302</f>
        <v>124.76</v>
      </c>
    </row>
    <row r="303" spans="1:52" x14ac:dyDescent="0.25">
      <c r="A303">
        <v>348</v>
      </c>
      <c r="B303" t="s">
        <v>261</v>
      </c>
      <c r="C303" t="s">
        <v>400</v>
      </c>
      <c r="D303">
        <v>29.04</v>
      </c>
      <c r="E303">
        <v>252.65</v>
      </c>
      <c r="F303" t="s">
        <v>313</v>
      </c>
      <c r="G303">
        <v>8.6999999999999993</v>
      </c>
      <c r="H303">
        <v>303.19</v>
      </c>
      <c r="I303" t="s">
        <v>396</v>
      </c>
      <c r="J303" t="s">
        <v>334</v>
      </c>
      <c r="K303" t="s">
        <v>555</v>
      </c>
      <c r="L303" t="s">
        <v>200</v>
      </c>
      <c r="M303" t="s">
        <v>261</v>
      </c>
      <c r="N303" t="s">
        <v>51</v>
      </c>
      <c r="O303" t="s">
        <v>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261</v>
      </c>
      <c r="AH303" t="s">
        <v>51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303.19</v>
      </c>
      <c r="AN303">
        <f>$H$303*$T$303</f>
        <v>303.19</v>
      </c>
      <c r="AO303">
        <f>$H$303*$U$303</f>
        <v>303.19</v>
      </c>
      <c r="AP303">
        <f>$H$303*$V$303</f>
        <v>303.19</v>
      </c>
      <c r="AQ303">
        <f>$H$303*$W$303</f>
        <v>303.19</v>
      </c>
      <c r="AR303">
        <f>$H$303*$X$303</f>
        <v>303.19</v>
      </c>
      <c r="AS303">
        <f>$H$303*$Y$303</f>
        <v>303.19</v>
      </c>
      <c r="AT303">
        <f>$H$303*$Z$303</f>
        <v>303.19</v>
      </c>
      <c r="AU303">
        <f>$H$303*$AA$303</f>
        <v>303.19</v>
      </c>
      <c r="AV303">
        <f>$H$303*$AB$303</f>
        <v>303.19</v>
      </c>
      <c r="AW303">
        <f>$H$303*$AC$303</f>
        <v>303.19</v>
      </c>
      <c r="AX303">
        <f>$H$303*$AD$303</f>
        <v>303.19</v>
      </c>
      <c r="AY303">
        <f>$H$303*$AE$303</f>
        <v>303.19</v>
      </c>
      <c r="AZ303">
        <f>$H$303*$AF$303</f>
        <v>303.19</v>
      </c>
    </row>
    <row r="304" spans="1:52" x14ac:dyDescent="0.25">
      <c r="A304">
        <v>349</v>
      </c>
      <c r="B304" t="s">
        <v>261</v>
      </c>
      <c r="C304" t="s">
        <v>401</v>
      </c>
      <c r="D304">
        <v>31.56</v>
      </c>
      <c r="E304">
        <v>24.93</v>
      </c>
      <c r="F304" t="s">
        <v>313</v>
      </c>
      <c r="G304">
        <v>0.79</v>
      </c>
      <c r="H304">
        <v>29.91</v>
      </c>
      <c r="I304" t="s">
        <v>339</v>
      </c>
      <c r="J304" t="s">
        <v>402</v>
      </c>
      <c r="K304" t="s">
        <v>556</v>
      </c>
      <c r="L304" t="s">
        <v>200</v>
      </c>
      <c r="M304" t="s">
        <v>261</v>
      </c>
      <c r="N304" t="s">
        <v>51</v>
      </c>
      <c r="O304" t="s">
        <v>4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261</v>
      </c>
      <c r="AH304" t="s">
        <v>51</v>
      </c>
      <c r="AI304" t="s">
        <v>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29.91</v>
      </c>
      <c r="AN304">
        <f>$H$304*$T$304</f>
        <v>29.91</v>
      </c>
      <c r="AO304">
        <f>$H$304*$U$304</f>
        <v>29.91</v>
      </c>
      <c r="AP304">
        <f>$H$304*$V$304</f>
        <v>29.91</v>
      </c>
      <c r="AQ304">
        <f>$H$304*$W$304</f>
        <v>29.91</v>
      </c>
      <c r="AR304">
        <f>$H$304*$X$304</f>
        <v>29.91</v>
      </c>
      <c r="AS304">
        <f>$H$304*$Y$304</f>
        <v>29.91</v>
      </c>
      <c r="AT304">
        <f>$H$304*$Z$304</f>
        <v>29.91</v>
      </c>
      <c r="AU304">
        <f>$H$304*$AA$304</f>
        <v>29.91</v>
      </c>
      <c r="AV304">
        <f>$H$304*$AB$304</f>
        <v>29.91</v>
      </c>
      <c r="AW304">
        <f>$H$304*$AC$304</f>
        <v>29.91</v>
      </c>
      <c r="AX304">
        <f>$H$304*$AD$304</f>
        <v>29.91</v>
      </c>
      <c r="AY304">
        <f>$H$304*$AE$304</f>
        <v>29.91</v>
      </c>
      <c r="AZ304">
        <f>$H$304*$AF$304</f>
        <v>29.91</v>
      </c>
    </row>
    <row r="305" spans="1:52" x14ac:dyDescent="0.25">
      <c r="A305">
        <v>350</v>
      </c>
      <c r="B305" t="s">
        <v>261</v>
      </c>
      <c r="C305" t="s">
        <v>403</v>
      </c>
      <c r="D305">
        <v>31.56</v>
      </c>
      <c r="E305">
        <v>168.21</v>
      </c>
      <c r="F305" t="s">
        <v>313</v>
      </c>
      <c r="G305">
        <v>5.33</v>
      </c>
      <c r="H305">
        <v>201.85</v>
      </c>
      <c r="I305" t="s">
        <v>339</v>
      </c>
      <c r="J305" t="s">
        <v>334</v>
      </c>
      <c r="K305" t="s">
        <v>557</v>
      </c>
      <c r="L305" t="s">
        <v>200</v>
      </c>
      <c r="M305" t="s">
        <v>261</v>
      </c>
      <c r="N305" t="s">
        <v>51</v>
      </c>
      <c r="O305" t="s">
        <v>4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261</v>
      </c>
      <c r="AH305" t="s">
        <v>51</v>
      </c>
      <c r="AI305" t="s">
        <v>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201.85</v>
      </c>
      <c r="AN305">
        <f>$H$305*$T$305</f>
        <v>201.85</v>
      </c>
      <c r="AO305">
        <f>$H$305*$U$305</f>
        <v>201.85</v>
      </c>
      <c r="AP305">
        <f>$H$305*$V$305</f>
        <v>201.85</v>
      </c>
      <c r="AQ305">
        <f>$H$305*$W$305</f>
        <v>201.85</v>
      </c>
      <c r="AR305">
        <f>$H$305*$X$305</f>
        <v>201.85</v>
      </c>
      <c r="AS305">
        <f>$H$305*$Y$305</f>
        <v>201.85</v>
      </c>
      <c r="AT305">
        <f>$H$305*$Z$305</f>
        <v>201.85</v>
      </c>
      <c r="AU305">
        <f>$H$305*$AA$305</f>
        <v>201.85</v>
      </c>
      <c r="AV305">
        <f>$H$305*$AB$305</f>
        <v>201.85</v>
      </c>
      <c r="AW305">
        <f>$H$305*$AC$305</f>
        <v>201.85</v>
      </c>
      <c r="AX305">
        <f>$H$305*$AD$305</f>
        <v>201.85</v>
      </c>
      <c r="AY305">
        <f>$H$305*$AE$305</f>
        <v>201.85</v>
      </c>
      <c r="AZ305">
        <f>$H$305*$AF$305</f>
        <v>201.85</v>
      </c>
    </row>
    <row r="306" spans="1:52" x14ac:dyDescent="0.25">
      <c r="A306">
        <v>351</v>
      </c>
      <c r="B306" t="s">
        <v>7</v>
      </c>
      <c r="C306" t="s">
        <v>458</v>
      </c>
      <c r="D306">
        <v>1</v>
      </c>
      <c r="E306">
        <v>33.1</v>
      </c>
      <c r="F306" t="s">
        <v>299</v>
      </c>
      <c r="G306">
        <v>33.1</v>
      </c>
      <c r="H306">
        <v>39.72</v>
      </c>
      <c r="I306" t="s">
        <v>301</v>
      </c>
      <c r="J306" t="s">
        <v>459</v>
      </c>
      <c r="K306" t="s">
        <v>584</v>
      </c>
      <c r="L306" t="s">
        <v>200</v>
      </c>
      <c r="M306" t="s">
        <v>7</v>
      </c>
      <c r="N306" t="s">
        <v>12</v>
      </c>
      <c r="O306" t="s">
        <v>7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7</v>
      </c>
      <c r="AH306" t="s">
        <v>12</v>
      </c>
      <c r="AI306" t="s">
        <v>7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0</v>
      </c>
      <c r="AO306">
        <f>$H$306*$U$306</f>
        <v>0</v>
      </c>
      <c r="AP306">
        <f>$H$306*$V$306</f>
        <v>39.72</v>
      </c>
      <c r="AQ306">
        <f>$H$306*$W$306</f>
        <v>39.72</v>
      </c>
      <c r="AR306">
        <f>$H$306*$X$306</f>
        <v>39.72</v>
      </c>
      <c r="AS306">
        <f>$H$306*$Y$306</f>
        <v>39.72</v>
      </c>
      <c r="AT306">
        <f>$H$306*$Z$306</f>
        <v>39.72</v>
      </c>
      <c r="AU306">
        <f>$H$306*$AA$306</f>
        <v>39.72</v>
      </c>
      <c r="AV306">
        <f>$H$306*$AB$306</f>
        <v>39.72</v>
      </c>
      <c r="AW306">
        <f>$H$306*$AC$306</f>
        <v>39.72</v>
      </c>
      <c r="AX306">
        <f>$H$306*$AD$306</f>
        <v>39.72</v>
      </c>
      <c r="AY306">
        <f>$H$306*$AE$306</f>
        <v>39.72</v>
      </c>
      <c r="AZ306">
        <f>$H$306*$AF$306</f>
        <v>39.72</v>
      </c>
    </row>
    <row r="307" spans="1:52" x14ac:dyDescent="0.25">
      <c r="A307">
        <v>352</v>
      </c>
      <c r="B307" t="s">
        <v>7</v>
      </c>
      <c r="C307" t="s">
        <v>437</v>
      </c>
      <c r="D307">
        <v>2</v>
      </c>
      <c r="E307">
        <v>74</v>
      </c>
      <c r="F307" t="s">
        <v>299</v>
      </c>
      <c r="G307">
        <v>37</v>
      </c>
      <c r="H307">
        <v>88.8</v>
      </c>
      <c r="I307" t="s">
        <v>301</v>
      </c>
      <c r="J307" t="s">
        <v>438</v>
      </c>
      <c r="K307" t="s">
        <v>574</v>
      </c>
      <c r="L307" t="s">
        <v>200</v>
      </c>
      <c r="M307" t="s">
        <v>7</v>
      </c>
      <c r="N307" t="s">
        <v>12</v>
      </c>
      <c r="O307" t="s">
        <v>7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0.6</v>
      </c>
      <c r="Y307">
        <v>0.6</v>
      </c>
      <c r="Z307">
        <v>0.6</v>
      </c>
      <c r="AA307">
        <v>0.6</v>
      </c>
      <c r="AB307">
        <v>0.6</v>
      </c>
      <c r="AC307">
        <v>0.6</v>
      </c>
      <c r="AD307">
        <v>1</v>
      </c>
      <c r="AE307">
        <v>1</v>
      </c>
      <c r="AF307">
        <v>1</v>
      </c>
      <c r="AG307" t="s">
        <v>7</v>
      </c>
      <c r="AH307" t="s">
        <v>12</v>
      </c>
      <c r="AI307" t="s">
        <v>7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0</v>
      </c>
      <c r="AO307">
        <f>$H$307*$U$307</f>
        <v>0</v>
      </c>
      <c r="AP307">
        <f>$H$307*$V$307</f>
        <v>0</v>
      </c>
      <c r="AQ307">
        <f>$H$307*$W$307</f>
        <v>0</v>
      </c>
      <c r="AR307">
        <f>$H$307*$X$307</f>
        <v>53.279999999999994</v>
      </c>
      <c r="AS307">
        <f>$H$307*$Y$307</f>
        <v>53.279999999999994</v>
      </c>
      <c r="AT307">
        <f>$H$307*$Z$307</f>
        <v>53.279999999999994</v>
      </c>
      <c r="AU307">
        <f>$H$307*$AA$307</f>
        <v>53.279999999999994</v>
      </c>
      <c r="AV307">
        <f>$H$307*$AB$307</f>
        <v>53.279999999999994</v>
      </c>
      <c r="AW307">
        <f>$H$307*$AC$307</f>
        <v>53.279999999999994</v>
      </c>
      <c r="AX307">
        <f>$H$307*$AD$307</f>
        <v>88.8</v>
      </c>
      <c r="AY307">
        <f>$H$307*$AE$307</f>
        <v>88.8</v>
      </c>
      <c r="AZ307">
        <f>$H$307*$AF$307</f>
        <v>88.8</v>
      </c>
    </row>
    <row r="308" spans="1:52" x14ac:dyDescent="0.25">
      <c r="A308">
        <v>353</v>
      </c>
      <c r="B308" t="s">
        <v>7</v>
      </c>
      <c r="C308" t="s">
        <v>380</v>
      </c>
      <c r="D308">
        <v>4</v>
      </c>
      <c r="E308">
        <v>53.08</v>
      </c>
      <c r="F308" t="s">
        <v>299</v>
      </c>
      <c r="G308">
        <v>13.27</v>
      </c>
      <c r="H308">
        <v>63.7</v>
      </c>
      <c r="I308" t="s">
        <v>301</v>
      </c>
      <c r="J308" t="s">
        <v>381</v>
      </c>
      <c r="K308" t="s">
        <v>545</v>
      </c>
      <c r="L308" t="s">
        <v>200</v>
      </c>
      <c r="M308" t="s">
        <v>7</v>
      </c>
      <c r="N308" t="s">
        <v>12</v>
      </c>
      <c r="O308" t="s">
        <v>7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7</v>
      </c>
      <c r="AH308" t="s">
        <v>12</v>
      </c>
      <c r="AI308" t="s">
        <v>7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63.7</v>
      </c>
      <c r="AS308">
        <f>$H$308*$Y$308</f>
        <v>63.7</v>
      </c>
      <c r="AT308">
        <f>$H$308*$Z$308</f>
        <v>63.7</v>
      </c>
      <c r="AU308">
        <f>$H$308*$AA$308</f>
        <v>63.7</v>
      </c>
      <c r="AV308">
        <f>$H$308*$AB$308</f>
        <v>63.7</v>
      </c>
      <c r="AW308">
        <f>$H$308*$AC$308</f>
        <v>63.7</v>
      </c>
      <c r="AX308">
        <f>$H$308*$AD$308</f>
        <v>63.7</v>
      </c>
      <c r="AY308">
        <f>$H$308*$AE$308</f>
        <v>63.7</v>
      </c>
      <c r="AZ308">
        <f>$H$308*$AF$308</f>
        <v>63.7</v>
      </c>
    </row>
    <row r="309" spans="1:52" x14ac:dyDescent="0.25">
      <c r="A309">
        <v>354</v>
      </c>
      <c r="B309" t="s">
        <v>7</v>
      </c>
      <c r="C309" t="s">
        <v>380</v>
      </c>
      <c r="D309">
        <v>2</v>
      </c>
      <c r="E309">
        <v>26.54</v>
      </c>
      <c r="F309" t="s">
        <v>299</v>
      </c>
      <c r="G309">
        <v>13.27</v>
      </c>
      <c r="H309">
        <v>31.84</v>
      </c>
      <c r="I309" t="s">
        <v>301</v>
      </c>
      <c r="J309" t="s">
        <v>381</v>
      </c>
      <c r="K309" t="s">
        <v>545</v>
      </c>
      <c r="L309" t="s">
        <v>200</v>
      </c>
      <c r="M309" t="s">
        <v>7</v>
      </c>
      <c r="N309" t="s">
        <v>12</v>
      </c>
      <c r="O309" t="s">
        <v>7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7</v>
      </c>
      <c r="AH309" t="s">
        <v>12</v>
      </c>
      <c r="AI309" t="s">
        <v>7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31.84</v>
      </c>
      <c r="AS309">
        <f>$H$309*$Y$309</f>
        <v>31.84</v>
      </c>
      <c r="AT309">
        <f>$H$309*$Z$309</f>
        <v>31.84</v>
      </c>
      <c r="AU309">
        <f>$H$309*$AA$309</f>
        <v>31.84</v>
      </c>
      <c r="AV309">
        <f>$H$309*$AB$309</f>
        <v>31.84</v>
      </c>
      <c r="AW309">
        <f>$H$309*$AC$309</f>
        <v>31.84</v>
      </c>
      <c r="AX309">
        <f>$H$309*$AD$309</f>
        <v>31.84</v>
      </c>
      <c r="AY309">
        <f>$H$309*$AE$309</f>
        <v>31.84</v>
      </c>
      <c r="AZ309">
        <f>$H$309*$AF$309</f>
        <v>31.84</v>
      </c>
    </row>
    <row r="310" spans="1:52" x14ac:dyDescent="0.25">
      <c r="A310">
        <v>355</v>
      </c>
      <c r="B310" t="s">
        <v>7</v>
      </c>
      <c r="C310" t="s">
        <v>417</v>
      </c>
      <c r="D310">
        <v>1</v>
      </c>
      <c r="E310">
        <v>550.65</v>
      </c>
      <c r="F310" t="s">
        <v>299</v>
      </c>
      <c r="G310">
        <v>550.65</v>
      </c>
      <c r="H310">
        <v>660.79</v>
      </c>
      <c r="I310" t="s">
        <v>317</v>
      </c>
      <c r="J310" t="s">
        <v>418</v>
      </c>
      <c r="K310" t="s">
        <v>564</v>
      </c>
      <c r="L310" t="s">
        <v>200</v>
      </c>
      <c r="M310" t="s">
        <v>7</v>
      </c>
      <c r="N310" t="s">
        <v>12</v>
      </c>
      <c r="O310" t="s">
        <v>7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7</v>
      </c>
      <c r="AH310" t="s">
        <v>12</v>
      </c>
      <c r="AI310" t="s">
        <v>7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0</v>
      </c>
      <c r="AO310">
        <f>$H$310*$U$310</f>
        <v>0</v>
      </c>
      <c r="AP310">
        <f>$H$310*$V$310</f>
        <v>0</v>
      </c>
      <c r="AQ310">
        <f>$H$310*$W$310</f>
        <v>0</v>
      </c>
      <c r="AR310">
        <f>$H$310*$X$310</f>
        <v>0</v>
      </c>
      <c r="AS310">
        <f>$H$310*$Y$310</f>
        <v>0</v>
      </c>
      <c r="AT310">
        <f>$H$310*$Z$310</f>
        <v>0</v>
      </c>
      <c r="AU310">
        <f>$H$310*$AA$310</f>
        <v>660.79</v>
      </c>
      <c r="AV310">
        <f>$H$310*$AB$310</f>
        <v>660.79</v>
      </c>
      <c r="AW310">
        <f>$H$310*$AC$310</f>
        <v>660.79</v>
      </c>
      <c r="AX310">
        <f>$H$310*$AD$310</f>
        <v>660.79</v>
      </c>
      <c r="AY310">
        <f>$H$310*$AE$310</f>
        <v>660.79</v>
      </c>
      <c r="AZ310">
        <f>$H$310*$AF$310</f>
        <v>660.79</v>
      </c>
    </row>
    <row r="311" spans="1:52" x14ac:dyDescent="0.25">
      <c r="A311">
        <v>356</v>
      </c>
      <c r="B311" t="s">
        <v>7</v>
      </c>
      <c r="C311" t="s">
        <v>471</v>
      </c>
      <c r="D311">
        <v>1</v>
      </c>
      <c r="E311">
        <v>203.94</v>
      </c>
      <c r="F311" t="s">
        <v>299</v>
      </c>
      <c r="G311">
        <v>203.94</v>
      </c>
      <c r="H311">
        <v>244.72</v>
      </c>
      <c r="I311" t="s">
        <v>317</v>
      </c>
      <c r="J311" t="s">
        <v>472</v>
      </c>
      <c r="K311" t="s">
        <v>591</v>
      </c>
      <c r="L311" t="s">
        <v>200</v>
      </c>
      <c r="M311" t="s">
        <v>7</v>
      </c>
      <c r="N311" t="s">
        <v>12</v>
      </c>
      <c r="O311" t="s">
        <v>7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7</v>
      </c>
      <c r="AH311" t="s">
        <v>12</v>
      </c>
      <c r="AI311" t="s">
        <v>7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0</v>
      </c>
      <c r="AN311">
        <f>$H$311*$T$311</f>
        <v>0</v>
      </c>
      <c r="AO311">
        <f>$H$311*$U$311</f>
        <v>0</v>
      </c>
      <c r="AP311">
        <f>$H$311*$V$311</f>
        <v>0</v>
      </c>
      <c r="AQ311">
        <f>$H$311*$W$311</f>
        <v>0</v>
      </c>
      <c r="AR311">
        <f>$H$311*$X$311</f>
        <v>0</v>
      </c>
      <c r="AS311">
        <f>$H$311*$Y$311</f>
        <v>0</v>
      </c>
      <c r="AT311">
        <f>$H$311*$Z$311</f>
        <v>0</v>
      </c>
      <c r="AU311">
        <f>$H$311*$AA$311</f>
        <v>244.72</v>
      </c>
      <c r="AV311">
        <f>$H$311*$AB$311</f>
        <v>244.72</v>
      </c>
      <c r="AW311">
        <f>$H$311*$AC$311</f>
        <v>244.72</v>
      </c>
      <c r="AX311">
        <f>$H$311*$AD$311</f>
        <v>244.72</v>
      </c>
      <c r="AY311">
        <f>$H$311*$AE$311</f>
        <v>244.72</v>
      </c>
      <c r="AZ311">
        <f>$H$311*$AF$311</f>
        <v>244.72</v>
      </c>
    </row>
    <row r="312" spans="1:52" x14ac:dyDescent="0.25">
      <c r="A312">
        <v>357</v>
      </c>
      <c r="B312" t="s">
        <v>7</v>
      </c>
      <c r="C312" t="s">
        <v>473</v>
      </c>
      <c r="D312">
        <v>1</v>
      </c>
      <c r="E312">
        <v>332.7</v>
      </c>
      <c r="F312" t="s">
        <v>299</v>
      </c>
      <c r="G312">
        <v>332.7</v>
      </c>
      <c r="H312">
        <v>399.24</v>
      </c>
      <c r="I312" t="s">
        <v>317</v>
      </c>
      <c r="J312" t="s">
        <v>474</v>
      </c>
      <c r="K312" t="s">
        <v>592</v>
      </c>
      <c r="L312" t="s">
        <v>200</v>
      </c>
      <c r="M312" t="s">
        <v>7</v>
      </c>
      <c r="N312" t="s">
        <v>12</v>
      </c>
      <c r="O312" t="s">
        <v>7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7</v>
      </c>
      <c r="AH312" t="s">
        <v>12</v>
      </c>
      <c r="AI312" t="s">
        <v>7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0</v>
      </c>
      <c r="AN312">
        <f>$H$312*$T$312</f>
        <v>0</v>
      </c>
      <c r="AO312">
        <f>$H$312*$U$312</f>
        <v>0</v>
      </c>
      <c r="AP312">
        <f>$H$312*$V$312</f>
        <v>0</v>
      </c>
      <c r="AQ312">
        <f>$H$312*$W$312</f>
        <v>0</v>
      </c>
      <c r="AR312">
        <f>$H$312*$X$312</f>
        <v>0</v>
      </c>
      <c r="AS312">
        <f>$H$312*$Y$312</f>
        <v>0</v>
      </c>
      <c r="AT312">
        <f>$H$312*$Z$312</f>
        <v>0</v>
      </c>
      <c r="AU312">
        <f>$H$312*$AA$312</f>
        <v>399.24</v>
      </c>
      <c r="AV312">
        <f>$H$312*$AB$312</f>
        <v>399.24</v>
      </c>
      <c r="AW312">
        <f>$H$312*$AC$312</f>
        <v>399.24</v>
      </c>
      <c r="AX312">
        <f>$H$312*$AD$312</f>
        <v>399.24</v>
      </c>
      <c r="AY312">
        <f>$H$312*$AE$312</f>
        <v>399.24</v>
      </c>
      <c r="AZ312">
        <f>$H$312*$AF$312</f>
        <v>399.24</v>
      </c>
    </row>
    <row r="313" spans="1:52" x14ac:dyDescent="0.25">
      <c r="A313">
        <v>358</v>
      </c>
      <c r="B313" t="s">
        <v>7</v>
      </c>
      <c r="C313" t="s">
        <v>475</v>
      </c>
      <c r="D313">
        <v>1</v>
      </c>
      <c r="E313">
        <v>91.55</v>
      </c>
      <c r="F313" t="s">
        <v>299</v>
      </c>
      <c r="G313">
        <v>91.55</v>
      </c>
      <c r="H313">
        <v>109.87</v>
      </c>
      <c r="I313" t="s">
        <v>304</v>
      </c>
      <c r="J313" t="s">
        <v>476</v>
      </c>
      <c r="K313" t="s">
        <v>593</v>
      </c>
      <c r="L313" t="s">
        <v>200</v>
      </c>
      <c r="M313" t="s">
        <v>7</v>
      </c>
      <c r="N313" t="s">
        <v>12</v>
      </c>
      <c r="O313" t="s">
        <v>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7</v>
      </c>
      <c r="AH313" t="s">
        <v>12</v>
      </c>
      <c r="AI313" t="s">
        <v>7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0</v>
      </c>
      <c r="AS313">
        <f>$H$313*$Y$313</f>
        <v>0</v>
      </c>
      <c r="AT313">
        <f>$H$313*$Z$313</f>
        <v>0</v>
      </c>
      <c r="AU313">
        <f>$H$313*$AA$313</f>
        <v>0</v>
      </c>
      <c r="AV313">
        <f>$H$313*$AB$313</f>
        <v>109.87</v>
      </c>
      <c r="AW313">
        <f>$H$313*$AC$313</f>
        <v>109.87</v>
      </c>
      <c r="AX313">
        <f>$H$313*$AD$313</f>
        <v>109.87</v>
      </c>
      <c r="AY313">
        <f>$H$313*$AE$313</f>
        <v>109.87</v>
      </c>
      <c r="AZ313">
        <f>$H$313*$AF$313</f>
        <v>109.87</v>
      </c>
    </row>
    <row r="314" spans="1:52" x14ac:dyDescent="0.25">
      <c r="A314">
        <v>359</v>
      </c>
      <c r="B314" t="s">
        <v>7</v>
      </c>
      <c r="C314" t="s">
        <v>477</v>
      </c>
      <c r="D314">
        <v>6</v>
      </c>
      <c r="E314">
        <v>1036.26</v>
      </c>
      <c r="F314" t="s">
        <v>294</v>
      </c>
      <c r="G314">
        <v>172.71</v>
      </c>
      <c r="H314">
        <v>1243.52</v>
      </c>
      <c r="I314" t="s">
        <v>440</v>
      </c>
      <c r="J314" t="s">
        <v>478</v>
      </c>
      <c r="K314" t="s">
        <v>594</v>
      </c>
      <c r="L314" t="s">
        <v>200</v>
      </c>
      <c r="M314" t="s">
        <v>7</v>
      </c>
      <c r="N314" t="s">
        <v>12</v>
      </c>
      <c r="O314" t="s">
        <v>7</v>
      </c>
      <c r="P314">
        <v>0</v>
      </c>
      <c r="Q314">
        <v>0</v>
      </c>
      <c r="R314">
        <v>0</v>
      </c>
      <c r="S314">
        <v>0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7</v>
      </c>
      <c r="AH314" t="s">
        <v>12</v>
      </c>
      <c r="AI314" t="s">
        <v>7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1243.52</v>
      </c>
      <c r="AO314">
        <f>$H$314*$U$314</f>
        <v>1243.52</v>
      </c>
      <c r="AP314">
        <f>$H$314*$V$314</f>
        <v>1243.52</v>
      </c>
      <c r="AQ314">
        <f>$H$314*$W$314</f>
        <v>1243.52</v>
      </c>
      <c r="AR314">
        <f>$H$314*$X$314</f>
        <v>1243.52</v>
      </c>
      <c r="AS314">
        <f>$H$314*$Y$314</f>
        <v>1243.52</v>
      </c>
      <c r="AT314">
        <f>$H$314*$Z$314</f>
        <v>1243.52</v>
      </c>
      <c r="AU314">
        <f>$H$314*$AA$314</f>
        <v>1243.52</v>
      </c>
      <c r="AV314">
        <f>$H$314*$AB$314</f>
        <v>1243.52</v>
      </c>
      <c r="AW314">
        <f>$H$314*$AC$314</f>
        <v>1243.52</v>
      </c>
      <c r="AX314">
        <f>$H$314*$AD$314</f>
        <v>1243.52</v>
      </c>
      <c r="AY314">
        <f>$H$314*$AE$314</f>
        <v>1243.52</v>
      </c>
      <c r="AZ314">
        <f>$H$314*$AF$314</f>
        <v>1243.52</v>
      </c>
    </row>
    <row r="315" spans="1:52" x14ac:dyDescent="0.25">
      <c r="A315">
        <v>360</v>
      </c>
      <c r="B315" t="s">
        <v>7</v>
      </c>
      <c r="C315" t="s">
        <v>479</v>
      </c>
      <c r="D315">
        <v>1</v>
      </c>
      <c r="E315">
        <v>65.8</v>
      </c>
      <c r="F315" t="s">
        <v>299</v>
      </c>
      <c r="G315">
        <v>65.8</v>
      </c>
      <c r="H315">
        <v>78.959999999999994</v>
      </c>
      <c r="I315" t="s">
        <v>480</v>
      </c>
      <c r="J315" t="s">
        <v>481</v>
      </c>
      <c r="K315" t="s">
        <v>595</v>
      </c>
      <c r="L315" t="s">
        <v>200</v>
      </c>
      <c r="M315" t="s">
        <v>7</v>
      </c>
      <c r="N315" t="s">
        <v>12</v>
      </c>
      <c r="O315" t="s">
        <v>7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7</v>
      </c>
      <c r="AH315" t="s">
        <v>12</v>
      </c>
      <c r="AI315" t="s">
        <v>7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78.959999999999994</v>
      </c>
      <c r="AQ315">
        <f>$H$315*$W$315</f>
        <v>78.959999999999994</v>
      </c>
      <c r="AR315">
        <f>$H$315*$X$315</f>
        <v>78.959999999999994</v>
      </c>
      <c r="AS315">
        <f>$H$315*$Y$315</f>
        <v>78.959999999999994</v>
      </c>
      <c r="AT315">
        <f>$H$315*$Z$315</f>
        <v>78.959999999999994</v>
      </c>
      <c r="AU315">
        <f>$H$315*$AA$315</f>
        <v>78.959999999999994</v>
      </c>
      <c r="AV315">
        <f>$H$315*$AB$315</f>
        <v>78.959999999999994</v>
      </c>
      <c r="AW315">
        <f>$H$315*$AC$315</f>
        <v>78.959999999999994</v>
      </c>
      <c r="AX315">
        <f>$H$315*$AD$315</f>
        <v>78.959999999999994</v>
      </c>
      <c r="AY315">
        <f>$H$315*$AE$315</f>
        <v>78.959999999999994</v>
      </c>
      <c r="AZ315">
        <f>$H$315*$AF$315</f>
        <v>78.959999999999994</v>
      </c>
    </row>
    <row r="316" spans="1:52" x14ac:dyDescent="0.25">
      <c r="A316">
        <v>361</v>
      </c>
      <c r="B316" t="s">
        <v>7</v>
      </c>
      <c r="C316" t="s">
        <v>482</v>
      </c>
      <c r="D316">
        <v>28</v>
      </c>
      <c r="E316">
        <v>267.95999999999998</v>
      </c>
      <c r="F316" t="s">
        <v>299</v>
      </c>
      <c r="G316">
        <v>9.57</v>
      </c>
      <c r="H316">
        <v>321.56</v>
      </c>
      <c r="I316" t="s">
        <v>440</v>
      </c>
      <c r="J316" t="s">
        <v>483</v>
      </c>
      <c r="K316" t="s">
        <v>596</v>
      </c>
      <c r="L316" t="s">
        <v>200</v>
      </c>
      <c r="M316" t="s">
        <v>7</v>
      </c>
      <c r="N316" t="s">
        <v>12</v>
      </c>
      <c r="O316" t="s">
        <v>7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7</v>
      </c>
      <c r="AH316" t="s">
        <v>12</v>
      </c>
      <c r="AI316" t="s">
        <v>7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321.56</v>
      </c>
      <c r="AU316">
        <f>$H$316*$AA$316</f>
        <v>321.56</v>
      </c>
      <c r="AV316">
        <f>$H$316*$AB$316</f>
        <v>321.56</v>
      </c>
      <c r="AW316">
        <f>$H$316*$AC$316</f>
        <v>321.56</v>
      </c>
      <c r="AX316">
        <f>$H$316*$AD$316</f>
        <v>321.56</v>
      </c>
      <c r="AY316">
        <f>$H$316*$AE$316</f>
        <v>321.56</v>
      </c>
      <c r="AZ316">
        <f>$H$316*$AF$316</f>
        <v>321.56</v>
      </c>
    </row>
    <row r="317" spans="1:52" x14ac:dyDescent="0.25">
      <c r="A317">
        <v>362</v>
      </c>
      <c r="B317" t="s">
        <v>7</v>
      </c>
      <c r="C317" t="s">
        <v>484</v>
      </c>
      <c r="D317">
        <v>14</v>
      </c>
      <c r="E317">
        <v>3195.36</v>
      </c>
      <c r="F317" t="s">
        <v>294</v>
      </c>
      <c r="G317">
        <v>228.24</v>
      </c>
      <c r="H317">
        <v>3834.44</v>
      </c>
      <c r="I317" t="s">
        <v>440</v>
      </c>
      <c r="J317" t="s">
        <v>485</v>
      </c>
      <c r="K317" t="s">
        <v>597</v>
      </c>
      <c r="L317" t="s">
        <v>200</v>
      </c>
      <c r="M317" t="s">
        <v>7</v>
      </c>
      <c r="N317" t="s">
        <v>12</v>
      </c>
      <c r="O317" t="s">
        <v>7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7</v>
      </c>
      <c r="AH317" t="s">
        <v>12</v>
      </c>
      <c r="AI317" t="s">
        <v>7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0</v>
      </c>
      <c r="AS317">
        <f>$H$317*$Y$317</f>
        <v>0</v>
      </c>
      <c r="AT317">
        <f>$H$317*$Z$317</f>
        <v>0</v>
      </c>
      <c r="AU317">
        <f>$H$317*$AA$317</f>
        <v>0</v>
      </c>
      <c r="AV317">
        <f>$H$317*$AB$317</f>
        <v>3834.44</v>
      </c>
      <c r="AW317">
        <f>$H$317*$AC$317</f>
        <v>3834.44</v>
      </c>
      <c r="AX317">
        <f>$H$317*$AD$317</f>
        <v>3834.44</v>
      </c>
      <c r="AY317">
        <f>$H$317*$AE$317</f>
        <v>3834.44</v>
      </c>
      <c r="AZ317">
        <f>$H$317*$AF$317</f>
        <v>3834.44</v>
      </c>
    </row>
    <row r="318" spans="1:52" x14ac:dyDescent="0.25">
      <c r="A318">
        <v>363</v>
      </c>
      <c r="B318" t="s">
        <v>7</v>
      </c>
      <c r="C318" t="s">
        <v>486</v>
      </c>
      <c r="D318">
        <v>16</v>
      </c>
      <c r="E318">
        <v>3928.96</v>
      </c>
      <c r="F318" t="s">
        <v>294</v>
      </c>
      <c r="G318">
        <v>245.56</v>
      </c>
      <c r="H318">
        <v>4714.76</v>
      </c>
      <c r="I318" t="s">
        <v>440</v>
      </c>
      <c r="J318" t="s">
        <v>487</v>
      </c>
      <c r="K318" t="s">
        <v>598</v>
      </c>
      <c r="L318" t="s">
        <v>200</v>
      </c>
      <c r="M318" t="s">
        <v>7</v>
      </c>
      <c r="N318" t="s">
        <v>12</v>
      </c>
      <c r="O318" t="s">
        <v>7</v>
      </c>
      <c r="P318">
        <v>0</v>
      </c>
      <c r="Q318">
        <v>0</v>
      </c>
      <c r="R318">
        <v>0</v>
      </c>
      <c r="S318">
        <v>0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7</v>
      </c>
      <c r="AH318" t="s">
        <v>12</v>
      </c>
      <c r="AI318" t="s">
        <v>7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4714.76</v>
      </c>
      <c r="AO318">
        <f>$H$318*$U$318</f>
        <v>4714.76</v>
      </c>
      <c r="AP318">
        <f>$H$318*$V$318</f>
        <v>4714.76</v>
      </c>
      <c r="AQ318">
        <f>$H$318*$W$318</f>
        <v>4714.76</v>
      </c>
      <c r="AR318">
        <f>$H$318*$X$318</f>
        <v>4714.76</v>
      </c>
      <c r="AS318">
        <f>$H$318*$Y$318</f>
        <v>4714.76</v>
      </c>
      <c r="AT318">
        <f>$H$318*$Z$318</f>
        <v>4714.76</v>
      </c>
      <c r="AU318">
        <f>$H$318*$AA$318</f>
        <v>4714.76</v>
      </c>
      <c r="AV318">
        <f>$H$318*$AB$318</f>
        <v>4714.76</v>
      </c>
      <c r="AW318">
        <f>$H$318*$AC$318</f>
        <v>4714.76</v>
      </c>
      <c r="AX318">
        <f>$H$318*$AD$318</f>
        <v>4714.76</v>
      </c>
      <c r="AY318">
        <f>$H$318*$AE$318</f>
        <v>4714.76</v>
      </c>
      <c r="AZ318">
        <f>$H$318*$AF$318</f>
        <v>4714.76</v>
      </c>
    </row>
    <row r="319" spans="1:52" x14ac:dyDescent="0.25">
      <c r="A319">
        <v>364</v>
      </c>
      <c r="B319" t="s">
        <v>7</v>
      </c>
      <c r="C319" t="s">
        <v>488</v>
      </c>
      <c r="D319">
        <v>18</v>
      </c>
      <c r="E319">
        <v>1206.3599999999999</v>
      </c>
      <c r="F319" t="s">
        <v>294</v>
      </c>
      <c r="G319">
        <v>67.02</v>
      </c>
      <c r="H319">
        <v>1447.64</v>
      </c>
      <c r="I319" t="s">
        <v>440</v>
      </c>
      <c r="J319" t="s">
        <v>489</v>
      </c>
      <c r="K319" t="s">
        <v>599</v>
      </c>
      <c r="L319" t="s">
        <v>200</v>
      </c>
      <c r="M319" t="s">
        <v>7</v>
      </c>
      <c r="N319" t="s">
        <v>12</v>
      </c>
      <c r="O319" t="s">
        <v>7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7</v>
      </c>
      <c r="AH319" t="s">
        <v>12</v>
      </c>
      <c r="AI319" t="s">
        <v>7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0</v>
      </c>
      <c r="AS319">
        <f>$H$319*$Y$319</f>
        <v>0</v>
      </c>
      <c r="AT319">
        <f>$H$319*$Z$319</f>
        <v>1447.64</v>
      </c>
      <c r="AU319">
        <f>$H$319*$AA$319</f>
        <v>1447.64</v>
      </c>
      <c r="AV319">
        <f>$H$319*$AB$319</f>
        <v>1447.64</v>
      </c>
      <c r="AW319">
        <f>$H$319*$AC$319</f>
        <v>1447.64</v>
      </c>
      <c r="AX319">
        <f>$H$319*$AD$319</f>
        <v>1447.64</v>
      </c>
      <c r="AY319">
        <f>$H$319*$AE$319</f>
        <v>1447.64</v>
      </c>
      <c r="AZ319">
        <f>$H$319*$AF$319</f>
        <v>1447.64</v>
      </c>
    </row>
    <row r="320" spans="1:52" x14ac:dyDescent="0.25">
      <c r="A320">
        <v>365</v>
      </c>
      <c r="B320" t="s">
        <v>7</v>
      </c>
      <c r="C320" t="s">
        <v>490</v>
      </c>
      <c r="D320">
        <v>6</v>
      </c>
      <c r="E320">
        <v>255.96</v>
      </c>
      <c r="F320" t="s">
        <v>294</v>
      </c>
      <c r="G320">
        <v>42.66</v>
      </c>
      <c r="H320">
        <v>307.16000000000003</v>
      </c>
      <c r="I320" t="s">
        <v>440</v>
      </c>
      <c r="J320" t="s">
        <v>491</v>
      </c>
      <c r="K320" t="s">
        <v>600</v>
      </c>
      <c r="L320" t="s">
        <v>200</v>
      </c>
      <c r="M320" t="s">
        <v>7</v>
      </c>
      <c r="N320" t="s">
        <v>12</v>
      </c>
      <c r="O320" t="s">
        <v>7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7</v>
      </c>
      <c r="AH320" t="s">
        <v>12</v>
      </c>
      <c r="AI320" t="s">
        <v>7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307.16000000000003</v>
      </c>
      <c r="AU320">
        <f>$H$320*$AA$320</f>
        <v>307.16000000000003</v>
      </c>
      <c r="AV320">
        <f>$H$320*$AB$320</f>
        <v>307.16000000000003</v>
      </c>
      <c r="AW320">
        <f>$H$320*$AC$320</f>
        <v>307.16000000000003</v>
      </c>
      <c r="AX320">
        <f>$H$320*$AD$320</f>
        <v>307.16000000000003</v>
      </c>
      <c r="AY320">
        <f>$H$320*$AE$320</f>
        <v>307.16000000000003</v>
      </c>
      <c r="AZ320">
        <f>$H$320*$AF$320</f>
        <v>307.16000000000003</v>
      </c>
    </row>
    <row r="321" spans="1:52" x14ac:dyDescent="0.25">
      <c r="A321">
        <v>366</v>
      </c>
      <c r="B321" t="s">
        <v>7</v>
      </c>
      <c r="C321" t="s">
        <v>492</v>
      </c>
      <c r="D321">
        <v>1</v>
      </c>
      <c r="E321">
        <v>75.59</v>
      </c>
      <c r="F321" t="s">
        <v>299</v>
      </c>
      <c r="G321">
        <v>75.59</v>
      </c>
      <c r="H321">
        <v>90.71</v>
      </c>
      <c r="I321" t="s">
        <v>301</v>
      </c>
      <c r="J321" t="s">
        <v>493</v>
      </c>
      <c r="K321" t="s">
        <v>601</v>
      </c>
      <c r="L321" t="s">
        <v>200</v>
      </c>
      <c r="M321" t="s">
        <v>7</v>
      </c>
      <c r="N321" t="s">
        <v>12</v>
      </c>
      <c r="O321" t="s">
        <v>7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0.6</v>
      </c>
      <c r="Y321">
        <v>0.6</v>
      </c>
      <c r="Z321">
        <v>0.6</v>
      </c>
      <c r="AA321">
        <v>0.6</v>
      </c>
      <c r="AB321">
        <v>0.6</v>
      </c>
      <c r="AC321">
        <v>0.6</v>
      </c>
      <c r="AD321">
        <v>1</v>
      </c>
      <c r="AE321">
        <v>1</v>
      </c>
      <c r="AF321">
        <v>1</v>
      </c>
      <c r="AG321" t="s">
        <v>7</v>
      </c>
      <c r="AH321" t="s">
        <v>12</v>
      </c>
      <c r="AI321" t="s">
        <v>7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54.425999999999995</v>
      </c>
      <c r="AS321">
        <f>$H$321*$Y$321</f>
        <v>54.425999999999995</v>
      </c>
      <c r="AT321">
        <f>$H$321*$Z$321</f>
        <v>54.425999999999995</v>
      </c>
      <c r="AU321">
        <f>$H$321*$AA$321</f>
        <v>54.425999999999995</v>
      </c>
      <c r="AV321">
        <f>$H$321*$AB$321</f>
        <v>54.425999999999995</v>
      </c>
      <c r="AW321">
        <f>$H$321*$AC$321</f>
        <v>54.425999999999995</v>
      </c>
      <c r="AX321">
        <f>$H$321*$AD$321</f>
        <v>90.71</v>
      </c>
      <c r="AY321">
        <f>$H$321*$AE$321</f>
        <v>90.71</v>
      </c>
      <c r="AZ321">
        <f>$H$321*$AF$321</f>
        <v>90.71</v>
      </c>
    </row>
    <row r="322" spans="1:52" x14ac:dyDescent="0.25">
      <c r="A322">
        <v>367</v>
      </c>
      <c r="B322" t="s">
        <v>7</v>
      </c>
      <c r="C322" t="s">
        <v>494</v>
      </c>
      <c r="D322">
        <v>1</v>
      </c>
      <c r="E322">
        <v>235.47</v>
      </c>
      <c r="F322" t="s">
        <v>299</v>
      </c>
      <c r="G322">
        <v>235.47</v>
      </c>
      <c r="H322">
        <v>282.57</v>
      </c>
      <c r="I322" t="s">
        <v>480</v>
      </c>
      <c r="J322" t="s">
        <v>495</v>
      </c>
      <c r="K322" t="s">
        <v>602</v>
      </c>
      <c r="L322" t="s">
        <v>200</v>
      </c>
      <c r="M322" t="s">
        <v>7</v>
      </c>
      <c r="N322" t="s">
        <v>12</v>
      </c>
      <c r="O322" t="s">
        <v>7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1</v>
      </c>
      <c r="AD322">
        <v>1</v>
      </c>
      <c r="AE322">
        <v>1</v>
      </c>
      <c r="AF322">
        <v>1</v>
      </c>
      <c r="AG322" t="s">
        <v>7</v>
      </c>
      <c r="AH322" t="s">
        <v>12</v>
      </c>
      <c r="AI322" t="s">
        <v>7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0</v>
      </c>
      <c r="AU322">
        <f>$H$322*$AA$322</f>
        <v>0</v>
      </c>
      <c r="AV322">
        <f>$H$322*$AB$322</f>
        <v>0</v>
      </c>
      <c r="AW322">
        <f>$H$322*$AC$322</f>
        <v>282.57</v>
      </c>
      <c r="AX322">
        <f>$H$322*$AD$322</f>
        <v>282.57</v>
      </c>
      <c r="AY322">
        <f>$H$322*$AE$322</f>
        <v>282.57</v>
      </c>
      <c r="AZ322">
        <f>$H$322*$AF$322</f>
        <v>282.57</v>
      </c>
    </row>
    <row r="323" spans="1:52" x14ac:dyDescent="0.25">
      <c r="A323">
        <v>368</v>
      </c>
      <c r="B323" t="s">
        <v>7</v>
      </c>
      <c r="C323" t="s">
        <v>496</v>
      </c>
      <c r="D323">
        <v>1</v>
      </c>
      <c r="E323">
        <v>757.08</v>
      </c>
      <c r="F323" t="s">
        <v>299</v>
      </c>
      <c r="G323">
        <v>757.08</v>
      </c>
      <c r="H323">
        <v>908.5</v>
      </c>
      <c r="I323" t="s">
        <v>480</v>
      </c>
      <c r="J323" t="s">
        <v>497</v>
      </c>
      <c r="K323" t="s">
        <v>603</v>
      </c>
      <c r="L323" t="s">
        <v>200</v>
      </c>
      <c r="M323" t="s">
        <v>7</v>
      </c>
      <c r="N323" t="s">
        <v>12</v>
      </c>
      <c r="O323" t="s">
        <v>7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7</v>
      </c>
      <c r="AH323" t="s">
        <v>12</v>
      </c>
      <c r="AI323" t="s">
        <v>7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908.5</v>
      </c>
      <c r="AQ323">
        <f>$H$323*$W$323</f>
        <v>908.5</v>
      </c>
      <c r="AR323">
        <f>$H$323*$X$323</f>
        <v>908.5</v>
      </c>
      <c r="AS323">
        <f>$H$323*$Y$323</f>
        <v>908.5</v>
      </c>
      <c r="AT323">
        <f>$H$323*$Z$323</f>
        <v>908.5</v>
      </c>
      <c r="AU323">
        <f>$H$323*$AA$323</f>
        <v>908.5</v>
      </c>
      <c r="AV323">
        <f>$H$323*$AB$323</f>
        <v>908.5</v>
      </c>
      <c r="AW323">
        <f>$H$323*$AC$323</f>
        <v>908.5</v>
      </c>
      <c r="AX323">
        <f>$H$323*$AD$323</f>
        <v>908.5</v>
      </c>
      <c r="AY323">
        <f>$H$323*$AE$323</f>
        <v>908.5</v>
      </c>
      <c r="AZ323">
        <f>$H$323*$AF$323</f>
        <v>908.5</v>
      </c>
    </row>
    <row r="324" spans="1:52" x14ac:dyDescent="0.25">
      <c r="A324">
        <v>369</v>
      </c>
      <c r="B324" t="s">
        <v>7</v>
      </c>
      <c r="C324" t="s">
        <v>498</v>
      </c>
      <c r="D324">
        <v>1</v>
      </c>
      <c r="E324">
        <v>943.78</v>
      </c>
      <c r="F324" t="s">
        <v>299</v>
      </c>
      <c r="G324">
        <v>943.78</v>
      </c>
      <c r="H324">
        <v>1132.54</v>
      </c>
      <c r="I324" t="s">
        <v>480</v>
      </c>
      <c r="J324" t="s">
        <v>499</v>
      </c>
      <c r="K324" t="s">
        <v>604</v>
      </c>
      <c r="L324" t="s">
        <v>200</v>
      </c>
      <c r="M324" t="s">
        <v>7</v>
      </c>
      <c r="N324" t="s">
        <v>12</v>
      </c>
      <c r="O324" t="s">
        <v>7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7</v>
      </c>
      <c r="AH324" t="s">
        <v>12</v>
      </c>
      <c r="AI324" t="s">
        <v>7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1132.54</v>
      </c>
      <c r="AQ324">
        <f>$H$324*$W$324</f>
        <v>1132.54</v>
      </c>
      <c r="AR324">
        <f>$H$324*$X$324</f>
        <v>1132.54</v>
      </c>
      <c r="AS324">
        <f>$H$324*$Y$324</f>
        <v>1132.54</v>
      </c>
      <c r="AT324">
        <f>$H$324*$Z$324</f>
        <v>1132.54</v>
      </c>
      <c r="AU324">
        <f>$H$324*$AA$324</f>
        <v>1132.54</v>
      </c>
      <c r="AV324">
        <f>$H$324*$AB$324</f>
        <v>1132.54</v>
      </c>
      <c r="AW324">
        <f>$H$324*$AC$324</f>
        <v>1132.54</v>
      </c>
      <c r="AX324">
        <f>$H$324*$AD$324</f>
        <v>1132.54</v>
      </c>
      <c r="AY324">
        <f>$H$324*$AE$324</f>
        <v>1132.54</v>
      </c>
      <c r="AZ324">
        <f>$H$324*$AF$324</f>
        <v>1132.54</v>
      </c>
    </row>
    <row r="325" spans="1:52" x14ac:dyDescent="0.25">
      <c r="A325">
        <v>370</v>
      </c>
      <c r="B325" t="s">
        <v>7</v>
      </c>
      <c r="C325" t="s">
        <v>500</v>
      </c>
      <c r="D325">
        <v>1</v>
      </c>
      <c r="E325">
        <v>1062.1099999999999</v>
      </c>
      <c r="F325" t="s">
        <v>299</v>
      </c>
      <c r="G325">
        <v>1062.1099999999999</v>
      </c>
      <c r="H325">
        <v>1274.53</v>
      </c>
      <c r="I325" t="s">
        <v>480</v>
      </c>
      <c r="J325" t="s">
        <v>501</v>
      </c>
      <c r="K325" t="s">
        <v>605</v>
      </c>
      <c r="L325" t="s">
        <v>200</v>
      </c>
      <c r="M325" t="s">
        <v>7</v>
      </c>
      <c r="N325" t="s">
        <v>12</v>
      </c>
      <c r="O325" t="s">
        <v>7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7</v>
      </c>
      <c r="AH325" t="s">
        <v>12</v>
      </c>
      <c r="AI325" t="s">
        <v>7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0</v>
      </c>
      <c r="AO325">
        <f>$H$325*$U$325</f>
        <v>0</v>
      </c>
      <c r="AP325">
        <f>$H$325*$V$325</f>
        <v>1274.53</v>
      </c>
      <c r="AQ325">
        <f>$H$325*$W$325</f>
        <v>1274.53</v>
      </c>
      <c r="AR325">
        <f>$H$325*$X$325</f>
        <v>1274.53</v>
      </c>
      <c r="AS325">
        <f>$H$325*$Y$325</f>
        <v>1274.53</v>
      </c>
      <c r="AT325">
        <f>$H$325*$Z$325</f>
        <v>1274.53</v>
      </c>
      <c r="AU325">
        <f>$H$325*$AA$325</f>
        <v>1274.53</v>
      </c>
      <c r="AV325">
        <f>$H$325*$AB$325</f>
        <v>1274.53</v>
      </c>
      <c r="AW325">
        <f>$H$325*$AC$325</f>
        <v>1274.53</v>
      </c>
      <c r="AX325">
        <f>$H$325*$AD$325</f>
        <v>1274.53</v>
      </c>
      <c r="AY325">
        <f>$H$325*$AE$325</f>
        <v>1274.53</v>
      </c>
      <c r="AZ325">
        <f>$H$325*$AF$325</f>
        <v>1274.53</v>
      </c>
    </row>
    <row r="326" spans="1:52" x14ac:dyDescent="0.25">
      <c r="A326">
        <v>371</v>
      </c>
      <c r="B326" t="s">
        <v>7</v>
      </c>
      <c r="C326" t="s">
        <v>324</v>
      </c>
      <c r="D326">
        <v>305.33</v>
      </c>
      <c r="E326">
        <v>299.22000000000003</v>
      </c>
      <c r="F326" t="s">
        <v>313</v>
      </c>
      <c r="G326">
        <v>0.98</v>
      </c>
      <c r="H326">
        <v>359.06</v>
      </c>
      <c r="I326" t="s">
        <v>295</v>
      </c>
      <c r="J326" t="s">
        <v>325</v>
      </c>
      <c r="K326" t="s">
        <v>518</v>
      </c>
      <c r="L326" t="s">
        <v>200</v>
      </c>
      <c r="M326" t="s">
        <v>7</v>
      </c>
      <c r="N326" t="s">
        <v>12</v>
      </c>
      <c r="O326" t="s">
        <v>7</v>
      </c>
      <c r="P326">
        <v>0</v>
      </c>
      <c r="Q326">
        <v>0</v>
      </c>
      <c r="R326">
        <v>0</v>
      </c>
      <c r="S326">
        <v>0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7</v>
      </c>
      <c r="AH326" t="s">
        <v>12</v>
      </c>
      <c r="AI326" t="s">
        <v>7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359.06</v>
      </c>
      <c r="AO326">
        <f>$H$326*$U$326</f>
        <v>359.06</v>
      </c>
      <c r="AP326">
        <f>$H$326*$V$326</f>
        <v>359.06</v>
      </c>
      <c r="AQ326">
        <f>$H$326*$W$326</f>
        <v>359.06</v>
      </c>
      <c r="AR326">
        <f>$H$326*$X$326</f>
        <v>359.06</v>
      </c>
      <c r="AS326">
        <f>$H$326*$Y$326</f>
        <v>359.06</v>
      </c>
      <c r="AT326">
        <f>$H$326*$Z$326</f>
        <v>359.06</v>
      </c>
      <c r="AU326">
        <f>$H$326*$AA$326</f>
        <v>359.06</v>
      </c>
      <c r="AV326">
        <f>$H$326*$AB$326</f>
        <v>359.06</v>
      </c>
      <c r="AW326">
        <f>$H$326*$AC$326</f>
        <v>359.06</v>
      </c>
      <c r="AX326">
        <f>$H$326*$AD$326</f>
        <v>359.06</v>
      </c>
      <c r="AY326">
        <f>$H$326*$AE$326</f>
        <v>359.06</v>
      </c>
      <c r="AZ326">
        <f>$H$326*$AF$326</f>
        <v>359.06</v>
      </c>
    </row>
    <row r="327" spans="1:52" x14ac:dyDescent="0.25">
      <c r="A327">
        <v>372</v>
      </c>
      <c r="B327" t="s">
        <v>7</v>
      </c>
      <c r="C327" t="s">
        <v>326</v>
      </c>
      <c r="D327">
        <v>305.33</v>
      </c>
      <c r="E327">
        <v>815.23</v>
      </c>
      <c r="F327" t="s">
        <v>313</v>
      </c>
      <c r="G327">
        <v>2.67</v>
      </c>
      <c r="H327">
        <v>978.27</v>
      </c>
      <c r="I327" t="s">
        <v>327</v>
      </c>
      <c r="J327" t="s">
        <v>328</v>
      </c>
      <c r="K327" t="s">
        <v>519</v>
      </c>
      <c r="L327" t="s">
        <v>200</v>
      </c>
      <c r="M327" t="s">
        <v>7</v>
      </c>
      <c r="N327" t="s">
        <v>12</v>
      </c>
      <c r="O327" t="s">
        <v>7</v>
      </c>
      <c r="P327">
        <v>0</v>
      </c>
      <c r="Q327">
        <v>0</v>
      </c>
      <c r="R327">
        <v>0</v>
      </c>
      <c r="S327">
        <v>0.25</v>
      </c>
      <c r="T327">
        <v>0.25</v>
      </c>
      <c r="U327">
        <v>0.25</v>
      </c>
      <c r="V327">
        <v>0.25</v>
      </c>
      <c r="W327">
        <v>0.25</v>
      </c>
      <c r="X327">
        <v>0.5</v>
      </c>
      <c r="Y327">
        <v>0.5</v>
      </c>
      <c r="Z327">
        <v>0.5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7</v>
      </c>
      <c r="AH327" t="s">
        <v>12</v>
      </c>
      <c r="AI327" t="s">
        <v>7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244.5675</v>
      </c>
      <c r="AN327">
        <f>$H$327*$T$327</f>
        <v>244.5675</v>
      </c>
      <c r="AO327">
        <f>$H$327*$U$327</f>
        <v>244.5675</v>
      </c>
      <c r="AP327">
        <f>$H$327*$V$327</f>
        <v>244.5675</v>
      </c>
      <c r="AQ327">
        <f>$H$327*$W$327</f>
        <v>244.5675</v>
      </c>
      <c r="AR327">
        <f>$H$327*$X$327</f>
        <v>489.13499999999999</v>
      </c>
      <c r="AS327">
        <f>$H$327*$Y$327</f>
        <v>489.13499999999999</v>
      </c>
      <c r="AT327">
        <f>$H$327*$Z$327</f>
        <v>489.13499999999999</v>
      </c>
      <c r="AU327">
        <f>$H$327*$AA$327</f>
        <v>978.27</v>
      </c>
      <c r="AV327">
        <f>$H$327*$AB$327</f>
        <v>978.27</v>
      </c>
      <c r="AW327">
        <f>$H$327*$AC$327</f>
        <v>978.27</v>
      </c>
      <c r="AX327">
        <f>$H$327*$AD$327</f>
        <v>978.27</v>
      </c>
      <c r="AY327">
        <f>$H$327*$AE$327</f>
        <v>978.27</v>
      </c>
      <c r="AZ327">
        <f>$H$327*$AF$327</f>
        <v>978.27</v>
      </c>
    </row>
    <row r="328" spans="1:52" x14ac:dyDescent="0.25">
      <c r="A328">
        <v>373</v>
      </c>
      <c r="B328" t="s">
        <v>7</v>
      </c>
      <c r="C328" t="s">
        <v>383</v>
      </c>
      <c r="D328">
        <v>19.079999999999998</v>
      </c>
      <c r="E328">
        <v>17.36</v>
      </c>
      <c r="F328" t="s">
        <v>294</v>
      </c>
      <c r="G328">
        <v>0.91</v>
      </c>
      <c r="H328">
        <v>20.84</v>
      </c>
      <c r="I328" t="s">
        <v>295</v>
      </c>
      <c r="J328" t="s">
        <v>384</v>
      </c>
      <c r="K328" t="s">
        <v>547</v>
      </c>
      <c r="L328" t="s">
        <v>200</v>
      </c>
      <c r="M328" t="s">
        <v>7</v>
      </c>
      <c r="N328" t="s">
        <v>12</v>
      </c>
      <c r="O328" t="s">
        <v>7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7</v>
      </c>
      <c r="AH328" t="s">
        <v>12</v>
      </c>
      <c r="AI328" t="s">
        <v>7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20.84</v>
      </c>
      <c r="AN328">
        <f>$H$328*$T$328</f>
        <v>20.84</v>
      </c>
      <c r="AO328">
        <f>$H$328*$U$328</f>
        <v>20.84</v>
      </c>
      <c r="AP328">
        <f>$H$328*$V$328</f>
        <v>20.84</v>
      </c>
      <c r="AQ328">
        <f>$H$328*$W$328</f>
        <v>20.84</v>
      </c>
      <c r="AR328">
        <f>$H$328*$X$328</f>
        <v>20.84</v>
      </c>
      <c r="AS328">
        <f>$H$328*$Y$328</f>
        <v>20.84</v>
      </c>
      <c r="AT328">
        <f>$H$328*$Z$328</f>
        <v>20.84</v>
      </c>
      <c r="AU328">
        <f>$H$328*$AA$328</f>
        <v>20.84</v>
      </c>
      <c r="AV328">
        <f>$H$328*$AB$328</f>
        <v>20.84</v>
      </c>
      <c r="AW328">
        <f>$H$328*$AC$328</f>
        <v>20.84</v>
      </c>
      <c r="AX328">
        <f>$H$328*$AD$328</f>
        <v>20.84</v>
      </c>
      <c r="AY328">
        <f>$H$328*$AE$328</f>
        <v>20.84</v>
      </c>
      <c r="AZ328">
        <f>$H$328*$AF$328</f>
        <v>20.84</v>
      </c>
    </row>
    <row r="329" spans="1:52" x14ac:dyDescent="0.25">
      <c r="A329">
        <v>374</v>
      </c>
      <c r="B329" t="s">
        <v>7</v>
      </c>
      <c r="C329" t="s">
        <v>385</v>
      </c>
      <c r="D329">
        <v>19.079999999999998</v>
      </c>
      <c r="E329">
        <v>97.69</v>
      </c>
      <c r="F329" t="s">
        <v>294</v>
      </c>
      <c r="G329">
        <v>5.12</v>
      </c>
      <c r="H329">
        <v>117.23</v>
      </c>
      <c r="I329" t="s">
        <v>298</v>
      </c>
      <c r="J329" t="s">
        <v>386</v>
      </c>
      <c r="K329" t="s">
        <v>548</v>
      </c>
      <c r="L329" t="s">
        <v>200</v>
      </c>
      <c r="M329" t="s">
        <v>7</v>
      </c>
      <c r="N329" t="s">
        <v>12</v>
      </c>
      <c r="O329" t="s">
        <v>7</v>
      </c>
      <c r="P329">
        <v>0</v>
      </c>
      <c r="Q329">
        <v>0</v>
      </c>
      <c r="R329">
        <v>0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7</v>
      </c>
      <c r="AH329" t="s">
        <v>12</v>
      </c>
      <c r="AI329" t="s">
        <v>7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117.23</v>
      </c>
      <c r="AN329">
        <f>$H$329*$T$329</f>
        <v>117.23</v>
      </c>
      <c r="AO329">
        <f>$H$329*$U$329</f>
        <v>117.23</v>
      </c>
      <c r="AP329">
        <f>$H$329*$V$329</f>
        <v>117.23</v>
      </c>
      <c r="AQ329">
        <f>$H$329*$W$329</f>
        <v>117.23</v>
      </c>
      <c r="AR329">
        <f>$H$329*$X$329</f>
        <v>117.23</v>
      </c>
      <c r="AS329">
        <f>$H$329*$Y$329</f>
        <v>117.23</v>
      </c>
      <c r="AT329">
        <f>$H$329*$Z$329</f>
        <v>117.23</v>
      </c>
      <c r="AU329">
        <f>$H$329*$AA$329</f>
        <v>117.23</v>
      </c>
      <c r="AV329">
        <f>$H$329*$AB$329</f>
        <v>117.23</v>
      </c>
      <c r="AW329">
        <f>$H$329*$AC$329</f>
        <v>117.23</v>
      </c>
      <c r="AX329">
        <f>$H$329*$AD$329</f>
        <v>117.23</v>
      </c>
      <c r="AY329">
        <f>$H$329*$AE$329</f>
        <v>117.23</v>
      </c>
      <c r="AZ329">
        <f>$H$329*$AF$329</f>
        <v>117.23</v>
      </c>
    </row>
    <row r="330" spans="1:52" x14ac:dyDescent="0.25">
      <c r="A330">
        <v>375</v>
      </c>
      <c r="B330" t="s">
        <v>7</v>
      </c>
      <c r="C330" t="s">
        <v>326</v>
      </c>
      <c r="D330">
        <v>90.83</v>
      </c>
      <c r="E330">
        <v>242.52</v>
      </c>
      <c r="F330" t="s">
        <v>313</v>
      </c>
      <c r="G330">
        <v>2.67</v>
      </c>
      <c r="H330">
        <v>291.02</v>
      </c>
      <c r="I330" t="s">
        <v>327</v>
      </c>
      <c r="J330" t="s">
        <v>328</v>
      </c>
      <c r="K330" t="s">
        <v>519</v>
      </c>
      <c r="L330" t="s">
        <v>200</v>
      </c>
      <c r="M330" t="s">
        <v>7</v>
      </c>
      <c r="N330" t="s">
        <v>12</v>
      </c>
      <c r="O330" t="s">
        <v>7</v>
      </c>
      <c r="P330">
        <v>0</v>
      </c>
      <c r="Q330">
        <v>0</v>
      </c>
      <c r="R330">
        <v>0</v>
      </c>
      <c r="S330">
        <v>0.25</v>
      </c>
      <c r="T330">
        <v>0.25</v>
      </c>
      <c r="U330">
        <v>0.25</v>
      </c>
      <c r="V330">
        <v>0.25</v>
      </c>
      <c r="W330">
        <v>0.25</v>
      </c>
      <c r="X330">
        <v>0.5</v>
      </c>
      <c r="Y330">
        <v>0.5</v>
      </c>
      <c r="Z330">
        <v>0.5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7</v>
      </c>
      <c r="AH330" t="s">
        <v>12</v>
      </c>
      <c r="AI330" t="s">
        <v>7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72.754999999999995</v>
      </c>
      <c r="AN330">
        <f>$H$330*$T$330</f>
        <v>72.754999999999995</v>
      </c>
      <c r="AO330">
        <f>$H$330*$U$330</f>
        <v>72.754999999999995</v>
      </c>
      <c r="AP330">
        <f>$H$330*$V$330</f>
        <v>72.754999999999995</v>
      </c>
      <c r="AQ330">
        <f>$H$330*$W$330</f>
        <v>72.754999999999995</v>
      </c>
      <c r="AR330">
        <f>$H$330*$X$330</f>
        <v>145.51</v>
      </c>
      <c r="AS330">
        <f>$H$330*$Y$330</f>
        <v>145.51</v>
      </c>
      <c r="AT330">
        <f>$H$330*$Z$330</f>
        <v>145.51</v>
      </c>
      <c r="AU330">
        <f>$H$330*$AA$330</f>
        <v>291.02</v>
      </c>
      <c r="AV330">
        <f>$H$330*$AB$330</f>
        <v>291.02</v>
      </c>
      <c r="AW330">
        <f>$H$330*$AC$330</f>
        <v>291.02</v>
      </c>
      <c r="AX330">
        <f>$H$330*$AD$330</f>
        <v>291.02</v>
      </c>
      <c r="AY330">
        <f>$H$330*$AE$330</f>
        <v>291.02</v>
      </c>
      <c r="AZ330">
        <f>$H$330*$AF$330</f>
        <v>291.02</v>
      </c>
    </row>
    <row r="331" spans="1:52" x14ac:dyDescent="0.25">
      <c r="A331">
        <v>376</v>
      </c>
      <c r="B331" t="s">
        <v>7</v>
      </c>
      <c r="C331" t="s">
        <v>387</v>
      </c>
      <c r="D331">
        <v>90.83</v>
      </c>
      <c r="E331">
        <v>57.22</v>
      </c>
      <c r="F331" t="s">
        <v>313</v>
      </c>
      <c r="G331">
        <v>0.63</v>
      </c>
      <c r="H331">
        <v>68.66</v>
      </c>
      <c r="I331" t="s">
        <v>295</v>
      </c>
      <c r="J331" t="s">
        <v>388</v>
      </c>
      <c r="K331" t="s">
        <v>549</v>
      </c>
      <c r="L331" t="s">
        <v>200</v>
      </c>
      <c r="M331" t="s">
        <v>7</v>
      </c>
      <c r="N331" t="s">
        <v>12</v>
      </c>
      <c r="O331" t="s">
        <v>7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1</v>
      </c>
      <c r="AE331">
        <v>1</v>
      </c>
      <c r="AF331">
        <v>1</v>
      </c>
      <c r="AG331" t="s">
        <v>7</v>
      </c>
      <c r="AH331" t="s">
        <v>12</v>
      </c>
      <c r="AI331" t="s">
        <v>7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0</v>
      </c>
      <c r="AS331">
        <f>$H$331*$Y$331</f>
        <v>0</v>
      </c>
      <c r="AT331">
        <f>$H$331*$Z$331</f>
        <v>0</v>
      </c>
      <c r="AU331">
        <f>$H$331*$AA$331</f>
        <v>0</v>
      </c>
      <c r="AV331">
        <f>$H$331*$AB$331</f>
        <v>0</v>
      </c>
      <c r="AW331">
        <f>$H$331*$AC$331</f>
        <v>0</v>
      </c>
      <c r="AX331">
        <f>$H$331*$AD$331</f>
        <v>68.66</v>
      </c>
      <c r="AY331">
        <f>$H$331*$AE$331</f>
        <v>68.66</v>
      </c>
      <c r="AZ331">
        <f>$H$331*$AF$331</f>
        <v>68.66</v>
      </c>
    </row>
    <row r="332" spans="1:52" x14ac:dyDescent="0.25">
      <c r="A332">
        <v>377</v>
      </c>
      <c r="B332" t="s">
        <v>7</v>
      </c>
      <c r="C332" t="s">
        <v>389</v>
      </c>
      <c r="D332">
        <v>90.83</v>
      </c>
      <c r="E332">
        <v>62.67</v>
      </c>
      <c r="F332" t="s">
        <v>313</v>
      </c>
      <c r="G332">
        <v>0.69</v>
      </c>
      <c r="H332">
        <v>75.209999999999994</v>
      </c>
      <c r="I332" t="s">
        <v>295</v>
      </c>
      <c r="J332" t="s">
        <v>390</v>
      </c>
      <c r="K332" t="s">
        <v>550</v>
      </c>
      <c r="L332" t="s">
        <v>200</v>
      </c>
      <c r="M332" t="s">
        <v>7</v>
      </c>
      <c r="N332" t="s">
        <v>12</v>
      </c>
      <c r="O332" t="s">
        <v>7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7</v>
      </c>
      <c r="AH332" t="s">
        <v>12</v>
      </c>
      <c r="AI332" t="s">
        <v>7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75.209999999999994</v>
      </c>
      <c r="AN332">
        <f>$H$332*$T$332</f>
        <v>75.209999999999994</v>
      </c>
      <c r="AO332">
        <f>$H$332*$U$332</f>
        <v>75.209999999999994</v>
      </c>
      <c r="AP332">
        <f>$H$332*$V$332</f>
        <v>75.209999999999994</v>
      </c>
      <c r="AQ332">
        <f>$H$332*$W$332</f>
        <v>75.209999999999994</v>
      </c>
      <c r="AR332">
        <f>$H$332*$X$332</f>
        <v>75.209999999999994</v>
      </c>
      <c r="AS332">
        <f>$H$332*$Y$332</f>
        <v>75.209999999999994</v>
      </c>
      <c r="AT332">
        <f>$H$332*$Z$332</f>
        <v>75.209999999999994</v>
      </c>
      <c r="AU332">
        <f>$H$332*$AA$332</f>
        <v>75.209999999999994</v>
      </c>
      <c r="AV332">
        <f>$H$332*$AB$332</f>
        <v>75.209999999999994</v>
      </c>
      <c r="AW332">
        <f>$H$332*$AC$332</f>
        <v>75.209999999999994</v>
      </c>
      <c r="AX332">
        <f>$H$332*$AD$332</f>
        <v>75.209999999999994</v>
      </c>
      <c r="AY332">
        <f>$H$332*$AE$332</f>
        <v>75.209999999999994</v>
      </c>
      <c r="AZ332">
        <f>$H$332*$AF$332</f>
        <v>75.209999999999994</v>
      </c>
    </row>
    <row r="333" spans="1:52" x14ac:dyDescent="0.25">
      <c r="A333">
        <v>378</v>
      </c>
      <c r="B333" t="s">
        <v>7</v>
      </c>
      <c r="C333" t="s">
        <v>391</v>
      </c>
      <c r="D333">
        <v>19.079999999999998</v>
      </c>
      <c r="E333">
        <v>108.57</v>
      </c>
      <c r="F333" t="s">
        <v>313</v>
      </c>
      <c r="G333">
        <v>5.69</v>
      </c>
      <c r="H333">
        <v>130.29</v>
      </c>
      <c r="I333" t="s">
        <v>392</v>
      </c>
      <c r="J333" t="s">
        <v>393</v>
      </c>
      <c r="K333" t="s">
        <v>551</v>
      </c>
      <c r="L333" t="s">
        <v>200</v>
      </c>
      <c r="M333" t="s">
        <v>7</v>
      </c>
      <c r="N333" t="s">
        <v>12</v>
      </c>
      <c r="O333" t="s">
        <v>7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7</v>
      </c>
      <c r="AH333" t="s">
        <v>12</v>
      </c>
      <c r="AI333" t="s">
        <v>7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130.29</v>
      </c>
      <c r="AN333">
        <f>$H$333*$T$333</f>
        <v>130.29</v>
      </c>
      <c r="AO333">
        <f>$H$333*$U$333</f>
        <v>130.29</v>
      </c>
      <c r="AP333">
        <f>$H$333*$V$333</f>
        <v>130.29</v>
      </c>
      <c r="AQ333">
        <f>$H$333*$W$333</f>
        <v>130.29</v>
      </c>
      <c r="AR333">
        <f>$H$333*$X$333</f>
        <v>130.29</v>
      </c>
      <c r="AS333">
        <f>$H$333*$Y$333</f>
        <v>130.29</v>
      </c>
      <c r="AT333">
        <f>$H$333*$Z$333</f>
        <v>130.29</v>
      </c>
      <c r="AU333">
        <f>$H$333*$AA$333</f>
        <v>130.29</v>
      </c>
      <c r="AV333">
        <f>$H$333*$AB$333</f>
        <v>130.29</v>
      </c>
      <c r="AW333">
        <f>$H$333*$AC$333</f>
        <v>130.29</v>
      </c>
      <c r="AX333">
        <f>$H$333*$AD$333</f>
        <v>130.29</v>
      </c>
      <c r="AY333">
        <f>$H$333*$AE$333</f>
        <v>130.29</v>
      </c>
      <c r="AZ333">
        <f>$H$333*$AF$333</f>
        <v>130.29</v>
      </c>
    </row>
    <row r="334" spans="1:52" x14ac:dyDescent="0.25">
      <c r="A334">
        <v>379</v>
      </c>
      <c r="B334" t="s">
        <v>7</v>
      </c>
      <c r="C334" t="s">
        <v>394</v>
      </c>
      <c r="D334">
        <v>20.89</v>
      </c>
      <c r="E334">
        <v>123.67</v>
      </c>
      <c r="F334" t="s">
        <v>313</v>
      </c>
      <c r="G334">
        <v>5.92</v>
      </c>
      <c r="H334">
        <v>148.41</v>
      </c>
      <c r="I334" t="s">
        <v>392</v>
      </c>
      <c r="J334" t="s">
        <v>334</v>
      </c>
      <c r="K334" t="s">
        <v>552</v>
      </c>
      <c r="L334" t="s">
        <v>200</v>
      </c>
      <c r="M334" t="s">
        <v>7</v>
      </c>
      <c r="N334" t="s">
        <v>12</v>
      </c>
      <c r="O334" t="s">
        <v>7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7</v>
      </c>
      <c r="AH334" t="s">
        <v>12</v>
      </c>
      <c r="AI334" t="s">
        <v>7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148.41</v>
      </c>
      <c r="AN334">
        <f>$H$334*$T$334</f>
        <v>148.41</v>
      </c>
      <c r="AO334">
        <f>$H$334*$U$334</f>
        <v>148.41</v>
      </c>
      <c r="AP334">
        <f>$H$334*$V$334</f>
        <v>148.41</v>
      </c>
      <c r="AQ334">
        <f>$H$334*$W$334</f>
        <v>148.41</v>
      </c>
      <c r="AR334">
        <f>$H$334*$X$334</f>
        <v>148.41</v>
      </c>
      <c r="AS334">
        <f>$H$334*$Y$334</f>
        <v>148.41</v>
      </c>
      <c r="AT334">
        <f>$H$334*$Z$334</f>
        <v>148.41</v>
      </c>
      <c r="AU334">
        <f>$H$334*$AA$334</f>
        <v>148.41</v>
      </c>
      <c r="AV334">
        <f>$H$334*$AB$334</f>
        <v>148.41</v>
      </c>
      <c r="AW334">
        <f>$H$334*$AC$334</f>
        <v>148.41</v>
      </c>
      <c r="AX334">
        <f>$H$334*$AD$334</f>
        <v>148.41</v>
      </c>
      <c r="AY334">
        <f>$H$334*$AE$334</f>
        <v>148.41</v>
      </c>
      <c r="AZ334">
        <f>$H$334*$AF$334</f>
        <v>148.41</v>
      </c>
    </row>
    <row r="335" spans="1:52" x14ac:dyDescent="0.25">
      <c r="A335">
        <v>380</v>
      </c>
      <c r="B335" t="s">
        <v>7</v>
      </c>
      <c r="C335" t="s">
        <v>395</v>
      </c>
      <c r="D335">
        <v>19.77</v>
      </c>
      <c r="E335">
        <v>107.94</v>
      </c>
      <c r="F335" t="s">
        <v>313</v>
      </c>
      <c r="G335">
        <v>5.46</v>
      </c>
      <c r="H335">
        <v>129.52000000000001</v>
      </c>
      <c r="I335" t="s">
        <v>396</v>
      </c>
      <c r="J335" t="s">
        <v>397</v>
      </c>
      <c r="K335" t="s">
        <v>553</v>
      </c>
      <c r="L335" t="s">
        <v>200</v>
      </c>
      <c r="M335" t="s">
        <v>7</v>
      </c>
      <c r="N335" t="s">
        <v>12</v>
      </c>
      <c r="O335" t="s">
        <v>7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7</v>
      </c>
      <c r="AH335" t="s">
        <v>12</v>
      </c>
      <c r="AI335" t="s">
        <v>7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129.52000000000001</v>
      </c>
      <c r="AN335">
        <f>$H$335*$T$335</f>
        <v>129.52000000000001</v>
      </c>
      <c r="AO335">
        <f>$H$335*$U$335</f>
        <v>129.52000000000001</v>
      </c>
      <c r="AP335">
        <f>$H$335*$V$335</f>
        <v>129.52000000000001</v>
      </c>
      <c r="AQ335">
        <f>$H$335*$W$335</f>
        <v>129.52000000000001</v>
      </c>
      <c r="AR335">
        <f>$H$335*$X$335</f>
        <v>129.52000000000001</v>
      </c>
      <c r="AS335">
        <f>$H$335*$Y$335</f>
        <v>129.52000000000001</v>
      </c>
      <c r="AT335">
        <f>$H$335*$Z$335</f>
        <v>129.52000000000001</v>
      </c>
      <c r="AU335">
        <f>$H$335*$AA$335</f>
        <v>129.52000000000001</v>
      </c>
      <c r="AV335">
        <f>$H$335*$AB$335</f>
        <v>129.52000000000001</v>
      </c>
      <c r="AW335">
        <f>$H$335*$AC$335</f>
        <v>129.52000000000001</v>
      </c>
      <c r="AX335">
        <f>$H$335*$AD$335</f>
        <v>129.52000000000001</v>
      </c>
      <c r="AY335">
        <f>$H$335*$AE$335</f>
        <v>129.52000000000001</v>
      </c>
      <c r="AZ335">
        <f>$H$335*$AF$335</f>
        <v>129.52000000000001</v>
      </c>
    </row>
    <row r="336" spans="1:52" x14ac:dyDescent="0.25">
      <c r="A336">
        <v>381</v>
      </c>
      <c r="B336" t="s">
        <v>7</v>
      </c>
      <c r="C336" t="s">
        <v>398</v>
      </c>
      <c r="D336">
        <v>19.77</v>
      </c>
      <c r="E336">
        <v>70.78</v>
      </c>
      <c r="F336" t="s">
        <v>313</v>
      </c>
      <c r="G336">
        <v>3.58</v>
      </c>
      <c r="H336">
        <v>84.94</v>
      </c>
      <c r="I336" t="s">
        <v>396</v>
      </c>
      <c r="J336" t="s">
        <v>399</v>
      </c>
      <c r="K336" t="s">
        <v>554</v>
      </c>
      <c r="L336" t="s">
        <v>200</v>
      </c>
      <c r="M336" t="s">
        <v>7</v>
      </c>
      <c r="N336" t="s">
        <v>12</v>
      </c>
      <c r="O336" t="s">
        <v>7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7</v>
      </c>
      <c r="AH336" t="s">
        <v>12</v>
      </c>
      <c r="AI336" t="s">
        <v>7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84.94</v>
      </c>
      <c r="AN336">
        <f>$H$336*$T$336</f>
        <v>84.94</v>
      </c>
      <c r="AO336">
        <f>$H$336*$U$336</f>
        <v>84.94</v>
      </c>
      <c r="AP336">
        <f>$H$336*$V$336</f>
        <v>84.94</v>
      </c>
      <c r="AQ336">
        <f>$H$336*$W$336</f>
        <v>84.94</v>
      </c>
      <c r="AR336">
        <f>$H$336*$X$336</f>
        <v>84.94</v>
      </c>
      <c r="AS336">
        <f>$H$336*$Y$336</f>
        <v>84.94</v>
      </c>
      <c r="AT336">
        <f>$H$336*$Z$336</f>
        <v>84.94</v>
      </c>
      <c r="AU336">
        <f>$H$336*$AA$336</f>
        <v>84.94</v>
      </c>
      <c r="AV336">
        <f>$H$336*$AB$336</f>
        <v>84.94</v>
      </c>
      <c r="AW336">
        <f>$H$336*$AC$336</f>
        <v>84.94</v>
      </c>
      <c r="AX336">
        <f>$H$336*$AD$336</f>
        <v>84.94</v>
      </c>
      <c r="AY336">
        <f>$H$336*$AE$336</f>
        <v>84.94</v>
      </c>
      <c r="AZ336">
        <f>$H$336*$AF$336</f>
        <v>84.94</v>
      </c>
    </row>
    <row r="337" spans="1:52" x14ac:dyDescent="0.25">
      <c r="A337">
        <v>382</v>
      </c>
      <c r="B337" t="s">
        <v>7</v>
      </c>
      <c r="C337" t="s">
        <v>400</v>
      </c>
      <c r="D337">
        <v>19.77</v>
      </c>
      <c r="E337">
        <v>172</v>
      </c>
      <c r="F337" t="s">
        <v>313</v>
      </c>
      <c r="G337">
        <v>8.6999999999999993</v>
      </c>
      <c r="H337">
        <v>206.4</v>
      </c>
      <c r="I337" t="s">
        <v>396</v>
      </c>
      <c r="J337" t="s">
        <v>334</v>
      </c>
      <c r="K337" t="s">
        <v>555</v>
      </c>
      <c r="L337" t="s">
        <v>200</v>
      </c>
      <c r="M337" t="s">
        <v>7</v>
      </c>
      <c r="N337" t="s">
        <v>12</v>
      </c>
      <c r="O337" t="s">
        <v>7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7</v>
      </c>
      <c r="AH337" t="s">
        <v>12</v>
      </c>
      <c r="AI337" t="s">
        <v>7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206.4</v>
      </c>
      <c r="AN337">
        <f>$H$337*$T$337</f>
        <v>206.4</v>
      </c>
      <c r="AO337">
        <f>$H$337*$U$337</f>
        <v>206.4</v>
      </c>
      <c r="AP337">
        <f>$H$337*$V$337</f>
        <v>206.4</v>
      </c>
      <c r="AQ337">
        <f>$H$337*$W$337</f>
        <v>206.4</v>
      </c>
      <c r="AR337">
        <f>$H$337*$X$337</f>
        <v>206.4</v>
      </c>
      <c r="AS337">
        <f>$H$337*$Y$337</f>
        <v>206.4</v>
      </c>
      <c r="AT337">
        <f>$H$337*$Z$337</f>
        <v>206.4</v>
      </c>
      <c r="AU337">
        <f>$H$337*$AA$337</f>
        <v>206.4</v>
      </c>
      <c r="AV337">
        <f>$H$337*$AB$337</f>
        <v>206.4</v>
      </c>
      <c r="AW337">
        <f>$H$337*$AC$337</f>
        <v>206.4</v>
      </c>
      <c r="AX337">
        <f>$H$337*$AD$337</f>
        <v>206.4</v>
      </c>
      <c r="AY337">
        <f>$H$337*$AE$337</f>
        <v>206.4</v>
      </c>
      <c r="AZ337">
        <f>$H$337*$AF$337</f>
        <v>206.4</v>
      </c>
    </row>
    <row r="338" spans="1:52" x14ac:dyDescent="0.25">
      <c r="A338">
        <v>383</v>
      </c>
      <c r="B338" t="s">
        <v>7</v>
      </c>
      <c r="C338" t="s">
        <v>401</v>
      </c>
      <c r="D338">
        <v>20.89</v>
      </c>
      <c r="E338">
        <v>16.5</v>
      </c>
      <c r="F338" t="s">
        <v>313</v>
      </c>
      <c r="G338">
        <v>0.79</v>
      </c>
      <c r="H338">
        <v>19.8</v>
      </c>
      <c r="I338" t="s">
        <v>339</v>
      </c>
      <c r="J338" t="s">
        <v>402</v>
      </c>
      <c r="K338" t="s">
        <v>556</v>
      </c>
      <c r="L338" t="s">
        <v>200</v>
      </c>
      <c r="M338" t="s">
        <v>7</v>
      </c>
      <c r="N338" t="s">
        <v>12</v>
      </c>
      <c r="O338" t="s">
        <v>7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7</v>
      </c>
      <c r="AH338" t="s">
        <v>12</v>
      </c>
      <c r="AI338" t="s">
        <v>7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19.8</v>
      </c>
      <c r="AN338">
        <f>$H$338*$T$338</f>
        <v>19.8</v>
      </c>
      <c r="AO338">
        <f>$H$338*$U$338</f>
        <v>19.8</v>
      </c>
      <c r="AP338">
        <f>$H$338*$V$338</f>
        <v>19.8</v>
      </c>
      <c r="AQ338">
        <f>$H$338*$W$338</f>
        <v>19.8</v>
      </c>
      <c r="AR338">
        <f>$H$338*$X$338</f>
        <v>19.8</v>
      </c>
      <c r="AS338">
        <f>$H$338*$Y$338</f>
        <v>19.8</v>
      </c>
      <c r="AT338">
        <f>$H$338*$Z$338</f>
        <v>19.8</v>
      </c>
      <c r="AU338">
        <f>$H$338*$AA$338</f>
        <v>19.8</v>
      </c>
      <c r="AV338">
        <f>$H$338*$AB$338</f>
        <v>19.8</v>
      </c>
      <c r="AW338">
        <f>$H$338*$AC$338</f>
        <v>19.8</v>
      </c>
      <c r="AX338">
        <f>$H$338*$AD$338</f>
        <v>19.8</v>
      </c>
      <c r="AY338">
        <f>$H$338*$AE$338</f>
        <v>19.8</v>
      </c>
      <c r="AZ338">
        <f>$H$338*$AF$338</f>
        <v>19.8</v>
      </c>
    </row>
    <row r="339" spans="1:52" x14ac:dyDescent="0.25">
      <c r="A339">
        <v>384</v>
      </c>
      <c r="B339" t="s">
        <v>7</v>
      </c>
      <c r="C339" t="s">
        <v>403</v>
      </c>
      <c r="D339">
        <v>20.89</v>
      </c>
      <c r="E339">
        <v>111.34</v>
      </c>
      <c r="F339" t="s">
        <v>313</v>
      </c>
      <c r="G339">
        <v>5.33</v>
      </c>
      <c r="H339">
        <v>133.6</v>
      </c>
      <c r="I339" t="s">
        <v>339</v>
      </c>
      <c r="J339" t="s">
        <v>334</v>
      </c>
      <c r="K339" t="s">
        <v>557</v>
      </c>
      <c r="L339" t="s">
        <v>200</v>
      </c>
      <c r="M339" t="s">
        <v>7</v>
      </c>
      <c r="N339" t="s">
        <v>12</v>
      </c>
      <c r="O339" t="s">
        <v>7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7</v>
      </c>
      <c r="AH339" t="s">
        <v>12</v>
      </c>
      <c r="AI339" t="s">
        <v>7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133.6</v>
      </c>
      <c r="AN339">
        <f>$H$339*$T$339</f>
        <v>133.6</v>
      </c>
      <c r="AO339">
        <f>$H$339*$U$339</f>
        <v>133.6</v>
      </c>
      <c r="AP339">
        <f>$H$339*$V$339</f>
        <v>133.6</v>
      </c>
      <c r="AQ339">
        <f>$H$339*$W$339</f>
        <v>133.6</v>
      </c>
      <c r="AR339">
        <f>$H$339*$X$339</f>
        <v>133.6</v>
      </c>
      <c r="AS339">
        <f>$H$339*$Y$339</f>
        <v>133.6</v>
      </c>
      <c r="AT339">
        <f>$H$339*$Z$339</f>
        <v>133.6</v>
      </c>
      <c r="AU339">
        <f>$H$339*$AA$339</f>
        <v>133.6</v>
      </c>
      <c r="AV339">
        <f>$H$339*$AB$339</f>
        <v>133.6</v>
      </c>
      <c r="AW339">
        <f>$H$339*$AC$339</f>
        <v>133.6</v>
      </c>
      <c r="AX339">
        <f>$H$339*$AD$339</f>
        <v>133.6</v>
      </c>
      <c r="AY339">
        <f>$H$339*$AE$339</f>
        <v>133.6</v>
      </c>
      <c r="AZ339">
        <f>$H$339*$AF$339</f>
        <v>133.6</v>
      </c>
    </row>
    <row r="340" spans="1:52" x14ac:dyDescent="0.25">
      <c r="A340">
        <v>385</v>
      </c>
      <c r="B340" t="s">
        <v>263</v>
      </c>
      <c r="C340" t="s">
        <v>465</v>
      </c>
      <c r="D340">
        <v>1</v>
      </c>
      <c r="E340">
        <v>39.700000000000003</v>
      </c>
      <c r="F340" t="s">
        <v>299</v>
      </c>
      <c r="G340">
        <v>39.700000000000003</v>
      </c>
      <c r="H340">
        <v>47.64</v>
      </c>
      <c r="I340" t="s">
        <v>301</v>
      </c>
      <c r="J340" t="s">
        <v>466</v>
      </c>
      <c r="K340" t="s">
        <v>588</v>
      </c>
      <c r="L340" t="s">
        <v>200</v>
      </c>
      <c r="M340" t="s">
        <v>263</v>
      </c>
      <c r="N340" t="s">
        <v>51</v>
      </c>
      <c r="O340" t="s">
        <v>4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1</v>
      </c>
      <c r="AE340">
        <v>1</v>
      </c>
      <c r="AF340">
        <v>1</v>
      </c>
      <c r="AG340" t="s">
        <v>263</v>
      </c>
      <c r="AH340" t="s">
        <v>51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0</v>
      </c>
      <c r="AS340">
        <f>$H$340*$Y$340</f>
        <v>0</v>
      </c>
      <c r="AT340">
        <f>$H$340*$Z$340</f>
        <v>0</v>
      </c>
      <c r="AU340">
        <f>$H$340*$AA$340</f>
        <v>0</v>
      </c>
      <c r="AV340">
        <f>$H$340*$AB$340</f>
        <v>0</v>
      </c>
      <c r="AW340">
        <f>$H$340*$AC$340</f>
        <v>0</v>
      </c>
      <c r="AX340">
        <f>$H$340*$AD$340</f>
        <v>47.64</v>
      </c>
      <c r="AY340">
        <f>$H$340*$AE$340</f>
        <v>47.64</v>
      </c>
      <c r="AZ340">
        <f>$H$340*$AF$340</f>
        <v>47.64</v>
      </c>
    </row>
    <row r="341" spans="1:52" x14ac:dyDescent="0.25">
      <c r="A341">
        <v>386</v>
      </c>
      <c r="B341" t="s">
        <v>263</v>
      </c>
      <c r="C341" t="s">
        <v>320</v>
      </c>
      <c r="D341">
        <v>4</v>
      </c>
      <c r="E341">
        <v>17.760000000000002</v>
      </c>
      <c r="F341" t="s">
        <v>294</v>
      </c>
      <c r="G341">
        <v>4.4400000000000004</v>
      </c>
      <c r="H341">
        <v>21.32</v>
      </c>
      <c r="I341" t="s">
        <v>295</v>
      </c>
      <c r="J341" t="s">
        <v>321</v>
      </c>
      <c r="K341" t="s">
        <v>516</v>
      </c>
      <c r="L341" t="s">
        <v>200</v>
      </c>
      <c r="M341" t="s">
        <v>263</v>
      </c>
      <c r="N341" t="s">
        <v>51</v>
      </c>
      <c r="O341" t="s">
        <v>4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263</v>
      </c>
      <c r="AH341" t="s">
        <v>51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0</v>
      </c>
      <c r="AS341">
        <f>$H$341*$Y$341</f>
        <v>0</v>
      </c>
      <c r="AT341">
        <f>$H$341*$Z$341</f>
        <v>0</v>
      </c>
      <c r="AU341">
        <f>$H$341*$AA$341</f>
        <v>21.32</v>
      </c>
      <c r="AV341">
        <f>$H$341*$AB$341</f>
        <v>21.32</v>
      </c>
      <c r="AW341">
        <f>$H$341*$AC$341</f>
        <v>21.32</v>
      </c>
      <c r="AX341">
        <f>$H$341*$AD$341</f>
        <v>21.32</v>
      </c>
      <c r="AY341">
        <f>$H$341*$AE$341</f>
        <v>21.32</v>
      </c>
      <c r="AZ341">
        <f>$H$341*$AF$341</f>
        <v>21.32</v>
      </c>
    </row>
    <row r="342" spans="1:52" x14ac:dyDescent="0.25">
      <c r="A342">
        <v>387</v>
      </c>
      <c r="B342" t="s">
        <v>263</v>
      </c>
      <c r="C342" t="s">
        <v>322</v>
      </c>
      <c r="D342">
        <v>4</v>
      </c>
      <c r="E342">
        <v>46.2</v>
      </c>
      <c r="F342" t="s">
        <v>294</v>
      </c>
      <c r="G342">
        <v>11.55</v>
      </c>
      <c r="H342">
        <v>55.44</v>
      </c>
      <c r="I342" t="s">
        <v>298</v>
      </c>
      <c r="J342" t="s">
        <v>323</v>
      </c>
      <c r="K342" t="s">
        <v>517</v>
      </c>
      <c r="L342" t="s">
        <v>200</v>
      </c>
      <c r="M342" t="s">
        <v>263</v>
      </c>
      <c r="N342" t="s">
        <v>51</v>
      </c>
      <c r="O342" t="s">
        <v>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263</v>
      </c>
      <c r="AH342" t="s">
        <v>51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55.44</v>
      </c>
      <c r="AV342">
        <f>$H$342*$AB$342</f>
        <v>55.44</v>
      </c>
      <c r="AW342">
        <f>$H$342*$AC$342</f>
        <v>55.44</v>
      </c>
      <c r="AX342">
        <f>$H$342*$AD$342</f>
        <v>55.44</v>
      </c>
      <c r="AY342">
        <f>$H$342*$AE$342</f>
        <v>55.44</v>
      </c>
      <c r="AZ342">
        <f>$H$342*$AF$342</f>
        <v>55.44</v>
      </c>
    </row>
    <row r="343" spans="1:52" x14ac:dyDescent="0.25">
      <c r="A343">
        <v>388</v>
      </c>
      <c r="B343" t="s">
        <v>263</v>
      </c>
      <c r="C343" t="s">
        <v>374</v>
      </c>
      <c r="D343">
        <v>4</v>
      </c>
      <c r="E343">
        <v>19</v>
      </c>
      <c r="F343" t="s">
        <v>294</v>
      </c>
      <c r="G343">
        <v>4.75</v>
      </c>
      <c r="H343">
        <v>22.8</v>
      </c>
      <c r="I343" t="s">
        <v>298</v>
      </c>
      <c r="J343" t="s">
        <v>375</v>
      </c>
      <c r="K343" t="s">
        <v>542</v>
      </c>
      <c r="L343" t="s">
        <v>200</v>
      </c>
      <c r="M343" t="s">
        <v>263</v>
      </c>
      <c r="N343" t="s">
        <v>51</v>
      </c>
      <c r="O343" t="s">
        <v>4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1</v>
      </c>
      <c r="AD343">
        <v>1</v>
      </c>
      <c r="AE343">
        <v>1</v>
      </c>
      <c r="AF343">
        <v>1</v>
      </c>
      <c r="AG343" t="s">
        <v>263</v>
      </c>
      <c r="AH343" t="s">
        <v>51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0</v>
      </c>
      <c r="AN343">
        <f>$H$343*$T$343</f>
        <v>0</v>
      </c>
      <c r="AO343">
        <f>$H$343*$U$343</f>
        <v>0</v>
      </c>
      <c r="AP343">
        <f>$H$343*$V$343</f>
        <v>0</v>
      </c>
      <c r="AQ343">
        <f>$H$343*$W$343</f>
        <v>0</v>
      </c>
      <c r="AR343">
        <f>$H$343*$X$343</f>
        <v>0</v>
      </c>
      <c r="AS343">
        <f>$H$343*$Y$343</f>
        <v>0</v>
      </c>
      <c r="AT343">
        <f>$H$343*$Z$343</f>
        <v>0</v>
      </c>
      <c r="AU343">
        <f>$H$343*$AA$343</f>
        <v>0</v>
      </c>
      <c r="AV343">
        <f>$H$343*$AB$343</f>
        <v>0</v>
      </c>
      <c r="AW343">
        <f>$H$343*$AC$343</f>
        <v>22.8</v>
      </c>
      <c r="AX343">
        <f>$H$343*$AD$343</f>
        <v>22.8</v>
      </c>
      <c r="AY343">
        <f>$H$343*$AE$343</f>
        <v>22.8</v>
      </c>
      <c r="AZ343">
        <f>$H$343*$AF$343</f>
        <v>22.8</v>
      </c>
    </row>
    <row r="344" spans="1:52" x14ac:dyDescent="0.25">
      <c r="A344">
        <v>389</v>
      </c>
      <c r="B344" t="s">
        <v>263</v>
      </c>
      <c r="C344" t="s">
        <v>380</v>
      </c>
      <c r="D344">
        <v>5</v>
      </c>
      <c r="E344">
        <v>66.349999999999994</v>
      </c>
      <c r="F344" t="s">
        <v>299</v>
      </c>
      <c r="G344">
        <v>13.27</v>
      </c>
      <c r="H344">
        <v>79.63</v>
      </c>
      <c r="I344" t="s">
        <v>301</v>
      </c>
      <c r="J344" t="s">
        <v>381</v>
      </c>
      <c r="K344" t="s">
        <v>545</v>
      </c>
      <c r="L344" t="s">
        <v>200</v>
      </c>
      <c r="M344" t="s">
        <v>263</v>
      </c>
      <c r="N344" t="s">
        <v>51</v>
      </c>
      <c r="O344" t="s">
        <v>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263</v>
      </c>
      <c r="AH344" t="s">
        <v>51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79.63</v>
      </c>
      <c r="AS344">
        <f>$H$344*$Y$344</f>
        <v>79.63</v>
      </c>
      <c r="AT344">
        <f>$H$344*$Z$344</f>
        <v>79.63</v>
      </c>
      <c r="AU344">
        <f>$H$344*$AA$344</f>
        <v>79.63</v>
      </c>
      <c r="AV344">
        <f>$H$344*$AB$344</f>
        <v>79.63</v>
      </c>
      <c r="AW344">
        <f>$H$344*$AC$344</f>
        <v>79.63</v>
      </c>
      <c r="AX344">
        <f>$H$344*$AD$344</f>
        <v>79.63</v>
      </c>
      <c r="AY344">
        <f>$H$344*$AE$344</f>
        <v>79.63</v>
      </c>
      <c r="AZ344">
        <f>$H$344*$AF$344</f>
        <v>79.63</v>
      </c>
    </row>
    <row r="345" spans="1:52" x14ac:dyDescent="0.25">
      <c r="A345">
        <v>390</v>
      </c>
      <c r="B345" t="s">
        <v>263</v>
      </c>
      <c r="C345" t="s">
        <v>462</v>
      </c>
      <c r="D345">
        <v>1</v>
      </c>
      <c r="E345">
        <v>48.06</v>
      </c>
      <c r="F345" t="s">
        <v>299</v>
      </c>
      <c r="G345">
        <v>48.06</v>
      </c>
      <c r="H345">
        <v>57.68</v>
      </c>
      <c r="I345" t="s">
        <v>304</v>
      </c>
      <c r="J345" t="s">
        <v>436</v>
      </c>
      <c r="K345" t="s">
        <v>586</v>
      </c>
      <c r="L345" t="s">
        <v>200</v>
      </c>
      <c r="M345" t="s">
        <v>263</v>
      </c>
      <c r="N345" t="s">
        <v>51</v>
      </c>
      <c r="O345" t="s">
        <v>4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1</v>
      </c>
      <c r="AE345">
        <v>1</v>
      </c>
      <c r="AF345">
        <v>1</v>
      </c>
      <c r="AG345" t="s">
        <v>263</v>
      </c>
      <c r="AH345" t="s">
        <v>51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0</v>
      </c>
      <c r="AN345">
        <f>$H$345*$T$345</f>
        <v>0</v>
      </c>
      <c r="AO345">
        <f>$H$345*$U$345</f>
        <v>0</v>
      </c>
      <c r="AP345">
        <f>$H$345*$V$345</f>
        <v>0</v>
      </c>
      <c r="AQ345">
        <f>$H$345*$W$345</f>
        <v>0</v>
      </c>
      <c r="AR345">
        <f>$H$345*$X$345</f>
        <v>0</v>
      </c>
      <c r="AS345">
        <f>$H$345*$Y$345</f>
        <v>0</v>
      </c>
      <c r="AT345">
        <f>$H$345*$Z$345</f>
        <v>0</v>
      </c>
      <c r="AU345">
        <f>$H$345*$AA$345</f>
        <v>0</v>
      </c>
      <c r="AV345">
        <f>$H$345*$AB$345</f>
        <v>0</v>
      </c>
      <c r="AW345">
        <f>$H$345*$AC$345</f>
        <v>0</v>
      </c>
      <c r="AX345">
        <f>$H$345*$AD$345</f>
        <v>57.68</v>
      </c>
      <c r="AY345">
        <f>$H$345*$AE$345</f>
        <v>57.68</v>
      </c>
      <c r="AZ345">
        <f>$H$345*$AF$345</f>
        <v>57.68</v>
      </c>
    </row>
    <row r="346" spans="1:52" x14ac:dyDescent="0.25">
      <c r="A346">
        <v>391</v>
      </c>
      <c r="B346" t="s">
        <v>263</v>
      </c>
      <c r="C346" t="s">
        <v>329</v>
      </c>
      <c r="D346">
        <v>1</v>
      </c>
      <c r="E346">
        <v>47.96</v>
      </c>
      <c r="F346" t="s">
        <v>299</v>
      </c>
      <c r="G346">
        <v>47.96</v>
      </c>
      <c r="H346">
        <v>57.56</v>
      </c>
      <c r="I346" t="s">
        <v>330</v>
      </c>
      <c r="J346" t="s">
        <v>331</v>
      </c>
      <c r="K346" t="s">
        <v>520</v>
      </c>
      <c r="L346" t="s">
        <v>200</v>
      </c>
      <c r="M346" t="s">
        <v>263</v>
      </c>
      <c r="N346" t="s">
        <v>51</v>
      </c>
      <c r="O346" t="s">
        <v>4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263</v>
      </c>
      <c r="AH346" t="s">
        <v>51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0</v>
      </c>
      <c r="AT346">
        <f>$H$346*$Z$346</f>
        <v>0</v>
      </c>
      <c r="AU346">
        <f>$H$346*$AA$346</f>
        <v>57.56</v>
      </c>
      <c r="AV346">
        <f>$H$346*$AB$346</f>
        <v>57.56</v>
      </c>
      <c r="AW346">
        <f>$H$346*$AC$346</f>
        <v>57.56</v>
      </c>
      <c r="AX346">
        <f>$H$346*$AD$346</f>
        <v>57.56</v>
      </c>
      <c r="AY346">
        <f>$H$346*$AE$346</f>
        <v>57.56</v>
      </c>
      <c r="AZ346">
        <f>$H$346*$AF$346</f>
        <v>57.56</v>
      </c>
    </row>
    <row r="347" spans="1:52" x14ac:dyDescent="0.25">
      <c r="A347">
        <v>392</v>
      </c>
      <c r="B347" t="s">
        <v>263</v>
      </c>
      <c r="C347" t="s">
        <v>467</v>
      </c>
      <c r="D347">
        <v>2</v>
      </c>
      <c r="E347">
        <v>110.04</v>
      </c>
      <c r="F347" t="s">
        <v>299</v>
      </c>
      <c r="G347">
        <v>55.02</v>
      </c>
      <c r="H347">
        <v>132.04</v>
      </c>
      <c r="I347" t="s">
        <v>295</v>
      </c>
      <c r="J347" t="s">
        <v>468</v>
      </c>
      <c r="K347" t="s">
        <v>589</v>
      </c>
      <c r="L347" t="s">
        <v>200</v>
      </c>
      <c r="M347" t="s">
        <v>263</v>
      </c>
      <c r="N347" t="s">
        <v>51</v>
      </c>
      <c r="O347" t="s">
        <v>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263</v>
      </c>
      <c r="AH347" t="s">
        <v>51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132.04</v>
      </c>
      <c r="AN347">
        <f>$H$347*$T$347</f>
        <v>132.04</v>
      </c>
      <c r="AO347">
        <f>$H$347*$U$347</f>
        <v>132.04</v>
      </c>
      <c r="AP347">
        <f>$H$347*$V$347</f>
        <v>132.04</v>
      </c>
      <c r="AQ347">
        <f>$H$347*$W$347</f>
        <v>132.04</v>
      </c>
      <c r="AR347">
        <f>$H$347*$X$347</f>
        <v>132.04</v>
      </c>
      <c r="AS347">
        <f>$H$347*$Y$347</f>
        <v>132.04</v>
      </c>
      <c r="AT347">
        <f>$H$347*$Z$347</f>
        <v>132.04</v>
      </c>
      <c r="AU347">
        <f>$H$347*$AA$347</f>
        <v>132.04</v>
      </c>
      <c r="AV347">
        <f>$H$347*$AB$347</f>
        <v>132.04</v>
      </c>
      <c r="AW347">
        <f>$H$347*$AC$347</f>
        <v>132.04</v>
      </c>
      <c r="AX347">
        <f>$H$347*$AD$347</f>
        <v>132.04</v>
      </c>
      <c r="AY347">
        <f>$H$347*$AE$347</f>
        <v>132.04</v>
      </c>
      <c r="AZ347">
        <f>$H$347*$AF$347</f>
        <v>132.04</v>
      </c>
    </row>
    <row r="348" spans="1:52" x14ac:dyDescent="0.25">
      <c r="A348">
        <v>393</v>
      </c>
      <c r="B348" t="s">
        <v>263</v>
      </c>
      <c r="C348" t="s">
        <v>469</v>
      </c>
      <c r="D348">
        <v>1</v>
      </c>
      <c r="E348">
        <v>376.12</v>
      </c>
      <c r="F348" t="s">
        <v>299</v>
      </c>
      <c r="G348">
        <v>376.12</v>
      </c>
      <c r="H348">
        <v>451.34</v>
      </c>
      <c r="I348" t="s">
        <v>333</v>
      </c>
      <c r="J348" t="s">
        <v>470</v>
      </c>
      <c r="K348" t="s">
        <v>590</v>
      </c>
      <c r="L348" t="s">
        <v>200</v>
      </c>
      <c r="M348" t="s">
        <v>263</v>
      </c>
      <c r="N348" t="s">
        <v>51</v>
      </c>
      <c r="O348" t="s">
        <v>4</v>
      </c>
      <c r="P348">
        <v>0</v>
      </c>
      <c r="Q348">
        <v>0</v>
      </c>
      <c r="R348">
        <v>0</v>
      </c>
      <c r="S348">
        <v>0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263</v>
      </c>
      <c r="AH348" t="s">
        <v>51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451.34</v>
      </c>
      <c r="AO348">
        <f>$H$348*$U$348</f>
        <v>451.34</v>
      </c>
      <c r="AP348">
        <f>$H$348*$V$348</f>
        <v>451.34</v>
      </c>
      <c r="AQ348">
        <f>$H$348*$W$348</f>
        <v>451.34</v>
      </c>
      <c r="AR348">
        <f>$H$348*$X$348</f>
        <v>451.34</v>
      </c>
      <c r="AS348">
        <f>$H$348*$Y$348</f>
        <v>451.34</v>
      </c>
      <c r="AT348">
        <f>$H$348*$Z$348</f>
        <v>451.34</v>
      </c>
      <c r="AU348">
        <f>$H$348*$AA$348</f>
        <v>451.34</v>
      </c>
      <c r="AV348">
        <f>$H$348*$AB$348</f>
        <v>451.34</v>
      </c>
      <c r="AW348">
        <f>$H$348*$AC$348</f>
        <v>451.34</v>
      </c>
      <c r="AX348">
        <f>$H$348*$AD$348</f>
        <v>451.34</v>
      </c>
      <c r="AY348">
        <f>$H$348*$AE$348</f>
        <v>451.34</v>
      </c>
      <c r="AZ348">
        <f>$H$348*$AF$348</f>
        <v>451.34</v>
      </c>
    </row>
    <row r="349" spans="1:52" x14ac:dyDescent="0.25">
      <c r="A349">
        <v>394</v>
      </c>
      <c r="B349" t="s">
        <v>263</v>
      </c>
      <c r="C349" t="s">
        <v>337</v>
      </c>
      <c r="D349">
        <v>2</v>
      </c>
      <c r="E349">
        <v>77.86</v>
      </c>
      <c r="F349" t="s">
        <v>299</v>
      </c>
      <c r="G349">
        <v>38.93</v>
      </c>
      <c r="H349">
        <v>93.44</v>
      </c>
      <c r="I349" t="s">
        <v>295</v>
      </c>
      <c r="J349" t="s">
        <v>333</v>
      </c>
      <c r="K349" t="s">
        <v>523</v>
      </c>
      <c r="L349" t="s">
        <v>200</v>
      </c>
      <c r="M349" t="s">
        <v>263</v>
      </c>
      <c r="N349" t="s">
        <v>51</v>
      </c>
      <c r="O349" t="s">
        <v>4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263</v>
      </c>
      <c r="AH349" t="s">
        <v>51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93.44</v>
      </c>
      <c r="AN349">
        <f>$H$349*$T$349</f>
        <v>93.44</v>
      </c>
      <c r="AO349">
        <f>$H$349*$U$349</f>
        <v>93.44</v>
      </c>
      <c r="AP349">
        <f>$H$349*$V$349</f>
        <v>93.44</v>
      </c>
      <c r="AQ349">
        <f>$H$349*$W$349</f>
        <v>93.44</v>
      </c>
      <c r="AR349">
        <f>$H$349*$X$349</f>
        <v>93.44</v>
      </c>
      <c r="AS349">
        <f>$H$349*$Y$349</f>
        <v>93.44</v>
      </c>
      <c r="AT349">
        <f>$H$349*$Z$349</f>
        <v>93.44</v>
      </c>
      <c r="AU349">
        <f>$H$349*$AA$349</f>
        <v>93.44</v>
      </c>
      <c r="AV349">
        <f>$H$349*$AB$349</f>
        <v>93.44</v>
      </c>
      <c r="AW349">
        <f>$H$349*$AC$349</f>
        <v>93.44</v>
      </c>
      <c r="AX349">
        <f>$H$349*$AD$349</f>
        <v>93.44</v>
      </c>
      <c r="AY349">
        <f>$H$349*$AE$349</f>
        <v>93.44</v>
      </c>
      <c r="AZ349">
        <f>$H$349*$AF$349</f>
        <v>93.44</v>
      </c>
    </row>
    <row r="350" spans="1:52" x14ac:dyDescent="0.25">
      <c r="A350">
        <v>395</v>
      </c>
      <c r="B350" t="s">
        <v>263</v>
      </c>
      <c r="C350" t="s">
        <v>335</v>
      </c>
      <c r="D350">
        <v>2</v>
      </c>
      <c r="E350">
        <v>62.72</v>
      </c>
      <c r="F350" t="s">
        <v>299</v>
      </c>
      <c r="G350">
        <v>31.36</v>
      </c>
      <c r="H350">
        <v>75.260000000000005</v>
      </c>
      <c r="I350" t="s">
        <v>295</v>
      </c>
      <c r="J350" t="s">
        <v>336</v>
      </c>
      <c r="K350" t="s">
        <v>522</v>
      </c>
      <c r="L350" t="s">
        <v>200</v>
      </c>
      <c r="M350" t="s">
        <v>263</v>
      </c>
      <c r="N350" t="s">
        <v>51</v>
      </c>
      <c r="O350" t="s">
        <v>4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263</v>
      </c>
      <c r="AH350" t="s">
        <v>51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75.260000000000005</v>
      </c>
      <c r="AN350">
        <f>$H$350*$T$350</f>
        <v>75.260000000000005</v>
      </c>
      <c r="AO350">
        <f>$H$350*$U$350</f>
        <v>75.260000000000005</v>
      </c>
      <c r="AP350">
        <f>$H$350*$V$350</f>
        <v>75.260000000000005</v>
      </c>
      <c r="AQ350">
        <f>$H$350*$W$350</f>
        <v>75.260000000000005</v>
      </c>
      <c r="AR350">
        <f>$H$350*$X$350</f>
        <v>75.260000000000005</v>
      </c>
      <c r="AS350">
        <f>$H$350*$Y$350</f>
        <v>75.260000000000005</v>
      </c>
      <c r="AT350">
        <f>$H$350*$Z$350</f>
        <v>75.260000000000005</v>
      </c>
      <c r="AU350">
        <f>$H$350*$AA$350</f>
        <v>75.260000000000005</v>
      </c>
      <c r="AV350">
        <f>$H$350*$AB$350</f>
        <v>75.260000000000005</v>
      </c>
      <c r="AW350">
        <f>$H$350*$AC$350</f>
        <v>75.260000000000005</v>
      </c>
      <c r="AX350">
        <f>$H$350*$AD$350</f>
        <v>75.260000000000005</v>
      </c>
      <c r="AY350">
        <f>$H$350*$AE$350</f>
        <v>75.260000000000005</v>
      </c>
      <c r="AZ350">
        <f>$H$350*$AF$350</f>
        <v>75.260000000000005</v>
      </c>
    </row>
    <row r="351" spans="1:52" x14ac:dyDescent="0.25">
      <c r="A351">
        <v>396</v>
      </c>
      <c r="B351" t="s">
        <v>263</v>
      </c>
      <c r="C351" t="s">
        <v>332</v>
      </c>
      <c r="D351">
        <v>1</v>
      </c>
      <c r="E351">
        <v>365.09</v>
      </c>
      <c r="F351" t="s">
        <v>299</v>
      </c>
      <c r="G351">
        <v>365.09</v>
      </c>
      <c r="H351">
        <v>438.11</v>
      </c>
      <c r="I351" t="s">
        <v>333</v>
      </c>
      <c r="J351" t="s">
        <v>334</v>
      </c>
      <c r="K351" t="s">
        <v>521</v>
      </c>
      <c r="L351" t="s">
        <v>200</v>
      </c>
      <c r="M351" t="s">
        <v>263</v>
      </c>
      <c r="N351" t="s">
        <v>51</v>
      </c>
      <c r="O351" t="s">
        <v>4</v>
      </c>
      <c r="P351">
        <v>0</v>
      </c>
      <c r="Q351">
        <v>0</v>
      </c>
      <c r="R351">
        <v>0</v>
      </c>
      <c r="S351">
        <v>0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263</v>
      </c>
      <c r="AH351" t="s">
        <v>51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438.11</v>
      </c>
      <c r="AO351">
        <f>$H$351*$U$351</f>
        <v>438.11</v>
      </c>
      <c r="AP351">
        <f>$H$351*$V$351</f>
        <v>438.11</v>
      </c>
      <c r="AQ351">
        <f>$H$351*$W$351</f>
        <v>438.11</v>
      </c>
      <c r="AR351">
        <f>$H$351*$X$351</f>
        <v>438.11</v>
      </c>
      <c r="AS351">
        <f>$H$351*$Y$351</f>
        <v>438.11</v>
      </c>
      <c r="AT351">
        <f>$H$351*$Z$351</f>
        <v>438.11</v>
      </c>
      <c r="AU351">
        <f>$H$351*$AA$351</f>
        <v>438.11</v>
      </c>
      <c r="AV351">
        <f>$H$351*$AB$351</f>
        <v>438.11</v>
      </c>
      <c r="AW351">
        <f>$H$351*$AC$351</f>
        <v>438.11</v>
      </c>
      <c r="AX351">
        <f>$H$351*$AD$351</f>
        <v>438.11</v>
      </c>
      <c r="AY351">
        <f>$H$351*$AE$351</f>
        <v>438.11</v>
      </c>
      <c r="AZ351">
        <f>$H$351*$AF$351</f>
        <v>438.11</v>
      </c>
    </row>
    <row r="352" spans="1:52" x14ac:dyDescent="0.25">
      <c r="A352">
        <v>397</v>
      </c>
      <c r="B352" t="s">
        <v>263</v>
      </c>
      <c r="C352" t="s">
        <v>324</v>
      </c>
      <c r="D352">
        <v>434.67</v>
      </c>
      <c r="E352">
        <v>425.98</v>
      </c>
      <c r="F352" t="s">
        <v>313</v>
      </c>
      <c r="G352">
        <v>0.98</v>
      </c>
      <c r="H352">
        <v>511.18</v>
      </c>
      <c r="I352" t="s">
        <v>295</v>
      </c>
      <c r="J352" t="s">
        <v>325</v>
      </c>
      <c r="K352" t="s">
        <v>518</v>
      </c>
      <c r="L352" t="s">
        <v>200</v>
      </c>
      <c r="M352" t="s">
        <v>263</v>
      </c>
      <c r="N352" t="s">
        <v>51</v>
      </c>
      <c r="O352" t="s">
        <v>4</v>
      </c>
      <c r="P352">
        <v>0</v>
      </c>
      <c r="Q352">
        <v>0</v>
      </c>
      <c r="R352">
        <v>0</v>
      </c>
      <c r="S352">
        <v>0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263</v>
      </c>
      <c r="AH352" t="s">
        <v>51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511.18</v>
      </c>
      <c r="AO352">
        <f>$H$352*$U$352</f>
        <v>511.18</v>
      </c>
      <c r="AP352">
        <f>$H$352*$V$352</f>
        <v>511.18</v>
      </c>
      <c r="AQ352">
        <f>$H$352*$W$352</f>
        <v>511.18</v>
      </c>
      <c r="AR352">
        <f>$H$352*$X$352</f>
        <v>511.18</v>
      </c>
      <c r="AS352">
        <f>$H$352*$Y$352</f>
        <v>511.18</v>
      </c>
      <c r="AT352">
        <f>$H$352*$Z$352</f>
        <v>511.18</v>
      </c>
      <c r="AU352">
        <f>$H$352*$AA$352</f>
        <v>511.18</v>
      </c>
      <c r="AV352">
        <f>$H$352*$AB$352</f>
        <v>511.18</v>
      </c>
      <c r="AW352">
        <f>$H$352*$AC$352</f>
        <v>511.18</v>
      </c>
      <c r="AX352">
        <f>$H$352*$AD$352</f>
        <v>511.18</v>
      </c>
      <c r="AY352">
        <f>$H$352*$AE$352</f>
        <v>511.18</v>
      </c>
      <c r="AZ352">
        <f>$H$352*$AF$352</f>
        <v>511.18</v>
      </c>
    </row>
    <row r="353" spans="1:52" x14ac:dyDescent="0.25">
      <c r="A353">
        <v>398</v>
      </c>
      <c r="B353" t="s">
        <v>263</v>
      </c>
      <c r="C353" t="s">
        <v>326</v>
      </c>
      <c r="D353">
        <v>434.67</v>
      </c>
      <c r="E353">
        <v>1160.57</v>
      </c>
      <c r="F353" t="s">
        <v>313</v>
      </c>
      <c r="G353">
        <v>2.67</v>
      </c>
      <c r="H353">
        <v>1392.69</v>
      </c>
      <c r="I353" t="s">
        <v>327</v>
      </c>
      <c r="J353" t="s">
        <v>328</v>
      </c>
      <c r="K353" t="s">
        <v>519</v>
      </c>
      <c r="L353" t="s">
        <v>200</v>
      </c>
      <c r="M353" t="s">
        <v>263</v>
      </c>
      <c r="N353" t="s">
        <v>51</v>
      </c>
      <c r="O353" t="s">
        <v>4</v>
      </c>
      <c r="P353">
        <v>0</v>
      </c>
      <c r="Q353">
        <v>0</v>
      </c>
      <c r="R353">
        <v>0</v>
      </c>
      <c r="S353">
        <v>0.25</v>
      </c>
      <c r="T353">
        <v>0.25</v>
      </c>
      <c r="U353">
        <v>0.25</v>
      </c>
      <c r="V353">
        <v>0.25</v>
      </c>
      <c r="W353">
        <v>0.25</v>
      </c>
      <c r="X353">
        <v>0.5</v>
      </c>
      <c r="Y353">
        <v>0.5</v>
      </c>
      <c r="Z353">
        <v>0.5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263</v>
      </c>
      <c r="AH353" t="s">
        <v>51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348.17250000000001</v>
      </c>
      <c r="AN353">
        <f>$H$353*$T$353</f>
        <v>348.17250000000001</v>
      </c>
      <c r="AO353">
        <f>$H$353*$U$353</f>
        <v>348.17250000000001</v>
      </c>
      <c r="AP353">
        <f>$H$353*$V$353</f>
        <v>348.17250000000001</v>
      </c>
      <c r="AQ353">
        <f>$H$353*$W$353</f>
        <v>348.17250000000001</v>
      </c>
      <c r="AR353">
        <f>$H$353*$X$353</f>
        <v>696.34500000000003</v>
      </c>
      <c r="AS353">
        <f>$H$353*$Y$353</f>
        <v>696.34500000000003</v>
      </c>
      <c r="AT353">
        <f>$H$353*$Z$353</f>
        <v>696.34500000000003</v>
      </c>
      <c r="AU353">
        <f>$H$353*$AA$353</f>
        <v>1392.69</v>
      </c>
      <c r="AV353">
        <f>$H$353*$AB$353</f>
        <v>1392.69</v>
      </c>
      <c r="AW353">
        <f>$H$353*$AC$353</f>
        <v>1392.69</v>
      </c>
      <c r="AX353">
        <f>$H$353*$AD$353</f>
        <v>1392.69</v>
      </c>
      <c r="AY353">
        <f>$H$353*$AE$353</f>
        <v>1392.69</v>
      </c>
      <c r="AZ353">
        <f>$H$353*$AF$353</f>
        <v>1392.69</v>
      </c>
    </row>
    <row r="354" spans="1:52" x14ac:dyDescent="0.25">
      <c r="A354">
        <v>399</v>
      </c>
      <c r="B354" t="s">
        <v>263</v>
      </c>
      <c r="C354" t="s">
        <v>383</v>
      </c>
      <c r="D354">
        <v>54.33</v>
      </c>
      <c r="E354">
        <v>49.44</v>
      </c>
      <c r="F354" t="s">
        <v>294</v>
      </c>
      <c r="G354">
        <v>0.91</v>
      </c>
      <c r="H354">
        <v>59.32</v>
      </c>
      <c r="I354" t="s">
        <v>295</v>
      </c>
      <c r="J354" t="s">
        <v>384</v>
      </c>
      <c r="K354" t="s">
        <v>547</v>
      </c>
      <c r="L354" t="s">
        <v>200</v>
      </c>
      <c r="M354" t="s">
        <v>263</v>
      </c>
      <c r="N354" t="s">
        <v>51</v>
      </c>
      <c r="O354" t="s">
        <v>4</v>
      </c>
      <c r="P354">
        <v>0</v>
      </c>
      <c r="Q354">
        <v>0</v>
      </c>
      <c r="R354">
        <v>0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263</v>
      </c>
      <c r="AH354" t="s">
        <v>51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59.32</v>
      </c>
      <c r="AN354">
        <f>$H$354*$T$354</f>
        <v>59.32</v>
      </c>
      <c r="AO354">
        <f>$H$354*$U$354</f>
        <v>59.32</v>
      </c>
      <c r="AP354">
        <f>$H$354*$V$354</f>
        <v>59.32</v>
      </c>
      <c r="AQ354">
        <f>$H$354*$W$354</f>
        <v>59.32</v>
      </c>
      <c r="AR354">
        <f>$H$354*$X$354</f>
        <v>59.32</v>
      </c>
      <c r="AS354">
        <f>$H$354*$Y$354</f>
        <v>59.32</v>
      </c>
      <c r="AT354">
        <f>$H$354*$Z$354</f>
        <v>59.32</v>
      </c>
      <c r="AU354">
        <f>$H$354*$AA$354</f>
        <v>59.32</v>
      </c>
      <c r="AV354">
        <f>$H$354*$AB$354</f>
        <v>59.32</v>
      </c>
      <c r="AW354">
        <f>$H$354*$AC$354</f>
        <v>59.32</v>
      </c>
      <c r="AX354">
        <f>$H$354*$AD$354</f>
        <v>59.32</v>
      </c>
      <c r="AY354">
        <f>$H$354*$AE$354</f>
        <v>59.32</v>
      </c>
      <c r="AZ354">
        <f>$H$354*$AF$354</f>
        <v>59.32</v>
      </c>
    </row>
    <row r="355" spans="1:52" x14ac:dyDescent="0.25">
      <c r="A355">
        <v>400</v>
      </c>
      <c r="B355" t="s">
        <v>263</v>
      </c>
      <c r="C355" t="s">
        <v>385</v>
      </c>
      <c r="D355">
        <v>54.33</v>
      </c>
      <c r="E355">
        <v>278.17</v>
      </c>
      <c r="F355" t="s">
        <v>294</v>
      </c>
      <c r="G355">
        <v>5.12</v>
      </c>
      <c r="H355">
        <v>333.81</v>
      </c>
      <c r="I355" t="s">
        <v>298</v>
      </c>
      <c r="J355" t="s">
        <v>386</v>
      </c>
      <c r="K355" t="s">
        <v>548</v>
      </c>
      <c r="L355" t="s">
        <v>200</v>
      </c>
      <c r="M355" t="s">
        <v>263</v>
      </c>
      <c r="N355" t="s">
        <v>51</v>
      </c>
      <c r="O355" t="s">
        <v>4</v>
      </c>
      <c r="P355">
        <v>0</v>
      </c>
      <c r="Q355">
        <v>0</v>
      </c>
      <c r="R355">
        <v>0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263</v>
      </c>
      <c r="AH355" t="s">
        <v>51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333.81</v>
      </c>
      <c r="AN355">
        <f>$H$355*$T$355</f>
        <v>333.81</v>
      </c>
      <c r="AO355">
        <f>$H$355*$U$355</f>
        <v>333.81</v>
      </c>
      <c r="AP355">
        <f>$H$355*$V$355</f>
        <v>333.81</v>
      </c>
      <c r="AQ355">
        <f>$H$355*$W$355</f>
        <v>333.81</v>
      </c>
      <c r="AR355">
        <f>$H$355*$X$355</f>
        <v>333.81</v>
      </c>
      <c r="AS355">
        <f>$H$355*$Y$355</f>
        <v>333.81</v>
      </c>
      <c r="AT355">
        <f>$H$355*$Z$355</f>
        <v>333.81</v>
      </c>
      <c r="AU355">
        <f>$H$355*$AA$355</f>
        <v>333.81</v>
      </c>
      <c r="AV355">
        <f>$H$355*$AB$355</f>
        <v>333.81</v>
      </c>
      <c r="AW355">
        <f>$H$355*$AC$355</f>
        <v>333.81</v>
      </c>
      <c r="AX355">
        <f>$H$355*$AD$355</f>
        <v>333.81</v>
      </c>
      <c r="AY355">
        <f>$H$355*$AE$355</f>
        <v>333.81</v>
      </c>
      <c r="AZ355">
        <f>$H$355*$AF$355</f>
        <v>333.81</v>
      </c>
    </row>
    <row r="356" spans="1:52" x14ac:dyDescent="0.25">
      <c r="A356">
        <v>401</v>
      </c>
      <c r="B356" t="s">
        <v>263</v>
      </c>
      <c r="C356" t="s">
        <v>326</v>
      </c>
      <c r="D356">
        <v>183.67</v>
      </c>
      <c r="E356">
        <v>490.4</v>
      </c>
      <c r="F356" t="s">
        <v>313</v>
      </c>
      <c r="G356">
        <v>2.67</v>
      </c>
      <c r="H356">
        <v>588.48</v>
      </c>
      <c r="I356" t="s">
        <v>327</v>
      </c>
      <c r="J356" t="s">
        <v>328</v>
      </c>
      <c r="K356" t="s">
        <v>519</v>
      </c>
      <c r="L356" t="s">
        <v>200</v>
      </c>
      <c r="M356" t="s">
        <v>263</v>
      </c>
      <c r="N356" t="s">
        <v>51</v>
      </c>
      <c r="O356" t="s">
        <v>4</v>
      </c>
      <c r="P356">
        <v>0</v>
      </c>
      <c r="Q356">
        <v>0</v>
      </c>
      <c r="R356">
        <v>0</v>
      </c>
      <c r="S356">
        <v>0.25</v>
      </c>
      <c r="T356">
        <v>0.25</v>
      </c>
      <c r="U356">
        <v>0.25</v>
      </c>
      <c r="V356">
        <v>0.25</v>
      </c>
      <c r="W356">
        <v>0.25</v>
      </c>
      <c r="X356">
        <v>0.5</v>
      </c>
      <c r="Y356">
        <v>0.5</v>
      </c>
      <c r="Z356">
        <v>0.5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263</v>
      </c>
      <c r="AH356" t="s">
        <v>51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147.12</v>
      </c>
      <c r="AN356">
        <f>$H$356*$T$356</f>
        <v>147.12</v>
      </c>
      <c r="AO356">
        <f>$H$356*$U$356</f>
        <v>147.12</v>
      </c>
      <c r="AP356">
        <f>$H$356*$V$356</f>
        <v>147.12</v>
      </c>
      <c r="AQ356">
        <f>$H$356*$W$356</f>
        <v>147.12</v>
      </c>
      <c r="AR356">
        <f>$H$356*$X$356</f>
        <v>294.24</v>
      </c>
      <c r="AS356">
        <f>$H$356*$Y$356</f>
        <v>294.24</v>
      </c>
      <c r="AT356">
        <f>$H$356*$Z$356</f>
        <v>294.24</v>
      </c>
      <c r="AU356">
        <f>$H$356*$AA$356</f>
        <v>588.48</v>
      </c>
      <c r="AV356">
        <f>$H$356*$AB$356</f>
        <v>588.48</v>
      </c>
      <c r="AW356">
        <f>$H$356*$AC$356</f>
        <v>588.48</v>
      </c>
      <c r="AX356">
        <f>$H$356*$AD$356</f>
        <v>588.48</v>
      </c>
      <c r="AY356">
        <f>$H$356*$AE$356</f>
        <v>588.48</v>
      </c>
      <c r="AZ356">
        <f>$H$356*$AF$356</f>
        <v>588.48</v>
      </c>
    </row>
    <row r="357" spans="1:52" x14ac:dyDescent="0.25">
      <c r="A357">
        <v>402</v>
      </c>
      <c r="B357" t="s">
        <v>263</v>
      </c>
      <c r="C357" t="s">
        <v>387</v>
      </c>
      <c r="D357">
        <v>183.67</v>
      </c>
      <c r="E357">
        <v>115.71</v>
      </c>
      <c r="F357" t="s">
        <v>313</v>
      </c>
      <c r="G357">
        <v>0.63</v>
      </c>
      <c r="H357">
        <v>138.85</v>
      </c>
      <c r="I357" t="s">
        <v>295</v>
      </c>
      <c r="J357" t="s">
        <v>388</v>
      </c>
      <c r="K357" t="s">
        <v>549</v>
      </c>
      <c r="L357" t="s">
        <v>200</v>
      </c>
      <c r="M357" t="s">
        <v>263</v>
      </c>
      <c r="N357" t="s">
        <v>51</v>
      </c>
      <c r="O357" t="s">
        <v>4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1</v>
      </c>
      <c r="AE357">
        <v>1</v>
      </c>
      <c r="AF357">
        <v>1</v>
      </c>
      <c r="AG357" t="s">
        <v>263</v>
      </c>
      <c r="AH357" t="s">
        <v>51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0</v>
      </c>
      <c r="AO357">
        <f>$H$357*$U$357</f>
        <v>0</v>
      </c>
      <c r="AP357">
        <f>$H$357*$V$357</f>
        <v>0</v>
      </c>
      <c r="AQ357">
        <f>$H$357*$W$357</f>
        <v>0</v>
      </c>
      <c r="AR357">
        <f>$H$357*$X$357</f>
        <v>0</v>
      </c>
      <c r="AS357">
        <f>$H$357*$Y$357</f>
        <v>0</v>
      </c>
      <c r="AT357">
        <f>$H$357*$Z$357</f>
        <v>0</v>
      </c>
      <c r="AU357">
        <f>$H$357*$AA$357</f>
        <v>0</v>
      </c>
      <c r="AV357">
        <f>$H$357*$AB$357</f>
        <v>0</v>
      </c>
      <c r="AW357">
        <f>$H$357*$AC$357</f>
        <v>0</v>
      </c>
      <c r="AX357">
        <f>$H$357*$AD$357</f>
        <v>138.85</v>
      </c>
      <c r="AY357">
        <f>$H$357*$AE$357</f>
        <v>138.85</v>
      </c>
      <c r="AZ357">
        <f>$H$357*$AF$357</f>
        <v>138.85</v>
      </c>
    </row>
    <row r="358" spans="1:52" x14ac:dyDescent="0.25">
      <c r="A358">
        <v>403</v>
      </c>
      <c r="B358" t="s">
        <v>263</v>
      </c>
      <c r="C358" t="s">
        <v>389</v>
      </c>
      <c r="D358">
        <v>183.67</v>
      </c>
      <c r="E358">
        <v>126.73</v>
      </c>
      <c r="F358" t="s">
        <v>313</v>
      </c>
      <c r="G358">
        <v>0.69</v>
      </c>
      <c r="H358">
        <v>152.07</v>
      </c>
      <c r="I358" t="s">
        <v>295</v>
      </c>
      <c r="J358" t="s">
        <v>390</v>
      </c>
      <c r="K358" t="s">
        <v>550</v>
      </c>
      <c r="L358" t="s">
        <v>200</v>
      </c>
      <c r="M358" t="s">
        <v>263</v>
      </c>
      <c r="N358" t="s">
        <v>51</v>
      </c>
      <c r="O358" t="s">
        <v>4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263</v>
      </c>
      <c r="AH358" t="s">
        <v>51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152.07</v>
      </c>
      <c r="AN358">
        <f>$H$358*$T$358</f>
        <v>152.07</v>
      </c>
      <c r="AO358">
        <f>$H$358*$U$358</f>
        <v>152.07</v>
      </c>
      <c r="AP358">
        <f>$H$358*$V$358</f>
        <v>152.07</v>
      </c>
      <c r="AQ358">
        <f>$H$358*$W$358</f>
        <v>152.07</v>
      </c>
      <c r="AR358">
        <f>$H$358*$X$358</f>
        <v>152.07</v>
      </c>
      <c r="AS358">
        <f>$H$358*$Y$358</f>
        <v>152.07</v>
      </c>
      <c r="AT358">
        <f>$H$358*$Z$358</f>
        <v>152.07</v>
      </c>
      <c r="AU358">
        <f>$H$358*$AA$358</f>
        <v>152.07</v>
      </c>
      <c r="AV358">
        <f>$H$358*$AB$358</f>
        <v>152.07</v>
      </c>
      <c r="AW358">
        <f>$H$358*$AC$358</f>
        <v>152.07</v>
      </c>
      <c r="AX358">
        <f>$H$358*$AD$358</f>
        <v>152.07</v>
      </c>
      <c r="AY358">
        <f>$H$358*$AE$358</f>
        <v>152.07</v>
      </c>
      <c r="AZ358">
        <f>$H$358*$AF$358</f>
        <v>152.07</v>
      </c>
    </row>
    <row r="359" spans="1:52" x14ac:dyDescent="0.25">
      <c r="A359">
        <v>404</v>
      </c>
      <c r="B359" t="s">
        <v>263</v>
      </c>
      <c r="C359" t="s">
        <v>391</v>
      </c>
      <c r="D359">
        <v>38.57</v>
      </c>
      <c r="E359">
        <v>219.46</v>
      </c>
      <c r="F359" t="s">
        <v>313</v>
      </c>
      <c r="G359">
        <v>5.69</v>
      </c>
      <c r="H359">
        <v>263.36</v>
      </c>
      <c r="I359" t="s">
        <v>392</v>
      </c>
      <c r="J359" t="s">
        <v>393</v>
      </c>
      <c r="K359" t="s">
        <v>551</v>
      </c>
      <c r="L359" t="s">
        <v>200</v>
      </c>
      <c r="M359" t="s">
        <v>263</v>
      </c>
      <c r="N359" t="s">
        <v>51</v>
      </c>
      <c r="O359" t="s">
        <v>4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263</v>
      </c>
      <c r="AH359" t="s">
        <v>51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263.36</v>
      </c>
      <c r="AN359">
        <f>$H$359*$T$359</f>
        <v>263.36</v>
      </c>
      <c r="AO359">
        <f>$H$359*$U$359</f>
        <v>263.36</v>
      </c>
      <c r="AP359">
        <f>$H$359*$V$359</f>
        <v>263.36</v>
      </c>
      <c r="AQ359">
        <f>$H$359*$W$359</f>
        <v>263.36</v>
      </c>
      <c r="AR359">
        <f>$H$359*$X$359</f>
        <v>263.36</v>
      </c>
      <c r="AS359">
        <f>$H$359*$Y$359</f>
        <v>263.36</v>
      </c>
      <c r="AT359">
        <f>$H$359*$Z$359</f>
        <v>263.36</v>
      </c>
      <c r="AU359">
        <f>$H$359*$AA$359</f>
        <v>263.36</v>
      </c>
      <c r="AV359">
        <f>$H$359*$AB$359</f>
        <v>263.36</v>
      </c>
      <c r="AW359">
        <f>$H$359*$AC$359</f>
        <v>263.36</v>
      </c>
      <c r="AX359">
        <f>$H$359*$AD$359</f>
        <v>263.36</v>
      </c>
      <c r="AY359">
        <f>$H$359*$AE$359</f>
        <v>263.36</v>
      </c>
      <c r="AZ359">
        <f>$H$359*$AF$359</f>
        <v>263.36</v>
      </c>
    </row>
    <row r="360" spans="1:52" x14ac:dyDescent="0.25">
      <c r="A360">
        <v>405</v>
      </c>
      <c r="B360" t="s">
        <v>263</v>
      </c>
      <c r="C360" t="s">
        <v>394</v>
      </c>
      <c r="D360">
        <v>42.24</v>
      </c>
      <c r="E360">
        <v>250.06</v>
      </c>
      <c r="F360" t="s">
        <v>313</v>
      </c>
      <c r="G360">
        <v>5.92</v>
      </c>
      <c r="H360">
        <v>300.08</v>
      </c>
      <c r="I360" t="s">
        <v>392</v>
      </c>
      <c r="J360" t="s">
        <v>334</v>
      </c>
      <c r="K360" t="s">
        <v>552</v>
      </c>
      <c r="L360" t="s">
        <v>200</v>
      </c>
      <c r="M360" t="s">
        <v>263</v>
      </c>
      <c r="N360" t="s">
        <v>51</v>
      </c>
      <c r="O360" t="s">
        <v>4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263</v>
      </c>
      <c r="AH360" t="s">
        <v>51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300.08</v>
      </c>
      <c r="AN360">
        <f>$H$360*$T$360</f>
        <v>300.08</v>
      </c>
      <c r="AO360">
        <f>$H$360*$U$360</f>
        <v>300.08</v>
      </c>
      <c r="AP360">
        <f>$H$360*$V$360</f>
        <v>300.08</v>
      </c>
      <c r="AQ360">
        <f>$H$360*$W$360</f>
        <v>300.08</v>
      </c>
      <c r="AR360">
        <f>$H$360*$X$360</f>
        <v>300.08</v>
      </c>
      <c r="AS360">
        <f>$H$360*$Y$360</f>
        <v>300.08</v>
      </c>
      <c r="AT360">
        <f>$H$360*$Z$360</f>
        <v>300.08</v>
      </c>
      <c r="AU360">
        <f>$H$360*$AA$360</f>
        <v>300.08</v>
      </c>
      <c r="AV360">
        <f>$H$360*$AB$360</f>
        <v>300.08</v>
      </c>
      <c r="AW360">
        <f>$H$360*$AC$360</f>
        <v>300.08</v>
      </c>
      <c r="AX360">
        <f>$H$360*$AD$360</f>
        <v>300.08</v>
      </c>
      <c r="AY360">
        <f>$H$360*$AE$360</f>
        <v>300.08</v>
      </c>
      <c r="AZ360">
        <f>$H$360*$AF$360</f>
        <v>300.08</v>
      </c>
    </row>
    <row r="361" spans="1:52" x14ac:dyDescent="0.25">
      <c r="A361">
        <v>406</v>
      </c>
      <c r="B361" t="s">
        <v>263</v>
      </c>
      <c r="C361" t="s">
        <v>395</v>
      </c>
      <c r="D361">
        <v>38.33</v>
      </c>
      <c r="E361">
        <v>209.28</v>
      </c>
      <c r="F361" t="s">
        <v>313</v>
      </c>
      <c r="G361">
        <v>5.46</v>
      </c>
      <c r="H361">
        <v>251.14</v>
      </c>
      <c r="I361" t="s">
        <v>396</v>
      </c>
      <c r="J361" t="s">
        <v>397</v>
      </c>
      <c r="K361" t="s">
        <v>553</v>
      </c>
      <c r="L361" t="s">
        <v>200</v>
      </c>
      <c r="M361" t="s">
        <v>263</v>
      </c>
      <c r="N361" t="s">
        <v>51</v>
      </c>
      <c r="O361" t="s">
        <v>4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263</v>
      </c>
      <c r="AH361" t="s">
        <v>51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251.14</v>
      </c>
      <c r="AN361">
        <f>$H$361*$T$361</f>
        <v>251.14</v>
      </c>
      <c r="AO361">
        <f>$H$361*$U$361</f>
        <v>251.14</v>
      </c>
      <c r="AP361">
        <f>$H$361*$V$361</f>
        <v>251.14</v>
      </c>
      <c r="AQ361">
        <f>$H$361*$W$361</f>
        <v>251.14</v>
      </c>
      <c r="AR361">
        <f>$H$361*$X$361</f>
        <v>251.14</v>
      </c>
      <c r="AS361">
        <f>$H$361*$Y$361</f>
        <v>251.14</v>
      </c>
      <c r="AT361">
        <f>$H$361*$Z$361</f>
        <v>251.14</v>
      </c>
      <c r="AU361">
        <f>$H$361*$AA$361</f>
        <v>251.14</v>
      </c>
      <c r="AV361">
        <f>$H$361*$AB$361</f>
        <v>251.14</v>
      </c>
      <c r="AW361">
        <f>$H$361*$AC$361</f>
        <v>251.14</v>
      </c>
      <c r="AX361">
        <f>$H$361*$AD$361</f>
        <v>251.14</v>
      </c>
      <c r="AY361">
        <f>$H$361*$AE$361</f>
        <v>251.14</v>
      </c>
      <c r="AZ361">
        <f>$H$361*$AF$361</f>
        <v>251.14</v>
      </c>
    </row>
    <row r="362" spans="1:52" x14ac:dyDescent="0.25">
      <c r="A362">
        <v>407</v>
      </c>
      <c r="B362" t="s">
        <v>263</v>
      </c>
      <c r="C362" t="s">
        <v>398</v>
      </c>
      <c r="D362">
        <v>38.33</v>
      </c>
      <c r="E362">
        <v>137.22</v>
      </c>
      <c r="F362" t="s">
        <v>313</v>
      </c>
      <c r="G362">
        <v>3.58</v>
      </c>
      <c r="H362">
        <v>164.66</v>
      </c>
      <c r="I362" t="s">
        <v>396</v>
      </c>
      <c r="J362" t="s">
        <v>399</v>
      </c>
      <c r="K362" t="s">
        <v>554</v>
      </c>
      <c r="L362" t="s">
        <v>200</v>
      </c>
      <c r="M362" t="s">
        <v>263</v>
      </c>
      <c r="N362" t="s">
        <v>51</v>
      </c>
      <c r="O362" t="s">
        <v>4</v>
      </c>
      <c r="P362">
        <v>0</v>
      </c>
      <c r="Q362">
        <v>0</v>
      </c>
      <c r="R362">
        <v>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263</v>
      </c>
      <c r="AH362" t="s">
        <v>51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164.66</v>
      </c>
      <c r="AN362">
        <f>$H$362*$T$362</f>
        <v>164.66</v>
      </c>
      <c r="AO362">
        <f>$H$362*$U$362</f>
        <v>164.66</v>
      </c>
      <c r="AP362">
        <f>$H$362*$V$362</f>
        <v>164.66</v>
      </c>
      <c r="AQ362">
        <f>$H$362*$W$362</f>
        <v>164.66</v>
      </c>
      <c r="AR362">
        <f>$H$362*$X$362</f>
        <v>164.66</v>
      </c>
      <c r="AS362">
        <f>$H$362*$Y$362</f>
        <v>164.66</v>
      </c>
      <c r="AT362">
        <f>$H$362*$Z$362</f>
        <v>164.66</v>
      </c>
      <c r="AU362">
        <f>$H$362*$AA$362</f>
        <v>164.66</v>
      </c>
      <c r="AV362">
        <f>$H$362*$AB$362</f>
        <v>164.66</v>
      </c>
      <c r="AW362">
        <f>$H$362*$AC$362</f>
        <v>164.66</v>
      </c>
      <c r="AX362">
        <f>$H$362*$AD$362</f>
        <v>164.66</v>
      </c>
      <c r="AY362">
        <f>$H$362*$AE$362</f>
        <v>164.66</v>
      </c>
      <c r="AZ362">
        <f>$H$362*$AF$362</f>
        <v>164.66</v>
      </c>
    </row>
    <row r="363" spans="1:52" x14ac:dyDescent="0.25">
      <c r="A363">
        <v>408</v>
      </c>
      <c r="B363" t="s">
        <v>263</v>
      </c>
      <c r="C363" t="s">
        <v>400</v>
      </c>
      <c r="D363">
        <v>38.33</v>
      </c>
      <c r="E363">
        <v>333.47</v>
      </c>
      <c r="F363" t="s">
        <v>313</v>
      </c>
      <c r="G363">
        <v>8.6999999999999993</v>
      </c>
      <c r="H363">
        <v>400.17</v>
      </c>
      <c r="I363" t="s">
        <v>396</v>
      </c>
      <c r="J363" t="s">
        <v>334</v>
      </c>
      <c r="K363" t="s">
        <v>555</v>
      </c>
      <c r="L363" t="s">
        <v>200</v>
      </c>
      <c r="M363" t="s">
        <v>263</v>
      </c>
      <c r="N363" t="s">
        <v>51</v>
      </c>
      <c r="O363" t="s">
        <v>4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263</v>
      </c>
      <c r="AH363" t="s">
        <v>51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400.17</v>
      </c>
      <c r="AN363">
        <f>$H$363*$T$363</f>
        <v>400.17</v>
      </c>
      <c r="AO363">
        <f>$H$363*$U$363</f>
        <v>400.17</v>
      </c>
      <c r="AP363">
        <f>$H$363*$V$363</f>
        <v>400.17</v>
      </c>
      <c r="AQ363">
        <f>$H$363*$W$363</f>
        <v>400.17</v>
      </c>
      <c r="AR363">
        <f>$H$363*$X$363</f>
        <v>400.17</v>
      </c>
      <c r="AS363">
        <f>$H$363*$Y$363</f>
        <v>400.17</v>
      </c>
      <c r="AT363">
        <f>$H$363*$Z$363</f>
        <v>400.17</v>
      </c>
      <c r="AU363">
        <f>$H$363*$AA$363</f>
        <v>400.17</v>
      </c>
      <c r="AV363">
        <f>$H$363*$AB$363</f>
        <v>400.17</v>
      </c>
      <c r="AW363">
        <f>$H$363*$AC$363</f>
        <v>400.17</v>
      </c>
      <c r="AX363">
        <f>$H$363*$AD$363</f>
        <v>400.17</v>
      </c>
      <c r="AY363">
        <f>$H$363*$AE$363</f>
        <v>400.17</v>
      </c>
      <c r="AZ363">
        <f>$H$363*$AF$363</f>
        <v>400.17</v>
      </c>
    </row>
    <row r="364" spans="1:52" x14ac:dyDescent="0.25">
      <c r="A364">
        <v>409</v>
      </c>
      <c r="B364" t="s">
        <v>263</v>
      </c>
      <c r="C364" t="s">
        <v>401</v>
      </c>
      <c r="D364">
        <v>42.24</v>
      </c>
      <c r="E364">
        <v>33.369999999999997</v>
      </c>
      <c r="F364" t="s">
        <v>313</v>
      </c>
      <c r="G364">
        <v>0.79</v>
      </c>
      <c r="H364">
        <v>40.049999999999997</v>
      </c>
      <c r="I364" t="s">
        <v>339</v>
      </c>
      <c r="J364" t="s">
        <v>402</v>
      </c>
      <c r="K364" t="s">
        <v>556</v>
      </c>
      <c r="L364" t="s">
        <v>200</v>
      </c>
      <c r="M364" t="s">
        <v>263</v>
      </c>
      <c r="N364" t="s">
        <v>51</v>
      </c>
      <c r="O364" t="s">
        <v>4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263</v>
      </c>
      <c r="AH364" t="s">
        <v>51</v>
      </c>
      <c r="AI364" t="s">
        <v>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40.049999999999997</v>
      </c>
      <c r="AN364">
        <f>$H$364*$T$364</f>
        <v>40.049999999999997</v>
      </c>
      <c r="AO364">
        <f>$H$364*$U$364</f>
        <v>40.049999999999997</v>
      </c>
      <c r="AP364">
        <f>$H$364*$V$364</f>
        <v>40.049999999999997</v>
      </c>
      <c r="AQ364">
        <f>$H$364*$W$364</f>
        <v>40.049999999999997</v>
      </c>
      <c r="AR364">
        <f>$H$364*$X$364</f>
        <v>40.049999999999997</v>
      </c>
      <c r="AS364">
        <f>$H$364*$Y$364</f>
        <v>40.049999999999997</v>
      </c>
      <c r="AT364">
        <f>$H$364*$Z$364</f>
        <v>40.049999999999997</v>
      </c>
      <c r="AU364">
        <f>$H$364*$AA$364</f>
        <v>40.049999999999997</v>
      </c>
      <c r="AV364">
        <f>$H$364*$AB$364</f>
        <v>40.049999999999997</v>
      </c>
      <c r="AW364">
        <f>$H$364*$AC$364</f>
        <v>40.049999999999997</v>
      </c>
      <c r="AX364">
        <f>$H$364*$AD$364</f>
        <v>40.049999999999997</v>
      </c>
      <c r="AY364">
        <f>$H$364*$AE$364</f>
        <v>40.049999999999997</v>
      </c>
      <c r="AZ364">
        <f>$H$364*$AF$364</f>
        <v>40.049999999999997</v>
      </c>
    </row>
    <row r="365" spans="1:52" x14ac:dyDescent="0.25">
      <c r="A365">
        <v>410</v>
      </c>
      <c r="B365" t="s">
        <v>263</v>
      </c>
      <c r="C365" t="s">
        <v>403</v>
      </c>
      <c r="D365">
        <v>42.24</v>
      </c>
      <c r="E365">
        <v>225.14</v>
      </c>
      <c r="F365" t="s">
        <v>313</v>
      </c>
      <c r="G365">
        <v>5.33</v>
      </c>
      <c r="H365">
        <v>270.16000000000003</v>
      </c>
      <c r="I365" t="s">
        <v>339</v>
      </c>
      <c r="J365" t="s">
        <v>334</v>
      </c>
      <c r="K365" t="s">
        <v>557</v>
      </c>
      <c r="L365" t="s">
        <v>200</v>
      </c>
      <c r="M365" t="s">
        <v>263</v>
      </c>
      <c r="N365" t="s">
        <v>51</v>
      </c>
      <c r="O365" t="s">
        <v>4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263</v>
      </c>
      <c r="AH365" t="s">
        <v>51</v>
      </c>
      <c r="AI365" t="s">
        <v>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270.16000000000003</v>
      </c>
      <c r="AN365">
        <f>$H$365*$T$365</f>
        <v>270.16000000000003</v>
      </c>
      <c r="AO365">
        <f>$H$365*$U$365</f>
        <v>270.16000000000003</v>
      </c>
      <c r="AP365">
        <f>$H$365*$V$365</f>
        <v>270.16000000000003</v>
      </c>
      <c r="AQ365">
        <f>$H$365*$W$365</f>
        <v>270.16000000000003</v>
      </c>
      <c r="AR365">
        <f>$H$365*$X$365</f>
        <v>270.16000000000003</v>
      </c>
      <c r="AS365">
        <f>$H$365*$Y$365</f>
        <v>270.16000000000003</v>
      </c>
      <c r="AT365">
        <f>$H$365*$Z$365</f>
        <v>270.16000000000003</v>
      </c>
      <c r="AU365">
        <f>$H$365*$AA$365</f>
        <v>270.16000000000003</v>
      </c>
      <c r="AV365">
        <f>$H$365*$AB$365</f>
        <v>270.16000000000003</v>
      </c>
      <c r="AW365">
        <f>$H$365*$AC$365</f>
        <v>270.16000000000003</v>
      </c>
      <c r="AX365">
        <f>$H$365*$AD$365</f>
        <v>270.16000000000003</v>
      </c>
      <c r="AY365">
        <f>$H$365*$AE$365</f>
        <v>270.16000000000003</v>
      </c>
      <c r="AZ365">
        <f>$H$365*$AF$365</f>
        <v>270.16000000000003</v>
      </c>
    </row>
    <row r="366" spans="1:52" x14ac:dyDescent="0.25">
      <c r="A366">
        <v>411</v>
      </c>
      <c r="B366" t="s">
        <v>4</v>
      </c>
      <c r="C366" t="s">
        <v>465</v>
      </c>
      <c r="D366">
        <v>1</v>
      </c>
      <c r="E366">
        <v>39.700000000000003</v>
      </c>
      <c r="F366" t="s">
        <v>299</v>
      </c>
      <c r="G366">
        <v>39.700000000000003</v>
      </c>
      <c r="H366">
        <v>47.64</v>
      </c>
      <c r="I366" t="s">
        <v>301</v>
      </c>
      <c r="J366" t="s">
        <v>466</v>
      </c>
      <c r="K366" t="s">
        <v>588</v>
      </c>
      <c r="L366" t="s">
        <v>200</v>
      </c>
      <c r="M366" t="s">
        <v>4</v>
      </c>
      <c r="N366" t="s">
        <v>51</v>
      </c>
      <c r="O366" t="s">
        <v>4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1</v>
      </c>
      <c r="AE366">
        <v>1</v>
      </c>
      <c r="AF366">
        <v>1</v>
      </c>
      <c r="AG366" t="s">
        <v>4</v>
      </c>
      <c r="AH366" t="s">
        <v>51</v>
      </c>
      <c r="AI366" t="s">
        <v>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0</v>
      </c>
      <c r="AS366">
        <f>$H$366*$Y$366</f>
        <v>0</v>
      </c>
      <c r="AT366">
        <f>$H$366*$Z$366</f>
        <v>0</v>
      </c>
      <c r="AU366">
        <f>$H$366*$AA$366</f>
        <v>0</v>
      </c>
      <c r="AV366">
        <f>$H$366*$AB$366</f>
        <v>0</v>
      </c>
      <c r="AW366">
        <f>$H$366*$AC$366</f>
        <v>0</v>
      </c>
      <c r="AX366">
        <f>$H$366*$AD$366</f>
        <v>47.64</v>
      </c>
      <c r="AY366">
        <f>$H$366*$AE$366</f>
        <v>47.64</v>
      </c>
      <c r="AZ366">
        <f>$H$366*$AF$366</f>
        <v>47.64</v>
      </c>
    </row>
    <row r="367" spans="1:52" x14ac:dyDescent="0.25">
      <c r="A367">
        <v>412</v>
      </c>
      <c r="B367" t="s">
        <v>4</v>
      </c>
      <c r="C367" t="s">
        <v>320</v>
      </c>
      <c r="D367">
        <v>4</v>
      </c>
      <c r="E367">
        <v>17.760000000000002</v>
      </c>
      <c r="F367" t="s">
        <v>294</v>
      </c>
      <c r="G367">
        <v>4.4400000000000004</v>
      </c>
      <c r="H367">
        <v>21.32</v>
      </c>
      <c r="I367" t="s">
        <v>295</v>
      </c>
      <c r="J367" t="s">
        <v>321</v>
      </c>
      <c r="K367" t="s">
        <v>516</v>
      </c>
      <c r="L367" t="s">
        <v>200</v>
      </c>
      <c r="M367" t="s">
        <v>4</v>
      </c>
      <c r="N367" t="s">
        <v>51</v>
      </c>
      <c r="O367" t="s">
        <v>4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4</v>
      </c>
      <c r="AH367" t="s">
        <v>51</v>
      </c>
      <c r="AI367" t="s">
        <v>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0</v>
      </c>
      <c r="AO367">
        <f>$H$367*$U$367</f>
        <v>0</v>
      </c>
      <c r="AP367">
        <f>$H$367*$V$367</f>
        <v>0</v>
      </c>
      <c r="AQ367">
        <f>$H$367*$W$367</f>
        <v>0</v>
      </c>
      <c r="AR367">
        <f>$H$367*$X$367</f>
        <v>0</v>
      </c>
      <c r="AS367">
        <f>$H$367*$Y$367</f>
        <v>0</v>
      </c>
      <c r="AT367">
        <f>$H$367*$Z$367</f>
        <v>0</v>
      </c>
      <c r="AU367">
        <f>$H$367*$AA$367</f>
        <v>21.32</v>
      </c>
      <c r="AV367">
        <f>$H$367*$AB$367</f>
        <v>21.32</v>
      </c>
      <c r="AW367">
        <f>$H$367*$AC$367</f>
        <v>21.32</v>
      </c>
      <c r="AX367">
        <f>$H$367*$AD$367</f>
        <v>21.32</v>
      </c>
      <c r="AY367">
        <f>$H$367*$AE$367</f>
        <v>21.32</v>
      </c>
      <c r="AZ367">
        <f>$H$367*$AF$367</f>
        <v>21.32</v>
      </c>
    </row>
    <row r="368" spans="1:52" x14ac:dyDescent="0.25">
      <c r="A368">
        <v>413</v>
      </c>
      <c r="B368" t="s">
        <v>4</v>
      </c>
      <c r="C368" t="s">
        <v>322</v>
      </c>
      <c r="D368">
        <v>4</v>
      </c>
      <c r="E368">
        <v>46.2</v>
      </c>
      <c r="F368" t="s">
        <v>294</v>
      </c>
      <c r="G368">
        <v>11.55</v>
      </c>
      <c r="H368">
        <v>55.44</v>
      </c>
      <c r="I368" t="s">
        <v>298</v>
      </c>
      <c r="J368" t="s">
        <v>323</v>
      </c>
      <c r="K368" t="s">
        <v>517</v>
      </c>
      <c r="L368" t="s">
        <v>200</v>
      </c>
      <c r="M368" t="s">
        <v>4</v>
      </c>
      <c r="N368" t="s">
        <v>51</v>
      </c>
      <c r="O368" t="s">
        <v>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4</v>
      </c>
      <c r="AH368" t="s">
        <v>51</v>
      </c>
      <c r="AI368" t="s">
        <v>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55.44</v>
      </c>
      <c r="AV368">
        <f>$H$368*$AB$368</f>
        <v>55.44</v>
      </c>
      <c r="AW368">
        <f>$H$368*$AC$368</f>
        <v>55.44</v>
      </c>
      <c r="AX368">
        <f>$H$368*$AD$368</f>
        <v>55.44</v>
      </c>
      <c r="AY368">
        <f>$H$368*$AE$368</f>
        <v>55.44</v>
      </c>
      <c r="AZ368">
        <f>$H$368*$AF$368</f>
        <v>55.44</v>
      </c>
    </row>
    <row r="369" spans="1:52" x14ac:dyDescent="0.25">
      <c r="A369">
        <v>414</v>
      </c>
      <c r="B369" t="s">
        <v>4</v>
      </c>
      <c r="C369" t="s">
        <v>374</v>
      </c>
      <c r="D369">
        <v>4</v>
      </c>
      <c r="E369">
        <v>19</v>
      </c>
      <c r="F369" t="s">
        <v>294</v>
      </c>
      <c r="G369">
        <v>4.75</v>
      </c>
      <c r="H369">
        <v>22.8</v>
      </c>
      <c r="I369" t="s">
        <v>298</v>
      </c>
      <c r="J369" t="s">
        <v>375</v>
      </c>
      <c r="K369" t="s">
        <v>542</v>
      </c>
      <c r="L369" t="s">
        <v>200</v>
      </c>
      <c r="M369" t="s">
        <v>4</v>
      </c>
      <c r="N369" t="s">
        <v>51</v>
      </c>
      <c r="O369" t="s">
        <v>4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1</v>
      </c>
      <c r="AD369">
        <v>1</v>
      </c>
      <c r="AE369">
        <v>1</v>
      </c>
      <c r="AF369">
        <v>1</v>
      </c>
      <c r="AG369" t="s">
        <v>4</v>
      </c>
      <c r="AH369" t="s">
        <v>51</v>
      </c>
      <c r="AI369" t="s">
        <v>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0</v>
      </c>
      <c r="AV369">
        <f>$H$369*$AB$369</f>
        <v>0</v>
      </c>
      <c r="AW369">
        <f>$H$369*$AC$369</f>
        <v>22.8</v>
      </c>
      <c r="AX369">
        <f>$H$369*$AD$369</f>
        <v>22.8</v>
      </c>
      <c r="AY369">
        <f>$H$369*$AE$369</f>
        <v>22.8</v>
      </c>
      <c r="AZ369">
        <f>$H$369*$AF$369</f>
        <v>22.8</v>
      </c>
    </row>
    <row r="370" spans="1:52" x14ac:dyDescent="0.25">
      <c r="A370">
        <v>415</v>
      </c>
      <c r="B370" t="s">
        <v>4</v>
      </c>
      <c r="C370" t="s">
        <v>380</v>
      </c>
      <c r="D370">
        <v>5</v>
      </c>
      <c r="E370">
        <v>66.349999999999994</v>
      </c>
      <c r="F370" t="s">
        <v>299</v>
      </c>
      <c r="G370">
        <v>13.27</v>
      </c>
      <c r="H370">
        <v>79.63</v>
      </c>
      <c r="I370" t="s">
        <v>301</v>
      </c>
      <c r="J370" t="s">
        <v>381</v>
      </c>
      <c r="K370" t="s">
        <v>545</v>
      </c>
      <c r="L370" t="s">
        <v>200</v>
      </c>
      <c r="M370" t="s">
        <v>4</v>
      </c>
      <c r="N370" t="s">
        <v>51</v>
      </c>
      <c r="O370" t="s">
        <v>4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4</v>
      </c>
      <c r="AH370" t="s">
        <v>51</v>
      </c>
      <c r="AI370" t="s">
        <v>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0</v>
      </c>
      <c r="AO370">
        <f>$H$370*$U$370</f>
        <v>0</v>
      </c>
      <c r="AP370">
        <f>$H$370*$V$370</f>
        <v>0</v>
      </c>
      <c r="AQ370">
        <f>$H$370*$W$370</f>
        <v>0</v>
      </c>
      <c r="AR370">
        <f>$H$370*$X$370</f>
        <v>79.63</v>
      </c>
      <c r="AS370">
        <f>$H$370*$Y$370</f>
        <v>79.63</v>
      </c>
      <c r="AT370">
        <f>$H$370*$Z$370</f>
        <v>79.63</v>
      </c>
      <c r="AU370">
        <f>$H$370*$AA$370</f>
        <v>79.63</v>
      </c>
      <c r="AV370">
        <f>$H$370*$AB$370</f>
        <v>79.63</v>
      </c>
      <c r="AW370">
        <f>$H$370*$AC$370</f>
        <v>79.63</v>
      </c>
      <c r="AX370">
        <f>$H$370*$AD$370</f>
        <v>79.63</v>
      </c>
      <c r="AY370">
        <f>$H$370*$AE$370</f>
        <v>79.63</v>
      </c>
      <c r="AZ370">
        <f>$H$370*$AF$370</f>
        <v>79.63</v>
      </c>
    </row>
    <row r="371" spans="1:52" x14ac:dyDescent="0.25">
      <c r="A371">
        <v>416</v>
      </c>
      <c r="B371" t="s">
        <v>4</v>
      </c>
      <c r="C371" t="s">
        <v>462</v>
      </c>
      <c r="D371">
        <v>1</v>
      </c>
      <c r="E371">
        <v>48.06</v>
      </c>
      <c r="F371" t="s">
        <v>299</v>
      </c>
      <c r="G371">
        <v>48.06</v>
      </c>
      <c r="H371">
        <v>57.68</v>
      </c>
      <c r="I371" t="s">
        <v>304</v>
      </c>
      <c r="J371" t="s">
        <v>436</v>
      </c>
      <c r="K371" t="s">
        <v>586</v>
      </c>
      <c r="L371" t="s">
        <v>200</v>
      </c>
      <c r="M371" t="s">
        <v>4</v>
      </c>
      <c r="N371" t="s">
        <v>51</v>
      </c>
      <c r="O371" t="s">
        <v>4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1</v>
      </c>
      <c r="AE371">
        <v>1</v>
      </c>
      <c r="AF371">
        <v>1</v>
      </c>
      <c r="AG371" t="s">
        <v>4</v>
      </c>
      <c r="AH371" t="s">
        <v>51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0</v>
      </c>
      <c r="AQ371">
        <f>$H$371*$W$371</f>
        <v>0</v>
      </c>
      <c r="AR371">
        <f>$H$371*$X$371</f>
        <v>0</v>
      </c>
      <c r="AS371">
        <f>$H$371*$Y$371</f>
        <v>0</v>
      </c>
      <c r="AT371">
        <f>$H$371*$Z$371</f>
        <v>0</v>
      </c>
      <c r="AU371">
        <f>$H$371*$AA$371</f>
        <v>0</v>
      </c>
      <c r="AV371">
        <f>$H$371*$AB$371</f>
        <v>0</v>
      </c>
      <c r="AW371">
        <f>$H$371*$AC$371</f>
        <v>0</v>
      </c>
      <c r="AX371">
        <f>$H$371*$AD$371</f>
        <v>57.68</v>
      </c>
      <c r="AY371">
        <f>$H$371*$AE$371</f>
        <v>57.68</v>
      </c>
      <c r="AZ371">
        <f>$H$371*$AF$371</f>
        <v>57.68</v>
      </c>
    </row>
    <row r="372" spans="1:52" x14ac:dyDescent="0.25">
      <c r="A372">
        <v>417</v>
      </c>
      <c r="B372" t="s">
        <v>4</v>
      </c>
      <c r="C372" t="s">
        <v>329</v>
      </c>
      <c r="D372">
        <v>1</v>
      </c>
      <c r="E372">
        <v>47.96</v>
      </c>
      <c r="F372" t="s">
        <v>299</v>
      </c>
      <c r="G372">
        <v>47.96</v>
      </c>
      <c r="H372">
        <v>57.56</v>
      </c>
      <c r="I372" t="s">
        <v>330</v>
      </c>
      <c r="J372" t="s">
        <v>331</v>
      </c>
      <c r="K372" t="s">
        <v>520</v>
      </c>
      <c r="L372" t="s">
        <v>200</v>
      </c>
      <c r="M372" t="s">
        <v>4</v>
      </c>
      <c r="N372" t="s">
        <v>51</v>
      </c>
      <c r="O372" t="s">
        <v>4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4</v>
      </c>
      <c r="AH372" t="s">
        <v>51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0</v>
      </c>
      <c r="AO372">
        <f>$H$372*$U$372</f>
        <v>0</v>
      </c>
      <c r="AP372">
        <f>$H$372*$V$372</f>
        <v>0</v>
      </c>
      <c r="AQ372">
        <f>$H$372*$W$372</f>
        <v>0</v>
      </c>
      <c r="AR372">
        <f>$H$372*$X$372</f>
        <v>0</v>
      </c>
      <c r="AS372">
        <f>$H$372*$Y$372</f>
        <v>0</v>
      </c>
      <c r="AT372">
        <f>$H$372*$Z$372</f>
        <v>0</v>
      </c>
      <c r="AU372">
        <f>$H$372*$AA$372</f>
        <v>57.56</v>
      </c>
      <c r="AV372">
        <f>$H$372*$AB$372</f>
        <v>57.56</v>
      </c>
      <c r="AW372">
        <f>$H$372*$AC$372</f>
        <v>57.56</v>
      </c>
      <c r="AX372">
        <f>$H$372*$AD$372</f>
        <v>57.56</v>
      </c>
      <c r="AY372">
        <f>$H$372*$AE$372</f>
        <v>57.56</v>
      </c>
      <c r="AZ372">
        <f>$H$372*$AF$372</f>
        <v>57.56</v>
      </c>
    </row>
    <row r="373" spans="1:52" x14ac:dyDescent="0.25">
      <c r="A373">
        <v>418</v>
      </c>
      <c r="B373" t="s">
        <v>4</v>
      </c>
      <c r="C373" t="s">
        <v>467</v>
      </c>
      <c r="D373">
        <v>2</v>
      </c>
      <c r="E373">
        <v>110.04</v>
      </c>
      <c r="F373" t="s">
        <v>299</v>
      </c>
      <c r="G373">
        <v>55.02</v>
      </c>
      <c r="H373">
        <v>132.04</v>
      </c>
      <c r="I373" t="s">
        <v>295</v>
      </c>
      <c r="J373" t="s">
        <v>468</v>
      </c>
      <c r="K373" t="s">
        <v>589</v>
      </c>
      <c r="L373" t="s">
        <v>200</v>
      </c>
      <c r="M373" t="s">
        <v>4</v>
      </c>
      <c r="N373" t="s">
        <v>51</v>
      </c>
      <c r="O373" t="s">
        <v>4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4</v>
      </c>
      <c r="AH373" t="s">
        <v>51</v>
      </c>
      <c r="AI373" t="s">
        <v>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132.04</v>
      </c>
      <c r="AN373">
        <f>$H$373*$T$373</f>
        <v>132.04</v>
      </c>
      <c r="AO373">
        <f>$H$373*$U$373</f>
        <v>132.04</v>
      </c>
      <c r="AP373">
        <f>$H$373*$V$373</f>
        <v>132.04</v>
      </c>
      <c r="AQ373">
        <f>$H$373*$W$373</f>
        <v>132.04</v>
      </c>
      <c r="AR373">
        <f>$H$373*$X$373</f>
        <v>132.04</v>
      </c>
      <c r="AS373">
        <f>$H$373*$Y$373</f>
        <v>132.04</v>
      </c>
      <c r="AT373">
        <f>$H$373*$Z$373</f>
        <v>132.04</v>
      </c>
      <c r="AU373">
        <f>$H$373*$AA$373</f>
        <v>132.04</v>
      </c>
      <c r="AV373">
        <f>$H$373*$AB$373</f>
        <v>132.04</v>
      </c>
      <c r="AW373">
        <f>$H$373*$AC$373</f>
        <v>132.04</v>
      </c>
      <c r="AX373">
        <f>$H$373*$AD$373</f>
        <v>132.04</v>
      </c>
      <c r="AY373">
        <f>$H$373*$AE$373</f>
        <v>132.04</v>
      </c>
      <c r="AZ373">
        <f>$H$373*$AF$373</f>
        <v>132.04</v>
      </c>
    </row>
    <row r="374" spans="1:52" x14ac:dyDescent="0.25">
      <c r="A374">
        <v>419</v>
      </c>
      <c r="B374" t="s">
        <v>4</v>
      </c>
      <c r="C374" t="s">
        <v>469</v>
      </c>
      <c r="D374">
        <v>1</v>
      </c>
      <c r="E374">
        <v>376.12</v>
      </c>
      <c r="F374" t="s">
        <v>299</v>
      </c>
      <c r="G374">
        <v>376.12</v>
      </c>
      <c r="H374">
        <v>451.34</v>
      </c>
      <c r="I374" t="s">
        <v>333</v>
      </c>
      <c r="J374" t="s">
        <v>470</v>
      </c>
      <c r="K374" t="s">
        <v>590</v>
      </c>
      <c r="L374" t="s">
        <v>200</v>
      </c>
      <c r="M374" t="s">
        <v>4</v>
      </c>
      <c r="N374" t="s">
        <v>51</v>
      </c>
      <c r="O374" t="s">
        <v>4</v>
      </c>
      <c r="P374">
        <v>0</v>
      </c>
      <c r="Q374">
        <v>0</v>
      </c>
      <c r="R374">
        <v>0</v>
      </c>
      <c r="S374">
        <v>0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4</v>
      </c>
      <c r="AH374" t="s">
        <v>51</v>
      </c>
      <c r="AI374" t="s">
        <v>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451.34</v>
      </c>
      <c r="AO374">
        <f>$H$374*$U$374</f>
        <v>451.34</v>
      </c>
      <c r="AP374">
        <f>$H$374*$V$374</f>
        <v>451.34</v>
      </c>
      <c r="AQ374">
        <f>$H$374*$W$374</f>
        <v>451.34</v>
      </c>
      <c r="AR374">
        <f>$H$374*$X$374</f>
        <v>451.34</v>
      </c>
      <c r="AS374">
        <f>$H$374*$Y$374</f>
        <v>451.34</v>
      </c>
      <c r="AT374">
        <f>$H$374*$Z$374</f>
        <v>451.34</v>
      </c>
      <c r="AU374">
        <f>$H$374*$AA$374</f>
        <v>451.34</v>
      </c>
      <c r="AV374">
        <f>$H$374*$AB$374</f>
        <v>451.34</v>
      </c>
      <c r="AW374">
        <f>$H$374*$AC$374</f>
        <v>451.34</v>
      </c>
      <c r="AX374">
        <f>$H$374*$AD$374</f>
        <v>451.34</v>
      </c>
      <c r="AY374">
        <f>$H$374*$AE$374</f>
        <v>451.34</v>
      </c>
      <c r="AZ374">
        <f>$H$374*$AF$374</f>
        <v>451.34</v>
      </c>
    </row>
    <row r="375" spans="1:52" x14ac:dyDescent="0.25">
      <c r="A375">
        <v>420</v>
      </c>
      <c r="B375" t="s">
        <v>4</v>
      </c>
      <c r="C375" t="s">
        <v>337</v>
      </c>
      <c r="D375">
        <v>2</v>
      </c>
      <c r="E375">
        <v>77.86</v>
      </c>
      <c r="F375" t="s">
        <v>299</v>
      </c>
      <c r="G375">
        <v>38.93</v>
      </c>
      <c r="H375">
        <v>93.44</v>
      </c>
      <c r="I375" t="s">
        <v>295</v>
      </c>
      <c r="J375" t="s">
        <v>333</v>
      </c>
      <c r="K375" t="s">
        <v>523</v>
      </c>
      <c r="L375" t="s">
        <v>200</v>
      </c>
      <c r="M375" t="s">
        <v>4</v>
      </c>
      <c r="N375" t="s">
        <v>51</v>
      </c>
      <c r="O375" t="s">
        <v>4</v>
      </c>
      <c r="P375">
        <v>0</v>
      </c>
      <c r="Q375">
        <v>0</v>
      </c>
      <c r="R375">
        <v>0</v>
      </c>
      <c r="S375">
        <v>1</v>
      </c>
      <c r="T375">
        <v>1</v>
      </c>
      <c r="U375">
        <v>1</v>
      </c>
      <c r="V375">
        <v>1</v>
      </c>
      <c r="W375">
        <v>1</v>
      </c>
      <c r="X375">
        <v>1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4</v>
      </c>
      <c r="AH375" t="s">
        <v>51</v>
      </c>
      <c r="AI375" t="s">
        <v>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93.44</v>
      </c>
      <c r="AN375">
        <f>$H$375*$T$375</f>
        <v>93.44</v>
      </c>
      <c r="AO375">
        <f>$H$375*$U$375</f>
        <v>93.44</v>
      </c>
      <c r="AP375">
        <f>$H$375*$V$375</f>
        <v>93.44</v>
      </c>
      <c r="AQ375">
        <f>$H$375*$W$375</f>
        <v>93.44</v>
      </c>
      <c r="AR375">
        <f>$H$375*$X$375</f>
        <v>93.44</v>
      </c>
      <c r="AS375">
        <f>$H$375*$Y$375</f>
        <v>93.44</v>
      </c>
      <c r="AT375">
        <f>$H$375*$Z$375</f>
        <v>93.44</v>
      </c>
      <c r="AU375">
        <f>$H$375*$AA$375</f>
        <v>93.44</v>
      </c>
      <c r="AV375">
        <f>$H$375*$AB$375</f>
        <v>93.44</v>
      </c>
      <c r="AW375">
        <f>$H$375*$AC$375</f>
        <v>93.44</v>
      </c>
      <c r="AX375">
        <f>$H$375*$AD$375</f>
        <v>93.44</v>
      </c>
      <c r="AY375">
        <f>$H$375*$AE$375</f>
        <v>93.44</v>
      </c>
      <c r="AZ375">
        <f>$H$375*$AF$375</f>
        <v>93.44</v>
      </c>
    </row>
    <row r="376" spans="1:52" x14ac:dyDescent="0.25">
      <c r="A376">
        <v>421</v>
      </c>
      <c r="B376" t="s">
        <v>4</v>
      </c>
      <c r="C376" t="s">
        <v>335</v>
      </c>
      <c r="D376">
        <v>2</v>
      </c>
      <c r="E376">
        <v>62.72</v>
      </c>
      <c r="F376" t="s">
        <v>299</v>
      </c>
      <c r="G376">
        <v>31.36</v>
      </c>
      <c r="H376">
        <v>75.260000000000005</v>
      </c>
      <c r="I376" t="s">
        <v>295</v>
      </c>
      <c r="J376" t="s">
        <v>336</v>
      </c>
      <c r="K376" t="s">
        <v>522</v>
      </c>
      <c r="L376" t="s">
        <v>200</v>
      </c>
      <c r="M376" t="s">
        <v>4</v>
      </c>
      <c r="N376" t="s">
        <v>51</v>
      </c>
      <c r="O376" t="s">
        <v>4</v>
      </c>
      <c r="P376">
        <v>0</v>
      </c>
      <c r="Q376">
        <v>0</v>
      </c>
      <c r="R376">
        <v>0</v>
      </c>
      <c r="S376">
        <v>1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4</v>
      </c>
      <c r="AH376" t="s">
        <v>51</v>
      </c>
      <c r="AI376" t="s">
        <v>4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75.260000000000005</v>
      </c>
      <c r="AN376">
        <f>$H$376*$T$376</f>
        <v>75.260000000000005</v>
      </c>
      <c r="AO376">
        <f>$H$376*$U$376</f>
        <v>75.260000000000005</v>
      </c>
      <c r="AP376">
        <f>$H$376*$V$376</f>
        <v>75.260000000000005</v>
      </c>
      <c r="AQ376">
        <f>$H$376*$W$376</f>
        <v>75.260000000000005</v>
      </c>
      <c r="AR376">
        <f>$H$376*$X$376</f>
        <v>75.260000000000005</v>
      </c>
      <c r="AS376">
        <f>$H$376*$Y$376</f>
        <v>75.260000000000005</v>
      </c>
      <c r="AT376">
        <f>$H$376*$Z$376</f>
        <v>75.260000000000005</v>
      </c>
      <c r="AU376">
        <f>$H$376*$AA$376</f>
        <v>75.260000000000005</v>
      </c>
      <c r="AV376">
        <f>$H$376*$AB$376</f>
        <v>75.260000000000005</v>
      </c>
      <c r="AW376">
        <f>$H$376*$AC$376</f>
        <v>75.260000000000005</v>
      </c>
      <c r="AX376">
        <f>$H$376*$AD$376</f>
        <v>75.260000000000005</v>
      </c>
      <c r="AY376">
        <f>$H$376*$AE$376</f>
        <v>75.260000000000005</v>
      </c>
      <c r="AZ376">
        <f>$H$376*$AF$376</f>
        <v>75.260000000000005</v>
      </c>
    </row>
    <row r="377" spans="1:52" x14ac:dyDescent="0.25">
      <c r="A377">
        <v>422</v>
      </c>
      <c r="B377" t="s">
        <v>4</v>
      </c>
      <c r="C377" t="s">
        <v>332</v>
      </c>
      <c r="D377">
        <v>1</v>
      </c>
      <c r="E377">
        <v>365.09</v>
      </c>
      <c r="F377" t="s">
        <v>299</v>
      </c>
      <c r="G377">
        <v>365.09</v>
      </c>
      <c r="H377">
        <v>438.11</v>
      </c>
      <c r="I377" t="s">
        <v>333</v>
      </c>
      <c r="J377" t="s">
        <v>334</v>
      </c>
      <c r="K377" t="s">
        <v>521</v>
      </c>
      <c r="L377" t="s">
        <v>200</v>
      </c>
      <c r="M377" t="s">
        <v>4</v>
      </c>
      <c r="N377" t="s">
        <v>51</v>
      </c>
      <c r="O377" t="s">
        <v>4</v>
      </c>
      <c r="P377">
        <v>0</v>
      </c>
      <c r="Q377">
        <v>0</v>
      </c>
      <c r="R377">
        <v>0</v>
      </c>
      <c r="S377">
        <v>0</v>
      </c>
      <c r="T377">
        <v>1</v>
      </c>
      <c r="U377">
        <v>1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4</v>
      </c>
      <c r="AH377" t="s">
        <v>51</v>
      </c>
      <c r="AI377" t="s">
        <v>4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438.11</v>
      </c>
      <c r="AO377">
        <f>$H$377*$U$377</f>
        <v>438.11</v>
      </c>
      <c r="AP377">
        <f>$H$377*$V$377</f>
        <v>438.11</v>
      </c>
      <c r="AQ377">
        <f>$H$377*$W$377</f>
        <v>438.11</v>
      </c>
      <c r="AR377">
        <f>$H$377*$X$377</f>
        <v>438.11</v>
      </c>
      <c r="AS377">
        <f>$H$377*$Y$377</f>
        <v>438.11</v>
      </c>
      <c r="AT377">
        <f>$H$377*$Z$377</f>
        <v>438.11</v>
      </c>
      <c r="AU377">
        <f>$H$377*$AA$377</f>
        <v>438.11</v>
      </c>
      <c r="AV377">
        <f>$H$377*$AB$377</f>
        <v>438.11</v>
      </c>
      <c r="AW377">
        <f>$H$377*$AC$377</f>
        <v>438.11</v>
      </c>
      <c r="AX377">
        <f>$H$377*$AD$377</f>
        <v>438.11</v>
      </c>
      <c r="AY377">
        <f>$H$377*$AE$377</f>
        <v>438.11</v>
      </c>
      <c r="AZ377">
        <f>$H$377*$AF$377</f>
        <v>438.11</v>
      </c>
    </row>
    <row r="378" spans="1:52" x14ac:dyDescent="0.25">
      <c r="A378">
        <v>423</v>
      </c>
      <c r="B378" t="s">
        <v>4</v>
      </c>
      <c r="C378" t="s">
        <v>324</v>
      </c>
      <c r="D378">
        <v>290.67</v>
      </c>
      <c r="E378">
        <v>284.86</v>
      </c>
      <c r="F378" t="s">
        <v>313</v>
      </c>
      <c r="G378">
        <v>0.98</v>
      </c>
      <c r="H378">
        <v>341.84</v>
      </c>
      <c r="I378" t="s">
        <v>295</v>
      </c>
      <c r="J378" t="s">
        <v>325</v>
      </c>
      <c r="K378" t="s">
        <v>518</v>
      </c>
      <c r="L378" t="s">
        <v>200</v>
      </c>
      <c r="M378" t="s">
        <v>4</v>
      </c>
      <c r="N378" t="s">
        <v>51</v>
      </c>
      <c r="O378" t="s">
        <v>4</v>
      </c>
      <c r="P378">
        <v>0</v>
      </c>
      <c r="Q378">
        <v>0</v>
      </c>
      <c r="R378">
        <v>0</v>
      </c>
      <c r="S378">
        <v>0</v>
      </c>
      <c r="T378">
        <v>1</v>
      </c>
      <c r="U378">
        <v>1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4</v>
      </c>
      <c r="AH378" t="s">
        <v>51</v>
      </c>
      <c r="AI378" t="s">
        <v>4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341.84</v>
      </c>
      <c r="AO378">
        <f>$H$378*$U$378</f>
        <v>341.84</v>
      </c>
      <c r="AP378">
        <f>$H$378*$V$378</f>
        <v>341.84</v>
      </c>
      <c r="AQ378">
        <f>$H$378*$W$378</f>
        <v>341.84</v>
      </c>
      <c r="AR378">
        <f>$H$378*$X$378</f>
        <v>341.84</v>
      </c>
      <c r="AS378">
        <f>$H$378*$Y$378</f>
        <v>341.84</v>
      </c>
      <c r="AT378">
        <f>$H$378*$Z$378</f>
        <v>341.84</v>
      </c>
      <c r="AU378">
        <f>$H$378*$AA$378</f>
        <v>341.84</v>
      </c>
      <c r="AV378">
        <f>$H$378*$AB$378</f>
        <v>341.84</v>
      </c>
      <c r="AW378">
        <f>$H$378*$AC$378</f>
        <v>341.84</v>
      </c>
      <c r="AX378">
        <f>$H$378*$AD$378</f>
        <v>341.84</v>
      </c>
      <c r="AY378">
        <f>$H$378*$AE$378</f>
        <v>341.84</v>
      </c>
      <c r="AZ378">
        <f>$H$378*$AF$378</f>
        <v>341.84</v>
      </c>
    </row>
    <row r="379" spans="1:52" x14ac:dyDescent="0.25">
      <c r="A379">
        <v>424</v>
      </c>
      <c r="B379" t="s">
        <v>4</v>
      </c>
      <c r="C379" t="s">
        <v>326</v>
      </c>
      <c r="D379">
        <v>290.67</v>
      </c>
      <c r="E379">
        <v>776.09</v>
      </c>
      <c r="F379" t="s">
        <v>313</v>
      </c>
      <c r="G379">
        <v>2.67</v>
      </c>
      <c r="H379">
        <v>931.31</v>
      </c>
      <c r="I379" t="s">
        <v>327</v>
      </c>
      <c r="J379" t="s">
        <v>328</v>
      </c>
      <c r="K379" t="s">
        <v>519</v>
      </c>
      <c r="L379" t="s">
        <v>200</v>
      </c>
      <c r="M379" t="s">
        <v>4</v>
      </c>
      <c r="N379" t="s">
        <v>51</v>
      </c>
      <c r="O379" t="s">
        <v>4</v>
      </c>
      <c r="P379">
        <v>0</v>
      </c>
      <c r="Q379">
        <v>0</v>
      </c>
      <c r="R379">
        <v>0</v>
      </c>
      <c r="S379">
        <v>0.25</v>
      </c>
      <c r="T379">
        <v>0.25</v>
      </c>
      <c r="U379">
        <v>0.25</v>
      </c>
      <c r="V379">
        <v>0.25</v>
      </c>
      <c r="W379">
        <v>0.25</v>
      </c>
      <c r="X379">
        <v>0.5</v>
      </c>
      <c r="Y379">
        <v>0.5</v>
      </c>
      <c r="Z379">
        <v>0.5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4</v>
      </c>
      <c r="AH379" t="s">
        <v>51</v>
      </c>
      <c r="AI379" t="s">
        <v>4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232.82749999999999</v>
      </c>
      <c r="AN379">
        <f>$H$379*$T$379</f>
        <v>232.82749999999999</v>
      </c>
      <c r="AO379">
        <f>$H$379*$U$379</f>
        <v>232.82749999999999</v>
      </c>
      <c r="AP379">
        <f>$H$379*$V$379</f>
        <v>232.82749999999999</v>
      </c>
      <c r="AQ379">
        <f>$H$379*$W$379</f>
        <v>232.82749999999999</v>
      </c>
      <c r="AR379">
        <f>$H$379*$X$379</f>
        <v>465.65499999999997</v>
      </c>
      <c r="AS379">
        <f>$H$379*$Y$379</f>
        <v>465.65499999999997</v>
      </c>
      <c r="AT379">
        <f>$H$379*$Z$379</f>
        <v>465.65499999999997</v>
      </c>
      <c r="AU379">
        <f>$H$379*$AA$379</f>
        <v>931.31</v>
      </c>
      <c r="AV379">
        <f>$H$379*$AB$379</f>
        <v>931.31</v>
      </c>
      <c r="AW379">
        <f>$H$379*$AC$379</f>
        <v>931.31</v>
      </c>
      <c r="AX379">
        <f>$H$379*$AD$379</f>
        <v>931.31</v>
      </c>
      <c r="AY379">
        <f>$H$379*$AE$379</f>
        <v>931.31</v>
      </c>
      <c r="AZ379">
        <f>$H$379*$AF$379</f>
        <v>931.31</v>
      </c>
    </row>
    <row r="380" spans="1:52" x14ac:dyDescent="0.25">
      <c r="A380">
        <v>425</v>
      </c>
      <c r="B380" t="s">
        <v>4</v>
      </c>
      <c r="C380" t="s">
        <v>383</v>
      </c>
      <c r="D380">
        <v>36.33</v>
      </c>
      <c r="E380">
        <v>33.06</v>
      </c>
      <c r="F380" t="s">
        <v>294</v>
      </c>
      <c r="G380">
        <v>0.91</v>
      </c>
      <c r="H380">
        <v>39.68</v>
      </c>
      <c r="I380" t="s">
        <v>295</v>
      </c>
      <c r="J380" t="s">
        <v>384</v>
      </c>
      <c r="K380" t="s">
        <v>547</v>
      </c>
      <c r="L380" t="s">
        <v>200</v>
      </c>
      <c r="M380" t="s">
        <v>4</v>
      </c>
      <c r="N380" t="s">
        <v>51</v>
      </c>
      <c r="O380" t="s">
        <v>4</v>
      </c>
      <c r="P380">
        <v>0</v>
      </c>
      <c r="Q380">
        <v>0</v>
      </c>
      <c r="R380">
        <v>0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4</v>
      </c>
      <c r="AH380" t="s">
        <v>51</v>
      </c>
      <c r="AI380" t="s">
        <v>4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39.68</v>
      </c>
      <c r="AN380">
        <f>$H$380*$T$380</f>
        <v>39.68</v>
      </c>
      <c r="AO380">
        <f>$H$380*$U$380</f>
        <v>39.68</v>
      </c>
      <c r="AP380">
        <f>$H$380*$V$380</f>
        <v>39.68</v>
      </c>
      <c r="AQ380">
        <f>$H$380*$W$380</f>
        <v>39.68</v>
      </c>
      <c r="AR380">
        <f>$H$380*$X$380</f>
        <v>39.68</v>
      </c>
      <c r="AS380">
        <f>$H$380*$Y$380</f>
        <v>39.68</v>
      </c>
      <c r="AT380">
        <f>$H$380*$Z$380</f>
        <v>39.68</v>
      </c>
      <c r="AU380">
        <f>$H$380*$AA$380</f>
        <v>39.68</v>
      </c>
      <c r="AV380">
        <f>$H$380*$AB$380</f>
        <v>39.68</v>
      </c>
      <c r="AW380">
        <f>$H$380*$AC$380</f>
        <v>39.68</v>
      </c>
      <c r="AX380">
        <f>$H$380*$AD$380</f>
        <v>39.68</v>
      </c>
      <c r="AY380">
        <f>$H$380*$AE$380</f>
        <v>39.68</v>
      </c>
      <c r="AZ380">
        <f>$H$380*$AF$380</f>
        <v>39.68</v>
      </c>
    </row>
    <row r="381" spans="1:52" x14ac:dyDescent="0.25">
      <c r="A381">
        <v>426</v>
      </c>
      <c r="B381" t="s">
        <v>4</v>
      </c>
      <c r="C381" t="s">
        <v>385</v>
      </c>
      <c r="D381">
        <v>36.33</v>
      </c>
      <c r="E381">
        <v>186.01</v>
      </c>
      <c r="F381" t="s">
        <v>294</v>
      </c>
      <c r="G381">
        <v>5.12</v>
      </c>
      <c r="H381">
        <v>223.21</v>
      </c>
      <c r="I381" t="s">
        <v>298</v>
      </c>
      <c r="J381" t="s">
        <v>386</v>
      </c>
      <c r="K381" t="s">
        <v>548</v>
      </c>
      <c r="L381" t="s">
        <v>200</v>
      </c>
      <c r="M381" t="s">
        <v>4</v>
      </c>
      <c r="N381" t="s">
        <v>51</v>
      </c>
      <c r="O381" t="s">
        <v>4</v>
      </c>
      <c r="P381">
        <v>0</v>
      </c>
      <c r="Q381">
        <v>0</v>
      </c>
      <c r="R381">
        <v>0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4</v>
      </c>
      <c r="AH381" t="s">
        <v>51</v>
      </c>
      <c r="AI381" t="s">
        <v>4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223.21</v>
      </c>
      <c r="AN381">
        <f>$H$381*$T$381</f>
        <v>223.21</v>
      </c>
      <c r="AO381">
        <f>$H$381*$U$381</f>
        <v>223.21</v>
      </c>
      <c r="AP381">
        <f>$H$381*$V$381</f>
        <v>223.21</v>
      </c>
      <c r="AQ381">
        <f>$H$381*$W$381</f>
        <v>223.21</v>
      </c>
      <c r="AR381">
        <f>$H$381*$X$381</f>
        <v>223.21</v>
      </c>
      <c r="AS381">
        <f>$H$381*$Y$381</f>
        <v>223.21</v>
      </c>
      <c r="AT381">
        <f>$H$381*$Z$381</f>
        <v>223.21</v>
      </c>
      <c r="AU381">
        <f>$H$381*$AA$381</f>
        <v>223.21</v>
      </c>
      <c r="AV381">
        <f>$H$381*$AB$381</f>
        <v>223.21</v>
      </c>
      <c r="AW381">
        <f>$H$381*$AC$381</f>
        <v>223.21</v>
      </c>
      <c r="AX381">
        <f>$H$381*$AD$381</f>
        <v>223.21</v>
      </c>
      <c r="AY381">
        <f>$H$381*$AE$381</f>
        <v>223.21</v>
      </c>
      <c r="AZ381">
        <f>$H$381*$AF$381</f>
        <v>223.21</v>
      </c>
    </row>
    <row r="382" spans="1:52" x14ac:dyDescent="0.25">
      <c r="A382">
        <v>427</v>
      </c>
      <c r="B382" t="s">
        <v>4</v>
      </c>
      <c r="C382" t="s">
        <v>326</v>
      </c>
      <c r="D382">
        <v>82.51</v>
      </c>
      <c r="E382">
        <v>220.3</v>
      </c>
      <c r="F382" t="s">
        <v>313</v>
      </c>
      <c r="G382">
        <v>2.67</v>
      </c>
      <c r="H382">
        <v>264.36</v>
      </c>
      <c r="I382" t="s">
        <v>327</v>
      </c>
      <c r="J382" t="s">
        <v>328</v>
      </c>
      <c r="K382" t="s">
        <v>519</v>
      </c>
      <c r="L382" t="s">
        <v>200</v>
      </c>
      <c r="M382" t="s">
        <v>4</v>
      </c>
      <c r="N382" t="s">
        <v>51</v>
      </c>
      <c r="O382" t="s">
        <v>4</v>
      </c>
      <c r="P382">
        <v>0</v>
      </c>
      <c r="Q382">
        <v>0</v>
      </c>
      <c r="R382">
        <v>0</v>
      </c>
      <c r="S382">
        <v>0.25</v>
      </c>
      <c r="T382">
        <v>0.25</v>
      </c>
      <c r="U382">
        <v>0.25</v>
      </c>
      <c r="V382">
        <v>0.25</v>
      </c>
      <c r="W382">
        <v>0.25</v>
      </c>
      <c r="X382">
        <v>0.5</v>
      </c>
      <c r="Y382">
        <v>0.5</v>
      </c>
      <c r="Z382">
        <v>0.5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4</v>
      </c>
      <c r="AH382" t="s">
        <v>51</v>
      </c>
      <c r="AI382" t="s">
        <v>4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66.09</v>
      </c>
      <c r="AN382">
        <f>$H$382*$T$382</f>
        <v>66.09</v>
      </c>
      <c r="AO382">
        <f>$H$382*$U$382</f>
        <v>66.09</v>
      </c>
      <c r="AP382">
        <f>$H$382*$V$382</f>
        <v>66.09</v>
      </c>
      <c r="AQ382">
        <f>$H$382*$W$382</f>
        <v>66.09</v>
      </c>
      <c r="AR382">
        <f>$H$382*$X$382</f>
        <v>132.18</v>
      </c>
      <c r="AS382">
        <f>$H$382*$Y$382</f>
        <v>132.18</v>
      </c>
      <c r="AT382">
        <f>$H$382*$Z$382</f>
        <v>132.18</v>
      </c>
      <c r="AU382">
        <f>$H$382*$AA$382</f>
        <v>264.36</v>
      </c>
      <c r="AV382">
        <f>$H$382*$AB$382</f>
        <v>264.36</v>
      </c>
      <c r="AW382">
        <f>$H$382*$AC$382</f>
        <v>264.36</v>
      </c>
      <c r="AX382">
        <f>$H$382*$AD$382</f>
        <v>264.36</v>
      </c>
      <c r="AY382">
        <f>$H$382*$AE$382</f>
        <v>264.36</v>
      </c>
      <c r="AZ382">
        <f>$H$382*$AF$382</f>
        <v>264.36</v>
      </c>
    </row>
    <row r="383" spans="1:52" x14ac:dyDescent="0.25">
      <c r="A383">
        <v>428</v>
      </c>
      <c r="B383" t="s">
        <v>4</v>
      </c>
      <c r="C383" t="s">
        <v>387</v>
      </c>
      <c r="D383">
        <v>82.51</v>
      </c>
      <c r="E383">
        <v>51.98</v>
      </c>
      <c r="F383" t="s">
        <v>313</v>
      </c>
      <c r="G383">
        <v>0.63</v>
      </c>
      <c r="H383">
        <v>62.38</v>
      </c>
      <c r="I383" t="s">
        <v>295</v>
      </c>
      <c r="J383" t="s">
        <v>388</v>
      </c>
      <c r="K383" t="s">
        <v>549</v>
      </c>
      <c r="L383" t="s">
        <v>200</v>
      </c>
      <c r="M383" t="s">
        <v>4</v>
      </c>
      <c r="N383" t="s">
        <v>51</v>
      </c>
      <c r="O383" t="s">
        <v>4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1</v>
      </c>
      <c r="AE383">
        <v>1</v>
      </c>
      <c r="AF383">
        <v>1</v>
      </c>
      <c r="AG383" t="s">
        <v>4</v>
      </c>
      <c r="AH383" t="s">
        <v>51</v>
      </c>
      <c r="AI383" t="s">
        <v>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0</v>
      </c>
      <c r="AO383">
        <f>$H$383*$U$383</f>
        <v>0</v>
      </c>
      <c r="AP383">
        <f>$H$383*$V$383</f>
        <v>0</v>
      </c>
      <c r="AQ383">
        <f>$H$383*$W$383</f>
        <v>0</v>
      </c>
      <c r="AR383">
        <f>$H$383*$X$383</f>
        <v>0</v>
      </c>
      <c r="AS383">
        <f>$H$383*$Y$383</f>
        <v>0</v>
      </c>
      <c r="AT383">
        <f>$H$383*$Z$383</f>
        <v>0</v>
      </c>
      <c r="AU383">
        <f>$H$383*$AA$383</f>
        <v>0</v>
      </c>
      <c r="AV383">
        <f>$H$383*$AB$383</f>
        <v>0</v>
      </c>
      <c r="AW383">
        <f>$H$383*$AC$383</f>
        <v>0</v>
      </c>
      <c r="AX383">
        <f>$H$383*$AD$383</f>
        <v>62.38</v>
      </c>
      <c r="AY383">
        <f>$H$383*$AE$383</f>
        <v>62.38</v>
      </c>
      <c r="AZ383">
        <f>$H$383*$AF$383</f>
        <v>62.38</v>
      </c>
    </row>
    <row r="384" spans="1:52" x14ac:dyDescent="0.25">
      <c r="A384">
        <v>429</v>
      </c>
      <c r="B384" t="s">
        <v>4</v>
      </c>
      <c r="C384" t="s">
        <v>389</v>
      </c>
      <c r="D384">
        <v>82.51</v>
      </c>
      <c r="E384">
        <v>56.93</v>
      </c>
      <c r="F384" t="s">
        <v>313</v>
      </c>
      <c r="G384">
        <v>0.69</v>
      </c>
      <c r="H384">
        <v>68.31</v>
      </c>
      <c r="I384" t="s">
        <v>295</v>
      </c>
      <c r="J384" t="s">
        <v>390</v>
      </c>
      <c r="K384" t="s">
        <v>550</v>
      </c>
      <c r="L384" t="s">
        <v>200</v>
      </c>
      <c r="M384" t="s">
        <v>4</v>
      </c>
      <c r="N384" t="s">
        <v>51</v>
      </c>
      <c r="O384" t="s">
        <v>4</v>
      </c>
      <c r="P384">
        <v>0</v>
      </c>
      <c r="Q384">
        <v>0</v>
      </c>
      <c r="R384">
        <v>0</v>
      </c>
      <c r="S384">
        <v>1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4</v>
      </c>
      <c r="AH384" t="s">
        <v>51</v>
      </c>
      <c r="AI384" t="s">
        <v>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68.31</v>
      </c>
      <c r="AN384">
        <f>$H$384*$T$384</f>
        <v>68.31</v>
      </c>
      <c r="AO384">
        <f>$H$384*$U$384</f>
        <v>68.31</v>
      </c>
      <c r="AP384">
        <f>$H$384*$V$384</f>
        <v>68.31</v>
      </c>
      <c r="AQ384">
        <f>$H$384*$W$384</f>
        <v>68.31</v>
      </c>
      <c r="AR384">
        <f>$H$384*$X$384</f>
        <v>68.31</v>
      </c>
      <c r="AS384">
        <f>$H$384*$Y$384</f>
        <v>68.31</v>
      </c>
      <c r="AT384">
        <f>$H$384*$Z$384</f>
        <v>68.31</v>
      </c>
      <c r="AU384">
        <f>$H$384*$AA$384</f>
        <v>68.31</v>
      </c>
      <c r="AV384">
        <f>$H$384*$AB$384</f>
        <v>68.31</v>
      </c>
      <c r="AW384">
        <f>$H$384*$AC$384</f>
        <v>68.31</v>
      </c>
      <c r="AX384">
        <f>$H$384*$AD$384</f>
        <v>68.31</v>
      </c>
      <c r="AY384">
        <f>$H$384*$AE$384</f>
        <v>68.31</v>
      </c>
      <c r="AZ384">
        <f>$H$384*$AF$384</f>
        <v>68.31</v>
      </c>
    </row>
    <row r="385" spans="1:52" x14ac:dyDescent="0.25">
      <c r="A385">
        <v>430</v>
      </c>
      <c r="B385" t="s">
        <v>4</v>
      </c>
      <c r="C385" t="s">
        <v>391</v>
      </c>
      <c r="D385">
        <v>17.329999999999998</v>
      </c>
      <c r="E385">
        <v>98.61</v>
      </c>
      <c r="F385" t="s">
        <v>313</v>
      </c>
      <c r="G385">
        <v>5.69</v>
      </c>
      <c r="H385">
        <v>118.33</v>
      </c>
      <c r="I385" t="s">
        <v>392</v>
      </c>
      <c r="J385" t="s">
        <v>393</v>
      </c>
      <c r="K385" t="s">
        <v>551</v>
      </c>
      <c r="L385" t="s">
        <v>200</v>
      </c>
      <c r="M385" t="s">
        <v>4</v>
      </c>
      <c r="N385" t="s">
        <v>51</v>
      </c>
      <c r="O385" t="s">
        <v>4</v>
      </c>
      <c r="P385">
        <v>0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4</v>
      </c>
      <c r="AH385" t="s">
        <v>51</v>
      </c>
      <c r="AI385" t="s">
        <v>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118.33</v>
      </c>
      <c r="AN385">
        <f>$H$385*$T$385</f>
        <v>118.33</v>
      </c>
      <c r="AO385">
        <f>$H$385*$U$385</f>
        <v>118.33</v>
      </c>
      <c r="AP385">
        <f>$H$385*$V$385</f>
        <v>118.33</v>
      </c>
      <c r="AQ385">
        <f>$H$385*$W$385</f>
        <v>118.33</v>
      </c>
      <c r="AR385">
        <f>$H$385*$X$385</f>
        <v>118.33</v>
      </c>
      <c r="AS385">
        <f>$H$385*$Y$385</f>
        <v>118.33</v>
      </c>
      <c r="AT385">
        <f>$H$385*$Z$385</f>
        <v>118.33</v>
      </c>
      <c r="AU385">
        <f>$H$385*$AA$385</f>
        <v>118.33</v>
      </c>
      <c r="AV385">
        <f>$H$385*$AB$385</f>
        <v>118.33</v>
      </c>
      <c r="AW385">
        <f>$H$385*$AC$385</f>
        <v>118.33</v>
      </c>
      <c r="AX385">
        <f>$H$385*$AD$385</f>
        <v>118.33</v>
      </c>
      <c r="AY385">
        <f>$H$385*$AE$385</f>
        <v>118.33</v>
      </c>
      <c r="AZ385">
        <f>$H$385*$AF$385</f>
        <v>118.33</v>
      </c>
    </row>
    <row r="386" spans="1:52" x14ac:dyDescent="0.25">
      <c r="A386">
        <v>431</v>
      </c>
      <c r="B386" t="s">
        <v>4</v>
      </c>
      <c r="C386" t="s">
        <v>394</v>
      </c>
      <c r="D386">
        <v>18.98</v>
      </c>
      <c r="E386">
        <v>112.36</v>
      </c>
      <c r="F386" t="s">
        <v>313</v>
      </c>
      <c r="G386">
        <v>5.92</v>
      </c>
      <c r="H386">
        <v>134.84</v>
      </c>
      <c r="I386" t="s">
        <v>392</v>
      </c>
      <c r="J386" t="s">
        <v>334</v>
      </c>
      <c r="K386" t="s">
        <v>552</v>
      </c>
      <c r="L386" t="s">
        <v>200</v>
      </c>
      <c r="M386" t="s">
        <v>4</v>
      </c>
      <c r="N386" t="s">
        <v>51</v>
      </c>
      <c r="O386" t="s">
        <v>4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4</v>
      </c>
      <c r="AH386" t="s">
        <v>51</v>
      </c>
      <c r="AI386" t="s">
        <v>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134.84</v>
      </c>
      <c r="AN386">
        <f>$H$386*$T$386</f>
        <v>134.84</v>
      </c>
      <c r="AO386">
        <f>$H$386*$U$386</f>
        <v>134.84</v>
      </c>
      <c r="AP386">
        <f>$H$386*$V$386</f>
        <v>134.84</v>
      </c>
      <c r="AQ386">
        <f>$H$386*$W$386</f>
        <v>134.84</v>
      </c>
      <c r="AR386">
        <f>$H$386*$X$386</f>
        <v>134.84</v>
      </c>
      <c r="AS386">
        <f>$H$386*$Y$386</f>
        <v>134.84</v>
      </c>
      <c r="AT386">
        <f>$H$386*$Z$386</f>
        <v>134.84</v>
      </c>
      <c r="AU386">
        <f>$H$386*$AA$386</f>
        <v>134.84</v>
      </c>
      <c r="AV386">
        <f>$H$386*$AB$386</f>
        <v>134.84</v>
      </c>
      <c r="AW386">
        <f>$H$386*$AC$386</f>
        <v>134.84</v>
      </c>
      <c r="AX386">
        <f>$H$386*$AD$386</f>
        <v>134.84</v>
      </c>
      <c r="AY386">
        <f>$H$386*$AE$386</f>
        <v>134.84</v>
      </c>
      <c r="AZ386">
        <f>$H$386*$AF$386</f>
        <v>134.84</v>
      </c>
    </row>
    <row r="387" spans="1:52" x14ac:dyDescent="0.25">
      <c r="A387">
        <v>432</v>
      </c>
      <c r="B387" t="s">
        <v>4</v>
      </c>
      <c r="C387" t="s">
        <v>395</v>
      </c>
      <c r="D387">
        <v>18.100000000000001</v>
      </c>
      <c r="E387">
        <v>98.83</v>
      </c>
      <c r="F387" t="s">
        <v>313</v>
      </c>
      <c r="G387">
        <v>5.46</v>
      </c>
      <c r="H387">
        <v>118.59</v>
      </c>
      <c r="I387" t="s">
        <v>396</v>
      </c>
      <c r="J387" t="s">
        <v>397</v>
      </c>
      <c r="K387" t="s">
        <v>553</v>
      </c>
      <c r="L387" t="s">
        <v>200</v>
      </c>
      <c r="M387" t="s">
        <v>4</v>
      </c>
      <c r="N387" t="s">
        <v>51</v>
      </c>
      <c r="O387" t="s">
        <v>4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4</v>
      </c>
      <c r="AH387" t="s">
        <v>51</v>
      </c>
      <c r="AI387" t="s">
        <v>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118.59</v>
      </c>
      <c r="AN387">
        <f>$H$387*$T$387</f>
        <v>118.59</v>
      </c>
      <c r="AO387">
        <f>$H$387*$U$387</f>
        <v>118.59</v>
      </c>
      <c r="AP387">
        <f>$H$387*$V$387</f>
        <v>118.59</v>
      </c>
      <c r="AQ387">
        <f>$H$387*$W$387</f>
        <v>118.59</v>
      </c>
      <c r="AR387">
        <f>$H$387*$X$387</f>
        <v>118.59</v>
      </c>
      <c r="AS387">
        <f>$H$387*$Y$387</f>
        <v>118.59</v>
      </c>
      <c r="AT387">
        <f>$H$387*$Z$387</f>
        <v>118.59</v>
      </c>
      <c r="AU387">
        <f>$H$387*$AA$387</f>
        <v>118.59</v>
      </c>
      <c r="AV387">
        <f>$H$387*$AB$387</f>
        <v>118.59</v>
      </c>
      <c r="AW387">
        <f>$H$387*$AC$387</f>
        <v>118.59</v>
      </c>
      <c r="AX387">
        <f>$H$387*$AD$387</f>
        <v>118.59</v>
      </c>
      <c r="AY387">
        <f>$H$387*$AE$387</f>
        <v>118.59</v>
      </c>
      <c r="AZ387">
        <f>$H$387*$AF$387</f>
        <v>118.59</v>
      </c>
    </row>
    <row r="388" spans="1:52" x14ac:dyDescent="0.25">
      <c r="A388">
        <v>433</v>
      </c>
      <c r="B388" t="s">
        <v>4</v>
      </c>
      <c r="C388" t="s">
        <v>398</v>
      </c>
      <c r="D388">
        <v>18.100000000000001</v>
      </c>
      <c r="E388">
        <v>64.8</v>
      </c>
      <c r="F388" t="s">
        <v>313</v>
      </c>
      <c r="G388">
        <v>3.58</v>
      </c>
      <c r="H388">
        <v>77.760000000000005</v>
      </c>
      <c r="I388" t="s">
        <v>396</v>
      </c>
      <c r="J388" t="s">
        <v>399</v>
      </c>
      <c r="K388" t="s">
        <v>554</v>
      </c>
      <c r="L388" t="s">
        <v>200</v>
      </c>
      <c r="M388" t="s">
        <v>4</v>
      </c>
      <c r="N388" t="s">
        <v>51</v>
      </c>
      <c r="O388" t="s">
        <v>4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4</v>
      </c>
      <c r="AH388" t="s">
        <v>51</v>
      </c>
      <c r="AI388" t="s">
        <v>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77.760000000000005</v>
      </c>
      <c r="AN388">
        <f>$H$388*$T$388</f>
        <v>77.760000000000005</v>
      </c>
      <c r="AO388">
        <f>$H$388*$U$388</f>
        <v>77.760000000000005</v>
      </c>
      <c r="AP388">
        <f>$H$388*$V$388</f>
        <v>77.760000000000005</v>
      </c>
      <c r="AQ388">
        <f>$H$388*$W$388</f>
        <v>77.760000000000005</v>
      </c>
      <c r="AR388">
        <f>$H$388*$X$388</f>
        <v>77.760000000000005</v>
      </c>
      <c r="AS388">
        <f>$H$388*$Y$388</f>
        <v>77.760000000000005</v>
      </c>
      <c r="AT388">
        <f>$H$388*$Z$388</f>
        <v>77.760000000000005</v>
      </c>
      <c r="AU388">
        <f>$H$388*$AA$388</f>
        <v>77.760000000000005</v>
      </c>
      <c r="AV388">
        <f>$H$388*$AB$388</f>
        <v>77.760000000000005</v>
      </c>
      <c r="AW388">
        <f>$H$388*$AC$388</f>
        <v>77.760000000000005</v>
      </c>
      <c r="AX388">
        <f>$H$388*$AD$388</f>
        <v>77.760000000000005</v>
      </c>
      <c r="AY388">
        <f>$H$388*$AE$388</f>
        <v>77.760000000000005</v>
      </c>
      <c r="AZ388">
        <f>$H$388*$AF$388</f>
        <v>77.760000000000005</v>
      </c>
    </row>
    <row r="389" spans="1:52" x14ac:dyDescent="0.25">
      <c r="A389">
        <v>434</v>
      </c>
      <c r="B389" t="s">
        <v>4</v>
      </c>
      <c r="C389" t="s">
        <v>400</v>
      </c>
      <c r="D389">
        <v>18.100000000000001</v>
      </c>
      <c r="E389">
        <v>157.47</v>
      </c>
      <c r="F389" t="s">
        <v>313</v>
      </c>
      <c r="G389">
        <v>8.6999999999999993</v>
      </c>
      <c r="H389">
        <v>188.97</v>
      </c>
      <c r="I389" t="s">
        <v>396</v>
      </c>
      <c r="J389" t="s">
        <v>334</v>
      </c>
      <c r="K389" t="s">
        <v>555</v>
      </c>
      <c r="L389" t="s">
        <v>200</v>
      </c>
      <c r="M389" t="s">
        <v>4</v>
      </c>
      <c r="N389" t="s">
        <v>51</v>
      </c>
      <c r="O389" t="s">
        <v>4</v>
      </c>
      <c r="P389">
        <v>0</v>
      </c>
      <c r="Q389">
        <v>0</v>
      </c>
      <c r="R389">
        <v>0</v>
      </c>
      <c r="S389">
        <v>1</v>
      </c>
      <c r="T389">
        <v>1</v>
      </c>
      <c r="U389">
        <v>1</v>
      </c>
      <c r="V389">
        <v>1</v>
      </c>
      <c r="W389">
        <v>1</v>
      </c>
      <c r="X389">
        <v>1</v>
      </c>
      <c r="Y389">
        <v>1</v>
      </c>
      <c r="Z389">
        <v>1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4</v>
      </c>
      <c r="AH389" t="s">
        <v>51</v>
      </c>
      <c r="AI389" t="s">
        <v>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188.97</v>
      </c>
      <c r="AN389">
        <f>$H$389*$T$389</f>
        <v>188.97</v>
      </c>
      <c r="AO389">
        <f>$H$389*$U$389</f>
        <v>188.97</v>
      </c>
      <c r="AP389">
        <f>$H$389*$V$389</f>
        <v>188.97</v>
      </c>
      <c r="AQ389">
        <f>$H$389*$W$389</f>
        <v>188.97</v>
      </c>
      <c r="AR389">
        <f>$H$389*$X$389</f>
        <v>188.97</v>
      </c>
      <c r="AS389">
        <f>$H$389*$Y$389</f>
        <v>188.97</v>
      </c>
      <c r="AT389">
        <f>$H$389*$Z$389</f>
        <v>188.97</v>
      </c>
      <c r="AU389">
        <f>$H$389*$AA$389</f>
        <v>188.97</v>
      </c>
      <c r="AV389">
        <f>$H$389*$AB$389</f>
        <v>188.97</v>
      </c>
      <c r="AW389">
        <f>$H$389*$AC$389</f>
        <v>188.97</v>
      </c>
      <c r="AX389">
        <f>$H$389*$AD$389</f>
        <v>188.97</v>
      </c>
      <c r="AY389">
        <f>$H$389*$AE$389</f>
        <v>188.97</v>
      </c>
      <c r="AZ389">
        <f>$H$389*$AF$389</f>
        <v>188.97</v>
      </c>
    </row>
    <row r="390" spans="1:52" x14ac:dyDescent="0.25">
      <c r="A390">
        <v>435</v>
      </c>
      <c r="B390" t="s">
        <v>4</v>
      </c>
      <c r="C390" t="s">
        <v>401</v>
      </c>
      <c r="D390">
        <v>18.98</v>
      </c>
      <c r="E390">
        <v>14.99</v>
      </c>
      <c r="F390" t="s">
        <v>313</v>
      </c>
      <c r="G390">
        <v>0.79</v>
      </c>
      <c r="H390">
        <v>17.989999999999998</v>
      </c>
      <c r="I390" t="s">
        <v>339</v>
      </c>
      <c r="J390" t="s">
        <v>402</v>
      </c>
      <c r="K390" t="s">
        <v>556</v>
      </c>
      <c r="L390" t="s">
        <v>200</v>
      </c>
      <c r="M390" t="s">
        <v>4</v>
      </c>
      <c r="N390" t="s">
        <v>51</v>
      </c>
      <c r="O390" t="s">
        <v>4</v>
      </c>
      <c r="P390">
        <v>0</v>
      </c>
      <c r="Q390">
        <v>0</v>
      </c>
      <c r="R390">
        <v>0</v>
      </c>
      <c r="S390">
        <v>1</v>
      </c>
      <c r="T390">
        <v>1</v>
      </c>
      <c r="U390">
        <v>1</v>
      </c>
      <c r="V390">
        <v>1</v>
      </c>
      <c r="W390">
        <v>1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4</v>
      </c>
      <c r="AH390" t="s">
        <v>51</v>
      </c>
      <c r="AI390" t="s">
        <v>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17.989999999999998</v>
      </c>
      <c r="AN390">
        <f>$H$390*$T$390</f>
        <v>17.989999999999998</v>
      </c>
      <c r="AO390">
        <f>$H$390*$U$390</f>
        <v>17.989999999999998</v>
      </c>
      <c r="AP390">
        <f>$H$390*$V$390</f>
        <v>17.989999999999998</v>
      </c>
      <c r="AQ390">
        <f>$H$390*$W$390</f>
        <v>17.989999999999998</v>
      </c>
      <c r="AR390">
        <f>$H$390*$X$390</f>
        <v>17.989999999999998</v>
      </c>
      <c r="AS390">
        <f>$H$390*$Y$390</f>
        <v>17.989999999999998</v>
      </c>
      <c r="AT390">
        <f>$H$390*$Z$390</f>
        <v>17.989999999999998</v>
      </c>
      <c r="AU390">
        <f>$H$390*$AA$390</f>
        <v>17.989999999999998</v>
      </c>
      <c r="AV390">
        <f>$H$390*$AB$390</f>
        <v>17.989999999999998</v>
      </c>
      <c r="AW390">
        <f>$H$390*$AC$390</f>
        <v>17.989999999999998</v>
      </c>
      <c r="AX390">
        <f>$H$390*$AD$390</f>
        <v>17.989999999999998</v>
      </c>
      <c r="AY390">
        <f>$H$390*$AE$390</f>
        <v>17.989999999999998</v>
      </c>
      <c r="AZ390">
        <f>$H$390*$AF$390</f>
        <v>17.989999999999998</v>
      </c>
    </row>
    <row r="391" spans="1:52" x14ac:dyDescent="0.25">
      <c r="A391">
        <v>436</v>
      </c>
      <c r="B391" t="s">
        <v>4</v>
      </c>
      <c r="C391" t="s">
        <v>403</v>
      </c>
      <c r="D391">
        <v>18.98</v>
      </c>
      <c r="E391">
        <v>101.16</v>
      </c>
      <c r="F391" t="s">
        <v>313</v>
      </c>
      <c r="G391">
        <v>5.33</v>
      </c>
      <c r="H391">
        <v>121.4</v>
      </c>
      <c r="I391" t="s">
        <v>339</v>
      </c>
      <c r="J391" t="s">
        <v>334</v>
      </c>
      <c r="K391" t="s">
        <v>557</v>
      </c>
      <c r="L391" t="s">
        <v>200</v>
      </c>
      <c r="M391" t="s">
        <v>4</v>
      </c>
      <c r="N391" t="s">
        <v>51</v>
      </c>
      <c r="O391" t="s">
        <v>4</v>
      </c>
      <c r="P391">
        <v>0</v>
      </c>
      <c r="Q391">
        <v>0</v>
      </c>
      <c r="R391">
        <v>0</v>
      </c>
      <c r="S391">
        <v>1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4</v>
      </c>
      <c r="AH391" t="s">
        <v>51</v>
      </c>
      <c r="AI391" t="s">
        <v>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121.4</v>
      </c>
      <c r="AN391">
        <f>$H$391*$T$391</f>
        <v>121.4</v>
      </c>
      <c r="AO391">
        <f>$H$391*$U$391</f>
        <v>121.4</v>
      </c>
      <c r="AP391">
        <f>$H$391*$V$391</f>
        <v>121.4</v>
      </c>
      <c r="AQ391">
        <f>$H$391*$W$391</f>
        <v>121.4</v>
      </c>
      <c r="AR391">
        <f>$H$391*$X$391</f>
        <v>121.4</v>
      </c>
      <c r="AS391">
        <f>$H$391*$Y$391</f>
        <v>121.4</v>
      </c>
      <c r="AT391">
        <f>$H$391*$Z$391</f>
        <v>121.4</v>
      </c>
      <c r="AU391">
        <f>$H$391*$AA$391</f>
        <v>121.4</v>
      </c>
      <c r="AV391">
        <f>$H$391*$AB$391</f>
        <v>121.4</v>
      </c>
      <c r="AW391">
        <f>$H$391*$AC$391</f>
        <v>121.4</v>
      </c>
      <c r="AX391">
        <f>$H$391*$AD$391</f>
        <v>121.4</v>
      </c>
      <c r="AY391">
        <f>$H$391*$AE$391</f>
        <v>121.4</v>
      </c>
      <c r="AZ391">
        <f>$H$391*$AF$391</f>
        <v>121.4</v>
      </c>
    </row>
    <row r="392" spans="1:52" x14ac:dyDescent="0.25">
      <c r="A392">
        <v>437</v>
      </c>
      <c r="B392" t="s">
        <v>5</v>
      </c>
      <c r="C392" t="s">
        <v>380</v>
      </c>
      <c r="D392">
        <v>4</v>
      </c>
      <c r="E392">
        <v>53.08</v>
      </c>
      <c r="F392" t="s">
        <v>299</v>
      </c>
      <c r="G392">
        <v>13.27</v>
      </c>
      <c r="H392">
        <v>63.7</v>
      </c>
      <c r="I392" t="s">
        <v>301</v>
      </c>
      <c r="J392" t="s">
        <v>381</v>
      </c>
      <c r="K392" t="s">
        <v>545</v>
      </c>
      <c r="L392" t="s">
        <v>200</v>
      </c>
      <c r="M392" t="s">
        <v>5</v>
      </c>
      <c r="N392" t="s">
        <v>12</v>
      </c>
      <c r="O392" t="s">
        <v>5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5</v>
      </c>
      <c r="AH392" t="s">
        <v>12</v>
      </c>
      <c r="AI392" t="s">
        <v>5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0</v>
      </c>
      <c r="AQ392">
        <f>$H$392*$W$392</f>
        <v>0</v>
      </c>
      <c r="AR392">
        <f>$H$392*$X$392</f>
        <v>63.7</v>
      </c>
      <c r="AS392">
        <f>$H$392*$Y$392</f>
        <v>63.7</v>
      </c>
      <c r="AT392">
        <f>$H$392*$Z$392</f>
        <v>63.7</v>
      </c>
      <c r="AU392">
        <f>$H$392*$AA$392</f>
        <v>63.7</v>
      </c>
      <c r="AV392">
        <f>$H$392*$AB$392</f>
        <v>63.7</v>
      </c>
      <c r="AW392">
        <f>$H$392*$AC$392</f>
        <v>63.7</v>
      </c>
      <c r="AX392">
        <f>$H$392*$AD$392</f>
        <v>63.7</v>
      </c>
      <c r="AY392">
        <f>$H$392*$AE$392</f>
        <v>63.7</v>
      </c>
      <c r="AZ392">
        <f>$H$392*$AF$392</f>
        <v>63.7</v>
      </c>
    </row>
    <row r="393" spans="1:52" x14ac:dyDescent="0.25">
      <c r="A393">
        <v>438</v>
      </c>
      <c r="B393" t="s">
        <v>5</v>
      </c>
      <c r="C393" t="s">
        <v>462</v>
      </c>
      <c r="D393">
        <v>1</v>
      </c>
      <c r="E393">
        <v>48.06</v>
      </c>
      <c r="F393" t="s">
        <v>299</v>
      </c>
      <c r="G393">
        <v>48.06</v>
      </c>
      <c r="H393">
        <v>57.68</v>
      </c>
      <c r="I393" t="s">
        <v>304</v>
      </c>
      <c r="J393" t="s">
        <v>436</v>
      </c>
      <c r="K393" t="s">
        <v>586</v>
      </c>
      <c r="L393" t="s">
        <v>200</v>
      </c>
      <c r="M393" t="s">
        <v>5</v>
      </c>
      <c r="N393" t="s">
        <v>12</v>
      </c>
      <c r="O393" t="s">
        <v>5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1</v>
      </c>
      <c r="AE393">
        <v>1</v>
      </c>
      <c r="AF393">
        <v>1</v>
      </c>
      <c r="AG393" t="s">
        <v>5</v>
      </c>
      <c r="AH393" t="s">
        <v>12</v>
      </c>
      <c r="AI393" t="s">
        <v>5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0</v>
      </c>
      <c r="AN393">
        <f>$H$393*$T$393</f>
        <v>0</v>
      </c>
      <c r="AO393">
        <f>$H$393*$U$393</f>
        <v>0</v>
      </c>
      <c r="AP393">
        <f>$H$393*$V$393</f>
        <v>0</v>
      </c>
      <c r="AQ393">
        <f>$H$393*$W$393</f>
        <v>0</v>
      </c>
      <c r="AR393">
        <f>$H$393*$X$393</f>
        <v>0</v>
      </c>
      <c r="AS393">
        <f>$H$393*$Y$393</f>
        <v>0</v>
      </c>
      <c r="AT393">
        <f>$H$393*$Z$393</f>
        <v>0</v>
      </c>
      <c r="AU393">
        <f>$H$393*$AA$393</f>
        <v>0</v>
      </c>
      <c r="AV393">
        <f>$H$393*$AB$393</f>
        <v>0</v>
      </c>
      <c r="AW393">
        <f>$H$393*$AC$393</f>
        <v>0</v>
      </c>
      <c r="AX393">
        <f>$H$393*$AD$393</f>
        <v>57.68</v>
      </c>
      <c r="AY393">
        <f>$H$393*$AE$393</f>
        <v>57.68</v>
      </c>
      <c r="AZ393">
        <f>$H$393*$AF$393</f>
        <v>57.68</v>
      </c>
    </row>
    <row r="394" spans="1:52" x14ac:dyDescent="0.25">
      <c r="A394">
        <v>439</v>
      </c>
      <c r="B394" t="s">
        <v>5</v>
      </c>
      <c r="C394" t="s">
        <v>324</v>
      </c>
      <c r="D394">
        <v>290.67</v>
      </c>
      <c r="E394">
        <v>284.86</v>
      </c>
      <c r="F394" t="s">
        <v>313</v>
      </c>
      <c r="G394">
        <v>0.98</v>
      </c>
      <c r="H394">
        <v>341.84</v>
      </c>
      <c r="I394" t="s">
        <v>295</v>
      </c>
      <c r="J394" t="s">
        <v>325</v>
      </c>
      <c r="K394" t="s">
        <v>518</v>
      </c>
      <c r="L394" t="s">
        <v>200</v>
      </c>
      <c r="M394" t="s">
        <v>5</v>
      </c>
      <c r="N394" t="s">
        <v>12</v>
      </c>
      <c r="O394" t="s">
        <v>5</v>
      </c>
      <c r="P394">
        <v>0</v>
      </c>
      <c r="Q394">
        <v>0</v>
      </c>
      <c r="R394">
        <v>0</v>
      </c>
      <c r="S394">
        <v>0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5</v>
      </c>
      <c r="AH394" t="s">
        <v>12</v>
      </c>
      <c r="AI394" t="s">
        <v>5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0</v>
      </c>
      <c r="AN394">
        <f>$H$394*$T$394</f>
        <v>341.84</v>
      </c>
      <c r="AO394">
        <f>$H$394*$U$394</f>
        <v>341.84</v>
      </c>
      <c r="AP394">
        <f>$H$394*$V$394</f>
        <v>341.84</v>
      </c>
      <c r="AQ394">
        <f>$H$394*$W$394</f>
        <v>341.84</v>
      </c>
      <c r="AR394">
        <f>$H$394*$X$394</f>
        <v>341.84</v>
      </c>
      <c r="AS394">
        <f>$H$394*$Y$394</f>
        <v>341.84</v>
      </c>
      <c r="AT394">
        <f>$H$394*$Z$394</f>
        <v>341.84</v>
      </c>
      <c r="AU394">
        <f>$H$394*$AA$394</f>
        <v>341.84</v>
      </c>
      <c r="AV394">
        <f>$H$394*$AB$394</f>
        <v>341.84</v>
      </c>
      <c r="AW394">
        <f>$H$394*$AC$394</f>
        <v>341.84</v>
      </c>
      <c r="AX394">
        <f>$H$394*$AD$394</f>
        <v>341.84</v>
      </c>
      <c r="AY394">
        <f>$H$394*$AE$394</f>
        <v>341.84</v>
      </c>
      <c r="AZ394">
        <f>$H$394*$AF$394</f>
        <v>341.84</v>
      </c>
    </row>
    <row r="395" spans="1:52" x14ac:dyDescent="0.25">
      <c r="A395">
        <v>440</v>
      </c>
      <c r="B395" t="s">
        <v>5</v>
      </c>
      <c r="C395" t="s">
        <v>326</v>
      </c>
      <c r="D395">
        <v>290.67</v>
      </c>
      <c r="E395">
        <v>776.09</v>
      </c>
      <c r="F395" t="s">
        <v>313</v>
      </c>
      <c r="G395">
        <v>2.67</v>
      </c>
      <c r="H395">
        <v>931.31</v>
      </c>
      <c r="I395" t="s">
        <v>327</v>
      </c>
      <c r="J395" t="s">
        <v>328</v>
      </c>
      <c r="K395" t="s">
        <v>519</v>
      </c>
      <c r="L395" t="s">
        <v>200</v>
      </c>
      <c r="M395" t="s">
        <v>5</v>
      </c>
      <c r="N395" t="s">
        <v>12</v>
      </c>
      <c r="O395" t="s">
        <v>5</v>
      </c>
      <c r="P395">
        <v>0</v>
      </c>
      <c r="Q395">
        <v>0</v>
      </c>
      <c r="R395">
        <v>0</v>
      </c>
      <c r="S395">
        <v>0.25</v>
      </c>
      <c r="T395">
        <v>0.25</v>
      </c>
      <c r="U395">
        <v>0.25</v>
      </c>
      <c r="V395">
        <v>0.25</v>
      </c>
      <c r="W395">
        <v>0.25</v>
      </c>
      <c r="X395">
        <v>0.5</v>
      </c>
      <c r="Y395">
        <v>0.5</v>
      </c>
      <c r="Z395">
        <v>0.5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5</v>
      </c>
      <c r="AH395" t="s">
        <v>12</v>
      </c>
      <c r="AI395" t="s">
        <v>5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232.82749999999999</v>
      </c>
      <c r="AN395">
        <f>$H$395*$T$395</f>
        <v>232.82749999999999</v>
      </c>
      <c r="AO395">
        <f>$H$395*$U$395</f>
        <v>232.82749999999999</v>
      </c>
      <c r="AP395">
        <f>$H$395*$V$395</f>
        <v>232.82749999999999</v>
      </c>
      <c r="AQ395">
        <f>$H$395*$W$395</f>
        <v>232.82749999999999</v>
      </c>
      <c r="AR395">
        <f>$H$395*$X$395</f>
        <v>465.65499999999997</v>
      </c>
      <c r="AS395">
        <f>$H$395*$Y$395</f>
        <v>465.65499999999997</v>
      </c>
      <c r="AT395">
        <f>$H$395*$Z$395</f>
        <v>465.65499999999997</v>
      </c>
      <c r="AU395">
        <f>$H$395*$AA$395</f>
        <v>931.31</v>
      </c>
      <c r="AV395">
        <f>$H$395*$AB$395</f>
        <v>931.31</v>
      </c>
      <c r="AW395">
        <f>$H$395*$AC$395</f>
        <v>931.31</v>
      </c>
      <c r="AX395">
        <f>$H$395*$AD$395</f>
        <v>931.31</v>
      </c>
      <c r="AY395">
        <f>$H$395*$AE$395</f>
        <v>931.31</v>
      </c>
      <c r="AZ395">
        <f>$H$395*$AF$395</f>
        <v>931.31</v>
      </c>
    </row>
    <row r="396" spans="1:52" x14ac:dyDescent="0.25">
      <c r="A396">
        <v>441</v>
      </c>
      <c r="B396" t="s">
        <v>5</v>
      </c>
      <c r="C396" t="s">
        <v>383</v>
      </c>
      <c r="D396">
        <v>36.33</v>
      </c>
      <c r="E396">
        <v>33.06</v>
      </c>
      <c r="F396" t="s">
        <v>294</v>
      </c>
      <c r="G396">
        <v>0.91</v>
      </c>
      <c r="H396">
        <v>39.68</v>
      </c>
      <c r="I396" t="s">
        <v>295</v>
      </c>
      <c r="J396" t="s">
        <v>384</v>
      </c>
      <c r="K396" t="s">
        <v>547</v>
      </c>
      <c r="L396" t="s">
        <v>200</v>
      </c>
      <c r="M396" t="s">
        <v>5</v>
      </c>
      <c r="N396" t="s">
        <v>12</v>
      </c>
      <c r="O396" t="s">
        <v>5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5</v>
      </c>
      <c r="AH396" t="s">
        <v>12</v>
      </c>
      <c r="AI396" t="s">
        <v>5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39.68</v>
      </c>
      <c r="AN396">
        <f>$H$396*$T$396</f>
        <v>39.68</v>
      </c>
      <c r="AO396">
        <f>$H$396*$U$396</f>
        <v>39.68</v>
      </c>
      <c r="AP396">
        <f>$H$396*$V$396</f>
        <v>39.68</v>
      </c>
      <c r="AQ396">
        <f>$H$396*$W$396</f>
        <v>39.68</v>
      </c>
      <c r="AR396">
        <f>$H$396*$X$396</f>
        <v>39.68</v>
      </c>
      <c r="AS396">
        <f>$H$396*$Y$396</f>
        <v>39.68</v>
      </c>
      <c r="AT396">
        <f>$H$396*$Z$396</f>
        <v>39.68</v>
      </c>
      <c r="AU396">
        <f>$H$396*$AA$396</f>
        <v>39.68</v>
      </c>
      <c r="AV396">
        <f>$H$396*$AB$396</f>
        <v>39.68</v>
      </c>
      <c r="AW396">
        <f>$H$396*$AC$396</f>
        <v>39.68</v>
      </c>
      <c r="AX396">
        <f>$H$396*$AD$396</f>
        <v>39.68</v>
      </c>
      <c r="AY396">
        <f>$H$396*$AE$396</f>
        <v>39.68</v>
      </c>
      <c r="AZ396">
        <f>$H$396*$AF$396</f>
        <v>39.68</v>
      </c>
    </row>
    <row r="397" spans="1:52" x14ac:dyDescent="0.25">
      <c r="A397">
        <v>442</v>
      </c>
      <c r="B397" t="s">
        <v>5</v>
      </c>
      <c r="C397" t="s">
        <v>385</v>
      </c>
      <c r="D397">
        <v>36.33</v>
      </c>
      <c r="E397">
        <v>186.01</v>
      </c>
      <c r="F397" t="s">
        <v>294</v>
      </c>
      <c r="G397">
        <v>5.12</v>
      </c>
      <c r="H397">
        <v>223.21</v>
      </c>
      <c r="I397" t="s">
        <v>298</v>
      </c>
      <c r="J397" t="s">
        <v>386</v>
      </c>
      <c r="K397" t="s">
        <v>548</v>
      </c>
      <c r="L397" t="s">
        <v>200</v>
      </c>
      <c r="M397" t="s">
        <v>5</v>
      </c>
      <c r="N397" t="s">
        <v>12</v>
      </c>
      <c r="O397" t="s">
        <v>5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5</v>
      </c>
      <c r="AH397" t="s">
        <v>12</v>
      </c>
      <c r="AI397" t="s">
        <v>5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223.21</v>
      </c>
      <c r="AN397">
        <f>$H$397*$T$397</f>
        <v>223.21</v>
      </c>
      <c r="AO397">
        <f>$H$397*$U$397</f>
        <v>223.21</v>
      </c>
      <c r="AP397">
        <f>$H$397*$V$397</f>
        <v>223.21</v>
      </c>
      <c r="AQ397">
        <f>$H$397*$W$397</f>
        <v>223.21</v>
      </c>
      <c r="AR397">
        <f>$H$397*$X$397</f>
        <v>223.21</v>
      </c>
      <c r="AS397">
        <f>$H$397*$Y$397</f>
        <v>223.21</v>
      </c>
      <c r="AT397">
        <f>$H$397*$Z$397</f>
        <v>223.21</v>
      </c>
      <c r="AU397">
        <f>$H$397*$AA$397</f>
        <v>223.21</v>
      </c>
      <c r="AV397">
        <f>$H$397*$AB$397</f>
        <v>223.21</v>
      </c>
      <c r="AW397">
        <f>$H$397*$AC$397</f>
        <v>223.21</v>
      </c>
      <c r="AX397">
        <f>$H$397*$AD$397</f>
        <v>223.21</v>
      </c>
      <c r="AY397">
        <f>$H$397*$AE$397</f>
        <v>223.21</v>
      </c>
      <c r="AZ397">
        <f>$H$397*$AF$397</f>
        <v>223.21</v>
      </c>
    </row>
    <row r="398" spans="1:52" x14ac:dyDescent="0.25">
      <c r="A398">
        <v>443</v>
      </c>
      <c r="B398" t="s">
        <v>5</v>
      </c>
      <c r="C398" t="s">
        <v>326</v>
      </c>
      <c r="D398">
        <v>82.51</v>
      </c>
      <c r="E398">
        <v>220.3</v>
      </c>
      <c r="F398" t="s">
        <v>313</v>
      </c>
      <c r="G398">
        <v>2.67</v>
      </c>
      <c r="H398">
        <v>264.36</v>
      </c>
      <c r="I398" t="s">
        <v>327</v>
      </c>
      <c r="J398" t="s">
        <v>328</v>
      </c>
      <c r="K398" t="s">
        <v>519</v>
      </c>
      <c r="L398" t="s">
        <v>200</v>
      </c>
      <c r="M398" t="s">
        <v>5</v>
      </c>
      <c r="N398" t="s">
        <v>12</v>
      </c>
      <c r="O398" t="s">
        <v>5</v>
      </c>
      <c r="P398">
        <v>0</v>
      </c>
      <c r="Q398">
        <v>0</v>
      </c>
      <c r="R398">
        <v>0</v>
      </c>
      <c r="S398">
        <v>0.25</v>
      </c>
      <c r="T398">
        <v>0.25</v>
      </c>
      <c r="U398">
        <v>0.25</v>
      </c>
      <c r="V398">
        <v>0.25</v>
      </c>
      <c r="W398">
        <v>0.25</v>
      </c>
      <c r="X398">
        <v>0.5</v>
      </c>
      <c r="Y398">
        <v>0.5</v>
      </c>
      <c r="Z398">
        <v>0.5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5</v>
      </c>
      <c r="AH398" t="s">
        <v>12</v>
      </c>
      <c r="AI398" t="s">
        <v>5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66.09</v>
      </c>
      <c r="AN398">
        <f>$H$398*$T$398</f>
        <v>66.09</v>
      </c>
      <c r="AO398">
        <f>$H$398*$U$398</f>
        <v>66.09</v>
      </c>
      <c r="AP398">
        <f>$H$398*$V$398</f>
        <v>66.09</v>
      </c>
      <c r="AQ398">
        <f>$H$398*$W$398</f>
        <v>66.09</v>
      </c>
      <c r="AR398">
        <f>$H$398*$X$398</f>
        <v>132.18</v>
      </c>
      <c r="AS398">
        <f>$H$398*$Y$398</f>
        <v>132.18</v>
      </c>
      <c r="AT398">
        <f>$H$398*$Z$398</f>
        <v>132.18</v>
      </c>
      <c r="AU398">
        <f>$H$398*$AA$398</f>
        <v>264.36</v>
      </c>
      <c r="AV398">
        <f>$H$398*$AB$398</f>
        <v>264.36</v>
      </c>
      <c r="AW398">
        <f>$H$398*$AC$398</f>
        <v>264.36</v>
      </c>
      <c r="AX398">
        <f>$H$398*$AD$398</f>
        <v>264.36</v>
      </c>
      <c r="AY398">
        <f>$H$398*$AE$398</f>
        <v>264.36</v>
      </c>
      <c r="AZ398">
        <f>$H$398*$AF$398</f>
        <v>264.36</v>
      </c>
    </row>
    <row r="399" spans="1:52" x14ac:dyDescent="0.25">
      <c r="A399">
        <v>444</v>
      </c>
      <c r="B399" t="s">
        <v>5</v>
      </c>
      <c r="C399" t="s">
        <v>387</v>
      </c>
      <c r="D399">
        <v>82.51</v>
      </c>
      <c r="E399">
        <v>51.98</v>
      </c>
      <c r="F399" t="s">
        <v>313</v>
      </c>
      <c r="G399">
        <v>0.63</v>
      </c>
      <c r="H399">
        <v>62.38</v>
      </c>
      <c r="I399" t="s">
        <v>295</v>
      </c>
      <c r="J399" t="s">
        <v>388</v>
      </c>
      <c r="K399" t="s">
        <v>549</v>
      </c>
      <c r="L399" t="s">
        <v>200</v>
      </c>
      <c r="M399" t="s">
        <v>5</v>
      </c>
      <c r="N399" t="s">
        <v>12</v>
      </c>
      <c r="O399" t="s">
        <v>5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1</v>
      </c>
      <c r="AE399">
        <v>1</v>
      </c>
      <c r="AF399">
        <v>1</v>
      </c>
      <c r="AG399" t="s">
        <v>5</v>
      </c>
      <c r="AH399" t="s">
        <v>12</v>
      </c>
      <c r="AI399" t="s">
        <v>5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0</v>
      </c>
      <c r="AN399">
        <f>$H$399*$T$399</f>
        <v>0</v>
      </c>
      <c r="AO399">
        <f>$H$399*$U$399</f>
        <v>0</v>
      </c>
      <c r="AP399">
        <f>$H$399*$V$399</f>
        <v>0</v>
      </c>
      <c r="AQ399">
        <f>$H$399*$W$399</f>
        <v>0</v>
      </c>
      <c r="AR399">
        <f>$H$399*$X$399</f>
        <v>0</v>
      </c>
      <c r="AS399">
        <f>$H$399*$Y$399</f>
        <v>0</v>
      </c>
      <c r="AT399">
        <f>$H$399*$Z$399</f>
        <v>0</v>
      </c>
      <c r="AU399">
        <f>$H$399*$AA$399</f>
        <v>0</v>
      </c>
      <c r="AV399">
        <f>$H$399*$AB$399</f>
        <v>0</v>
      </c>
      <c r="AW399">
        <f>$H$399*$AC$399</f>
        <v>0</v>
      </c>
      <c r="AX399">
        <f>$H$399*$AD$399</f>
        <v>62.38</v>
      </c>
      <c r="AY399">
        <f>$H$399*$AE$399</f>
        <v>62.38</v>
      </c>
      <c r="AZ399">
        <f>$H$399*$AF$399</f>
        <v>62.38</v>
      </c>
    </row>
    <row r="400" spans="1:52" x14ac:dyDescent="0.25">
      <c r="A400">
        <v>445</v>
      </c>
      <c r="B400" t="s">
        <v>5</v>
      </c>
      <c r="C400" t="s">
        <v>389</v>
      </c>
      <c r="D400">
        <v>82.51</v>
      </c>
      <c r="E400">
        <v>56.93</v>
      </c>
      <c r="F400" t="s">
        <v>313</v>
      </c>
      <c r="G400">
        <v>0.69</v>
      </c>
      <c r="H400">
        <v>68.31</v>
      </c>
      <c r="I400" t="s">
        <v>295</v>
      </c>
      <c r="J400" t="s">
        <v>390</v>
      </c>
      <c r="K400" t="s">
        <v>550</v>
      </c>
      <c r="L400" t="s">
        <v>200</v>
      </c>
      <c r="M400" t="s">
        <v>5</v>
      </c>
      <c r="N400" t="s">
        <v>12</v>
      </c>
      <c r="O400" t="s">
        <v>5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5</v>
      </c>
      <c r="AH400" t="s">
        <v>12</v>
      </c>
      <c r="AI400" t="s">
        <v>5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68.31</v>
      </c>
      <c r="AN400">
        <f>$H$400*$T$400</f>
        <v>68.31</v>
      </c>
      <c r="AO400">
        <f>$H$400*$U$400</f>
        <v>68.31</v>
      </c>
      <c r="AP400">
        <f>$H$400*$V$400</f>
        <v>68.31</v>
      </c>
      <c r="AQ400">
        <f>$H$400*$W$400</f>
        <v>68.31</v>
      </c>
      <c r="AR400">
        <f>$H$400*$X$400</f>
        <v>68.31</v>
      </c>
      <c r="AS400">
        <f>$H$400*$Y$400</f>
        <v>68.31</v>
      </c>
      <c r="AT400">
        <f>$H$400*$Z$400</f>
        <v>68.31</v>
      </c>
      <c r="AU400">
        <f>$H$400*$AA$400</f>
        <v>68.31</v>
      </c>
      <c r="AV400">
        <f>$H$400*$AB$400</f>
        <v>68.31</v>
      </c>
      <c r="AW400">
        <f>$H$400*$AC$400</f>
        <v>68.31</v>
      </c>
      <c r="AX400">
        <f>$H$400*$AD$400</f>
        <v>68.31</v>
      </c>
      <c r="AY400">
        <f>$H$400*$AE$400</f>
        <v>68.31</v>
      </c>
      <c r="AZ400">
        <f>$H$400*$AF$400</f>
        <v>68.31</v>
      </c>
    </row>
    <row r="401" spans="1:52" x14ac:dyDescent="0.25">
      <c r="A401">
        <v>446</v>
      </c>
      <c r="B401" t="s">
        <v>5</v>
      </c>
      <c r="C401" t="s">
        <v>391</v>
      </c>
      <c r="D401">
        <v>17.329999999999998</v>
      </c>
      <c r="E401">
        <v>98.61</v>
      </c>
      <c r="F401" t="s">
        <v>313</v>
      </c>
      <c r="G401">
        <v>5.69</v>
      </c>
      <c r="H401">
        <v>118.33</v>
      </c>
      <c r="I401" t="s">
        <v>392</v>
      </c>
      <c r="J401" t="s">
        <v>393</v>
      </c>
      <c r="K401" t="s">
        <v>551</v>
      </c>
      <c r="L401" t="s">
        <v>200</v>
      </c>
      <c r="M401" t="s">
        <v>5</v>
      </c>
      <c r="N401" t="s">
        <v>12</v>
      </c>
      <c r="O401" t="s">
        <v>5</v>
      </c>
      <c r="P401">
        <v>0</v>
      </c>
      <c r="Q401">
        <v>0</v>
      </c>
      <c r="R401">
        <v>0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5</v>
      </c>
      <c r="AH401" t="s">
        <v>12</v>
      </c>
      <c r="AI401" t="s">
        <v>5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118.33</v>
      </c>
      <c r="AN401">
        <f>$H$401*$T$401</f>
        <v>118.33</v>
      </c>
      <c r="AO401">
        <f>$H$401*$U$401</f>
        <v>118.33</v>
      </c>
      <c r="AP401">
        <f>$H$401*$V$401</f>
        <v>118.33</v>
      </c>
      <c r="AQ401">
        <f>$H$401*$W$401</f>
        <v>118.33</v>
      </c>
      <c r="AR401">
        <f>$H$401*$X$401</f>
        <v>118.33</v>
      </c>
      <c r="AS401">
        <f>$H$401*$Y$401</f>
        <v>118.33</v>
      </c>
      <c r="AT401">
        <f>$H$401*$Z$401</f>
        <v>118.33</v>
      </c>
      <c r="AU401">
        <f>$H$401*$AA$401</f>
        <v>118.33</v>
      </c>
      <c r="AV401">
        <f>$H$401*$AB$401</f>
        <v>118.33</v>
      </c>
      <c r="AW401">
        <f>$H$401*$AC$401</f>
        <v>118.33</v>
      </c>
      <c r="AX401">
        <f>$H$401*$AD$401</f>
        <v>118.33</v>
      </c>
      <c r="AY401">
        <f>$H$401*$AE$401</f>
        <v>118.33</v>
      </c>
      <c r="AZ401">
        <f>$H$401*$AF$401</f>
        <v>118.33</v>
      </c>
    </row>
    <row r="402" spans="1:52" x14ac:dyDescent="0.25">
      <c r="A402">
        <v>447</v>
      </c>
      <c r="B402" t="s">
        <v>5</v>
      </c>
      <c r="C402" t="s">
        <v>394</v>
      </c>
      <c r="D402">
        <v>18.98</v>
      </c>
      <c r="E402">
        <v>112.36</v>
      </c>
      <c r="F402" t="s">
        <v>313</v>
      </c>
      <c r="G402">
        <v>5.92</v>
      </c>
      <c r="H402">
        <v>134.84</v>
      </c>
      <c r="I402" t="s">
        <v>392</v>
      </c>
      <c r="J402" t="s">
        <v>334</v>
      </c>
      <c r="K402" t="s">
        <v>552</v>
      </c>
      <c r="L402" t="s">
        <v>200</v>
      </c>
      <c r="M402" t="s">
        <v>5</v>
      </c>
      <c r="N402" t="s">
        <v>12</v>
      </c>
      <c r="O402" t="s">
        <v>5</v>
      </c>
      <c r="P402">
        <v>0</v>
      </c>
      <c r="Q402">
        <v>0</v>
      </c>
      <c r="R402">
        <v>0</v>
      </c>
      <c r="S402">
        <v>1</v>
      </c>
      <c r="T402">
        <v>1</v>
      </c>
      <c r="U402">
        <v>1</v>
      </c>
      <c r="V402">
        <v>1</v>
      </c>
      <c r="W402">
        <v>1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5</v>
      </c>
      <c r="AH402" t="s">
        <v>12</v>
      </c>
      <c r="AI402" t="s">
        <v>5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134.84</v>
      </c>
      <c r="AN402">
        <f>$H$402*$T$402</f>
        <v>134.84</v>
      </c>
      <c r="AO402">
        <f>$H$402*$U$402</f>
        <v>134.84</v>
      </c>
      <c r="AP402">
        <f>$H$402*$V$402</f>
        <v>134.84</v>
      </c>
      <c r="AQ402">
        <f>$H$402*$W$402</f>
        <v>134.84</v>
      </c>
      <c r="AR402">
        <f>$H$402*$X$402</f>
        <v>134.84</v>
      </c>
      <c r="AS402">
        <f>$H$402*$Y$402</f>
        <v>134.84</v>
      </c>
      <c r="AT402">
        <f>$H$402*$Z$402</f>
        <v>134.84</v>
      </c>
      <c r="AU402">
        <f>$H$402*$AA$402</f>
        <v>134.84</v>
      </c>
      <c r="AV402">
        <f>$H$402*$AB$402</f>
        <v>134.84</v>
      </c>
      <c r="AW402">
        <f>$H$402*$AC$402</f>
        <v>134.84</v>
      </c>
      <c r="AX402">
        <f>$H$402*$AD$402</f>
        <v>134.84</v>
      </c>
      <c r="AY402">
        <f>$H$402*$AE$402</f>
        <v>134.84</v>
      </c>
      <c r="AZ402">
        <f>$H$402*$AF$402</f>
        <v>134.84</v>
      </c>
    </row>
    <row r="403" spans="1:52" x14ac:dyDescent="0.25">
      <c r="A403">
        <v>448</v>
      </c>
      <c r="B403" t="s">
        <v>5</v>
      </c>
      <c r="C403" t="s">
        <v>395</v>
      </c>
      <c r="D403">
        <v>18.100000000000001</v>
      </c>
      <c r="E403">
        <v>98.83</v>
      </c>
      <c r="F403" t="s">
        <v>313</v>
      </c>
      <c r="G403">
        <v>5.46</v>
      </c>
      <c r="H403">
        <v>118.59</v>
      </c>
      <c r="I403" t="s">
        <v>396</v>
      </c>
      <c r="J403" t="s">
        <v>397</v>
      </c>
      <c r="K403" t="s">
        <v>553</v>
      </c>
      <c r="L403" t="s">
        <v>200</v>
      </c>
      <c r="M403" t="s">
        <v>5</v>
      </c>
      <c r="N403" t="s">
        <v>12</v>
      </c>
      <c r="O403" t="s">
        <v>5</v>
      </c>
      <c r="P403">
        <v>0</v>
      </c>
      <c r="Q403">
        <v>0</v>
      </c>
      <c r="R403">
        <v>0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5</v>
      </c>
      <c r="AH403" t="s">
        <v>12</v>
      </c>
      <c r="AI403" t="s">
        <v>5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118.59</v>
      </c>
      <c r="AN403">
        <f>$H$403*$T$403</f>
        <v>118.59</v>
      </c>
      <c r="AO403">
        <f>$H$403*$U$403</f>
        <v>118.59</v>
      </c>
      <c r="AP403">
        <f>$H$403*$V$403</f>
        <v>118.59</v>
      </c>
      <c r="AQ403">
        <f>$H$403*$W$403</f>
        <v>118.59</v>
      </c>
      <c r="AR403">
        <f>$H$403*$X$403</f>
        <v>118.59</v>
      </c>
      <c r="AS403">
        <f>$H$403*$Y$403</f>
        <v>118.59</v>
      </c>
      <c r="AT403">
        <f>$H$403*$Z$403</f>
        <v>118.59</v>
      </c>
      <c r="AU403">
        <f>$H$403*$AA$403</f>
        <v>118.59</v>
      </c>
      <c r="AV403">
        <f>$H$403*$AB$403</f>
        <v>118.59</v>
      </c>
      <c r="AW403">
        <f>$H$403*$AC$403</f>
        <v>118.59</v>
      </c>
      <c r="AX403">
        <f>$H$403*$AD$403</f>
        <v>118.59</v>
      </c>
      <c r="AY403">
        <f>$H$403*$AE$403</f>
        <v>118.59</v>
      </c>
      <c r="AZ403">
        <f>$H$403*$AF$403</f>
        <v>118.59</v>
      </c>
    </row>
    <row r="404" spans="1:52" x14ac:dyDescent="0.25">
      <c r="A404">
        <v>449</v>
      </c>
      <c r="B404" t="s">
        <v>5</v>
      </c>
      <c r="C404" t="s">
        <v>398</v>
      </c>
      <c r="D404">
        <v>18.100000000000001</v>
      </c>
      <c r="E404">
        <v>64.8</v>
      </c>
      <c r="F404" t="s">
        <v>313</v>
      </c>
      <c r="G404">
        <v>3.58</v>
      </c>
      <c r="H404">
        <v>77.760000000000005</v>
      </c>
      <c r="I404" t="s">
        <v>396</v>
      </c>
      <c r="J404" t="s">
        <v>399</v>
      </c>
      <c r="K404" t="s">
        <v>554</v>
      </c>
      <c r="L404" t="s">
        <v>200</v>
      </c>
      <c r="M404" t="s">
        <v>5</v>
      </c>
      <c r="N404" t="s">
        <v>12</v>
      </c>
      <c r="O404" t="s">
        <v>5</v>
      </c>
      <c r="P404">
        <v>0</v>
      </c>
      <c r="Q404">
        <v>0</v>
      </c>
      <c r="R404">
        <v>0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5</v>
      </c>
      <c r="AH404" t="s">
        <v>12</v>
      </c>
      <c r="AI404" t="s">
        <v>5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77.760000000000005</v>
      </c>
      <c r="AN404">
        <f>$H$404*$T$404</f>
        <v>77.760000000000005</v>
      </c>
      <c r="AO404">
        <f>$H$404*$U$404</f>
        <v>77.760000000000005</v>
      </c>
      <c r="AP404">
        <f>$H$404*$V$404</f>
        <v>77.760000000000005</v>
      </c>
      <c r="AQ404">
        <f>$H$404*$W$404</f>
        <v>77.760000000000005</v>
      </c>
      <c r="AR404">
        <f>$H$404*$X$404</f>
        <v>77.760000000000005</v>
      </c>
      <c r="AS404">
        <f>$H$404*$Y$404</f>
        <v>77.760000000000005</v>
      </c>
      <c r="AT404">
        <f>$H$404*$Z$404</f>
        <v>77.760000000000005</v>
      </c>
      <c r="AU404">
        <f>$H$404*$AA$404</f>
        <v>77.760000000000005</v>
      </c>
      <c r="AV404">
        <f>$H$404*$AB$404</f>
        <v>77.760000000000005</v>
      </c>
      <c r="AW404">
        <f>$H$404*$AC$404</f>
        <v>77.760000000000005</v>
      </c>
      <c r="AX404">
        <f>$H$404*$AD$404</f>
        <v>77.760000000000005</v>
      </c>
      <c r="AY404">
        <f>$H$404*$AE$404</f>
        <v>77.760000000000005</v>
      </c>
      <c r="AZ404">
        <f>$H$404*$AF$404</f>
        <v>77.760000000000005</v>
      </c>
    </row>
    <row r="405" spans="1:52" x14ac:dyDescent="0.25">
      <c r="A405">
        <v>450</v>
      </c>
      <c r="B405" t="s">
        <v>5</v>
      </c>
      <c r="C405" t="s">
        <v>400</v>
      </c>
      <c r="D405">
        <v>18.100000000000001</v>
      </c>
      <c r="E405">
        <v>157.47</v>
      </c>
      <c r="F405" t="s">
        <v>313</v>
      </c>
      <c r="G405">
        <v>8.6999999999999993</v>
      </c>
      <c r="H405">
        <v>188.97</v>
      </c>
      <c r="I405" t="s">
        <v>396</v>
      </c>
      <c r="J405" t="s">
        <v>334</v>
      </c>
      <c r="K405" t="s">
        <v>555</v>
      </c>
      <c r="L405" t="s">
        <v>200</v>
      </c>
      <c r="M405" t="s">
        <v>5</v>
      </c>
      <c r="N405" t="s">
        <v>12</v>
      </c>
      <c r="O405" t="s">
        <v>5</v>
      </c>
      <c r="P405">
        <v>0</v>
      </c>
      <c r="Q405">
        <v>0</v>
      </c>
      <c r="R405">
        <v>0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5</v>
      </c>
      <c r="AH405" t="s">
        <v>12</v>
      </c>
      <c r="AI405" t="s">
        <v>5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188.97</v>
      </c>
      <c r="AN405">
        <f>$H$405*$T$405</f>
        <v>188.97</v>
      </c>
      <c r="AO405">
        <f>$H$405*$U$405</f>
        <v>188.97</v>
      </c>
      <c r="AP405">
        <f>$H$405*$V$405</f>
        <v>188.97</v>
      </c>
      <c r="AQ405">
        <f>$H$405*$W$405</f>
        <v>188.97</v>
      </c>
      <c r="AR405">
        <f>$H$405*$X$405</f>
        <v>188.97</v>
      </c>
      <c r="AS405">
        <f>$H$405*$Y$405</f>
        <v>188.97</v>
      </c>
      <c r="AT405">
        <f>$H$405*$Z$405</f>
        <v>188.97</v>
      </c>
      <c r="AU405">
        <f>$H$405*$AA$405</f>
        <v>188.97</v>
      </c>
      <c r="AV405">
        <f>$H$405*$AB$405</f>
        <v>188.97</v>
      </c>
      <c r="AW405">
        <f>$H$405*$AC$405</f>
        <v>188.97</v>
      </c>
      <c r="AX405">
        <f>$H$405*$AD$405</f>
        <v>188.97</v>
      </c>
      <c r="AY405">
        <f>$H$405*$AE$405</f>
        <v>188.97</v>
      </c>
      <c r="AZ405">
        <f>$H$405*$AF$405</f>
        <v>188.97</v>
      </c>
    </row>
    <row r="406" spans="1:52" x14ac:dyDescent="0.25">
      <c r="A406">
        <v>451</v>
      </c>
      <c r="B406" t="s">
        <v>5</v>
      </c>
      <c r="C406" t="s">
        <v>401</v>
      </c>
      <c r="D406">
        <v>18.98</v>
      </c>
      <c r="E406">
        <v>14.99</v>
      </c>
      <c r="F406" t="s">
        <v>313</v>
      </c>
      <c r="G406">
        <v>0.79</v>
      </c>
      <c r="H406">
        <v>17.989999999999998</v>
      </c>
      <c r="I406" t="s">
        <v>339</v>
      </c>
      <c r="J406" t="s">
        <v>402</v>
      </c>
      <c r="K406" t="s">
        <v>556</v>
      </c>
      <c r="L406" t="s">
        <v>200</v>
      </c>
      <c r="M406" t="s">
        <v>5</v>
      </c>
      <c r="N406" t="s">
        <v>12</v>
      </c>
      <c r="O406" t="s">
        <v>5</v>
      </c>
      <c r="P406">
        <v>0</v>
      </c>
      <c r="Q406">
        <v>0</v>
      </c>
      <c r="R406">
        <v>0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5</v>
      </c>
      <c r="AH406" t="s">
        <v>12</v>
      </c>
      <c r="AI406" t="s">
        <v>5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17.989999999999998</v>
      </c>
      <c r="AN406">
        <f>$H$406*$T$406</f>
        <v>17.989999999999998</v>
      </c>
      <c r="AO406">
        <f>$H$406*$U$406</f>
        <v>17.989999999999998</v>
      </c>
      <c r="AP406">
        <f>$H$406*$V$406</f>
        <v>17.989999999999998</v>
      </c>
      <c r="AQ406">
        <f>$H$406*$W$406</f>
        <v>17.989999999999998</v>
      </c>
      <c r="AR406">
        <f>$H$406*$X$406</f>
        <v>17.989999999999998</v>
      </c>
      <c r="AS406">
        <f>$H$406*$Y$406</f>
        <v>17.989999999999998</v>
      </c>
      <c r="AT406">
        <f>$H$406*$Z$406</f>
        <v>17.989999999999998</v>
      </c>
      <c r="AU406">
        <f>$H$406*$AA$406</f>
        <v>17.989999999999998</v>
      </c>
      <c r="AV406">
        <f>$H$406*$AB$406</f>
        <v>17.989999999999998</v>
      </c>
      <c r="AW406">
        <f>$H$406*$AC$406</f>
        <v>17.989999999999998</v>
      </c>
      <c r="AX406">
        <f>$H$406*$AD$406</f>
        <v>17.989999999999998</v>
      </c>
      <c r="AY406">
        <f>$H$406*$AE$406</f>
        <v>17.989999999999998</v>
      </c>
      <c r="AZ406">
        <f>$H$406*$AF$406</f>
        <v>17.989999999999998</v>
      </c>
    </row>
    <row r="407" spans="1:52" x14ac:dyDescent="0.25">
      <c r="A407">
        <v>452</v>
      </c>
      <c r="B407" t="s">
        <v>5</v>
      </c>
      <c r="C407" t="s">
        <v>403</v>
      </c>
      <c r="D407">
        <v>18.98</v>
      </c>
      <c r="E407">
        <v>101.16</v>
      </c>
      <c r="F407" t="s">
        <v>313</v>
      </c>
      <c r="G407">
        <v>5.33</v>
      </c>
      <c r="H407">
        <v>121.4</v>
      </c>
      <c r="I407" t="s">
        <v>339</v>
      </c>
      <c r="J407" t="s">
        <v>334</v>
      </c>
      <c r="K407" t="s">
        <v>557</v>
      </c>
      <c r="L407" t="s">
        <v>200</v>
      </c>
      <c r="M407" t="s">
        <v>5</v>
      </c>
      <c r="N407" t="s">
        <v>12</v>
      </c>
      <c r="O407" t="s">
        <v>5</v>
      </c>
      <c r="P407">
        <v>0</v>
      </c>
      <c r="Q407">
        <v>0</v>
      </c>
      <c r="R407">
        <v>0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5</v>
      </c>
      <c r="AH407" t="s">
        <v>12</v>
      </c>
      <c r="AI407" t="s">
        <v>5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121.4</v>
      </c>
      <c r="AN407">
        <f>$H$407*$T$407</f>
        <v>121.4</v>
      </c>
      <c r="AO407">
        <f>$H$407*$U$407</f>
        <v>121.4</v>
      </c>
      <c r="AP407">
        <f>$H$407*$V$407</f>
        <v>121.4</v>
      </c>
      <c r="AQ407">
        <f>$H$407*$W$407</f>
        <v>121.4</v>
      </c>
      <c r="AR407">
        <f>$H$407*$X$407</f>
        <v>121.4</v>
      </c>
      <c r="AS407">
        <f>$H$407*$Y$407</f>
        <v>121.4</v>
      </c>
      <c r="AT407">
        <f>$H$407*$Z$407</f>
        <v>121.4</v>
      </c>
      <c r="AU407">
        <f>$H$407*$AA$407</f>
        <v>121.4</v>
      </c>
      <c r="AV407">
        <f>$H$407*$AB$407</f>
        <v>121.4</v>
      </c>
      <c r="AW407">
        <f>$H$407*$AC$407</f>
        <v>121.4</v>
      </c>
      <c r="AX407">
        <f>$H$407*$AD$407</f>
        <v>121.4</v>
      </c>
      <c r="AY407">
        <f>$H$407*$AE$407</f>
        <v>121.4</v>
      </c>
      <c r="AZ407">
        <f>$H$407*$AF$407</f>
        <v>121.4</v>
      </c>
    </row>
    <row r="408" spans="1:52" x14ac:dyDescent="0.25">
      <c r="A408">
        <v>453</v>
      </c>
      <c r="B408" t="s">
        <v>266</v>
      </c>
      <c r="C408" t="s">
        <v>380</v>
      </c>
      <c r="D408">
        <v>6</v>
      </c>
      <c r="E408">
        <v>79.62</v>
      </c>
      <c r="F408" t="s">
        <v>299</v>
      </c>
      <c r="G408">
        <v>13.27</v>
      </c>
      <c r="H408">
        <v>95.54</v>
      </c>
      <c r="I408" t="s">
        <v>301</v>
      </c>
      <c r="J408" t="s">
        <v>381</v>
      </c>
      <c r="K408" t="s">
        <v>545</v>
      </c>
      <c r="L408" t="s">
        <v>200</v>
      </c>
      <c r="M408" t="s">
        <v>266</v>
      </c>
      <c r="N408" t="s">
        <v>12</v>
      </c>
      <c r="O408" t="s">
        <v>14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266</v>
      </c>
      <c r="AH408" t="s">
        <v>12</v>
      </c>
      <c r="AI408" t="s">
        <v>14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0</v>
      </c>
      <c r="AQ408">
        <f>$H$408*$W$408</f>
        <v>0</v>
      </c>
      <c r="AR408">
        <f>$H$408*$X$408</f>
        <v>95.54</v>
      </c>
      <c r="AS408">
        <f>$H$408*$Y$408</f>
        <v>95.54</v>
      </c>
      <c r="AT408">
        <f>$H$408*$Z$408</f>
        <v>95.54</v>
      </c>
      <c r="AU408">
        <f>$H$408*$AA$408</f>
        <v>95.54</v>
      </c>
      <c r="AV408">
        <f>$H$408*$AB$408</f>
        <v>95.54</v>
      </c>
      <c r="AW408">
        <f>$H$408*$AC$408</f>
        <v>95.54</v>
      </c>
      <c r="AX408">
        <f>$H$408*$AD$408</f>
        <v>95.54</v>
      </c>
      <c r="AY408">
        <f>$H$408*$AE$408</f>
        <v>95.54</v>
      </c>
      <c r="AZ408">
        <f>$H$408*$AF$408</f>
        <v>95.54</v>
      </c>
    </row>
    <row r="409" spans="1:52" x14ac:dyDescent="0.25">
      <c r="A409">
        <v>454</v>
      </c>
      <c r="B409" t="s">
        <v>266</v>
      </c>
      <c r="C409" t="s">
        <v>462</v>
      </c>
      <c r="D409">
        <v>1</v>
      </c>
      <c r="E409">
        <v>48.06</v>
      </c>
      <c r="F409" t="s">
        <v>299</v>
      </c>
      <c r="G409">
        <v>48.06</v>
      </c>
      <c r="H409">
        <v>57.68</v>
      </c>
      <c r="I409" t="s">
        <v>304</v>
      </c>
      <c r="J409" t="s">
        <v>436</v>
      </c>
      <c r="K409" t="s">
        <v>586</v>
      </c>
      <c r="L409" t="s">
        <v>200</v>
      </c>
      <c r="M409" t="s">
        <v>266</v>
      </c>
      <c r="N409" t="s">
        <v>12</v>
      </c>
      <c r="O409" t="s">
        <v>14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1</v>
      </c>
      <c r="AE409">
        <v>1</v>
      </c>
      <c r="AF409">
        <v>1</v>
      </c>
      <c r="AG409" t="s">
        <v>266</v>
      </c>
      <c r="AH409" t="s">
        <v>12</v>
      </c>
      <c r="AI409" t="s">
        <v>14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0</v>
      </c>
      <c r="AO409">
        <f>$H$409*$U$409</f>
        <v>0</v>
      </c>
      <c r="AP409">
        <f>$H$409*$V$409</f>
        <v>0</v>
      </c>
      <c r="AQ409">
        <f>$H$409*$W$409</f>
        <v>0</v>
      </c>
      <c r="AR409">
        <f>$H$409*$X$409</f>
        <v>0</v>
      </c>
      <c r="AS409">
        <f>$H$409*$Y$409</f>
        <v>0</v>
      </c>
      <c r="AT409">
        <f>$H$409*$Z$409</f>
        <v>0</v>
      </c>
      <c r="AU409">
        <f>$H$409*$AA$409</f>
        <v>0</v>
      </c>
      <c r="AV409">
        <f>$H$409*$AB$409</f>
        <v>0</v>
      </c>
      <c r="AW409">
        <f>$H$409*$AC$409</f>
        <v>0</v>
      </c>
      <c r="AX409">
        <f>$H$409*$AD$409</f>
        <v>57.68</v>
      </c>
      <c r="AY409">
        <f>$H$409*$AE$409</f>
        <v>57.68</v>
      </c>
      <c r="AZ409">
        <f>$H$409*$AF$409</f>
        <v>57.68</v>
      </c>
    </row>
    <row r="410" spans="1:52" x14ac:dyDescent="0.25">
      <c r="A410">
        <v>455</v>
      </c>
      <c r="B410" t="s">
        <v>266</v>
      </c>
      <c r="C410" t="s">
        <v>324</v>
      </c>
      <c r="D410">
        <v>492</v>
      </c>
      <c r="E410">
        <v>482.16</v>
      </c>
      <c r="F410" t="s">
        <v>313</v>
      </c>
      <c r="G410">
        <v>0.98</v>
      </c>
      <c r="H410">
        <v>578.6</v>
      </c>
      <c r="I410" t="s">
        <v>295</v>
      </c>
      <c r="J410" t="s">
        <v>325</v>
      </c>
      <c r="K410" t="s">
        <v>518</v>
      </c>
      <c r="L410" t="s">
        <v>200</v>
      </c>
      <c r="M410" t="s">
        <v>266</v>
      </c>
      <c r="N410" t="s">
        <v>12</v>
      </c>
      <c r="O410" t="s">
        <v>14</v>
      </c>
      <c r="P410">
        <v>0</v>
      </c>
      <c r="Q410">
        <v>0</v>
      </c>
      <c r="R410">
        <v>0</v>
      </c>
      <c r="S410">
        <v>0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266</v>
      </c>
      <c r="AH410" t="s">
        <v>12</v>
      </c>
      <c r="AI410" t="s">
        <v>14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578.6</v>
      </c>
      <c r="AO410">
        <f>$H$410*$U$410</f>
        <v>578.6</v>
      </c>
      <c r="AP410">
        <f>$H$410*$V$410</f>
        <v>578.6</v>
      </c>
      <c r="AQ410">
        <f>$H$410*$W$410</f>
        <v>578.6</v>
      </c>
      <c r="AR410">
        <f>$H$410*$X$410</f>
        <v>578.6</v>
      </c>
      <c r="AS410">
        <f>$H$410*$Y$410</f>
        <v>578.6</v>
      </c>
      <c r="AT410">
        <f>$H$410*$Z$410</f>
        <v>578.6</v>
      </c>
      <c r="AU410">
        <f>$H$410*$AA$410</f>
        <v>578.6</v>
      </c>
      <c r="AV410">
        <f>$H$410*$AB$410</f>
        <v>578.6</v>
      </c>
      <c r="AW410">
        <f>$H$410*$AC$410</f>
        <v>578.6</v>
      </c>
      <c r="AX410">
        <f>$H$410*$AD$410</f>
        <v>578.6</v>
      </c>
      <c r="AY410">
        <f>$H$410*$AE$410</f>
        <v>578.6</v>
      </c>
      <c r="AZ410">
        <f>$H$410*$AF$410</f>
        <v>578.6</v>
      </c>
    </row>
    <row r="411" spans="1:52" x14ac:dyDescent="0.25">
      <c r="A411">
        <v>456</v>
      </c>
      <c r="B411" t="s">
        <v>266</v>
      </c>
      <c r="C411" t="s">
        <v>326</v>
      </c>
      <c r="D411">
        <v>492</v>
      </c>
      <c r="E411">
        <v>1313.64</v>
      </c>
      <c r="F411" t="s">
        <v>313</v>
      </c>
      <c r="G411">
        <v>2.67</v>
      </c>
      <c r="H411">
        <v>1576.36</v>
      </c>
      <c r="I411" t="s">
        <v>327</v>
      </c>
      <c r="J411" t="s">
        <v>328</v>
      </c>
      <c r="K411" t="s">
        <v>519</v>
      </c>
      <c r="L411" t="s">
        <v>200</v>
      </c>
      <c r="M411" t="s">
        <v>266</v>
      </c>
      <c r="N411" t="s">
        <v>12</v>
      </c>
      <c r="O411" t="s">
        <v>14</v>
      </c>
      <c r="P411">
        <v>0</v>
      </c>
      <c r="Q411">
        <v>0</v>
      </c>
      <c r="R411">
        <v>0</v>
      </c>
      <c r="S411">
        <v>0.25</v>
      </c>
      <c r="T411">
        <v>0.25</v>
      </c>
      <c r="U411">
        <v>0.25</v>
      </c>
      <c r="V411">
        <v>0.25</v>
      </c>
      <c r="W411">
        <v>0.25</v>
      </c>
      <c r="X411">
        <v>0.5</v>
      </c>
      <c r="Y411">
        <v>0.5</v>
      </c>
      <c r="Z411">
        <v>0.5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266</v>
      </c>
      <c r="AH411" t="s">
        <v>12</v>
      </c>
      <c r="AI411" t="s">
        <v>14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394.09</v>
      </c>
      <c r="AN411">
        <f>$H$411*$T$411</f>
        <v>394.09</v>
      </c>
      <c r="AO411">
        <f>$H$411*$U$411</f>
        <v>394.09</v>
      </c>
      <c r="AP411">
        <f>$H$411*$V$411</f>
        <v>394.09</v>
      </c>
      <c r="AQ411">
        <f>$H$411*$W$411</f>
        <v>394.09</v>
      </c>
      <c r="AR411">
        <f>$H$411*$X$411</f>
        <v>788.18</v>
      </c>
      <c r="AS411">
        <f>$H$411*$Y$411</f>
        <v>788.18</v>
      </c>
      <c r="AT411">
        <f>$H$411*$Z$411</f>
        <v>788.18</v>
      </c>
      <c r="AU411">
        <f>$H$411*$AA$411</f>
        <v>1576.36</v>
      </c>
      <c r="AV411">
        <f>$H$411*$AB$411</f>
        <v>1576.36</v>
      </c>
      <c r="AW411">
        <f>$H$411*$AC$411</f>
        <v>1576.36</v>
      </c>
      <c r="AX411">
        <f>$H$411*$AD$411</f>
        <v>1576.36</v>
      </c>
      <c r="AY411">
        <f>$H$411*$AE$411</f>
        <v>1576.36</v>
      </c>
      <c r="AZ411">
        <f>$H$411*$AF$411</f>
        <v>1576.36</v>
      </c>
    </row>
    <row r="412" spans="1:52" x14ac:dyDescent="0.25">
      <c r="A412">
        <v>457</v>
      </c>
      <c r="B412" t="s">
        <v>266</v>
      </c>
      <c r="C412" t="s">
        <v>383</v>
      </c>
      <c r="D412">
        <v>61.5</v>
      </c>
      <c r="E412">
        <v>55.97</v>
      </c>
      <c r="F412" t="s">
        <v>294</v>
      </c>
      <c r="G412">
        <v>0.91</v>
      </c>
      <c r="H412">
        <v>67.17</v>
      </c>
      <c r="I412" t="s">
        <v>295</v>
      </c>
      <c r="J412" t="s">
        <v>384</v>
      </c>
      <c r="K412" t="s">
        <v>547</v>
      </c>
      <c r="L412" t="s">
        <v>200</v>
      </c>
      <c r="M412" t="s">
        <v>266</v>
      </c>
      <c r="N412" t="s">
        <v>12</v>
      </c>
      <c r="O412" t="s">
        <v>14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266</v>
      </c>
      <c r="AH412" t="s">
        <v>12</v>
      </c>
      <c r="AI412" t="s">
        <v>14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67.17</v>
      </c>
      <c r="AN412">
        <f>$H$412*$T$412</f>
        <v>67.17</v>
      </c>
      <c r="AO412">
        <f>$H$412*$U$412</f>
        <v>67.17</v>
      </c>
      <c r="AP412">
        <f>$H$412*$V$412</f>
        <v>67.17</v>
      </c>
      <c r="AQ412">
        <f>$H$412*$W$412</f>
        <v>67.17</v>
      </c>
      <c r="AR412">
        <f>$H$412*$X$412</f>
        <v>67.17</v>
      </c>
      <c r="AS412">
        <f>$H$412*$Y$412</f>
        <v>67.17</v>
      </c>
      <c r="AT412">
        <f>$H$412*$Z$412</f>
        <v>67.17</v>
      </c>
      <c r="AU412">
        <f>$H$412*$AA$412</f>
        <v>67.17</v>
      </c>
      <c r="AV412">
        <f>$H$412*$AB$412</f>
        <v>67.17</v>
      </c>
      <c r="AW412">
        <f>$H$412*$AC$412</f>
        <v>67.17</v>
      </c>
      <c r="AX412">
        <f>$H$412*$AD$412</f>
        <v>67.17</v>
      </c>
      <c r="AY412">
        <f>$H$412*$AE$412</f>
        <v>67.17</v>
      </c>
      <c r="AZ412">
        <f>$H$412*$AF$412</f>
        <v>67.17</v>
      </c>
    </row>
    <row r="413" spans="1:52" x14ac:dyDescent="0.25">
      <c r="A413">
        <v>458</v>
      </c>
      <c r="B413" t="s">
        <v>266</v>
      </c>
      <c r="C413" t="s">
        <v>385</v>
      </c>
      <c r="D413">
        <v>61.5</v>
      </c>
      <c r="E413">
        <v>314.88</v>
      </c>
      <c r="F413" t="s">
        <v>294</v>
      </c>
      <c r="G413">
        <v>5.12</v>
      </c>
      <c r="H413">
        <v>377.86</v>
      </c>
      <c r="I413" t="s">
        <v>298</v>
      </c>
      <c r="J413" t="s">
        <v>386</v>
      </c>
      <c r="K413" t="s">
        <v>548</v>
      </c>
      <c r="L413" t="s">
        <v>200</v>
      </c>
      <c r="M413" t="s">
        <v>266</v>
      </c>
      <c r="N413" t="s">
        <v>12</v>
      </c>
      <c r="O413" t="s">
        <v>14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266</v>
      </c>
      <c r="AH413" t="s">
        <v>12</v>
      </c>
      <c r="AI413" t="s">
        <v>14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377.86</v>
      </c>
      <c r="AN413">
        <f>$H$413*$T$413</f>
        <v>377.86</v>
      </c>
      <c r="AO413">
        <f>$H$413*$U$413</f>
        <v>377.86</v>
      </c>
      <c r="AP413">
        <f>$H$413*$V$413</f>
        <v>377.86</v>
      </c>
      <c r="AQ413">
        <f>$H$413*$W$413</f>
        <v>377.86</v>
      </c>
      <c r="AR413">
        <f>$H$413*$X$413</f>
        <v>377.86</v>
      </c>
      <c r="AS413">
        <f>$H$413*$Y$413</f>
        <v>377.86</v>
      </c>
      <c r="AT413">
        <f>$H$413*$Z$413</f>
        <v>377.86</v>
      </c>
      <c r="AU413">
        <f>$H$413*$AA$413</f>
        <v>377.86</v>
      </c>
      <c r="AV413">
        <f>$H$413*$AB$413</f>
        <v>377.86</v>
      </c>
      <c r="AW413">
        <f>$H$413*$AC$413</f>
        <v>377.86</v>
      </c>
      <c r="AX413">
        <f>$H$413*$AD$413</f>
        <v>377.86</v>
      </c>
      <c r="AY413">
        <f>$H$413*$AE$413</f>
        <v>377.86</v>
      </c>
      <c r="AZ413">
        <f>$H$413*$AF$413</f>
        <v>377.86</v>
      </c>
    </row>
    <row r="414" spans="1:52" x14ac:dyDescent="0.25">
      <c r="A414">
        <v>459</v>
      </c>
      <c r="B414" t="s">
        <v>266</v>
      </c>
      <c r="C414" t="s">
        <v>326</v>
      </c>
      <c r="D414">
        <v>229.06</v>
      </c>
      <c r="E414">
        <v>611.59</v>
      </c>
      <c r="F414" t="s">
        <v>313</v>
      </c>
      <c r="G414">
        <v>2.67</v>
      </c>
      <c r="H414">
        <v>733.91</v>
      </c>
      <c r="I414" t="s">
        <v>327</v>
      </c>
      <c r="J414" t="s">
        <v>328</v>
      </c>
      <c r="K414" t="s">
        <v>519</v>
      </c>
      <c r="L414" t="s">
        <v>200</v>
      </c>
      <c r="M414" t="s">
        <v>266</v>
      </c>
      <c r="N414" t="s">
        <v>12</v>
      </c>
      <c r="O414" t="s">
        <v>14</v>
      </c>
      <c r="P414">
        <v>0</v>
      </c>
      <c r="Q414">
        <v>0</v>
      </c>
      <c r="R414">
        <v>0</v>
      </c>
      <c r="S414">
        <v>0.25</v>
      </c>
      <c r="T414">
        <v>0.25</v>
      </c>
      <c r="U414">
        <v>0.25</v>
      </c>
      <c r="V414">
        <v>0.25</v>
      </c>
      <c r="W414">
        <v>0.25</v>
      </c>
      <c r="X414">
        <v>0.5</v>
      </c>
      <c r="Y414">
        <v>0.5</v>
      </c>
      <c r="Z414">
        <v>0.5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266</v>
      </c>
      <c r="AH414" t="s">
        <v>12</v>
      </c>
      <c r="AI414" t="s">
        <v>14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183.47749999999999</v>
      </c>
      <c r="AN414">
        <f>$H$414*$T$414</f>
        <v>183.47749999999999</v>
      </c>
      <c r="AO414">
        <f>$H$414*$U$414</f>
        <v>183.47749999999999</v>
      </c>
      <c r="AP414">
        <f>$H$414*$V$414</f>
        <v>183.47749999999999</v>
      </c>
      <c r="AQ414">
        <f>$H$414*$W$414</f>
        <v>183.47749999999999</v>
      </c>
      <c r="AR414">
        <f>$H$414*$X$414</f>
        <v>366.95499999999998</v>
      </c>
      <c r="AS414">
        <f>$H$414*$Y$414</f>
        <v>366.95499999999998</v>
      </c>
      <c r="AT414">
        <f>$H$414*$Z$414</f>
        <v>366.95499999999998</v>
      </c>
      <c r="AU414">
        <f>$H$414*$AA$414</f>
        <v>733.91</v>
      </c>
      <c r="AV414">
        <f>$H$414*$AB$414</f>
        <v>733.91</v>
      </c>
      <c r="AW414">
        <f>$H$414*$AC$414</f>
        <v>733.91</v>
      </c>
      <c r="AX414">
        <f>$H$414*$AD$414</f>
        <v>733.91</v>
      </c>
      <c r="AY414">
        <f>$H$414*$AE$414</f>
        <v>733.91</v>
      </c>
      <c r="AZ414">
        <f>$H$414*$AF$414</f>
        <v>733.91</v>
      </c>
    </row>
    <row r="415" spans="1:52" x14ac:dyDescent="0.25">
      <c r="A415">
        <v>460</v>
      </c>
      <c r="B415" t="s">
        <v>266</v>
      </c>
      <c r="C415" t="s">
        <v>387</v>
      </c>
      <c r="D415">
        <v>229.06</v>
      </c>
      <c r="E415">
        <v>144.31</v>
      </c>
      <c r="F415" t="s">
        <v>313</v>
      </c>
      <c r="G415">
        <v>0.63</v>
      </c>
      <c r="H415">
        <v>173.17</v>
      </c>
      <c r="I415" t="s">
        <v>295</v>
      </c>
      <c r="J415" t="s">
        <v>388</v>
      </c>
      <c r="K415" t="s">
        <v>549</v>
      </c>
      <c r="L415" t="s">
        <v>200</v>
      </c>
      <c r="M415" t="s">
        <v>266</v>
      </c>
      <c r="N415" t="s">
        <v>12</v>
      </c>
      <c r="O415" t="s">
        <v>14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1</v>
      </c>
      <c r="AE415">
        <v>1</v>
      </c>
      <c r="AF415">
        <v>1</v>
      </c>
      <c r="AG415" t="s">
        <v>266</v>
      </c>
      <c r="AH415" t="s">
        <v>12</v>
      </c>
      <c r="AI415" t="s">
        <v>14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0</v>
      </c>
      <c r="AU415">
        <f>$H$415*$AA$415</f>
        <v>0</v>
      </c>
      <c r="AV415">
        <f>$H$415*$AB$415</f>
        <v>0</v>
      </c>
      <c r="AW415">
        <f>$H$415*$AC$415</f>
        <v>0</v>
      </c>
      <c r="AX415">
        <f>$H$415*$AD$415</f>
        <v>173.17</v>
      </c>
      <c r="AY415">
        <f>$H$415*$AE$415</f>
        <v>173.17</v>
      </c>
      <c r="AZ415">
        <f>$H$415*$AF$415</f>
        <v>173.17</v>
      </c>
    </row>
    <row r="416" spans="1:52" x14ac:dyDescent="0.25">
      <c r="A416">
        <v>461</v>
      </c>
      <c r="B416" t="s">
        <v>266</v>
      </c>
      <c r="C416" t="s">
        <v>389</v>
      </c>
      <c r="D416">
        <v>229.06</v>
      </c>
      <c r="E416">
        <v>158.05000000000001</v>
      </c>
      <c r="F416" t="s">
        <v>313</v>
      </c>
      <c r="G416">
        <v>0.69</v>
      </c>
      <c r="H416">
        <v>189.67</v>
      </c>
      <c r="I416" t="s">
        <v>295</v>
      </c>
      <c r="J416" t="s">
        <v>390</v>
      </c>
      <c r="K416" t="s">
        <v>550</v>
      </c>
      <c r="L416" t="s">
        <v>200</v>
      </c>
      <c r="M416" t="s">
        <v>266</v>
      </c>
      <c r="N416" t="s">
        <v>12</v>
      </c>
      <c r="O416" t="s">
        <v>14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266</v>
      </c>
      <c r="AH416" t="s">
        <v>12</v>
      </c>
      <c r="AI416" t="s">
        <v>14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189.67</v>
      </c>
      <c r="AN416">
        <f>$H$416*$T$416</f>
        <v>189.67</v>
      </c>
      <c r="AO416">
        <f>$H$416*$U$416</f>
        <v>189.67</v>
      </c>
      <c r="AP416">
        <f>$H$416*$V$416</f>
        <v>189.67</v>
      </c>
      <c r="AQ416">
        <f>$H$416*$W$416</f>
        <v>189.67</v>
      </c>
      <c r="AR416">
        <f>$H$416*$X$416</f>
        <v>189.67</v>
      </c>
      <c r="AS416">
        <f>$H$416*$Y$416</f>
        <v>189.67</v>
      </c>
      <c r="AT416">
        <f>$H$416*$Z$416</f>
        <v>189.67</v>
      </c>
      <c r="AU416">
        <f>$H$416*$AA$416</f>
        <v>189.67</v>
      </c>
      <c r="AV416">
        <f>$H$416*$AB$416</f>
        <v>189.67</v>
      </c>
      <c r="AW416">
        <f>$H$416*$AC$416</f>
        <v>189.67</v>
      </c>
      <c r="AX416">
        <f>$H$416*$AD$416</f>
        <v>189.67</v>
      </c>
      <c r="AY416">
        <f>$H$416*$AE$416</f>
        <v>189.67</v>
      </c>
      <c r="AZ416">
        <f>$H$416*$AF$416</f>
        <v>189.67</v>
      </c>
    </row>
    <row r="417" spans="1:52" x14ac:dyDescent="0.25">
      <c r="A417">
        <v>462</v>
      </c>
      <c r="B417" t="s">
        <v>266</v>
      </c>
      <c r="C417" t="s">
        <v>391</v>
      </c>
      <c r="D417">
        <v>48.1</v>
      </c>
      <c r="E417">
        <v>273.69</v>
      </c>
      <c r="F417" t="s">
        <v>313</v>
      </c>
      <c r="G417">
        <v>5.69</v>
      </c>
      <c r="H417">
        <v>328.43</v>
      </c>
      <c r="I417" t="s">
        <v>392</v>
      </c>
      <c r="J417" t="s">
        <v>393</v>
      </c>
      <c r="K417" t="s">
        <v>551</v>
      </c>
      <c r="L417" t="s">
        <v>200</v>
      </c>
      <c r="M417" t="s">
        <v>266</v>
      </c>
      <c r="N417" t="s">
        <v>12</v>
      </c>
      <c r="O417" t="s">
        <v>14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266</v>
      </c>
      <c r="AH417" t="s">
        <v>12</v>
      </c>
      <c r="AI417" t="s">
        <v>14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328.43</v>
      </c>
      <c r="AN417">
        <f>$H$417*$T$417</f>
        <v>328.43</v>
      </c>
      <c r="AO417">
        <f>$H$417*$U$417</f>
        <v>328.43</v>
      </c>
      <c r="AP417">
        <f>$H$417*$V$417</f>
        <v>328.43</v>
      </c>
      <c r="AQ417">
        <f>$H$417*$W$417</f>
        <v>328.43</v>
      </c>
      <c r="AR417">
        <f>$H$417*$X$417</f>
        <v>328.43</v>
      </c>
      <c r="AS417">
        <f>$H$417*$Y$417</f>
        <v>328.43</v>
      </c>
      <c r="AT417">
        <f>$H$417*$Z$417</f>
        <v>328.43</v>
      </c>
      <c r="AU417">
        <f>$H$417*$AA$417</f>
        <v>328.43</v>
      </c>
      <c r="AV417">
        <f>$H$417*$AB$417</f>
        <v>328.43</v>
      </c>
      <c r="AW417">
        <f>$H$417*$AC$417</f>
        <v>328.43</v>
      </c>
      <c r="AX417">
        <f>$H$417*$AD$417</f>
        <v>328.43</v>
      </c>
      <c r="AY417">
        <f>$H$417*$AE$417</f>
        <v>328.43</v>
      </c>
      <c r="AZ417">
        <f>$H$417*$AF$417</f>
        <v>328.43</v>
      </c>
    </row>
    <row r="418" spans="1:52" x14ac:dyDescent="0.25">
      <c r="A418">
        <v>463</v>
      </c>
      <c r="B418" t="s">
        <v>266</v>
      </c>
      <c r="C418" t="s">
        <v>394</v>
      </c>
      <c r="D418">
        <v>52.68</v>
      </c>
      <c r="E418">
        <v>311.87</v>
      </c>
      <c r="F418" t="s">
        <v>313</v>
      </c>
      <c r="G418">
        <v>5.92</v>
      </c>
      <c r="H418">
        <v>374.25</v>
      </c>
      <c r="I418" t="s">
        <v>392</v>
      </c>
      <c r="J418" t="s">
        <v>334</v>
      </c>
      <c r="K418" t="s">
        <v>552</v>
      </c>
      <c r="L418" t="s">
        <v>200</v>
      </c>
      <c r="M418" t="s">
        <v>266</v>
      </c>
      <c r="N418" t="s">
        <v>12</v>
      </c>
      <c r="O418" t="s">
        <v>14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266</v>
      </c>
      <c r="AH418" t="s">
        <v>12</v>
      </c>
      <c r="AI418" t="s">
        <v>14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374.25</v>
      </c>
      <c r="AN418">
        <f>$H$418*$T$418</f>
        <v>374.25</v>
      </c>
      <c r="AO418">
        <f>$H$418*$U$418</f>
        <v>374.25</v>
      </c>
      <c r="AP418">
        <f>$H$418*$V$418</f>
        <v>374.25</v>
      </c>
      <c r="AQ418">
        <f>$H$418*$W$418</f>
        <v>374.25</v>
      </c>
      <c r="AR418">
        <f>$H$418*$X$418</f>
        <v>374.25</v>
      </c>
      <c r="AS418">
        <f>$H$418*$Y$418</f>
        <v>374.25</v>
      </c>
      <c r="AT418">
        <f>$H$418*$Z$418</f>
        <v>374.25</v>
      </c>
      <c r="AU418">
        <f>$H$418*$AA$418</f>
        <v>374.25</v>
      </c>
      <c r="AV418">
        <f>$H$418*$AB$418</f>
        <v>374.25</v>
      </c>
      <c r="AW418">
        <f>$H$418*$AC$418</f>
        <v>374.25</v>
      </c>
      <c r="AX418">
        <f>$H$418*$AD$418</f>
        <v>374.25</v>
      </c>
      <c r="AY418">
        <f>$H$418*$AE$418</f>
        <v>374.25</v>
      </c>
      <c r="AZ418">
        <f>$H$418*$AF$418</f>
        <v>374.25</v>
      </c>
    </row>
    <row r="419" spans="1:52" x14ac:dyDescent="0.25">
      <c r="A419">
        <v>464</v>
      </c>
      <c r="B419" t="s">
        <v>266</v>
      </c>
      <c r="C419" t="s">
        <v>395</v>
      </c>
      <c r="D419">
        <v>47.41</v>
      </c>
      <c r="E419">
        <v>258.86</v>
      </c>
      <c r="F419" t="s">
        <v>313</v>
      </c>
      <c r="G419">
        <v>5.46</v>
      </c>
      <c r="H419">
        <v>310.64</v>
      </c>
      <c r="I419" t="s">
        <v>396</v>
      </c>
      <c r="J419" t="s">
        <v>397</v>
      </c>
      <c r="K419" t="s">
        <v>553</v>
      </c>
      <c r="L419" t="s">
        <v>200</v>
      </c>
      <c r="M419" t="s">
        <v>266</v>
      </c>
      <c r="N419" t="s">
        <v>12</v>
      </c>
      <c r="O419" t="s">
        <v>14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266</v>
      </c>
      <c r="AH419" t="s">
        <v>12</v>
      </c>
      <c r="AI419" t="s">
        <v>14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310.64</v>
      </c>
      <c r="AN419">
        <f>$H$419*$T$419</f>
        <v>310.64</v>
      </c>
      <c r="AO419">
        <f>$H$419*$U$419</f>
        <v>310.64</v>
      </c>
      <c r="AP419">
        <f>$H$419*$V$419</f>
        <v>310.64</v>
      </c>
      <c r="AQ419">
        <f>$H$419*$W$419</f>
        <v>310.64</v>
      </c>
      <c r="AR419">
        <f>$H$419*$X$419</f>
        <v>310.64</v>
      </c>
      <c r="AS419">
        <f>$H$419*$Y$419</f>
        <v>310.64</v>
      </c>
      <c r="AT419">
        <f>$H$419*$Z$419</f>
        <v>310.64</v>
      </c>
      <c r="AU419">
        <f>$H$419*$AA$419</f>
        <v>310.64</v>
      </c>
      <c r="AV419">
        <f>$H$419*$AB$419</f>
        <v>310.64</v>
      </c>
      <c r="AW419">
        <f>$H$419*$AC$419</f>
        <v>310.64</v>
      </c>
      <c r="AX419">
        <f>$H$419*$AD$419</f>
        <v>310.64</v>
      </c>
      <c r="AY419">
        <f>$H$419*$AE$419</f>
        <v>310.64</v>
      </c>
      <c r="AZ419">
        <f>$H$419*$AF$419</f>
        <v>310.64</v>
      </c>
    </row>
    <row r="420" spans="1:52" x14ac:dyDescent="0.25">
      <c r="A420">
        <v>465</v>
      </c>
      <c r="B420" t="s">
        <v>266</v>
      </c>
      <c r="C420" t="s">
        <v>398</v>
      </c>
      <c r="D420">
        <v>47.41</v>
      </c>
      <c r="E420">
        <v>169.73</v>
      </c>
      <c r="F420" t="s">
        <v>313</v>
      </c>
      <c r="G420">
        <v>3.58</v>
      </c>
      <c r="H420">
        <v>203.67</v>
      </c>
      <c r="I420" t="s">
        <v>396</v>
      </c>
      <c r="J420" t="s">
        <v>399</v>
      </c>
      <c r="K420" t="s">
        <v>554</v>
      </c>
      <c r="L420" t="s">
        <v>200</v>
      </c>
      <c r="M420" t="s">
        <v>266</v>
      </c>
      <c r="N420" t="s">
        <v>12</v>
      </c>
      <c r="O420" t="s">
        <v>14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266</v>
      </c>
      <c r="AH420" t="s">
        <v>12</v>
      </c>
      <c r="AI420" t="s">
        <v>14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203.67</v>
      </c>
      <c r="AN420">
        <f>$H$420*$T$420</f>
        <v>203.67</v>
      </c>
      <c r="AO420">
        <f>$H$420*$U$420</f>
        <v>203.67</v>
      </c>
      <c r="AP420">
        <f>$H$420*$V$420</f>
        <v>203.67</v>
      </c>
      <c r="AQ420">
        <f>$H$420*$W$420</f>
        <v>203.67</v>
      </c>
      <c r="AR420">
        <f>$H$420*$X$420</f>
        <v>203.67</v>
      </c>
      <c r="AS420">
        <f>$H$420*$Y$420</f>
        <v>203.67</v>
      </c>
      <c r="AT420">
        <f>$H$420*$Z$420</f>
        <v>203.67</v>
      </c>
      <c r="AU420">
        <f>$H$420*$AA$420</f>
        <v>203.67</v>
      </c>
      <c r="AV420">
        <f>$H$420*$AB$420</f>
        <v>203.67</v>
      </c>
      <c r="AW420">
        <f>$H$420*$AC$420</f>
        <v>203.67</v>
      </c>
      <c r="AX420">
        <f>$H$420*$AD$420</f>
        <v>203.67</v>
      </c>
      <c r="AY420">
        <f>$H$420*$AE$420</f>
        <v>203.67</v>
      </c>
      <c r="AZ420">
        <f>$H$420*$AF$420</f>
        <v>203.67</v>
      </c>
    </row>
    <row r="421" spans="1:52" x14ac:dyDescent="0.25">
      <c r="A421">
        <v>466</v>
      </c>
      <c r="B421" t="s">
        <v>266</v>
      </c>
      <c r="C421" t="s">
        <v>400</v>
      </c>
      <c r="D421">
        <v>47.41</v>
      </c>
      <c r="E421">
        <v>412.47</v>
      </c>
      <c r="F421" t="s">
        <v>313</v>
      </c>
      <c r="G421">
        <v>8.6999999999999993</v>
      </c>
      <c r="H421">
        <v>494.97</v>
      </c>
      <c r="I421" t="s">
        <v>396</v>
      </c>
      <c r="J421" t="s">
        <v>334</v>
      </c>
      <c r="K421" t="s">
        <v>555</v>
      </c>
      <c r="L421" t="s">
        <v>200</v>
      </c>
      <c r="M421" t="s">
        <v>266</v>
      </c>
      <c r="N421" t="s">
        <v>12</v>
      </c>
      <c r="O421" t="s">
        <v>14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266</v>
      </c>
      <c r="AH421" t="s">
        <v>12</v>
      </c>
      <c r="AI421" t="s">
        <v>14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494.97</v>
      </c>
      <c r="AN421">
        <f>$H$421*$T$421</f>
        <v>494.97</v>
      </c>
      <c r="AO421">
        <f>$H$421*$U$421</f>
        <v>494.97</v>
      </c>
      <c r="AP421">
        <f>$H$421*$V$421</f>
        <v>494.97</v>
      </c>
      <c r="AQ421">
        <f>$H$421*$W$421</f>
        <v>494.97</v>
      </c>
      <c r="AR421">
        <f>$H$421*$X$421</f>
        <v>494.97</v>
      </c>
      <c r="AS421">
        <f>$H$421*$Y$421</f>
        <v>494.97</v>
      </c>
      <c r="AT421">
        <f>$H$421*$Z$421</f>
        <v>494.97</v>
      </c>
      <c r="AU421">
        <f>$H$421*$AA$421</f>
        <v>494.97</v>
      </c>
      <c r="AV421">
        <f>$H$421*$AB$421</f>
        <v>494.97</v>
      </c>
      <c r="AW421">
        <f>$H$421*$AC$421</f>
        <v>494.97</v>
      </c>
      <c r="AX421">
        <f>$H$421*$AD$421</f>
        <v>494.97</v>
      </c>
      <c r="AY421">
        <f>$H$421*$AE$421</f>
        <v>494.97</v>
      </c>
      <c r="AZ421">
        <f>$H$421*$AF$421</f>
        <v>494.97</v>
      </c>
    </row>
    <row r="422" spans="1:52" x14ac:dyDescent="0.25">
      <c r="A422">
        <v>467</v>
      </c>
      <c r="B422" t="s">
        <v>266</v>
      </c>
      <c r="C422" t="s">
        <v>401</v>
      </c>
      <c r="D422">
        <v>52.68</v>
      </c>
      <c r="E422">
        <v>41.62</v>
      </c>
      <c r="F422" t="s">
        <v>313</v>
      </c>
      <c r="G422">
        <v>0.79</v>
      </c>
      <c r="H422">
        <v>49.94</v>
      </c>
      <c r="I422" t="s">
        <v>339</v>
      </c>
      <c r="J422" t="s">
        <v>402</v>
      </c>
      <c r="K422" t="s">
        <v>556</v>
      </c>
      <c r="L422" t="s">
        <v>200</v>
      </c>
      <c r="M422" t="s">
        <v>266</v>
      </c>
      <c r="N422" t="s">
        <v>12</v>
      </c>
      <c r="O422" t="s">
        <v>14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266</v>
      </c>
      <c r="AH422" t="s">
        <v>12</v>
      </c>
      <c r="AI422" t="s">
        <v>14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49.94</v>
      </c>
      <c r="AN422">
        <f>$H$422*$T$422</f>
        <v>49.94</v>
      </c>
      <c r="AO422">
        <f>$H$422*$U$422</f>
        <v>49.94</v>
      </c>
      <c r="AP422">
        <f>$H$422*$V$422</f>
        <v>49.94</v>
      </c>
      <c r="AQ422">
        <f>$H$422*$W$422</f>
        <v>49.94</v>
      </c>
      <c r="AR422">
        <f>$H$422*$X$422</f>
        <v>49.94</v>
      </c>
      <c r="AS422">
        <f>$H$422*$Y$422</f>
        <v>49.94</v>
      </c>
      <c r="AT422">
        <f>$H$422*$Z$422</f>
        <v>49.94</v>
      </c>
      <c r="AU422">
        <f>$H$422*$AA$422</f>
        <v>49.94</v>
      </c>
      <c r="AV422">
        <f>$H$422*$AB$422</f>
        <v>49.94</v>
      </c>
      <c r="AW422">
        <f>$H$422*$AC$422</f>
        <v>49.94</v>
      </c>
      <c r="AX422">
        <f>$H$422*$AD$422</f>
        <v>49.94</v>
      </c>
      <c r="AY422">
        <f>$H$422*$AE$422</f>
        <v>49.94</v>
      </c>
      <c r="AZ422">
        <f>$H$422*$AF$422</f>
        <v>49.94</v>
      </c>
    </row>
    <row r="423" spans="1:52" x14ac:dyDescent="0.25">
      <c r="A423">
        <v>468</v>
      </c>
      <c r="B423" t="s">
        <v>266</v>
      </c>
      <c r="C423" t="s">
        <v>403</v>
      </c>
      <c r="D423">
        <v>52.68</v>
      </c>
      <c r="E423">
        <v>280.77999999999997</v>
      </c>
      <c r="F423" t="s">
        <v>313</v>
      </c>
      <c r="G423">
        <v>5.33</v>
      </c>
      <c r="H423">
        <v>336.94</v>
      </c>
      <c r="I423" t="s">
        <v>339</v>
      </c>
      <c r="J423" t="s">
        <v>334</v>
      </c>
      <c r="K423" t="s">
        <v>557</v>
      </c>
      <c r="L423" t="s">
        <v>200</v>
      </c>
      <c r="M423" t="s">
        <v>266</v>
      </c>
      <c r="N423" t="s">
        <v>12</v>
      </c>
      <c r="O423" t="s">
        <v>14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266</v>
      </c>
      <c r="AH423" t="s">
        <v>12</v>
      </c>
      <c r="AI423" t="s">
        <v>14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336.94</v>
      </c>
      <c r="AN423">
        <f>$H$423*$T$423</f>
        <v>336.94</v>
      </c>
      <c r="AO423">
        <f>$H$423*$U$423</f>
        <v>336.94</v>
      </c>
      <c r="AP423">
        <f>$H$423*$V$423</f>
        <v>336.94</v>
      </c>
      <c r="AQ423">
        <f>$H$423*$W$423</f>
        <v>336.94</v>
      </c>
      <c r="AR423">
        <f>$H$423*$X$423</f>
        <v>336.94</v>
      </c>
      <c r="AS423">
        <f>$H$423*$Y$423</f>
        <v>336.94</v>
      </c>
      <c r="AT423">
        <f>$H$423*$Z$423</f>
        <v>336.94</v>
      </c>
      <c r="AU423">
        <f>$H$423*$AA$423</f>
        <v>336.94</v>
      </c>
      <c r="AV423">
        <f>$H$423*$AB$423</f>
        <v>336.94</v>
      </c>
      <c r="AW423">
        <f>$H$423*$AC$423</f>
        <v>336.94</v>
      </c>
      <c r="AX423">
        <f>$H$423*$AD$423</f>
        <v>336.94</v>
      </c>
      <c r="AY423">
        <f>$H$423*$AE$423</f>
        <v>336.94</v>
      </c>
      <c r="AZ423">
        <f>$H$423*$AF$423</f>
        <v>336.94</v>
      </c>
    </row>
    <row r="424" spans="1:52" x14ac:dyDescent="0.25">
      <c r="A424">
        <v>471</v>
      </c>
      <c r="B424" t="s">
        <v>502</v>
      </c>
      <c r="C424" t="s">
        <v>380</v>
      </c>
      <c r="D424">
        <v>1</v>
      </c>
      <c r="E424">
        <v>13.27</v>
      </c>
      <c r="F424" t="s">
        <v>299</v>
      </c>
      <c r="G424">
        <v>13.27</v>
      </c>
      <c r="H424">
        <v>15.93</v>
      </c>
      <c r="I424" t="s">
        <v>301</v>
      </c>
      <c r="J424" t="s">
        <v>381</v>
      </c>
      <c r="K424" t="s">
        <v>545</v>
      </c>
      <c r="L424" t="s">
        <v>200</v>
      </c>
      <c r="M424" t="s">
        <v>526</v>
      </c>
      <c r="N424" t="s">
        <v>12</v>
      </c>
      <c r="O424" t="s">
        <v>68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526</v>
      </c>
      <c r="AH424" t="s">
        <v>12</v>
      </c>
      <c r="AI424" t="s">
        <v>68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15.93</v>
      </c>
      <c r="AS424">
        <f>$H$424*$Y$424</f>
        <v>15.93</v>
      </c>
      <c r="AT424">
        <f>$H$424*$Z$424</f>
        <v>15.93</v>
      </c>
      <c r="AU424">
        <f>$H$424*$AA$424</f>
        <v>15.93</v>
      </c>
      <c r="AV424">
        <f>$H$424*$AB$424</f>
        <v>15.93</v>
      </c>
      <c r="AW424">
        <f>$H$424*$AC$424</f>
        <v>15.93</v>
      </c>
      <c r="AX424">
        <f>$H$424*$AD$424</f>
        <v>15.93</v>
      </c>
      <c r="AY424">
        <f>$H$424*$AE$424</f>
        <v>15.93</v>
      </c>
      <c r="AZ424">
        <f>$H$424*$AF$424</f>
        <v>15.93</v>
      </c>
    </row>
    <row r="425" spans="1:52" x14ac:dyDescent="0.25">
      <c r="A425">
        <v>472</v>
      </c>
      <c r="B425" t="s">
        <v>502</v>
      </c>
      <c r="C425" t="s">
        <v>437</v>
      </c>
      <c r="D425">
        <v>1</v>
      </c>
      <c r="E425">
        <v>37</v>
      </c>
      <c r="F425" t="s">
        <v>299</v>
      </c>
      <c r="G425">
        <v>37</v>
      </c>
      <c r="H425">
        <v>44.4</v>
      </c>
      <c r="I425" t="s">
        <v>301</v>
      </c>
      <c r="J425" t="s">
        <v>438</v>
      </c>
      <c r="K425" t="s">
        <v>574</v>
      </c>
      <c r="L425" t="s">
        <v>200</v>
      </c>
      <c r="M425" t="s">
        <v>526</v>
      </c>
      <c r="N425" t="s">
        <v>12</v>
      </c>
      <c r="O425" t="s">
        <v>68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0.6</v>
      </c>
      <c r="Y425">
        <v>0.6</v>
      </c>
      <c r="Z425">
        <v>0.6</v>
      </c>
      <c r="AA425">
        <v>0.6</v>
      </c>
      <c r="AB425">
        <v>0.6</v>
      </c>
      <c r="AC425">
        <v>0.6</v>
      </c>
      <c r="AD425">
        <v>1</v>
      </c>
      <c r="AE425">
        <v>1</v>
      </c>
      <c r="AF425">
        <v>1</v>
      </c>
      <c r="AG425" t="s">
        <v>526</v>
      </c>
      <c r="AH425" t="s">
        <v>12</v>
      </c>
      <c r="AI425" t="s">
        <v>68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26.639999999999997</v>
      </c>
      <c r="AS425">
        <f>$H$425*$Y$425</f>
        <v>26.639999999999997</v>
      </c>
      <c r="AT425">
        <f>$H$425*$Z$425</f>
        <v>26.639999999999997</v>
      </c>
      <c r="AU425">
        <f>$H$425*$AA$425</f>
        <v>26.639999999999997</v>
      </c>
      <c r="AV425">
        <f>$H$425*$AB$425</f>
        <v>26.639999999999997</v>
      </c>
      <c r="AW425">
        <f>$H$425*$AC$425</f>
        <v>26.639999999999997</v>
      </c>
      <c r="AX425">
        <f>$H$425*$AD$425</f>
        <v>44.4</v>
      </c>
      <c r="AY425">
        <f>$H$425*$AE$425</f>
        <v>44.4</v>
      </c>
      <c r="AZ425">
        <f>$H$425*$AF$425</f>
        <v>44.4</v>
      </c>
    </row>
    <row r="426" spans="1:52" x14ac:dyDescent="0.25">
      <c r="A426">
        <v>473</v>
      </c>
      <c r="B426" t="s">
        <v>502</v>
      </c>
      <c r="C426" t="s">
        <v>356</v>
      </c>
      <c r="D426">
        <v>1</v>
      </c>
      <c r="E426">
        <v>65.650000000000006</v>
      </c>
      <c r="F426" t="s">
        <v>299</v>
      </c>
      <c r="G426">
        <v>65.650000000000006</v>
      </c>
      <c r="H426">
        <v>78.790000000000006</v>
      </c>
      <c r="I426" t="s">
        <v>304</v>
      </c>
      <c r="J426" t="s">
        <v>357</v>
      </c>
      <c r="K426" t="s">
        <v>533</v>
      </c>
      <c r="L426" t="s">
        <v>200</v>
      </c>
      <c r="M426" t="s">
        <v>526</v>
      </c>
      <c r="N426" t="s">
        <v>12</v>
      </c>
      <c r="O426" t="s">
        <v>68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1</v>
      </c>
      <c r="AE426">
        <v>1</v>
      </c>
      <c r="AF426">
        <v>1</v>
      </c>
      <c r="AG426" t="s">
        <v>526</v>
      </c>
      <c r="AH426" t="s">
        <v>12</v>
      </c>
      <c r="AI426" t="s">
        <v>68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0</v>
      </c>
      <c r="AS426">
        <f>$H$426*$Y$426</f>
        <v>0</v>
      </c>
      <c r="AT426">
        <f>$H$426*$Z$426</f>
        <v>0</v>
      </c>
      <c r="AU426">
        <f>$H$426*$AA$426</f>
        <v>0</v>
      </c>
      <c r="AV426">
        <f>$H$426*$AB$426</f>
        <v>0</v>
      </c>
      <c r="AW426">
        <f>$H$426*$AC$426</f>
        <v>0</v>
      </c>
      <c r="AX426">
        <f>$H$426*$AD$426</f>
        <v>78.790000000000006</v>
      </c>
      <c r="AY426">
        <f>$H$426*$AE$426</f>
        <v>78.790000000000006</v>
      </c>
      <c r="AZ426">
        <f>$H$426*$AF$426</f>
        <v>78.790000000000006</v>
      </c>
    </row>
    <row r="427" spans="1:52" x14ac:dyDescent="0.25">
      <c r="A427">
        <v>482</v>
      </c>
      <c r="B427" t="s">
        <v>6</v>
      </c>
      <c r="C427" t="s">
        <v>465</v>
      </c>
      <c r="D427">
        <v>1</v>
      </c>
      <c r="E427">
        <v>39.700000000000003</v>
      </c>
      <c r="F427" t="s">
        <v>299</v>
      </c>
      <c r="G427">
        <v>39.700000000000003</v>
      </c>
      <c r="H427">
        <v>47.64</v>
      </c>
      <c r="I427" t="s">
        <v>301</v>
      </c>
      <c r="J427" t="s">
        <v>466</v>
      </c>
      <c r="K427" t="s">
        <v>588</v>
      </c>
      <c r="L427" t="s">
        <v>200</v>
      </c>
      <c r="M427" t="s">
        <v>6</v>
      </c>
      <c r="N427" t="s">
        <v>51</v>
      </c>
      <c r="O427" t="s">
        <v>6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1</v>
      </c>
      <c r="AE427">
        <v>1</v>
      </c>
      <c r="AF427">
        <v>1</v>
      </c>
      <c r="AG427" t="s">
        <v>6</v>
      </c>
      <c r="AH427" t="s">
        <v>51</v>
      </c>
      <c r="AI427" t="s">
        <v>6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0</v>
      </c>
      <c r="AS427">
        <f>$H$427*$Y$427</f>
        <v>0</v>
      </c>
      <c r="AT427">
        <f>$H$427*$Z$427</f>
        <v>0</v>
      </c>
      <c r="AU427">
        <f>$H$427*$AA$427</f>
        <v>0</v>
      </c>
      <c r="AV427">
        <f>$H$427*$AB$427</f>
        <v>0</v>
      </c>
      <c r="AW427">
        <f>$H$427*$AC$427</f>
        <v>0</v>
      </c>
      <c r="AX427">
        <f>$H$427*$AD$427</f>
        <v>47.64</v>
      </c>
      <c r="AY427">
        <f>$H$427*$AE$427</f>
        <v>47.64</v>
      </c>
      <c r="AZ427">
        <f>$H$427*$AF$427</f>
        <v>47.64</v>
      </c>
    </row>
    <row r="428" spans="1:52" x14ac:dyDescent="0.25">
      <c r="A428">
        <v>483</v>
      </c>
      <c r="B428" t="s">
        <v>6</v>
      </c>
      <c r="C428" t="s">
        <v>380</v>
      </c>
      <c r="D428">
        <v>1</v>
      </c>
      <c r="E428">
        <v>13.27</v>
      </c>
      <c r="F428" t="s">
        <v>299</v>
      </c>
      <c r="G428">
        <v>13.27</v>
      </c>
      <c r="H428">
        <v>15.93</v>
      </c>
      <c r="I428" t="s">
        <v>301</v>
      </c>
      <c r="J428" t="s">
        <v>381</v>
      </c>
      <c r="K428" t="s">
        <v>545</v>
      </c>
      <c r="L428" t="s">
        <v>200</v>
      </c>
      <c r="M428" t="s">
        <v>6</v>
      </c>
      <c r="N428" t="s">
        <v>51</v>
      </c>
      <c r="O428" t="s">
        <v>6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6</v>
      </c>
      <c r="AH428" t="s">
        <v>51</v>
      </c>
      <c r="AI428" t="s">
        <v>6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15.93</v>
      </c>
      <c r="AS428">
        <f>$H$428*$Y$428</f>
        <v>15.93</v>
      </c>
      <c r="AT428">
        <f>$H$428*$Z$428</f>
        <v>15.93</v>
      </c>
      <c r="AU428">
        <f>$H$428*$AA$428</f>
        <v>15.93</v>
      </c>
      <c r="AV428">
        <f>$H$428*$AB$428</f>
        <v>15.93</v>
      </c>
      <c r="AW428">
        <f>$H$428*$AC$428</f>
        <v>15.93</v>
      </c>
      <c r="AX428">
        <f>$H$428*$AD$428</f>
        <v>15.93</v>
      </c>
      <c r="AY428">
        <f>$H$428*$AE$428</f>
        <v>15.93</v>
      </c>
      <c r="AZ428">
        <f>$H$428*$AF$428</f>
        <v>15.93</v>
      </c>
    </row>
    <row r="429" spans="1:52" x14ac:dyDescent="0.25">
      <c r="A429">
        <v>484</v>
      </c>
      <c r="B429" t="s">
        <v>6</v>
      </c>
      <c r="C429" t="s">
        <v>462</v>
      </c>
      <c r="D429">
        <v>1</v>
      </c>
      <c r="E429">
        <v>48.06</v>
      </c>
      <c r="F429" t="s">
        <v>299</v>
      </c>
      <c r="G429">
        <v>48.06</v>
      </c>
      <c r="H429">
        <v>57.68</v>
      </c>
      <c r="I429" t="s">
        <v>304</v>
      </c>
      <c r="J429" t="s">
        <v>436</v>
      </c>
      <c r="K429" t="s">
        <v>586</v>
      </c>
      <c r="L429" t="s">
        <v>200</v>
      </c>
      <c r="M429" t="s">
        <v>6</v>
      </c>
      <c r="N429" t="s">
        <v>51</v>
      </c>
      <c r="O429" t="s">
        <v>6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1</v>
      </c>
      <c r="AE429">
        <v>1</v>
      </c>
      <c r="AF429">
        <v>1</v>
      </c>
      <c r="AG429" t="s">
        <v>6</v>
      </c>
      <c r="AH429" t="s">
        <v>51</v>
      </c>
      <c r="AI429" t="s">
        <v>6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0</v>
      </c>
      <c r="AT429">
        <f>$H$429*$Z$429</f>
        <v>0</v>
      </c>
      <c r="AU429">
        <f>$H$429*$AA$429</f>
        <v>0</v>
      </c>
      <c r="AV429">
        <f>$H$429*$AB$429</f>
        <v>0</v>
      </c>
      <c r="AW429">
        <f>$H$429*$AC$429</f>
        <v>0</v>
      </c>
      <c r="AX429">
        <f>$H$429*$AD$429</f>
        <v>57.68</v>
      </c>
      <c r="AY429">
        <f>$H$429*$AE$429</f>
        <v>57.68</v>
      </c>
      <c r="AZ429">
        <f>$H$429*$AF$429</f>
        <v>57.68</v>
      </c>
    </row>
    <row r="430" spans="1:52" x14ac:dyDescent="0.25">
      <c r="A430">
        <v>485</v>
      </c>
      <c r="B430" t="s">
        <v>6</v>
      </c>
      <c r="C430" t="s">
        <v>324</v>
      </c>
      <c r="D430">
        <v>304</v>
      </c>
      <c r="E430">
        <v>297.92</v>
      </c>
      <c r="F430" t="s">
        <v>313</v>
      </c>
      <c r="G430">
        <v>0.98</v>
      </c>
      <c r="H430">
        <v>357.5</v>
      </c>
      <c r="I430" t="s">
        <v>295</v>
      </c>
      <c r="J430" t="s">
        <v>325</v>
      </c>
      <c r="K430" t="s">
        <v>518</v>
      </c>
      <c r="L430" t="s">
        <v>200</v>
      </c>
      <c r="M430" t="s">
        <v>6</v>
      </c>
      <c r="N430" t="s">
        <v>51</v>
      </c>
      <c r="O430" t="s">
        <v>6</v>
      </c>
      <c r="P430">
        <v>0</v>
      </c>
      <c r="Q430">
        <v>0</v>
      </c>
      <c r="R430">
        <v>0</v>
      </c>
      <c r="S430">
        <v>0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6</v>
      </c>
      <c r="AH430" t="s">
        <v>51</v>
      </c>
      <c r="AI430" t="s">
        <v>6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357.5</v>
      </c>
      <c r="AO430">
        <f>$H$430*$U$430</f>
        <v>357.5</v>
      </c>
      <c r="AP430">
        <f>$H$430*$V$430</f>
        <v>357.5</v>
      </c>
      <c r="AQ430">
        <f>$H$430*$W$430</f>
        <v>357.5</v>
      </c>
      <c r="AR430">
        <f>$H$430*$X$430</f>
        <v>357.5</v>
      </c>
      <c r="AS430">
        <f>$H$430*$Y$430</f>
        <v>357.5</v>
      </c>
      <c r="AT430">
        <f>$H$430*$Z$430</f>
        <v>357.5</v>
      </c>
      <c r="AU430">
        <f>$H$430*$AA$430</f>
        <v>357.5</v>
      </c>
      <c r="AV430">
        <f>$H$430*$AB$430</f>
        <v>357.5</v>
      </c>
      <c r="AW430">
        <f>$H$430*$AC$430</f>
        <v>357.5</v>
      </c>
      <c r="AX430">
        <f>$H$430*$AD$430</f>
        <v>357.5</v>
      </c>
      <c r="AY430">
        <f>$H$430*$AE$430</f>
        <v>357.5</v>
      </c>
      <c r="AZ430">
        <f>$H$430*$AF$430</f>
        <v>357.5</v>
      </c>
    </row>
    <row r="431" spans="1:52" x14ac:dyDescent="0.25">
      <c r="A431">
        <v>486</v>
      </c>
      <c r="B431" t="s">
        <v>6</v>
      </c>
      <c r="C431" t="s">
        <v>326</v>
      </c>
      <c r="D431">
        <v>304</v>
      </c>
      <c r="E431">
        <v>811.68</v>
      </c>
      <c r="F431" t="s">
        <v>313</v>
      </c>
      <c r="G431">
        <v>2.67</v>
      </c>
      <c r="H431">
        <v>974.02</v>
      </c>
      <c r="I431" t="s">
        <v>327</v>
      </c>
      <c r="J431" t="s">
        <v>328</v>
      </c>
      <c r="K431" t="s">
        <v>519</v>
      </c>
      <c r="L431" t="s">
        <v>200</v>
      </c>
      <c r="M431" t="s">
        <v>6</v>
      </c>
      <c r="N431" t="s">
        <v>51</v>
      </c>
      <c r="O431" t="s">
        <v>6</v>
      </c>
      <c r="P431">
        <v>0</v>
      </c>
      <c r="Q431">
        <v>0</v>
      </c>
      <c r="R431">
        <v>0</v>
      </c>
      <c r="S431">
        <v>0.25</v>
      </c>
      <c r="T431">
        <v>0.25</v>
      </c>
      <c r="U431">
        <v>0.25</v>
      </c>
      <c r="V431">
        <v>0.25</v>
      </c>
      <c r="W431">
        <v>0.25</v>
      </c>
      <c r="X431">
        <v>0.5</v>
      </c>
      <c r="Y431">
        <v>0.5</v>
      </c>
      <c r="Z431">
        <v>0.5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6</v>
      </c>
      <c r="AH431" t="s">
        <v>51</v>
      </c>
      <c r="AI431" t="s">
        <v>6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243.505</v>
      </c>
      <c r="AN431">
        <f>$H$431*$T$431</f>
        <v>243.505</v>
      </c>
      <c r="AO431">
        <f>$H$431*$U$431</f>
        <v>243.505</v>
      </c>
      <c r="AP431">
        <f>$H$431*$V$431</f>
        <v>243.505</v>
      </c>
      <c r="AQ431">
        <f>$H$431*$W$431</f>
        <v>243.505</v>
      </c>
      <c r="AR431">
        <f>$H$431*$X$431</f>
        <v>487.01</v>
      </c>
      <c r="AS431">
        <f>$H$431*$Y$431</f>
        <v>487.01</v>
      </c>
      <c r="AT431">
        <f>$H$431*$Z$431</f>
        <v>487.01</v>
      </c>
      <c r="AU431">
        <f>$H$431*$AA$431</f>
        <v>974.02</v>
      </c>
      <c r="AV431">
        <f>$H$431*$AB$431</f>
        <v>974.02</v>
      </c>
      <c r="AW431">
        <f>$H$431*$AC$431</f>
        <v>974.02</v>
      </c>
      <c r="AX431">
        <f>$H$431*$AD$431</f>
        <v>974.02</v>
      </c>
      <c r="AY431">
        <f>$H$431*$AE$431</f>
        <v>974.02</v>
      </c>
      <c r="AZ431">
        <f>$H$431*$AF$431</f>
        <v>974.02</v>
      </c>
    </row>
    <row r="432" spans="1:52" x14ac:dyDescent="0.25">
      <c r="A432">
        <v>487</v>
      </c>
      <c r="B432" t="s">
        <v>6</v>
      </c>
      <c r="C432" t="s">
        <v>383</v>
      </c>
      <c r="D432">
        <v>38</v>
      </c>
      <c r="E432">
        <v>34.58</v>
      </c>
      <c r="F432" t="s">
        <v>294</v>
      </c>
      <c r="G432">
        <v>0.91</v>
      </c>
      <c r="H432">
        <v>41.5</v>
      </c>
      <c r="I432" t="s">
        <v>295</v>
      </c>
      <c r="J432" t="s">
        <v>384</v>
      </c>
      <c r="K432" t="s">
        <v>547</v>
      </c>
      <c r="L432" t="s">
        <v>200</v>
      </c>
      <c r="M432" t="s">
        <v>6</v>
      </c>
      <c r="N432" t="s">
        <v>51</v>
      </c>
      <c r="O432" t="s">
        <v>6</v>
      </c>
      <c r="P432">
        <v>0</v>
      </c>
      <c r="Q432">
        <v>0</v>
      </c>
      <c r="R432">
        <v>0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6</v>
      </c>
      <c r="AH432" t="s">
        <v>51</v>
      </c>
      <c r="AI432" t="s">
        <v>6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41.5</v>
      </c>
      <c r="AN432">
        <f>$H$432*$T$432</f>
        <v>41.5</v>
      </c>
      <c r="AO432">
        <f>$H$432*$U$432</f>
        <v>41.5</v>
      </c>
      <c r="AP432">
        <f>$H$432*$V$432</f>
        <v>41.5</v>
      </c>
      <c r="AQ432">
        <f>$H$432*$W$432</f>
        <v>41.5</v>
      </c>
      <c r="AR432">
        <f>$H$432*$X$432</f>
        <v>41.5</v>
      </c>
      <c r="AS432">
        <f>$H$432*$Y$432</f>
        <v>41.5</v>
      </c>
      <c r="AT432">
        <f>$H$432*$Z$432</f>
        <v>41.5</v>
      </c>
      <c r="AU432">
        <f>$H$432*$AA$432</f>
        <v>41.5</v>
      </c>
      <c r="AV432">
        <f>$H$432*$AB$432</f>
        <v>41.5</v>
      </c>
      <c r="AW432">
        <f>$H$432*$AC$432</f>
        <v>41.5</v>
      </c>
      <c r="AX432">
        <f>$H$432*$AD$432</f>
        <v>41.5</v>
      </c>
      <c r="AY432">
        <f>$H$432*$AE$432</f>
        <v>41.5</v>
      </c>
      <c r="AZ432">
        <f>$H$432*$AF$432</f>
        <v>41.5</v>
      </c>
    </row>
    <row r="433" spans="1:52" x14ac:dyDescent="0.25">
      <c r="A433">
        <v>488</v>
      </c>
      <c r="B433" t="s">
        <v>6</v>
      </c>
      <c r="C433" t="s">
        <v>385</v>
      </c>
      <c r="D433">
        <v>38</v>
      </c>
      <c r="E433">
        <v>194.56</v>
      </c>
      <c r="F433" t="s">
        <v>294</v>
      </c>
      <c r="G433">
        <v>5.12</v>
      </c>
      <c r="H433">
        <v>233.48</v>
      </c>
      <c r="I433" t="s">
        <v>298</v>
      </c>
      <c r="J433" t="s">
        <v>386</v>
      </c>
      <c r="K433" t="s">
        <v>548</v>
      </c>
      <c r="L433" t="s">
        <v>200</v>
      </c>
      <c r="M433" t="s">
        <v>6</v>
      </c>
      <c r="N433" t="s">
        <v>51</v>
      </c>
      <c r="O433" t="s">
        <v>6</v>
      </c>
      <c r="P433">
        <v>0</v>
      </c>
      <c r="Q433">
        <v>0</v>
      </c>
      <c r="R433">
        <v>0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6</v>
      </c>
      <c r="AH433" t="s">
        <v>51</v>
      </c>
      <c r="AI433" t="s">
        <v>6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233.48</v>
      </c>
      <c r="AN433">
        <f>$H$433*$T$433</f>
        <v>233.48</v>
      </c>
      <c r="AO433">
        <f>$H$433*$U$433</f>
        <v>233.48</v>
      </c>
      <c r="AP433">
        <f>$H$433*$V$433</f>
        <v>233.48</v>
      </c>
      <c r="AQ433">
        <f>$H$433*$W$433</f>
        <v>233.48</v>
      </c>
      <c r="AR433">
        <f>$H$433*$X$433</f>
        <v>233.48</v>
      </c>
      <c r="AS433">
        <f>$H$433*$Y$433</f>
        <v>233.48</v>
      </c>
      <c r="AT433">
        <f>$H$433*$Z$433</f>
        <v>233.48</v>
      </c>
      <c r="AU433">
        <f>$H$433*$AA$433</f>
        <v>233.48</v>
      </c>
      <c r="AV433">
        <f>$H$433*$AB$433</f>
        <v>233.48</v>
      </c>
      <c r="AW433">
        <f>$H$433*$AC$433</f>
        <v>233.48</v>
      </c>
      <c r="AX433">
        <f>$H$433*$AD$433</f>
        <v>233.48</v>
      </c>
      <c r="AY433">
        <f>$H$433*$AE$433</f>
        <v>233.48</v>
      </c>
      <c r="AZ433">
        <f>$H$433*$AF$433</f>
        <v>233.48</v>
      </c>
    </row>
    <row r="434" spans="1:52" x14ac:dyDescent="0.25">
      <c r="A434">
        <v>489</v>
      </c>
      <c r="B434" t="s">
        <v>6</v>
      </c>
      <c r="C434" t="s">
        <v>326</v>
      </c>
      <c r="D434">
        <v>73.58</v>
      </c>
      <c r="E434">
        <v>196.46</v>
      </c>
      <c r="F434" t="s">
        <v>313</v>
      </c>
      <c r="G434">
        <v>2.67</v>
      </c>
      <c r="H434">
        <v>235.76</v>
      </c>
      <c r="I434" t="s">
        <v>327</v>
      </c>
      <c r="J434" t="s">
        <v>328</v>
      </c>
      <c r="K434" t="s">
        <v>519</v>
      </c>
      <c r="L434" t="s">
        <v>200</v>
      </c>
      <c r="M434" t="s">
        <v>6</v>
      </c>
      <c r="N434" t="s">
        <v>51</v>
      </c>
      <c r="O434" t="s">
        <v>6</v>
      </c>
      <c r="P434">
        <v>0</v>
      </c>
      <c r="Q434">
        <v>0</v>
      </c>
      <c r="R434">
        <v>0</v>
      </c>
      <c r="S434">
        <v>0.25</v>
      </c>
      <c r="T434">
        <v>0.25</v>
      </c>
      <c r="U434">
        <v>0.25</v>
      </c>
      <c r="V434">
        <v>0.25</v>
      </c>
      <c r="W434">
        <v>0.25</v>
      </c>
      <c r="X434">
        <v>0.5</v>
      </c>
      <c r="Y434">
        <v>0.5</v>
      </c>
      <c r="Z434">
        <v>0.5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6</v>
      </c>
      <c r="AH434" t="s">
        <v>51</v>
      </c>
      <c r="AI434" t="s">
        <v>6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58.94</v>
      </c>
      <c r="AN434">
        <f>$H$434*$T$434</f>
        <v>58.94</v>
      </c>
      <c r="AO434">
        <f>$H$434*$U$434</f>
        <v>58.94</v>
      </c>
      <c r="AP434">
        <f>$H$434*$V$434</f>
        <v>58.94</v>
      </c>
      <c r="AQ434">
        <f>$H$434*$W$434</f>
        <v>58.94</v>
      </c>
      <c r="AR434">
        <f>$H$434*$X$434</f>
        <v>117.88</v>
      </c>
      <c r="AS434">
        <f>$H$434*$Y$434</f>
        <v>117.88</v>
      </c>
      <c r="AT434">
        <f>$H$434*$Z$434</f>
        <v>117.88</v>
      </c>
      <c r="AU434">
        <f>$H$434*$AA$434</f>
        <v>235.76</v>
      </c>
      <c r="AV434">
        <f>$H$434*$AB$434</f>
        <v>235.76</v>
      </c>
      <c r="AW434">
        <f>$H$434*$AC$434</f>
        <v>235.76</v>
      </c>
      <c r="AX434">
        <f>$H$434*$AD$434</f>
        <v>235.76</v>
      </c>
      <c r="AY434">
        <f>$H$434*$AE$434</f>
        <v>235.76</v>
      </c>
      <c r="AZ434">
        <f>$H$434*$AF$434</f>
        <v>235.76</v>
      </c>
    </row>
    <row r="435" spans="1:52" x14ac:dyDescent="0.25">
      <c r="A435">
        <v>490</v>
      </c>
      <c r="B435" t="s">
        <v>6</v>
      </c>
      <c r="C435" t="s">
        <v>387</v>
      </c>
      <c r="D435">
        <v>73.58</v>
      </c>
      <c r="E435">
        <v>46.36</v>
      </c>
      <c r="F435" t="s">
        <v>313</v>
      </c>
      <c r="G435">
        <v>0.63</v>
      </c>
      <c r="H435">
        <v>55.64</v>
      </c>
      <c r="I435" t="s">
        <v>295</v>
      </c>
      <c r="J435" t="s">
        <v>388</v>
      </c>
      <c r="K435" t="s">
        <v>549</v>
      </c>
      <c r="L435" t="s">
        <v>200</v>
      </c>
      <c r="M435" t="s">
        <v>6</v>
      </c>
      <c r="N435" t="s">
        <v>51</v>
      </c>
      <c r="O435" t="s">
        <v>6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1</v>
      </c>
      <c r="AE435">
        <v>1</v>
      </c>
      <c r="AF435">
        <v>1</v>
      </c>
      <c r="AG435" t="s">
        <v>6</v>
      </c>
      <c r="AH435" t="s">
        <v>51</v>
      </c>
      <c r="AI435" t="s">
        <v>6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0</v>
      </c>
      <c r="AO435">
        <f>$H$435*$U$435</f>
        <v>0</v>
      </c>
      <c r="AP435">
        <f>$H$435*$V$435</f>
        <v>0</v>
      </c>
      <c r="AQ435">
        <f>$H$435*$W$435</f>
        <v>0</v>
      </c>
      <c r="AR435">
        <f>$H$435*$X$435</f>
        <v>0</v>
      </c>
      <c r="AS435">
        <f>$H$435*$Y$435</f>
        <v>0</v>
      </c>
      <c r="AT435">
        <f>$H$435*$Z$435</f>
        <v>0</v>
      </c>
      <c r="AU435">
        <f>$H$435*$AA$435</f>
        <v>0</v>
      </c>
      <c r="AV435">
        <f>$H$435*$AB$435</f>
        <v>0</v>
      </c>
      <c r="AW435">
        <f>$H$435*$AC$435</f>
        <v>0</v>
      </c>
      <c r="AX435">
        <f>$H$435*$AD$435</f>
        <v>55.64</v>
      </c>
      <c r="AY435">
        <f>$H$435*$AE$435</f>
        <v>55.64</v>
      </c>
      <c r="AZ435">
        <f>$H$435*$AF$435</f>
        <v>55.64</v>
      </c>
    </row>
    <row r="436" spans="1:52" x14ac:dyDescent="0.25">
      <c r="A436">
        <v>491</v>
      </c>
      <c r="B436" t="s">
        <v>6</v>
      </c>
      <c r="C436" t="s">
        <v>389</v>
      </c>
      <c r="D436">
        <v>73.58</v>
      </c>
      <c r="E436">
        <v>50.77</v>
      </c>
      <c r="F436" t="s">
        <v>313</v>
      </c>
      <c r="G436">
        <v>0.69</v>
      </c>
      <c r="H436">
        <v>60.93</v>
      </c>
      <c r="I436" t="s">
        <v>295</v>
      </c>
      <c r="J436" t="s">
        <v>390</v>
      </c>
      <c r="K436" t="s">
        <v>550</v>
      </c>
      <c r="L436" t="s">
        <v>200</v>
      </c>
      <c r="M436" t="s">
        <v>6</v>
      </c>
      <c r="N436" t="s">
        <v>51</v>
      </c>
      <c r="O436" t="s">
        <v>6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6</v>
      </c>
      <c r="AH436" t="s">
        <v>51</v>
      </c>
      <c r="AI436" t="s">
        <v>6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60.93</v>
      </c>
      <c r="AN436">
        <f>$H$436*$T$436</f>
        <v>60.93</v>
      </c>
      <c r="AO436">
        <f>$H$436*$U$436</f>
        <v>60.93</v>
      </c>
      <c r="AP436">
        <f>$H$436*$V$436</f>
        <v>60.93</v>
      </c>
      <c r="AQ436">
        <f>$H$436*$W$436</f>
        <v>60.93</v>
      </c>
      <c r="AR436">
        <f>$H$436*$X$436</f>
        <v>60.93</v>
      </c>
      <c r="AS436">
        <f>$H$436*$Y$436</f>
        <v>60.93</v>
      </c>
      <c r="AT436">
        <f>$H$436*$Z$436</f>
        <v>60.93</v>
      </c>
      <c r="AU436">
        <f>$H$436*$AA$436</f>
        <v>60.93</v>
      </c>
      <c r="AV436">
        <f>$H$436*$AB$436</f>
        <v>60.93</v>
      </c>
      <c r="AW436">
        <f>$H$436*$AC$436</f>
        <v>60.93</v>
      </c>
      <c r="AX436">
        <f>$H$436*$AD$436</f>
        <v>60.93</v>
      </c>
      <c r="AY436">
        <f>$H$436*$AE$436</f>
        <v>60.93</v>
      </c>
      <c r="AZ436">
        <f>$H$436*$AF$436</f>
        <v>60.93</v>
      </c>
    </row>
    <row r="437" spans="1:52" x14ac:dyDescent="0.25">
      <c r="A437">
        <v>492</v>
      </c>
      <c r="B437" t="s">
        <v>6</v>
      </c>
      <c r="C437" t="s">
        <v>391</v>
      </c>
      <c r="D437">
        <v>15.45</v>
      </c>
      <c r="E437">
        <v>87.91</v>
      </c>
      <c r="F437" t="s">
        <v>313</v>
      </c>
      <c r="G437">
        <v>5.69</v>
      </c>
      <c r="H437">
        <v>105.49</v>
      </c>
      <c r="I437" t="s">
        <v>392</v>
      </c>
      <c r="J437" t="s">
        <v>393</v>
      </c>
      <c r="K437" t="s">
        <v>551</v>
      </c>
      <c r="L437" t="s">
        <v>200</v>
      </c>
      <c r="M437" t="s">
        <v>6</v>
      </c>
      <c r="N437" t="s">
        <v>51</v>
      </c>
      <c r="O437" t="s">
        <v>6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6</v>
      </c>
      <c r="AH437" t="s">
        <v>51</v>
      </c>
      <c r="AI437" t="s">
        <v>6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105.49</v>
      </c>
      <c r="AN437">
        <f>$H$437*$T$437</f>
        <v>105.49</v>
      </c>
      <c r="AO437">
        <f>$H$437*$U$437</f>
        <v>105.49</v>
      </c>
      <c r="AP437">
        <f>$H$437*$V$437</f>
        <v>105.49</v>
      </c>
      <c r="AQ437">
        <f>$H$437*$W$437</f>
        <v>105.49</v>
      </c>
      <c r="AR437">
        <f>$H$437*$X$437</f>
        <v>105.49</v>
      </c>
      <c r="AS437">
        <f>$H$437*$Y$437</f>
        <v>105.49</v>
      </c>
      <c r="AT437">
        <f>$H$437*$Z$437</f>
        <v>105.49</v>
      </c>
      <c r="AU437">
        <f>$H$437*$AA$437</f>
        <v>105.49</v>
      </c>
      <c r="AV437">
        <f>$H$437*$AB$437</f>
        <v>105.49</v>
      </c>
      <c r="AW437">
        <f>$H$437*$AC$437</f>
        <v>105.49</v>
      </c>
      <c r="AX437">
        <f>$H$437*$AD$437</f>
        <v>105.49</v>
      </c>
      <c r="AY437">
        <f>$H$437*$AE$437</f>
        <v>105.49</v>
      </c>
      <c r="AZ437">
        <f>$H$437*$AF$437</f>
        <v>105.49</v>
      </c>
    </row>
    <row r="438" spans="1:52" x14ac:dyDescent="0.25">
      <c r="A438">
        <v>493</v>
      </c>
      <c r="B438" t="s">
        <v>6</v>
      </c>
      <c r="C438" t="s">
        <v>394</v>
      </c>
      <c r="D438">
        <v>16.920000000000002</v>
      </c>
      <c r="E438">
        <v>100.17</v>
      </c>
      <c r="F438" t="s">
        <v>313</v>
      </c>
      <c r="G438">
        <v>5.92</v>
      </c>
      <c r="H438">
        <v>120.21</v>
      </c>
      <c r="I438" t="s">
        <v>392</v>
      </c>
      <c r="J438" t="s">
        <v>334</v>
      </c>
      <c r="K438" t="s">
        <v>552</v>
      </c>
      <c r="L438" t="s">
        <v>200</v>
      </c>
      <c r="M438" t="s">
        <v>6</v>
      </c>
      <c r="N438" t="s">
        <v>51</v>
      </c>
      <c r="O438" t="s">
        <v>6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6</v>
      </c>
      <c r="AH438" t="s">
        <v>51</v>
      </c>
      <c r="AI438" t="s">
        <v>6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120.21</v>
      </c>
      <c r="AN438">
        <f>$H$438*$T$438</f>
        <v>120.21</v>
      </c>
      <c r="AO438">
        <f>$H$438*$U$438</f>
        <v>120.21</v>
      </c>
      <c r="AP438">
        <f>$H$438*$V$438</f>
        <v>120.21</v>
      </c>
      <c r="AQ438">
        <f>$H$438*$W$438</f>
        <v>120.21</v>
      </c>
      <c r="AR438">
        <f>$H$438*$X$438</f>
        <v>120.21</v>
      </c>
      <c r="AS438">
        <f>$H$438*$Y$438</f>
        <v>120.21</v>
      </c>
      <c r="AT438">
        <f>$H$438*$Z$438</f>
        <v>120.21</v>
      </c>
      <c r="AU438">
        <f>$H$438*$AA$438</f>
        <v>120.21</v>
      </c>
      <c r="AV438">
        <f>$H$438*$AB$438</f>
        <v>120.21</v>
      </c>
      <c r="AW438">
        <f>$H$438*$AC$438</f>
        <v>120.21</v>
      </c>
      <c r="AX438">
        <f>$H$438*$AD$438</f>
        <v>120.21</v>
      </c>
      <c r="AY438">
        <f>$H$438*$AE$438</f>
        <v>120.21</v>
      </c>
      <c r="AZ438">
        <f>$H$438*$AF$438</f>
        <v>120.21</v>
      </c>
    </row>
    <row r="439" spans="1:52" x14ac:dyDescent="0.25">
      <c r="A439">
        <v>494</v>
      </c>
      <c r="B439" t="s">
        <v>6</v>
      </c>
      <c r="C439" t="s">
        <v>395</v>
      </c>
      <c r="D439">
        <v>16.32</v>
      </c>
      <c r="E439">
        <v>89.11</v>
      </c>
      <c r="F439" t="s">
        <v>313</v>
      </c>
      <c r="G439">
        <v>5.46</v>
      </c>
      <c r="H439">
        <v>106.93</v>
      </c>
      <c r="I439" t="s">
        <v>396</v>
      </c>
      <c r="J439" t="s">
        <v>397</v>
      </c>
      <c r="K439" t="s">
        <v>553</v>
      </c>
      <c r="L439" t="s">
        <v>200</v>
      </c>
      <c r="M439" t="s">
        <v>6</v>
      </c>
      <c r="N439" t="s">
        <v>51</v>
      </c>
      <c r="O439" t="s">
        <v>6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6</v>
      </c>
      <c r="AH439" t="s">
        <v>51</v>
      </c>
      <c r="AI439" t="s">
        <v>6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106.93</v>
      </c>
      <c r="AN439">
        <f>$H$439*$T$439</f>
        <v>106.93</v>
      </c>
      <c r="AO439">
        <f>$H$439*$U$439</f>
        <v>106.93</v>
      </c>
      <c r="AP439">
        <f>$H$439*$V$439</f>
        <v>106.93</v>
      </c>
      <c r="AQ439">
        <f>$H$439*$W$439</f>
        <v>106.93</v>
      </c>
      <c r="AR439">
        <f>$H$439*$X$439</f>
        <v>106.93</v>
      </c>
      <c r="AS439">
        <f>$H$439*$Y$439</f>
        <v>106.93</v>
      </c>
      <c r="AT439">
        <f>$H$439*$Z$439</f>
        <v>106.93</v>
      </c>
      <c r="AU439">
        <f>$H$439*$AA$439</f>
        <v>106.93</v>
      </c>
      <c r="AV439">
        <f>$H$439*$AB$439</f>
        <v>106.93</v>
      </c>
      <c r="AW439">
        <f>$H$439*$AC$439</f>
        <v>106.93</v>
      </c>
      <c r="AX439">
        <f>$H$439*$AD$439</f>
        <v>106.93</v>
      </c>
      <c r="AY439">
        <f>$H$439*$AE$439</f>
        <v>106.93</v>
      </c>
      <c r="AZ439">
        <f>$H$439*$AF$439</f>
        <v>106.93</v>
      </c>
    </row>
    <row r="440" spans="1:52" x14ac:dyDescent="0.25">
      <c r="A440">
        <v>495</v>
      </c>
      <c r="B440" t="s">
        <v>6</v>
      </c>
      <c r="C440" t="s">
        <v>398</v>
      </c>
      <c r="D440">
        <v>16.32</v>
      </c>
      <c r="E440">
        <v>58.43</v>
      </c>
      <c r="F440" t="s">
        <v>313</v>
      </c>
      <c r="G440">
        <v>3.58</v>
      </c>
      <c r="H440">
        <v>70.11</v>
      </c>
      <c r="I440" t="s">
        <v>396</v>
      </c>
      <c r="J440" t="s">
        <v>399</v>
      </c>
      <c r="K440" t="s">
        <v>554</v>
      </c>
      <c r="L440" t="s">
        <v>200</v>
      </c>
      <c r="M440" t="s">
        <v>6</v>
      </c>
      <c r="N440" t="s">
        <v>51</v>
      </c>
      <c r="O440" t="s">
        <v>6</v>
      </c>
      <c r="P440">
        <v>0</v>
      </c>
      <c r="Q440">
        <v>0</v>
      </c>
      <c r="R440">
        <v>0</v>
      </c>
      <c r="S440">
        <v>1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6</v>
      </c>
      <c r="AH440" t="s">
        <v>51</v>
      </c>
      <c r="AI440" t="s">
        <v>6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70.11</v>
      </c>
      <c r="AN440">
        <f>$H$440*$T$440</f>
        <v>70.11</v>
      </c>
      <c r="AO440">
        <f>$H$440*$U$440</f>
        <v>70.11</v>
      </c>
      <c r="AP440">
        <f>$H$440*$V$440</f>
        <v>70.11</v>
      </c>
      <c r="AQ440">
        <f>$H$440*$W$440</f>
        <v>70.11</v>
      </c>
      <c r="AR440">
        <f>$H$440*$X$440</f>
        <v>70.11</v>
      </c>
      <c r="AS440">
        <f>$H$440*$Y$440</f>
        <v>70.11</v>
      </c>
      <c r="AT440">
        <f>$H$440*$Z$440</f>
        <v>70.11</v>
      </c>
      <c r="AU440">
        <f>$H$440*$AA$440</f>
        <v>70.11</v>
      </c>
      <c r="AV440">
        <f>$H$440*$AB$440</f>
        <v>70.11</v>
      </c>
      <c r="AW440">
        <f>$H$440*$AC$440</f>
        <v>70.11</v>
      </c>
      <c r="AX440">
        <f>$H$440*$AD$440</f>
        <v>70.11</v>
      </c>
      <c r="AY440">
        <f>$H$440*$AE$440</f>
        <v>70.11</v>
      </c>
      <c r="AZ440">
        <f>$H$440*$AF$440</f>
        <v>70.11</v>
      </c>
    </row>
    <row r="441" spans="1:52" x14ac:dyDescent="0.25">
      <c r="A441">
        <v>496</v>
      </c>
      <c r="B441" t="s">
        <v>6</v>
      </c>
      <c r="C441" t="s">
        <v>400</v>
      </c>
      <c r="D441">
        <v>16.32</v>
      </c>
      <c r="E441">
        <v>141.97999999999999</v>
      </c>
      <c r="F441" t="s">
        <v>313</v>
      </c>
      <c r="G441">
        <v>8.6999999999999993</v>
      </c>
      <c r="H441">
        <v>170.38</v>
      </c>
      <c r="I441" t="s">
        <v>396</v>
      </c>
      <c r="J441" t="s">
        <v>334</v>
      </c>
      <c r="K441" t="s">
        <v>555</v>
      </c>
      <c r="L441" t="s">
        <v>200</v>
      </c>
      <c r="M441" t="s">
        <v>6</v>
      </c>
      <c r="N441" t="s">
        <v>51</v>
      </c>
      <c r="O441" t="s">
        <v>6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6</v>
      </c>
      <c r="AH441" t="s">
        <v>51</v>
      </c>
      <c r="AI441" t="s">
        <v>6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170.38</v>
      </c>
      <c r="AN441">
        <f>$H$441*$T$441</f>
        <v>170.38</v>
      </c>
      <c r="AO441">
        <f>$H$441*$U$441</f>
        <v>170.38</v>
      </c>
      <c r="AP441">
        <f>$H$441*$V$441</f>
        <v>170.38</v>
      </c>
      <c r="AQ441">
        <f>$H$441*$W$441</f>
        <v>170.38</v>
      </c>
      <c r="AR441">
        <f>$H$441*$X$441</f>
        <v>170.38</v>
      </c>
      <c r="AS441">
        <f>$H$441*$Y$441</f>
        <v>170.38</v>
      </c>
      <c r="AT441">
        <f>$H$441*$Z$441</f>
        <v>170.38</v>
      </c>
      <c r="AU441">
        <f>$H$441*$AA$441</f>
        <v>170.38</v>
      </c>
      <c r="AV441">
        <f>$H$441*$AB$441</f>
        <v>170.38</v>
      </c>
      <c r="AW441">
        <f>$H$441*$AC$441</f>
        <v>170.38</v>
      </c>
      <c r="AX441">
        <f>$H$441*$AD$441</f>
        <v>170.38</v>
      </c>
      <c r="AY441">
        <f>$H$441*$AE$441</f>
        <v>170.38</v>
      </c>
      <c r="AZ441">
        <f>$H$441*$AF$441</f>
        <v>170.38</v>
      </c>
    </row>
    <row r="442" spans="1:52" x14ac:dyDescent="0.25">
      <c r="A442">
        <v>497</v>
      </c>
      <c r="B442" t="s">
        <v>6</v>
      </c>
      <c r="C442" t="s">
        <v>401</v>
      </c>
      <c r="D442">
        <v>16.920000000000002</v>
      </c>
      <c r="E442">
        <v>13.37</v>
      </c>
      <c r="F442" t="s">
        <v>313</v>
      </c>
      <c r="G442">
        <v>0.79</v>
      </c>
      <c r="H442">
        <v>16.05</v>
      </c>
      <c r="I442" t="s">
        <v>339</v>
      </c>
      <c r="J442" t="s">
        <v>402</v>
      </c>
      <c r="K442" t="s">
        <v>556</v>
      </c>
      <c r="L442" t="s">
        <v>200</v>
      </c>
      <c r="M442" t="s">
        <v>6</v>
      </c>
      <c r="N442" t="s">
        <v>51</v>
      </c>
      <c r="O442" t="s">
        <v>6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6</v>
      </c>
      <c r="AH442" t="s">
        <v>51</v>
      </c>
      <c r="AI442" t="s">
        <v>6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16.05</v>
      </c>
      <c r="AN442">
        <f>$H$442*$T$442</f>
        <v>16.05</v>
      </c>
      <c r="AO442">
        <f>$H$442*$U$442</f>
        <v>16.05</v>
      </c>
      <c r="AP442">
        <f>$H$442*$V$442</f>
        <v>16.05</v>
      </c>
      <c r="AQ442">
        <f>$H$442*$W$442</f>
        <v>16.05</v>
      </c>
      <c r="AR442">
        <f>$H$442*$X$442</f>
        <v>16.05</v>
      </c>
      <c r="AS442">
        <f>$H$442*$Y$442</f>
        <v>16.05</v>
      </c>
      <c r="AT442">
        <f>$H$442*$Z$442</f>
        <v>16.05</v>
      </c>
      <c r="AU442">
        <f>$H$442*$AA$442</f>
        <v>16.05</v>
      </c>
      <c r="AV442">
        <f>$H$442*$AB$442</f>
        <v>16.05</v>
      </c>
      <c r="AW442">
        <f>$H$442*$AC$442</f>
        <v>16.05</v>
      </c>
      <c r="AX442">
        <f>$H$442*$AD$442</f>
        <v>16.05</v>
      </c>
      <c r="AY442">
        <f>$H$442*$AE$442</f>
        <v>16.05</v>
      </c>
      <c r="AZ442">
        <f>$H$442*$AF$442</f>
        <v>16.05</v>
      </c>
    </row>
    <row r="443" spans="1:52" x14ac:dyDescent="0.25">
      <c r="A443">
        <v>498</v>
      </c>
      <c r="B443" t="s">
        <v>6</v>
      </c>
      <c r="C443" t="s">
        <v>403</v>
      </c>
      <c r="D443">
        <v>16.920000000000002</v>
      </c>
      <c r="E443">
        <v>90.18</v>
      </c>
      <c r="F443" t="s">
        <v>313</v>
      </c>
      <c r="G443">
        <v>5.33</v>
      </c>
      <c r="H443">
        <v>108.22</v>
      </c>
      <c r="I443" t="s">
        <v>339</v>
      </c>
      <c r="J443" t="s">
        <v>334</v>
      </c>
      <c r="K443" t="s">
        <v>557</v>
      </c>
      <c r="L443" t="s">
        <v>200</v>
      </c>
      <c r="M443" t="s">
        <v>6</v>
      </c>
      <c r="N443" t="s">
        <v>51</v>
      </c>
      <c r="O443" t="s">
        <v>6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6</v>
      </c>
      <c r="AH443" t="s">
        <v>51</v>
      </c>
      <c r="AI443" t="s">
        <v>6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108.22</v>
      </c>
      <c r="AN443">
        <f>$H$443*$T$443</f>
        <v>108.22</v>
      </c>
      <c r="AO443">
        <f>$H$443*$U$443</f>
        <v>108.22</v>
      </c>
      <c r="AP443">
        <f>$H$443*$V$443</f>
        <v>108.22</v>
      </c>
      <c r="AQ443">
        <f>$H$443*$W$443</f>
        <v>108.22</v>
      </c>
      <c r="AR443">
        <f>$H$443*$X$443</f>
        <v>108.22</v>
      </c>
      <c r="AS443">
        <f>$H$443*$Y$443</f>
        <v>108.22</v>
      </c>
      <c r="AT443">
        <f>$H$443*$Z$443</f>
        <v>108.22</v>
      </c>
      <c r="AU443">
        <f>$H$443*$AA$443</f>
        <v>108.22</v>
      </c>
      <c r="AV443">
        <f>$H$443*$AB$443</f>
        <v>108.22</v>
      </c>
      <c r="AW443">
        <f>$H$443*$AC$443</f>
        <v>108.22</v>
      </c>
      <c r="AX443">
        <f>$H$443*$AD$443</f>
        <v>108.22</v>
      </c>
      <c r="AY443">
        <f>$H$443*$AE$443</f>
        <v>108.22</v>
      </c>
      <c r="AZ443">
        <f>$H$443*$AF$443</f>
        <v>108.22</v>
      </c>
    </row>
    <row r="444" spans="1:52" x14ac:dyDescent="0.25">
      <c r="A444">
        <v>499</v>
      </c>
      <c r="B444" t="s">
        <v>268</v>
      </c>
      <c r="C444" t="s">
        <v>380</v>
      </c>
      <c r="D444">
        <v>5</v>
      </c>
      <c r="E444">
        <v>66.349999999999994</v>
      </c>
      <c r="F444" t="s">
        <v>299</v>
      </c>
      <c r="G444">
        <v>13.27</v>
      </c>
      <c r="H444">
        <v>79.63</v>
      </c>
      <c r="I444" t="s">
        <v>301</v>
      </c>
      <c r="J444" t="s">
        <v>381</v>
      </c>
      <c r="K444" t="s">
        <v>545</v>
      </c>
      <c r="L444" t="s">
        <v>200</v>
      </c>
      <c r="M444" t="s">
        <v>268</v>
      </c>
      <c r="N444" t="s">
        <v>12</v>
      </c>
      <c r="O444" t="s">
        <v>269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268</v>
      </c>
      <c r="AH444" t="s">
        <v>12</v>
      </c>
      <c r="AI444" t="s">
        <v>269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0</v>
      </c>
      <c r="AN444">
        <f>$H$444*$T$444</f>
        <v>0</v>
      </c>
      <c r="AO444">
        <f>$H$444*$U$444</f>
        <v>0</v>
      </c>
      <c r="AP444">
        <f>$H$444*$V$444</f>
        <v>0</v>
      </c>
      <c r="AQ444">
        <f>$H$444*$W$444</f>
        <v>0</v>
      </c>
      <c r="AR444">
        <f>$H$444*$X$444</f>
        <v>79.63</v>
      </c>
      <c r="AS444">
        <f>$H$444*$Y$444</f>
        <v>79.63</v>
      </c>
      <c r="AT444">
        <f>$H$444*$Z$444</f>
        <v>79.63</v>
      </c>
      <c r="AU444">
        <f>$H$444*$AA$444</f>
        <v>79.63</v>
      </c>
      <c r="AV444">
        <f>$H$444*$AB$444</f>
        <v>79.63</v>
      </c>
      <c r="AW444">
        <f>$H$444*$AC$444</f>
        <v>79.63</v>
      </c>
      <c r="AX444">
        <f>$H$444*$AD$444</f>
        <v>79.63</v>
      </c>
      <c r="AY444">
        <f>$H$444*$AE$444</f>
        <v>79.63</v>
      </c>
      <c r="AZ444">
        <f>$H$444*$AF$444</f>
        <v>79.63</v>
      </c>
    </row>
    <row r="445" spans="1:52" x14ac:dyDescent="0.25">
      <c r="A445">
        <v>500</v>
      </c>
      <c r="B445" t="s">
        <v>268</v>
      </c>
      <c r="C445" t="s">
        <v>382</v>
      </c>
      <c r="D445">
        <v>1</v>
      </c>
      <c r="E445">
        <v>63.51</v>
      </c>
      <c r="F445" t="s">
        <v>299</v>
      </c>
      <c r="G445">
        <v>63.51</v>
      </c>
      <c r="H445">
        <v>76.209999999999994</v>
      </c>
      <c r="I445" t="s">
        <v>304</v>
      </c>
      <c r="J445" t="s">
        <v>334</v>
      </c>
      <c r="K445" t="s">
        <v>546</v>
      </c>
      <c r="L445" t="s">
        <v>200</v>
      </c>
      <c r="M445" t="s">
        <v>268</v>
      </c>
      <c r="N445" t="s">
        <v>12</v>
      </c>
      <c r="O445" t="s">
        <v>269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1</v>
      </c>
      <c r="AE445">
        <v>1</v>
      </c>
      <c r="AF445">
        <v>1</v>
      </c>
      <c r="AG445" t="s">
        <v>268</v>
      </c>
      <c r="AH445" t="s">
        <v>12</v>
      </c>
      <c r="AI445" t="s">
        <v>269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0</v>
      </c>
      <c r="AN445">
        <f>$H$445*$T$445</f>
        <v>0</v>
      </c>
      <c r="AO445">
        <f>$H$445*$U$445</f>
        <v>0</v>
      </c>
      <c r="AP445">
        <f>$H$445*$V$445</f>
        <v>0</v>
      </c>
      <c r="AQ445">
        <f>$H$445*$W$445</f>
        <v>0</v>
      </c>
      <c r="AR445">
        <f>$H$445*$X$445</f>
        <v>0</v>
      </c>
      <c r="AS445">
        <f>$H$445*$Y$445</f>
        <v>0</v>
      </c>
      <c r="AT445">
        <f>$H$445*$Z$445</f>
        <v>0</v>
      </c>
      <c r="AU445">
        <f>$H$445*$AA$445</f>
        <v>0</v>
      </c>
      <c r="AV445">
        <f>$H$445*$AB$445</f>
        <v>0</v>
      </c>
      <c r="AW445">
        <f>$H$445*$AC$445</f>
        <v>0</v>
      </c>
      <c r="AX445">
        <f>$H$445*$AD$445</f>
        <v>76.209999999999994</v>
      </c>
      <c r="AY445">
        <f>$H$445*$AE$445</f>
        <v>76.209999999999994</v>
      </c>
      <c r="AZ445">
        <f>$H$445*$AF$445</f>
        <v>76.209999999999994</v>
      </c>
    </row>
    <row r="446" spans="1:52" x14ac:dyDescent="0.25">
      <c r="A446">
        <v>501</v>
      </c>
      <c r="B446" t="s">
        <v>268</v>
      </c>
      <c r="C446" t="s">
        <v>324</v>
      </c>
      <c r="D446">
        <v>434.67</v>
      </c>
      <c r="E446">
        <v>425.98</v>
      </c>
      <c r="F446" t="s">
        <v>313</v>
      </c>
      <c r="G446">
        <v>0.98</v>
      </c>
      <c r="H446">
        <v>511.18</v>
      </c>
      <c r="I446" t="s">
        <v>295</v>
      </c>
      <c r="J446" t="s">
        <v>325</v>
      </c>
      <c r="K446" t="s">
        <v>518</v>
      </c>
      <c r="L446" t="s">
        <v>200</v>
      </c>
      <c r="M446" t="s">
        <v>268</v>
      </c>
      <c r="N446" t="s">
        <v>12</v>
      </c>
      <c r="O446" t="s">
        <v>269</v>
      </c>
      <c r="P446">
        <v>0</v>
      </c>
      <c r="Q446">
        <v>0</v>
      </c>
      <c r="R446">
        <v>0</v>
      </c>
      <c r="S446">
        <v>0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268</v>
      </c>
      <c r="AH446" t="s">
        <v>12</v>
      </c>
      <c r="AI446" t="s">
        <v>269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511.18</v>
      </c>
      <c r="AO446">
        <f>$H$446*$U$446</f>
        <v>511.18</v>
      </c>
      <c r="AP446">
        <f>$H$446*$V$446</f>
        <v>511.18</v>
      </c>
      <c r="AQ446">
        <f>$H$446*$W$446</f>
        <v>511.18</v>
      </c>
      <c r="AR446">
        <f>$H$446*$X$446</f>
        <v>511.18</v>
      </c>
      <c r="AS446">
        <f>$H$446*$Y$446</f>
        <v>511.18</v>
      </c>
      <c r="AT446">
        <f>$H$446*$Z$446</f>
        <v>511.18</v>
      </c>
      <c r="AU446">
        <f>$H$446*$AA$446</f>
        <v>511.18</v>
      </c>
      <c r="AV446">
        <f>$H$446*$AB$446</f>
        <v>511.18</v>
      </c>
      <c r="AW446">
        <f>$H$446*$AC$446</f>
        <v>511.18</v>
      </c>
      <c r="AX446">
        <f>$H$446*$AD$446</f>
        <v>511.18</v>
      </c>
      <c r="AY446">
        <f>$H$446*$AE$446</f>
        <v>511.18</v>
      </c>
      <c r="AZ446">
        <f>$H$446*$AF$446</f>
        <v>511.18</v>
      </c>
    </row>
    <row r="447" spans="1:52" x14ac:dyDescent="0.25">
      <c r="A447">
        <v>502</v>
      </c>
      <c r="B447" t="s">
        <v>268</v>
      </c>
      <c r="C447" t="s">
        <v>326</v>
      </c>
      <c r="D447">
        <v>434.67</v>
      </c>
      <c r="E447">
        <v>1160.57</v>
      </c>
      <c r="F447" t="s">
        <v>313</v>
      </c>
      <c r="G447">
        <v>2.67</v>
      </c>
      <c r="H447">
        <v>1392.69</v>
      </c>
      <c r="I447" t="s">
        <v>327</v>
      </c>
      <c r="J447" t="s">
        <v>328</v>
      </c>
      <c r="K447" t="s">
        <v>519</v>
      </c>
      <c r="L447" t="s">
        <v>200</v>
      </c>
      <c r="M447" t="s">
        <v>268</v>
      </c>
      <c r="N447" t="s">
        <v>12</v>
      </c>
      <c r="O447" t="s">
        <v>269</v>
      </c>
      <c r="P447">
        <v>0</v>
      </c>
      <c r="Q447">
        <v>0</v>
      </c>
      <c r="R447">
        <v>0</v>
      </c>
      <c r="S447">
        <v>0.25</v>
      </c>
      <c r="T447">
        <v>0.25</v>
      </c>
      <c r="U447">
        <v>0.25</v>
      </c>
      <c r="V447">
        <v>0.25</v>
      </c>
      <c r="W447">
        <v>0.25</v>
      </c>
      <c r="X447">
        <v>0.5</v>
      </c>
      <c r="Y447">
        <v>0.5</v>
      </c>
      <c r="Z447">
        <v>0.5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268</v>
      </c>
      <c r="AH447" t="s">
        <v>12</v>
      </c>
      <c r="AI447" t="s">
        <v>269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348.17250000000001</v>
      </c>
      <c r="AN447">
        <f>$H$447*$T$447</f>
        <v>348.17250000000001</v>
      </c>
      <c r="AO447">
        <f>$H$447*$U$447</f>
        <v>348.17250000000001</v>
      </c>
      <c r="AP447">
        <f>$H$447*$V$447</f>
        <v>348.17250000000001</v>
      </c>
      <c r="AQ447">
        <f>$H$447*$W$447</f>
        <v>348.17250000000001</v>
      </c>
      <c r="AR447">
        <f>$H$447*$X$447</f>
        <v>696.34500000000003</v>
      </c>
      <c r="AS447">
        <f>$H$447*$Y$447</f>
        <v>696.34500000000003</v>
      </c>
      <c r="AT447">
        <f>$H$447*$Z$447</f>
        <v>696.34500000000003</v>
      </c>
      <c r="AU447">
        <f>$H$447*$AA$447</f>
        <v>1392.69</v>
      </c>
      <c r="AV447">
        <f>$H$447*$AB$447</f>
        <v>1392.69</v>
      </c>
      <c r="AW447">
        <f>$H$447*$AC$447</f>
        <v>1392.69</v>
      </c>
      <c r="AX447">
        <f>$H$447*$AD$447</f>
        <v>1392.69</v>
      </c>
      <c r="AY447">
        <f>$H$447*$AE$447</f>
        <v>1392.69</v>
      </c>
      <c r="AZ447">
        <f>$H$447*$AF$447</f>
        <v>1392.69</v>
      </c>
    </row>
    <row r="448" spans="1:52" x14ac:dyDescent="0.25">
      <c r="A448">
        <v>503</v>
      </c>
      <c r="B448" t="s">
        <v>268</v>
      </c>
      <c r="C448" t="s">
        <v>383</v>
      </c>
      <c r="D448">
        <v>54.33</v>
      </c>
      <c r="E448">
        <v>49.44</v>
      </c>
      <c r="F448" t="s">
        <v>294</v>
      </c>
      <c r="G448">
        <v>0.91</v>
      </c>
      <c r="H448">
        <v>59.32</v>
      </c>
      <c r="I448" t="s">
        <v>295</v>
      </c>
      <c r="J448" t="s">
        <v>384</v>
      </c>
      <c r="K448" t="s">
        <v>547</v>
      </c>
      <c r="L448" t="s">
        <v>200</v>
      </c>
      <c r="M448" t="s">
        <v>268</v>
      </c>
      <c r="N448" t="s">
        <v>12</v>
      </c>
      <c r="O448" t="s">
        <v>269</v>
      </c>
      <c r="P448">
        <v>0</v>
      </c>
      <c r="Q448">
        <v>0</v>
      </c>
      <c r="R448">
        <v>0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268</v>
      </c>
      <c r="AH448" t="s">
        <v>12</v>
      </c>
      <c r="AI448" t="s">
        <v>269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59.32</v>
      </c>
      <c r="AN448">
        <f>$H$448*$T$448</f>
        <v>59.32</v>
      </c>
      <c r="AO448">
        <f>$H$448*$U$448</f>
        <v>59.32</v>
      </c>
      <c r="AP448">
        <f>$H$448*$V$448</f>
        <v>59.32</v>
      </c>
      <c r="AQ448">
        <f>$H$448*$W$448</f>
        <v>59.32</v>
      </c>
      <c r="AR448">
        <f>$H$448*$X$448</f>
        <v>59.32</v>
      </c>
      <c r="AS448">
        <f>$H$448*$Y$448</f>
        <v>59.32</v>
      </c>
      <c r="AT448">
        <f>$H$448*$Z$448</f>
        <v>59.32</v>
      </c>
      <c r="AU448">
        <f>$H$448*$AA$448</f>
        <v>59.32</v>
      </c>
      <c r="AV448">
        <f>$H$448*$AB$448</f>
        <v>59.32</v>
      </c>
      <c r="AW448">
        <f>$H$448*$AC$448</f>
        <v>59.32</v>
      </c>
      <c r="AX448">
        <f>$H$448*$AD$448</f>
        <v>59.32</v>
      </c>
      <c r="AY448">
        <f>$H$448*$AE$448</f>
        <v>59.32</v>
      </c>
      <c r="AZ448">
        <f>$H$448*$AF$448</f>
        <v>59.32</v>
      </c>
    </row>
    <row r="449" spans="1:52" x14ac:dyDescent="0.25">
      <c r="A449">
        <v>504</v>
      </c>
      <c r="B449" t="s">
        <v>268</v>
      </c>
      <c r="C449" t="s">
        <v>385</v>
      </c>
      <c r="D449">
        <v>54.33</v>
      </c>
      <c r="E449">
        <v>278.17</v>
      </c>
      <c r="F449" t="s">
        <v>294</v>
      </c>
      <c r="G449">
        <v>5.12</v>
      </c>
      <c r="H449">
        <v>333.81</v>
      </c>
      <c r="I449" t="s">
        <v>298</v>
      </c>
      <c r="J449" t="s">
        <v>386</v>
      </c>
      <c r="K449" t="s">
        <v>548</v>
      </c>
      <c r="L449" t="s">
        <v>200</v>
      </c>
      <c r="M449" t="s">
        <v>268</v>
      </c>
      <c r="N449" t="s">
        <v>12</v>
      </c>
      <c r="O449" t="s">
        <v>269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268</v>
      </c>
      <c r="AH449" t="s">
        <v>12</v>
      </c>
      <c r="AI449" t="s">
        <v>269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333.81</v>
      </c>
      <c r="AN449">
        <f>$H$449*$T$449</f>
        <v>333.81</v>
      </c>
      <c r="AO449">
        <f>$H$449*$U$449</f>
        <v>333.81</v>
      </c>
      <c r="AP449">
        <f>$H$449*$V$449</f>
        <v>333.81</v>
      </c>
      <c r="AQ449">
        <f>$H$449*$W$449</f>
        <v>333.81</v>
      </c>
      <c r="AR449">
        <f>$H$449*$X$449</f>
        <v>333.81</v>
      </c>
      <c r="AS449">
        <f>$H$449*$Y$449</f>
        <v>333.81</v>
      </c>
      <c r="AT449">
        <f>$H$449*$Z$449</f>
        <v>333.81</v>
      </c>
      <c r="AU449">
        <f>$H$449*$AA$449</f>
        <v>333.81</v>
      </c>
      <c r="AV449">
        <f>$H$449*$AB$449</f>
        <v>333.81</v>
      </c>
      <c r="AW449">
        <f>$H$449*$AC$449</f>
        <v>333.81</v>
      </c>
      <c r="AX449">
        <f>$H$449*$AD$449</f>
        <v>333.81</v>
      </c>
      <c r="AY449">
        <f>$H$449*$AE$449</f>
        <v>333.81</v>
      </c>
      <c r="AZ449">
        <f>$H$449*$AF$449</f>
        <v>333.81</v>
      </c>
    </row>
    <row r="450" spans="1:52" x14ac:dyDescent="0.25">
      <c r="A450">
        <v>505</v>
      </c>
      <c r="B450" t="s">
        <v>268</v>
      </c>
      <c r="C450" t="s">
        <v>326</v>
      </c>
      <c r="D450">
        <v>176.94</v>
      </c>
      <c r="E450">
        <v>472.43</v>
      </c>
      <c r="F450" t="s">
        <v>313</v>
      </c>
      <c r="G450">
        <v>2.67</v>
      </c>
      <c r="H450">
        <v>566.91</v>
      </c>
      <c r="I450" t="s">
        <v>327</v>
      </c>
      <c r="J450" t="s">
        <v>328</v>
      </c>
      <c r="K450" t="s">
        <v>519</v>
      </c>
      <c r="L450" t="s">
        <v>200</v>
      </c>
      <c r="M450" t="s">
        <v>268</v>
      </c>
      <c r="N450" t="s">
        <v>12</v>
      </c>
      <c r="O450" t="s">
        <v>269</v>
      </c>
      <c r="P450">
        <v>0</v>
      </c>
      <c r="Q450">
        <v>0</v>
      </c>
      <c r="R450">
        <v>0</v>
      </c>
      <c r="S450">
        <v>0.25</v>
      </c>
      <c r="T450">
        <v>0.25</v>
      </c>
      <c r="U450">
        <v>0.25</v>
      </c>
      <c r="V450">
        <v>0.25</v>
      </c>
      <c r="W450">
        <v>0.25</v>
      </c>
      <c r="X450">
        <v>0.5</v>
      </c>
      <c r="Y450">
        <v>0.5</v>
      </c>
      <c r="Z450">
        <v>0.5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268</v>
      </c>
      <c r="AH450" t="s">
        <v>12</v>
      </c>
      <c r="AI450" t="s">
        <v>269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141.72749999999999</v>
      </c>
      <c r="AN450">
        <f>$H$450*$T$450</f>
        <v>141.72749999999999</v>
      </c>
      <c r="AO450">
        <f>$H$450*$U$450</f>
        <v>141.72749999999999</v>
      </c>
      <c r="AP450">
        <f>$H$450*$V$450</f>
        <v>141.72749999999999</v>
      </c>
      <c r="AQ450">
        <f>$H$450*$W$450</f>
        <v>141.72749999999999</v>
      </c>
      <c r="AR450">
        <f>$H$450*$X$450</f>
        <v>283.45499999999998</v>
      </c>
      <c r="AS450">
        <f>$H$450*$Y$450</f>
        <v>283.45499999999998</v>
      </c>
      <c r="AT450">
        <f>$H$450*$Z$450</f>
        <v>283.45499999999998</v>
      </c>
      <c r="AU450">
        <f>$H$450*$AA$450</f>
        <v>566.91</v>
      </c>
      <c r="AV450">
        <f>$H$450*$AB$450</f>
        <v>566.91</v>
      </c>
      <c r="AW450">
        <f>$H$450*$AC$450</f>
        <v>566.91</v>
      </c>
      <c r="AX450">
        <f>$H$450*$AD$450</f>
        <v>566.91</v>
      </c>
      <c r="AY450">
        <f>$H$450*$AE$450</f>
        <v>566.91</v>
      </c>
      <c r="AZ450">
        <f>$H$450*$AF$450</f>
        <v>566.91</v>
      </c>
    </row>
    <row r="451" spans="1:52" x14ac:dyDescent="0.25">
      <c r="A451">
        <v>506</v>
      </c>
      <c r="B451" t="s">
        <v>268</v>
      </c>
      <c r="C451" t="s">
        <v>387</v>
      </c>
      <c r="D451">
        <v>176.94</v>
      </c>
      <c r="E451">
        <v>111.47</v>
      </c>
      <c r="F451" t="s">
        <v>313</v>
      </c>
      <c r="G451">
        <v>0.63</v>
      </c>
      <c r="H451">
        <v>133.77000000000001</v>
      </c>
      <c r="I451" t="s">
        <v>295</v>
      </c>
      <c r="J451" t="s">
        <v>388</v>
      </c>
      <c r="K451" t="s">
        <v>549</v>
      </c>
      <c r="L451" t="s">
        <v>200</v>
      </c>
      <c r="M451" t="s">
        <v>268</v>
      </c>
      <c r="N451" t="s">
        <v>12</v>
      </c>
      <c r="O451" t="s">
        <v>269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1</v>
      </c>
      <c r="AE451">
        <v>1</v>
      </c>
      <c r="AF451">
        <v>1</v>
      </c>
      <c r="AG451" t="s">
        <v>268</v>
      </c>
      <c r="AH451" t="s">
        <v>12</v>
      </c>
      <c r="AI451" t="s">
        <v>269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0</v>
      </c>
      <c r="AN451">
        <f>$H$451*$T$451</f>
        <v>0</v>
      </c>
      <c r="AO451">
        <f>$H$451*$U$451</f>
        <v>0</v>
      </c>
      <c r="AP451">
        <f>$H$451*$V$451</f>
        <v>0</v>
      </c>
      <c r="AQ451">
        <f>$H$451*$W$451</f>
        <v>0</v>
      </c>
      <c r="AR451">
        <f>$H$451*$X$451</f>
        <v>0</v>
      </c>
      <c r="AS451">
        <f>$H$451*$Y$451</f>
        <v>0</v>
      </c>
      <c r="AT451">
        <f>$H$451*$Z$451</f>
        <v>0</v>
      </c>
      <c r="AU451">
        <f>$H$451*$AA$451</f>
        <v>0</v>
      </c>
      <c r="AV451">
        <f>$H$451*$AB$451</f>
        <v>0</v>
      </c>
      <c r="AW451">
        <f>$H$451*$AC$451</f>
        <v>0</v>
      </c>
      <c r="AX451">
        <f>$H$451*$AD$451</f>
        <v>133.77000000000001</v>
      </c>
      <c r="AY451">
        <f>$H$451*$AE$451</f>
        <v>133.77000000000001</v>
      </c>
      <c r="AZ451">
        <f>$H$451*$AF$451</f>
        <v>133.77000000000001</v>
      </c>
    </row>
    <row r="452" spans="1:52" x14ac:dyDescent="0.25">
      <c r="A452">
        <v>507</v>
      </c>
      <c r="B452" t="s">
        <v>268</v>
      </c>
      <c r="C452" t="s">
        <v>389</v>
      </c>
      <c r="D452">
        <v>176.94</v>
      </c>
      <c r="E452">
        <v>122.09</v>
      </c>
      <c r="F452" t="s">
        <v>313</v>
      </c>
      <c r="G452">
        <v>0.69</v>
      </c>
      <c r="H452">
        <v>146.51</v>
      </c>
      <c r="I452" t="s">
        <v>295</v>
      </c>
      <c r="J452" t="s">
        <v>390</v>
      </c>
      <c r="K452" t="s">
        <v>550</v>
      </c>
      <c r="L452" t="s">
        <v>200</v>
      </c>
      <c r="M452" t="s">
        <v>268</v>
      </c>
      <c r="N452" t="s">
        <v>12</v>
      </c>
      <c r="O452" t="s">
        <v>269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268</v>
      </c>
      <c r="AH452" t="s">
        <v>12</v>
      </c>
      <c r="AI452" t="s">
        <v>269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146.51</v>
      </c>
      <c r="AN452">
        <f>$H$452*$T$452</f>
        <v>146.51</v>
      </c>
      <c r="AO452">
        <f>$H$452*$U$452</f>
        <v>146.51</v>
      </c>
      <c r="AP452">
        <f>$H$452*$V$452</f>
        <v>146.51</v>
      </c>
      <c r="AQ452">
        <f>$H$452*$W$452</f>
        <v>146.51</v>
      </c>
      <c r="AR452">
        <f>$H$452*$X$452</f>
        <v>146.51</v>
      </c>
      <c r="AS452">
        <f>$H$452*$Y$452</f>
        <v>146.51</v>
      </c>
      <c r="AT452">
        <f>$H$452*$Z$452</f>
        <v>146.51</v>
      </c>
      <c r="AU452">
        <f>$H$452*$AA$452</f>
        <v>146.51</v>
      </c>
      <c r="AV452">
        <f>$H$452*$AB$452</f>
        <v>146.51</v>
      </c>
      <c r="AW452">
        <f>$H$452*$AC$452</f>
        <v>146.51</v>
      </c>
      <c r="AX452">
        <f>$H$452*$AD$452</f>
        <v>146.51</v>
      </c>
      <c r="AY452">
        <f>$H$452*$AE$452</f>
        <v>146.51</v>
      </c>
      <c r="AZ452">
        <f>$H$452*$AF$452</f>
        <v>146.51</v>
      </c>
    </row>
    <row r="453" spans="1:52" x14ac:dyDescent="0.25">
      <c r="A453">
        <v>508</v>
      </c>
      <c r="B453" t="s">
        <v>268</v>
      </c>
      <c r="C453" t="s">
        <v>391</v>
      </c>
      <c r="D453">
        <v>37.159999999999997</v>
      </c>
      <c r="E453">
        <v>211.44</v>
      </c>
      <c r="F453" t="s">
        <v>313</v>
      </c>
      <c r="G453">
        <v>5.69</v>
      </c>
      <c r="H453">
        <v>253.72</v>
      </c>
      <c r="I453" t="s">
        <v>392</v>
      </c>
      <c r="J453" t="s">
        <v>393</v>
      </c>
      <c r="K453" t="s">
        <v>551</v>
      </c>
      <c r="L453" t="s">
        <v>200</v>
      </c>
      <c r="M453" t="s">
        <v>268</v>
      </c>
      <c r="N453" t="s">
        <v>12</v>
      </c>
      <c r="O453" t="s">
        <v>269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268</v>
      </c>
      <c r="AH453" t="s">
        <v>12</v>
      </c>
      <c r="AI453" t="s">
        <v>269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253.72</v>
      </c>
      <c r="AN453">
        <f>$H$453*$T$453</f>
        <v>253.72</v>
      </c>
      <c r="AO453">
        <f>$H$453*$U$453</f>
        <v>253.72</v>
      </c>
      <c r="AP453">
        <f>$H$453*$V$453</f>
        <v>253.72</v>
      </c>
      <c r="AQ453">
        <f>$H$453*$W$453</f>
        <v>253.72</v>
      </c>
      <c r="AR453">
        <f>$H$453*$X$453</f>
        <v>253.72</v>
      </c>
      <c r="AS453">
        <f>$H$453*$Y$453</f>
        <v>253.72</v>
      </c>
      <c r="AT453">
        <f>$H$453*$Z$453</f>
        <v>253.72</v>
      </c>
      <c r="AU453">
        <f>$H$453*$AA$453</f>
        <v>253.72</v>
      </c>
      <c r="AV453">
        <f>$H$453*$AB$453</f>
        <v>253.72</v>
      </c>
      <c r="AW453">
        <f>$H$453*$AC$453</f>
        <v>253.72</v>
      </c>
      <c r="AX453">
        <f>$H$453*$AD$453</f>
        <v>253.72</v>
      </c>
      <c r="AY453">
        <f>$H$453*$AE$453</f>
        <v>253.72</v>
      </c>
      <c r="AZ453">
        <f>$H$453*$AF$453</f>
        <v>253.72</v>
      </c>
    </row>
    <row r="454" spans="1:52" x14ac:dyDescent="0.25">
      <c r="A454">
        <v>509</v>
      </c>
      <c r="B454" t="s">
        <v>268</v>
      </c>
      <c r="C454" t="s">
        <v>394</v>
      </c>
      <c r="D454">
        <v>40.700000000000003</v>
      </c>
      <c r="E454">
        <v>240.94</v>
      </c>
      <c r="F454" t="s">
        <v>313</v>
      </c>
      <c r="G454">
        <v>5.92</v>
      </c>
      <c r="H454">
        <v>289.12</v>
      </c>
      <c r="I454" t="s">
        <v>392</v>
      </c>
      <c r="J454" t="s">
        <v>334</v>
      </c>
      <c r="K454" t="s">
        <v>552</v>
      </c>
      <c r="L454" t="s">
        <v>200</v>
      </c>
      <c r="M454" t="s">
        <v>268</v>
      </c>
      <c r="N454" t="s">
        <v>12</v>
      </c>
      <c r="O454" t="s">
        <v>269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268</v>
      </c>
      <c r="AH454" t="s">
        <v>12</v>
      </c>
      <c r="AI454" t="s">
        <v>269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289.12</v>
      </c>
      <c r="AN454">
        <f>$H$454*$T$454</f>
        <v>289.12</v>
      </c>
      <c r="AO454">
        <f>$H$454*$U$454</f>
        <v>289.12</v>
      </c>
      <c r="AP454">
        <f>$H$454*$V$454</f>
        <v>289.12</v>
      </c>
      <c r="AQ454">
        <f>$H$454*$W$454</f>
        <v>289.12</v>
      </c>
      <c r="AR454">
        <f>$H$454*$X$454</f>
        <v>289.12</v>
      </c>
      <c r="AS454">
        <f>$H$454*$Y$454</f>
        <v>289.12</v>
      </c>
      <c r="AT454">
        <f>$H$454*$Z$454</f>
        <v>289.12</v>
      </c>
      <c r="AU454">
        <f>$H$454*$AA$454</f>
        <v>289.12</v>
      </c>
      <c r="AV454">
        <f>$H$454*$AB$454</f>
        <v>289.12</v>
      </c>
      <c r="AW454">
        <f>$H$454*$AC$454</f>
        <v>289.12</v>
      </c>
      <c r="AX454">
        <f>$H$454*$AD$454</f>
        <v>289.12</v>
      </c>
      <c r="AY454">
        <f>$H$454*$AE$454</f>
        <v>289.12</v>
      </c>
      <c r="AZ454">
        <f>$H$454*$AF$454</f>
        <v>289.12</v>
      </c>
    </row>
    <row r="455" spans="1:52" x14ac:dyDescent="0.25">
      <c r="A455">
        <v>510</v>
      </c>
      <c r="B455" t="s">
        <v>268</v>
      </c>
      <c r="C455" t="s">
        <v>395</v>
      </c>
      <c r="D455">
        <v>36.99</v>
      </c>
      <c r="E455">
        <v>201.97</v>
      </c>
      <c r="F455" t="s">
        <v>313</v>
      </c>
      <c r="G455">
        <v>5.46</v>
      </c>
      <c r="H455">
        <v>242.37</v>
      </c>
      <c r="I455" t="s">
        <v>396</v>
      </c>
      <c r="J455" t="s">
        <v>397</v>
      </c>
      <c r="K455" t="s">
        <v>553</v>
      </c>
      <c r="L455" t="s">
        <v>200</v>
      </c>
      <c r="M455" t="s">
        <v>268</v>
      </c>
      <c r="N455" t="s">
        <v>12</v>
      </c>
      <c r="O455" t="s">
        <v>269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268</v>
      </c>
      <c r="AH455" t="s">
        <v>12</v>
      </c>
      <c r="AI455" t="s">
        <v>269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242.37</v>
      </c>
      <c r="AN455">
        <f>$H$455*$T$455</f>
        <v>242.37</v>
      </c>
      <c r="AO455">
        <f>$H$455*$U$455</f>
        <v>242.37</v>
      </c>
      <c r="AP455">
        <f>$H$455*$V$455</f>
        <v>242.37</v>
      </c>
      <c r="AQ455">
        <f>$H$455*$W$455</f>
        <v>242.37</v>
      </c>
      <c r="AR455">
        <f>$H$455*$X$455</f>
        <v>242.37</v>
      </c>
      <c r="AS455">
        <f>$H$455*$Y$455</f>
        <v>242.37</v>
      </c>
      <c r="AT455">
        <f>$H$455*$Z$455</f>
        <v>242.37</v>
      </c>
      <c r="AU455">
        <f>$H$455*$AA$455</f>
        <v>242.37</v>
      </c>
      <c r="AV455">
        <f>$H$455*$AB$455</f>
        <v>242.37</v>
      </c>
      <c r="AW455">
        <f>$H$455*$AC$455</f>
        <v>242.37</v>
      </c>
      <c r="AX455">
        <f>$H$455*$AD$455</f>
        <v>242.37</v>
      </c>
      <c r="AY455">
        <f>$H$455*$AE$455</f>
        <v>242.37</v>
      </c>
      <c r="AZ455">
        <f>$H$455*$AF$455</f>
        <v>242.37</v>
      </c>
    </row>
    <row r="456" spans="1:52" x14ac:dyDescent="0.25">
      <c r="A456">
        <v>511</v>
      </c>
      <c r="B456" t="s">
        <v>268</v>
      </c>
      <c r="C456" t="s">
        <v>398</v>
      </c>
      <c r="D456">
        <v>36.99</v>
      </c>
      <c r="E456">
        <v>132.41999999999999</v>
      </c>
      <c r="F456" t="s">
        <v>313</v>
      </c>
      <c r="G456">
        <v>3.58</v>
      </c>
      <c r="H456">
        <v>158.9</v>
      </c>
      <c r="I456" t="s">
        <v>396</v>
      </c>
      <c r="J456" t="s">
        <v>399</v>
      </c>
      <c r="K456" t="s">
        <v>554</v>
      </c>
      <c r="L456" t="s">
        <v>200</v>
      </c>
      <c r="M456" t="s">
        <v>268</v>
      </c>
      <c r="N456" t="s">
        <v>12</v>
      </c>
      <c r="O456" t="s">
        <v>269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268</v>
      </c>
      <c r="AH456" t="s">
        <v>12</v>
      </c>
      <c r="AI456" t="s">
        <v>269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158.9</v>
      </c>
      <c r="AN456">
        <f>$H$456*$T$456</f>
        <v>158.9</v>
      </c>
      <c r="AO456">
        <f>$H$456*$U$456</f>
        <v>158.9</v>
      </c>
      <c r="AP456">
        <f>$H$456*$V$456</f>
        <v>158.9</v>
      </c>
      <c r="AQ456">
        <f>$H$456*$W$456</f>
        <v>158.9</v>
      </c>
      <c r="AR456">
        <f>$H$456*$X$456</f>
        <v>158.9</v>
      </c>
      <c r="AS456">
        <f>$H$456*$Y$456</f>
        <v>158.9</v>
      </c>
      <c r="AT456">
        <f>$H$456*$Z$456</f>
        <v>158.9</v>
      </c>
      <c r="AU456">
        <f>$H$456*$AA$456</f>
        <v>158.9</v>
      </c>
      <c r="AV456">
        <f>$H$456*$AB$456</f>
        <v>158.9</v>
      </c>
      <c r="AW456">
        <f>$H$456*$AC$456</f>
        <v>158.9</v>
      </c>
      <c r="AX456">
        <f>$H$456*$AD$456</f>
        <v>158.9</v>
      </c>
      <c r="AY456">
        <f>$H$456*$AE$456</f>
        <v>158.9</v>
      </c>
      <c r="AZ456">
        <f>$H$456*$AF$456</f>
        <v>158.9</v>
      </c>
    </row>
    <row r="457" spans="1:52" x14ac:dyDescent="0.25">
      <c r="A457">
        <v>512</v>
      </c>
      <c r="B457" t="s">
        <v>268</v>
      </c>
      <c r="C457" t="s">
        <v>400</v>
      </c>
      <c r="D457">
        <v>36.99</v>
      </c>
      <c r="E457">
        <v>321.81</v>
      </c>
      <c r="F457" t="s">
        <v>313</v>
      </c>
      <c r="G457">
        <v>8.6999999999999993</v>
      </c>
      <c r="H457">
        <v>386.17</v>
      </c>
      <c r="I457" t="s">
        <v>396</v>
      </c>
      <c r="J457" t="s">
        <v>334</v>
      </c>
      <c r="K457" t="s">
        <v>555</v>
      </c>
      <c r="L457" t="s">
        <v>200</v>
      </c>
      <c r="M457" t="s">
        <v>268</v>
      </c>
      <c r="N457" t="s">
        <v>12</v>
      </c>
      <c r="O457" t="s">
        <v>269</v>
      </c>
      <c r="P457">
        <v>0</v>
      </c>
      <c r="Q457">
        <v>0</v>
      </c>
      <c r="R457">
        <v>0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268</v>
      </c>
      <c r="AH457" t="s">
        <v>12</v>
      </c>
      <c r="AI457" t="s">
        <v>269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386.17</v>
      </c>
      <c r="AN457">
        <f>$H$457*$T$457</f>
        <v>386.17</v>
      </c>
      <c r="AO457">
        <f>$H$457*$U$457</f>
        <v>386.17</v>
      </c>
      <c r="AP457">
        <f>$H$457*$V$457</f>
        <v>386.17</v>
      </c>
      <c r="AQ457">
        <f>$H$457*$W$457</f>
        <v>386.17</v>
      </c>
      <c r="AR457">
        <f>$H$457*$X$457</f>
        <v>386.17</v>
      </c>
      <c r="AS457">
        <f>$H$457*$Y$457</f>
        <v>386.17</v>
      </c>
      <c r="AT457">
        <f>$H$457*$Z$457</f>
        <v>386.17</v>
      </c>
      <c r="AU457">
        <f>$H$457*$AA$457</f>
        <v>386.17</v>
      </c>
      <c r="AV457">
        <f>$H$457*$AB$457</f>
        <v>386.17</v>
      </c>
      <c r="AW457">
        <f>$H$457*$AC$457</f>
        <v>386.17</v>
      </c>
      <c r="AX457">
        <f>$H$457*$AD$457</f>
        <v>386.17</v>
      </c>
      <c r="AY457">
        <f>$H$457*$AE$457</f>
        <v>386.17</v>
      </c>
      <c r="AZ457">
        <f>$H$457*$AF$457</f>
        <v>386.17</v>
      </c>
    </row>
    <row r="458" spans="1:52" x14ac:dyDescent="0.25">
      <c r="A458">
        <v>513</v>
      </c>
      <c r="B458" t="s">
        <v>268</v>
      </c>
      <c r="C458" t="s">
        <v>401</v>
      </c>
      <c r="D458">
        <v>40.700000000000003</v>
      </c>
      <c r="E458">
        <v>32.15</v>
      </c>
      <c r="F458" t="s">
        <v>313</v>
      </c>
      <c r="G458">
        <v>0.79</v>
      </c>
      <c r="H458">
        <v>38.590000000000003</v>
      </c>
      <c r="I458" t="s">
        <v>339</v>
      </c>
      <c r="J458" t="s">
        <v>402</v>
      </c>
      <c r="K458" t="s">
        <v>556</v>
      </c>
      <c r="L458" t="s">
        <v>200</v>
      </c>
      <c r="M458" t="s">
        <v>268</v>
      </c>
      <c r="N458" t="s">
        <v>12</v>
      </c>
      <c r="O458" t="s">
        <v>269</v>
      </c>
      <c r="P458">
        <v>0</v>
      </c>
      <c r="Q458">
        <v>0</v>
      </c>
      <c r="R458">
        <v>0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268</v>
      </c>
      <c r="AH458" t="s">
        <v>12</v>
      </c>
      <c r="AI458" t="s">
        <v>269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38.590000000000003</v>
      </c>
      <c r="AN458">
        <f>$H$458*$T$458</f>
        <v>38.590000000000003</v>
      </c>
      <c r="AO458">
        <f>$H$458*$U$458</f>
        <v>38.590000000000003</v>
      </c>
      <c r="AP458">
        <f>$H$458*$V$458</f>
        <v>38.590000000000003</v>
      </c>
      <c r="AQ458">
        <f>$H$458*$W$458</f>
        <v>38.590000000000003</v>
      </c>
      <c r="AR458">
        <f>$H$458*$X$458</f>
        <v>38.590000000000003</v>
      </c>
      <c r="AS458">
        <f>$H$458*$Y$458</f>
        <v>38.590000000000003</v>
      </c>
      <c r="AT458">
        <f>$H$458*$Z$458</f>
        <v>38.590000000000003</v>
      </c>
      <c r="AU458">
        <f>$H$458*$AA$458</f>
        <v>38.590000000000003</v>
      </c>
      <c r="AV458">
        <f>$H$458*$AB$458</f>
        <v>38.590000000000003</v>
      </c>
      <c r="AW458">
        <f>$H$458*$AC$458</f>
        <v>38.590000000000003</v>
      </c>
      <c r="AX458">
        <f>$H$458*$AD$458</f>
        <v>38.590000000000003</v>
      </c>
      <c r="AY458">
        <f>$H$458*$AE$458</f>
        <v>38.590000000000003</v>
      </c>
      <c r="AZ458">
        <f>$H$458*$AF$458</f>
        <v>38.590000000000003</v>
      </c>
    </row>
    <row r="459" spans="1:52" x14ac:dyDescent="0.25">
      <c r="A459">
        <v>514</v>
      </c>
      <c r="B459" t="s">
        <v>268</v>
      </c>
      <c r="C459" t="s">
        <v>403</v>
      </c>
      <c r="D459">
        <v>40.700000000000003</v>
      </c>
      <c r="E459">
        <v>216.93</v>
      </c>
      <c r="F459" t="s">
        <v>313</v>
      </c>
      <c r="G459">
        <v>5.33</v>
      </c>
      <c r="H459">
        <v>260.31</v>
      </c>
      <c r="I459" t="s">
        <v>339</v>
      </c>
      <c r="J459" t="s">
        <v>334</v>
      </c>
      <c r="K459" t="s">
        <v>557</v>
      </c>
      <c r="L459" t="s">
        <v>200</v>
      </c>
      <c r="M459" t="s">
        <v>268</v>
      </c>
      <c r="N459" t="s">
        <v>12</v>
      </c>
      <c r="O459" t="s">
        <v>269</v>
      </c>
      <c r="P459">
        <v>0</v>
      </c>
      <c r="Q459">
        <v>0</v>
      </c>
      <c r="R459">
        <v>0</v>
      </c>
      <c r="S459">
        <v>1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268</v>
      </c>
      <c r="AH459" t="s">
        <v>12</v>
      </c>
      <c r="AI459" t="s">
        <v>269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260.31</v>
      </c>
      <c r="AN459">
        <f>$H$459*$T$459</f>
        <v>260.31</v>
      </c>
      <c r="AO459">
        <f>$H$459*$U$459</f>
        <v>260.31</v>
      </c>
      <c r="AP459">
        <f>$H$459*$V$459</f>
        <v>260.31</v>
      </c>
      <c r="AQ459">
        <f>$H$459*$W$459</f>
        <v>260.31</v>
      </c>
      <c r="AR459">
        <f>$H$459*$X$459</f>
        <v>260.31</v>
      </c>
      <c r="AS459">
        <f>$H$459*$Y$459</f>
        <v>260.31</v>
      </c>
      <c r="AT459">
        <f>$H$459*$Z$459</f>
        <v>260.31</v>
      </c>
      <c r="AU459">
        <f>$H$459*$AA$459</f>
        <v>260.31</v>
      </c>
      <c r="AV459">
        <f>$H$459*$AB$459</f>
        <v>260.31</v>
      </c>
      <c r="AW459">
        <f>$H$459*$AC$459</f>
        <v>260.31</v>
      </c>
      <c r="AX459">
        <f>$H$459*$AD$459</f>
        <v>260.31</v>
      </c>
      <c r="AY459">
        <f>$H$459*$AE$459</f>
        <v>260.31</v>
      </c>
      <c r="AZ459">
        <f>$H$459*$AF$459</f>
        <v>260.31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8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270</v>
      </c>
      <c r="B2">
        <v>39.270000000000003</v>
      </c>
      <c r="D2" t="s">
        <v>607</v>
      </c>
      <c r="E2">
        <v>7</v>
      </c>
      <c r="F2">
        <v>3</v>
      </c>
      <c r="G2">
        <v>5</v>
      </c>
      <c r="H2">
        <v>5</v>
      </c>
      <c r="I2">
        <v>8</v>
      </c>
      <c r="J2">
        <v>0</v>
      </c>
    </row>
    <row r="3" spans="1:10" x14ac:dyDescent="0.25">
      <c r="A3" t="s">
        <v>255</v>
      </c>
      <c r="B3">
        <v>32.619999999999997</v>
      </c>
      <c r="D3" t="s">
        <v>608</v>
      </c>
      <c r="E3">
        <v>7</v>
      </c>
      <c r="F3">
        <v>3</v>
      </c>
      <c r="G3">
        <v>4</v>
      </c>
      <c r="H3">
        <v>6</v>
      </c>
      <c r="I3">
        <v>8</v>
      </c>
      <c r="J3">
        <v>0</v>
      </c>
    </row>
    <row r="4" spans="1:10" x14ac:dyDescent="0.25">
      <c r="A4" t="s">
        <v>258</v>
      </c>
      <c r="B4">
        <v>20.25</v>
      </c>
      <c r="D4" t="s">
        <v>609</v>
      </c>
      <c r="E4">
        <v>4</v>
      </c>
      <c r="F4">
        <v>6</v>
      </c>
      <c r="G4">
        <v>4</v>
      </c>
      <c r="H4">
        <v>6</v>
      </c>
      <c r="I4">
        <v>8</v>
      </c>
      <c r="J4">
        <v>0</v>
      </c>
    </row>
    <row r="5" spans="1:10" x14ac:dyDescent="0.25">
      <c r="A5" t="s">
        <v>257</v>
      </c>
      <c r="B5">
        <v>32.619999999999997</v>
      </c>
      <c r="D5" t="s">
        <v>608</v>
      </c>
      <c r="E5">
        <v>7</v>
      </c>
      <c r="F5">
        <v>3</v>
      </c>
      <c r="G5">
        <v>4</v>
      </c>
      <c r="H5">
        <v>6</v>
      </c>
      <c r="I5">
        <v>8</v>
      </c>
      <c r="J5">
        <v>0</v>
      </c>
    </row>
    <row r="6" spans="1:10" x14ac:dyDescent="0.25">
      <c r="A6" t="s">
        <v>272</v>
      </c>
      <c r="B6">
        <v>28.5</v>
      </c>
      <c r="D6" t="s">
        <v>610</v>
      </c>
      <c r="E6">
        <v>6</v>
      </c>
      <c r="F6">
        <v>4</v>
      </c>
      <c r="G6">
        <v>4</v>
      </c>
      <c r="H6">
        <v>6</v>
      </c>
      <c r="I6">
        <v>8</v>
      </c>
      <c r="J6">
        <v>0</v>
      </c>
    </row>
    <row r="7" spans="1:10" x14ac:dyDescent="0.25">
      <c r="A7" t="s">
        <v>274</v>
      </c>
      <c r="B7">
        <v>65.849999999999994</v>
      </c>
      <c r="D7" t="s">
        <v>611</v>
      </c>
      <c r="E7">
        <v>9</v>
      </c>
      <c r="F7">
        <v>1</v>
      </c>
      <c r="G7">
        <v>7</v>
      </c>
      <c r="H7">
        <v>3</v>
      </c>
      <c r="I7">
        <v>8</v>
      </c>
      <c r="J7">
        <v>0</v>
      </c>
    </row>
    <row r="8" spans="1:10" x14ac:dyDescent="0.25">
      <c r="A8" t="s">
        <v>275</v>
      </c>
      <c r="B8">
        <v>65.849999999999994</v>
      </c>
      <c r="D8" t="s">
        <v>611</v>
      </c>
      <c r="E8">
        <v>9</v>
      </c>
      <c r="F8">
        <v>1</v>
      </c>
      <c r="G8">
        <v>7</v>
      </c>
      <c r="H8">
        <v>3</v>
      </c>
      <c r="I8">
        <v>8</v>
      </c>
      <c r="J8">
        <v>0</v>
      </c>
    </row>
    <row r="9" spans="1:10" x14ac:dyDescent="0.25">
      <c r="A9" t="s">
        <v>265</v>
      </c>
      <c r="B9">
        <v>115.06</v>
      </c>
      <c r="D9" t="s">
        <v>612</v>
      </c>
      <c r="E9">
        <v>12</v>
      </c>
      <c r="F9">
        <v>8</v>
      </c>
      <c r="G9">
        <v>9</v>
      </c>
      <c r="H9">
        <v>1</v>
      </c>
      <c r="I9">
        <v>8</v>
      </c>
      <c r="J9">
        <v>0</v>
      </c>
    </row>
    <row r="10" spans="1:10" x14ac:dyDescent="0.25">
      <c r="A10" t="s">
        <v>261</v>
      </c>
      <c r="B10">
        <v>137.22</v>
      </c>
      <c r="D10" t="s">
        <v>613</v>
      </c>
      <c r="E10">
        <v>12</v>
      </c>
      <c r="F10">
        <v>8</v>
      </c>
      <c r="G10">
        <v>10</v>
      </c>
      <c r="H10">
        <v>10</v>
      </c>
      <c r="I10">
        <v>8</v>
      </c>
      <c r="J10">
        <v>0</v>
      </c>
    </row>
    <row r="11" spans="1:10" x14ac:dyDescent="0.25">
      <c r="A11" t="s">
        <v>7</v>
      </c>
      <c r="B11">
        <v>90.83</v>
      </c>
      <c r="D11" t="s">
        <v>614</v>
      </c>
      <c r="E11">
        <v>10</v>
      </c>
      <c r="F11">
        <v>0</v>
      </c>
      <c r="G11">
        <v>9</v>
      </c>
      <c r="H11">
        <v>1</v>
      </c>
      <c r="I11">
        <v>8</v>
      </c>
      <c r="J11">
        <v>0</v>
      </c>
    </row>
    <row r="12" spans="1:10" x14ac:dyDescent="0.25">
      <c r="A12" t="s">
        <v>263</v>
      </c>
      <c r="B12">
        <v>183.67</v>
      </c>
      <c r="D12" t="s">
        <v>615</v>
      </c>
      <c r="E12">
        <v>14</v>
      </c>
      <c r="F12">
        <v>6</v>
      </c>
      <c r="G12">
        <v>12</v>
      </c>
      <c r="H12">
        <v>8</v>
      </c>
      <c r="I12">
        <v>8</v>
      </c>
      <c r="J12">
        <v>0</v>
      </c>
    </row>
    <row r="13" spans="1:10" x14ac:dyDescent="0.25">
      <c r="A13" t="s">
        <v>4</v>
      </c>
      <c r="B13">
        <v>82.51</v>
      </c>
      <c r="D13" t="s">
        <v>616</v>
      </c>
      <c r="E13">
        <v>9</v>
      </c>
      <c r="F13">
        <v>1</v>
      </c>
      <c r="G13">
        <v>9</v>
      </c>
      <c r="H13">
        <v>1</v>
      </c>
      <c r="I13">
        <v>8</v>
      </c>
      <c r="J13">
        <v>0</v>
      </c>
    </row>
    <row r="14" spans="1:10" x14ac:dyDescent="0.25">
      <c r="A14" t="s">
        <v>5</v>
      </c>
      <c r="B14">
        <v>82.51</v>
      </c>
      <c r="D14" t="s">
        <v>616</v>
      </c>
      <c r="E14">
        <v>9</v>
      </c>
      <c r="F14">
        <v>1</v>
      </c>
      <c r="G14">
        <v>9</v>
      </c>
      <c r="H14">
        <v>1</v>
      </c>
      <c r="I14">
        <v>8</v>
      </c>
      <c r="J14">
        <v>0</v>
      </c>
    </row>
    <row r="15" spans="1:10" x14ac:dyDescent="0.25">
      <c r="A15" t="s">
        <v>266</v>
      </c>
      <c r="B15">
        <v>229.06</v>
      </c>
      <c r="D15" t="s">
        <v>617</v>
      </c>
      <c r="E15">
        <v>18</v>
      </c>
      <c r="F15">
        <v>1</v>
      </c>
      <c r="G15">
        <v>12</v>
      </c>
      <c r="H15">
        <v>8</v>
      </c>
      <c r="I15">
        <v>8</v>
      </c>
      <c r="J15">
        <v>0</v>
      </c>
    </row>
    <row r="16" spans="1:10" x14ac:dyDescent="0.25">
      <c r="A16" t="s">
        <v>502</v>
      </c>
      <c r="B16">
        <v>119.17</v>
      </c>
      <c r="D16" t="s">
        <v>618</v>
      </c>
      <c r="E16">
        <v>10</v>
      </c>
      <c r="F16">
        <v>11</v>
      </c>
      <c r="G16">
        <v>10</v>
      </c>
      <c r="H16">
        <v>11</v>
      </c>
      <c r="I16">
        <v>8</v>
      </c>
      <c r="J16">
        <v>0</v>
      </c>
    </row>
    <row r="17" spans="1:10" x14ac:dyDescent="0.25">
      <c r="A17" t="s">
        <v>6</v>
      </c>
      <c r="B17">
        <v>73.58</v>
      </c>
      <c r="D17" t="s">
        <v>619</v>
      </c>
      <c r="E17">
        <v>13</v>
      </c>
      <c r="F17">
        <v>7</v>
      </c>
      <c r="G17">
        <v>5</v>
      </c>
      <c r="H17">
        <v>5</v>
      </c>
      <c r="I17">
        <v>8</v>
      </c>
      <c r="J17">
        <v>0</v>
      </c>
    </row>
    <row r="18" spans="1:10" x14ac:dyDescent="0.25">
      <c r="A18" t="s">
        <v>268</v>
      </c>
      <c r="B18">
        <v>176.94</v>
      </c>
      <c r="D18" t="s">
        <v>620</v>
      </c>
      <c r="E18">
        <v>16</v>
      </c>
      <c r="F18">
        <v>4</v>
      </c>
      <c r="G18">
        <v>10</v>
      </c>
      <c r="H18">
        <v>10</v>
      </c>
      <c r="I18">
        <v>8</v>
      </c>
      <c r="J18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0"/>
  <sheetViews>
    <sheetView workbookViewId="0">
      <selection activeCell="G3" sqref="G3:O21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621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08:29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515</v>
      </c>
      <c r="H3" s="66" t="s">
        <v>159</v>
      </c>
      <c r="I3" s="66" t="s">
        <v>159</v>
      </c>
      <c r="J3" s="65" t="s">
        <v>26</v>
      </c>
      <c r="K3" s="65" t="s">
        <v>67</v>
      </c>
      <c r="L3" s="65"/>
      <c r="M3" s="65" t="s">
        <v>159</v>
      </c>
      <c r="N3" s="89" t="s">
        <v>159</v>
      </c>
      <c r="O3" s="89" t="s">
        <v>159</v>
      </c>
    </row>
    <row r="4" spans="1:16" x14ac:dyDescent="0.25">
      <c r="A4" s="46"/>
      <c r="B4" s="46"/>
      <c r="C4" s="46"/>
      <c r="D4" s="1"/>
      <c r="E4" s="1"/>
      <c r="G4" s="65" t="s">
        <v>506</v>
      </c>
      <c r="H4" s="66" t="s">
        <v>159</v>
      </c>
      <c r="I4" s="66">
        <v>83.612700000000004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2424.7683000000002</v>
      </c>
    </row>
    <row r="5" spans="1:16" x14ac:dyDescent="0.25">
      <c r="A5" s="41"/>
      <c r="B5" s="41"/>
      <c r="C5" s="41"/>
      <c r="D5" s="41"/>
      <c r="E5" s="41"/>
      <c r="G5" s="65" t="s">
        <v>526</v>
      </c>
      <c r="H5" s="66" t="s">
        <v>159</v>
      </c>
      <c r="I5" s="66" t="s">
        <v>159</v>
      </c>
      <c r="J5" s="65" t="s">
        <v>12</v>
      </c>
      <c r="K5" s="65" t="s">
        <v>68</v>
      </c>
      <c r="L5" s="65"/>
      <c r="M5" s="65" t="s">
        <v>159</v>
      </c>
      <c r="N5" s="89" t="s">
        <v>159</v>
      </c>
      <c r="O5" s="89" t="s">
        <v>159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270</v>
      </c>
      <c r="H6" s="65">
        <v>39.270000000000003</v>
      </c>
      <c r="I6" s="65">
        <v>3.65</v>
      </c>
      <c r="J6" s="65" t="s">
        <v>12</v>
      </c>
      <c r="K6" s="65" t="s">
        <v>271</v>
      </c>
      <c r="L6" s="65" t="s">
        <v>622</v>
      </c>
      <c r="M6" s="65" t="s">
        <v>124</v>
      </c>
      <c r="N6" s="89">
        <v>119</v>
      </c>
      <c r="O6" s="89">
        <v>434.34999999999997</v>
      </c>
      <c r="P6" s="93"/>
    </row>
    <row r="7" spans="1:16" x14ac:dyDescent="0.25">
      <c r="A7" s="2" t="s">
        <v>17</v>
      </c>
      <c r="B7" s="67">
        <v>1800</v>
      </c>
      <c r="C7" s="69">
        <v>167.23</v>
      </c>
      <c r="D7" s="1"/>
      <c r="E7" s="1"/>
      <c r="G7" s="65" t="s">
        <v>258</v>
      </c>
      <c r="H7" s="65">
        <v>20.25</v>
      </c>
      <c r="I7" s="65">
        <v>1.88</v>
      </c>
      <c r="J7" s="65" t="s">
        <v>12</v>
      </c>
      <c r="K7" s="65" t="s">
        <v>259</v>
      </c>
      <c r="L7" s="65" t="s">
        <v>624</v>
      </c>
      <c r="M7" s="65" t="s">
        <v>128</v>
      </c>
      <c r="N7" s="89">
        <v>238</v>
      </c>
      <c r="O7" s="89">
        <v>447.44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274</v>
      </c>
      <c r="H8" s="65">
        <v>65.849999999999994</v>
      </c>
      <c r="I8" s="65">
        <v>6.12</v>
      </c>
      <c r="J8" s="65" t="s">
        <v>12</v>
      </c>
      <c r="K8" s="65" t="s">
        <v>15</v>
      </c>
      <c r="L8" s="65" t="s">
        <v>626</v>
      </c>
      <c r="M8" s="65" t="s">
        <v>124</v>
      </c>
      <c r="N8" s="89">
        <v>119</v>
      </c>
      <c r="O8" s="89">
        <v>728.28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265</v>
      </c>
      <c r="H9" s="65">
        <v>115.06</v>
      </c>
      <c r="I9" s="65">
        <v>10.69</v>
      </c>
      <c r="J9" s="65" t="s">
        <v>12</v>
      </c>
      <c r="K9" s="65" t="s">
        <v>14</v>
      </c>
      <c r="L9" s="65" t="s">
        <v>628</v>
      </c>
      <c r="M9" s="65" t="s">
        <v>124</v>
      </c>
      <c r="N9" s="89">
        <v>119</v>
      </c>
      <c r="O9" s="89">
        <v>1272.1099999999999</v>
      </c>
    </row>
    <row r="10" spans="1:16" x14ac:dyDescent="0.25">
      <c r="A10" s="94" t="s">
        <v>106</v>
      </c>
      <c r="B10" s="68" t="s">
        <v>61</v>
      </c>
      <c r="C10" s="1"/>
      <c r="D10" s="1"/>
      <c r="E10" s="1"/>
      <c r="G10" s="65" t="s">
        <v>7</v>
      </c>
      <c r="H10" s="65">
        <v>90.83</v>
      </c>
      <c r="I10" s="65">
        <v>8.44</v>
      </c>
      <c r="J10" s="65" t="s">
        <v>12</v>
      </c>
      <c r="K10" s="65" t="s">
        <v>7</v>
      </c>
      <c r="L10" s="65" t="s">
        <v>630</v>
      </c>
      <c r="M10" s="65" t="s">
        <v>128</v>
      </c>
      <c r="N10" s="89">
        <v>238</v>
      </c>
      <c r="O10" s="89">
        <v>2008.7199999999998</v>
      </c>
    </row>
    <row r="11" spans="1:16" x14ac:dyDescent="0.25">
      <c r="A11" s="1" t="s">
        <v>57</v>
      </c>
      <c r="B11" s="42">
        <f>C14</f>
        <v>900</v>
      </c>
      <c r="C11" s="42">
        <f>C16</f>
        <v>83.612700000000004</v>
      </c>
      <c r="D11" s="1"/>
      <c r="E11" s="1"/>
      <c r="G11" s="65" t="s">
        <v>5</v>
      </c>
      <c r="H11" s="65">
        <v>82.51</v>
      </c>
      <c r="I11" s="65">
        <v>7.67</v>
      </c>
      <c r="J11" s="65" t="s">
        <v>12</v>
      </c>
      <c r="K11" s="65" t="s">
        <v>5</v>
      </c>
      <c r="L11" s="65" t="s">
        <v>633</v>
      </c>
      <c r="M11" s="65" t="s">
        <v>124</v>
      </c>
      <c r="N11" s="89">
        <v>119</v>
      </c>
      <c r="O11" s="89">
        <v>912.73</v>
      </c>
    </row>
    <row r="12" spans="1:16" x14ac:dyDescent="0.25">
      <c r="A12" s="1"/>
      <c r="B12" s="1"/>
      <c r="C12" s="1"/>
      <c r="D12" s="1"/>
      <c r="E12" s="1"/>
      <c r="G12" s="65" t="s">
        <v>266</v>
      </c>
      <c r="H12" s="65">
        <v>229.06</v>
      </c>
      <c r="I12" s="65">
        <v>21.28</v>
      </c>
      <c r="J12" s="65" t="s">
        <v>12</v>
      </c>
      <c r="K12" s="65" t="s">
        <v>14</v>
      </c>
      <c r="L12" s="65" t="s">
        <v>634</v>
      </c>
      <c r="M12" s="65" t="s">
        <v>124</v>
      </c>
      <c r="N12" s="89">
        <v>119</v>
      </c>
      <c r="O12" s="89">
        <v>2532.3200000000002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268</v>
      </c>
      <c r="H13" s="65">
        <v>176.94</v>
      </c>
      <c r="I13" s="65">
        <v>16.440000000000001</v>
      </c>
      <c r="J13" s="65" t="s">
        <v>12</v>
      </c>
      <c r="K13" s="65" t="s">
        <v>269</v>
      </c>
      <c r="L13" s="65" t="s">
        <v>636</v>
      </c>
      <c r="M13" s="65" t="s">
        <v>124</v>
      </c>
      <c r="N13" s="89">
        <v>119</v>
      </c>
      <c r="O13" s="89">
        <v>1956.3600000000001</v>
      </c>
    </row>
    <row r="14" spans="1:16" x14ac:dyDescent="0.25">
      <c r="A14" s="4" t="s">
        <v>49</v>
      </c>
      <c r="B14" s="42">
        <f>C14+D14+E14</f>
        <v>1800</v>
      </c>
      <c r="C14" s="42">
        <f>B7/B8</f>
        <v>900</v>
      </c>
      <c r="D14" s="42">
        <f>C14*B9</f>
        <v>0</v>
      </c>
      <c r="E14" s="42">
        <f>B7-C14</f>
        <v>900</v>
      </c>
      <c r="F14"/>
      <c r="G14" s="65" t="s">
        <v>255</v>
      </c>
      <c r="H14" s="65">
        <v>32.619999999999997</v>
      </c>
      <c r="I14" s="65">
        <v>3.03</v>
      </c>
      <c r="J14" s="65" t="s">
        <v>51</v>
      </c>
      <c r="K14" s="65" t="s">
        <v>13</v>
      </c>
      <c r="L14" s="65" t="s">
        <v>623</v>
      </c>
      <c r="M14" s="65" t="s">
        <v>128</v>
      </c>
      <c r="N14" s="89">
        <v>238</v>
      </c>
      <c r="O14" s="89">
        <v>721.14</v>
      </c>
    </row>
    <row r="15" spans="1:16" x14ac:dyDescent="0.25">
      <c r="A15" s="4" t="s">
        <v>50</v>
      </c>
      <c r="B15" s="42">
        <f>SUMIFS(H:H,G:G,"&lt;&gt;mech_single",G:G,"&lt;&gt;general",G:G,"&lt;&gt;general_main")</f>
        <v>1456.34</v>
      </c>
      <c r="C15" s="42">
        <f>SUMIFS(H:H,G:G,"&lt;&gt;general_main",J:J,C13)</f>
        <v>819.77</v>
      </c>
      <c r="D15" s="42">
        <f>SUMIF($J:$J,D13,$H:$H)</f>
        <v>0</v>
      </c>
      <c r="E15" s="42">
        <f>SUMIF($J:$J,E13,$H:$H)</f>
        <v>636.56999999999994</v>
      </c>
      <c r="F15"/>
      <c r="G15" s="65" t="s">
        <v>257</v>
      </c>
      <c r="H15" s="65">
        <v>32.619999999999997</v>
      </c>
      <c r="I15" s="65">
        <v>3.03</v>
      </c>
      <c r="J15" s="65" t="s">
        <v>51</v>
      </c>
      <c r="K15" s="65" t="s">
        <v>13</v>
      </c>
      <c r="L15" s="65" t="s">
        <v>623</v>
      </c>
      <c r="M15" s="65" t="s">
        <v>128</v>
      </c>
      <c r="N15" s="89">
        <v>238</v>
      </c>
      <c r="O15" s="89">
        <v>721.14</v>
      </c>
    </row>
    <row r="16" spans="1:16" x14ac:dyDescent="0.25">
      <c r="A16" s="4" t="s">
        <v>59</v>
      </c>
      <c r="B16" s="42">
        <f>B14*0.092903</f>
        <v>167.22540000000001</v>
      </c>
      <c r="C16" s="42">
        <f t="shared" ref="C16:E17" si="0">C14*0.092903</f>
        <v>83.612700000000004</v>
      </c>
      <c r="D16" s="42">
        <f t="shared" si="0"/>
        <v>0</v>
      </c>
      <c r="E16" s="42">
        <f t="shared" si="0"/>
        <v>83.612700000000004</v>
      </c>
      <c r="F16"/>
      <c r="G16" s="65" t="s">
        <v>272</v>
      </c>
      <c r="H16" s="65">
        <v>28.5</v>
      </c>
      <c r="I16" s="65">
        <v>2.65</v>
      </c>
      <c r="J16" s="65" t="s">
        <v>51</v>
      </c>
      <c r="K16" s="65" t="s">
        <v>273</v>
      </c>
      <c r="L16" s="65" t="s">
        <v>625</v>
      </c>
      <c r="M16" s="65" t="s">
        <v>124</v>
      </c>
      <c r="N16" s="89">
        <v>119</v>
      </c>
      <c r="O16" s="89">
        <v>315.34999999999997</v>
      </c>
    </row>
    <row r="17" spans="1:15" x14ac:dyDescent="0.25">
      <c r="A17" s="4" t="s">
        <v>60</v>
      </c>
      <c r="B17" s="42">
        <f>B15*0.092903</f>
        <v>135.29835502</v>
      </c>
      <c r="C17" s="42">
        <f t="shared" si="0"/>
        <v>76.159092309999991</v>
      </c>
      <c r="D17" s="42">
        <f t="shared" si="0"/>
        <v>0</v>
      </c>
      <c r="E17" s="42">
        <f t="shared" si="0"/>
        <v>59.139262709999997</v>
      </c>
      <c r="F17"/>
      <c r="G17" s="65" t="s">
        <v>275</v>
      </c>
      <c r="H17" s="65">
        <v>65.849999999999994</v>
      </c>
      <c r="I17" s="65">
        <v>6.12</v>
      </c>
      <c r="J17" s="65" t="s">
        <v>51</v>
      </c>
      <c r="K17" s="65" t="s">
        <v>276</v>
      </c>
      <c r="L17" s="65" t="s">
        <v>627</v>
      </c>
      <c r="M17" s="65" t="s">
        <v>124</v>
      </c>
      <c r="N17" s="89">
        <v>119</v>
      </c>
      <c r="O17" s="89">
        <v>728.28</v>
      </c>
    </row>
    <row r="18" spans="1:15" x14ac:dyDescent="0.25">
      <c r="A18" s="4" t="s">
        <v>44</v>
      </c>
      <c r="B18" s="43">
        <f>IF(B14&gt;0,B15/B14,"")</f>
        <v>0.80907777777777778</v>
      </c>
      <c r="C18" s="43">
        <f t="shared" ref="C18:E18" si="1">IF(C14&gt;0,C15/C14,"")</f>
        <v>0.91085555555555553</v>
      </c>
      <c r="D18" s="43" t="str">
        <f t="shared" si="1"/>
        <v/>
      </c>
      <c r="E18" s="43">
        <f t="shared" si="1"/>
        <v>0.70729999999999993</v>
      </c>
      <c r="F18"/>
      <c r="G18" s="65" t="s">
        <v>261</v>
      </c>
      <c r="H18" s="65">
        <v>137.22</v>
      </c>
      <c r="I18" s="65">
        <v>12.75</v>
      </c>
      <c r="J18" s="65" t="s">
        <v>51</v>
      </c>
      <c r="K18" s="65" t="s">
        <v>4</v>
      </c>
      <c r="L18" s="65" t="s">
        <v>629</v>
      </c>
      <c r="M18" s="65" t="s">
        <v>124</v>
      </c>
      <c r="N18" s="89">
        <v>119</v>
      </c>
      <c r="O18" s="89">
        <v>1517.25</v>
      </c>
    </row>
    <row r="19" spans="1:15" x14ac:dyDescent="0.25">
      <c r="A19" s="1"/>
      <c r="B19" s="1"/>
      <c r="C19" s="1"/>
      <c r="D19" s="1"/>
      <c r="E19" s="1"/>
      <c r="F19"/>
      <c r="G19" s="65" t="s">
        <v>263</v>
      </c>
      <c r="H19" s="65">
        <v>183.67</v>
      </c>
      <c r="I19" s="65">
        <v>17.059999999999999</v>
      </c>
      <c r="J19" s="65" t="s">
        <v>51</v>
      </c>
      <c r="K19" s="65" t="s">
        <v>4</v>
      </c>
      <c r="L19" s="65" t="s">
        <v>631</v>
      </c>
      <c r="M19" s="65" t="s">
        <v>124</v>
      </c>
      <c r="N19" s="89">
        <v>119</v>
      </c>
      <c r="O19" s="89">
        <v>2030.1399999999999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4</v>
      </c>
      <c r="H20" s="65">
        <v>82.51</v>
      </c>
      <c r="I20" s="65">
        <v>7.67</v>
      </c>
      <c r="J20" s="65" t="s">
        <v>51</v>
      </c>
      <c r="K20" s="65" t="s">
        <v>4</v>
      </c>
      <c r="L20" s="65" t="s">
        <v>632</v>
      </c>
      <c r="M20" s="65" t="s">
        <v>124</v>
      </c>
      <c r="N20" s="89">
        <v>119</v>
      </c>
      <c r="O20" s="89">
        <v>912.73</v>
      </c>
    </row>
    <row r="21" spans="1:15" x14ac:dyDescent="0.25">
      <c r="A21" s="71" t="s">
        <v>129</v>
      </c>
      <c r="B21" s="90">
        <f>SUM(C21:E21)</f>
        <v>4849.5366000000004</v>
      </c>
      <c r="C21" s="90">
        <f>C16*VLOOKUP($A21,$M$3:$N$37,2,FALSE)</f>
        <v>2424.7683000000002</v>
      </c>
      <c r="D21" s="90">
        <f t="shared" ref="D21:E21" si="2">D16*VLOOKUP($A21,$M$3:$N$37,2,FALSE)</f>
        <v>0</v>
      </c>
      <c r="E21" s="90">
        <f t="shared" si="2"/>
        <v>2424.7683000000002</v>
      </c>
      <c r="F21"/>
      <c r="G21" s="65" t="s">
        <v>6</v>
      </c>
      <c r="H21" s="65">
        <v>73.58</v>
      </c>
      <c r="I21" s="65">
        <v>6.84</v>
      </c>
      <c r="J21" s="65" t="s">
        <v>51</v>
      </c>
      <c r="K21" s="65" t="s">
        <v>6</v>
      </c>
      <c r="L21" s="65" t="s">
        <v>635</v>
      </c>
      <c r="M21" s="65" t="s">
        <v>124</v>
      </c>
      <c r="N21" s="89">
        <v>119</v>
      </c>
      <c r="O21" s="89">
        <v>813.96</v>
      </c>
    </row>
    <row r="22" spans="1:15" x14ac:dyDescent="0.25">
      <c r="A22" s="71" t="s">
        <v>128</v>
      </c>
      <c r="B22" s="90">
        <f t="shared" ref="B22:B24" si="3">SUM(C22:E22)</f>
        <v>3898.4399999999996</v>
      </c>
      <c r="C22" s="90">
        <f>SUMIFS($O$3:$O$37,$J$3:$J$37,C$20,$M$3:$M$37,$A22)</f>
        <v>2456.16</v>
      </c>
      <c r="D22" s="90">
        <f t="shared" ref="D22:E24" si="4">SUMIFS($O$3:$O$37,$J$3:$J$37,D$20,$M$3:$M$37,$A22)</f>
        <v>0</v>
      </c>
      <c r="E22" s="90">
        <f t="shared" si="4"/>
        <v>1442.28</v>
      </c>
      <c r="F22"/>
      <c r="G22" s="65"/>
      <c r="H22" s="65"/>
      <c r="I22" s="65"/>
      <c r="J22" s="65"/>
      <c r="K22" s="65"/>
      <c r="L22" s="65"/>
      <c r="M22" s="65"/>
      <c r="N22" s="89"/>
      <c r="O22" s="89"/>
    </row>
    <row r="23" spans="1:15" x14ac:dyDescent="0.25">
      <c r="A23" s="71" t="s">
        <v>124</v>
      </c>
      <c r="B23" s="90">
        <f t="shared" si="3"/>
        <v>14153.86</v>
      </c>
      <c r="C23" s="90">
        <f t="shared" ref="C23:C24" si="5">SUMIFS($O$3:$O$37,$J$3:$J$37,C$20,$M$3:$M$37,$A23)</f>
        <v>7836.15</v>
      </c>
      <c r="D23" s="90">
        <f t="shared" si="4"/>
        <v>0</v>
      </c>
      <c r="E23" s="90">
        <f t="shared" si="4"/>
        <v>6317.71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22901.836600000002</v>
      </c>
      <c r="C25" s="92">
        <f t="shared" ref="C25:E25" si="6">SUM(C21:C24)</f>
        <v>12717.078299999999</v>
      </c>
      <c r="D25" s="92">
        <f t="shared" si="6"/>
        <v>0</v>
      </c>
      <c r="E25" s="92">
        <f t="shared" si="6"/>
        <v>10184.758300000001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136.95190204358909</v>
      </c>
      <c r="C26" s="90">
        <f t="shared" ref="C26:E26" si="7">IF(C16&gt;0,C25/C16,"")</f>
        <v>152.09505613381697</v>
      </c>
      <c r="D26" s="90" t="str">
        <f t="shared" si="7"/>
        <v/>
      </c>
      <c r="E26" s="90">
        <f t="shared" si="7"/>
        <v>121.80874795336116</v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271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13</v>
      </c>
      <c r="B30" s="95">
        <v>2</v>
      </c>
      <c r="C30" s="95">
        <v>0</v>
      </c>
      <c r="D30" s="95">
        <v>0</v>
      </c>
      <c r="E30" s="95">
        <v>2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259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273</v>
      </c>
      <c r="B32" s="95">
        <v>1</v>
      </c>
      <c r="C32" s="95">
        <v>0</v>
      </c>
      <c r="D32" s="95">
        <v>0</v>
      </c>
      <c r="E32" s="95">
        <v>1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15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276</v>
      </c>
      <c r="B34" s="95">
        <v>1</v>
      </c>
      <c r="C34" s="95">
        <v>0</v>
      </c>
      <c r="D34" s="95">
        <v>0</v>
      </c>
      <c r="E34" s="95">
        <v>1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14</v>
      </c>
      <c r="B35" s="95">
        <v>2</v>
      </c>
      <c r="C35" s="95">
        <v>2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4</v>
      </c>
      <c r="B36" s="95">
        <v>3</v>
      </c>
      <c r="C36" s="95">
        <v>0</v>
      </c>
      <c r="D36" s="95">
        <v>0</v>
      </c>
      <c r="E36" s="95">
        <v>3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7</v>
      </c>
      <c r="B37" s="95">
        <v>1</v>
      </c>
      <c r="C37" s="95">
        <v>1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5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6</v>
      </c>
      <c r="B39">
        <v>1</v>
      </c>
      <c r="C39">
        <v>0</v>
      </c>
      <c r="D39">
        <v>0</v>
      </c>
      <c r="E39">
        <v>1</v>
      </c>
    </row>
    <row r="40" spans="1:15" x14ac:dyDescent="0.25">
      <c r="A40" t="s">
        <v>269</v>
      </c>
      <c r="B40">
        <v>1</v>
      </c>
      <c r="C40">
        <v>1</v>
      </c>
      <c r="D40">
        <v>0</v>
      </c>
      <c r="E40">
        <v>0</v>
      </c>
    </row>
  </sheetData>
  <sortState xmlns:xlrd2="http://schemas.microsoft.com/office/spreadsheetml/2017/richdata2" ref="G3:O21">
    <sortCondition ref="J3:J21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9" style="1" bestFit="1" customWidth="1"/>
    <col min="14" max="14" width="13.7109375" style="1" bestFit="1" customWidth="1"/>
    <col min="15" max="15" width="13.85546875" style="1" bestFit="1" customWidth="1"/>
    <col min="16" max="16" width="12.2851562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2639.2641000000003</v>
      </c>
      <c r="C8" s="8">
        <v>6738.21</v>
      </c>
      <c r="D8" s="8">
        <v>0</v>
      </c>
      <c r="E8" s="8">
        <v>0</v>
      </c>
      <c r="F8" s="8">
        <v>9377.4740999999995</v>
      </c>
      <c r="G8"/>
    </row>
    <row r="9" spans="1:7" x14ac:dyDescent="0.25">
      <c r="A9" s="3" t="s">
        <v>29</v>
      </c>
      <c r="B9" s="8">
        <v>2639.2641000000003</v>
      </c>
      <c r="C9" s="8">
        <v>6738.21</v>
      </c>
      <c r="D9" s="8">
        <v>0</v>
      </c>
      <c r="E9" s="8">
        <v>0</v>
      </c>
      <c r="F9" s="8">
        <v>9377.4740999999995</v>
      </c>
      <c r="G9"/>
    </row>
    <row r="10" spans="1:7" x14ac:dyDescent="0.25">
      <c r="A10" s="3" t="s">
        <v>30</v>
      </c>
      <c r="B10" s="8">
        <v>16658.395125000006</v>
      </c>
      <c r="C10" s="8">
        <v>6738.21</v>
      </c>
      <c r="D10" s="8">
        <v>828.0474999999999</v>
      </c>
      <c r="E10" s="8">
        <v>13291.744999999997</v>
      </c>
      <c r="F10" s="8">
        <v>37516.397625000005</v>
      </c>
      <c r="G10"/>
    </row>
    <row r="11" spans="1:7" x14ac:dyDescent="0.25">
      <c r="A11" s="3" t="s">
        <v>31</v>
      </c>
      <c r="B11" s="8">
        <v>26804.325125000003</v>
      </c>
      <c r="C11" s="8">
        <v>6738.21</v>
      </c>
      <c r="D11" s="8">
        <v>2543.5495000000005</v>
      </c>
      <c r="E11" s="8">
        <v>21219.975000000017</v>
      </c>
      <c r="F11" s="8">
        <v>57306.059625000024</v>
      </c>
      <c r="G11"/>
    </row>
    <row r="12" spans="1:7" x14ac:dyDescent="0.25">
      <c r="A12" s="3" t="s">
        <v>32</v>
      </c>
      <c r="B12" s="8">
        <v>29038.925125000005</v>
      </c>
      <c r="C12" s="8">
        <v>8238.369999999999</v>
      </c>
      <c r="D12" s="8">
        <v>2543.5495000000005</v>
      </c>
      <c r="E12" s="8">
        <v>21219.975000000017</v>
      </c>
      <c r="F12" s="8">
        <v>61040.819625000018</v>
      </c>
      <c r="G12"/>
    </row>
    <row r="13" spans="1:7" x14ac:dyDescent="0.25">
      <c r="A13" s="3" t="s">
        <v>33</v>
      </c>
      <c r="B13" s="8">
        <v>32473.175125000002</v>
      </c>
      <c r="C13" s="8">
        <v>11988.45</v>
      </c>
      <c r="D13" s="8">
        <v>2598.9815000000003</v>
      </c>
      <c r="E13" s="8">
        <v>21259.695000000018</v>
      </c>
      <c r="F13" s="8">
        <v>68320.301625000022</v>
      </c>
      <c r="G13"/>
    </row>
    <row r="14" spans="1:7" x14ac:dyDescent="0.25">
      <c r="A14" s="3" t="s">
        <v>34</v>
      </c>
      <c r="B14" s="8">
        <v>32473.175125000002</v>
      </c>
      <c r="C14" s="8">
        <v>11988.45</v>
      </c>
      <c r="D14" s="8">
        <v>2883.1640000000002</v>
      </c>
      <c r="E14" s="8">
        <v>21259.695000000018</v>
      </c>
      <c r="F14" s="8">
        <v>68604.484125000017</v>
      </c>
      <c r="G14"/>
    </row>
    <row r="15" spans="1:7" x14ac:dyDescent="0.25">
      <c r="A15" s="3" t="s">
        <v>35</v>
      </c>
      <c r="B15" s="8">
        <v>36590.932150000001</v>
      </c>
      <c r="C15" s="8">
        <v>11988.45</v>
      </c>
      <c r="D15" s="8">
        <v>8770.6235000000015</v>
      </c>
      <c r="E15" s="8">
        <v>23990.820000000014</v>
      </c>
      <c r="F15" s="8">
        <v>81340.825650000013</v>
      </c>
      <c r="G15"/>
    </row>
    <row r="16" spans="1:7" x14ac:dyDescent="0.25">
      <c r="A16" s="3" t="s">
        <v>36</v>
      </c>
      <c r="B16" s="8">
        <v>37141.252150000008</v>
      </c>
      <c r="C16" s="8">
        <v>11988.45</v>
      </c>
      <c r="D16" s="8">
        <v>8826.0555000000022</v>
      </c>
      <c r="E16" s="8">
        <v>28047.830000000009</v>
      </c>
      <c r="F16" s="8">
        <v>86003.58765000003</v>
      </c>
      <c r="G16"/>
    </row>
    <row r="17" spans="1:23" x14ac:dyDescent="0.25">
      <c r="A17" s="3" t="s">
        <v>37</v>
      </c>
      <c r="B17" s="8">
        <v>39406.80215000001</v>
      </c>
      <c r="C17" s="8">
        <v>11988.45</v>
      </c>
      <c r="D17" s="8">
        <v>9690.9230000000025</v>
      </c>
      <c r="E17" s="8">
        <v>31078.69000000001</v>
      </c>
      <c r="F17" s="8">
        <v>92164.865150000027</v>
      </c>
      <c r="G17"/>
    </row>
    <row r="18" spans="1:23" x14ac:dyDescent="0.25">
      <c r="A18" s="3" t="s">
        <v>38</v>
      </c>
      <c r="B18" s="8">
        <v>48900.082150000002</v>
      </c>
      <c r="C18" s="8">
        <v>13775.26</v>
      </c>
      <c r="D18" s="8">
        <v>11588.237000000003</v>
      </c>
      <c r="E18" s="8">
        <v>42845.170000000006</v>
      </c>
      <c r="F18" s="8">
        <v>117108.74915000002</v>
      </c>
      <c r="G18"/>
    </row>
    <row r="19" spans="1:23" x14ac:dyDescent="0.25">
      <c r="A19" s="3" t="s">
        <v>39</v>
      </c>
      <c r="B19" s="8">
        <v>54164.0242</v>
      </c>
      <c r="C19" s="8">
        <v>13775.26</v>
      </c>
      <c r="D19" s="8">
        <v>13498.812000000004</v>
      </c>
      <c r="E19" s="8">
        <v>43421.640000000007</v>
      </c>
      <c r="F19" s="8">
        <v>124859.73620000001</v>
      </c>
      <c r="G19"/>
    </row>
    <row r="20" spans="1:23" x14ac:dyDescent="0.25">
      <c r="A20" s="3" t="s">
        <v>40</v>
      </c>
      <c r="B20" s="8">
        <v>54446.5942</v>
      </c>
      <c r="C20" s="8">
        <v>13775.26</v>
      </c>
      <c r="D20" s="8">
        <v>13668.152000000004</v>
      </c>
      <c r="E20" s="8">
        <v>43586.950000000004</v>
      </c>
      <c r="F20" s="8">
        <v>125476.95620000002</v>
      </c>
      <c r="G20"/>
    </row>
    <row r="21" spans="1:23" x14ac:dyDescent="0.25">
      <c r="A21" s="3" t="s">
        <v>41</v>
      </c>
      <c r="B21" s="8">
        <v>56149.0982</v>
      </c>
      <c r="C21" s="8">
        <v>13775.26</v>
      </c>
      <c r="D21" s="8">
        <v>13879.682000000003</v>
      </c>
      <c r="E21" s="8">
        <v>45245.580000000009</v>
      </c>
      <c r="F21" s="8">
        <v>129049.6202</v>
      </c>
      <c r="G21"/>
    </row>
    <row r="22" spans="1:23" x14ac:dyDescent="0.25">
      <c r="A22" s="3" t="s">
        <v>42</v>
      </c>
      <c r="B22" s="8">
        <v>56149.0982</v>
      </c>
      <c r="C22" s="8">
        <v>13775.26</v>
      </c>
      <c r="D22" s="8">
        <v>13879.682000000003</v>
      </c>
      <c r="E22" s="8">
        <v>45245.580000000009</v>
      </c>
      <c r="F22" s="8">
        <v>129049.6202</v>
      </c>
      <c r="G22"/>
    </row>
    <row r="23" spans="1:23" x14ac:dyDescent="0.25">
      <c r="A23" s="3" t="s">
        <v>43</v>
      </c>
      <c r="B23" s="8">
        <v>56149.0982</v>
      </c>
      <c r="C23" s="8">
        <v>13775.26</v>
      </c>
      <c r="D23" s="8">
        <v>13879.682000000003</v>
      </c>
      <c r="E23" s="8">
        <v>45245.580000000009</v>
      </c>
      <c r="F23" s="8">
        <v>129049.6202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271</v>
      </c>
      <c r="M31" t="s">
        <v>259</v>
      </c>
      <c r="N31" t="s">
        <v>273</v>
      </c>
      <c r="O31" t="s">
        <v>276</v>
      </c>
      <c r="P31" t="s">
        <v>269</v>
      </c>
      <c r="Q31" t="s">
        <v>28</v>
      </c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6738.21</v>
      </c>
      <c r="D33" s="8">
        <v>2639.2641000000003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9377.4740999999995</v>
      </c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6738.21</v>
      </c>
      <c r="D34" s="8">
        <v>2639.2641000000003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9377.4740999999995</v>
      </c>
      <c r="R34"/>
      <c r="S34"/>
      <c r="T34"/>
      <c r="U34"/>
      <c r="V34"/>
      <c r="W34"/>
    </row>
    <row r="35" spans="1:23" x14ac:dyDescent="0.25">
      <c r="A35" s="3" t="s">
        <v>30</v>
      </c>
      <c r="B35" s="8">
        <v>828.0474999999999</v>
      </c>
      <c r="C35" s="8">
        <v>6738.21</v>
      </c>
      <c r="D35" s="8">
        <v>3299.0801250000004</v>
      </c>
      <c r="E35" s="8">
        <v>2628.5700000000006</v>
      </c>
      <c r="F35" s="8">
        <v>1349.4524999999999</v>
      </c>
      <c r="G35" s="8">
        <v>7176.1100000000015</v>
      </c>
      <c r="H35" s="8">
        <v>1383.5624999999998</v>
      </c>
      <c r="I35" s="8">
        <v>1407.9975000000004</v>
      </c>
      <c r="J35" s="8">
        <v>5163.1999999999989</v>
      </c>
      <c r="K35" s="8">
        <v>1335.7449999999999</v>
      </c>
      <c r="L35" s="8">
        <v>797.56499999999983</v>
      </c>
      <c r="M35" s="8">
        <v>598.81749999999988</v>
      </c>
      <c r="N35" s="8">
        <v>801.86750000000029</v>
      </c>
      <c r="O35" s="8">
        <v>1349.4524999999999</v>
      </c>
      <c r="P35" s="8">
        <v>2658.7200000000003</v>
      </c>
      <c r="Q35" s="8">
        <v>37516.397624999998</v>
      </c>
      <c r="R35"/>
      <c r="S35"/>
      <c r="T35"/>
      <c r="U35"/>
      <c r="V35"/>
      <c r="W35"/>
    </row>
    <row r="36" spans="1:23" x14ac:dyDescent="0.25">
      <c r="A36" s="3" t="s">
        <v>31</v>
      </c>
      <c r="B36" s="8">
        <v>2543.5495000000005</v>
      </c>
      <c r="C36" s="8">
        <v>6738.21</v>
      </c>
      <c r="D36" s="8">
        <v>3299.0801250000004</v>
      </c>
      <c r="E36" s="8">
        <v>4848.3700000000008</v>
      </c>
      <c r="F36" s="8">
        <v>2094.8824999999997</v>
      </c>
      <c r="G36" s="8">
        <v>11139.66</v>
      </c>
      <c r="H36" s="8">
        <v>7700.9025000000011</v>
      </c>
      <c r="I36" s="8">
        <v>1749.8374999999999</v>
      </c>
      <c r="J36" s="8">
        <v>6151.04</v>
      </c>
      <c r="K36" s="8">
        <v>1693.2449999999999</v>
      </c>
      <c r="L36" s="8">
        <v>1035.9049999999997</v>
      </c>
      <c r="M36" s="8">
        <v>1602.7774999999997</v>
      </c>
      <c r="N36" s="8">
        <v>1443.8174999999997</v>
      </c>
      <c r="O36" s="8">
        <v>2094.8824999999997</v>
      </c>
      <c r="P36" s="8">
        <v>3169.9</v>
      </c>
      <c r="Q36" s="8">
        <v>57306.059625000002</v>
      </c>
      <c r="R36"/>
      <c r="S36"/>
      <c r="T36"/>
      <c r="U36"/>
      <c r="V36"/>
      <c r="W36"/>
    </row>
    <row r="37" spans="1:23" x14ac:dyDescent="0.25">
      <c r="A37" s="3" t="s">
        <v>32</v>
      </c>
      <c r="B37" s="8">
        <v>2543.5495000000005</v>
      </c>
      <c r="C37" s="8">
        <v>8238.369999999999</v>
      </c>
      <c r="D37" s="8">
        <v>5533.6801250000008</v>
      </c>
      <c r="E37" s="8">
        <v>4848.3700000000008</v>
      </c>
      <c r="F37" s="8">
        <v>2094.8824999999997</v>
      </c>
      <c r="G37" s="8">
        <v>11139.66</v>
      </c>
      <c r="H37" s="8">
        <v>7700.9025000000011</v>
      </c>
      <c r="I37" s="8">
        <v>1749.8374999999999</v>
      </c>
      <c r="J37" s="8">
        <v>6151.04</v>
      </c>
      <c r="K37" s="8">
        <v>1693.2449999999999</v>
      </c>
      <c r="L37" s="8">
        <v>1035.9049999999997</v>
      </c>
      <c r="M37" s="8">
        <v>1602.7774999999997</v>
      </c>
      <c r="N37" s="8">
        <v>1443.8174999999997</v>
      </c>
      <c r="O37" s="8">
        <v>2094.8824999999997</v>
      </c>
      <c r="P37" s="8">
        <v>3169.9</v>
      </c>
      <c r="Q37" s="8">
        <v>61040.819625000004</v>
      </c>
      <c r="R37"/>
      <c r="S37"/>
      <c r="T37"/>
      <c r="U37"/>
      <c r="V37"/>
      <c r="W37"/>
    </row>
    <row r="38" spans="1:23" x14ac:dyDescent="0.25">
      <c r="A38" s="3" t="s">
        <v>33</v>
      </c>
      <c r="B38" s="8">
        <v>2598.9815000000003</v>
      </c>
      <c r="C38" s="8">
        <v>11988.45</v>
      </c>
      <c r="D38" s="8">
        <v>5533.6801250000008</v>
      </c>
      <c r="E38" s="8">
        <v>4848.3700000000008</v>
      </c>
      <c r="F38" s="8">
        <v>2094.8824999999997</v>
      </c>
      <c r="G38" s="8">
        <v>11139.66</v>
      </c>
      <c r="H38" s="8">
        <v>11135.152499999998</v>
      </c>
      <c r="I38" s="8">
        <v>1749.8374999999999</v>
      </c>
      <c r="J38" s="8">
        <v>6151.04</v>
      </c>
      <c r="K38" s="8">
        <v>1693.2449999999999</v>
      </c>
      <c r="L38" s="8">
        <v>1035.9049999999997</v>
      </c>
      <c r="M38" s="8">
        <v>1602.7774999999997</v>
      </c>
      <c r="N38" s="8">
        <v>1483.5374999999997</v>
      </c>
      <c r="O38" s="8">
        <v>2094.8824999999997</v>
      </c>
      <c r="P38" s="8">
        <v>3169.9</v>
      </c>
      <c r="Q38" s="8">
        <v>68320.301624999993</v>
      </c>
      <c r="R38"/>
      <c r="S38"/>
      <c r="T38"/>
      <c r="U38"/>
      <c r="V38"/>
      <c r="W38"/>
    </row>
    <row r="39" spans="1:23" x14ac:dyDescent="0.25">
      <c r="A39" s="3" t="s">
        <v>34</v>
      </c>
      <c r="B39" s="8">
        <v>2883.1640000000002</v>
      </c>
      <c r="C39" s="8">
        <v>11988.45</v>
      </c>
      <c r="D39" s="8">
        <v>5533.6801250000008</v>
      </c>
      <c r="E39" s="8">
        <v>4848.3700000000008</v>
      </c>
      <c r="F39" s="8">
        <v>2094.8824999999997</v>
      </c>
      <c r="G39" s="8">
        <v>11139.66</v>
      </c>
      <c r="H39" s="8">
        <v>11135.152499999998</v>
      </c>
      <c r="I39" s="8">
        <v>1749.8374999999999</v>
      </c>
      <c r="J39" s="8">
        <v>6151.04</v>
      </c>
      <c r="K39" s="8">
        <v>1693.2449999999999</v>
      </c>
      <c r="L39" s="8">
        <v>1035.9049999999997</v>
      </c>
      <c r="M39" s="8">
        <v>1602.7774999999997</v>
      </c>
      <c r="N39" s="8">
        <v>1483.5374999999997</v>
      </c>
      <c r="O39" s="8">
        <v>2094.8824999999997</v>
      </c>
      <c r="P39" s="8">
        <v>3169.9</v>
      </c>
      <c r="Q39" s="8">
        <v>68604.484125000003</v>
      </c>
      <c r="R39"/>
      <c r="S39"/>
      <c r="T39"/>
      <c r="U39"/>
      <c r="V39"/>
      <c r="W39"/>
    </row>
    <row r="40" spans="1:23" x14ac:dyDescent="0.25">
      <c r="A40" s="3" t="s">
        <v>35</v>
      </c>
      <c r="B40" s="8">
        <v>8770.6235000000015</v>
      </c>
      <c r="C40" s="8">
        <v>11988.45</v>
      </c>
      <c r="D40" s="8">
        <v>6285.8661500000007</v>
      </c>
      <c r="E40" s="8">
        <v>5318.7800000000007</v>
      </c>
      <c r="F40" s="8">
        <v>2452.4949999999999</v>
      </c>
      <c r="G40" s="8">
        <v>12583.85</v>
      </c>
      <c r="H40" s="8">
        <v>11655.721000000001</v>
      </c>
      <c r="I40" s="8">
        <v>2112.4549999999995</v>
      </c>
      <c r="J40" s="8">
        <v>7290.5999999999995</v>
      </c>
      <c r="K40" s="8">
        <v>2011.6200000000003</v>
      </c>
      <c r="L40" s="8">
        <v>1261.54</v>
      </c>
      <c r="M40" s="8">
        <v>1792.8249999999996</v>
      </c>
      <c r="N40" s="8">
        <v>1687.7750000000001</v>
      </c>
      <c r="O40" s="8">
        <v>2388.7950000000001</v>
      </c>
      <c r="P40" s="8">
        <v>3739.43</v>
      </c>
      <c r="Q40" s="8">
        <v>81340.825649999984</v>
      </c>
      <c r="R40"/>
      <c r="S40"/>
      <c r="T40"/>
      <c r="U40"/>
      <c r="V40"/>
      <c r="W40"/>
    </row>
    <row r="41" spans="1:23" x14ac:dyDescent="0.25">
      <c r="A41" s="3" t="s">
        <v>36</v>
      </c>
      <c r="B41" s="8">
        <v>8826.0555000000022</v>
      </c>
      <c r="C41" s="8">
        <v>11988.45</v>
      </c>
      <c r="D41" s="8">
        <v>6285.8661500000007</v>
      </c>
      <c r="E41" s="8">
        <v>8334.4400000000023</v>
      </c>
      <c r="F41" s="8">
        <v>2452.4949999999999</v>
      </c>
      <c r="G41" s="8">
        <v>12583.85</v>
      </c>
      <c r="H41" s="8">
        <v>11655.721000000001</v>
      </c>
      <c r="I41" s="8">
        <v>2112.4549999999995</v>
      </c>
      <c r="J41" s="8">
        <v>7290.5999999999995</v>
      </c>
      <c r="K41" s="8">
        <v>2011.6200000000003</v>
      </c>
      <c r="L41" s="8">
        <v>1261.54</v>
      </c>
      <c r="M41" s="8">
        <v>2343.1450000000009</v>
      </c>
      <c r="N41" s="8">
        <v>2729.1249999999995</v>
      </c>
      <c r="O41" s="8">
        <v>2388.7950000000001</v>
      </c>
      <c r="P41" s="8">
        <v>3739.43</v>
      </c>
      <c r="Q41" s="8">
        <v>86003.587650000001</v>
      </c>
      <c r="R41"/>
      <c r="S41"/>
      <c r="T41"/>
      <c r="U41"/>
      <c r="V41"/>
      <c r="W41"/>
    </row>
    <row r="42" spans="1:23" x14ac:dyDescent="0.25">
      <c r="A42" s="3" t="s">
        <v>37</v>
      </c>
      <c r="B42" s="8">
        <v>9690.9230000000025</v>
      </c>
      <c r="C42" s="8">
        <v>11988.45</v>
      </c>
      <c r="D42" s="8">
        <v>6285.8661500000007</v>
      </c>
      <c r="E42" s="8">
        <v>11365.300000000007</v>
      </c>
      <c r="F42" s="8">
        <v>2452.4949999999999</v>
      </c>
      <c r="G42" s="8">
        <v>12583.85</v>
      </c>
      <c r="H42" s="8">
        <v>13732.081</v>
      </c>
      <c r="I42" s="8">
        <v>2112.4549999999995</v>
      </c>
      <c r="J42" s="8">
        <v>7290.5999999999995</v>
      </c>
      <c r="K42" s="8">
        <v>2011.6200000000003</v>
      </c>
      <c r="L42" s="8">
        <v>1261.54</v>
      </c>
      <c r="M42" s="8">
        <v>2532.3350000000005</v>
      </c>
      <c r="N42" s="8">
        <v>2729.1249999999995</v>
      </c>
      <c r="O42" s="8">
        <v>2388.7950000000001</v>
      </c>
      <c r="P42" s="8">
        <v>3739.43</v>
      </c>
      <c r="Q42" s="8">
        <v>92164.865150000012</v>
      </c>
      <c r="R42"/>
      <c r="S42"/>
      <c r="T42"/>
      <c r="U42"/>
      <c r="V42"/>
      <c r="W42"/>
    </row>
    <row r="43" spans="1:23" x14ac:dyDescent="0.25">
      <c r="A43" s="3" t="s">
        <v>38</v>
      </c>
      <c r="B43" s="8">
        <v>11588.237000000003</v>
      </c>
      <c r="C43" s="8">
        <v>13775.26</v>
      </c>
      <c r="D43" s="8">
        <v>6663.8961500000014</v>
      </c>
      <c r="E43" s="8">
        <v>18424.520000000011</v>
      </c>
      <c r="F43" s="8">
        <v>3360.41</v>
      </c>
      <c r="G43" s="8">
        <v>15397.409999999996</v>
      </c>
      <c r="H43" s="8">
        <v>15671.476000000001</v>
      </c>
      <c r="I43" s="8">
        <v>2710.29</v>
      </c>
      <c r="J43" s="8">
        <v>9187.56</v>
      </c>
      <c r="K43" s="8">
        <v>2616.5100000000002</v>
      </c>
      <c r="L43" s="8">
        <v>1649.1299999999999</v>
      </c>
      <c r="M43" s="8">
        <v>4938.090000000002</v>
      </c>
      <c r="N43" s="8">
        <v>3110.02</v>
      </c>
      <c r="O43" s="8">
        <v>3296.71</v>
      </c>
      <c r="P43" s="8">
        <v>4719.2300000000005</v>
      </c>
      <c r="Q43" s="8">
        <v>117108.74915</v>
      </c>
      <c r="R43"/>
      <c r="S43"/>
      <c r="T43"/>
      <c r="U43"/>
      <c r="V43"/>
      <c r="W43"/>
    </row>
    <row r="44" spans="1:23" x14ac:dyDescent="0.25">
      <c r="A44" s="3" t="s">
        <v>39</v>
      </c>
      <c r="B44" s="8">
        <v>13498.812000000004</v>
      </c>
      <c r="C44" s="8">
        <v>13775.26</v>
      </c>
      <c r="D44" s="8">
        <v>7983.5282000000016</v>
      </c>
      <c r="E44" s="8">
        <v>18424.520000000011</v>
      </c>
      <c r="F44" s="8">
        <v>3360.41</v>
      </c>
      <c r="G44" s="8">
        <v>15397.409999999996</v>
      </c>
      <c r="H44" s="8">
        <v>19615.785999999996</v>
      </c>
      <c r="I44" s="8">
        <v>2710.29</v>
      </c>
      <c r="J44" s="8">
        <v>9187.56</v>
      </c>
      <c r="K44" s="8">
        <v>2616.5100000000002</v>
      </c>
      <c r="L44" s="8">
        <v>1649.1299999999999</v>
      </c>
      <c r="M44" s="8">
        <v>4938.090000000002</v>
      </c>
      <c r="N44" s="8">
        <v>3686.49</v>
      </c>
      <c r="O44" s="8">
        <v>3296.71</v>
      </c>
      <c r="P44" s="8">
        <v>4719.2300000000005</v>
      </c>
      <c r="Q44" s="8">
        <v>124859.7362</v>
      </c>
      <c r="R44"/>
      <c r="S44"/>
      <c r="T44"/>
      <c r="U44"/>
      <c r="V44"/>
      <c r="W44"/>
    </row>
    <row r="45" spans="1:23" x14ac:dyDescent="0.25">
      <c r="A45" s="3" t="s">
        <v>40</v>
      </c>
      <c r="B45" s="8">
        <v>13668.152000000004</v>
      </c>
      <c r="C45" s="8">
        <v>13775.26</v>
      </c>
      <c r="D45" s="8">
        <v>7983.5282000000016</v>
      </c>
      <c r="E45" s="8">
        <v>18424.520000000011</v>
      </c>
      <c r="F45" s="8">
        <v>3360.41</v>
      </c>
      <c r="G45" s="8">
        <v>15465.809999999996</v>
      </c>
      <c r="H45" s="8">
        <v>19898.355999999996</v>
      </c>
      <c r="I45" s="8">
        <v>2710.29</v>
      </c>
      <c r="J45" s="8">
        <v>9187.56</v>
      </c>
      <c r="K45" s="8">
        <v>2616.5100000000002</v>
      </c>
      <c r="L45" s="8">
        <v>1649.1299999999999</v>
      </c>
      <c r="M45" s="8">
        <v>4938.090000000002</v>
      </c>
      <c r="N45" s="8">
        <v>3686.49</v>
      </c>
      <c r="O45" s="8">
        <v>3393.62</v>
      </c>
      <c r="P45" s="8">
        <v>4719.2300000000005</v>
      </c>
      <c r="Q45" s="8">
        <v>125476.9562</v>
      </c>
      <c r="R45"/>
      <c r="S45"/>
      <c r="T45"/>
      <c r="U45"/>
      <c r="V45"/>
      <c r="W45"/>
    </row>
    <row r="46" spans="1:23" x14ac:dyDescent="0.25">
      <c r="A46" s="3" t="s">
        <v>41</v>
      </c>
      <c r="B46" s="8">
        <v>13879.682000000003</v>
      </c>
      <c r="C46" s="8">
        <v>13775.26</v>
      </c>
      <c r="D46" s="8">
        <v>8316.4282000000021</v>
      </c>
      <c r="E46" s="8">
        <v>19096.78000000001</v>
      </c>
      <c r="F46" s="8">
        <v>3467.88</v>
      </c>
      <c r="G46" s="8">
        <v>16086.749999999996</v>
      </c>
      <c r="H46" s="8">
        <v>20038.819999999996</v>
      </c>
      <c r="I46" s="8">
        <v>2830.3500000000004</v>
      </c>
      <c r="J46" s="8">
        <v>9563.08</v>
      </c>
      <c r="K46" s="8">
        <v>2777.47</v>
      </c>
      <c r="L46" s="8">
        <v>1755.02</v>
      </c>
      <c r="M46" s="8">
        <v>5248.3100000000013</v>
      </c>
      <c r="N46" s="8">
        <v>3783.4900000000002</v>
      </c>
      <c r="O46" s="8">
        <v>3501.09</v>
      </c>
      <c r="P46" s="8">
        <v>4929.21</v>
      </c>
      <c r="Q46" s="8">
        <v>129049.62020000002</v>
      </c>
      <c r="R46"/>
      <c r="S46"/>
      <c r="T46"/>
      <c r="U46"/>
      <c r="V46"/>
      <c r="W46"/>
    </row>
    <row r="47" spans="1:23" x14ac:dyDescent="0.25">
      <c r="A47" s="3" t="s">
        <v>42</v>
      </c>
      <c r="B47" s="8">
        <v>13879.682000000003</v>
      </c>
      <c r="C47" s="8">
        <v>13775.26</v>
      </c>
      <c r="D47" s="8">
        <v>8316.4282000000021</v>
      </c>
      <c r="E47" s="8">
        <v>19096.78000000001</v>
      </c>
      <c r="F47" s="8">
        <v>3467.88</v>
      </c>
      <c r="G47" s="8">
        <v>16086.749999999996</v>
      </c>
      <c r="H47" s="8">
        <v>20038.819999999996</v>
      </c>
      <c r="I47" s="8">
        <v>2830.3500000000004</v>
      </c>
      <c r="J47" s="8">
        <v>9563.08</v>
      </c>
      <c r="K47" s="8">
        <v>2777.47</v>
      </c>
      <c r="L47" s="8">
        <v>1755.02</v>
      </c>
      <c r="M47" s="8">
        <v>5248.3100000000013</v>
      </c>
      <c r="N47" s="8">
        <v>3783.4900000000002</v>
      </c>
      <c r="O47" s="8">
        <v>3501.09</v>
      </c>
      <c r="P47" s="8">
        <v>4929.21</v>
      </c>
      <c r="Q47" s="8">
        <v>129049.62020000002</v>
      </c>
      <c r="R47"/>
      <c r="S47"/>
      <c r="T47"/>
      <c r="U47"/>
      <c r="V47"/>
      <c r="W47"/>
    </row>
    <row r="48" spans="1:23" x14ac:dyDescent="0.25">
      <c r="A48" s="3" t="s">
        <v>43</v>
      </c>
      <c r="B48" s="8">
        <v>13879.682000000003</v>
      </c>
      <c r="C48" s="8">
        <v>13775.26</v>
      </c>
      <c r="D48" s="8">
        <v>8316.4282000000021</v>
      </c>
      <c r="E48" s="8">
        <v>19096.78000000001</v>
      </c>
      <c r="F48" s="8">
        <v>3467.88</v>
      </c>
      <c r="G48" s="8">
        <v>16086.749999999996</v>
      </c>
      <c r="H48" s="8">
        <v>20038.819999999996</v>
      </c>
      <c r="I48" s="8">
        <v>2830.3500000000004</v>
      </c>
      <c r="J48" s="8">
        <v>9563.08</v>
      </c>
      <c r="K48" s="8">
        <v>2777.47</v>
      </c>
      <c r="L48" s="8">
        <v>1755.02</v>
      </c>
      <c r="M48" s="8">
        <v>5248.3100000000013</v>
      </c>
      <c r="N48" s="8">
        <v>3783.4900000000002</v>
      </c>
      <c r="O48" s="8">
        <v>3501.09</v>
      </c>
      <c r="P48" s="8">
        <v>4929.21</v>
      </c>
      <c r="Q48" s="8">
        <v>129049.62020000002</v>
      </c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B191E-2422-4305-9249-BFB0AF115345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5" customWidth="1"/>
    <col min="3" max="10" width="10.7109375" style="109" customWidth="1"/>
    <col min="11" max="11" width="13" style="109" customWidth="1"/>
    <col min="12" max="12" width="13.7109375" style="133" customWidth="1"/>
    <col min="13" max="13" width="12.7109375" style="133" customWidth="1"/>
    <col min="14" max="14" width="10.7109375" style="133" customWidth="1"/>
    <col min="15" max="15" width="12.5703125" style="109" customWidth="1"/>
    <col min="16" max="16" width="9.140625" style="109" bestFit="1" customWidth="1"/>
    <col min="17" max="17" width="25.28515625" style="109" bestFit="1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135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2" t="s">
        <v>644</v>
      </c>
      <c r="E3" s="152"/>
      <c r="F3" s="152"/>
      <c r="G3" s="152"/>
      <c r="H3" s="152"/>
      <c r="I3" s="152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2</v>
      </c>
      <c r="C4" s="121"/>
      <c r="D4" s="153" t="s">
        <v>145</v>
      </c>
      <c r="E4" s="154" t="s">
        <v>12</v>
      </c>
      <c r="F4" s="154" t="s">
        <v>26</v>
      </c>
      <c r="G4" s="154" t="s">
        <v>27</v>
      </c>
      <c r="H4" s="154" t="s">
        <v>51</v>
      </c>
      <c r="I4" s="154" t="s">
        <v>28</v>
      </c>
      <c r="J4" s="120"/>
      <c r="L4" s="123"/>
      <c r="M4" s="124" t="s">
        <v>149</v>
      </c>
      <c r="N4" s="122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5" t="s">
        <v>61</v>
      </c>
      <c r="D5" s="155">
        <v>-0.9</v>
      </c>
      <c r="E5" s="156">
        <v>0</v>
      </c>
      <c r="F5" s="156">
        <v>0</v>
      </c>
      <c r="G5" s="156">
        <v>0</v>
      </c>
      <c r="H5" s="156">
        <v>0</v>
      </c>
      <c r="I5" s="156">
        <v>0</v>
      </c>
      <c r="J5" s="128"/>
      <c r="L5" s="126">
        <f t="shared" ref="L5:L21" si="0">D5</f>
        <v>-0.9</v>
      </c>
      <c r="M5" s="127">
        <f>(E5+F5+G5/2)*$B$9</f>
        <v>0</v>
      </c>
      <c r="N5" s="127">
        <f t="shared" ref="N5:N21" si="1">M5/$B$7</f>
        <v>0</v>
      </c>
      <c r="O5" s="128"/>
      <c r="P5" s="129" t="str">
        <f t="shared" ref="P5:R21" ca="1" si="2">_xlfn.FORMULATEXT(L5)</f>
        <v>=D5</v>
      </c>
      <c r="Q5" s="129" t="str">
        <f t="shared" ca="1" si="2"/>
        <v>=(E5+F5+G5/2)*$B$9</v>
      </c>
      <c r="R5" s="129" t="str">
        <f t="shared" ca="1" si="2"/>
        <v>=M5/$B$7</v>
      </c>
    </row>
    <row r="6" spans="1:18" x14ac:dyDescent="0.25">
      <c r="A6" s="109" t="s">
        <v>152</v>
      </c>
      <c r="B6" s="125" t="s">
        <v>12</v>
      </c>
      <c r="D6" s="155">
        <v>-0.46</v>
      </c>
      <c r="E6" s="156">
        <v>2639.2641000000003</v>
      </c>
      <c r="F6" s="156">
        <v>6738.21</v>
      </c>
      <c r="G6" s="156">
        <v>0</v>
      </c>
      <c r="H6" s="156">
        <v>0</v>
      </c>
      <c r="I6" s="156">
        <v>9377.4740999999995</v>
      </c>
      <c r="J6" s="128"/>
      <c r="L6" s="126">
        <f t="shared" si="0"/>
        <v>-0.46</v>
      </c>
      <c r="M6" s="127">
        <f>(E6+F6+G6/2)*$B$9</f>
        <v>9377.4740999999995</v>
      </c>
      <c r="N6" s="127">
        <f t="shared" si="1"/>
        <v>112.15370511895919</v>
      </c>
      <c r="O6" s="128"/>
      <c r="P6" s="129" t="str">
        <f t="shared" ca="1" si="2"/>
        <v>=D6</v>
      </c>
      <c r="Q6" s="129" t="str">
        <f t="shared" ca="1" si="2"/>
        <v>=(E6+F6+G6/2)*$B$9</v>
      </c>
      <c r="R6" s="129" t="str">
        <f t="shared" ca="1" si="2"/>
        <v>=M6/$B$7</v>
      </c>
    </row>
    <row r="7" spans="1:18" x14ac:dyDescent="0.25">
      <c r="A7" s="109" t="s">
        <v>153</v>
      </c>
      <c r="B7" s="130">
        <v>83.612700000000004</v>
      </c>
      <c r="D7" s="155">
        <v>0</v>
      </c>
      <c r="E7" s="156">
        <v>2639.2641000000003</v>
      </c>
      <c r="F7" s="156">
        <v>6738.21</v>
      </c>
      <c r="G7" s="156">
        <v>0</v>
      </c>
      <c r="H7" s="156">
        <v>0</v>
      </c>
      <c r="I7" s="156">
        <v>9377.4740999999995</v>
      </c>
      <c r="J7" s="128"/>
      <c r="L7" s="126">
        <f t="shared" si="0"/>
        <v>0</v>
      </c>
      <c r="M7" s="127">
        <f>(E7+F7+G7/2)*$B$9</f>
        <v>9377.4740999999995</v>
      </c>
      <c r="N7" s="127">
        <f t="shared" si="1"/>
        <v>112.15370511895919</v>
      </c>
      <c r="O7" s="128"/>
      <c r="P7" s="129" t="str">
        <f t="shared" ca="1" si="2"/>
        <v>=D7</v>
      </c>
      <c r="Q7" s="129" t="str">
        <f t="shared" ca="1" si="2"/>
        <v>=(E7+F7+G7/2)*$B$9</v>
      </c>
      <c r="R7" s="129" t="str">
        <f t="shared" ca="1" si="2"/>
        <v>=M7/$B$7</v>
      </c>
    </row>
    <row r="8" spans="1:18" x14ac:dyDescent="0.25">
      <c r="A8" s="109" t="s">
        <v>154</v>
      </c>
      <c r="B8" s="125" t="s">
        <v>155</v>
      </c>
      <c r="D8" s="155">
        <v>0.03</v>
      </c>
      <c r="E8" s="156">
        <v>16658.395125000006</v>
      </c>
      <c r="F8" s="156">
        <v>6738.21</v>
      </c>
      <c r="G8" s="156">
        <v>828.0474999999999</v>
      </c>
      <c r="H8" s="156">
        <v>13291.744999999997</v>
      </c>
      <c r="I8" s="156">
        <v>37516.397625000005</v>
      </c>
      <c r="J8" s="128"/>
      <c r="L8" s="126">
        <f t="shared" si="0"/>
        <v>0.03</v>
      </c>
      <c r="M8" s="127">
        <f t="shared" ref="M8:M21" si="3">(E8+F8+G8/2+$B$17)*$B$9</f>
        <v>36527.707175000003</v>
      </c>
      <c r="N8" s="127">
        <f t="shared" si="1"/>
        <v>436.86793005129607</v>
      </c>
      <c r="O8" s="128"/>
      <c r="P8" s="129" t="str">
        <f t="shared" ca="1" si="2"/>
        <v>=D8</v>
      </c>
      <c r="Q8" s="129" t="str">
        <f t="shared" ca="1" si="2"/>
        <v>=(E8+F8+G8/2+$B$17)*$B$9</v>
      </c>
      <c r="R8" s="129" t="str">
        <f t="shared" ca="1" si="2"/>
        <v>=M8/$B$7</v>
      </c>
    </row>
    <row r="9" spans="1:18" x14ac:dyDescent="0.25">
      <c r="A9" s="109" t="s">
        <v>156</v>
      </c>
      <c r="B9" s="125">
        <v>1</v>
      </c>
      <c r="D9" s="155">
        <v>0.05</v>
      </c>
      <c r="E9" s="156">
        <v>26804.325125000003</v>
      </c>
      <c r="F9" s="156">
        <v>6738.21</v>
      </c>
      <c r="G9" s="156">
        <v>2543.5495000000005</v>
      </c>
      <c r="H9" s="156">
        <v>21219.975000000017</v>
      </c>
      <c r="I9" s="156">
        <v>57306.059625000024</v>
      </c>
      <c r="J9" s="128"/>
      <c r="L9" s="126">
        <f t="shared" si="0"/>
        <v>0.05</v>
      </c>
      <c r="M9" s="127">
        <f t="shared" si="3"/>
        <v>47531.388175</v>
      </c>
      <c r="N9" s="127">
        <f t="shared" si="1"/>
        <v>568.47091620052936</v>
      </c>
      <c r="O9" s="128"/>
      <c r="P9" s="129" t="str">
        <f t="shared" ca="1" si="2"/>
        <v>=D9</v>
      </c>
      <c r="Q9" s="129" t="str">
        <f t="shared" ca="1" si="2"/>
        <v>=(E9+F9+G9/2+$B$17)*$B$9</v>
      </c>
      <c r="R9" s="129" t="str">
        <f t="shared" ca="1" si="2"/>
        <v>=M9/$B$7</v>
      </c>
    </row>
    <row r="10" spans="1:18" x14ac:dyDescent="0.25">
      <c r="A10" s="109" t="s">
        <v>157</v>
      </c>
      <c r="B10" s="131" t="b">
        <f>(E21+F21+G21/2+B17)*B9=M21</f>
        <v>1</v>
      </c>
      <c r="D10" s="155">
        <v>0.1</v>
      </c>
      <c r="E10" s="156">
        <v>29038.925125000005</v>
      </c>
      <c r="F10" s="156">
        <v>8238.369999999999</v>
      </c>
      <c r="G10" s="156">
        <v>2543.5495000000005</v>
      </c>
      <c r="H10" s="156">
        <v>21219.975000000017</v>
      </c>
      <c r="I10" s="156">
        <v>61040.819625000018</v>
      </c>
      <c r="J10" s="128"/>
      <c r="L10" s="126">
        <f t="shared" si="0"/>
        <v>0.1</v>
      </c>
      <c r="M10" s="127">
        <f t="shared" si="3"/>
        <v>51266.148175000002</v>
      </c>
      <c r="N10" s="127">
        <f t="shared" si="1"/>
        <v>613.13829328558938</v>
      </c>
      <c r="O10" s="128"/>
      <c r="P10" s="129" t="str">
        <f t="shared" ca="1" si="2"/>
        <v>=D10</v>
      </c>
      <c r="Q10" s="129" t="str">
        <f t="shared" ca="1" si="2"/>
        <v>=(E10+F10+G10/2+$B$17)*$B$9</v>
      </c>
      <c r="R10" s="129" t="str">
        <f t="shared" ca="1" si="2"/>
        <v>=M10/$B$7</v>
      </c>
    </row>
    <row r="11" spans="1:18" x14ac:dyDescent="0.25">
      <c r="D11" s="155">
        <v>0.15</v>
      </c>
      <c r="E11" s="156">
        <v>32473.175125000002</v>
      </c>
      <c r="F11" s="156">
        <v>11988.45</v>
      </c>
      <c r="G11" s="156">
        <v>2598.9815000000003</v>
      </c>
      <c r="H11" s="156">
        <v>21259.695000000018</v>
      </c>
      <c r="I11" s="156">
        <v>68320.301625000022</v>
      </c>
      <c r="J11" s="128"/>
      <c r="L11" s="126">
        <f t="shared" si="0"/>
        <v>0.15</v>
      </c>
      <c r="M11" s="127">
        <f t="shared" si="3"/>
        <v>58478.194175000004</v>
      </c>
      <c r="N11" s="127">
        <f t="shared" si="1"/>
        <v>699.39368271805597</v>
      </c>
      <c r="O11" s="128"/>
      <c r="P11" s="129" t="str">
        <f t="shared" ca="1" si="2"/>
        <v>=D11</v>
      </c>
      <c r="Q11" s="129" t="str">
        <f t="shared" ca="1" si="2"/>
        <v>=(E11+F11+G11/2+$B$17)*$B$9</v>
      </c>
      <c r="R11" s="129" t="str">
        <f t="shared" ca="1" si="2"/>
        <v>=M11/$B$7</v>
      </c>
    </row>
    <row r="12" spans="1:18" x14ac:dyDescent="0.25">
      <c r="A12" s="109" t="s">
        <v>158</v>
      </c>
      <c r="B12" s="125" t="s">
        <v>159</v>
      </c>
      <c r="D12" s="155">
        <v>0.3</v>
      </c>
      <c r="E12" s="156">
        <v>32473.175125000002</v>
      </c>
      <c r="F12" s="156">
        <v>11988.45</v>
      </c>
      <c r="G12" s="156">
        <v>2883.1640000000002</v>
      </c>
      <c r="H12" s="156">
        <v>21259.695000000018</v>
      </c>
      <c r="I12" s="156">
        <v>68604.484125000017</v>
      </c>
      <c r="J12" s="128"/>
      <c r="L12" s="126">
        <f t="shared" si="0"/>
        <v>0.3</v>
      </c>
      <c r="M12" s="127">
        <f t="shared" si="3"/>
        <v>58620.285425000009</v>
      </c>
      <c r="N12" s="127">
        <f t="shared" si="1"/>
        <v>701.09308065640755</v>
      </c>
      <c r="O12" s="128"/>
      <c r="P12" s="129" t="str">
        <f t="shared" ca="1" si="2"/>
        <v>=D12</v>
      </c>
      <c r="Q12" s="129" t="str">
        <f t="shared" ca="1" si="2"/>
        <v>=(E12+F12+G12/2+$B$17)*$B$9</v>
      </c>
      <c r="R12" s="129" t="str">
        <f t="shared" ca="1" si="2"/>
        <v>=M12/$B$7</v>
      </c>
    </row>
    <row r="13" spans="1:18" x14ac:dyDescent="0.25">
      <c r="A13" s="109" t="s">
        <v>160</v>
      </c>
      <c r="B13" s="125" t="s">
        <v>159</v>
      </c>
      <c r="D13" s="155">
        <v>0.46</v>
      </c>
      <c r="E13" s="156">
        <v>36590.932150000001</v>
      </c>
      <c r="F13" s="156">
        <v>11988.45</v>
      </c>
      <c r="G13" s="156">
        <v>8770.6235000000015</v>
      </c>
      <c r="H13" s="156">
        <v>23990.820000000014</v>
      </c>
      <c r="I13" s="156">
        <v>81340.825650000013</v>
      </c>
      <c r="J13" s="128"/>
      <c r="L13" s="126">
        <f t="shared" si="0"/>
        <v>0.46</v>
      </c>
      <c r="M13" s="127">
        <f t="shared" si="3"/>
        <v>65681.772200000007</v>
      </c>
      <c r="N13" s="127">
        <f t="shared" si="1"/>
        <v>785.54779596879428</v>
      </c>
      <c r="O13" s="128"/>
      <c r="P13" s="129" t="str">
        <f t="shared" ca="1" si="2"/>
        <v>=D13</v>
      </c>
      <c r="Q13" s="129" t="str">
        <f t="shared" ca="1" si="2"/>
        <v>=(E13+F13+G13/2+$B$17)*$B$9</v>
      </c>
      <c r="R13" s="129" t="str">
        <f t="shared" ca="1" si="2"/>
        <v>=M13/$B$7</v>
      </c>
    </row>
    <row r="14" spans="1:18" x14ac:dyDescent="0.25">
      <c r="A14" s="109" t="s">
        <v>161</v>
      </c>
      <c r="B14" s="125" t="s">
        <v>159</v>
      </c>
      <c r="D14" s="155">
        <v>0.61</v>
      </c>
      <c r="E14" s="156">
        <v>37141.252150000008</v>
      </c>
      <c r="F14" s="156">
        <v>11988.45</v>
      </c>
      <c r="G14" s="156">
        <v>8826.0555000000022</v>
      </c>
      <c r="H14" s="156">
        <v>28047.830000000009</v>
      </c>
      <c r="I14" s="156">
        <v>86003.58765000003</v>
      </c>
      <c r="J14" s="128"/>
      <c r="L14" s="126">
        <f t="shared" si="0"/>
        <v>0.61</v>
      </c>
      <c r="M14" s="127">
        <f t="shared" si="3"/>
        <v>66259.808200000014</v>
      </c>
      <c r="N14" s="127">
        <f t="shared" si="1"/>
        <v>792.46105196937799</v>
      </c>
      <c r="O14" s="128"/>
      <c r="P14" s="129" t="str">
        <f t="shared" ca="1" si="2"/>
        <v>=D14</v>
      </c>
      <c r="Q14" s="129" t="str">
        <f t="shared" ca="1" si="2"/>
        <v>=(E14+F14+G14/2+$B$17)*$B$9</v>
      </c>
      <c r="R14" s="129" t="str">
        <f t="shared" ca="1" si="2"/>
        <v>=M14/$B$7</v>
      </c>
    </row>
    <row r="15" spans="1:18" x14ac:dyDescent="0.25">
      <c r="D15" s="155">
        <v>0.76</v>
      </c>
      <c r="E15" s="156">
        <v>39406.80215000001</v>
      </c>
      <c r="F15" s="156">
        <v>11988.45</v>
      </c>
      <c r="G15" s="156">
        <v>9690.9230000000025</v>
      </c>
      <c r="H15" s="156">
        <v>31078.69000000001</v>
      </c>
      <c r="I15" s="156">
        <v>92164.865150000027</v>
      </c>
      <c r="J15" s="128"/>
      <c r="L15" s="126">
        <f t="shared" si="0"/>
        <v>0.76</v>
      </c>
      <c r="M15" s="127">
        <f t="shared" si="3"/>
        <v>68957.791950000013</v>
      </c>
      <c r="N15" s="127">
        <f t="shared" si="1"/>
        <v>824.72868296323418</v>
      </c>
      <c r="O15" s="128"/>
      <c r="P15" s="129" t="str">
        <f t="shared" ca="1" si="2"/>
        <v>=D15</v>
      </c>
      <c r="Q15" s="129" t="str">
        <f t="shared" ca="1" si="2"/>
        <v>=(E15+F15+G15/2+$B$17)*$B$9</v>
      </c>
      <c r="R15" s="129" t="str">
        <f t="shared" ca="1" si="2"/>
        <v>=M15/$B$7</v>
      </c>
    </row>
    <row r="16" spans="1:18" x14ac:dyDescent="0.25">
      <c r="A16" s="115" t="s">
        <v>162</v>
      </c>
      <c r="D16" s="155">
        <v>0.91</v>
      </c>
      <c r="E16" s="156">
        <v>48900.082150000002</v>
      </c>
      <c r="F16" s="156">
        <v>13775.26</v>
      </c>
      <c r="G16" s="156">
        <v>11588.237000000003</v>
      </c>
      <c r="H16" s="156">
        <v>42845.170000000006</v>
      </c>
      <c r="I16" s="156">
        <v>117108.74915000002</v>
      </c>
      <c r="J16" s="128"/>
      <c r="L16" s="126">
        <f t="shared" si="0"/>
        <v>0.91</v>
      </c>
      <c r="M16" s="127">
        <f t="shared" si="3"/>
        <v>81186.538950000002</v>
      </c>
      <c r="N16" s="127">
        <f t="shared" si="1"/>
        <v>970.98334284145824</v>
      </c>
      <c r="O16" s="128"/>
      <c r="P16" s="129" t="str">
        <f t="shared" ca="1" si="2"/>
        <v>=D16</v>
      </c>
      <c r="Q16" s="129" t="str">
        <f t="shared" ca="1" si="2"/>
        <v>=(E16+F16+G16/2+$B$17)*$B$9</v>
      </c>
      <c r="R16" s="129" t="str">
        <f t="shared" ca="1" si="2"/>
        <v>=M16/$B$7</v>
      </c>
    </row>
    <row r="17" spans="1:18" x14ac:dyDescent="0.25">
      <c r="A17" s="109" t="s">
        <v>163</v>
      </c>
      <c r="B17" s="131">
        <v>12717.078299999999</v>
      </c>
      <c r="D17" s="155">
        <v>1.02</v>
      </c>
      <c r="E17" s="156">
        <v>54164.0242</v>
      </c>
      <c r="F17" s="156">
        <v>13775.26</v>
      </c>
      <c r="G17" s="156">
        <v>13498.812000000004</v>
      </c>
      <c r="H17" s="156">
        <v>43421.640000000007</v>
      </c>
      <c r="I17" s="156">
        <v>124859.73620000001</v>
      </c>
      <c r="J17" s="128"/>
      <c r="L17" s="126">
        <f t="shared" si="0"/>
        <v>1.02</v>
      </c>
      <c r="M17" s="127">
        <f t="shared" si="3"/>
        <v>87405.768499999991</v>
      </c>
      <c r="N17" s="127">
        <f t="shared" si="1"/>
        <v>1045.3647412414621</v>
      </c>
      <c r="O17" s="128"/>
      <c r="P17" s="129" t="str">
        <f t="shared" ca="1" si="2"/>
        <v>=D17</v>
      </c>
      <c r="Q17" s="129" t="str">
        <f t="shared" ca="1" si="2"/>
        <v>=(E17+F17+G17/2+$B$17)*$B$9</v>
      </c>
      <c r="R17" s="129" t="str">
        <f t="shared" ca="1" si="2"/>
        <v>=M17/$B$7</v>
      </c>
    </row>
    <row r="18" spans="1:18" x14ac:dyDescent="0.25">
      <c r="A18" s="109" t="s">
        <v>164</v>
      </c>
      <c r="B18" s="131">
        <v>0</v>
      </c>
      <c r="D18" s="155">
        <v>1.22</v>
      </c>
      <c r="E18" s="156">
        <v>54446.5942</v>
      </c>
      <c r="F18" s="156">
        <v>13775.26</v>
      </c>
      <c r="G18" s="156">
        <v>13668.152000000004</v>
      </c>
      <c r="H18" s="156">
        <v>43586.950000000004</v>
      </c>
      <c r="I18" s="156">
        <v>125476.95620000002</v>
      </c>
      <c r="J18" s="128"/>
      <c r="L18" s="126">
        <f t="shared" si="0"/>
        <v>1.22</v>
      </c>
      <c r="M18" s="127">
        <f t="shared" si="3"/>
        <v>87773.008499999996</v>
      </c>
      <c r="N18" s="127">
        <f t="shared" si="1"/>
        <v>1049.7568969785689</v>
      </c>
      <c r="O18" s="128"/>
      <c r="P18" s="129" t="str">
        <f t="shared" ca="1" si="2"/>
        <v>=D18</v>
      </c>
      <c r="Q18" s="129" t="str">
        <f t="shared" ca="1" si="2"/>
        <v>=(E18+F18+G18/2+$B$17)*$B$9</v>
      </c>
      <c r="R18" s="129" t="str">
        <f t="shared" ca="1" si="2"/>
        <v>=M18/$B$7</v>
      </c>
    </row>
    <row r="19" spans="1:18" x14ac:dyDescent="0.25">
      <c r="A19" s="109" t="s">
        <v>165</v>
      </c>
      <c r="B19" s="131">
        <v>10184.7583</v>
      </c>
      <c r="D19" s="155">
        <v>1.52</v>
      </c>
      <c r="E19" s="156">
        <v>56149.0982</v>
      </c>
      <c r="F19" s="156">
        <v>13775.26</v>
      </c>
      <c r="G19" s="156">
        <v>13879.682000000003</v>
      </c>
      <c r="H19" s="156">
        <v>45245.580000000009</v>
      </c>
      <c r="I19" s="156">
        <v>129049.6202</v>
      </c>
      <c r="J19" s="128"/>
      <c r="L19" s="126">
        <f t="shared" si="0"/>
        <v>1.52</v>
      </c>
      <c r="M19" s="127">
        <f t="shared" si="3"/>
        <v>89581.277499999997</v>
      </c>
      <c r="N19" s="127">
        <f t="shared" si="1"/>
        <v>1071.3836235404428</v>
      </c>
      <c r="O19" s="128"/>
      <c r="P19" s="129" t="str">
        <f t="shared" ca="1" si="2"/>
        <v>=D19</v>
      </c>
      <c r="Q19" s="129" t="str">
        <f t="shared" ca="1" si="2"/>
        <v>=(E19+F19+G19/2+$B$17)*$B$9</v>
      </c>
      <c r="R19" s="129" t="str">
        <f t="shared" ca="1" si="2"/>
        <v>=M19/$B$7</v>
      </c>
    </row>
    <row r="20" spans="1:18" x14ac:dyDescent="0.25">
      <c r="D20" s="155">
        <v>1.83</v>
      </c>
      <c r="E20" s="156">
        <v>56149.0982</v>
      </c>
      <c r="F20" s="156">
        <v>13775.26</v>
      </c>
      <c r="G20" s="156">
        <v>13879.682000000003</v>
      </c>
      <c r="H20" s="156">
        <v>45245.580000000009</v>
      </c>
      <c r="I20" s="156">
        <v>129049.6202</v>
      </c>
      <c r="J20" s="128"/>
      <c r="L20" s="126">
        <f t="shared" si="0"/>
        <v>1.83</v>
      </c>
      <c r="M20" s="127">
        <f t="shared" si="3"/>
        <v>89581.277499999997</v>
      </c>
      <c r="N20" s="127">
        <f t="shared" si="1"/>
        <v>1071.3836235404428</v>
      </c>
      <c r="O20" s="128"/>
      <c r="P20" s="129" t="str">
        <f t="shared" ca="1" si="2"/>
        <v>=D20</v>
      </c>
      <c r="Q20" s="129" t="str">
        <f t="shared" ca="1" si="2"/>
        <v>=(E20+F20+G20/2+$B$17)*$B$9</v>
      </c>
      <c r="R20" s="129" t="str">
        <f t="shared" ca="1" si="2"/>
        <v>=M20/$B$7</v>
      </c>
    </row>
    <row r="21" spans="1:18" x14ac:dyDescent="0.25">
      <c r="D21" s="155">
        <v>2.7</v>
      </c>
      <c r="E21" s="156">
        <v>56149.0982</v>
      </c>
      <c r="F21" s="156">
        <v>13775.26</v>
      </c>
      <c r="G21" s="156">
        <v>13879.682000000003</v>
      </c>
      <c r="H21" s="156">
        <v>45245.580000000009</v>
      </c>
      <c r="I21" s="156">
        <v>129049.6202</v>
      </c>
      <c r="J21" s="128"/>
      <c r="L21" s="126">
        <f t="shared" si="0"/>
        <v>2.7</v>
      </c>
      <c r="M21" s="127">
        <f t="shared" si="3"/>
        <v>89581.277499999997</v>
      </c>
      <c r="N21" s="127">
        <f t="shared" si="1"/>
        <v>1071.3836235404428</v>
      </c>
      <c r="O21" s="128"/>
      <c r="P21" s="129" t="str">
        <f t="shared" ca="1" si="2"/>
        <v>=D21</v>
      </c>
      <c r="Q21" s="129" t="str">
        <f t="shared" ca="1" si="2"/>
        <v>=(E21+F21+G21/2+$B$17)*$B$9</v>
      </c>
      <c r="R21" s="129" t="str">
        <f t="shared" ca="1" si="2"/>
        <v>=M21/$B$7</v>
      </c>
    </row>
    <row r="22" spans="1:18" x14ac:dyDescent="0.25">
      <c r="L22" s="126"/>
      <c r="M22" s="127"/>
      <c r="N22" s="127"/>
      <c r="O22" s="128"/>
      <c r="P22" s="129"/>
      <c r="Q22" s="129"/>
      <c r="R22" s="132"/>
    </row>
    <row r="23" spans="1:18" x14ac:dyDescent="0.25">
      <c r="L23" s="126"/>
      <c r="M23" s="127"/>
      <c r="N23" s="127"/>
      <c r="O23" s="128"/>
      <c r="P23" s="129"/>
      <c r="Q23" s="129"/>
      <c r="R23" s="132"/>
    </row>
    <row r="24" spans="1:18" x14ac:dyDescent="0.25">
      <c r="L24" s="126"/>
      <c r="M24" s="127"/>
      <c r="N24" s="127"/>
      <c r="O24" s="128"/>
      <c r="P24" s="129"/>
      <c r="Q24" s="129"/>
      <c r="R24" s="132"/>
    </row>
    <row r="25" spans="1:18" x14ac:dyDescent="0.25">
      <c r="L25" s="126"/>
      <c r="M25" s="127"/>
      <c r="N25" s="127"/>
      <c r="O25" s="128"/>
      <c r="P25" s="129"/>
      <c r="Q25" s="129"/>
      <c r="R25" s="132"/>
    </row>
    <row r="26" spans="1:18" x14ac:dyDescent="0.25">
      <c r="L26" s="126"/>
      <c r="M26" s="127"/>
      <c r="N26" s="127"/>
      <c r="O26" s="128"/>
      <c r="P26" s="129"/>
      <c r="Q26" s="129"/>
      <c r="R26" s="132"/>
    </row>
    <row r="27" spans="1:18" x14ac:dyDescent="0.25">
      <c r="L27" s="126"/>
      <c r="M27" s="127"/>
      <c r="N27" s="127"/>
      <c r="O27" s="128"/>
      <c r="P27" s="129"/>
      <c r="Q27" s="129"/>
      <c r="R27" s="132"/>
    </row>
    <row r="28" spans="1:18" x14ac:dyDescent="0.25">
      <c r="L28" s="126"/>
      <c r="M28" s="127"/>
      <c r="N28" s="127"/>
      <c r="O28" s="128"/>
      <c r="P28" s="129"/>
      <c r="Q28" s="129"/>
      <c r="R28" s="132"/>
    </row>
    <row r="29" spans="1:18" x14ac:dyDescent="0.25">
      <c r="L29" s="126"/>
      <c r="M29" s="127"/>
      <c r="N29" s="127"/>
      <c r="O29" s="128"/>
      <c r="P29" s="129"/>
      <c r="Q29" s="129"/>
      <c r="R29" s="132"/>
    </row>
    <row r="30" spans="1:18" x14ac:dyDescent="0.25">
      <c r="L30" s="126"/>
      <c r="M30" s="127"/>
      <c r="N30" s="127"/>
      <c r="O30" s="128"/>
      <c r="P30" s="129"/>
      <c r="Q30" s="129"/>
      <c r="R30" s="132"/>
    </row>
    <row r="31" spans="1:18" x14ac:dyDescent="0.25">
      <c r="L31" s="126"/>
      <c r="M31" s="127"/>
      <c r="N31" s="127"/>
      <c r="O31" s="128"/>
      <c r="P31" s="129"/>
      <c r="Q31" s="129"/>
      <c r="R31" s="132"/>
    </row>
    <row r="32" spans="1:18" x14ac:dyDescent="0.25">
      <c r="L32" s="126"/>
      <c r="M32" s="127"/>
      <c r="N32" s="127"/>
      <c r="O32" s="128"/>
      <c r="P32" s="129"/>
      <c r="Q32" s="129"/>
      <c r="R32" s="132"/>
    </row>
    <row r="33" spans="12:18" x14ac:dyDescent="0.25">
      <c r="L33" s="126"/>
      <c r="M33" s="127"/>
      <c r="N33" s="127"/>
      <c r="O33" s="128"/>
      <c r="P33" s="129"/>
      <c r="Q33" s="129"/>
      <c r="R33" s="132"/>
    </row>
  </sheetData>
  <mergeCells count="7">
    <mergeCell ref="A1:I2"/>
    <mergeCell ref="K1:L1"/>
    <mergeCell ref="M1:N1"/>
    <mergeCell ref="L2:N2"/>
    <mergeCell ref="D3:I3"/>
    <mergeCell ref="L3:L4"/>
    <mergeCell ref="M3:N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90D3467F-7B89-40D6-B7FD-D9703CB878E0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T21"/>
    </sheetView>
  </sheetViews>
  <sheetFormatPr defaultRowHeight="15" x14ac:dyDescent="0.25"/>
  <cols>
    <col min="3" max="20" width="10.7109375" customWidth="1"/>
  </cols>
  <sheetData>
    <row r="3" spans="4:21" x14ac:dyDescent="0.25">
      <c r="D3" s="157" t="s">
        <v>645</v>
      </c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8"/>
    </row>
    <row r="4" spans="4:21" ht="45" customHeight="1" x14ac:dyDescent="0.25">
      <c r="D4" s="159" t="s">
        <v>145</v>
      </c>
      <c r="E4" s="160" t="s">
        <v>66</v>
      </c>
      <c r="F4" s="160" t="s">
        <v>67</v>
      </c>
      <c r="G4" s="160" t="s">
        <v>68</v>
      </c>
      <c r="H4" s="160" t="s">
        <v>13</v>
      </c>
      <c r="I4" s="160" t="s">
        <v>15</v>
      </c>
      <c r="J4" s="160" t="s">
        <v>4</v>
      </c>
      <c r="K4" s="160" t="s">
        <v>7</v>
      </c>
      <c r="L4" s="160" t="s">
        <v>5</v>
      </c>
      <c r="M4" s="160" t="s">
        <v>14</v>
      </c>
      <c r="N4" s="160" t="s">
        <v>6</v>
      </c>
      <c r="O4" s="160" t="s">
        <v>271</v>
      </c>
      <c r="P4" s="160" t="s">
        <v>259</v>
      </c>
      <c r="Q4" s="160" t="s">
        <v>273</v>
      </c>
      <c r="R4" s="160" t="s">
        <v>276</v>
      </c>
      <c r="S4" s="160" t="s">
        <v>269</v>
      </c>
      <c r="T4" s="160" t="s">
        <v>28</v>
      </c>
      <c r="U4" s="8"/>
    </row>
    <row r="5" spans="4:21" x14ac:dyDescent="0.25">
      <c r="D5" s="144">
        <v>-0.9</v>
      </c>
      <c r="E5" s="161">
        <v>0</v>
      </c>
      <c r="F5" s="161">
        <v>0</v>
      </c>
      <c r="G5" s="161">
        <v>0</v>
      </c>
      <c r="H5" s="161">
        <v>0</v>
      </c>
      <c r="I5" s="161">
        <v>0</v>
      </c>
      <c r="J5" s="161">
        <v>0</v>
      </c>
      <c r="K5" s="161">
        <v>0</v>
      </c>
      <c r="L5" s="161">
        <v>0</v>
      </c>
      <c r="M5" s="161">
        <v>0</v>
      </c>
      <c r="N5" s="161">
        <v>0</v>
      </c>
      <c r="O5" s="161">
        <v>0</v>
      </c>
      <c r="P5" s="161">
        <v>0</v>
      </c>
      <c r="Q5" s="161">
        <v>0</v>
      </c>
      <c r="R5" s="161">
        <v>0</v>
      </c>
      <c r="S5" s="161">
        <v>0</v>
      </c>
      <c r="T5" s="161">
        <v>0</v>
      </c>
      <c r="U5" s="8"/>
    </row>
    <row r="6" spans="4:21" x14ac:dyDescent="0.25">
      <c r="D6" s="144">
        <v>-0.46</v>
      </c>
      <c r="E6" s="161">
        <v>0</v>
      </c>
      <c r="F6" s="161">
        <v>6738.21</v>
      </c>
      <c r="G6" s="161">
        <v>2639.2641000000003</v>
      </c>
      <c r="H6" s="161">
        <v>0</v>
      </c>
      <c r="I6" s="161">
        <v>0</v>
      </c>
      <c r="J6" s="161">
        <v>0</v>
      </c>
      <c r="K6" s="161">
        <v>0</v>
      </c>
      <c r="L6" s="161">
        <v>0</v>
      </c>
      <c r="M6" s="161">
        <v>0</v>
      </c>
      <c r="N6" s="161">
        <v>0</v>
      </c>
      <c r="O6" s="161">
        <v>0</v>
      </c>
      <c r="P6" s="161">
        <v>0</v>
      </c>
      <c r="Q6" s="161">
        <v>0</v>
      </c>
      <c r="R6" s="161">
        <v>0</v>
      </c>
      <c r="S6" s="161">
        <v>0</v>
      </c>
      <c r="T6" s="161">
        <v>9377.4740999999995</v>
      </c>
      <c r="U6" s="8"/>
    </row>
    <row r="7" spans="4:21" x14ac:dyDescent="0.25">
      <c r="D7" s="144">
        <v>0</v>
      </c>
      <c r="E7" s="161">
        <v>0</v>
      </c>
      <c r="F7" s="161">
        <v>6738.21</v>
      </c>
      <c r="G7" s="161">
        <v>2639.2641000000003</v>
      </c>
      <c r="H7" s="161">
        <v>0</v>
      </c>
      <c r="I7" s="161">
        <v>0</v>
      </c>
      <c r="J7" s="161">
        <v>0</v>
      </c>
      <c r="K7" s="161">
        <v>0</v>
      </c>
      <c r="L7" s="161">
        <v>0</v>
      </c>
      <c r="M7" s="161">
        <v>0</v>
      </c>
      <c r="N7" s="161">
        <v>0</v>
      </c>
      <c r="O7" s="161">
        <v>0</v>
      </c>
      <c r="P7" s="161">
        <v>0</v>
      </c>
      <c r="Q7" s="161">
        <v>0</v>
      </c>
      <c r="R7" s="161">
        <v>0</v>
      </c>
      <c r="S7" s="161">
        <v>0</v>
      </c>
      <c r="T7" s="161">
        <v>9377.4740999999995</v>
      </c>
      <c r="U7" s="8"/>
    </row>
    <row r="8" spans="4:21" x14ac:dyDescent="0.25">
      <c r="D8" s="144">
        <v>0.03</v>
      </c>
      <c r="E8" s="161">
        <v>828.0474999999999</v>
      </c>
      <c r="F8" s="161">
        <v>6738.21</v>
      </c>
      <c r="G8" s="161">
        <v>3299.0801250000004</v>
      </c>
      <c r="H8" s="161">
        <v>2628.5700000000006</v>
      </c>
      <c r="I8" s="161">
        <v>1349.4524999999999</v>
      </c>
      <c r="J8" s="161">
        <v>7176.1100000000015</v>
      </c>
      <c r="K8" s="161">
        <v>1383.5624999999998</v>
      </c>
      <c r="L8" s="161">
        <v>1407.9975000000004</v>
      </c>
      <c r="M8" s="161">
        <v>5163.1999999999989</v>
      </c>
      <c r="N8" s="161">
        <v>1335.7449999999999</v>
      </c>
      <c r="O8" s="161">
        <v>797.56499999999983</v>
      </c>
      <c r="P8" s="161">
        <v>598.81749999999988</v>
      </c>
      <c r="Q8" s="161">
        <v>801.86750000000029</v>
      </c>
      <c r="R8" s="161">
        <v>1349.4524999999999</v>
      </c>
      <c r="S8" s="161">
        <v>2658.7200000000003</v>
      </c>
      <c r="T8" s="161">
        <v>37516.397624999998</v>
      </c>
      <c r="U8" s="8"/>
    </row>
    <row r="9" spans="4:21" x14ac:dyDescent="0.25">
      <c r="D9" s="144">
        <v>0.05</v>
      </c>
      <c r="E9" s="161">
        <v>2543.5495000000005</v>
      </c>
      <c r="F9" s="161">
        <v>6738.21</v>
      </c>
      <c r="G9" s="161">
        <v>3299.0801250000004</v>
      </c>
      <c r="H9" s="161">
        <v>4848.3700000000008</v>
      </c>
      <c r="I9" s="161">
        <v>2094.8824999999997</v>
      </c>
      <c r="J9" s="161">
        <v>11139.66</v>
      </c>
      <c r="K9" s="161">
        <v>7700.9025000000011</v>
      </c>
      <c r="L9" s="161">
        <v>1749.8374999999999</v>
      </c>
      <c r="M9" s="161">
        <v>6151.04</v>
      </c>
      <c r="N9" s="161">
        <v>1693.2449999999999</v>
      </c>
      <c r="O9" s="161">
        <v>1035.9049999999997</v>
      </c>
      <c r="P9" s="161">
        <v>1602.7774999999997</v>
      </c>
      <c r="Q9" s="161">
        <v>1443.8174999999997</v>
      </c>
      <c r="R9" s="161">
        <v>2094.8824999999997</v>
      </c>
      <c r="S9" s="161">
        <v>3169.9</v>
      </c>
      <c r="T9" s="161">
        <v>57306.059625000002</v>
      </c>
      <c r="U9" s="8"/>
    </row>
    <row r="10" spans="4:21" x14ac:dyDescent="0.25">
      <c r="D10" s="144">
        <v>0.1</v>
      </c>
      <c r="E10" s="161">
        <v>2543.5495000000005</v>
      </c>
      <c r="F10" s="161">
        <v>8238.369999999999</v>
      </c>
      <c r="G10" s="161">
        <v>5533.6801250000008</v>
      </c>
      <c r="H10" s="161">
        <v>4848.3700000000008</v>
      </c>
      <c r="I10" s="161">
        <v>2094.8824999999997</v>
      </c>
      <c r="J10" s="161">
        <v>11139.66</v>
      </c>
      <c r="K10" s="161">
        <v>7700.9025000000011</v>
      </c>
      <c r="L10" s="161">
        <v>1749.8374999999999</v>
      </c>
      <c r="M10" s="161">
        <v>6151.04</v>
      </c>
      <c r="N10" s="161">
        <v>1693.2449999999999</v>
      </c>
      <c r="O10" s="161">
        <v>1035.9049999999997</v>
      </c>
      <c r="P10" s="161">
        <v>1602.7774999999997</v>
      </c>
      <c r="Q10" s="161">
        <v>1443.8174999999997</v>
      </c>
      <c r="R10" s="161">
        <v>2094.8824999999997</v>
      </c>
      <c r="S10" s="161">
        <v>3169.9</v>
      </c>
      <c r="T10" s="161">
        <v>61040.819625000004</v>
      </c>
      <c r="U10" s="8"/>
    </row>
    <row r="11" spans="4:21" x14ac:dyDescent="0.25">
      <c r="D11" s="144">
        <v>0.15</v>
      </c>
      <c r="E11" s="161">
        <v>2598.9815000000003</v>
      </c>
      <c r="F11" s="161">
        <v>11988.45</v>
      </c>
      <c r="G11" s="161">
        <v>5533.6801250000008</v>
      </c>
      <c r="H11" s="161">
        <v>4848.3700000000008</v>
      </c>
      <c r="I11" s="161">
        <v>2094.8824999999997</v>
      </c>
      <c r="J11" s="161">
        <v>11139.66</v>
      </c>
      <c r="K11" s="161">
        <v>11135.152499999998</v>
      </c>
      <c r="L11" s="161">
        <v>1749.8374999999999</v>
      </c>
      <c r="M11" s="161">
        <v>6151.04</v>
      </c>
      <c r="N11" s="161">
        <v>1693.2449999999999</v>
      </c>
      <c r="O11" s="161">
        <v>1035.9049999999997</v>
      </c>
      <c r="P11" s="161">
        <v>1602.7774999999997</v>
      </c>
      <c r="Q11" s="161">
        <v>1483.5374999999997</v>
      </c>
      <c r="R11" s="161">
        <v>2094.8824999999997</v>
      </c>
      <c r="S11" s="161">
        <v>3169.9</v>
      </c>
      <c r="T11" s="161">
        <v>68320.301624999993</v>
      </c>
      <c r="U11" s="8"/>
    </row>
    <row r="12" spans="4:21" x14ac:dyDescent="0.25">
      <c r="D12" s="144">
        <v>0.3</v>
      </c>
      <c r="E12" s="161">
        <v>2883.1640000000002</v>
      </c>
      <c r="F12" s="161">
        <v>11988.45</v>
      </c>
      <c r="G12" s="161">
        <v>5533.6801250000008</v>
      </c>
      <c r="H12" s="161">
        <v>4848.3700000000008</v>
      </c>
      <c r="I12" s="161">
        <v>2094.8824999999997</v>
      </c>
      <c r="J12" s="161">
        <v>11139.66</v>
      </c>
      <c r="K12" s="161">
        <v>11135.152499999998</v>
      </c>
      <c r="L12" s="161">
        <v>1749.8374999999999</v>
      </c>
      <c r="M12" s="161">
        <v>6151.04</v>
      </c>
      <c r="N12" s="161">
        <v>1693.2449999999999</v>
      </c>
      <c r="O12" s="161">
        <v>1035.9049999999997</v>
      </c>
      <c r="P12" s="161">
        <v>1602.7774999999997</v>
      </c>
      <c r="Q12" s="161">
        <v>1483.5374999999997</v>
      </c>
      <c r="R12" s="161">
        <v>2094.8824999999997</v>
      </c>
      <c r="S12" s="161">
        <v>3169.9</v>
      </c>
      <c r="T12" s="161">
        <v>68604.484125000003</v>
      </c>
      <c r="U12" s="8"/>
    </row>
    <row r="13" spans="4:21" x14ac:dyDescent="0.25">
      <c r="D13" s="144">
        <v>0.46</v>
      </c>
      <c r="E13" s="161">
        <v>8770.6235000000015</v>
      </c>
      <c r="F13" s="161">
        <v>11988.45</v>
      </c>
      <c r="G13" s="161">
        <v>6285.8661500000007</v>
      </c>
      <c r="H13" s="161">
        <v>5318.7800000000007</v>
      </c>
      <c r="I13" s="161">
        <v>2452.4949999999999</v>
      </c>
      <c r="J13" s="161">
        <v>12583.85</v>
      </c>
      <c r="K13" s="161">
        <v>11655.721000000001</v>
      </c>
      <c r="L13" s="161">
        <v>2112.4549999999995</v>
      </c>
      <c r="M13" s="161">
        <v>7290.5999999999995</v>
      </c>
      <c r="N13" s="161">
        <v>2011.6200000000003</v>
      </c>
      <c r="O13" s="161">
        <v>1261.54</v>
      </c>
      <c r="P13" s="161">
        <v>1792.8249999999996</v>
      </c>
      <c r="Q13" s="161">
        <v>1687.7750000000001</v>
      </c>
      <c r="R13" s="161">
        <v>2388.7950000000001</v>
      </c>
      <c r="S13" s="161">
        <v>3739.43</v>
      </c>
      <c r="T13" s="161">
        <v>81340.825649999984</v>
      </c>
      <c r="U13" s="8"/>
    </row>
    <row r="14" spans="4:21" x14ac:dyDescent="0.25">
      <c r="D14" s="144">
        <v>0.61</v>
      </c>
      <c r="E14" s="161">
        <v>8826.0555000000022</v>
      </c>
      <c r="F14" s="161">
        <v>11988.45</v>
      </c>
      <c r="G14" s="161">
        <v>6285.8661500000007</v>
      </c>
      <c r="H14" s="161">
        <v>8334.4400000000023</v>
      </c>
      <c r="I14" s="161">
        <v>2452.4949999999999</v>
      </c>
      <c r="J14" s="161">
        <v>12583.85</v>
      </c>
      <c r="K14" s="161">
        <v>11655.721000000001</v>
      </c>
      <c r="L14" s="161">
        <v>2112.4549999999995</v>
      </c>
      <c r="M14" s="161">
        <v>7290.5999999999995</v>
      </c>
      <c r="N14" s="161">
        <v>2011.6200000000003</v>
      </c>
      <c r="O14" s="161">
        <v>1261.54</v>
      </c>
      <c r="P14" s="161">
        <v>2343.1450000000009</v>
      </c>
      <c r="Q14" s="161">
        <v>2729.1249999999995</v>
      </c>
      <c r="R14" s="161">
        <v>2388.7950000000001</v>
      </c>
      <c r="S14" s="161">
        <v>3739.43</v>
      </c>
      <c r="T14" s="161">
        <v>86003.587650000001</v>
      </c>
      <c r="U14" s="8"/>
    </row>
    <row r="15" spans="4:21" x14ac:dyDescent="0.25">
      <c r="D15" s="144">
        <v>0.76</v>
      </c>
      <c r="E15" s="161">
        <v>9690.9230000000025</v>
      </c>
      <c r="F15" s="161">
        <v>11988.45</v>
      </c>
      <c r="G15" s="161">
        <v>6285.8661500000007</v>
      </c>
      <c r="H15" s="161">
        <v>11365.300000000007</v>
      </c>
      <c r="I15" s="161">
        <v>2452.4949999999999</v>
      </c>
      <c r="J15" s="161">
        <v>12583.85</v>
      </c>
      <c r="K15" s="161">
        <v>13732.081</v>
      </c>
      <c r="L15" s="161">
        <v>2112.4549999999995</v>
      </c>
      <c r="M15" s="161">
        <v>7290.5999999999995</v>
      </c>
      <c r="N15" s="161">
        <v>2011.6200000000003</v>
      </c>
      <c r="O15" s="161">
        <v>1261.54</v>
      </c>
      <c r="P15" s="161">
        <v>2532.3350000000005</v>
      </c>
      <c r="Q15" s="161">
        <v>2729.1249999999995</v>
      </c>
      <c r="R15" s="161">
        <v>2388.7950000000001</v>
      </c>
      <c r="S15" s="161">
        <v>3739.43</v>
      </c>
      <c r="T15" s="161">
        <v>92164.865150000012</v>
      </c>
      <c r="U15" s="8"/>
    </row>
    <row r="16" spans="4:21" x14ac:dyDescent="0.25">
      <c r="D16" s="144">
        <v>0.91</v>
      </c>
      <c r="E16" s="161">
        <v>11588.237000000003</v>
      </c>
      <c r="F16" s="161">
        <v>13775.26</v>
      </c>
      <c r="G16" s="161">
        <v>6663.8961500000014</v>
      </c>
      <c r="H16" s="161">
        <v>18424.520000000011</v>
      </c>
      <c r="I16" s="161">
        <v>3360.41</v>
      </c>
      <c r="J16" s="161">
        <v>15397.409999999996</v>
      </c>
      <c r="K16" s="161">
        <v>15671.476000000001</v>
      </c>
      <c r="L16" s="161">
        <v>2710.29</v>
      </c>
      <c r="M16" s="161">
        <v>9187.56</v>
      </c>
      <c r="N16" s="161">
        <v>2616.5100000000002</v>
      </c>
      <c r="O16" s="161">
        <v>1649.1299999999999</v>
      </c>
      <c r="P16" s="161">
        <v>4938.090000000002</v>
      </c>
      <c r="Q16" s="161">
        <v>3110.02</v>
      </c>
      <c r="R16" s="161">
        <v>3296.71</v>
      </c>
      <c r="S16" s="161">
        <v>4719.2300000000005</v>
      </c>
      <c r="T16" s="161">
        <v>117108.74915</v>
      </c>
      <c r="U16" s="8"/>
    </row>
    <row r="17" spans="4:21" x14ac:dyDescent="0.25">
      <c r="D17" s="144">
        <v>1.02</v>
      </c>
      <c r="E17" s="161">
        <v>13498.812000000004</v>
      </c>
      <c r="F17" s="161">
        <v>13775.26</v>
      </c>
      <c r="G17" s="161">
        <v>7983.5282000000016</v>
      </c>
      <c r="H17" s="161">
        <v>18424.520000000011</v>
      </c>
      <c r="I17" s="161">
        <v>3360.41</v>
      </c>
      <c r="J17" s="161">
        <v>15397.409999999996</v>
      </c>
      <c r="K17" s="161">
        <v>19615.785999999996</v>
      </c>
      <c r="L17" s="161">
        <v>2710.29</v>
      </c>
      <c r="M17" s="161">
        <v>9187.56</v>
      </c>
      <c r="N17" s="161">
        <v>2616.5100000000002</v>
      </c>
      <c r="O17" s="161">
        <v>1649.1299999999999</v>
      </c>
      <c r="P17" s="161">
        <v>4938.090000000002</v>
      </c>
      <c r="Q17" s="161">
        <v>3686.49</v>
      </c>
      <c r="R17" s="161">
        <v>3296.71</v>
      </c>
      <c r="S17" s="161">
        <v>4719.2300000000005</v>
      </c>
      <c r="T17" s="161">
        <v>124859.7362</v>
      </c>
      <c r="U17" s="8"/>
    </row>
    <row r="18" spans="4:21" x14ac:dyDescent="0.25">
      <c r="D18" s="144">
        <v>1.22</v>
      </c>
      <c r="E18" s="161">
        <v>13668.152000000004</v>
      </c>
      <c r="F18" s="161">
        <v>13775.26</v>
      </c>
      <c r="G18" s="161">
        <v>7983.5282000000016</v>
      </c>
      <c r="H18" s="161">
        <v>18424.520000000011</v>
      </c>
      <c r="I18" s="161">
        <v>3360.41</v>
      </c>
      <c r="J18" s="161">
        <v>15465.809999999996</v>
      </c>
      <c r="K18" s="161">
        <v>19898.355999999996</v>
      </c>
      <c r="L18" s="161">
        <v>2710.29</v>
      </c>
      <c r="M18" s="161">
        <v>9187.56</v>
      </c>
      <c r="N18" s="161">
        <v>2616.5100000000002</v>
      </c>
      <c r="O18" s="161">
        <v>1649.1299999999999</v>
      </c>
      <c r="P18" s="161">
        <v>4938.090000000002</v>
      </c>
      <c r="Q18" s="161">
        <v>3686.49</v>
      </c>
      <c r="R18" s="161">
        <v>3393.62</v>
      </c>
      <c r="S18" s="161">
        <v>4719.2300000000005</v>
      </c>
      <c r="T18" s="161">
        <v>125476.9562</v>
      </c>
      <c r="U18" s="8"/>
    </row>
    <row r="19" spans="4:21" x14ac:dyDescent="0.25">
      <c r="D19" s="144">
        <v>1.52</v>
      </c>
      <c r="E19" s="161">
        <v>13879.682000000003</v>
      </c>
      <c r="F19" s="161">
        <v>13775.26</v>
      </c>
      <c r="G19" s="161">
        <v>8316.4282000000021</v>
      </c>
      <c r="H19" s="161">
        <v>19096.78000000001</v>
      </c>
      <c r="I19" s="161">
        <v>3467.88</v>
      </c>
      <c r="J19" s="161">
        <v>16086.749999999996</v>
      </c>
      <c r="K19" s="161">
        <v>20038.819999999996</v>
      </c>
      <c r="L19" s="161">
        <v>2830.3500000000004</v>
      </c>
      <c r="M19" s="161">
        <v>9563.08</v>
      </c>
      <c r="N19" s="161">
        <v>2777.47</v>
      </c>
      <c r="O19" s="161">
        <v>1755.02</v>
      </c>
      <c r="P19" s="161">
        <v>5248.3100000000013</v>
      </c>
      <c r="Q19" s="161">
        <v>3783.4900000000002</v>
      </c>
      <c r="R19" s="161">
        <v>3501.09</v>
      </c>
      <c r="S19" s="161">
        <v>4929.21</v>
      </c>
      <c r="T19" s="161">
        <v>129049.62020000002</v>
      </c>
      <c r="U19" s="8"/>
    </row>
    <row r="20" spans="4:21" x14ac:dyDescent="0.25">
      <c r="D20" s="144">
        <v>1.83</v>
      </c>
      <c r="E20" s="161">
        <v>13879.682000000003</v>
      </c>
      <c r="F20" s="161">
        <v>13775.26</v>
      </c>
      <c r="G20" s="161">
        <v>8316.4282000000021</v>
      </c>
      <c r="H20" s="161">
        <v>19096.78000000001</v>
      </c>
      <c r="I20" s="161">
        <v>3467.88</v>
      </c>
      <c r="J20" s="161">
        <v>16086.749999999996</v>
      </c>
      <c r="K20" s="161">
        <v>20038.819999999996</v>
      </c>
      <c r="L20" s="161">
        <v>2830.3500000000004</v>
      </c>
      <c r="M20" s="161">
        <v>9563.08</v>
      </c>
      <c r="N20" s="161">
        <v>2777.47</v>
      </c>
      <c r="O20" s="161">
        <v>1755.02</v>
      </c>
      <c r="P20" s="161">
        <v>5248.3100000000013</v>
      </c>
      <c r="Q20" s="161">
        <v>3783.4900000000002</v>
      </c>
      <c r="R20" s="161">
        <v>3501.09</v>
      </c>
      <c r="S20" s="161">
        <v>4929.21</v>
      </c>
      <c r="T20" s="161">
        <v>129049.62020000002</v>
      </c>
      <c r="U20" s="8"/>
    </row>
    <row r="21" spans="4:21" x14ac:dyDescent="0.25">
      <c r="D21" s="144">
        <v>2.7</v>
      </c>
      <c r="E21" s="161">
        <v>13879.682000000003</v>
      </c>
      <c r="F21" s="161">
        <v>13775.26</v>
      </c>
      <c r="G21" s="161">
        <v>8316.4282000000021</v>
      </c>
      <c r="H21" s="161">
        <v>19096.78000000001</v>
      </c>
      <c r="I21" s="161">
        <v>3467.88</v>
      </c>
      <c r="J21" s="161">
        <v>16086.749999999996</v>
      </c>
      <c r="K21" s="161">
        <v>20038.819999999996</v>
      </c>
      <c r="L21" s="161">
        <v>2830.3500000000004</v>
      </c>
      <c r="M21" s="161">
        <v>9563.08</v>
      </c>
      <c r="N21" s="161">
        <v>2777.47</v>
      </c>
      <c r="O21" s="161">
        <v>1755.02</v>
      </c>
      <c r="P21" s="161">
        <v>5248.3100000000013</v>
      </c>
      <c r="Q21" s="161">
        <v>3783.4900000000002</v>
      </c>
      <c r="R21" s="161">
        <v>3501.09</v>
      </c>
      <c r="S21" s="161">
        <v>4929.21</v>
      </c>
      <c r="T21" s="161">
        <v>129049.62020000002</v>
      </c>
      <c r="U21" s="8"/>
    </row>
  </sheetData>
  <mergeCells count="1">
    <mergeCell ref="D3:T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651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277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606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234</v>
      </c>
    </row>
    <row r="15" spans="1:2" x14ac:dyDescent="0.25">
      <c r="A15" s="33" t="s">
        <v>112</v>
      </c>
      <c r="B15" s="55" t="s">
        <v>236</v>
      </c>
    </row>
    <row r="16" spans="1:2" x14ac:dyDescent="0.25">
      <c r="A16" s="33" t="s">
        <v>113</v>
      </c>
      <c r="B16" s="55">
        <v>1800</v>
      </c>
    </row>
    <row r="17" spans="1:2" x14ac:dyDescent="0.25">
      <c r="A17" s="33" t="s">
        <v>114</v>
      </c>
      <c r="B17" s="55">
        <v>167.23</v>
      </c>
    </row>
    <row r="18" spans="1:2" x14ac:dyDescent="0.25">
      <c r="A18" s="33" t="s">
        <v>115</v>
      </c>
      <c r="B18" s="55" t="s">
        <v>647</v>
      </c>
    </row>
    <row r="19" spans="1:2" x14ac:dyDescent="0.25">
      <c r="A19" s="33" t="s">
        <v>116</v>
      </c>
      <c r="B19" s="55" t="s">
        <v>648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649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112.15370511895919</v>
      </c>
    </row>
    <row r="28" spans="1:2" x14ac:dyDescent="0.25">
      <c r="A28" s="54">
        <v>0</v>
      </c>
      <c r="B28" s="53">
        <v>112.15370511895919</v>
      </c>
    </row>
    <row r="29" spans="1:2" x14ac:dyDescent="0.25">
      <c r="A29" s="54">
        <v>0.03</v>
      </c>
      <c r="B29" s="53">
        <v>436.86793005129607</v>
      </c>
    </row>
    <row r="30" spans="1:2" x14ac:dyDescent="0.25">
      <c r="A30" s="54">
        <v>0.05</v>
      </c>
      <c r="B30" s="53">
        <v>568.47091620052936</v>
      </c>
    </row>
    <row r="31" spans="1:2" x14ac:dyDescent="0.25">
      <c r="A31" s="54">
        <v>0.1</v>
      </c>
      <c r="B31" s="53">
        <v>613.13829328558938</v>
      </c>
    </row>
    <row r="32" spans="1:2" x14ac:dyDescent="0.25">
      <c r="A32" s="54">
        <v>0.15</v>
      </c>
      <c r="B32" s="53">
        <v>699.39368271805597</v>
      </c>
    </row>
    <row r="33" spans="1:2" x14ac:dyDescent="0.25">
      <c r="A33" s="54">
        <v>0.3</v>
      </c>
      <c r="B33" s="53">
        <v>701.09308065640755</v>
      </c>
    </row>
    <row r="34" spans="1:2" x14ac:dyDescent="0.25">
      <c r="A34" s="54">
        <v>0.46</v>
      </c>
      <c r="B34" s="53">
        <v>785.54779596879428</v>
      </c>
    </row>
    <row r="35" spans="1:2" x14ac:dyDescent="0.25">
      <c r="A35" s="54">
        <v>0.61</v>
      </c>
      <c r="B35" s="53">
        <v>792.46105196937799</v>
      </c>
    </row>
    <row r="36" spans="1:2" x14ac:dyDescent="0.25">
      <c r="A36" s="54">
        <v>0.76</v>
      </c>
      <c r="B36" s="53">
        <v>824.72868296323418</v>
      </c>
    </row>
    <row r="37" spans="1:2" x14ac:dyDescent="0.25">
      <c r="A37" s="54">
        <v>0.91</v>
      </c>
      <c r="B37" s="53">
        <v>970.98334284145824</v>
      </c>
    </row>
    <row r="38" spans="1:2" x14ac:dyDescent="0.25">
      <c r="A38" s="54">
        <v>1.02</v>
      </c>
      <c r="B38" s="53">
        <v>1045.3647412414621</v>
      </c>
    </row>
    <row r="39" spans="1:2" x14ac:dyDescent="0.25">
      <c r="A39" s="54">
        <v>1.22</v>
      </c>
      <c r="B39" s="53">
        <v>1049.7568969785689</v>
      </c>
    </row>
    <row r="40" spans="1:2" x14ac:dyDescent="0.25">
      <c r="A40" s="54">
        <v>1.52</v>
      </c>
      <c r="B40" s="53">
        <v>1071.3836235404428</v>
      </c>
    </row>
    <row r="41" spans="1:2" x14ac:dyDescent="0.25">
      <c r="A41" s="54">
        <v>1.83</v>
      </c>
      <c r="B41" s="53">
        <v>1071.3836235404428</v>
      </c>
    </row>
    <row r="42" spans="1:2" x14ac:dyDescent="0.25">
      <c r="A42" s="54">
        <v>2.7</v>
      </c>
      <c r="B42" s="53">
        <v>1071.3836235404428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R_2-M-C-ST_info</vt:lpstr>
      <vt:lpstr>R_2-M-C-ST_NBFR_struct</vt:lpstr>
      <vt:lpstr>R_2-M-C-ST_NBFR_m2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2023-09-18T14:31:29Z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