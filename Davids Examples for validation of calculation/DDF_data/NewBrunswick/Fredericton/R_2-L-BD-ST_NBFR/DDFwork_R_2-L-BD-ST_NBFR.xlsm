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L-BD-ST_NBFR\"/>
    </mc:Choice>
  </mc:AlternateContent>
  <xr:revisionPtr revIDLastSave="0" documentId="13_ncr:1_{006DFADC-184B-40D5-878D-133531754117}" xr6:coauthVersionLast="47" xr6:coauthVersionMax="47" xr10:uidLastSave="{00000000-0000-0000-0000-000000000000}"/>
  <bookViews>
    <workbookView xWindow="25455" yWindow="285" windowWidth="23205" windowHeight="13650" tabRatio="813" firstSheet="1" activeTab="3" xr2:uid="{7C5655A8-2A5B-4B20-ABA5-441C5835F3C9}"/>
  </bookViews>
  <sheets>
    <sheet name="R_2-L-BD-ST_info" sheetId="50" r:id="rId1"/>
    <sheet name="R_2-L-BD-ST_NBFR_struct" sheetId="52" r:id="rId2"/>
    <sheet name="R_2-L-BD-ST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65" r:id="rId13"/>
    <pivotCache cacheId="17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785" i="51" l="1"/>
  <c r="AY785" i="51"/>
  <c r="AX785" i="51"/>
  <c r="AW785" i="51"/>
  <c r="AV785" i="51"/>
  <c r="AU785" i="51"/>
  <c r="AT785" i="51"/>
  <c r="AS785" i="51"/>
  <c r="AR785" i="51"/>
  <c r="AQ785" i="51"/>
  <c r="AP785" i="51"/>
  <c r="AO785" i="51"/>
  <c r="AN785" i="51"/>
  <c r="AM785" i="51"/>
  <c r="AL785" i="51"/>
  <c r="AK785" i="51"/>
  <c r="AJ785" i="51"/>
  <c r="AZ784" i="51"/>
  <c r="AY784" i="51"/>
  <c r="AX784" i="51"/>
  <c r="AW784" i="51"/>
  <c r="AV784" i="51"/>
  <c r="AU784" i="51"/>
  <c r="AT784" i="51"/>
  <c r="AS784" i="51"/>
  <c r="AR784" i="51"/>
  <c r="AQ784" i="51"/>
  <c r="AP784" i="51"/>
  <c r="AO784" i="51"/>
  <c r="AN784" i="51"/>
  <c r="AM784" i="51"/>
  <c r="AL784" i="51"/>
  <c r="AK784" i="51"/>
  <c r="AJ784" i="51"/>
  <c r="AZ783" i="51"/>
  <c r="AY783" i="51"/>
  <c r="AX783" i="51"/>
  <c r="AW783" i="51"/>
  <c r="AV783" i="51"/>
  <c r="AU783" i="51"/>
  <c r="AT783" i="51"/>
  <c r="AS783" i="51"/>
  <c r="AR783" i="51"/>
  <c r="AQ783" i="51"/>
  <c r="AP783" i="51"/>
  <c r="AO783" i="51"/>
  <c r="AN783" i="51"/>
  <c r="AM783" i="51"/>
  <c r="AL783" i="51"/>
  <c r="AK783" i="51"/>
  <c r="AJ783" i="51"/>
  <c r="AZ782" i="51"/>
  <c r="AY782" i="51"/>
  <c r="AX782" i="51"/>
  <c r="AW782" i="51"/>
  <c r="AV782" i="51"/>
  <c r="AU782" i="51"/>
  <c r="AT782" i="51"/>
  <c r="AS782" i="51"/>
  <c r="AR782" i="51"/>
  <c r="AQ782" i="51"/>
  <c r="AP782" i="51"/>
  <c r="AO782" i="51"/>
  <c r="AN782" i="51"/>
  <c r="AM782" i="51"/>
  <c r="AL782" i="51"/>
  <c r="AK782" i="51"/>
  <c r="AJ782" i="51"/>
  <c r="AZ781" i="51"/>
  <c r="AY781" i="51"/>
  <c r="AX781" i="51"/>
  <c r="AW781" i="51"/>
  <c r="AV781" i="51"/>
  <c r="AU781" i="51"/>
  <c r="AT781" i="51"/>
  <c r="AS781" i="51"/>
  <c r="AR781" i="51"/>
  <c r="AQ781" i="51"/>
  <c r="AP781" i="51"/>
  <c r="AO781" i="51"/>
  <c r="AN781" i="51"/>
  <c r="AM781" i="51"/>
  <c r="AL781" i="51"/>
  <c r="AK781" i="51"/>
  <c r="AJ781" i="51"/>
  <c r="AZ780" i="51"/>
  <c r="AY780" i="51"/>
  <c r="AX780" i="51"/>
  <c r="AW780" i="51"/>
  <c r="AV780" i="51"/>
  <c r="AU780" i="51"/>
  <c r="AT780" i="51"/>
  <c r="AS780" i="51"/>
  <c r="AR780" i="51"/>
  <c r="AQ780" i="51"/>
  <c r="AP780" i="51"/>
  <c r="AO780" i="51"/>
  <c r="AN780" i="51"/>
  <c r="AM780" i="51"/>
  <c r="AL780" i="51"/>
  <c r="AK780" i="51"/>
  <c r="AJ780" i="51"/>
  <c r="AZ779" i="51"/>
  <c r="AY779" i="51"/>
  <c r="AX779" i="51"/>
  <c r="AW779" i="51"/>
  <c r="AV779" i="51"/>
  <c r="AU779" i="51"/>
  <c r="AT779" i="51"/>
  <c r="AS779" i="51"/>
  <c r="AR779" i="51"/>
  <c r="AQ779" i="51"/>
  <c r="AP779" i="51"/>
  <c r="AO779" i="51"/>
  <c r="AN779" i="51"/>
  <c r="AM779" i="51"/>
  <c r="AL779" i="51"/>
  <c r="AK779" i="51"/>
  <c r="AJ779" i="51"/>
  <c r="AZ778" i="51"/>
  <c r="AY778" i="51"/>
  <c r="AX778" i="51"/>
  <c r="AW778" i="51"/>
  <c r="AV778" i="51"/>
  <c r="AU778" i="51"/>
  <c r="AT778" i="51"/>
  <c r="AS778" i="51"/>
  <c r="AR778" i="51"/>
  <c r="AQ778" i="51"/>
  <c r="AP778" i="51"/>
  <c r="AO778" i="51"/>
  <c r="AN778" i="51"/>
  <c r="AM778" i="51"/>
  <c r="AL778" i="51"/>
  <c r="AK778" i="51"/>
  <c r="AJ778" i="51"/>
  <c r="AZ777" i="51"/>
  <c r="AY777" i="51"/>
  <c r="AX777" i="51"/>
  <c r="AW777" i="51"/>
  <c r="AV777" i="51"/>
  <c r="AU777" i="51"/>
  <c r="AT777" i="51"/>
  <c r="AS777" i="51"/>
  <c r="AR777" i="51"/>
  <c r="AQ777" i="51"/>
  <c r="AP777" i="51"/>
  <c r="AO777" i="51"/>
  <c r="AN777" i="51"/>
  <c r="AM777" i="51"/>
  <c r="AL777" i="51"/>
  <c r="AK777" i="51"/>
  <c r="AJ777" i="51"/>
  <c r="AZ776" i="51"/>
  <c r="AY776" i="51"/>
  <c r="AX776" i="51"/>
  <c r="AW776" i="51"/>
  <c r="AV776" i="51"/>
  <c r="AU776" i="51"/>
  <c r="AT776" i="51"/>
  <c r="AS776" i="51"/>
  <c r="AR776" i="51"/>
  <c r="AQ776" i="51"/>
  <c r="AP776" i="51"/>
  <c r="AO776" i="51"/>
  <c r="AN776" i="51"/>
  <c r="AM776" i="51"/>
  <c r="AL776" i="51"/>
  <c r="AK776" i="51"/>
  <c r="AJ776" i="51"/>
  <c r="AZ775" i="51"/>
  <c r="AY775" i="51"/>
  <c r="AX775" i="51"/>
  <c r="AW775" i="51"/>
  <c r="AV775" i="51"/>
  <c r="AU775" i="51"/>
  <c r="AT775" i="51"/>
  <c r="AS775" i="51"/>
  <c r="AR775" i="51"/>
  <c r="AQ775" i="51"/>
  <c r="AP775" i="51"/>
  <c r="AO775" i="51"/>
  <c r="AN775" i="51"/>
  <c r="AM775" i="51"/>
  <c r="AL775" i="51"/>
  <c r="AK775" i="51"/>
  <c r="AJ775" i="51"/>
  <c r="AZ774" i="51"/>
  <c r="AY774" i="51"/>
  <c r="AX774" i="51"/>
  <c r="AW774" i="51"/>
  <c r="AV774" i="51"/>
  <c r="AU774" i="51"/>
  <c r="AT774" i="51"/>
  <c r="AS774" i="51"/>
  <c r="AR774" i="51"/>
  <c r="AQ774" i="51"/>
  <c r="AP774" i="51"/>
  <c r="AO774" i="51"/>
  <c r="AN774" i="51"/>
  <c r="AM774" i="51"/>
  <c r="AL774" i="51"/>
  <c r="AK774" i="51"/>
  <c r="AJ774" i="51"/>
  <c r="AZ773" i="51"/>
  <c r="AY773" i="51"/>
  <c r="AX773" i="51"/>
  <c r="AW773" i="51"/>
  <c r="AV773" i="51"/>
  <c r="AU773" i="51"/>
  <c r="AT773" i="51"/>
  <c r="AS773" i="51"/>
  <c r="AR773" i="51"/>
  <c r="AQ773" i="51"/>
  <c r="AP773" i="51"/>
  <c r="AO773" i="51"/>
  <c r="AN773" i="51"/>
  <c r="AM773" i="51"/>
  <c r="AL773" i="51"/>
  <c r="AK773" i="51"/>
  <c r="AJ773" i="51"/>
  <c r="AZ772" i="51"/>
  <c r="AY772" i="51"/>
  <c r="AX772" i="51"/>
  <c r="AW772" i="51"/>
  <c r="AV772" i="51"/>
  <c r="AU772" i="51"/>
  <c r="AT772" i="51"/>
  <c r="AS772" i="51"/>
  <c r="AR772" i="51"/>
  <c r="AQ772" i="51"/>
  <c r="AP772" i="51"/>
  <c r="AO772" i="51"/>
  <c r="AN772" i="51"/>
  <c r="AM772" i="51"/>
  <c r="AL772" i="51"/>
  <c r="AK772" i="51"/>
  <c r="AJ772" i="51"/>
  <c r="AZ771" i="51"/>
  <c r="AY771" i="51"/>
  <c r="AX771" i="51"/>
  <c r="AW771" i="51"/>
  <c r="AV771" i="51"/>
  <c r="AU771" i="51"/>
  <c r="AT771" i="51"/>
  <c r="AS771" i="51"/>
  <c r="AR771" i="51"/>
  <c r="AQ771" i="51"/>
  <c r="AP771" i="51"/>
  <c r="AO771" i="51"/>
  <c r="AN771" i="51"/>
  <c r="AM771" i="51"/>
  <c r="AL771" i="51"/>
  <c r="AK771" i="51"/>
  <c r="AJ771" i="51"/>
  <c r="AZ770" i="51"/>
  <c r="AY770" i="51"/>
  <c r="AX770" i="51"/>
  <c r="AW770" i="51"/>
  <c r="AV770" i="51"/>
  <c r="AU770" i="51"/>
  <c r="AT770" i="51"/>
  <c r="AS770" i="51"/>
  <c r="AR770" i="51"/>
  <c r="AQ770" i="51"/>
  <c r="AP770" i="51"/>
  <c r="AO770" i="51"/>
  <c r="AN770" i="51"/>
  <c r="AM770" i="51"/>
  <c r="AL770" i="51"/>
  <c r="AK770" i="51"/>
  <c r="AJ770" i="51"/>
  <c r="AZ769" i="51"/>
  <c r="AY769" i="51"/>
  <c r="AX769" i="51"/>
  <c r="AW769" i="51"/>
  <c r="AV769" i="51"/>
  <c r="AU769" i="51"/>
  <c r="AT769" i="51"/>
  <c r="AS769" i="51"/>
  <c r="AR769" i="51"/>
  <c r="AQ769" i="51"/>
  <c r="AP769" i="51"/>
  <c r="AO769" i="51"/>
  <c r="AN769" i="51"/>
  <c r="AM769" i="51"/>
  <c r="AL769" i="51"/>
  <c r="AK769" i="51"/>
  <c r="AJ769" i="51"/>
  <c r="AZ768" i="51"/>
  <c r="AY768" i="51"/>
  <c r="AX768" i="51"/>
  <c r="AW768" i="51"/>
  <c r="AV768" i="51"/>
  <c r="AU768" i="51"/>
  <c r="AT768" i="51"/>
  <c r="AS768" i="51"/>
  <c r="AR768" i="51"/>
  <c r="AQ768" i="51"/>
  <c r="AP768" i="51"/>
  <c r="AO768" i="51"/>
  <c r="AN768" i="51"/>
  <c r="AM768" i="51"/>
  <c r="AL768" i="51"/>
  <c r="AK768" i="51"/>
  <c r="AJ768" i="51"/>
  <c r="AZ767" i="51"/>
  <c r="AY767" i="51"/>
  <c r="AX767" i="51"/>
  <c r="AW767" i="51"/>
  <c r="AV767" i="51"/>
  <c r="AU767" i="51"/>
  <c r="AT767" i="51"/>
  <c r="AS767" i="51"/>
  <c r="AR767" i="51"/>
  <c r="AQ767" i="51"/>
  <c r="AP767" i="51"/>
  <c r="AO767" i="51"/>
  <c r="AN767" i="51"/>
  <c r="AM767" i="51"/>
  <c r="AL767" i="51"/>
  <c r="AK767" i="51"/>
  <c r="AJ767" i="51"/>
  <c r="AZ766" i="51"/>
  <c r="AY766" i="51"/>
  <c r="AX766" i="51"/>
  <c r="AW766" i="51"/>
  <c r="AV766" i="51"/>
  <c r="AU766" i="51"/>
  <c r="AT766" i="51"/>
  <c r="AS766" i="51"/>
  <c r="AR766" i="51"/>
  <c r="AQ766" i="51"/>
  <c r="AP766" i="51"/>
  <c r="AO766" i="51"/>
  <c r="AN766" i="51"/>
  <c r="AM766" i="51"/>
  <c r="AL766" i="51"/>
  <c r="AK766" i="51"/>
  <c r="AJ766" i="51"/>
  <c r="AZ765" i="51"/>
  <c r="AY765" i="51"/>
  <c r="AX765" i="51"/>
  <c r="AW765" i="51"/>
  <c r="AV765" i="51"/>
  <c r="AU765" i="51"/>
  <c r="AT765" i="51"/>
  <c r="AS765" i="51"/>
  <c r="AR765" i="51"/>
  <c r="AQ765" i="51"/>
  <c r="AP765" i="51"/>
  <c r="AO765" i="51"/>
  <c r="AN765" i="51"/>
  <c r="AM765" i="51"/>
  <c r="AL765" i="51"/>
  <c r="AK765" i="51"/>
  <c r="AJ765" i="51"/>
  <c r="AZ764" i="51"/>
  <c r="AY764" i="51"/>
  <c r="AX764" i="51"/>
  <c r="AW764" i="51"/>
  <c r="AV764" i="51"/>
  <c r="AU764" i="51"/>
  <c r="AT764" i="51"/>
  <c r="AS764" i="51"/>
  <c r="AR764" i="51"/>
  <c r="AQ764" i="51"/>
  <c r="AP764" i="51"/>
  <c r="AO764" i="51"/>
  <c r="AN764" i="51"/>
  <c r="AM764" i="51"/>
  <c r="AL764" i="51"/>
  <c r="AK764" i="51"/>
  <c r="AJ764" i="51"/>
  <c r="AZ763" i="51"/>
  <c r="AY763" i="51"/>
  <c r="AX763" i="51"/>
  <c r="AW763" i="51"/>
  <c r="AV763" i="51"/>
  <c r="AU763" i="51"/>
  <c r="AT763" i="51"/>
  <c r="AS763" i="51"/>
  <c r="AR763" i="51"/>
  <c r="AQ763" i="51"/>
  <c r="AP763" i="51"/>
  <c r="AO763" i="51"/>
  <c r="AN763" i="51"/>
  <c r="AM763" i="51"/>
  <c r="AL763" i="51"/>
  <c r="AK763" i="51"/>
  <c r="AJ763" i="51"/>
  <c r="AZ762" i="51"/>
  <c r="AY762" i="51"/>
  <c r="AX762" i="51"/>
  <c r="AW762" i="51"/>
  <c r="AV762" i="51"/>
  <c r="AU762" i="51"/>
  <c r="AT762" i="51"/>
  <c r="AS762" i="51"/>
  <c r="AR762" i="51"/>
  <c r="AQ762" i="51"/>
  <c r="AP762" i="51"/>
  <c r="AO762" i="51"/>
  <c r="AN762" i="51"/>
  <c r="AM762" i="51"/>
  <c r="AL762" i="51"/>
  <c r="AK762" i="51"/>
  <c r="AJ762" i="51"/>
  <c r="AZ761" i="51"/>
  <c r="AY761" i="51"/>
  <c r="AX761" i="51"/>
  <c r="AW761" i="51"/>
  <c r="AV761" i="51"/>
  <c r="AU761" i="51"/>
  <c r="AT761" i="51"/>
  <c r="AS761" i="51"/>
  <c r="AR761" i="51"/>
  <c r="AQ761" i="51"/>
  <c r="AP761" i="51"/>
  <c r="AO761" i="51"/>
  <c r="AN761" i="51"/>
  <c r="AM761" i="51"/>
  <c r="AL761" i="51"/>
  <c r="AK761" i="51"/>
  <c r="AJ761" i="51"/>
  <c r="AZ760" i="51"/>
  <c r="AY760" i="51"/>
  <c r="AX760" i="51"/>
  <c r="AW760" i="51"/>
  <c r="AV760" i="51"/>
  <c r="AU760" i="51"/>
  <c r="AT760" i="51"/>
  <c r="AS760" i="51"/>
  <c r="AR760" i="51"/>
  <c r="AQ760" i="51"/>
  <c r="AP760" i="51"/>
  <c r="AO760" i="51"/>
  <c r="AN760" i="51"/>
  <c r="AM760" i="51"/>
  <c r="AL760" i="51"/>
  <c r="AK760" i="51"/>
  <c r="AJ760" i="51"/>
  <c r="AZ759" i="51"/>
  <c r="AY759" i="51"/>
  <c r="AX759" i="51"/>
  <c r="AW759" i="51"/>
  <c r="AV759" i="51"/>
  <c r="AU759" i="51"/>
  <c r="AT759" i="51"/>
  <c r="AS759" i="51"/>
  <c r="AR759" i="51"/>
  <c r="AQ759" i="51"/>
  <c r="AP759" i="51"/>
  <c r="AO759" i="51"/>
  <c r="AN759" i="51"/>
  <c r="AM759" i="51"/>
  <c r="AL759" i="51"/>
  <c r="AK759" i="51"/>
  <c r="AJ759" i="51"/>
  <c r="AZ758" i="51"/>
  <c r="AY758" i="51"/>
  <c r="AX758" i="51"/>
  <c r="AW758" i="51"/>
  <c r="AV758" i="51"/>
  <c r="AU758" i="51"/>
  <c r="AT758" i="51"/>
  <c r="AS758" i="51"/>
  <c r="AR758" i="51"/>
  <c r="AQ758" i="51"/>
  <c r="AP758" i="51"/>
  <c r="AO758" i="51"/>
  <c r="AN758" i="51"/>
  <c r="AM758" i="51"/>
  <c r="AL758" i="51"/>
  <c r="AK758" i="51"/>
  <c r="AJ758" i="51"/>
  <c r="AZ757" i="51"/>
  <c r="AY757" i="51"/>
  <c r="AX757" i="51"/>
  <c r="AW757" i="51"/>
  <c r="AV757" i="51"/>
  <c r="AU757" i="51"/>
  <c r="AT757" i="51"/>
  <c r="AS757" i="51"/>
  <c r="AR757" i="51"/>
  <c r="AQ757" i="51"/>
  <c r="AP757" i="51"/>
  <c r="AO757" i="51"/>
  <c r="AN757" i="51"/>
  <c r="AM757" i="51"/>
  <c r="AL757" i="51"/>
  <c r="AK757" i="51"/>
  <c r="AJ757" i="51"/>
  <c r="AZ756" i="51"/>
  <c r="AY756" i="51"/>
  <c r="AX756" i="51"/>
  <c r="AW756" i="51"/>
  <c r="AV756" i="51"/>
  <c r="AU756" i="51"/>
  <c r="AT756" i="51"/>
  <c r="AS756" i="51"/>
  <c r="AR756" i="51"/>
  <c r="AQ756" i="51"/>
  <c r="AP756" i="51"/>
  <c r="AO756" i="51"/>
  <c r="AN756" i="51"/>
  <c r="AM756" i="51"/>
  <c r="AL756" i="51"/>
  <c r="AK756" i="51"/>
  <c r="AJ756" i="51"/>
  <c r="AZ755" i="51"/>
  <c r="AY755" i="51"/>
  <c r="AX755" i="51"/>
  <c r="AW755" i="51"/>
  <c r="AV755" i="51"/>
  <c r="AU755" i="51"/>
  <c r="AT755" i="51"/>
  <c r="AS755" i="51"/>
  <c r="AR755" i="51"/>
  <c r="AQ755" i="51"/>
  <c r="AP755" i="51"/>
  <c r="AO755" i="51"/>
  <c r="AN755" i="51"/>
  <c r="AM755" i="51"/>
  <c r="AL755" i="51"/>
  <c r="AK755" i="51"/>
  <c r="AJ755" i="51"/>
  <c r="AZ754" i="51"/>
  <c r="AY754" i="51"/>
  <c r="AX754" i="51"/>
  <c r="AW754" i="51"/>
  <c r="AV754" i="51"/>
  <c r="AU754" i="51"/>
  <c r="AT754" i="51"/>
  <c r="AS754" i="51"/>
  <c r="AR754" i="51"/>
  <c r="AQ754" i="51"/>
  <c r="AP754" i="51"/>
  <c r="AO754" i="51"/>
  <c r="AN754" i="51"/>
  <c r="AM754" i="51"/>
  <c r="AL754" i="51"/>
  <c r="AK754" i="51"/>
  <c r="AJ754" i="51"/>
  <c r="AZ753" i="51"/>
  <c r="AY753" i="51"/>
  <c r="AX753" i="51"/>
  <c r="AW753" i="51"/>
  <c r="AV753" i="51"/>
  <c r="AU753" i="51"/>
  <c r="AT753" i="51"/>
  <c r="AS753" i="51"/>
  <c r="AR753" i="51"/>
  <c r="AQ753" i="51"/>
  <c r="AP753" i="51"/>
  <c r="AO753" i="51"/>
  <c r="AN753" i="51"/>
  <c r="AM753" i="51"/>
  <c r="AL753" i="51"/>
  <c r="AK753" i="51"/>
  <c r="AJ753" i="51"/>
  <c r="AZ752" i="51"/>
  <c r="AY752" i="51"/>
  <c r="AX752" i="51"/>
  <c r="AW752" i="51"/>
  <c r="AV752" i="51"/>
  <c r="AU752" i="51"/>
  <c r="AT752" i="51"/>
  <c r="AS752" i="51"/>
  <c r="AR752" i="51"/>
  <c r="AQ752" i="51"/>
  <c r="AP752" i="51"/>
  <c r="AO752" i="51"/>
  <c r="AN752" i="51"/>
  <c r="AM752" i="51"/>
  <c r="AL752" i="51"/>
  <c r="AK752" i="51"/>
  <c r="AJ752" i="51"/>
  <c r="AZ751" i="51"/>
  <c r="AY751" i="51"/>
  <c r="AX751" i="51"/>
  <c r="AW751" i="51"/>
  <c r="AV751" i="51"/>
  <c r="AU751" i="51"/>
  <c r="AT751" i="51"/>
  <c r="AS751" i="51"/>
  <c r="AR751" i="51"/>
  <c r="AQ751" i="51"/>
  <c r="AP751" i="51"/>
  <c r="AO751" i="51"/>
  <c r="AN751" i="51"/>
  <c r="AM751" i="51"/>
  <c r="AL751" i="51"/>
  <c r="AK751" i="51"/>
  <c r="AJ751" i="51"/>
  <c r="AZ750" i="51"/>
  <c r="AY750" i="51"/>
  <c r="AX750" i="51"/>
  <c r="AW750" i="51"/>
  <c r="AV750" i="51"/>
  <c r="AU750" i="51"/>
  <c r="AT750" i="51"/>
  <c r="AS750" i="51"/>
  <c r="AR750" i="51"/>
  <c r="AQ750" i="51"/>
  <c r="AP750" i="51"/>
  <c r="AO750" i="51"/>
  <c r="AN750" i="51"/>
  <c r="AM750" i="51"/>
  <c r="AL750" i="51"/>
  <c r="AK750" i="51"/>
  <c r="AJ750" i="51"/>
  <c r="AZ749" i="51"/>
  <c r="AY749" i="51"/>
  <c r="AX749" i="51"/>
  <c r="AW749" i="51"/>
  <c r="AV749" i="51"/>
  <c r="AU749" i="51"/>
  <c r="AT749" i="51"/>
  <c r="AS749" i="51"/>
  <c r="AR749" i="51"/>
  <c r="AQ749" i="51"/>
  <c r="AP749" i="51"/>
  <c r="AO749" i="51"/>
  <c r="AN749" i="51"/>
  <c r="AM749" i="51"/>
  <c r="AL749" i="51"/>
  <c r="AK749" i="51"/>
  <c r="AJ749" i="51"/>
  <c r="AZ748" i="51"/>
  <c r="AY748" i="51"/>
  <c r="AX748" i="51"/>
  <c r="AW748" i="51"/>
  <c r="AV748" i="51"/>
  <c r="AU748" i="51"/>
  <c r="AT748" i="51"/>
  <c r="AS748" i="51"/>
  <c r="AR748" i="51"/>
  <c r="AQ748" i="51"/>
  <c r="AP748" i="51"/>
  <c r="AO748" i="51"/>
  <c r="AN748" i="51"/>
  <c r="AM748" i="51"/>
  <c r="AL748" i="51"/>
  <c r="AK748" i="51"/>
  <c r="AJ748" i="51"/>
  <c r="AZ747" i="51"/>
  <c r="AY747" i="51"/>
  <c r="AX747" i="51"/>
  <c r="AW747" i="51"/>
  <c r="AV747" i="51"/>
  <c r="AU747" i="51"/>
  <c r="AT747" i="51"/>
  <c r="AS747" i="51"/>
  <c r="AR747" i="51"/>
  <c r="AQ747" i="51"/>
  <c r="AP747" i="51"/>
  <c r="AO747" i="51"/>
  <c r="AN747" i="51"/>
  <c r="AM747" i="51"/>
  <c r="AL747" i="51"/>
  <c r="AK747" i="51"/>
  <c r="AJ747" i="51"/>
  <c r="AZ746" i="51"/>
  <c r="AY746" i="51"/>
  <c r="AX746" i="51"/>
  <c r="AW746" i="51"/>
  <c r="AV746" i="51"/>
  <c r="AU746" i="51"/>
  <c r="AT746" i="51"/>
  <c r="AS746" i="51"/>
  <c r="AR746" i="51"/>
  <c r="AQ746" i="51"/>
  <c r="AP746" i="51"/>
  <c r="AO746" i="51"/>
  <c r="AN746" i="51"/>
  <c r="AM746" i="51"/>
  <c r="AL746" i="51"/>
  <c r="AK746" i="51"/>
  <c r="AJ746" i="51"/>
  <c r="AZ745" i="51"/>
  <c r="AY745" i="51"/>
  <c r="AX745" i="51"/>
  <c r="AW745" i="51"/>
  <c r="AV745" i="51"/>
  <c r="AU745" i="51"/>
  <c r="AT745" i="51"/>
  <c r="AS745" i="51"/>
  <c r="AR745" i="51"/>
  <c r="AQ745" i="51"/>
  <c r="AP745" i="51"/>
  <c r="AO745" i="51"/>
  <c r="AN745" i="51"/>
  <c r="AM745" i="51"/>
  <c r="AL745" i="51"/>
  <c r="AK745" i="51"/>
  <c r="AJ745" i="51"/>
  <c r="AZ744" i="51"/>
  <c r="AY744" i="51"/>
  <c r="AX744" i="51"/>
  <c r="AW744" i="51"/>
  <c r="AV744" i="51"/>
  <c r="AU744" i="51"/>
  <c r="AT744" i="51"/>
  <c r="AS744" i="51"/>
  <c r="AR744" i="51"/>
  <c r="AQ744" i="51"/>
  <c r="AP744" i="51"/>
  <c r="AO744" i="51"/>
  <c r="AN744" i="51"/>
  <c r="AM744" i="51"/>
  <c r="AL744" i="51"/>
  <c r="AK744" i="51"/>
  <c r="AJ744" i="51"/>
  <c r="AZ743" i="51"/>
  <c r="AY743" i="51"/>
  <c r="AX743" i="51"/>
  <c r="AW743" i="51"/>
  <c r="AV743" i="51"/>
  <c r="AU743" i="51"/>
  <c r="AT743" i="51"/>
  <c r="AS743" i="51"/>
  <c r="AR743" i="51"/>
  <c r="AQ743" i="51"/>
  <c r="AP743" i="51"/>
  <c r="AO743" i="51"/>
  <c r="AN743" i="51"/>
  <c r="AM743" i="51"/>
  <c r="AL743" i="51"/>
  <c r="AK743" i="51"/>
  <c r="AJ743" i="51"/>
  <c r="AZ742" i="51"/>
  <c r="AY742" i="51"/>
  <c r="AX742" i="51"/>
  <c r="AW742" i="51"/>
  <c r="AV742" i="51"/>
  <c r="AU742" i="51"/>
  <c r="AT742" i="51"/>
  <c r="AS742" i="51"/>
  <c r="AR742" i="51"/>
  <c r="AQ742" i="51"/>
  <c r="AP742" i="51"/>
  <c r="AO742" i="51"/>
  <c r="AN742" i="51"/>
  <c r="AM742" i="51"/>
  <c r="AL742" i="51"/>
  <c r="AK742" i="51"/>
  <c r="AJ742" i="51"/>
  <c r="AZ741" i="51"/>
  <c r="AY741" i="51"/>
  <c r="AX741" i="51"/>
  <c r="AW741" i="51"/>
  <c r="AV741" i="51"/>
  <c r="AU741" i="51"/>
  <c r="AT741" i="51"/>
  <c r="AS741" i="51"/>
  <c r="AR741" i="51"/>
  <c r="AQ741" i="51"/>
  <c r="AP741" i="51"/>
  <c r="AO741" i="51"/>
  <c r="AN741" i="51"/>
  <c r="AM741" i="51"/>
  <c r="AL741" i="51"/>
  <c r="AK741" i="51"/>
  <c r="AJ741" i="51"/>
  <c r="AZ740" i="51"/>
  <c r="AY740" i="51"/>
  <c r="AX740" i="51"/>
  <c r="AW740" i="51"/>
  <c r="AV740" i="51"/>
  <c r="AU740" i="51"/>
  <c r="AT740" i="51"/>
  <c r="AS740" i="51"/>
  <c r="AR740" i="51"/>
  <c r="AQ740" i="51"/>
  <c r="AP740" i="51"/>
  <c r="AO740" i="51"/>
  <c r="AN740" i="51"/>
  <c r="AM740" i="51"/>
  <c r="AL740" i="51"/>
  <c r="AK740" i="51"/>
  <c r="AJ740" i="51"/>
  <c r="AZ739" i="51"/>
  <c r="AY739" i="51"/>
  <c r="AX739" i="51"/>
  <c r="AW739" i="51"/>
  <c r="AV739" i="51"/>
  <c r="AU739" i="51"/>
  <c r="AT739" i="51"/>
  <c r="AS739" i="51"/>
  <c r="AR739" i="51"/>
  <c r="AQ739" i="51"/>
  <c r="AP739" i="51"/>
  <c r="AO739" i="51"/>
  <c r="AN739" i="51"/>
  <c r="AM739" i="51"/>
  <c r="AL739" i="51"/>
  <c r="AK739" i="51"/>
  <c r="AJ739" i="51"/>
  <c r="AZ738" i="51"/>
  <c r="AY738" i="51"/>
  <c r="AX738" i="51"/>
  <c r="AW738" i="51"/>
  <c r="AV738" i="51"/>
  <c r="AU738" i="51"/>
  <c r="AT738" i="51"/>
  <c r="AS738" i="51"/>
  <c r="AR738" i="51"/>
  <c r="AQ738" i="51"/>
  <c r="AP738" i="51"/>
  <c r="AO738" i="51"/>
  <c r="AN738" i="51"/>
  <c r="AM738" i="51"/>
  <c r="AL738" i="51"/>
  <c r="AK738" i="51"/>
  <c r="AJ738" i="51"/>
  <c r="AZ737" i="51"/>
  <c r="AY737" i="51"/>
  <c r="AX737" i="51"/>
  <c r="AW737" i="51"/>
  <c r="AV737" i="51"/>
  <c r="AU737" i="51"/>
  <c r="AT737" i="51"/>
  <c r="AS737" i="51"/>
  <c r="AR737" i="51"/>
  <c r="AQ737" i="51"/>
  <c r="AP737" i="51"/>
  <c r="AO737" i="51"/>
  <c r="AN737" i="51"/>
  <c r="AM737" i="51"/>
  <c r="AL737" i="51"/>
  <c r="AK737" i="51"/>
  <c r="AJ737" i="51"/>
  <c r="AZ736" i="51"/>
  <c r="AY736" i="51"/>
  <c r="AX736" i="51"/>
  <c r="AW736" i="51"/>
  <c r="AV736" i="51"/>
  <c r="AU736" i="51"/>
  <c r="AT736" i="51"/>
  <c r="AS736" i="51"/>
  <c r="AR736" i="51"/>
  <c r="AQ736" i="51"/>
  <c r="AP736" i="51"/>
  <c r="AO736" i="51"/>
  <c r="AN736" i="51"/>
  <c r="AM736" i="51"/>
  <c r="AL736" i="51"/>
  <c r="AK736" i="51"/>
  <c r="AJ736" i="51"/>
  <c r="AZ735" i="51"/>
  <c r="AY735" i="51"/>
  <c r="AX735" i="51"/>
  <c r="AW735" i="51"/>
  <c r="AV735" i="51"/>
  <c r="AU735" i="51"/>
  <c r="AT735" i="51"/>
  <c r="AS735" i="51"/>
  <c r="AR735" i="51"/>
  <c r="AQ735" i="51"/>
  <c r="AP735" i="51"/>
  <c r="AO735" i="51"/>
  <c r="AN735" i="51"/>
  <c r="AM735" i="51"/>
  <c r="AL735" i="51"/>
  <c r="AK735" i="51"/>
  <c r="AJ735" i="51"/>
  <c r="AZ734" i="51"/>
  <c r="AY734" i="51"/>
  <c r="AX734" i="51"/>
  <c r="AW734" i="51"/>
  <c r="AV734" i="51"/>
  <c r="AU734" i="51"/>
  <c r="AT734" i="51"/>
  <c r="AS734" i="51"/>
  <c r="AR734" i="51"/>
  <c r="AQ734" i="51"/>
  <c r="AP734" i="51"/>
  <c r="AO734" i="51"/>
  <c r="AN734" i="51"/>
  <c r="AM734" i="51"/>
  <c r="AL734" i="51"/>
  <c r="AK734" i="51"/>
  <c r="AJ734" i="51"/>
  <c r="AZ733" i="51"/>
  <c r="AY733" i="51"/>
  <c r="AX733" i="51"/>
  <c r="AW733" i="51"/>
  <c r="AV733" i="51"/>
  <c r="AU733" i="51"/>
  <c r="AT733" i="51"/>
  <c r="AS733" i="51"/>
  <c r="AR733" i="51"/>
  <c r="AQ733" i="51"/>
  <c r="AP733" i="51"/>
  <c r="AO733" i="51"/>
  <c r="AN733" i="51"/>
  <c r="AM733" i="51"/>
  <c r="AL733" i="51"/>
  <c r="AK733" i="51"/>
  <c r="AJ733" i="51"/>
  <c r="AZ732" i="51"/>
  <c r="AY732" i="51"/>
  <c r="AX732" i="51"/>
  <c r="AW732" i="51"/>
  <c r="AV732" i="51"/>
  <c r="AU732" i="51"/>
  <c r="AT732" i="51"/>
  <c r="AS732" i="51"/>
  <c r="AR732" i="51"/>
  <c r="AQ732" i="51"/>
  <c r="AP732" i="51"/>
  <c r="AO732" i="51"/>
  <c r="AN732" i="51"/>
  <c r="AM732" i="51"/>
  <c r="AL732" i="51"/>
  <c r="AK732" i="51"/>
  <c r="AJ732" i="51"/>
  <c r="AZ731" i="51"/>
  <c r="AY731" i="51"/>
  <c r="AX731" i="51"/>
  <c r="AW731" i="51"/>
  <c r="AV731" i="51"/>
  <c r="AU731" i="51"/>
  <c r="AT731" i="51"/>
  <c r="AS731" i="51"/>
  <c r="AR731" i="51"/>
  <c r="AQ731" i="51"/>
  <c r="AP731" i="51"/>
  <c r="AO731" i="51"/>
  <c r="AN731" i="51"/>
  <c r="AM731" i="51"/>
  <c r="AL731" i="51"/>
  <c r="AK731" i="51"/>
  <c r="AJ731" i="51"/>
  <c r="AZ730" i="51"/>
  <c r="AY730" i="51"/>
  <c r="AX730" i="51"/>
  <c r="AW730" i="51"/>
  <c r="AV730" i="51"/>
  <c r="AU730" i="51"/>
  <c r="AT730" i="51"/>
  <c r="AS730" i="51"/>
  <c r="AR730" i="51"/>
  <c r="AQ730" i="51"/>
  <c r="AP730" i="51"/>
  <c r="AO730" i="51"/>
  <c r="AN730" i="51"/>
  <c r="AM730" i="51"/>
  <c r="AL730" i="51"/>
  <c r="AK730" i="51"/>
  <c r="AJ730" i="51"/>
  <c r="AZ729" i="51"/>
  <c r="AY729" i="51"/>
  <c r="AX729" i="51"/>
  <c r="AW729" i="51"/>
  <c r="AV729" i="51"/>
  <c r="AU729" i="51"/>
  <c r="AT729" i="51"/>
  <c r="AS729" i="51"/>
  <c r="AR729" i="51"/>
  <c r="AQ729" i="51"/>
  <c r="AP729" i="51"/>
  <c r="AO729" i="51"/>
  <c r="AN729" i="51"/>
  <c r="AM729" i="51"/>
  <c r="AL729" i="51"/>
  <c r="AK729" i="51"/>
  <c r="AJ729" i="51"/>
  <c r="AZ728" i="51"/>
  <c r="AY728" i="51"/>
  <c r="AX728" i="51"/>
  <c r="AW728" i="51"/>
  <c r="AV728" i="51"/>
  <c r="AU728" i="51"/>
  <c r="AT728" i="51"/>
  <c r="AS728" i="51"/>
  <c r="AR728" i="51"/>
  <c r="AQ728" i="51"/>
  <c r="AP728" i="51"/>
  <c r="AO728" i="51"/>
  <c r="AN728" i="51"/>
  <c r="AM728" i="51"/>
  <c r="AL728" i="51"/>
  <c r="AK728" i="51"/>
  <c r="AJ728" i="51"/>
  <c r="AZ727" i="51"/>
  <c r="AY727" i="51"/>
  <c r="AX727" i="51"/>
  <c r="AW727" i="51"/>
  <c r="AV727" i="51"/>
  <c r="AU727" i="51"/>
  <c r="AT727" i="51"/>
  <c r="AS727" i="51"/>
  <c r="AR727" i="51"/>
  <c r="AQ727" i="51"/>
  <c r="AP727" i="51"/>
  <c r="AO727" i="51"/>
  <c r="AN727" i="51"/>
  <c r="AM727" i="51"/>
  <c r="AL727" i="51"/>
  <c r="AK727" i="51"/>
  <c r="AJ727" i="51"/>
  <c r="AZ726" i="51"/>
  <c r="AY726" i="51"/>
  <c r="AX726" i="51"/>
  <c r="AW726" i="51"/>
  <c r="AV726" i="51"/>
  <c r="AU726" i="51"/>
  <c r="AT726" i="51"/>
  <c r="AS726" i="51"/>
  <c r="AR726" i="51"/>
  <c r="AQ726" i="51"/>
  <c r="AP726" i="51"/>
  <c r="AO726" i="51"/>
  <c r="AN726" i="51"/>
  <c r="AM726" i="51"/>
  <c r="AL726" i="51"/>
  <c r="AK726" i="51"/>
  <c r="AJ726" i="51"/>
  <c r="AZ725" i="51"/>
  <c r="AY725" i="51"/>
  <c r="AX725" i="51"/>
  <c r="AW725" i="51"/>
  <c r="AV725" i="51"/>
  <c r="AU725" i="51"/>
  <c r="AT725" i="51"/>
  <c r="AS725" i="51"/>
  <c r="AR725" i="51"/>
  <c r="AQ725" i="51"/>
  <c r="AP725" i="51"/>
  <c r="AO725" i="51"/>
  <c r="AN725" i="51"/>
  <c r="AM725" i="51"/>
  <c r="AL725" i="51"/>
  <c r="AK725" i="51"/>
  <c r="AJ725" i="51"/>
  <c r="AZ724" i="51"/>
  <c r="AY724" i="51"/>
  <c r="AX724" i="51"/>
  <c r="AW724" i="51"/>
  <c r="AV724" i="51"/>
  <c r="AU724" i="51"/>
  <c r="AT724" i="51"/>
  <c r="AS724" i="51"/>
  <c r="AR724" i="51"/>
  <c r="AQ724" i="51"/>
  <c r="AP724" i="51"/>
  <c r="AO724" i="51"/>
  <c r="AN724" i="51"/>
  <c r="AM724" i="51"/>
  <c r="AL724" i="51"/>
  <c r="AK724" i="51"/>
  <c r="AJ724" i="51"/>
  <c r="AZ723" i="51"/>
  <c r="AY723" i="51"/>
  <c r="AX723" i="51"/>
  <c r="AW723" i="51"/>
  <c r="AV723" i="51"/>
  <c r="AU723" i="51"/>
  <c r="AT723" i="51"/>
  <c r="AS723" i="51"/>
  <c r="AR723" i="51"/>
  <c r="AQ723" i="51"/>
  <c r="AP723" i="51"/>
  <c r="AO723" i="51"/>
  <c r="AN723" i="51"/>
  <c r="AM723" i="51"/>
  <c r="AL723" i="51"/>
  <c r="AK723" i="51"/>
  <c r="AJ723" i="51"/>
  <c r="AZ722" i="51"/>
  <c r="AY722" i="51"/>
  <c r="AX722" i="51"/>
  <c r="AW722" i="51"/>
  <c r="AV722" i="51"/>
  <c r="AU722" i="51"/>
  <c r="AT722" i="51"/>
  <c r="AS722" i="51"/>
  <c r="AR722" i="51"/>
  <c r="AQ722" i="51"/>
  <c r="AP722" i="51"/>
  <c r="AO722" i="51"/>
  <c r="AN722" i="51"/>
  <c r="AM722" i="51"/>
  <c r="AL722" i="51"/>
  <c r="AK722" i="51"/>
  <c r="AJ722" i="51"/>
  <c r="AZ721" i="51"/>
  <c r="AY721" i="51"/>
  <c r="AX721" i="51"/>
  <c r="AW721" i="51"/>
  <c r="AV721" i="51"/>
  <c r="AU721" i="51"/>
  <c r="AT721" i="51"/>
  <c r="AS721" i="51"/>
  <c r="AR721" i="51"/>
  <c r="AQ721" i="51"/>
  <c r="AP721" i="51"/>
  <c r="AO721" i="51"/>
  <c r="AN721" i="51"/>
  <c r="AM721" i="51"/>
  <c r="AL721" i="51"/>
  <c r="AK721" i="51"/>
  <c r="AJ721" i="51"/>
  <c r="AZ720" i="51"/>
  <c r="AY720" i="51"/>
  <c r="AX720" i="51"/>
  <c r="AW720" i="51"/>
  <c r="AV720" i="51"/>
  <c r="AU720" i="51"/>
  <c r="AT720" i="51"/>
  <c r="AS720" i="51"/>
  <c r="AR720" i="51"/>
  <c r="AQ720" i="51"/>
  <c r="AP720" i="51"/>
  <c r="AO720" i="51"/>
  <c r="AN720" i="51"/>
  <c r="AM720" i="51"/>
  <c r="AL720" i="51"/>
  <c r="AK720" i="51"/>
  <c r="AJ720" i="51"/>
  <c r="AZ719" i="51"/>
  <c r="AY719" i="51"/>
  <c r="AX719" i="51"/>
  <c r="AW719" i="51"/>
  <c r="AV719" i="51"/>
  <c r="AU719" i="51"/>
  <c r="AT719" i="51"/>
  <c r="AS719" i="51"/>
  <c r="AR719" i="51"/>
  <c r="AQ719" i="51"/>
  <c r="AP719" i="51"/>
  <c r="AO719" i="51"/>
  <c r="AN719" i="51"/>
  <c r="AM719" i="51"/>
  <c r="AL719" i="51"/>
  <c r="AK719" i="51"/>
  <c r="AJ719" i="51"/>
  <c r="AZ718" i="51"/>
  <c r="AY718" i="51"/>
  <c r="AX718" i="51"/>
  <c r="AW718" i="51"/>
  <c r="AV718" i="51"/>
  <c r="AU718" i="51"/>
  <c r="AT718" i="51"/>
  <c r="AS718" i="51"/>
  <c r="AR718" i="51"/>
  <c r="AQ718" i="51"/>
  <c r="AP718" i="51"/>
  <c r="AO718" i="51"/>
  <c r="AN718" i="51"/>
  <c r="AM718" i="51"/>
  <c r="AL718" i="51"/>
  <c r="AK718" i="51"/>
  <c r="AJ718" i="51"/>
  <c r="AZ717" i="51"/>
  <c r="AY717" i="51"/>
  <c r="AX717" i="51"/>
  <c r="AW717" i="51"/>
  <c r="AV717" i="51"/>
  <c r="AU717" i="51"/>
  <c r="AT717" i="51"/>
  <c r="AS717" i="51"/>
  <c r="AR717" i="51"/>
  <c r="AQ717" i="51"/>
  <c r="AP717" i="51"/>
  <c r="AO717" i="51"/>
  <c r="AN717" i="51"/>
  <c r="AM717" i="51"/>
  <c r="AL717" i="51"/>
  <c r="AK717" i="51"/>
  <c r="AJ717" i="51"/>
  <c r="AZ716" i="51"/>
  <c r="AY716" i="51"/>
  <c r="AX716" i="51"/>
  <c r="AW716" i="51"/>
  <c r="AV716" i="51"/>
  <c r="AU716" i="51"/>
  <c r="AT716" i="51"/>
  <c r="AS716" i="51"/>
  <c r="AR716" i="51"/>
  <c r="AQ716" i="51"/>
  <c r="AP716" i="51"/>
  <c r="AO716" i="51"/>
  <c r="AN716" i="51"/>
  <c r="AM716" i="51"/>
  <c r="AL716" i="51"/>
  <c r="AK716" i="51"/>
  <c r="AJ716" i="51"/>
  <c r="AZ715" i="51"/>
  <c r="AY715" i="51"/>
  <c r="AX715" i="51"/>
  <c r="AW715" i="51"/>
  <c r="AV715" i="51"/>
  <c r="AU715" i="51"/>
  <c r="AT715" i="51"/>
  <c r="AS715" i="51"/>
  <c r="AR715" i="51"/>
  <c r="AQ715" i="51"/>
  <c r="AP715" i="51"/>
  <c r="AO715" i="51"/>
  <c r="AN715" i="51"/>
  <c r="AM715" i="51"/>
  <c r="AL715" i="51"/>
  <c r="AK715" i="51"/>
  <c r="AJ715" i="51"/>
  <c r="AZ714" i="51"/>
  <c r="AY714" i="51"/>
  <c r="AX714" i="51"/>
  <c r="AW714" i="51"/>
  <c r="AV714" i="51"/>
  <c r="AU714" i="51"/>
  <c r="AT714" i="51"/>
  <c r="AS714" i="51"/>
  <c r="AR714" i="51"/>
  <c r="AQ714" i="51"/>
  <c r="AP714" i="51"/>
  <c r="AO714" i="51"/>
  <c r="AN714" i="51"/>
  <c r="AM714" i="51"/>
  <c r="AL714" i="51"/>
  <c r="AK714" i="51"/>
  <c r="AJ714" i="51"/>
  <c r="AZ713" i="51"/>
  <c r="AY713" i="51"/>
  <c r="AX713" i="51"/>
  <c r="AW713" i="51"/>
  <c r="AV713" i="51"/>
  <c r="AU713" i="51"/>
  <c r="AT713" i="51"/>
  <c r="AS713" i="51"/>
  <c r="AR713" i="51"/>
  <c r="AQ713" i="51"/>
  <c r="AP713" i="51"/>
  <c r="AO713" i="51"/>
  <c r="AN713" i="51"/>
  <c r="AM713" i="51"/>
  <c r="AL713" i="51"/>
  <c r="AK713" i="51"/>
  <c r="AJ713" i="51"/>
  <c r="AZ712" i="51"/>
  <c r="AY712" i="51"/>
  <c r="AX712" i="51"/>
  <c r="AW712" i="51"/>
  <c r="AV712" i="51"/>
  <c r="AU712" i="51"/>
  <c r="AT712" i="51"/>
  <c r="AS712" i="51"/>
  <c r="AR712" i="51"/>
  <c r="AQ712" i="51"/>
  <c r="AP712" i="51"/>
  <c r="AO712" i="51"/>
  <c r="AN712" i="51"/>
  <c r="AM712" i="51"/>
  <c r="AL712" i="51"/>
  <c r="AK712" i="51"/>
  <c r="AJ712" i="51"/>
  <c r="AZ711" i="51"/>
  <c r="AY711" i="51"/>
  <c r="AX711" i="51"/>
  <c r="AW711" i="51"/>
  <c r="AV711" i="51"/>
  <c r="AU711" i="51"/>
  <c r="AT711" i="51"/>
  <c r="AS711" i="51"/>
  <c r="AR711" i="51"/>
  <c r="AQ711" i="51"/>
  <c r="AP711" i="51"/>
  <c r="AO711" i="51"/>
  <c r="AN711" i="51"/>
  <c r="AM711" i="51"/>
  <c r="AL711" i="51"/>
  <c r="AK711" i="51"/>
  <c r="AJ711" i="51"/>
  <c r="AZ710" i="51"/>
  <c r="AY710" i="51"/>
  <c r="AX710" i="51"/>
  <c r="AW710" i="51"/>
  <c r="AV710" i="51"/>
  <c r="AU710" i="51"/>
  <c r="AT710" i="51"/>
  <c r="AS710" i="51"/>
  <c r="AR710" i="51"/>
  <c r="AQ710" i="51"/>
  <c r="AP710" i="51"/>
  <c r="AO710" i="51"/>
  <c r="AN710" i="51"/>
  <c r="AM710" i="51"/>
  <c r="AL710" i="51"/>
  <c r="AK710" i="51"/>
  <c r="AJ710" i="51"/>
  <c r="AZ709" i="51"/>
  <c r="AY709" i="51"/>
  <c r="AX709" i="51"/>
  <c r="AW709" i="51"/>
  <c r="AV709" i="51"/>
  <c r="AU709" i="51"/>
  <c r="AT709" i="51"/>
  <c r="AS709" i="51"/>
  <c r="AR709" i="51"/>
  <c r="AQ709" i="51"/>
  <c r="AP709" i="51"/>
  <c r="AO709" i="51"/>
  <c r="AN709" i="51"/>
  <c r="AM709" i="51"/>
  <c r="AL709" i="51"/>
  <c r="AK709" i="51"/>
  <c r="AJ709" i="51"/>
  <c r="AZ708" i="51"/>
  <c r="AY708" i="51"/>
  <c r="AX708" i="51"/>
  <c r="AW708" i="51"/>
  <c r="AV708" i="51"/>
  <c r="AU708" i="51"/>
  <c r="AT708" i="51"/>
  <c r="AS708" i="51"/>
  <c r="AR708" i="51"/>
  <c r="AQ708" i="51"/>
  <c r="AP708" i="51"/>
  <c r="AO708" i="51"/>
  <c r="AN708" i="51"/>
  <c r="AM708" i="51"/>
  <c r="AL708" i="51"/>
  <c r="AK708" i="51"/>
  <c r="AJ708" i="51"/>
  <c r="AZ707" i="51"/>
  <c r="AY707" i="51"/>
  <c r="AX707" i="51"/>
  <c r="AW707" i="51"/>
  <c r="AV707" i="51"/>
  <c r="AU707" i="51"/>
  <c r="AT707" i="51"/>
  <c r="AS707" i="51"/>
  <c r="AR707" i="51"/>
  <c r="AQ707" i="51"/>
  <c r="AP707" i="51"/>
  <c r="AO707" i="51"/>
  <c r="AN707" i="51"/>
  <c r="AM707" i="51"/>
  <c r="AL707" i="51"/>
  <c r="AK707" i="51"/>
  <c r="AJ707" i="51"/>
  <c r="AZ706" i="51"/>
  <c r="AY706" i="51"/>
  <c r="AX706" i="51"/>
  <c r="AW706" i="51"/>
  <c r="AV706" i="51"/>
  <c r="AU706" i="51"/>
  <c r="AT706" i="51"/>
  <c r="AS706" i="51"/>
  <c r="AR706" i="51"/>
  <c r="AQ706" i="51"/>
  <c r="AP706" i="51"/>
  <c r="AO706" i="51"/>
  <c r="AN706" i="51"/>
  <c r="AM706" i="51"/>
  <c r="AL706" i="51"/>
  <c r="AK706" i="51"/>
  <c r="AJ706" i="51"/>
  <c r="AZ705" i="51"/>
  <c r="AY705" i="51"/>
  <c r="AX705" i="51"/>
  <c r="AW705" i="51"/>
  <c r="AV705" i="51"/>
  <c r="AU705" i="51"/>
  <c r="AT705" i="51"/>
  <c r="AS705" i="51"/>
  <c r="AR705" i="51"/>
  <c r="AQ705" i="51"/>
  <c r="AP705" i="51"/>
  <c r="AO705" i="51"/>
  <c r="AN705" i="51"/>
  <c r="AM705" i="51"/>
  <c r="AL705" i="51"/>
  <c r="AK705" i="51"/>
  <c r="AJ705" i="51"/>
  <c r="AZ704" i="51"/>
  <c r="AY704" i="51"/>
  <c r="AX704" i="51"/>
  <c r="AW704" i="51"/>
  <c r="AV704" i="51"/>
  <c r="AU704" i="51"/>
  <c r="AT704" i="51"/>
  <c r="AS704" i="51"/>
  <c r="AR704" i="51"/>
  <c r="AQ704" i="51"/>
  <c r="AP704" i="51"/>
  <c r="AO704" i="51"/>
  <c r="AN704" i="51"/>
  <c r="AM704" i="51"/>
  <c r="AL704" i="51"/>
  <c r="AK704" i="51"/>
  <c r="AJ704" i="51"/>
  <c r="AZ703" i="51"/>
  <c r="AY703" i="51"/>
  <c r="AX703" i="51"/>
  <c r="AW703" i="51"/>
  <c r="AV703" i="51"/>
  <c r="AU703" i="51"/>
  <c r="AT703" i="51"/>
  <c r="AS703" i="51"/>
  <c r="AR703" i="51"/>
  <c r="AQ703" i="51"/>
  <c r="AP703" i="51"/>
  <c r="AO703" i="51"/>
  <c r="AN703" i="51"/>
  <c r="AM703" i="51"/>
  <c r="AL703" i="51"/>
  <c r="AK703" i="51"/>
  <c r="AJ703" i="51"/>
  <c r="AZ702" i="51"/>
  <c r="AY702" i="51"/>
  <c r="AX702" i="51"/>
  <c r="AW702" i="51"/>
  <c r="AV702" i="51"/>
  <c r="AU702" i="51"/>
  <c r="AT702" i="51"/>
  <c r="AS702" i="51"/>
  <c r="AR702" i="51"/>
  <c r="AQ702" i="51"/>
  <c r="AP702" i="51"/>
  <c r="AO702" i="51"/>
  <c r="AN702" i="51"/>
  <c r="AM702" i="51"/>
  <c r="AL702" i="51"/>
  <c r="AK702" i="51"/>
  <c r="AJ702" i="51"/>
  <c r="AZ701" i="51"/>
  <c r="AY701" i="51"/>
  <c r="AX701" i="51"/>
  <c r="AW701" i="51"/>
  <c r="AV701" i="51"/>
  <c r="AU701" i="51"/>
  <c r="AT701" i="51"/>
  <c r="AS701" i="51"/>
  <c r="AR701" i="51"/>
  <c r="AQ701" i="51"/>
  <c r="AP701" i="51"/>
  <c r="AO701" i="51"/>
  <c r="AN701" i="51"/>
  <c r="AM701" i="51"/>
  <c r="AL701" i="51"/>
  <c r="AK701" i="51"/>
  <c r="AJ701" i="51"/>
  <c r="AZ700" i="51"/>
  <c r="AY700" i="51"/>
  <c r="AX700" i="51"/>
  <c r="AW700" i="51"/>
  <c r="AV700" i="51"/>
  <c r="AU700" i="51"/>
  <c r="AT700" i="51"/>
  <c r="AS700" i="51"/>
  <c r="AR700" i="51"/>
  <c r="AQ700" i="51"/>
  <c r="AP700" i="51"/>
  <c r="AO700" i="51"/>
  <c r="AN700" i="51"/>
  <c r="AM700" i="51"/>
  <c r="AL700" i="51"/>
  <c r="AK700" i="51"/>
  <c r="AJ700" i="51"/>
  <c r="AZ699" i="51"/>
  <c r="AY699" i="51"/>
  <c r="AX699" i="51"/>
  <c r="AW699" i="51"/>
  <c r="AV699" i="51"/>
  <c r="AU699" i="51"/>
  <c r="AT699" i="51"/>
  <c r="AS699" i="51"/>
  <c r="AR699" i="51"/>
  <c r="AQ699" i="51"/>
  <c r="AP699" i="51"/>
  <c r="AO699" i="51"/>
  <c r="AN699" i="51"/>
  <c r="AM699" i="51"/>
  <c r="AL699" i="51"/>
  <c r="AK699" i="51"/>
  <c r="AJ699" i="51"/>
  <c r="AZ698" i="51"/>
  <c r="AY698" i="51"/>
  <c r="AX698" i="51"/>
  <c r="AW698" i="51"/>
  <c r="AV698" i="51"/>
  <c r="AU698" i="51"/>
  <c r="AT698" i="51"/>
  <c r="AS698" i="51"/>
  <c r="AR698" i="51"/>
  <c r="AQ698" i="51"/>
  <c r="AP698" i="51"/>
  <c r="AO698" i="51"/>
  <c r="AN698" i="51"/>
  <c r="AM698" i="51"/>
  <c r="AL698" i="51"/>
  <c r="AK698" i="51"/>
  <c r="AJ698" i="51"/>
  <c r="AZ697" i="51"/>
  <c r="AY697" i="51"/>
  <c r="AX697" i="51"/>
  <c r="AW697" i="51"/>
  <c r="AV697" i="51"/>
  <c r="AU697" i="51"/>
  <c r="AT697" i="51"/>
  <c r="AS697" i="51"/>
  <c r="AR697" i="51"/>
  <c r="AQ697" i="51"/>
  <c r="AP697" i="51"/>
  <c r="AO697" i="51"/>
  <c r="AN697" i="51"/>
  <c r="AM697" i="51"/>
  <c r="AL697" i="51"/>
  <c r="AK697" i="51"/>
  <c r="AJ697" i="51"/>
  <c r="AZ696" i="51"/>
  <c r="AY696" i="51"/>
  <c r="AX696" i="51"/>
  <c r="AW696" i="51"/>
  <c r="AV696" i="51"/>
  <c r="AU696" i="51"/>
  <c r="AT696" i="51"/>
  <c r="AS696" i="51"/>
  <c r="AR696" i="51"/>
  <c r="AQ696" i="51"/>
  <c r="AP696" i="51"/>
  <c r="AO696" i="51"/>
  <c r="AN696" i="51"/>
  <c r="AM696" i="51"/>
  <c r="AL696" i="51"/>
  <c r="AK696" i="51"/>
  <c r="AJ696" i="51"/>
  <c r="AZ695" i="51"/>
  <c r="AY695" i="51"/>
  <c r="AX695" i="51"/>
  <c r="AW695" i="51"/>
  <c r="AV695" i="51"/>
  <c r="AU695" i="51"/>
  <c r="AT695" i="51"/>
  <c r="AS695" i="51"/>
  <c r="AR695" i="51"/>
  <c r="AQ695" i="51"/>
  <c r="AP695" i="51"/>
  <c r="AO695" i="51"/>
  <c r="AN695" i="51"/>
  <c r="AM695" i="51"/>
  <c r="AL695" i="51"/>
  <c r="AK695" i="51"/>
  <c r="AJ695" i="51"/>
  <c r="AZ694" i="51"/>
  <c r="AY694" i="51"/>
  <c r="AX694" i="51"/>
  <c r="AW694" i="51"/>
  <c r="AV694" i="51"/>
  <c r="AU694" i="51"/>
  <c r="AT694" i="51"/>
  <c r="AS694" i="51"/>
  <c r="AR694" i="51"/>
  <c r="AQ694" i="51"/>
  <c r="AP694" i="51"/>
  <c r="AO694" i="51"/>
  <c r="AN694" i="51"/>
  <c r="AM694" i="51"/>
  <c r="AL694" i="51"/>
  <c r="AK694" i="51"/>
  <c r="AJ694" i="51"/>
  <c r="AZ693" i="51"/>
  <c r="AY693" i="51"/>
  <c r="AX693" i="51"/>
  <c r="AW693" i="51"/>
  <c r="AV693" i="51"/>
  <c r="AU693" i="51"/>
  <c r="AT693" i="51"/>
  <c r="AS693" i="51"/>
  <c r="AR693" i="51"/>
  <c r="AQ693" i="51"/>
  <c r="AP693" i="51"/>
  <c r="AO693" i="51"/>
  <c r="AN693" i="51"/>
  <c r="AM693" i="51"/>
  <c r="AL693" i="51"/>
  <c r="AK693" i="51"/>
  <c r="AJ693" i="51"/>
  <c r="AZ692" i="51"/>
  <c r="AY692" i="51"/>
  <c r="AX692" i="51"/>
  <c r="AW692" i="51"/>
  <c r="AV692" i="51"/>
  <c r="AU692" i="51"/>
  <c r="AT692" i="51"/>
  <c r="AS692" i="51"/>
  <c r="AR692" i="51"/>
  <c r="AQ692" i="51"/>
  <c r="AP692" i="51"/>
  <c r="AO692" i="51"/>
  <c r="AN692" i="51"/>
  <c r="AM692" i="51"/>
  <c r="AL692" i="51"/>
  <c r="AK692" i="51"/>
  <c r="AJ692" i="51"/>
  <c r="AZ691" i="51"/>
  <c r="AY691" i="51"/>
  <c r="AX691" i="51"/>
  <c r="AW691" i="51"/>
  <c r="AV691" i="51"/>
  <c r="AU691" i="51"/>
  <c r="AT691" i="51"/>
  <c r="AS691" i="51"/>
  <c r="AR691" i="51"/>
  <c r="AQ691" i="51"/>
  <c r="AP691" i="51"/>
  <c r="AO691" i="51"/>
  <c r="AN691" i="51"/>
  <c r="AM691" i="51"/>
  <c r="AL691" i="51"/>
  <c r="AK691" i="51"/>
  <c r="AJ691" i="51"/>
  <c r="AZ690" i="51"/>
  <c r="AY690" i="51"/>
  <c r="AX690" i="51"/>
  <c r="AW690" i="51"/>
  <c r="AV690" i="51"/>
  <c r="AU690" i="51"/>
  <c r="AT690" i="51"/>
  <c r="AS690" i="51"/>
  <c r="AR690" i="51"/>
  <c r="AQ690" i="51"/>
  <c r="AP690" i="51"/>
  <c r="AO690" i="51"/>
  <c r="AN690" i="51"/>
  <c r="AM690" i="51"/>
  <c r="AL690" i="51"/>
  <c r="AK690" i="51"/>
  <c r="AJ690" i="51"/>
  <c r="AZ689" i="51"/>
  <c r="AY689" i="51"/>
  <c r="AX689" i="51"/>
  <c r="AW689" i="51"/>
  <c r="AV689" i="51"/>
  <c r="AU689" i="51"/>
  <c r="AT689" i="51"/>
  <c r="AS689" i="51"/>
  <c r="AR689" i="51"/>
  <c r="AQ689" i="51"/>
  <c r="AP689" i="51"/>
  <c r="AO689" i="51"/>
  <c r="AN689" i="51"/>
  <c r="AM689" i="51"/>
  <c r="AL689" i="51"/>
  <c r="AK689" i="51"/>
  <c r="AJ689" i="51"/>
  <c r="AZ688" i="51"/>
  <c r="AY688" i="51"/>
  <c r="AX688" i="51"/>
  <c r="AW688" i="51"/>
  <c r="AV688" i="51"/>
  <c r="AU688" i="51"/>
  <c r="AT688" i="51"/>
  <c r="AS688" i="51"/>
  <c r="AR688" i="51"/>
  <c r="AQ688" i="51"/>
  <c r="AP688" i="51"/>
  <c r="AO688" i="51"/>
  <c r="AN688" i="51"/>
  <c r="AM688" i="51"/>
  <c r="AL688" i="51"/>
  <c r="AK688" i="51"/>
  <c r="AJ688" i="51"/>
  <c r="AZ687" i="51"/>
  <c r="AY687" i="51"/>
  <c r="AX687" i="51"/>
  <c r="AW687" i="51"/>
  <c r="AV687" i="51"/>
  <c r="AU687" i="51"/>
  <c r="AT687" i="51"/>
  <c r="AS687" i="51"/>
  <c r="AR687" i="51"/>
  <c r="AQ687" i="51"/>
  <c r="AP687" i="51"/>
  <c r="AO687" i="51"/>
  <c r="AN687" i="51"/>
  <c r="AM687" i="51"/>
  <c r="AL687" i="51"/>
  <c r="AK687" i="51"/>
  <c r="AJ687" i="51"/>
  <c r="AZ686" i="51"/>
  <c r="AY686" i="51"/>
  <c r="AX686" i="51"/>
  <c r="AW686" i="51"/>
  <c r="AV686" i="51"/>
  <c r="AU686" i="51"/>
  <c r="AT686" i="51"/>
  <c r="AS686" i="51"/>
  <c r="AR686" i="51"/>
  <c r="AQ686" i="51"/>
  <c r="AP686" i="51"/>
  <c r="AO686" i="51"/>
  <c r="AN686" i="51"/>
  <c r="AM686" i="51"/>
  <c r="AL686" i="51"/>
  <c r="AK686" i="51"/>
  <c r="AJ686" i="51"/>
  <c r="AZ685" i="51"/>
  <c r="AY685" i="51"/>
  <c r="AX685" i="51"/>
  <c r="AW685" i="51"/>
  <c r="AV685" i="51"/>
  <c r="AU685" i="51"/>
  <c r="AT685" i="51"/>
  <c r="AS685" i="51"/>
  <c r="AR685" i="51"/>
  <c r="AQ685" i="51"/>
  <c r="AP685" i="51"/>
  <c r="AO685" i="51"/>
  <c r="AN685" i="51"/>
  <c r="AM685" i="51"/>
  <c r="AL685" i="51"/>
  <c r="AK685" i="51"/>
  <c r="AJ685" i="51"/>
  <c r="AZ684" i="51"/>
  <c r="AY684" i="51"/>
  <c r="AX684" i="51"/>
  <c r="AW684" i="51"/>
  <c r="AV684" i="51"/>
  <c r="AU684" i="51"/>
  <c r="AT684" i="51"/>
  <c r="AS684" i="51"/>
  <c r="AR684" i="51"/>
  <c r="AQ684" i="51"/>
  <c r="AP684" i="51"/>
  <c r="AO684" i="51"/>
  <c r="AN684" i="51"/>
  <c r="AM684" i="51"/>
  <c r="AL684" i="51"/>
  <c r="AK684" i="51"/>
  <c r="AJ684" i="51"/>
  <c r="AZ683" i="51"/>
  <c r="AY683" i="51"/>
  <c r="AX683" i="51"/>
  <c r="AW683" i="51"/>
  <c r="AV683" i="51"/>
  <c r="AU683" i="51"/>
  <c r="AT683" i="51"/>
  <c r="AS683" i="51"/>
  <c r="AR683" i="51"/>
  <c r="AQ683" i="51"/>
  <c r="AP683" i="51"/>
  <c r="AO683" i="51"/>
  <c r="AN683" i="51"/>
  <c r="AM683" i="51"/>
  <c r="AL683" i="51"/>
  <c r="AK683" i="51"/>
  <c r="AJ683" i="51"/>
  <c r="AZ682" i="51"/>
  <c r="AY682" i="51"/>
  <c r="AX682" i="51"/>
  <c r="AW682" i="51"/>
  <c r="AV682" i="51"/>
  <c r="AU682" i="51"/>
  <c r="AT682" i="51"/>
  <c r="AS682" i="51"/>
  <c r="AR682" i="51"/>
  <c r="AQ682" i="51"/>
  <c r="AP682" i="51"/>
  <c r="AO682" i="51"/>
  <c r="AN682" i="51"/>
  <c r="AM682" i="51"/>
  <c r="AL682" i="51"/>
  <c r="AK682" i="51"/>
  <c r="AJ682" i="51"/>
  <c r="AZ681" i="51"/>
  <c r="AY681" i="51"/>
  <c r="AX681" i="51"/>
  <c r="AW681" i="51"/>
  <c r="AV681" i="51"/>
  <c r="AU681" i="51"/>
  <c r="AT681" i="51"/>
  <c r="AS681" i="51"/>
  <c r="AR681" i="51"/>
  <c r="AQ681" i="51"/>
  <c r="AP681" i="51"/>
  <c r="AO681" i="51"/>
  <c r="AN681" i="51"/>
  <c r="AM681" i="51"/>
  <c r="AL681" i="51"/>
  <c r="AK681" i="51"/>
  <c r="AJ681" i="51"/>
  <c r="AZ680" i="51"/>
  <c r="AY680" i="51"/>
  <c r="AX680" i="51"/>
  <c r="AW680" i="51"/>
  <c r="AV680" i="51"/>
  <c r="AU680" i="51"/>
  <c r="AT680" i="51"/>
  <c r="AS680" i="51"/>
  <c r="AR680" i="51"/>
  <c r="AQ680" i="51"/>
  <c r="AP680" i="51"/>
  <c r="AO680" i="51"/>
  <c r="AN680" i="51"/>
  <c r="AM680" i="51"/>
  <c r="AL680" i="51"/>
  <c r="AK680" i="51"/>
  <c r="AJ680" i="51"/>
  <c r="AZ679" i="51"/>
  <c r="AY679" i="51"/>
  <c r="AX679" i="51"/>
  <c r="AW679" i="51"/>
  <c r="AV679" i="51"/>
  <c r="AU679" i="51"/>
  <c r="AT679" i="51"/>
  <c r="AS679" i="51"/>
  <c r="AR679" i="51"/>
  <c r="AQ679" i="51"/>
  <c r="AP679" i="51"/>
  <c r="AO679" i="51"/>
  <c r="AN679" i="51"/>
  <c r="AM679" i="51"/>
  <c r="AL679" i="51"/>
  <c r="AK679" i="51"/>
  <c r="AJ679" i="51"/>
  <c r="AZ678" i="51"/>
  <c r="AY678" i="51"/>
  <c r="AX678" i="51"/>
  <c r="AW678" i="51"/>
  <c r="AV678" i="51"/>
  <c r="AU678" i="51"/>
  <c r="AT678" i="51"/>
  <c r="AS678" i="51"/>
  <c r="AR678" i="51"/>
  <c r="AQ678" i="51"/>
  <c r="AP678" i="51"/>
  <c r="AO678" i="51"/>
  <c r="AN678" i="51"/>
  <c r="AM678" i="51"/>
  <c r="AL678" i="51"/>
  <c r="AK678" i="51"/>
  <c r="AJ678" i="51"/>
  <c r="AZ677" i="51"/>
  <c r="AY677" i="51"/>
  <c r="AX677" i="51"/>
  <c r="AW677" i="51"/>
  <c r="AV677" i="51"/>
  <c r="AU677" i="51"/>
  <c r="AT677" i="51"/>
  <c r="AS677" i="51"/>
  <c r="AR677" i="51"/>
  <c r="AQ677" i="51"/>
  <c r="AP677" i="51"/>
  <c r="AO677" i="51"/>
  <c r="AN677" i="51"/>
  <c r="AM677" i="51"/>
  <c r="AL677" i="51"/>
  <c r="AK677" i="51"/>
  <c r="AJ677" i="51"/>
  <c r="AZ676" i="51"/>
  <c r="AY676" i="51"/>
  <c r="AX676" i="51"/>
  <c r="AW676" i="51"/>
  <c r="AV676" i="51"/>
  <c r="AU676" i="51"/>
  <c r="AT676" i="51"/>
  <c r="AS676" i="51"/>
  <c r="AR676" i="51"/>
  <c r="AQ676" i="51"/>
  <c r="AP676" i="51"/>
  <c r="AO676" i="51"/>
  <c r="AN676" i="51"/>
  <c r="AM676" i="51"/>
  <c r="AL676" i="51"/>
  <c r="AK676" i="51"/>
  <c r="AJ676" i="51"/>
  <c r="AZ675" i="51"/>
  <c r="AY675" i="51"/>
  <c r="AX675" i="51"/>
  <c r="AW675" i="51"/>
  <c r="AV675" i="51"/>
  <c r="AU675" i="51"/>
  <c r="AT675" i="51"/>
  <c r="AS675" i="51"/>
  <c r="AR675" i="51"/>
  <c r="AQ675" i="51"/>
  <c r="AP675" i="51"/>
  <c r="AO675" i="51"/>
  <c r="AN675" i="51"/>
  <c r="AM675" i="51"/>
  <c r="AL675" i="51"/>
  <c r="AK675" i="51"/>
  <c r="AJ675" i="51"/>
  <c r="AZ674" i="51"/>
  <c r="AY674" i="51"/>
  <c r="AX674" i="51"/>
  <c r="AW674" i="51"/>
  <c r="AV674" i="51"/>
  <c r="AU674" i="51"/>
  <c r="AT674" i="51"/>
  <c r="AS674" i="51"/>
  <c r="AR674" i="51"/>
  <c r="AQ674" i="51"/>
  <c r="AP674" i="51"/>
  <c r="AO674" i="51"/>
  <c r="AN674" i="51"/>
  <c r="AM674" i="51"/>
  <c r="AL674" i="51"/>
  <c r="AK674" i="51"/>
  <c r="AJ674" i="51"/>
  <c r="AZ673" i="51"/>
  <c r="AY673" i="51"/>
  <c r="AX673" i="51"/>
  <c r="AW673" i="51"/>
  <c r="AV673" i="51"/>
  <c r="AU673" i="51"/>
  <c r="AT673" i="51"/>
  <c r="AS673" i="51"/>
  <c r="AR673" i="51"/>
  <c r="AQ673" i="51"/>
  <c r="AP673" i="51"/>
  <c r="AO673" i="51"/>
  <c r="AN673" i="51"/>
  <c r="AM673" i="51"/>
  <c r="AL673" i="51"/>
  <c r="AK673" i="51"/>
  <c r="AJ673" i="51"/>
  <c r="AZ672" i="51"/>
  <c r="AY672" i="51"/>
  <c r="AX672" i="51"/>
  <c r="AW672" i="51"/>
  <c r="AV672" i="51"/>
  <c r="AU672" i="51"/>
  <c r="AT672" i="51"/>
  <c r="AS672" i="51"/>
  <c r="AR672" i="51"/>
  <c r="AQ672" i="51"/>
  <c r="AP672" i="51"/>
  <c r="AO672" i="51"/>
  <c r="AN672" i="51"/>
  <c r="AM672" i="51"/>
  <c r="AL672" i="51"/>
  <c r="AK672" i="51"/>
  <c r="AJ672" i="51"/>
  <c r="AZ671" i="51"/>
  <c r="AY671" i="51"/>
  <c r="AX671" i="51"/>
  <c r="AW671" i="51"/>
  <c r="AV671" i="51"/>
  <c r="AU671" i="51"/>
  <c r="AT671" i="51"/>
  <c r="AS671" i="51"/>
  <c r="AR671" i="51"/>
  <c r="AQ671" i="51"/>
  <c r="AP671" i="51"/>
  <c r="AO671" i="51"/>
  <c r="AN671" i="51"/>
  <c r="AM671" i="51"/>
  <c r="AL671" i="51"/>
  <c r="AK671" i="51"/>
  <c r="AJ671" i="51"/>
  <c r="AZ670" i="51"/>
  <c r="AY670" i="51"/>
  <c r="AX670" i="51"/>
  <c r="AW670" i="51"/>
  <c r="AV670" i="51"/>
  <c r="AU670" i="51"/>
  <c r="AT670" i="51"/>
  <c r="AS670" i="51"/>
  <c r="AR670" i="51"/>
  <c r="AQ670" i="51"/>
  <c r="AP670" i="51"/>
  <c r="AO670" i="51"/>
  <c r="AN670" i="51"/>
  <c r="AM670" i="51"/>
  <c r="AL670" i="51"/>
  <c r="AK670" i="51"/>
  <c r="AJ670" i="51"/>
  <c r="AZ669" i="51"/>
  <c r="AY669" i="51"/>
  <c r="AX669" i="51"/>
  <c r="AW669" i="51"/>
  <c r="AV669" i="51"/>
  <c r="AU669" i="51"/>
  <c r="AT669" i="51"/>
  <c r="AS669" i="51"/>
  <c r="AR669" i="51"/>
  <c r="AQ669" i="51"/>
  <c r="AP669" i="51"/>
  <c r="AO669" i="51"/>
  <c r="AN669" i="51"/>
  <c r="AM669" i="51"/>
  <c r="AL669" i="51"/>
  <c r="AK669" i="51"/>
  <c r="AJ669" i="51"/>
  <c r="AZ668" i="51"/>
  <c r="AY668" i="51"/>
  <c r="AX668" i="51"/>
  <c r="AW668" i="51"/>
  <c r="AV668" i="51"/>
  <c r="AU668" i="51"/>
  <c r="AT668" i="51"/>
  <c r="AS668" i="51"/>
  <c r="AR668" i="51"/>
  <c r="AQ668" i="51"/>
  <c r="AP668" i="51"/>
  <c r="AO668" i="51"/>
  <c r="AN668" i="51"/>
  <c r="AM668" i="51"/>
  <c r="AL668" i="51"/>
  <c r="AK668" i="51"/>
  <c r="AJ668" i="51"/>
  <c r="AZ667" i="51"/>
  <c r="AY667" i="51"/>
  <c r="AX667" i="51"/>
  <c r="AW667" i="51"/>
  <c r="AV667" i="51"/>
  <c r="AU667" i="51"/>
  <c r="AT667" i="51"/>
  <c r="AS667" i="51"/>
  <c r="AR667" i="51"/>
  <c r="AQ667" i="51"/>
  <c r="AP667" i="51"/>
  <c r="AO667" i="51"/>
  <c r="AN667" i="51"/>
  <c r="AM667" i="51"/>
  <c r="AL667" i="51"/>
  <c r="AK667" i="51"/>
  <c r="AJ667" i="51"/>
  <c r="AZ666" i="51"/>
  <c r="AY666" i="51"/>
  <c r="AX666" i="51"/>
  <c r="AW666" i="51"/>
  <c r="AV666" i="51"/>
  <c r="AU666" i="51"/>
  <c r="AT666" i="51"/>
  <c r="AS666" i="51"/>
  <c r="AR666" i="51"/>
  <c r="AQ666" i="51"/>
  <c r="AP666" i="51"/>
  <c r="AO666" i="51"/>
  <c r="AN666" i="51"/>
  <c r="AM666" i="51"/>
  <c r="AL666" i="51"/>
  <c r="AK666" i="51"/>
  <c r="AJ666" i="51"/>
  <c r="AZ665" i="51"/>
  <c r="AY665" i="51"/>
  <c r="AX665" i="51"/>
  <c r="AW665" i="51"/>
  <c r="AV665" i="51"/>
  <c r="AU665" i="51"/>
  <c r="AT665" i="51"/>
  <c r="AS665" i="51"/>
  <c r="AR665" i="51"/>
  <c r="AQ665" i="51"/>
  <c r="AP665" i="51"/>
  <c r="AO665" i="51"/>
  <c r="AN665" i="51"/>
  <c r="AM665" i="51"/>
  <c r="AL665" i="51"/>
  <c r="AK665" i="51"/>
  <c r="AJ665" i="51"/>
  <c r="AZ664" i="51"/>
  <c r="AY664" i="51"/>
  <c r="AX664" i="51"/>
  <c r="AW664" i="51"/>
  <c r="AV664" i="51"/>
  <c r="AU664" i="51"/>
  <c r="AT664" i="51"/>
  <c r="AS664" i="51"/>
  <c r="AR664" i="51"/>
  <c r="AQ664" i="51"/>
  <c r="AP664" i="51"/>
  <c r="AO664" i="51"/>
  <c r="AN664" i="51"/>
  <c r="AM664" i="51"/>
  <c r="AL664" i="51"/>
  <c r="AK664" i="51"/>
  <c r="AJ664" i="51"/>
  <c r="AZ663" i="51"/>
  <c r="AY663" i="51"/>
  <c r="AX663" i="51"/>
  <c r="AW663" i="51"/>
  <c r="AV663" i="51"/>
  <c r="AU663" i="51"/>
  <c r="AT663" i="51"/>
  <c r="AS663" i="51"/>
  <c r="AR663" i="51"/>
  <c r="AQ663" i="51"/>
  <c r="AP663" i="51"/>
  <c r="AO663" i="51"/>
  <c r="AN663" i="51"/>
  <c r="AM663" i="51"/>
  <c r="AL663" i="51"/>
  <c r="AK663" i="51"/>
  <c r="AJ663" i="51"/>
  <c r="AZ662" i="51"/>
  <c r="AY662" i="51"/>
  <c r="AX662" i="51"/>
  <c r="AW662" i="51"/>
  <c r="AV662" i="51"/>
  <c r="AU662" i="51"/>
  <c r="AT662" i="51"/>
  <c r="AS662" i="51"/>
  <c r="AR662" i="51"/>
  <c r="AQ662" i="51"/>
  <c r="AP662" i="51"/>
  <c r="AO662" i="51"/>
  <c r="AN662" i="51"/>
  <c r="AM662" i="51"/>
  <c r="AL662" i="51"/>
  <c r="AK662" i="51"/>
  <c r="AJ662" i="51"/>
  <c r="AZ661" i="51"/>
  <c r="AY661" i="51"/>
  <c r="AX661" i="51"/>
  <c r="AW661" i="51"/>
  <c r="AV661" i="51"/>
  <c r="AU661" i="51"/>
  <c r="AT661" i="51"/>
  <c r="AS661" i="51"/>
  <c r="AR661" i="51"/>
  <c r="AQ661" i="51"/>
  <c r="AP661" i="51"/>
  <c r="AO661" i="51"/>
  <c r="AN661" i="51"/>
  <c r="AM661" i="51"/>
  <c r="AL661" i="51"/>
  <c r="AK661" i="51"/>
  <c r="AJ661" i="51"/>
  <c r="AZ660" i="51"/>
  <c r="AY660" i="51"/>
  <c r="AX660" i="51"/>
  <c r="AW660" i="51"/>
  <c r="AV660" i="51"/>
  <c r="AU660" i="51"/>
  <c r="AT660" i="51"/>
  <c r="AS660" i="51"/>
  <c r="AR660" i="51"/>
  <c r="AQ660" i="51"/>
  <c r="AP660" i="51"/>
  <c r="AO660" i="51"/>
  <c r="AN660" i="51"/>
  <c r="AM660" i="51"/>
  <c r="AL660" i="51"/>
  <c r="AK660" i="51"/>
  <c r="AJ660" i="51"/>
  <c r="AZ659" i="51"/>
  <c r="AY659" i="51"/>
  <c r="AX659" i="51"/>
  <c r="AW659" i="51"/>
  <c r="AV659" i="51"/>
  <c r="AU659" i="51"/>
  <c r="AT659" i="51"/>
  <c r="AS659" i="51"/>
  <c r="AR659" i="51"/>
  <c r="AQ659" i="51"/>
  <c r="AP659" i="51"/>
  <c r="AO659" i="51"/>
  <c r="AN659" i="51"/>
  <c r="AM659" i="51"/>
  <c r="AL659" i="51"/>
  <c r="AK659" i="51"/>
  <c r="AJ659" i="51"/>
  <c r="AZ658" i="51"/>
  <c r="AY658" i="51"/>
  <c r="AX658" i="51"/>
  <c r="AW658" i="51"/>
  <c r="AV658" i="51"/>
  <c r="AU658" i="51"/>
  <c r="AT658" i="51"/>
  <c r="AS658" i="51"/>
  <c r="AR658" i="51"/>
  <c r="AQ658" i="51"/>
  <c r="AP658" i="51"/>
  <c r="AO658" i="51"/>
  <c r="AN658" i="51"/>
  <c r="AM658" i="51"/>
  <c r="AL658" i="51"/>
  <c r="AK658" i="51"/>
  <c r="AJ658" i="51"/>
  <c r="AZ657" i="51"/>
  <c r="AY657" i="51"/>
  <c r="AX657" i="51"/>
  <c r="AW657" i="51"/>
  <c r="AV657" i="51"/>
  <c r="AU657" i="51"/>
  <c r="AT657" i="51"/>
  <c r="AS657" i="51"/>
  <c r="AR657" i="51"/>
  <c r="AQ657" i="51"/>
  <c r="AP657" i="51"/>
  <c r="AO657" i="51"/>
  <c r="AN657" i="51"/>
  <c r="AM657" i="51"/>
  <c r="AL657" i="51"/>
  <c r="AK657" i="51"/>
  <c r="AJ657" i="51"/>
  <c r="AZ656" i="51"/>
  <c r="AY656" i="51"/>
  <c r="AX656" i="51"/>
  <c r="AW656" i="51"/>
  <c r="AV656" i="51"/>
  <c r="AU656" i="51"/>
  <c r="AT656" i="51"/>
  <c r="AS656" i="51"/>
  <c r="AR656" i="51"/>
  <c r="AQ656" i="51"/>
  <c r="AP656" i="51"/>
  <c r="AO656" i="51"/>
  <c r="AN656" i="51"/>
  <c r="AM656" i="51"/>
  <c r="AL656" i="51"/>
  <c r="AK656" i="51"/>
  <c r="AJ656" i="51"/>
  <c r="AZ655" i="51"/>
  <c r="AY655" i="51"/>
  <c r="AX655" i="51"/>
  <c r="AW655" i="51"/>
  <c r="AV655" i="51"/>
  <c r="AU655" i="51"/>
  <c r="AT655" i="51"/>
  <c r="AS655" i="51"/>
  <c r="AR655" i="51"/>
  <c r="AQ655" i="51"/>
  <c r="AP655" i="51"/>
  <c r="AO655" i="51"/>
  <c r="AN655" i="51"/>
  <c r="AM655" i="51"/>
  <c r="AL655" i="51"/>
  <c r="AK655" i="51"/>
  <c r="AJ655" i="51"/>
  <c r="AZ654" i="51"/>
  <c r="AY654" i="51"/>
  <c r="AX654" i="51"/>
  <c r="AW654" i="51"/>
  <c r="AV654" i="51"/>
  <c r="AU654" i="51"/>
  <c r="AT654" i="51"/>
  <c r="AS654" i="51"/>
  <c r="AR654" i="51"/>
  <c r="AQ654" i="51"/>
  <c r="AP654" i="51"/>
  <c r="AO654" i="51"/>
  <c r="AN654" i="51"/>
  <c r="AM654" i="51"/>
  <c r="AL654" i="51"/>
  <c r="AK654" i="51"/>
  <c r="AJ654" i="51"/>
  <c r="AZ653" i="51"/>
  <c r="AY653" i="51"/>
  <c r="AX653" i="51"/>
  <c r="AW653" i="51"/>
  <c r="AV653" i="51"/>
  <c r="AU653" i="51"/>
  <c r="AT653" i="51"/>
  <c r="AS653" i="51"/>
  <c r="AR653" i="51"/>
  <c r="AQ653" i="51"/>
  <c r="AP653" i="51"/>
  <c r="AO653" i="51"/>
  <c r="AN653" i="51"/>
  <c r="AM653" i="51"/>
  <c r="AL653" i="51"/>
  <c r="AK653" i="51"/>
  <c r="AJ653" i="51"/>
  <c r="AZ652" i="51"/>
  <c r="AY652" i="51"/>
  <c r="AX652" i="51"/>
  <c r="AW652" i="51"/>
  <c r="AV652" i="51"/>
  <c r="AU652" i="51"/>
  <c r="AT652" i="51"/>
  <c r="AS652" i="51"/>
  <c r="AR652" i="51"/>
  <c r="AQ652" i="51"/>
  <c r="AP652" i="51"/>
  <c r="AO652" i="51"/>
  <c r="AN652" i="51"/>
  <c r="AM652" i="51"/>
  <c r="AL652" i="51"/>
  <c r="AK652" i="51"/>
  <c r="AJ652" i="51"/>
  <c r="AZ651" i="51"/>
  <c r="AY651" i="51"/>
  <c r="AX651" i="51"/>
  <c r="AW651" i="51"/>
  <c r="AV651" i="51"/>
  <c r="AU651" i="51"/>
  <c r="AT651" i="51"/>
  <c r="AS651" i="51"/>
  <c r="AR651" i="51"/>
  <c r="AQ651" i="51"/>
  <c r="AP651" i="51"/>
  <c r="AO651" i="51"/>
  <c r="AN651" i="51"/>
  <c r="AM651" i="51"/>
  <c r="AL651" i="51"/>
  <c r="AK651" i="51"/>
  <c r="AJ651" i="51"/>
  <c r="AZ650" i="51"/>
  <c r="AY650" i="51"/>
  <c r="AX650" i="51"/>
  <c r="AW650" i="51"/>
  <c r="AV650" i="51"/>
  <c r="AU650" i="51"/>
  <c r="AT650" i="51"/>
  <c r="AS650" i="51"/>
  <c r="AR650" i="51"/>
  <c r="AQ650" i="51"/>
  <c r="AP650" i="51"/>
  <c r="AO650" i="51"/>
  <c r="AN650" i="51"/>
  <c r="AM650" i="51"/>
  <c r="AL650" i="51"/>
  <c r="AK650" i="51"/>
  <c r="AJ650" i="51"/>
  <c r="AZ649" i="51"/>
  <c r="AY649" i="51"/>
  <c r="AX649" i="51"/>
  <c r="AW649" i="51"/>
  <c r="AV649" i="51"/>
  <c r="AU649" i="51"/>
  <c r="AT649" i="51"/>
  <c r="AS649" i="51"/>
  <c r="AR649" i="51"/>
  <c r="AQ649" i="51"/>
  <c r="AP649" i="51"/>
  <c r="AO649" i="51"/>
  <c r="AN649" i="51"/>
  <c r="AM649" i="51"/>
  <c r="AL649" i="51"/>
  <c r="AK649" i="51"/>
  <c r="AJ649" i="51"/>
  <c r="AZ648" i="51"/>
  <c r="AY648" i="51"/>
  <c r="AX648" i="51"/>
  <c r="AW648" i="51"/>
  <c r="AV648" i="51"/>
  <c r="AU648" i="51"/>
  <c r="AT648" i="51"/>
  <c r="AS648" i="51"/>
  <c r="AR648" i="51"/>
  <c r="AQ648" i="51"/>
  <c r="AP648" i="51"/>
  <c r="AO648" i="51"/>
  <c r="AN648" i="51"/>
  <c r="AM648" i="51"/>
  <c r="AL648" i="51"/>
  <c r="AK648" i="51"/>
  <c r="AJ648" i="51"/>
  <c r="AZ647" i="51"/>
  <c r="AY647" i="51"/>
  <c r="AX647" i="51"/>
  <c r="AW647" i="51"/>
  <c r="AV647" i="51"/>
  <c r="AU647" i="51"/>
  <c r="AT647" i="51"/>
  <c r="AS647" i="51"/>
  <c r="AR647" i="51"/>
  <c r="AQ647" i="51"/>
  <c r="AP647" i="51"/>
  <c r="AO647" i="51"/>
  <c r="AN647" i="51"/>
  <c r="AM647" i="51"/>
  <c r="AL647" i="51"/>
  <c r="AK647" i="51"/>
  <c r="AJ647" i="51"/>
  <c r="AZ646" i="51"/>
  <c r="AY646" i="51"/>
  <c r="AX646" i="51"/>
  <c r="AW646" i="51"/>
  <c r="AV646" i="51"/>
  <c r="AU646" i="51"/>
  <c r="AT646" i="51"/>
  <c r="AS646" i="51"/>
  <c r="AR646" i="51"/>
  <c r="AQ646" i="51"/>
  <c r="AP646" i="51"/>
  <c r="AO646" i="51"/>
  <c r="AN646" i="51"/>
  <c r="AM646" i="51"/>
  <c r="AL646" i="51"/>
  <c r="AK646" i="51"/>
  <c r="AJ646" i="51"/>
  <c r="AZ645" i="51"/>
  <c r="AY645" i="51"/>
  <c r="AX645" i="51"/>
  <c r="AW645" i="51"/>
  <c r="AV645" i="51"/>
  <c r="AU645" i="51"/>
  <c r="AT645" i="51"/>
  <c r="AS645" i="51"/>
  <c r="AR645" i="51"/>
  <c r="AQ645" i="51"/>
  <c r="AP645" i="51"/>
  <c r="AO645" i="51"/>
  <c r="AN645" i="51"/>
  <c r="AM645" i="51"/>
  <c r="AL645" i="51"/>
  <c r="AK645" i="51"/>
  <c r="AJ645" i="51"/>
  <c r="AZ644" i="51"/>
  <c r="AY644" i="51"/>
  <c r="AX644" i="51"/>
  <c r="AW644" i="51"/>
  <c r="AV644" i="51"/>
  <c r="AU644" i="51"/>
  <c r="AT644" i="51"/>
  <c r="AS644" i="51"/>
  <c r="AR644" i="51"/>
  <c r="AQ644" i="51"/>
  <c r="AP644" i="51"/>
  <c r="AO644" i="51"/>
  <c r="AN644" i="51"/>
  <c r="AM644" i="51"/>
  <c r="AL644" i="51"/>
  <c r="AK644" i="51"/>
  <c r="AJ644" i="51"/>
  <c r="AZ643" i="51"/>
  <c r="AY643" i="51"/>
  <c r="AX643" i="51"/>
  <c r="AW643" i="51"/>
  <c r="AV643" i="51"/>
  <c r="AU643" i="51"/>
  <c r="AT643" i="51"/>
  <c r="AS643" i="51"/>
  <c r="AR643" i="51"/>
  <c r="AQ643" i="51"/>
  <c r="AP643" i="51"/>
  <c r="AO643" i="51"/>
  <c r="AN643" i="51"/>
  <c r="AM643" i="51"/>
  <c r="AL643" i="51"/>
  <c r="AK643" i="51"/>
  <c r="AJ643" i="51"/>
  <c r="AZ642" i="51"/>
  <c r="AY642" i="51"/>
  <c r="AX642" i="51"/>
  <c r="AW642" i="51"/>
  <c r="AV642" i="51"/>
  <c r="AU642" i="51"/>
  <c r="AT642" i="51"/>
  <c r="AS642" i="51"/>
  <c r="AR642" i="51"/>
  <c r="AQ642" i="51"/>
  <c r="AP642" i="51"/>
  <c r="AO642" i="51"/>
  <c r="AN642" i="51"/>
  <c r="AM642" i="51"/>
  <c r="AL642" i="51"/>
  <c r="AK642" i="51"/>
  <c r="AJ642" i="51"/>
  <c r="AZ641" i="51"/>
  <c r="AY641" i="51"/>
  <c r="AX641" i="51"/>
  <c r="AW641" i="51"/>
  <c r="AV641" i="51"/>
  <c r="AU641" i="51"/>
  <c r="AT641" i="51"/>
  <c r="AS641" i="51"/>
  <c r="AR641" i="51"/>
  <c r="AQ641" i="51"/>
  <c r="AP641" i="51"/>
  <c r="AO641" i="51"/>
  <c r="AN641" i="51"/>
  <c r="AM641" i="51"/>
  <c r="AL641" i="51"/>
  <c r="AK641" i="51"/>
  <c r="AJ641" i="51"/>
  <c r="AZ640" i="51"/>
  <c r="AY640" i="51"/>
  <c r="AX640" i="51"/>
  <c r="AW640" i="51"/>
  <c r="AV640" i="51"/>
  <c r="AU640" i="51"/>
  <c r="AT640" i="51"/>
  <c r="AS640" i="51"/>
  <c r="AR640" i="51"/>
  <c r="AQ640" i="51"/>
  <c r="AP640" i="51"/>
  <c r="AO640" i="51"/>
  <c r="AN640" i="51"/>
  <c r="AM640" i="51"/>
  <c r="AL640" i="51"/>
  <c r="AK640" i="51"/>
  <c r="AJ640" i="51"/>
  <c r="AZ639" i="51"/>
  <c r="AY639" i="51"/>
  <c r="AX639" i="51"/>
  <c r="AW639" i="51"/>
  <c r="AV639" i="51"/>
  <c r="AU639" i="51"/>
  <c r="AT639" i="51"/>
  <c r="AS639" i="51"/>
  <c r="AR639" i="51"/>
  <c r="AQ639" i="51"/>
  <c r="AP639" i="51"/>
  <c r="AO639" i="51"/>
  <c r="AN639" i="51"/>
  <c r="AM639" i="51"/>
  <c r="AL639" i="51"/>
  <c r="AK639" i="51"/>
  <c r="AJ639" i="51"/>
  <c r="AZ638" i="5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5" i="49"/>
  <c r="Q28" i="49"/>
  <c r="Q20" i="49"/>
  <c r="Q12" i="49"/>
  <c r="R8" i="49"/>
  <c r="Q33" i="49"/>
  <c r="Q29" i="49"/>
  <c r="Q25" i="49"/>
  <c r="Q21" i="49"/>
  <c r="Q17" i="49"/>
  <c r="Q13" i="49"/>
  <c r="R9" i="49"/>
  <c r="P8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P9" i="49"/>
  <c r="R6" i="49"/>
  <c r="P5" i="49"/>
  <c r="P15" i="49"/>
  <c r="Q30" i="49"/>
  <c r="Q26" i="49"/>
  <c r="Q22" i="49"/>
  <c r="Q18" i="49"/>
  <c r="Q14" i="49"/>
  <c r="Q10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6" i="49"/>
  <c r="R7" i="49"/>
  <c r="Q32" i="49"/>
  <c r="Q24" i="49"/>
  <c r="Q16" i="49"/>
  <c r="Q31" i="49"/>
  <c r="Q27" i="49"/>
  <c r="Q23" i="49"/>
  <c r="Q19" i="49"/>
  <c r="Q15" i="49"/>
  <c r="Q11" i="49"/>
  <c r="P6" i="49"/>
  <c r="R12" i="49"/>
  <c r="Q7" i="49"/>
  <c r="P7" i="49"/>
  <c r="R32" i="49"/>
  <c r="P31" i="49"/>
  <c r="R28" i="49"/>
  <c r="P27" i="49"/>
  <c r="R24" i="49"/>
  <c r="P23" i="49"/>
  <c r="R20" i="49"/>
  <c r="P19" i="49"/>
  <c r="R16" i="49"/>
  <c r="P11" i="49"/>
  <c r="M26" i="49" l="1"/>
  <c r="N26" i="49" s="1"/>
  <c r="M22" i="49"/>
  <c r="N22" i="49" s="1"/>
  <c r="M30" i="49"/>
  <c r="N30" i="49" s="1"/>
  <c r="N19" i="49"/>
  <c r="L13" i="49"/>
  <c r="L17" i="49"/>
  <c r="L8" i="49"/>
  <c r="M21" i="49"/>
  <c r="N21" i="49" s="1"/>
  <c r="M25" i="49"/>
  <c r="N25" i="49" s="1"/>
  <c r="M29" i="49"/>
  <c r="N29" i="49" s="1"/>
  <c r="M33" i="49"/>
  <c r="L12" i="49"/>
  <c r="L16" i="49"/>
  <c r="L9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<sst xmlns="http://schemas.openxmlformats.org/spreadsheetml/2006/main" count="11121" uniqueCount="698">
  <si>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</si>
  <si>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</si>
  <si>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</si>
  <si>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</si>
  <si>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</si>
  <si>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</si>
  <si>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</si>
  <si>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</si>
  <si>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</si>
  <si>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</si>
  <si>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</si>
  <si>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</si>
  <si>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</si>
  <si>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</si>
  <si>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</si>
  <si>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</si>
  <si>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</si>
  <si>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</si>
  <si>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</si>
  <si>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</si>
  <si>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</si>
  <si>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</si>
  <si>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</si>
  <si>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</si>
  <si>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</si>
  <si>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</si>
  <si>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</si>
  <si>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</si>
  <si>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</si>
  <si>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</si>
  <si>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</si>
  <si>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</si>
  <si>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</si>
  <si>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</si>
  <si>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</si>
  <si>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</si>
  <si>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</si>
  <si>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</si>
  <si>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</si>
  <si>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</si>
  <si>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</si>
  <si>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</si>
  <si>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</si>
  <si>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</si>
  <si>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</si>
  <si>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</si>
  <si>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</si>
  <si>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</si>
  <si>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</si>
  <si>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</si>
  <si>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</si>
  <si>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</si>
  <si>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</si>
  <si>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</si>
  <si>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</si>
  <si>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</si>
  <si>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</si>
  <si>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</si>
  <si>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</si>
  <si>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</si>
  <si>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</si>
  <si>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</si>
  <si>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</si>
  <si>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</si>
  <si>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</si>
  <si>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</si>
  <si>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</si>
  <si>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</si>
  <si>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</si>
  <si>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</si>
  <si>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</si>
  <si>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</si>
  <si>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</si>
  <si>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</si>
  <si>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</si>
  <si>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</si>
  <si>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</si>
  <si>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</si>
  <si>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</si>
  <si>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</si>
  <si>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</si>
  <si>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</si>
  <si>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</si>
  <si>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</si>
  <si>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</si>
  <si>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</si>
  <si>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</si>
  <si>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</si>
  <si>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</si>
  <si>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</si>
  <si>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</si>
  <si>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</si>
  <si>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</si>
  <si>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</si>
  <si>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</si>
  <si>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</si>
  <si>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</si>
  <si>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</si>
  <si>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</si>
  <si>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</si>
  <si>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</si>
  <si>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</si>
  <si>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</si>
  <si>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</si>
  <si>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</si>
  <si>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</si>
  <si>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</si>
  <si>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</si>
  <si>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</si>
  <si>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</si>
  <si>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</si>
  <si>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</si>
  <si>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</si>
  <si>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</si>
  <si>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</si>
  <si>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</si>
  <si>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</si>
  <si>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</si>
  <si>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</si>
  <si>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</si>
  <si>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</si>
  <si>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</si>
  <si>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</si>
  <si>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</si>
  <si>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</si>
  <si>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</si>
  <si>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</si>
  <si>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</si>
  <si>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</si>
  <si>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</si>
  <si>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</si>
  <si>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</si>
  <si>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</si>
  <si>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</si>
  <si>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</si>
  <si>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</si>
  <si>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</si>
  <si>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</si>
  <si>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R_2-L-BD-ST_NBFR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</si>
  <si>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</si>
  <si>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</si>
  <si>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</si>
  <si>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</si>
  <si>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</si>
  <si>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R_2-BD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</si>
  <si>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</si>
  <si>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</si>
  <si>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</si>
  <si>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</si>
  <si>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</si>
  <si>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</si>
  <si>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</si>
  <si>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</si>
  <si>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</si>
  <si>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</si>
  <si>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</si>
  <si>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</si>
  <si>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</si>
  <si>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</si>
  <si>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</si>
  <si>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</si>
  <si>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</si>
  <si>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</si>
  <si>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</si>
  <si>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</si>
  <si>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</si>
  <si>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</si>
  <si>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</si>
  <si>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</si>
  <si>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</si>
  <si>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</si>
  <si>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</si>
  <si>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</si>
  <si>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</si>
  <si>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</si>
  <si>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R_2-L-Bd-St</t>
  </si>
  <si>
    <t>residential</t>
  </si>
  <si>
    <t>large</t>
  </si>
  <si>
    <t>yes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</si>
  <si>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</si>
  <si>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</si>
  <si>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</si>
  <si>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</si>
  <si>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</si>
  <si>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</si>
  <si>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</si>
  <si>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</si>
  <si>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</si>
  <si>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</si>
  <si>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</si>
  <si>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</si>
  <si>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</si>
  <si>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</si>
  <si>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</si>
  <si>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</si>
  <si>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</si>
  <si>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</si>
  <si>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</si>
  <si>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</si>
  <si>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</si>
  <si>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</si>
  <si>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</si>
  <si>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</si>
  <si>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</si>
  <si>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</si>
  <si>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8-10 corners, T,U,Z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</si>
  <si>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</si>
  <si>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</si>
  <si>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</si>
  <si>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</si>
  <si>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</si>
  <si>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</si>
  <si>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</si>
  <si>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</si>
  <si>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</si>
  <si>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</si>
  <si>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</si>
  <si>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</si>
  <si>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</si>
  <si>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</si>
  <si>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</si>
  <si>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</si>
  <si>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</si>
  <si>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</si>
  <si>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</si>
  <si>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</si>
  <si>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</si>
  <si>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(3), sliding patio door (2)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</si>
  <si>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</si>
  <si>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</si>
  <si>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</si>
  <si>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</si>
  <si>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</si>
  <si>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</si>
  <si>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</si>
  <si>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</si>
  <si>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</si>
  <si>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>forced air (2)</t>
  </si>
  <si>
    <t xml:space="preserve">cooling system </t>
  </si>
  <si>
    <t>central air (2)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</si>
  <si>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</si>
  <si>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</si>
  <si>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</si>
  <si>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</si>
  <si>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</si>
  <si>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</si>
  <si>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</si>
  <si>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</si>
  <si>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</si>
  <si>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</si>
  <si>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</si>
  <si>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</si>
  <si>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</si>
  <si>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</si>
  <si>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</si>
  <si>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space saving microwave, built-in range, cooktop, Free Standing Refrigerator</t>
  </si>
  <si>
    <t>Plastic Laminate</t>
  </si>
  <si>
    <t>peninsula bar</t>
  </si>
  <si>
    <t>Bath</t>
  </si>
  <si>
    <t>medium</t>
  </si>
  <si>
    <t>ceramic tile Tub/Shower Surround</t>
  </si>
  <si>
    <t>Bath2</t>
  </si>
  <si>
    <t>Half Bath</t>
  </si>
  <si>
    <t>Bath3</t>
  </si>
  <si>
    <t>1.5 Bath</t>
  </si>
  <si>
    <t>small</t>
  </si>
  <si>
    <t>Bath4</t>
  </si>
  <si>
    <t>Bedroom2</t>
  </si>
  <si>
    <t>Bedroom3</t>
  </si>
  <si>
    <t>Bedroom4</t>
  </si>
  <si>
    <t>x-large</t>
  </si>
  <si>
    <t>Bedroom5</t>
  </si>
  <si>
    <t>Bedroom6</t>
  </si>
  <si>
    <t>Bedroom7</t>
  </si>
  <si>
    <t>FamilyRoom</t>
  </si>
  <si>
    <t>LivingRoom</t>
  </si>
  <si>
    <t>LivingRoom2</t>
  </si>
  <si>
    <t>LivingRoom3</t>
  </si>
  <si>
    <t>DiningRoom</t>
  </si>
  <si>
    <t>Dining Room</t>
  </si>
  <si>
    <t>EntryFoyer</t>
  </si>
  <si>
    <t>Entry Foyer</t>
  </si>
  <si>
    <t>LaundryRoom</t>
  </si>
  <si>
    <t>Laundry Room</t>
  </si>
  <si>
    <t>Hallway2</t>
  </si>
  <si>
    <t>Hallway3</t>
  </si>
  <si>
    <t>UtilityRoom</t>
  </si>
  <si>
    <t>Large</t>
  </si>
  <si>
    <t>UtilityRoom2</t>
  </si>
  <si>
    <t>WalkInCloset</t>
  </si>
  <si>
    <t>Walk In Closet</t>
  </si>
  <si>
    <t>WalkInCloset2</t>
  </si>
  <si>
    <t>WalkInCloset3</t>
  </si>
  <si>
    <t>Pantry</t>
  </si>
  <si>
    <t>Fredericton,  New Brunswick</t>
  </si>
  <si>
    <t>R_2-L-BD-ST_info</t>
  </si>
  <si>
    <t>R_2-L-BD-ST_NBFR.xlsx</t>
  </si>
  <si>
    <t>R_2-L-BD-ST_NBFR_rep.xlsx</t>
  </si>
  <si>
    <t>david.sol at 2023-09-18 09:52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</si>
  <si>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</si>
  <si>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</si>
  <si>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</si>
  <si>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</si>
  <si>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</si>
  <si>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</si>
  <si>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</si>
  <si>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</si>
  <si>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</si>
  <si>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</si>
  <si>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</si>
  <si>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</si>
  <si>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</si>
  <si>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</si>
  <si>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</si>
  <si>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</si>
  <si>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</si>
  <si>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</si>
  <si>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</si>
  <si>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</si>
  <si>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</si>
  <si>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</si>
  <si>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</si>
  <si>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</si>
  <si>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</si>
  <si>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</si>
  <si>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</si>
  <si>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</si>
  <si>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</si>
  <si>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</si>
  <si>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</si>
  <si>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</si>
  <si>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</si>
  <si>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</si>
  <si>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</si>
  <si>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</si>
  <si>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</si>
  <si>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</si>
  <si>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Rough-in plumbing - per fixture</t>
  </si>
  <si>
    <t>RGHFIX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</si>
  <si>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</si>
  <si>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</si>
  <si>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</si>
  <si>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</si>
  <si>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</si>
  <si>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</si>
  <si>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</si>
  <si>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</si>
  <si>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</si>
  <si>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</si>
  <si>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</si>
  <si>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</si>
  <si>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</si>
  <si>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</si>
  <si>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</si>
  <si>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</si>
  <si>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</si>
  <si>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</si>
  <si>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</si>
  <si>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</si>
  <si>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</si>
  <si>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</si>
  <si>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</si>
  <si>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- 6" - R19 - paper / foil faced</t>
  </si>
  <si>
    <t>INS</t>
  </si>
  <si>
    <t>BTF6</t>
  </si>
  <si>
    <t>Batt insulation - 10" - R30 - paper / foil faced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</si>
  <si>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</si>
  <si>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</si>
  <si>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</si>
  <si>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</si>
  <si>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</si>
  <si>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</si>
  <si>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</si>
  <si>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</si>
  <si>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</si>
  <si>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</si>
  <si>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</si>
  <si>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</si>
  <si>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</si>
  <si>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</si>
  <si>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</si>
  <si>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</si>
  <si>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</si>
  <si>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</si>
  <si>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</si>
  <si>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</si>
  <si>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</si>
  <si>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</si>
  <si>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</si>
  <si>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</si>
  <si>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</si>
  <si>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</si>
  <si>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</si>
  <si>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</si>
  <si>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</si>
  <si>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</si>
  <si>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</si>
  <si>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Outlet</t>
  </si>
  <si>
    <t>OS</t>
  </si>
  <si>
    <t>Light fixture</t>
  </si>
  <si>
    <t>1/2" drywall - hung, taped, heavy texture, ready for paint</t>
  </si>
  <si>
    <t>1/2+</t>
  </si>
  <si>
    <t>Stain &amp; finish baseboard</t>
  </si>
  <si>
    <t>BS</t>
  </si>
  <si>
    <t>Baseboard - 3 1/4" stain grade</t>
  </si>
  <si>
    <t>B3+</t>
  </si>
  <si>
    <t>Seal the surface area w/latex based stain blocker - one coat</t>
  </si>
  <si>
    <t>S</t>
  </si>
  <si>
    <t>Paint the surface area - one coat</t>
  </si>
  <si>
    <t>P</t>
  </si>
  <si>
    <t>Vinyl plank flooring - High grade</t>
  </si>
  <si>
    <t>FCV</t>
  </si>
  <si>
    <t>PLK+</t>
  </si>
  <si>
    <t>Vinyl floor covering (sheet goods) - High grade</t>
  </si>
  <si>
    <t>AV+</t>
  </si>
  <si>
    <t>Snaplock Laminate - simulated wood flooring</t>
  </si>
  <si>
    <t>FCW</t>
  </si>
  <si>
    <t>LAM</t>
  </si>
  <si>
    <t>Sand &amp; finish wood floor (natural finish)</t>
  </si>
  <si>
    <t>FIN</t>
  </si>
  <si>
    <t>Oak flooring - select grade - no finish</t>
  </si>
  <si>
    <t>Pad - rebond, 3/8", 7 lb.</t>
  </si>
  <si>
    <t>PRE3/8</t>
  </si>
  <si>
    <t>Carpet - High grade</t>
  </si>
  <si>
    <t>Light fixture - Standard grade</t>
  </si>
  <si>
    <t>AV-</t>
  </si>
  <si>
    <t>Mortar bed for tile</t>
  </si>
  <si>
    <t>TIL</t>
  </si>
  <si>
    <t>BMUD</t>
  </si>
  <si>
    <t>Tile tub surround - up to 60 SF</t>
  </si>
  <si>
    <t>TUB</t>
  </si>
  <si>
    <t>Towel bar</t>
  </si>
  <si>
    <t>TBAR</t>
  </si>
  <si>
    <t>Towel ring</t>
  </si>
  <si>
    <t>TR</t>
  </si>
  <si>
    <t>Toilet paper holder</t>
  </si>
  <si>
    <t>TP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</si>
  <si>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</si>
  <si>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</si>
  <si>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</si>
  <si>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</si>
  <si>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</si>
  <si>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</si>
  <si>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</si>
  <si>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</si>
  <si>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</si>
  <si>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</si>
  <si>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</si>
  <si>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</si>
  <si>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</si>
  <si>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</si>
  <si>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</si>
  <si>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</si>
  <si>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</si>
  <si>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</si>
  <si>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</si>
  <si>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Ground fault interrupter (GFI) outlet</t>
  </si>
  <si>
    <t>GFI</t>
  </si>
  <si>
    <t>Vanity</t>
  </si>
  <si>
    <t>CAB</t>
  </si>
  <si>
    <t>VAN</t>
  </si>
  <si>
    <t>4" backsplash for flat laid countertop</t>
  </si>
  <si>
    <t>CTFSPL4</t>
  </si>
  <si>
    <t>Countertop - flat laid plastic laminate</t>
  </si>
  <si>
    <t>CTFL</t>
  </si>
  <si>
    <t>Sink faucet - Bathroom</t>
  </si>
  <si>
    <t>FAUBA</t>
  </si>
  <si>
    <t>Sink - single</t>
  </si>
  <si>
    <t>SNK</t>
  </si>
  <si>
    <t>Tile shower - 61 to 100 SF</t>
  </si>
  <si>
    <t>SWR</t>
  </si>
  <si>
    <t>Shower door</t>
  </si>
  <si>
    <t>SDOR</t>
  </si>
  <si>
    <t>Shower pan</t>
  </si>
  <si>
    <t>SWRPAN</t>
  </si>
  <si>
    <t>Light bar - 3 lights - High grade</t>
  </si>
  <si>
    <t>BAR3+</t>
  </si>
  <si>
    <t>Trim board - 1" x 4" - installed (pine)</t>
  </si>
  <si>
    <t>1X4</t>
  </si>
  <si>
    <t>Shelving - 24" - in place</t>
  </si>
  <si>
    <t>SH24</t>
  </si>
  <si>
    <t>Light fixture - High grade</t>
  </si>
  <si>
    <t>Door knob - interior - High grade</t>
  </si>
  <si>
    <t>DORH+</t>
  </si>
  <si>
    <t>Interior door unit - High grade</t>
  </si>
  <si>
    <t>Paint bifold door set - slab only - 2 coats (per side)</t>
  </si>
  <si>
    <t>BF</t>
  </si>
  <si>
    <t>Bifold door set - Colonist - Double</t>
  </si>
  <si>
    <t>Deck</t>
  </si>
  <si>
    <t>Exterior light fixture - Standard grade</t>
  </si>
  <si>
    <t>X-</t>
  </si>
  <si>
    <t>Light bar - 4 lights</t>
  </si>
  <si>
    <t>BAR4</t>
  </si>
  <si>
    <t>Washing machine outlet box with valves</t>
  </si>
  <si>
    <t>WBOX</t>
  </si>
  <si>
    <t>220 volt outlet</t>
  </si>
  <si>
    <t>OL220</t>
  </si>
  <si>
    <t>Cabinetry - upper (wall) units</t>
  </si>
  <si>
    <t>UP</t>
  </si>
  <si>
    <t>Sink faucet - Kitchen</t>
  </si>
  <si>
    <t>FAU</t>
  </si>
  <si>
    <t>Sink - double basin</t>
  </si>
  <si>
    <t>SNKD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</si>
  <si>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</si>
  <si>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</si>
  <si>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</si>
  <si>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</si>
  <si>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</si>
  <si>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</si>
  <si>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</si>
  <si>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</si>
  <si>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</si>
  <si>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</t>
  </si>
  <si>
    <t>FLOW</t>
  </si>
  <si>
    <t>Countertop - post formed plastic laminate - Premium grade</t>
  </si>
  <si>
    <t>CTPF++</t>
  </si>
  <si>
    <t>Microwave oven - over range w/built-in hood</t>
  </si>
  <si>
    <t>MWS</t>
  </si>
  <si>
    <t>Countertop - post formed plastic laminate</t>
  </si>
  <si>
    <t>CTPF</t>
  </si>
  <si>
    <t>110 volt copper wiring run, box and outlet</t>
  </si>
  <si>
    <t>110</t>
  </si>
  <si>
    <t>220 volt copper wiring run, box and receptacle</t>
  </si>
  <si>
    <t>220</t>
  </si>
  <si>
    <t>Cooktop - electric - High grade</t>
  </si>
  <si>
    <t>CT+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</si>
  <si>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</si>
  <si>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</si>
  <si>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</si>
  <si>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</si>
  <si>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</si>
  <si>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</si>
  <si>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Patio</t>
  </si>
  <si>
    <t>Storm door assembly</t>
  </si>
  <si>
    <t>STRMD</t>
  </si>
  <si>
    <t>Cat.Sel</t>
  </si>
  <si>
    <t>group_1</t>
  </si>
  <si>
    <t>PNT.SILL</t>
  </si>
  <si>
    <t>general</t>
  </si>
  <si>
    <t>FNC.SILL+</t>
  </si>
  <si>
    <t>ELE.SMOKE</t>
  </si>
  <si>
    <t>LIT.FL2-4+</t>
  </si>
  <si>
    <t>HVC.DVENT</t>
  </si>
  <si>
    <t>PNT.BALS</t>
  </si>
  <si>
    <t>FNC.BAL</t>
  </si>
  <si>
    <t>PNT.HRS</t>
  </si>
  <si>
    <t>FNC.HR+</t>
  </si>
  <si>
    <t>PLM.RGHFIX</t>
  </si>
  <si>
    <t>PLM.WH50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</si>
  <si>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</si>
  <si>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</si>
  <si>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</si>
  <si>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</si>
  <si>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</si>
  <si>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</si>
  <si>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</si>
  <si>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</si>
  <si>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</si>
  <si>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FCC.STP+</t>
  </si>
  <si>
    <t>INS.BTF6_b2</t>
  </si>
  <si>
    <t>INS.BTF10_b2</t>
  </si>
  <si>
    <t>HVC.FRFAH&gt;</t>
  </si>
  <si>
    <t>HVC.DCT_b2</t>
  </si>
  <si>
    <t>HVC.TS+</t>
  </si>
  <si>
    <t>HVC.DRNL</t>
  </si>
  <si>
    <t>HVC.AC&gt;_b</t>
  </si>
  <si>
    <t>LIT.X</t>
  </si>
  <si>
    <t>general_main</t>
  </si>
  <si>
    <t>FNH.DBX</t>
  </si>
  <si>
    <t>DOR.X</t>
  </si>
  <si>
    <t>WDP.6V</t>
  </si>
  <si>
    <t>ELE.OL</t>
  </si>
  <si>
    <t>ELE.BPNL200</t>
  </si>
  <si>
    <t>ELE.LV</t>
  </si>
  <si>
    <t>ELE.XOS</t>
  </si>
  <si>
    <t>ELE.REWIRE</t>
  </si>
  <si>
    <t>FNC.CLROD</t>
  </si>
  <si>
    <t>ELE.OS</t>
  </si>
  <si>
    <t>LIT.AV</t>
  </si>
  <si>
    <t>DRY.1/2+</t>
  </si>
  <si>
    <t>PNT.BS</t>
  </si>
  <si>
    <t>FNC.B3+</t>
  </si>
  <si>
    <t>PNT.S</t>
  </si>
  <si>
    <t>PNT.P</t>
  </si>
  <si>
    <t>FCV.PLK+</t>
  </si>
  <si>
    <t>FCV.AV+</t>
  </si>
  <si>
    <t>FCW.LAM</t>
  </si>
  <si>
    <t>FCW.FIN</t>
  </si>
  <si>
    <t>FCW.AV+</t>
  </si>
  <si>
    <t>FCC.PRE3/8</t>
  </si>
  <si>
    <t>FCC.AV+</t>
  </si>
  <si>
    <t>LIT.AV-</t>
  </si>
  <si>
    <t>TIL.BMUD</t>
  </si>
  <si>
    <t>TIL.TUB</t>
  </si>
  <si>
    <t>FNH.TBAR</t>
  </si>
  <si>
    <t>FNH.TR</t>
  </si>
  <si>
    <t>FNH.TP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</si>
  <si>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</si>
  <si>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</si>
  <si>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</si>
  <si>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</si>
  <si>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</si>
  <si>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</si>
  <si>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</si>
  <si>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</si>
  <si>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</si>
  <si>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</si>
  <si>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ELE.GFI</t>
  </si>
  <si>
    <t>CAB.VAN</t>
  </si>
  <si>
    <t>CAB.CTFSPL4</t>
  </si>
  <si>
    <t>CAB.CTFL</t>
  </si>
  <si>
    <t>PLM.FAUBA</t>
  </si>
  <si>
    <t>PLM.SNK</t>
  </si>
  <si>
    <t>TIL.SWR</t>
  </si>
  <si>
    <t>MSD.SDOR</t>
  </si>
  <si>
    <t>PLM.SWRPAN</t>
  </si>
  <si>
    <t>LIT.BAR3+</t>
  </si>
  <si>
    <t>FNC.1X4</t>
  </si>
  <si>
    <t>FNC.SH24</t>
  </si>
  <si>
    <t>LIT.AV+</t>
  </si>
  <si>
    <t>FNH.DORH+</t>
  </si>
  <si>
    <t>DOR.AV+</t>
  </si>
  <si>
    <t>PNT.BF</t>
  </si>
  <si>
    <t>DOR.BF</t>
  </si>
  <si>
    <t>LIT.X-</t>
  </si>
  <si>
    <t>LIT.BAR4</t>
  </si>
  <si>
    <t>PLM.WBOX</t>
  </si>
  <si>
    <t>ELE.OL220</t>
  </si>
  <si>
    <t>CAB.UP</t>
  </si>
  <si>
    <t>PLM.FAU</t>
  </si>
  <si>
    <t>PLM.SNKD</t>
  </si>
  <si>
    <t>CAB.LOW</t>
  </si>
  <si>
    <t>APP.WL</t>
  </si>
  <si>
    <t>CAB.KNPL</t>
  </si>
  <si>
    <t>CAB.CUW36</t>
  </si>
  <si>
    <t>CAB.FLOW</t>
  </si>
  <si>
    <t>CAB.CTPF++</t>
  </si>
  <si>
    <t>APP.MWS</t>
  </si>
  <si>
    <t>CAB.CTPF</t>
  </si>
  <si>
    <t>ELE.110</t>
  </si>
  <si>
    <t>ELE.220</t>
  </si>
  <si>
    <t>APP.CT+</t>
  </si>
  <si>
    <t>APP.DW+</t>
  </si>
  <si>
    <t>APP.RGDI</t>
  </si>
  <si>
    <t>APP.RF22</t>
  </si>
  <si>
    <t>DOR.STRMD</t>
  </si>
  <si>
    <t>david.sol at 2023-09-18 09:53</t>
  </si>
  <si>
    <t>NBFR8X_SEP23</t>
  </si>
  <si>
    <t>9' 11" x 9' 11" x 8'</t>
  </si>
  <si>
    <t>11' 11" x 9' 11" x 8'</t>
  </si>
  <si>
    <t>9' 11" x 7' 11" x 8'</t>
  </si>
  <si>
    <t>7' 11" x 4' 11" x 8'</t>
  </si>
  <si>
    <t>19' 10" x 13' 11" x 8'</t>
  </si>
  <si>
    <t>14' 10" x 5' 11" x 8'</t>
  </si>
  <si>
    <t>14' 2" x 14' 2" x 8'</t>
  </si>
  <si>
    <t>6' 11" x 4' 11" x 8'</t>
  </si>
  <si>
    <t>13' 11" x 11' 11" x 8'</t>
  </si>
  <si>
    <t>14' 10" x 10' 11" x 8'</t>
  </si>
  <si>
    <t>14' 10" x 4' x 8'</t>
  </si>
  <si>
    <t>15' 10" x 13' 11" x 8'</t>
  </si>
  <si>
    <t>15' 10" x 15' 10" x 8'</t>
  </si>
  <si>
    <t>13' 11" x 9' 11" x 8'</t>
  </si>
  <si>
    <t>source: NBFR8X_SEP23</t>
  </si>
  <si>
    <t>Entry Foyer-medium</t>
  </si>
  <si>
    <t>Walk In Closet-large</t>
  </si>
  <si>
    <t>Walk In Closet-medium</t>
  </si>
  <si>
    <t>Full Bath-medium</t>
  </si>
  <si>
    <t>1.5 Bath-large</t>
  </si>
  <si>
    <t>Pantry-medium</t>
  </si>
  <si>
    <t>Living Area-large</t>
  </si>
  <si>
    <t>Bedroom-medium</t>
  </si>
  <si>
    <t>Nook-medium</t>
  </si>
  <si>
    <t>Hallway-large</t>
  </si>
  <si>
    <t>Dining Room-large</t>
  </si>
  <si>
    <t>Half Bath-medium</t>
  </si>
  <si>
    <t>Laundry Room-medium</t>
  </si>
  <si>
    <t>Utility Room-Large</t>
  </si>
  <si>
    <t>Utility Room-small</t>
  </si>
  <si>
    <t>Bedroom-large</t>
  </si>
  <si>
    <t>Kitchen-large</t>
  </si>
  <si>
    <t>Hallway-medium</t>
  </si>
  <si>
    <t>Bedroom-x-large</t>
  </si>
  <si>
    <t>Living Area-small</t>
  </si>
  <si>
    <t>group_2</t>
  </si>
  <si>
    <t>group_3</t>
  </si>
  <si>
    <t>raw_est</t>
  </si>
  <si>
    <t>level</t>
  </si>
  <si>
    <t>Depth-Replacement</t>
  </si>
  <si>
    <t>Depth-Cost</t>
  </si>
  <si>
    <t>david.sol at 2023-09-18 09:54</t>
  </si>
  <si>
    <t>Copy of group_2 pivot</t>
  </si>
  <si>
    <t>Copy of group_3 pivot</t>
  </si>
  <si>
    <t>R_2-L-BD-ST_NBFR_struct</t>
  </si>
  <si>
    <t>DDFwork_R_2-L-BD-ST_NBFR.xlsm</t>
  </si>
  <si>
    <t>david.sol</t>
  </si>
  <si>
    <t>impact</t>
  </si>
  <si>
    <t>david.sol at 2023-09-18 09:55</t>
  </si>
  <si>
    <t>R_2-L-BD-ST_NBFR_m2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</si>
</sst>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3" fillId="0" borderId="0" xfId="5" applyNumberForma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5" fillId="0" borderId="0" xfId="5" applyNumberFormat="1" applyFont="1" applyAlignment="1">
      <alignment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12856134259" createdVersion="3" refreshedVersion="8" minRefreshableVersion="3" recordCount="783" xr:uid="{C7F78A06-1597-4052-8DCF-BBA36D95687C}">
  <cacheSource type="worksheet">
    <worksheetSource ref="AH2:AZ785" sheet="LineItems"/>
  </cacheSource>
  <cacheFields count="19">
    <cacheField name="level" numFmtId="0">
      <sharedItems/>
    </cacheField>
    <cacheField name="type" numFmtId="0">
      <sharedItems count="17">
        <s v="general-split"/>
        <s v="general-mechanical"/>
        <s v="general-main"/>
        <s v="Entry Foyer"/>
        <s v="Walk In Closet"/>
        <s v="Full Bath"/>
        <s v="1.5 Bath"/>
        <s v="Pantry"/>
        <s v="Living Area"/>
        <s v="Bedroom"/>
        <s v="Nook"/>
        <s v="Hallway"/>
        <s v="Dining Room"/>
        <s v="Half Bath"/>
        <s v="Laundry Room"/>
        <s v="Utility Room"/>
        <s v="Kitchen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793.7349999999999"/>
    </cacheField>
    <cacheField name="0.05" numFmtId="0">
      <sharedItems containsSemiMixedTypes="0" containsString="0" containsNumber="1" minValue="0" maxValue="6009.36"/>
    </cacheField>
    <cacheField name="0.1" numFmtId="0">
      <sharedItems containsSemiMixedTypes="0" containsString="0" containsNumber="1" minValue="0" maxValue="6009.36"/>
    </cacheField>
    <cacheField name="0.15" numFmtId="0">
      <sharedItems containsSemiMixedTypes="0" containsString="0" containsNumber="1" minValue="0" maxValue="9944.7800000000007"/>
    </cacheField>
    <cacheField name="0.3" numFmtId="0">
      <sharedItems containsSemiMixedTypes="0" containsString="0" containsNumber="1" minValue="0" maxValue="9944.7800000000007"/>
    </cacheField>
    <cacheField name="0.46" numFmtId="0">
      <sharedItems containsSemiMixedTypes="0" containsString="0" containsNumber="1" minValue="0" maxValue="11599.199999999999"/>
    </cacheField>
    <cacheField name="0.61" numFmtId="0">
      <sharedItems containsSemiMixedTypes="0" containsString="0" containsNumber="1" minValue="0" maxValue="11599.199999999999"/>
    </cacheField>
    <cacheField name="0.76" numFmtId="0">
      <sharedItems containsSemiMixedTypes="0" containsString="0" containsNumber="1" minValue="0" maxValue="11599.199999999999"/>
    </cacheField>
    <cacheField name="0.91" numFmtId="0">
      <sharedItems containsSemiMixedTypes="0" containsString="0" containsNumber="1" minValue="0" maxValue="11599.199999999999"/>
    </cacheField>
    <cacheField name="1.02" numFmtId="0">
      <sharedItems containsSemiMixedTypes="0" containsString="0" containsNumber="1" minValue="0" maxValue="11599.199999999999"/>
    </cacheField>
    <cacheField name="1.22" numFmtId="0">
      <sharedItems containsSemiMixedTypes="0" containsString="0" containsNumber="1" minValue="0" maxValue="11599.199999999999"/>
    </cacheField>
    <cacheField name="1.52" numFmtId="0">
      <sharedItems containsSemiMixedTypes="0" containsString="0" containsNumber="1" minValue="0" maxValue="11599.199999999999"/>
    </cacheField>
    <cacheField name="1.83" numFmtId="0">
      <sharedItems containsSemiMixedTypes="0" containsString="0" containsNumber="1" minValue="9.11" maxValue="11599.199999999999"/>
    </cacheField>
    <cacheField name="2.7" numFmtId="0">
      <sharedItems containsSemiMixedTypes="0" containsString="0" containsNumber="1" minValue="9.11" maxValue="11599.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12857291667" createdVersion="3" refreshedVersion="8" minRefreshableVersion="3" recordCount="783" xr:uid="{FE1285B5-F565-4B9F-A7A0-D5A98F137C5D}">
  <cacheSource type="worksheet">
    <worksheetSource ref="AH2:AZ785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793.7349999999999"/>
    </cacheField>
    <cacheField name="0.05" numFmtId="0">
      <sharedItems containsSemiMixedTypes="0" containsString="0" containsNumber="1" minValue="0" maxValue="6009.36"/>
    </cacheField>
    <cacheField name="0.1" numFmtId="0">
      <sharedItems containsSemiMixedTypes="0" containsString="0" containsNumber="1" minValue="0" maxValue="6009.36"/>
    </cacheField>
    <cacheField name="0.15" numFmtId="0">
      <sharedItems containsSemiMixedTypes="0" containsString="0" containsNumber="1" minValue="0" maxValue="9944.7800000000007"/>
    </cacheField>
    <cacheField name="0.3" numFmtId="0">
      <sharedItems containsSemiMixedTypes="0" containsString="0" containsNumber="1" minValue="0" maxValue="9944.7800000000007"/>
    </cacheField>
    <cacheField name="0.46" numFmtId="0">
      <sharedItems containsSemiMixedTypes="0" containsString="0" containsNumber="1" minValue="0" maxValue="11599.199999999999"/>
    </cacheField>
    <cacheField name="0.61" numFmtId="0">
      <sharedItems containsSemiMixedTypes="0" containsString="0" containsNumber="1" minValue="0" maxValue="11599.199999999999"/>
    </cacheField>
    <cacheField name="0.76" numFmtId="0">
      <sharedItems containsSemiMixedTypes="0" containsString="0" containsNumber="1" minValue="0" maxValue="11599.199999999999"/>
    </cacheField>
    <cacheField name="0.91" numFmtId="0">
      <sharedItems containsSemiMixedTypes="0" containsString="0" containsNumber="1" minValue="0" maxValue="11599.199999999999"/>
    </cacheField>
    <cacheField name="1.02" numFmtId="0">
      <sharedItems containsSemiMixedTypes="0" containsString="0" containsNumber="1" minValue="0" maxValue="11599.199999999999"/>
    </cacheField>
    <cacheField name="1.22" numFmtId="0">
      <sharedItems containsSemiMixedTypes="0" containsString="0" containsNumber="1" minValue="0" maxValue="11599.199999999999"/>
    </cacheField>
    <cacheField name="1.52" numFmtId="0">
      <sharedItems containsSemiMixedTypes="0" containsString="0" containsNumber="1" minValue="0" maxValue="11599.199999999999"/>
    </cacheField>
    <cacheField name="1.83" numFmtId="0">
      <sharedItems containsSemiMixedTypes="0" containsString="0" containsNumber="1" minValue="9.11" maxValue="11599.199999999999"/>
    </cacheField>
    <cacheField name="2.7" numFmtId="0">
      <sharedItems containsSemiMixedTypes="0" containsString="0" containsNumber="1" minValue="9.11" maxValue="11599.1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3">
  <r>
    <s v="split"/>
    <x v="0"/>
    <n v="0"/>
    <n v="0"/>
    <n v="0"/>
    <n v="0"/>
    <n v="0"/>
    <n v="0"/>
    <n v="0"/>
    <n v="0"/>
    <n v="0"/>
    <n v="0"/>
    <n v="0"/>
    <n v="465"/>
    <n v="465"/>
    <n v="465"/>
    <n v="465"/>
    <n v="465"/>
    <n v="465"/>
  </r>
  <r>
    <s v="split"/>
    <x v="0"/>
    <n v="0"/>
    <n v="0"/>
    <n v="0"/>
    <n v="0"/>
    <n v="0"/>
    <n v="0"/>
    <n v="0"/>
    <n v="0"/>
    <n v="0"/>
    <n v="0"/>
    <n v="0"/>
    <n v="760.75"/>
    <n v="760.75"/>
    <n v="760.75"/>
    <n v="760.75"/>
    <n v="760.75"/>
    <n v="760.75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259.11"/>
    <n v="259.11"/>
    <n v="518.22"/>
    <n v="518.22"/>
    <n v="1036.44"/>
    <n v="1036.44"/>
    <n v="1036.44"/>
    <n v="1036.44"/>
    <n v="1036.44"/>
  </r>
  <r>
    <s v="split"/>
    <x v="0"/>
    <n v="0"/>
    <n v="0"/>
    <n v="0"/>
    <n v="0"/>
    <n v="0"/>
    <n v="0"/>
    <n v="0"/>
    <n v="0"/>
    <n v="1374.3"/>
    <n v="1374.3"/>
    <n v="2748.6"/>
    <n v="2748.6"/>
    <n v="5497.2"/>
    <n v="5497.2"/>
    <n v="5497.2"/>
    <n v="5497.2"/>
    <n v="5497.2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split"/>
    <x v="0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s v="split"/>
    <x v="0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s v="split"/>
    <x v="0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s v="split"/>
    <x v="0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s v="split"/>
    <x v="0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s v="split"/>
    <x v="0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s v="split"/>
    <x v="0"/>
    <n v="0"/>
    <n v="0"/>
    <n v="0"/>
    <n v="1793.7349999999999"/>
    <n v="1793.7349999999999"/>
    <n v="1793.7349999999999"/>
    <n v="1793.7349999999999"/>
    <n v="1793.7349999999999"/>
    <n v="3587.47"/>
    <n v="3587.47"/>
    <n v="3587.47"/>
    <n v="3587.47"/>
    <n v="7174.94"/>
    <n v="7174.94"/>
    <n v="7174.94"/>
    <n v="7174.94"/>
    <n v="7174.94"/>
  </r>
  <r>
    <s v="split"/>
    <x v="0"/>
    <n v="0"/>
    <n v="0"/>
    <n v="0"/>
    <n v="1170"/>
    <n v="1170"/>
    <n v="1170"/>
    <n v="1170"/>
    <n v="1170"/>
    <n v="2340"/>
    <n v="2340"/>
    <n v="2340"/>
    <n v="2340"/>
    <n v="4680"/>
    <n v="4680"/>
    <n v="4680"/>
    <n v="4680"/>
    <n v="4680"/>
  </r>
  <r>
    <s v="mechanical"/>
    <x v="1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6056.02"/>
    <n v="6056.02"/>
  </r>
  <r>
    <s v="split"/>
    <x v="0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s v="mechanical"/>
    <x v="1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10377.94"/>
    <n v="10377.94"/>
  </r>
  <r>
    <s v="main"/>
    <x v="2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s v="main"/>
    <x v="2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s v="main"/>
    <x v="2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s v="main"/>
    <x v="2"/>
    <n v="0"/>
    <n v="0"/>
    <n v="0"/>
    <n v="0"/>
    <n v="0"/>
    <n v="2742.4"/>
    <n v="2742.4"/>
    <n v="2742.4"/>
    <n v="2742.4"/>
    <n v="2742.4"/>
    <n v="2742.4"/>
    <n v="2742.4"/>
    <n v="2742.4"/>
    <n v="2742.4"/>
    <n v="2742.4"/>
    <n v="2742.4"/>
    <n v="2742.4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11599.199999999999"/>
    <n v="11599.199999999999"/>
    <n v="11599.199999999999"/>
    <n v="11599.199999999999"/>
    <n v="11599.199999999999"/>
    <n v="11599.199999999999"/>
    <n v="11599.199999999999"/>
    <n v="11599.199999999999"/>
    <n v="11599.199999999999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split"/>
    <x v="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split"/>
    <x v="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s v="main"/>
    <x v="3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s v="main"/>
    <x v="3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main"/>
    <x v="3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s v="main"/>
    <x v="3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s v="main"/>
    <x v="3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s v="main"/>
    <x v="3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s v="main"/>
    <x v="3"/>
    <n v="0"/>
    <n v="0"/>
    <n v="0"/>
    <n v="168.75"/>
    <n v="168.75"/>
    <n v="168.75"/>
    <n v="168.75"/>
    <n v="168.75"/>
    <n v="168.75"/>
    <n v="168.75"/>
    <n v="168.75"/>
    <n v="168.75"/>
    <n v="168.75"/>
    <n v="168.75"/>
    <n v="168.75"/>
    <n v="168.75"/>
    <n v="168.75"/>
  </r>
  <r>
    <s v="main"/>
    <x v="3"/>
    <n v="0"/>
    <n v="0"/>
    <n v="0"/>
    <n v="200.05"/>
    <n v="200.05"/>
    <n v="200.05"/>
    <n v="200.05"/>
    <n v="200.05"/>
    <n v="200.05"/>
    <n v="200.05"/>
    <n v="200.05"/>
    <n v="200.05"/>
    <n v="200.05"/>
    <n v="200.05"/>
    <n v="200.05"/>
    <n v="200.05"/>
    <n v="200.05"/>
  </r>
  <r>
    <s v="main"/>
    <x v="3"/>
    <n v="0"/>
    <n v="0"/>
    <n v="0"/>
    <n v="139.35"/>
    <n v="139.35"/>
    <n v="139.35"/>
    <n v="139.35"/>
    <n v="139.35"/>
    <n v="139.35"/>
    <n v="139.35"/>
    <n v="139.35"/>
    <n v="139.35"/>
    <n v="139.35"/>
    <n v="139.35"/>
    <n v="139.35"/>
    <n v="139.35"/>
    <n v="139.35"/>
  </r>
  <r>
    <s v="main"/>
    <x v="3"/>
    <n v="0"/>
    <n v="0"/>
    <n v="0"/>
    <n v="91.39"/>
    <n v="91.39"/>
    <n v="91.39"/>
    <n v="91.39"/>
    <n v="91.39"/>
    <n v="91.39"/>
    <n v="91.39"/>
    <n v="91.39"/>
    <n v="91.39"/>
    <n v="91.39"/>
    <n v="91.39"/>
    <n v="91.39"/>
    <n v="91.39"/>
    <n v="91.39"/>
  </r>
  <r>
    <s v="main"/>
    <x v="3"/>
    <n v="0"/>
    <n v="0"/>
    <n v="0"/>
    <n v="251.41"/>
    <n v="251.41"/>
    <n v="251.41"/>
    <n v="251.41"/>
    <n v="251.41"/>
    <n v="251.41"/>
    <n v="251.41"/>
    <n v="251.41"/>
    <n v="251.41"/>
    <n v="251.41"/>
    <n v="251.41"/>
    <n v="251.41"/>
    <n v="251.41"/>
    <n v="251.41"/>
  </r>
  <r>
    <s v="main"/>
    <x v="3"/>
    <n v="0"/>
    <n v="0"/>
    <n v="0"/>
    <n v="26.32"/>
    <n v="26.32"/>
    <n v="26.32"/>
    <n v="26.32"/>
    <n v="26.32"/>
    <n v="26.32"/>
    <n v="26.32"/>
    <n v="26.32"/>
    <n v="26.32"/>
    <n v="26.32"/>
    <n v="26.32"/>
    <n v="26.32"/>
    <n v="26.32"/>
    <n v="26.32"/>
  </r>
  <r>
    <s v="main"/>
    <x v="3"/>
    <n v="0"/>
    <n v="0"/>
    <n v="0"/>
    <n v="207.93"/>
    <n v="207.93"/>
    <n v="207.93"/>
    <n v="207.93"/>
    <n v="207.93"/>
    <n v="207.93"/>
    <n v="207.93"/>
    <n v="207.93"/>
    <n v="207.93"/>
    <n v="207.93"/>
    <n v="207.93"/>
    <n v="207.93"/>
    <n v="207.93"/>
    <n v="207.93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upper"/>
    <x v="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4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upper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4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s v="upper"/>
    <x v="4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s v="upper"/>
    <x v="4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s v="upper"/>
    <x v="4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s v="upper"/>
    <x v="4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s v="upper"/>
    <x v="4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s v="upper"/>
    <x v="4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s v="upper"/>
    <x v="4"/>
    <n v="0"/>
    <n v="0"/>
    <n v="0"/>
    <n v="202.82"/>
    <n v="202.82"/>
    <n v="202.82"/>
    <n v="202.82"/>
    <n v="202.82"/>
    <n v="202.82"/>
    <n v="202.82"/>
    <n v="202.82"/>
    <n v="202.82"/>
    <n v="202.82"/>
    <n v="202.82"/>
    <n v="202.82"/>
    <n v="202.82"/>
    <n v="202.82"/>
  </r>
  <r>
    <s v="upper"/>
    <x v="4"/>
    <n v="0"/>
    <n v="0"/>
    <n v="0"/>
    <n v="240.38"/>
    <n v="240.38"/>
    <n v="240.38"/>
    <n v="240.38"/>
    <n v="240.38"/>
    <n v="240.38"/>
    <n v="240.38"/>
    <n v="240.38"/>
    <n v="240.38"/>
    <n v="240.38"/>
    <n v="240.38"/>
    <n v="240.38"/>
    <n v="240.38"/>
    <n v="240.38"/>
  </r>
  <r>
    <s v="upper"/>
    <x v="4"/>
    <n v="0"/>
    <n v="0"/>
    <n v="0"/>
    <n v="165.32"/>
    <n v="165.32"/>
    <n v="165.32"/>
    <n v="165.32"/>
    <n v="165.32"/>
    <n v="165.32"/>
    <n v="165.32"/>
    <n v="165.32"/>
    <n v="165.32"/>
    <n v="165.32"/>
    <n v="165.32"/>
    <n v="165.32"/>
    <n v="165.32"/>
    <n v="165.32"/>
  </r>
  <r>
    <s v="upper"/>
    <x v="4"/>
    <n v="0"/>
    <n v="0"/>
    <n v="0"/>
    <n v="108.38"/>
    <n v="108.38"/>
    <n v="108.38"/>
    <n v="108.38"/>
    <n v="108.38"/>
    <n v="108.38"/>
    <n v="108.38"/>
    <n v="108.38"/>
    <n v="108.38"/>
    <n v="108.38"/>
    <n v="108.38"/>
    <n v="108.38"/>
    <n v="108.38"/>
    <n v="108.38"/>
  </r>
  <r>
    <s v="upper"/>
    <x v="4"/>
    <n v="0"/>
    <n v="0"/>
    <n v="0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</r>
  <r>
    <s v="upper"/>
    <x v="4"/>
    <n v="0"/>
    <n v="0"/>
    <n v="0"/>
    <n v="31.64"/>
    <n v="31.64"/>
    <n v="31.64"/>
    <n v="31.64"/>
    <n v="31.64"/>
    <n v="31.64"/>
    <n v="31.64"/>
    <n v="31.64"/>
    <n v="31.64"/>
    <n v="31.64"/>
    <n v="31.64"/>
    <n v="31.64"/>
    <n v="31.64"/>
    <n v="31.64"/>
  </r>
  <r>
    <s v="upper"/>
    <x v="4"/>
    <n v="0"/>
    <n v="0"/>
    <n v="0"/>
    <n v="249.84"/>
    <n v="249.84"/>
    <n v="249.84"/>
    <n v="249.84"/>
    <n v="249.84"/>
    <n v="249.84"/>
    <n v="249.84"/>
    <n v="249.84"/>
    <n v="249.84"/>
    <n v="249.84"/>
    <n v="249.84"/>
    <n v="249.84"/>
    <n v="249.84"/>
    <n v="249.84"/>
  </r>
  <r>
    <s v="basement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4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basement"/>
    <x v="4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basement"/>
    <x v="4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s v="basement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4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basement"/>
    <x v="4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s v="basement"/>
    <x v="4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s v="basement"/>
    <x v="4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s v="basement"/>
    <x v="4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s v="basement"/>
    <x v="4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s v="basement"/>
    <x v="4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s v="basement"/>
    <x v="4"/>
    <n v="0"/>
    <n v="0"/>
    <n v="0"/>
    <n v="134.76"/>
    <n v="134.76"/>
    <n v="134.76"/>
    <n v="134.76"/>
    <n v="134.76"/>
    <n v="134.76"/>
    <n v="134.76"/>
    <n v="134.76"/>
    <n v="134.76"/>
    <n v="134.76"/>
    <n v="134.76"/>
    <n v="134.76"/>
    <n v="134.76"/>
    <n v="134.76"/>
  </r>
  <r>
    <s v="basement"/>
    <x v="4"/>
    <n v="0"/>
    <n v="0"/>
    <n v="0"/>
    <n v="159.72"/>
    <n v="159.72"/>
    <n v="159.72"/>
    <n v="159.72"/>
    <n v="159.72"/>
    <n v="159.72"/>
    <n v="159.72"/>
    <n v="159.72"/>
    <n v="159.72"/>
    <n v="159.72"/>
    <n v="159.72"/>
    <n v="159.72"/>
    <n v="159.72"/>
    <n v="159.72"/>
  </r>
  <r>
    <s v="basement"/>
    <x v="4"/>
    <n v="0"/>
    <n v="0"/>
    <n v="0"/>
    <n v="113.36"/>
    <n v="113.36"/>
    <n v="113.36"/>
    <n v="113.36"/>
    <n v="113.36"/>
    <n v="113.36"/>
    <n v="113.36"/>
    <n v="113.36"/>
    <n v="113.36"/>
    <n v="113.36"/>
    <n v="113.36"/>
    <n v="113.36"/>
    <n v="113.36"/>
    <n v="113.36"/>
  </r>
  <r>
    <s v="basement"/>
    <x v="4"/>
    <n v="0"/>
    <n v="0"/>
    <n v="0"/>
    <n v="74.31"/>
    <n v="74.31"/>
    <n v="74.31"/>
    <n v="74.31"/>
    <n v="74.31"/>
    <n v="74.31"/>
    <n v="74.31"/>
    <n v="74.31"/>
    <n v="74.31"/>
    <n v="74.31"/>
    <n v="74.31"/>
    <n v="74.31"/>
    <n v="74.31"/>
    <n v="74.31"/>
  </r>
  <r>
    <s v="basement"/>
    <x v="4"/>
    <n v="0"/>
    <n v="0"/>
    <n v="0"/>
    <n v="204.49"/>
    <n v="204.49"/>
    <n v="204.49"/>
    <n v="204.49"/>
    <n v="204.49"/>
    <n v="204.49"/>
    <n v="204.49"/>
    <n v="204.49"/>
    <n v="204.49"/>
    <n v="204.49"/>
    <n v="204.49"/>
    <n v="204.49"/>
    <n v="204.49"/>
    <n v="204.49"/>
  </r>
  <r>
    <s v="basement"/>
    <x v="4"/>
    <n v="0"/>
    <n v="0"/>
    <n v="0"/>
    <n v="21.02"/>
    <n v="21.02"/>
    <n v="21.02"/>
    <n v="21.02"/>
    <n v="21.02"/>
    <n v="21.02"/>
    <n v="21.02"/>
    <n v="21.02"/>
    <n v="21.02"/>
    <n v="21.02"/>
    <n v="21.02"/>
    <n v="21.02"/>
    <n v="21.02"/>
    <n v="21.02"/>
  </r>
  <r>
    <s v="basement"/>
    <x v="4"/>
    <n v="0"/>
    <n v="0"/>
    <n v="0"/>
    <n v="166"/>
    <n v="166"/>
    <n v="166"/>
    <n v="166"/>
    <n v="166"/>
    <n v="166"/>
    <n v="166"/>
    <n v="166"/>
    <n v="166"/>
    <n v="166"/>
    <n v="166"/>
    <n v="166"/>
    <n v="166"/>
    <n v="166"/>
  </r>
  <r>
    <s v="upper"/>
    <x v="5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upper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upper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upper"/>
    <x v="5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5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upper"/>
    <x v="5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upper"/>
    <x v="5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upper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5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upper"/>
    <x v="5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upper"/>
    <x v="5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upper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5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upper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5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upper"/>
    <x v="5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upper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5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upper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5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upper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5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upper"/>
    <x v="5"/>
    <n v="0"/>
    <n v="0"/>
    <n v="0"/>
    <n v="0"/>
    <n v="241.46"/>
    <n v="241.46"/>
    <n v="241.46"/>
    <n v="241.46"/>
    <n v="241.46"/>
    <n v="241.46"/>
    <n v="241.46"/>
    <n v="241.46"/>
    <n v="241.46"/>
    <n v="241.46"/>
    <n v="241.46"/>
    <n v="241.46"/>
    <n v="241.46"/>
  </r>
  <r>
    <s v="upper"/>
    <x v="5"/>
    <n v="0"/>
    <n v="0"/>
    <n v="0"/>
    <n v="206.9725"/>
    <n v="206.9725"/>
    <n v="206.9725"/>
    <n v="206.9725"/>
    <n v="413.94499999999999"/>
    <n v="413.94499999999999"/>
    <n v="413.94499999999999"/>
    <n v="413.94499999999999"/>
    <n v="827.89"/>
    <n v="827.89"/>
    <n v="827.89"/>
    <n v="827.89"/>
    <n v="827.89"/>
    <n v="827.89"/>
  </r>
  <r>
    <s v="upper"/>
    <x v="5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s v="upper"/>
    <x v="5"/>
    <n v="0"/>
    <n v="0"/>
    <n v="0"/>
    <n v="174.97"/>
    <n v="174.97"/>
    <n v="174.97"/>
    <n v="174.97"/>
    <n v="174.97"/>
    <n v="174.97"/>
    <n v="174.97"/>
    <n v="174.97"/>
    <n v="174.97"/>
    <n v="174.97"/>
    <n v="174.97"/>
    <n v="174.97"/>
    <n v="174.97"/>
    <n v="174.97"/>
  </r>
  <r>
    <s v="upper"/>
    <x v="5"/>
    <n v="0"/>
    <n v="0"/>
    <n v="0"/>
    <n v="39.232500000000002"/>
    <n v="39.232500000000002"/>
    <n v="39.232500000000002"/>
    <n v="39.232500000000002"/>
    <n v="78.465000000000003"/>
    <n v="78.465000000000003"/>
    <n v="78.465000000000003"/>
    <n v="78.465000000000003"/>
    <n v="156.93"/>
    <n v="156.93"/>
    <n v="156.93"/>
    <n v="156.93"/>
    <n v="156.93"/>
    <n v="156.93"/>
  </r>
  <r>
    <s v="upper"/>
    <x v="5"/>
    <n v="0"/>
    <n v="0"/>
    <n v="0"/>
    <n v="0"/>
    <n v="0"/>
    <n v="0"/>
    <n v="0"/>
    <n v="0"/>
    <n v="0"/>
    <n v="0"/>
    <n v="0"/>
    <n v="0"/>
    <n v="0"/>
    <n v="0"/>
    <n v="29.42"/>
    <n v="29.42"/>
    <n v="29.42"/>
  </r>
  <r>
    <s v="upper"/>
    <x v="5"/>
    <n v="0"/>
    <n v="0"/>
    <n v="0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</r>
  <r>
    <s v="upper"/>
    <x v="5"/>
    <n v="0"/>
    <n v="0"/>
    <n v="0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</r>
  <r>
    <s v="upper"/>
    <x v="5"/>
    <n v="0"/>
    <n v="0"/>
    <n v="0"/>
    <n v="79.16"/>
    <n v="79.16"/>
    <n v="79.16"/>
    <n v="79.16"/>
    <n v="79.16"/>
    <n v="79.16"/>
    <n v="79.16"/>
    <n v="79.16"/>
    <n v="79.16"/>
    <n v="79.16"/>
    <n v="79.16"/>
    <n v="79.16"/>
    <n v="79.16"/>
    <n v="79.16"/>
  </r>
  <r>
    <s v="upper"/>
    <x v="5"/>
    <n v="0"/>
    <n v="0"/>
    <n v="0"/>
    <n v="61.45"/>
    <n v="61.45"/>
    <n v="61.45"/>
    <n v="61.45"/>
    <n v="61.45"/>
    <n v="61.45"/>
    <n v="61.45"/>
    <n v="61.45"/>
    <n v="61.45"/>
    <n v="61.45"/>
    <n v="61.45"/>
    <n v="61.45"/>
    <n v="61.45"/>
    <n v="61.45"/>
  </r>
  <r>
    <s v="upper"/>
    <x v="5"/>
    <n v="0"/>
    <n v="0"/>
    <n v="0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</r>
  <r>
    <s v="upper"/>
    <x v="5"/>
    <n v="0"/>
    <n v="0"/>
    <n v="0"/>
    <n v="110.87"/>
    <n v="110.87"/>
    <n v="110.87"/>
    <n v="110.87"/>
    <n v="110.87"/>
    <n v="110.87"/>
    <n v="110.87"/>
    <n v="110.87"/>
    <n v="110.87"/>
    <n v="110.87"/>
    <n v="110.87"/>
    <n v="110.87"/>
    <n v="110.87"/>
    <n v="110.87"/>
  </r>
  <r>
    <s v="upper"/>
    <x v="5"/>
    <n v="0"/>
    <n v="0"/>
    <n v="0"/>
    <n v="10.42"/>
    <n v="10.42"/>
    <n v="10.42"/>
    <n v="10.42"/>
    <n v="10.42"/>
    <n v="10.42"/>
    <n v="10.42"/>
    <n v="10.42"/>
    <n v="10.42"/>
    <n v="10.42"/>
    <n v="10.42"/>
    <n v="10.42"/>
    <n v="10.42"/>
    <n v="10.42"/>
  </r>
  <r>
    <s v="upper"/>
    <x v="5"/>
    <n v="0"/>
    <n v="0"/>
    <n v="0"/>
    <n v="82.28"/>
    <n v="82.28"/>
    <n v="82.28"/>
    <n v="82.28"/>
    <n v="82.28"/>
    <n v="82.28"/>
    <n v="82.28"/>
    <n v="82.28"/>
    <n v="82.28"/>
    <n v="82.28"/>
    <n v="82.28"/>
    <n v="82.28"/>
    <n v="82.28"/>
    <n v="82.28"/>
  </r>
  <r>
    <s v="basement"/>
    <x v="5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basement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basement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basement"/>
    <x v="5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basement"/>
    <x v="5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basement"/>
    <x v="5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basement"/>
    <x v="5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basement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5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basement"/>
    <x v="5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basement"/>
    <x v="5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basement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basement"/>
    <x v="5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basement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5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basement"/>
    <x v="5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basement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5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basement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basement"/>
    <x v="5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basement"/>
    <x v="5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basement"/>
    <x v="5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basement"/>
    <x v="5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basement"/>
    <x v="5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basement"/>
    <x v="5"/>
    <n v="0"/>
    <n v="0"/>
    <n v="0"/>
    <n v="0"/>
    <n v="241.46"/>
    <n v="241.46"/>
    <n v="241.46"/>
    <n v="241.46"/>
    <n v="241.46"/>
    <n v="241.46"/>
    <n v="241.46"/>
    <n v="241.46"/>
    <n v="241.46"/>
    <n v="241.46"/>
    <n v="241.46"/>
    <n v="241.46"/>
    <n v="241.46"/>
  </r>
  <r>
    <s v="basement"/>
    <x v="5"/>
    <n v="0"/>
    <n v="0"/>
    <n v="0"/>
    <n v="206.9725"/>
    <n v="206.9725"/>
    <n v="206.9725"/>
    <n v="206.9725"/>
    <n v="413.94499999999999"/>
    <n v="413.94499999999999"/>
    <n v="413.94499999999999"/>
    <n v="413.94499999999999"/>
    <n v="827.89"/>
    <n v="827.89"/>
    <n v="827.89"/>
    <n v="827.89"/>
    <n v="827.89"/>
    <n v="827.89"/>
  </r>
  <r>
    <s v="basement"/>
    <x v="5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s v="basement"/>
    <x v="5"/>
    <n v="0"/>
    <n v="0"/>
    <n v="0"/>
    <n v="174.97"/>
    <n v="174.97"/>
    <n v="174.97"/>
    <n v="174.97"/>
    <n v="174.97"/>
    <n v="174.97"/>
    <n v="174.97"/>
    <n v="174.97"/>
    <n v="174.97"/>
    <n v="174.97"/>
    <n v="174.97"/>
    <n v="174.97"/>
    <n v="174.97"/>
    <n v="174.97"/>
  </r>
  <r>
    <s v="basement"/>
    <x v="5"/>
    <n v="0"/>
    <n v="0"/>
    <n v="0"/>
    <n v="39.232500000000002"/>
    <n v="39.232500000000002"/>
    <n v="39.232500000000002"/>
    <n v="39.232500000000002"/>
    <n v="78.465000000000003"/>
    <n v="78.465000000000003"/>
    <n v="78.465000000000003"/>
    <n v="78.465000000000003"/>
    <n v="156.93"/>
    <n v="156.93"/>
    <n v="156.93"/>
    <n v="156.93"/>
    <n v="156.93"/>
    <n v="156.93"/>
  </r>
  <r>
    <s v="basement"/>
    <x v="5"/>
    <n v="0"/>
    <n v="0"/>
    <n v="0"/>
    <n v="0"/>
    <n v="0"/>
    <n v="0"/>
    <n v="0"/>
    <n v="0"/>
    <n v="0"/>
    <n v="0"/>
    <n v="0"/>
    <n v="0"/>
    <n v="0"/>
    <n v="0"/>
    <n v="29.42"/>
    <n v="29.42"/>
    <n v="29.42"/>
  </r>
  <r>
    <s v="basement"/>
    <x v="5"/>
    <n v="0"/>
    <n v="0"/>
    <n v="0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</r>
  <r>
    <s v="basement"/>
    <x v="5"/>
    <n v="0"/>
    <n v="0"/>
    <n v="0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</r>
  <r>
    <s v="basement"/>
    <x v="5"/>
    <n v="0"/>
    <n v="0"/>
    <n v="0"/>
    <n v="79.16"/>
    <n v="79.16"/>
    <n v="79.16"/>
    <n v="79.16"/>
    <n v="79.16"/>
    <n v="79.16"/>
    <n v="79.16"/>
    <n v="79.16"/>
    <n v="79.16"/>
    <n v="79.16"/>
    <n v="79.16"/>
    <n v="79.16"/>
    <n v="79.16"/>
    <n v="79.16"/>
  </r>
  <r>
    <s v="basement"/>
    <x v="5"/>
    <n v="0"/>
    <n v="0"/>
    <n v="0"/>
    <n v="61.45"/>
    <n v="61.45"/>
    <n v="61.45"/>
    <n v="61.45"/>
    <n v="61.45"/>
    <n v="61.45"/>
    <n v="61.45"/>
    <n v="61.45"/>
    <n v="61.45"/>
    <n v="61.45"/>
    <n v="61.45"/>
    <n v="61.45"/>
    <n v="61.45"/>
    <n v="61.45"/>
  </r>
  <r>
    <s v="basement"/>
    <x v="5"/>
    <n v="0"/>
    <n v="0"/>
    <n v="0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</r>
  <r>
    <s v="basement"/>
    <x v="5"/>
    <n v="0"/>
    <n v="0"/>
    <n v="0"/>
    <n v="110.87"/>
    <n v="110.87"/>
    <n v="110.87"/>
    <n v="110.87"/>
    <n v="110.87"/>
    <n v="110.87"/>
    <n v="110.87"/>
    <n v="110.87"/>
    <n v="110.87"/>
    <n v="110.87"/>
    <n v="110.87"/>
    <n v="110.87"/>
    <n v="110.87"/>
    <n v="110.87"/>
  </r>
  <r>
    <s v="basement"/>
    <x v="5"/>
    <n v="0"/>
    <n v="0"/>
    <n v="0"/>
    <n v="10.42"/>
    <n v="10.42"/>
    <n v="10.42"/>
    <n v="10.42"/>
    <n v="10.42"/>
    <n v="10.42"/>
    <n v="10.42"/>
    <n v="10.42"/>
    <n v="10.42"/>
    <n v="10.42"/>
    <n v="10.42"/>
    <n v="10.42"/>
    <n v="10.42"/>
    <n v="10.42"/>
  </r>
  <r>
    <s v="basement"/>
    <x v="5"/>
    <n v="0"/>
    <n v="0"/>
    <n v="0"/>
    <n v="82.28"/>
    <n v="82.28"/>
    <n v="82.28"/>
    <n v="82.28"/>
    <n v="82.28"/>
    <n v="82.28"/>
    <n v="82.28"/>
    <n v="82.28"/>
    <n v="82.28"/>
    <n v="82.28"/>
    <n v="82.28"/>
    <n v="82.28"/>
    <n v="82.28"/>
    <n v="82.28"/>
  </r>
  <r>
    <s v="upper"/>
    <x v="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6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upper"/>
    <x v="6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s v="upper"/>
    <x v="6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s v="upper"/>
    <x v="6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upper"/>
    <x v="6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6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upper"/>
    <x v="6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upper"/>
    <x v="6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upper"/>
    <x v="6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upper"/>
    <x v="6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upper"/>
    <x v="6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upper"/>
    <x v="6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s v="upper"/>
    <x v="6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s v="upper"/>
    <x v="6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upper"/>
    <x v="6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6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6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upper"/>
    <x v="6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s v="upper"/>
    <x v="6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s v="upper"/>
    <x v="6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s v="upper"/>
    <x v="6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6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6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6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upper"/>
    <x v="6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upper"/>
    <x v="6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s v="upper"/>
    <x v="6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s v="upper"/>
    <x v="6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s v="upper"/>
    <x v="6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s v="upper"/>
    <x v="6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s v="upper"/>
    <x v="6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s v="upper"/>
    <x v="6"/>
    <n v="0"/>
    <n v="0"/>
    <n v="0"/>
    <n v="134.76"/>
    <n v="134.76"/>
    <n v="134.76"/>
    <n v="134.76"/>
    <n v="134.76"/>
    <n v="134.76"/>
    <n v="134.76"/>
    <n v="134.76"/>
    <n v="134.76"/>
    <n v="134.76"/>
    <n v="134.76"/>
    <n v="134.76"/>
    <n v="134.76"/>
    <n v="134.76"/>
  </r>
  <r>
    <s v="upper"/>
    <x v="6"/>
    <n v="0"/>
    <n v="0"/>
    <n v="0"/>
    <n v="159.72"/>
    <n v="159.72"/>
    <n v="159.72"/>
    <n v="159.72"/>
    <n v="159.72"/>
    <n v="159.72"/>
    <n v="159.72"/>
    <n v="159.72"/>
    <n v="159.72"/>
    <n v="159.72"/>
    <n v="159.72"/>
    <n v="159.72"/>
    <n v="159.72"/>
    <n v="159.72"/>
  </r>
  <r>
    <s v="upper"/>
    <x v="6"/>
    <n v="0"/>
    <n v="0"/>
    <n v="0"/>
    <n v="113.36"/>
    <n v="113.36"/>
    <n v="113.36"/>
    <n v="113.36"/>
    <n v="113.36"/>
    <n v="113.36"/>
    <n v="113.36"/>
    <n v="113.36"/>
    <n v="113.36"/>
    <n v="113.36"/>
    <n v="113.36"/>
    <n v="113.36"/>
    <n v="113.36"/>
    <n v="113.36"/>
  </r>
  <r>
    <s v="upper"/>
    <x v="6"/>
    <n v="0"/>
    <n v="0"/>
    <n v="0"/>
    <n v="74.31"/>
    <n v="74.31"/>
    <n v="74.31"/>
    <n v="74.31"/>
    <n v="74.31"/>
    <n v="74.31"/>
    <n v="74.31"/>
    <n v="74.31"/>
    <n v="74.31"/>
    <n v="74.31"/>
    <n v="74.31"/>
    <n v="74.31"/>
    <n v="74.31"/>
    <n v="74.31"/>
  </r>
  <r>
    <s v="upper"/>
    <x v="6"/>
    <n v="0"/>
    <n v="0"/>
    <n v="0"/>
    <n v="204.49"/>
    <n v="204.49"/>
    <n v="204.49"/>
    <n v="204.49"/>
    <n v="204.49"/>
    <n v="204.49"/>
    <n v="204.49"/>
    <n v="204.49"/>
    <n v="204.49"/>
    <n v="204.49"/>
    <n v="204.49"/>
    <n v="204.49"/>
    <n v="204.49"/>
    <n v="204.49"/>
  </r>
  <r>
    <s v="upper"/>
    <x v="6"/>
    <n v="0"/>
    <n v="0"/>
    <n v="0"/>
    <n v="21.02"/>
    <n v="21.02"/>
    <n v="21.02"/>
    <n v="21.02"/>
    <n v="21.02"/>
    <n v="21.02"/>
    <n v="21.02"/>
    <n v="21.02"/>
    <n v="21.02"/>
    <n v="21.02"/>
    <n v="21.02"/>
    <n v="21.02"/>
    <n v="21.02"/>
    <n v="21.02"/>
  </r>
  <r>
    <s v="upper"/>
    <x v="6"/>
    <n v="0"/>
    <n v="0"/>
    <n v="0"/>
    <n v="166"/>
    <n v="166"/>
    <n v="166"/>
    <n v="166"/>
    <n v="166"/>
    <n v="166"/>
    <n v="166"/>
    <n v="166"/>
    <n v="166"/>
    <n v="166"/>
    <n v="166"/>
    <n v="166"/>
    <n v="166"/>
    <n v="166"/>
  </r>
  <r>
    <s v="main"/>
    <x v="7"/>
    <n v="0"/>
    <n v="0"/>
    <n v="0"/>
    <n v="0"/>
    <n v="0"/>
    <n v="0"/>
    <n v="0"/>
    <n v="0"/>
    <n v="0"/>
    <n v="0"/>
    <n v="0"/>
    <n v="879.12"/>
    <n v="879.12"/>
    <n v="879.12"/>
    <n v="879.12"/>
    <n v="879.12"/>
    <n v="879.12"/>
  </r>
  <r>
    <s v="main"/>
    <x v="7"/>
    <n v="0"/>
    <n v="0"/>
    <n v="0"/>
    <n v="0"/>
    <n v="0"/>
    <n v="0"/>
    <n v="0"/>
    <n v="0"/>
    <n v="0"/>
    <n v="0"/>
    <n v="1013.52"/>
    <n v="1013.52"/>
    <n v="1013.52"/>
    <n v="1013.52"/>
    <n v="1013.52"/>
    <n v="1013.52"/>
    <n v="1013.52"/>
  </r>
  <r>
    <s v="main"/>
    <x v="7"/>
    <n v="0"/>
    <n v="0"/>
    <n v="0"/>
    <n v="0"/>
    <n v="0"/>
    <n v="0"/>
    <n v="0"/>
    <n v="0"/>
    <n v="0"/>
    <n v="0"/>
    <n v="2528.4699999999998"/>
    <n v="2528.4699999999998"/>
    <n v="2528.4699999999998"/>
    <n v="2528.4699999999998"/>
    <n v="2528.4699999999998"/>
    <n v="2528.4699999999998"/>
    <n v="2528.4699999999998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s v="main"/>
    <x v="7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s v="main"/>
    <x v="7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main"/>
    <x v="7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s v="main"/>
    <x v="7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s v="main"/>
    <x v="7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s v="main"/>
    <x v="7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s v="main"/>
    <x v="7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s v="main"/>
    <x v="7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s v="main"/>
    <x v="7"/>
    <n v="0"/>
    <n v="0"/>
    <n v="0"/>
    <n v="134.76"/>
    <n v="134.76"/>
    <n v="134.76"/>
    <n v="134.76"/>
    <n v="134.76"/>
    <n v="134.76"/>
    <n v="134.76"/>
    <n v="134.76"/>
    <n v="134.76"/>
    <n v="134.76"/>
    <n v="134.76"/>
    <n v="134.76"/>
    <n v="134.76"/>
    <n v="134.76"/>
  </r>
  <r>
    <s v="main"/>
    <x v="7"/>
    <n v="0"/>
    <n v="0"/>
    <n v="0"/>
    <n v="159.72"/>
    <n v="159.72"/>
    <n v="159.72"/>
    <n v="159.72"/>
    <n v="159.72"/>
    <n v="159.72"/>
    <n v="159.72"/>
    <n v="159.72"/>
    <n v="159.72"/>
    <n v="159.72"/>
    <n v="159.72"/>
    <n v="159.72"/>
    <n v="159.72"/>
    <n v="159.72"/>
  </r>
  <r>
    <s v="main"/>
    <x v="7"/>
    <n v="0"/>
    <n v="0"/>
    <n v="0"/>
    <n v="113.36"/>
    <n v="113.36"/>
    <n v="113.36"/>
    <n v="113.36"/>
    <n v="113.36"/>
    <n v="113.36"/>
    <n v="113.36"/>
    <n v="113.36"/>
    <n v="113.36"/>
    <n v="113.36"/>
    <n v="113.36"/>
    <n v="113.36"/>
    <n v="113.36"/>
    <n v="113.36"/>
  </r>
  <r>
    <s v="main"/>
    <x v="7"/>
    <n v="0"/>
    <n v="0"/>
    <n v="0"/>
    <n v="74.31"/>
    <n v="74.31"/>
    <n v="74.31"/>
    <n v="74.31"/>
    <n v="74.31"/>
    <n v="74.31"/>
    <n v="74.31"/>
    <n v="74.31"/>
    <n v="74.31"/>
    <n v="74.31"/>
    <n v="74.31"/>
    <n v="74.31"/>
    <n v="74.31"/>
    <n v="74.31"/>
  </r>
  <r>
    <s v="main"/>
    <x v="7"/>
    <n v="0"/>
    <n v="0"/>
    <n v="0"/>
    <n v="204.49"/>
    <n v="204.49"/>
    <n v="204.49"/>
    <n v="204.49"/>
    <n v="204.49"/>
    <n v="204.49"/>
    <n v="204.49"/>
    <n v="204.49"/>
    <n v="204.49"/>
    <n v="204.49"/>
    <n v="204.49"/>
    <n v="204.49"/>
    <n v="204.49"/>
    <n v="204.49"/>
  </r>
  <r>
    <s v="main"/>
    <x v="7"/>
    <n v="0"/>
    <n v="0"/>
    <n v="0"/>
    <n v="21.02"/>
    <n v="21.02"/>
    <n v="21.02"/>
    <n v="21.02"/>
    <n v="21.02"/>
    <n v="21.02"/>
    <n v="21.02"/>
    <n v="21.02"/>
    <n v="21.02"/>
    <n v="21.02"/>
    <n v="21.02"/>
    <n v="21.02"/>
    <n v="21.02"/>
    <n v="21.02"/>
  </r>
  <r>
    <s v="main"/>
    <x v="7"/>
    <n v="0"/>
    <n v="0"/>
    <n v="0"/>
    <n v="166"/>
    <n v="166"/>
    <n v="166"/>
    <n v="166"/>
    <n v="166"/>
    <n v="166"/>
    <n v="166"/>
    <n v="166"/>
    <n v="166"/>
    <n v="166"/>
    <n v="166"/>
    <n v="166"/>
    <n v="166"/>
    <n v="166"/>
  </r>
  <r>
    <s v="main"/>
    <x v="8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8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s v="main"/>
    <x v="8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s v="main"/>
    <x v="8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s v="main"/>
    <x v="8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s v="main"/>
    <x v="8"/>
    <n v="0"/>
    <n v="0"/>
    <n v="0"/>
    <n v="278.21749999999997"/>
    <n v="278.21749999999997"/>
    <n v="278.21749999999997"/>
    <n v="278.21749999999997"/>
    <n v="556.43499999999995"/>
    <n v="556.43499999999995"/>
    <n v="556.43499999999995"/>
    <n v="556.43499999999995"/>
    <n v="1112.8699999999999"/>
    <n v="1112.8699999999999"/>
    <n v="1112.8699999999999"/>
    <n v="1112.8699999999999"/>
    <n v="1112.8699999999999"/>
    <n v="1112.8699999999999"/>
  </r>
  <r>
    <s v="main"/>
    <x v="8"/>
    <n v="0"/>
    <n v="0"/>
    <n v="0"/>
    <n v="0"/>
    <n v="0"/>
    <n v="0"/>
    <n v="0"/>
    <n v="0"/>
    <n v="0"/>
    <n v="0"/>
    <n v="0"/>
    <n v="0"/>
    <n v="0"/>
    <n v="0"/>
    <n v="208.67"/>
    <n v="208.67"/>
    <n v="208.67"/>
  </r>
  <r>
    <s v="main"/>
    <x v="8"/>
    <n v="0"/>
    <n v="0"/>
    <n v="0"/>
    <n v="228.55"/>
    <n v="228.55"/>
    <n v="228.55"/>
    <n v="228.55"/>
    <n v="228.55"/>
    <n v="228.55"/>
    <n v="228.55"/>
    <n v="228.55"/>
    <n v="228.55"/>
    <n v="228.55"/>
    <n v="228.55"/>
    <n v="228.55"/>
    <n v="228.55"/>
    <n v="228.55"/>
  </r>
  <r>
    <s v="main"/>
    <x v="8"/>
    <n v="0"/>
    <n v="0"/>
    <n v="0"/>
    <n v="473.65"/>
    <n v="473.65"/>
    <n v="473.65"/>
    <n v="473.65"/>
    <n v="473.65"/>
    <n v="473.65"/>
    <n v="473.65"/>
    <n v="473.65"/>
    <n v="473.65"/>
    <n v="473.65"/>
    <n v="473.65"/>
    <n v="473.65"/>
    <n v="473.65"/>
    <n v="473.65"/>
  </r>
  <r>
    <s v="main"/>
    <x v="8"/>
    <n v="0"/>
    <n v="0"/>
    <n v="0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</r>
  <r>
    <s v="main"/>
    <x v="8"/>
    <n v="0"/>
    <n v="0"/>
    <n v="0"/>
    <n v="372.15"/>
    <n v="372.15"/>
    <n v="372.15"/>
    <n v="372.15"/>
    <n v="372.15"/>
    <n v="372.15"/>
    <n v="372.15"/>
    <n v="372.15"/>
    <n v="372.15"/>
    <n v="372.15"/>
    <n v="372.15"/>
    <n v="372.15"/>
    <n v="372.15"/>
    <n v="372.15"/>
  </r>
  <r>
    <s v="main"/>
    <x v="8"/>
    <n v="0"/>
    <n v="0"/>
    <n v="0"/>
    <n v="244"/>
    <n v="244"/>
    <n v="244"/>
    <n v="244"/>
    <n v="244"/>
    <n v="244"/>
    <n v="244"/>
    <n v="244"/>
    <n v="244"/>
    <n v="244"/>
    <n v="244"/>
    <n v="244"/>
    <n v="244"/>
    <n v="244"/>
  </r>
  <r>
    <s v="main"/>
    <x v="8"/>
    <n v="0"/>
    <n v="0"/>
    <n v="0"/>
    <n v="671.38"/>
    <n v="671.38"/>
    <n v="671.38"/>
    <n v="671.38"/>
    <n v="671.38"/>
    <n v="671.38"/>
    <n v="671.38"/>
    <n v="671.38"/>
    <n v="671.38"/>
    <n v="671.38"/>
    <n v="671.38"/>
    <n v="671.38"/>
    <n v="671.38"/>
    <n v="671.38"/>
  </r>
  <r>
    <s v="main"/>
    <x v="8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s v="main"/>
    <x v="8"/>
    <n v="0"/>
    <n v="0"/>
    <n v="0"/>
    <n v="583.52"/>
    <n v="583.52"/>
    <n v="583.52"/>
    <n v="583.52"/>
    <n v="583.52"/>
    <n v="583.52"/>
    <n v="583.52"/>
    <n v="583.52"/>
    <n v="583.52"/>
    <n v="583.52"/>
    <n v="583.52"/>
    <n v="583.52"/>
    <n v="583.52"/>
    <n v="583.52"/>
  </r>
  <r>
    <s v="upper"/>
    <x v="9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9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9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9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9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9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9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s v="upper"/>
    <x v="9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s v="upper"/>
    <x v="9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upper"/>
    <x v="9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s v="upper"/>
    <x v="9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s v="upper"/>
    <x v="9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s v="upper"/>
    <x v="9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s v="upper"/>
    <x v="9"/>
    <n v="0"/>
    <n v="0"/>
    <n v="0"/>
    <n v="168.75"/>
    <n v="168.75"/>
    <n v="168.75"/>
    <n v="168.75"/>
    <n v="168.75"/>
    <n v="168.75"/>
    <n v="168.75"/>
    <n v="168.75"/>
    <n v="168.75"/>
    <n v="168.75"/>
    <n v="168.75"/>
    <n v="168.75"/>
    <n v="168.75"/>
    <n v="168.75"/>
  </r>
  <r>
    <s v="upper"/>
    <x v="9"/>
    <n v="0"/>
    <n v="0"/>
    <n v="0"/>
    <n v="200.05"/>
    <n v="200.05"/>
    <n v="200.05"/>
    <n v="200.05"/>
    <n v="200.05"/>
    <n v="200.05"/>
    <n v="200.05"/>
    <n v="200.05"/>
    <n v="200.05"/>
    <n v="200.05"/>
    <n v="200.05"/>
    <n v="200.05"/>
    <n v="200.05"/>
    <n v="200.05"/>
  </r>
  <r>
    <s v="upper"/>
    <x v="9"/>
    <n v="0"/>
    <n v="0"/>
    <n v="0"/>
    <n v="139.35"/>
    <n v="139.35"/>
    <n v="139.35"/>
    <n v="139.35"/>
    <n v="139.35"/>
    <n v="139.35"/>
    <n v="139.35"/>
    <n v="139.35"/>
    <n v="139.35"/>
    <n v="139.35"/>
    <n v="139.35"/>
    <n v="139.35"/>
    <n v="139.35"/>
    <n v="139.35"/>
  </r>
  <r>
    <s v="upper"/>
    <x v="9"/>
    <n v="0"/>
    <n v="0"/>
    <n v="0"/>
    <n v="91.39"/>
    <n v="91.39"/>
    <n v="91.39"/>
    <n v="91.39"/>
    <n v="91.39"/>
    <n v="91.39"/>
    <n v="91.39"/>
    <n v="91.39"/>
    <n v="91.39"/>
    <n v="91.39"/>
    <n v="91.39"/>
    <n v="91.39"/>
    <n v="91.39"/>
    <n v="91.39"/>
  </r>
  <r>
    <s v="upper"/>
    <x v="9"/>
    <n v="0"/>
    <n v="0"/>
    <n v="0"/>
    <n v="251.41"/>
    <n v="251.41"/>
    <n v="251.41"/>
    <n v="251.41"/>
    <n v="251.41"/>
    <n v="251.41"/>
    <n v="251.41"/>
    <n v="251.41"/>
    <n v="251.41"/>
    <n v="251.41"/>
    <n v="251.41"/>
    <n v="251.41"/>
    <n v="251.41"/>
    <n v="251.41"/>
  </r>
  <r>
    <s v="upper"/>
    <x v="9"/>
    <n v="0"/>
    <n v="0"/>
    <n v="0"/>
    <n v="26.32"/>
    <n v="26.32"/>
    <n v="26.32"/>
    <n v="26.32"/>
    <n v="26.32"/>
    <n v="26.32"/>
    <n v="26.32"/>
    <n v="26.32"/>
    <n v="26.32"/>
    <n v="26.32"/>
    <n v="26.32"/>
    <n v="26.32"/>
    <n v="26.32"/>
    <n v="26.32"/>
  </r>
  <r>
    <s v="upper"/>
    <x v="9"/>
    <n v="0"/>
    <n v="0"/>
    <n v="0"/>
    <n v="207.93"/>
    <n v="207.93"/>
    <n v="207.93"/>
    <n v="207.93"/>
    <n v="207.93"/>
    <n v="207.93"/>
    <n v="207.93"/>
    <n v="207.93"/>
    <n v="207.93"/>
    <n v="207.93"/>
    <n v="207.93"/>
    <n v="207.93"/>
    <n v="207.93"/>
    <n v="207.93"/>
  </r>
  <r>
    <s v="main"/>
    <x v="10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0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s v="main"/>
    <x v="10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s v="main"/>
    <x v="10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main"/>
    <x v="10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s v="main"/>
    <x v="10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s v="main"/>
    <x v="10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s v="main"/>
    <x v="10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s v="main"/>
    <x v="10"/>
    <n v="0"/>
    <n v="0"/>
    <n v="0"/>
    <n v="168.75"/>
    <n v="168.75"/>
    <n v="168.75"/>
    <n v="168.75"/>
    <n v="168.75"/>
    <n v="168.75"/>
    <n v="168.75"/>
    <n v="168.75"/>
    <n v="168.75"/>
    <n v="168.75"/>
    <n v="168.75"/>
    <n v="168.75"/>
    <n v="168.75"/>
    <n v="168.75"/>
  </r>
  <r>
    <s v="main"/>
    <x v="10"/>
    <n v="0"/>
    <n v="0"/>
    <n v="0"/>
    <n v="200.05"/>
    <n v="200.05"/>
    <n v="200.05"/>
    <n v="200.05"/>
    <n v="200.05"/>
    <n v="200.05"/>
    <n v="200.05"/>
    <n v="200.05"/>
    <n v="200.05"/>
    <n v="200.05"/>
    <n v="200.05"/>
    <n v="200.05"/>
    <n v="200.05"/>
    <n v="200.05"/>
  </r>
  <r>
    <s v="main"/>
    <x v="10"/>
    <n v="0"/>
    <n v="0"/>
    <n v="0"/>
    <n v="139.35"/>
    <n v="139.35"/>
    <n v="139.35"/>
    <n v="139.35"/>
    <n v="139.35"/>
    <n v="139.35"/>
    <n v="139.35"/>
    <n v="139.35"/>
    <n v="139.35"/>
    <n v="139.35"/>
    <n v="139.35"/>
    <n v="139.35"/>
    <n v="139.35"/>
    <n v="139.35"/>
  </r>
  <r>
    <s v="main"/>
    <x v="10"/>
    <n v="0"/>
    <n v="0"/>
    <n v="0"/>
    <n v="91.39"/>
    <n v="91.39"/>
    <n v="91.39"/>
    <n v="91.39"/>
    <n v="91.39"/>
    <n v="91.39"/>
    <n v="91.39"/>
    <n v="91.39"/>
    <n v="91.39"/>
    <n v="91.39"/>
    <n v="91.39"/>
    <n v="91.39"/>
    <n v="91.39"/>
    <n v="91.39"/>
  </r>
  <r>
    <s v="main"/>
    <x v="10"/>
    <n v="0"/>
    <n v="0"/>
    <n v="0"/>
    <n v="251.41"/>
    <n v="251.41"/>
    <n v="251.41"/>
    <n v="251.41"/>
    <n v="251.41"/>
    <n v="251.41"/>
    <n v="251.41"/>
    <n v="251.41"/>
    <n v="251.41"/>
    <n v="251.41"/>
    <n v="251.41"/>
    <n v="251.41"/>
    <n v="251.41"/>
    <n v="251.41"/>
  </r>
  <r>
    <s v="main"/>
    <x v="10"/>
    <n v="0"/>
    <n v="0"/>
    <n v="0"/>
    <n v="26.32"/>
    <n v="26.32"/>
    <n v="26.32"/>
    <n v="26.32"/>
    <n v="26.32"/>
    <n v="26.32"/>
    <n v="26.32"/>
    <n v="26.32"/>
    <n v="26.32"/>
    <n v="26.32"/>
    <n v="26.32"/>
    <n v="26.32"/>
    <n v="26.32"/>
    <n v="26.32"/>
  </r>
  <r>
    <s v="main"/>
    <x v="10"/>
    <n v="0"/>
    <n v="0"/>
    <n v="0"/>
    <n v="207.93"/>
    <n v="207.93"/>
    <n v="207.93"/>
    <n v="207.93"/>
    <n v="207.93"/>
    <n v="207.93"/>
    <n v="207.93"/>
    <n v="207.93"/>
    <n v="207.93"/>
    <n v="207.93"/>
    <n v="207.93"/>
    <n v="207.93"/>
    <n v="207.93"/>
    <n v="207.93"/>
  </r>
  <r>
    <s v="main"/>
    <x v="8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8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s v="main"/>
    <x v="8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s v="main"/>
    <x v="8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s v="main"/>
    <x v="8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s v="main"/>
    <x v="8"/>
    <n v="0"/>
    <n v="0"/>
    <n v="0"/>
    <n v="278.21749999999997"/>
    <n v="278.21749999999997"/>
    <n v="278.21749999999997"/>
    <n v="278.21749999999997"/>
    <n v="556.43499999999995"/>
    <n v="556.43499999999995"/>
    <n v="556.43499999999995"/>
    <n v="556.43499999999995"/>
    <n v="1112.8699999999999"/>
    <n v="1112.8699999999999"/>
    <n v="1112.8699999999999"/>
    <n v="1112.8699999999999"/>
    <n v="1112.8699999999999"/>
    <n v="1112.8699999999999"/>
  </r>
  <r>
    <s v="main"/>
    <x v="8"/>
    <n v="0"/>
    <n v="0"/>
    <n v="0"/>
    <n v="0"/>
    <n v="0"/>
    <n v="0"/>
    <n v="0"/>
    <n v="0"/>
    <n v="0"/>
    <n v="0"/>
    <n v="0"/>
    <n v="0"/>
    <n v="0"/>
    <n v="0"/>
    <n v="208.67"/>
    <n v="208.67"/>
    <n v="208.67"/>
  </r>
  <r>
    <s v="main"/>
    <x v="8"/>
    <n v="0"/>
    <n v="0"/>
    <n v="0"/>
    <n v="228.55"/>
    <n v="228.55"/>
    <n v="228.55"/>
    <n v="228.55"/>
    <n v="228.55"/>
    <n v="228.55"/>
    <n v="228.55"/>
    <n v="228.55"/>
    <n v="228.55"/>
    <n v="228.55"/>
    <n v="228.55"/>
    <n v="228.55"/>
    <n v="228.55"/>
    <n v="228.55"/>
  </r>
  <r>
    <s v="main"/>
    <x v="8"/>
    <n v="0"/>
    <n v="0"/>
    <n v="0"/>
    <n v="473.65"/>
    <n v="473.65"/>
    <n v="473.65"/>
    <n v="473.65"/>
    <n v="473.65"/>
    <n v="473.65"/>
    <n v="473.65"/>
    <n v="473.65"/>
    <n v="473.65"/>
    <n v="473.65"/>
    <n v="473.65"/>
    <n v="473.65"/>
    <n v="473.65"/>
    <n v="473.65"/>
  </r>
  <r>
    <s v="main"/>
    <x v="8"/>
    <n v="0"/>
    <n v="0"/>
    <n v="0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</r>
  <r>
    <s v="main"/>
    <x v="8"/>
    <n v="0"/>
    <n v="0"/>
    <n v="0"/>
    <n v="372.15"/>
    <n v="372.15"/>
    <n v="372.15"/>
    <n v="372.15"/>
    <n v="372.15"/>
    <n v="372.15"/>
    <n v="372.15"/>
    <n v="372.15"/>
    <n v="372.15"/>
    <n v="372.15"/>
    <n v="372.15"/>
    <n v="372.15"/>
    <n v="372.15"/>
    <n v="372.15"/>
  </r>
  <r>
    <s v="main"/>
    <x v="8"/>
    <n v="0"/>
    <n v="0"/>
    <n v="0"/>
    <n v="244"/>
    <n v="244"/>
    <n v="244"/>
    <n v="244"/>
    <n v="244"/>
    <n v="244"/>
    <n v="244"/>
    <n v="244"/>
    <n v="244"/>
    <n v="244"/>
    <n v="244"/>
    <n v="244"/>
    <n v="244"/>
    <n v="244"/>
  </r>
  <r>
    <s v="main"/>
    <x v="8"/>
    <n v="0"/>
    <n v="0"/>
    <n v="0"/>
    <n v="671.38"/>
    <n v="671.38"/>
    <n v="671.38"/>
    <n v="671.38"/>
    <n v="671.38"/>
    <n v="671.38"/>
    <n v="671.38"/>
    <n v="671.38"/>
    <n v="671.38"/>
    <n v="671.38"/>
    <n v="671.38"/>
    <n v="671.38"/>
    <n v="671.38"/>
    <n v="671.38"/>
  </r>
  <r>
    <s v="main"/>
    <x v="8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s v="main"/>
    <x v="8"/>
    <n v="0"/>
    <n v="0"/>
    <n v="0"/>
    <n v="583.52"/>
    <n v="583.52"/>
    <n v="583.52"/>
    <n v="583.52"/>
    <n v="583.52"/>
    <n v="583.52"/>
    <n v="583.52"/>
    <n v="583.52"/>
    <n v="583.52"/>
    <n v="583.52"/>
    <n v="583.52"/>
    <n v="583.52"/>
    <n v="583.52"/>
    <n v="583.52"/>
  </r>
  <r>
    <s v="upper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1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1"/>
    <n v="0"/>
    <n v="0"/>
    <n v="0"/>
    <n v="0"/>
    <n v="390.44"/>
    <n v="390.44"/>
    <n v="390.44"/>
    <n v="390.44"/>
    <n v="390.44"/>
    <n v="390.44"/>
    <n v="390.44"/>
    <n v="390.44"/>
    <n v="390.44"/>
    <n v="390.44"/>
    <n v="390.44"/>
    <n v="390.44"/>
    <n v="390.44"/>
  </r>
  <r>
    <s v="upper"/>
    <x v="11"/>
    <n v="0"/>
    <n v="0"/>
    <n v="0"/>
    <n v="334.65499999999997"/>
    <n v="334.65499999999997"/>
    <n v="334.65499999999997"/>
    <n v="334.65499999999997"/>
    <n v="669.31"/>
    <n v="669.31"/>
    <n v="669.31"/>
    <n v="669.31"/>
    <n v="1338.62"/>
    <n v="1338.62"/>
    <n v="1338.62"/>
    <n v="1338.62"/>
    <n v="1338.62"/>
    <n v="1338.62"/>
  </r>
  <r>
    <s v="upper"/>
    <x v="11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upper"/>
    <x v="11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s v="upper"/>
    <x v="11"/>
    <n v="0"/>
    <n v="0"/>
    <n v="0"/>
    <n v="88.462500000000006"/>
    <n v="88.462500000000006"/>
    <n v="88.462500000000006"/>
    <n v="88.462500000000006"/>
    <n v="176.92500000000001"/>
    <n v="176.92500000000001"/>
    <n v="176.92500000000001"/>
    <n v="176.92500000000001"/>
    <n v="353.85"/>
    <n v="353.85"/>
    <n v="353.85"/>
    <n v="353.85"/>
    <n v="353.85"/>
    <n v="353.85"/>
  </r>
  <r>
    <s v="upper"/>
    <x v="11"/>
    <n v="0"/>
    <n v="0"/>
    <n v="0"/>
    <n v="0"/>
    <n v="0"/>
    <n v="0"/>
    <n v="0"/>
    <n v="0"/>
    <n v="0"/>
    <n v="0"/>
    <n v="0"/>
    <n v="0"/>
    <n v="0"/>
    <n v="0"/>
    <n v="66.349999999999994"/>
    <n v="66.349999999999994"/>
    <n v="66.349999999999994"/>
  </r>
  <r>
    <s v="upper"/>
    <x v="11"/>
    <n v="0"/>
    <n v="0"/>
    <n v="0"/>
    <n v="72.67"/>
    <n v="72.67"/>
    <n v="72.67"/>
    <n v="72.67"/>
    <n v="72.67"/>
    <n v="72.67"/>
    <n v="72.67"/>
    <n v="72.67"/>
    <n v="72.67"/>
    <n v="72.67"/>
    <n v="72.67"/>
    <n v="72.67"/>
    <n v="72.67"/>
    <n v="72.67"/>
  </r>
  <r>
    <s v="upper"/>
    <x v="11"/>
    <n v="0"/>
    <n v="0"/>
    <n v="0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</r>
  <r>
    <s v="upper"/>
    <x v="11"/>
    <n v="0"/>
    <n v="0"/>
    <n v="0"/>
    <n v="178.56"/>
    <n v="178.56"/>
    <n v="178.56"/>
    <n v="178.56"/>
    <n v="178.56"/>
    <n v="178.56"/>
    <n v="178.56"/>
    <n v="178.56"/>
    <n v="178.56"/>
    <n v="178.56"/>
    <n v="178.56"/>
    <n v="178.56"/>
    <n v="178.56"/>
    <n v="178.56"/>
  </r>
  <r>
    <s v="upper"/>
    <x v="11"/>
    <n v="0"/>
    <n v="0"/>
    <n v="0"/>
    <n v="125.48"/>
    <n v="125.48"/>
    <n v="125.48"/>
    <n v="125.48"/>
    <n v="125.48"/>
    <n v="125.48"/>
    <n v="125.48"/>
    <n v="125.48"/>
    <n v="125.48"/>
    <n v="125.48"/>
    <n v="125.48"/>
    <n v="125.48"/>
    <n v="125.48"/>
    <n v="125.48"/>
  </r>
  <r>
    <s v="upper"/>
    <x v="11"/>
    <n v="0"/>
    <n v="0"/>
    <n v="0"/>
    <n v="82.28"/>
    <n v="82.28"/>
    <n v="82.28"/>
    <n v="82.28"/>
    <n v="82.28"/>
    <n v="82.28"/>
    <n v="82.28"/>
    <n v="82.28"/>
    <n v="82.28"/>
    <n v="82.28"/>
    <n v="82.28"/>
    <n v="82.28"/>
    <n v="82.28"/>
    <n v="82.28"/>
  </r>
  <r>
    <s v="upper"/>
    <x v="11"/>
    <n v="0"/>
    <n v="0"/>
    <n v="0"/>
    <n v="226.35"/>
    <n v="226.35"/>
    <n v="226.35"/>
    <n v="226.35"/>
    <n v="226.35"/>
    <n v="226.35"/>
    <n v="226.35"/>
    <n v="226.35"/>
    <n v="226.35"/>
    <n v="226.35"/>
    <n v="226.35"/>
    <n v="226.35"/>
    <n v="226.35"/>
    <n v="226.35"/>
  </r>
  <r>
    <s v="upper"/>
    <x v="11"/>
    <n v="0"/>
    <n v="0"/>
    <n v="0"/>
    <n v="23.5"/>
    <n v="23.5"/>
    <n v="23.5"/>
    <n v="23.5"/>
    <n v="23.5"/>
    <n v="23.5"/>
    <n v="23.5"/>
    <n v="23.5"/>
    <n v="23.5"/>
    <n v="23.5"/>
    <n v="23.5"/>
    <n v="23.5"/>
    <n v="23.5"/>
    <n v="23.5"/>
  </r>
  <r>
    <s v="upper"/>
    <x v="11"/>
    <n v="0"/>
    <n v="0"/>
    <n v="0"/>
    <n v="185.6"/>
    <n v="185.6"/>
    <n v="185.6"/>
    <n v="185.6"/>
    <n v="185.6"/>
    <n v="185.6"/>
    <n v="185.6"/>
    <n v="185.6"/>
    <n v="185.6"/>
    <n v="185.6"/>
    <n v="185.6"/>
    <n v="185.6"/>
    <n v="185.6"/>
    <n v="185.6"/>
  </r>
  <r>
    <s v="main"/>
    <x v="12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2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2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s v="main"/>
    <x v="12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s v="main"/>
    <x v="12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s v="main"/>
    <x v="12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s v="main"/>
    <x v="12"/>
    <n v="0"/>
    <n v="0"/>
    <n v="0"/>
    <n v="278.21749999999997"/>
    <n v="278.21749999999997"/>
    <n v="278.21749999999997"/>
    <n v="278.21749999999997"/>
    <n v="556.43499999999995"/>
    <n v="556.43499999999995"/>
    <n v="556.43499999999995"/>
    <n v="556.43499999999995"/>
    <n v="1112.8699999999999"/>
    <n v="1112.8699999999999"/>
    <n v="1112.8699999999999"/>
    <n v="1112.8699999999999"/>
    <n v="1112.8699999999999"/>
    <n v="1112.8699999999999"/>
  </r>
  <r>
    <s v="main"/>
    <x v="12"/>
    <n v="0"/>
    <n v="0"/>
    <n v="0"/>
    <n v="0"/>
    <n v="0"/>
    <n v="0"/>
    <n v="0"/>
    <n v="0"/>
    <n v="0"/>
    <n v="0"/>
    <n v="0"/>
    <n v="0"/>
    <n v="0"/>
    <n v="0"/>
    <n v="208.67"/>
    <n v="208.67"/>
    <n v="208.67"/>
  </r>
  <r>
    <s v="main"/>
    <x v="12"/>
    <n v="0"/>
    <n v="0"/>
    <n v="0"/>
    <n v="228.55"/>
    <n v="228.55"/>
    <n v="228.55"/>
    <n v="228.55"/>
    <n v="228.55"/>
    <n v="228.55"/>
    <n v="228.55"/>
    <n v="228.55"/>
    <n v="228.55"/>
    <n v="228.55"/>
    <n v="228.55"/>
    <n v="228.55"/>
    <n v="228.55"/>
    <n v="228.55"/>
  </r>
  <r>
    <s v="main"/>
    <x v="12"/>
    <n v="0"/>
    <n v="0"/>
    <n v="0"/>
    <n v="473.65"/>
    <n v="473.65"/>
    <n v="473.65"/>
    <n v="473.65"/>
    <n v="473.65"/>
    <n v="473.65"/>
    <n v="473.65"/>
    <n v="473.65"/>
    <n v="473.65"/>
    <n v="473.65"/>
    <n v="473.65"/>
    <n v="473.65"/>
    <n v="473.65"/>
    <n v="473.65"/>
  </r>
  <r>
    <s v="main"/>
    <x v="12"/>
    <n v="0"/>
    <n v="0"/>
    <n v="0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</r>
  <r>
    <s v="main"/>
    <x v="12"/>
    <n v="0"/>
    <n v="0"/>
    <n v="0"/>
    <n v="372.15"/>
    <n v="372.15"/>
    <n v="372.15"/>
    <n v="372.15"/>
    <n v="372.15"/>
    <n v="372.15"/>
    <n v="372.15"/>
    <n v="372.15"/>
    <n v="372.15"/>
    <n v="372.15"/>
    <n v="372.15"/>
    <n v="372.15"/>
    <n v="372.15"/>
    <n v="372.15"/>
  </r>
  <r>
    <s v="main"/>
    <x v="12"/>
    <n v="0"/>
    <n v="0"/>
    <n v="0"/>
    <n v="244"/>
    <n v="244"/>
    <n v="244"/>
    <n v="244"/>
    <n v="244"/>
    <n v="244"/>
    <n v="244"/>
    <n v="244"/>
    <n v="244"/>
    <n v="244"/>
    <n v="244"/>
    <n v="244"/>
    <n v="244"/>
    <n v="244"/>
  </r>
  <r>
    <s v="main"/>
    <x v="12"/>
    <n v="0"/>
    <n v="0"/>
    <n v="0"/>
    <n v="671.38"/>
    <n v="671.38"/>
    <n v="671.38"/>
    <n v="671.38"/>
    <n v="671.38"/>
    <n v="671.38"/>
    <n v="671.38"/>
    <n v="671.38"/>
    <n v="671.38"/>
    <n v="671.38"/>
    <n v="671.38"/>
    <n v="671.38"/>
    <n v="671.38"/>
    <n v="671.38"/>
  </r>
  <r>
    <s v="main"/>
    <x v="12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s v="main"/>
    <x v="12"/>
    <n v="0"/>
    <n v="0"/>
    <n v="0"/>
    <n v="583.52"/>
    <n v="583.52"/>
    <n v="583.52"/>
    <n v="583.52"/>
    <n v="583.52"/>
    <n v="583.52"/>
    <n v="583.52"/>
    <n v="583.52"/>
    <n v="583.52"/>
    <n v="583.52"/>
    <n v="583.52"/>
    <n v="583.52"/>
    <n v="583.52"/>
    <n v="583.52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1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13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13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13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13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13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1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1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1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13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13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1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13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13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1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3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3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main"/>
    <x v="13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13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s v="main"/>
    <x v="13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1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1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13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13"/>
    <n v="0"/>
    <n v="0"/>
    <n v="0"/>
    <n v="0"/>
    <n v="241.46"/>
    <n v="241.46"/>
    <n v="241.46"/>
    <n v="241.46"/>
    <n v="241.46"/>
    <n v="241.46"/>
    <n v="241.46"/>
    <n v="241.46"/>
    <n v="241.46"/>
    <n v="241.46"/>
    <n v="241.46"/>
    <n v="241.46"/>
    <n v="241.46"/>
  </r>
  <r>
    <s v="main"/>
    <x v="13"/>
    <n v="0"/>
    <n v="0"/>
    <n v="0"/>
    <n v="206.9725"/>
    <n v="206.9725"/>
    <n v="206.9725"/>
    <n v="206.9725"/>
    <n v="413.94499999999999"/>
    <n v="413.94499999999999"/>
    <n v="413.94499999999999"/>
    <n v="413.94499999999999"/>
    <n v="827.89"/>
    <n v="827.89"/>
    <n v="827.89"/>
    <n v="827.89"/>
    <n v="827.89"/>
    <n v="827.89"/>
  </r>
  <r>
    <s v="main"/>
    <x v="13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s v="main"/>
    <x v="13"/>
    <n v="0"/>
    <n v="0"/>
    <n v="0"/>
    <n v="174.97"/>
    <n v="174.97"/>
    <n v="174.97"/>
    <n v="174.97"/>
    <n v="174.97"/>
    <n v="174.97"/>
    <n v="174.97"/>
    <n v="174.97"/>
    <n v="174.97"/>
    <n v="174.97"/>
    <n v="174.97"/>
    <n v="174.97"/>
    <n v="174.97"/>
    <n v="174.97"/>
  </r>
  <r>
    <s v="main"/>
    <x v="13"/>
    <n v="0"/>
    <n v="0"/>
    <n v="0"/>
    <n v="39.232500000000002"/>
    <n v="39.232500000000002"/>
    <n v="39.232500000000002"/>
    <n v="39.232500000000002"/>
    <n v="78.465000000000003"/>
    <n v="78.465000000000003"/>
    <n v="78.465000000000003"/>
    <n v="78.465000000000003"/>
    <n v="156.93"/>
    <n v="156.93"/>
    <n v="156.93"/>
    <n v="156.93"/>
    <n v="156.93"/>
    <n v="156.93"/>
  </r>
  <r>
    <s v="main"/>
    <x v="13"/>
    <n v="0"/>
    <n v="0"/>
    <n v="0"/>
    <n v="0"/>
    <n v="0"/>
    <n v="0"/>
    <n v="0"/>
    <n v="0"/>
    <n v="0"/>
    <n v="0"/>
    <n v="0"/>
    <n v="0"/>
    <n v="0"/>
    <n v="0"/>
    <n v="29.42"/>
    <n v="29.42"/>
    <n v="29.42"/>
  </r>
  <r>
    <s v="main"/>
    <x v="13"/>
    <n v="0"/>
    <n v="0"/>
    <n v="0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</r>
  <r>
    <s v="main"/>
    <x v="13"/>
    <n v="0"/>
    <n v="0"/>
    <n v="0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</r>
  <r>
    <s v="main"/>
    <x v="13"/>
    <n v="0"/>
    <n v="0"/>
    <n v="0"/>
    <n v="79.16"/>
    <n v="79.16"/>
    <n v="79.16"/>
    <n v="79.16"/>
    <n v="79.16"/>
    <n v="79.16"/>
    <n v="79.16"/>
    <n v="79.16"/>
    <n v="79.16"/>
    <n v="79.16"/>
    <n v="79.16"/>
    <n v="79.16"/>
    <n v="79.16"/>
    <n v="79.16"/>
  </r>
  <r>
    <s v="main"/>
    <x v="13"/>
    <n v="0"/>
    <n v="0"/>
    <n v="0"/>
    <n v="61.45"/>
    <n v="61.45"/>
    <n v="61.45"/>
    <n v="61.45"/>
    <n v="61.45"/>
    <n v="61.45"/>
    <n v="61.45"/>
    <n v="61.45"/>
    <n v="61.45"/>
    <n v="61.45"/>
    <n v="61.45"/>
    <n v="61.45"/>
    <n v="61.45"/>
    <n v="61.45"/>
  </r>
  <r>
    <s v="main"/>
    <x v="13"/>
    <n v="0"/>
    <n v="0"/>
    <n v="0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</r>
  <r>
    <s v="main"/>
    <x v="13"/>
    <n v="0"/>
    <n v="0"/>
    <n v="0"/>
    <n v="110.87"/>
    <n v="110.87"/>
    <n v="110.87"/>
    <n v="110.87"/>
    <n v="110.87"/>
    <n v="110.87"/>
    <n v="110.87"/>
    <n v="110.87"/>
    <n v="110.87"/>
    <n v="110.87"/>
    <n v="110.87"/>
    <n v="110.87"/>
    <n v="110.87"/>
    <n v="110.87"/>
  </r>
  <r>
    <s v="main"/>
    <x v="13"/>
    <n v="0"/>
    <n v="0"/>
    <n v="0"/>
    <n v="10.42"/>
    <n v="10.42"/>
    <n v="10.42"/>
    <n v="10.42"/>
    <n v="10.42"/>
    <n v="10.42"/>
    <n v="10.42"/>
    <n v="10.42"/>
    <n v="10.42"/>
    <n v="10.42"/>
    <n v="10.42"/>
    <n v="10.42"/>
    <n v="10.42"/>
    <n v="10.42"/>
  </r>
  <r>
    <s v="main"/>
    <x v="13"/>
    <n v="0"/>
    <n v="0"/>
    <n v="0"/>
    <n v="82.28"/>
    <n v="82.28"/>
    <n v="82.28"/>
    <n v="82.28"/>
    <n v="82.28"/>
    <n v="82.28"/>
    <n v="82.28"/>
    <n v="82.28"/>
    <n v="82.28"/>
    <n v="82.28"/>
    <n v="82.28"/>
    <n v="82.28"/>
    <n v="82.28"/>
    <n v="82.28"/>
  </r>
  <r>
    <s v="upper"/>
    <x v="14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upper"/>
    <x v="14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upper"/>
    <x v="1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14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14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upper"/>
    <x v="1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4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s v="upper"/>
    <x v="14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upper"/>
    <x v="14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s v="upper"/>
    <x v="14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s v="upper"/>
    <x v="14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s v="upper"/>
    <x v="14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s v="upper"/>
    <x v="14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s v="upper"/>
    <x v="14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s v="upper"/>
    <x v="14"/>
    <n v="0"/>
    <n v="0"/>
    <n v="0"/>
    <n v="134.76"/>
    <n v="134.76"/>
    <n v="134.76"/>
    <n v="134.76"/>
    <n v="134.76"/>
    <n v="134.76"/>
    <n v="134.76"/>
    <n v="134.76"/>
    <n v="134.76"/>
    <n v="134.76"/>
    <n v="134.76"/>
    <n v="134.76"/>
    <n v="134.76"/>
    <n v="134.76"/>
  </r>
  <r>
    <s v="upper"/>
    <x v="14"/>
    <n v="0"/>
    <n v="0"/>
    <n v="0"/>
    <n v="159.72"/>
    <n v="159.72"/>
    <n v="159.72"/>
    <n v="159.72"/>
    <n v="159.72"/>
    <n v="159.72"/>
    <n v="159.72"/>
    <n v="159.72"/>
    <n v="159.72"/>
    <n v="159.72"/>
    <n v="159.72"/>
    <n v="159.72"/>
    <n v="159.72"/>
    <n v="159.72"/>
  </r>
  <r>
    <s v="upper"/>
    <x v="14"/>
    <n v="0"/>
    <n v="0"/>
    <n v="0"/>
    <n v="113.36"/>
    <n v="113.36"/>
    <n v="113.36"/>
    <n v="113.36"/>
    <n v="113.36"/>
    <n v="113.36"/>
    <n v="113.36"/>
    <n v="113.36"/>
    <n v="113.36"/>
    <n v="113.36"/>
    <n v="113.36"/>
    <n v="113.36"/>
    <n v="113.36"/>
    <n v="113.36"/>
  </r>
  <r>
    <s v="upper"/>
    <x v="14"/>
    <n v="0"/>
    <n v="0"/>
    <n v="0"/>
    <n v="74.31"/>
    <n v="74.31"/>
    <n v="74.31"/>
    <n v="74.31"/>
    <n v="74.31"/>
    <n v="74.31"/>
    <n v="74.31"/>
    <n v="74.31"/>
    <n v="74.31"/>
    <n v="74.31"/>
    <n v="74.31"/>
    <n v="74.31"/>
    <n v="74.31"/>
    <n v="74.31"/>
  </r>
  <r>
    <s v="upper"/>
    <x v="14"/>
    <n v="0"/>
    <n v="0"/>
    <n v="0"/>
    <n v="204.49"/>
    <n v="204.49"/>
    <n v="204.49"/>
    <n v="204.49"/>
    <n v="204.49"/>
    <n v="204.49"/>
    <n v="204.49"/>
    <n v="204.49"/>
    <n v="204.49"/>
    <n v="204.49"/>
    <n v="204.49"/>
    <n v="204.49"/>
    <n v="204.49"/>
    <n v="204.49"/>
  </r>
  <r>
    <s v="upper"/>
    <x v="14"/>
    <n v="0"/>
    <n v="0"/>
    <n v="0"/>
    <n v="21.02"/>
    <n v="21.02"/>
    <n v="21.02"/>
    <n v="21.02"/>
    <n v="21.02"/>
    <n v="21.02"/>
    <n v="21.02"/>
    <n v="21.02"/>
    <n v="21.02"/>
    <n v="21.02"/>
    <n v="21.02"/>
    <n v="21.02"/>
    <n v="21.02"/>
    <n v="21.02"/>
  </r>
  <r>
    <s v="upper"/>
    <x v="14"/>
    <n v="0"/>
    <n v="0"/>
    <n v="0"/>
    <n v="166"/>
    <n v="166"/>
    <n v="166"/>
    <n v="166"/>
    <n v="166"/>
    <n v="166"/>
    <n v="166"/>
    <n v="166"/>
    <n v="166"/>
    <n v="166"/>
    <n v="166"/>
    <n v="166"/>
    <n v="166"/>
    <n v="166"/>
  </r>
  <r>
    <s v="upper"/>
    <x v="1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15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upper"/>
    <x v="15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1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1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1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1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1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15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s v="upper"/>
    <x v="15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s v="upper"/>
    <x v="15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s v="upper"/>
    <x v="15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s v="upper"/>
    <x v="15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s v="upper"/>
    <x v="15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s v="upper"/>
    <x v="15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s v="upper"/>
    <x v="15"/>
    <n v="0"/>
    <n v="0"/>
    <n v="0"/>
    <n v="202.82"/>
    <n v="202.82"/>
    <n v="202.82"/>
    <n v="202.82"/>
    <n v="202.82"/>
    <n v="202.82"/>
    <n v="202.82"/>
    <n v="202.82"/>
    <n v="202.82"/>
    <n v="202.82"/>
    <n v="202.82"/>
    <n v="202.82"/>
    <n v="202.82"/>
    <n v="202.82"/>
  </r>
  <r>
    <s v="upper"/>
    <x v="15"/>
    <n v="0"/>
    <n v="0"/>
    <n v="0"/>
    <n v="240.38"/>
    <n v="240.38"/>
    <n v="240.38"/>
    <n v="240.38"/>
    <n v="240.38"/>
    <n v="240.38"/>
    <n v="240.38"/>
    <n v="240.38"/>
    <n v="240.38"/>
    <n v="240.38"/>
    <n v="240.38"/>
    <n v="240.38"/>
    <n v="240.38"/>
    <n v="240.38"/>
  </r>
  <r>
    <s v="upper"/>
    <x v="15"/>
    <n v="0"/>
    <n v="0"/>
    <n v="0"/>
    <n v="165.32"/>
    <n v="165.32"/>
    <n v="165.32"/>
    <n v="165.32"/>
    <n v="165.32"/>
    <n v="165.32"/>
    <n v="165.32"/>
    <n v="165.32"/>
    <n v="165.32"/>
    <n v="165.32"/>
    <n v="165.32"/>
    <n v="165.32"/>
    <n v="165.32"/>
    <n v="165.32"/>
  </r>
  <r>
    <s v="upper"/>
    <x v="15"/>
    <n v="0"/>
    <n v="0"/>
    <n v="0"/>
    <n v="108.38"/>
    <n v="108.38"/>
    <n v="108.38"/>
    <n v="108.38"/>
    <n v="108.38"/>
    <n v="108.38"/>
    <n v="108.38"/>
    <n v="108.38"/>
    <n v="108.38"/>
    <n v="108.38"/>
    <n v="108.38"/>
    <n v="108.38"/>
    <n v="108.38"/>
    <n v="108.38"/>
  </r>
  <r>
    <s v="upper"/>
    <x v="15"/>
    <n v="0"/>
    <n v="0"/>
    <n v="0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</r>
  <r>
    <s v="upper"/>
    <x v="15"/>
    <n v="0"/>
    <n v="0"/>
    <n v="0"/>
    <n v="31.64"/>
    <n v="31.64"/>
    <n v="31.64"/>
    <n v="31.64"/>
    <n v="31.64"/>
    <n v="31.64"/>
    <n v="31.64"/>
    <n v="31.64"/>
    <n v="31.64"/>
    <n v="31.64"/>
    <n v="31.64"/>
    <n v="31.64"/>
    <n v="31.64"/>
    <n v="31.64"/>
  </r>
  <r>
    <s v="upper"/>
    <x v="15"/>
    <n v="0"/>
    <n v="0"/>
    <n v="0"/>
    <n v="249.84"/>
    <n v="249.84"/>
    <n v="249.84"/>
    <n v="249.84"/>
    <n v="249.84"/>
    <n v="249.84"/>
    <n v="249.84"/>
    <n v="249.84"/>
    <n v="249.84"/>
    <n v="249.84"/>
    <n v="249.84"/>
    <n v="249.84"/>
    <n v="249.84"/>
    <n v="249.84"/>
  </r>
  <r>
    <s v="basement"/>
    <x v="1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15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basement"/>
    <x v="15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basement"/>
    <x v="1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1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1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15"/>
    <n v="0"/>
    <n v="0"/>
    <n v="0"/>
    <n v="0"/>
    <n v="222.64"/>
    <n v="222.64"/>
    <n v="222.64"/>
    <n v="222.64"/>
    <n v="222.64"/>
    <n v="222.64"/>
    <n v="222.64"/>
    <n v="222.64"/>
    <n v="222.64"/>
    <n v="222.64"/>
    <n v="222.64"/>
    <n v="222.64"/>
    <n v="222.64"/>
  </r>
  <r>
    <s v="basement"/>
    <x v="15"/>
    <n v="0"/>
    <n v="0"/>
    <n v="0"/>
    <n v="190.8475"/>
    <n v="190.8475"/>
    <n v="190.8475"/>
    <n v="190.8475"/>
    <n v="381.69499999999999"/>
    <n v="381.69499999999999"/>
    <n v="381.69499999999999"/>
    <n v="381.69499999999999"/>
    <n v="763.39"/>
    <n v="763.39"/>
    <n v="763.39"/>
    <n v="763.39"/>
    <n v="763.39"/>
    <n v="763.39"/>
  </r>
  <r>
    <s v="basement"/>
    <x v="15"/>
    <n v="0"/>
    <n v="0"/>
    <n v="0"/>
    <n v="42.88"/>
    <n v="42.88"/>
    <n v="42.88"/>
    <n v="42.88"/>
    <n v="42.88"/>
    <n v="42.88"/>
    <n v="42.88"/>
    <n v="42.88"/>
    <n v="42.88"/>
    <n v="42.88"/>
    <n v="42.88"/>
    <n v="42.88"/>
    <n v="42.88"/>
    <n v="42.88"/>
  </r>
  <r>
    <s v="basement"/>
    <x v="15"/>
    <n v="0"/>
    <n v="0"/>
    <n v="0"/>
    <n v="161.35"/>
    <n v="161.35"/>
    <n v="161.35"/>
    <n v="161.35"/>
    <n v="161.35"/>
    <n v="161.35"/>
    <n v="161.35"/>
    <n v="161.35"/>
    <n v="161.35"/>
    <n v="161.35"/>
    <n v="161.35"/>
    <n v="161.35"/>
    <n v="161.35"/>
    <n v="161.35"/>
  </r>
  <r>
    <s v="basement"/>
    <x v="15"/>
    <n v="0"/>
    <n v="0"/>
    <n v="0"/>
    <n v="34.282499999999999"/>
    <n v="34.282499999999999"/>
    <n v="34.282499999999999"/>
    <n v="34.282499999999999"/>
    <n v="68.564999999999998"/>
    <n v="68.564999999999998"/>
    <n v="68.564999999999998"/>
    <n v="68.564999999999998"/>
    <n v="137.13"/>
    <n v="137.13"/>
    <n v="137.13"/>
    <n v="137.13"/>
    <n v="137.13"/>
    <n v="137.13"/>
  </r>
  <r>
    <s v="basement"/>
    <x v="15"/>
    <n v="0"/>
    <n v="0"/>
    <n v="0"/>
    <n v="0"/>
    <n v="0"/>
    <n v="0"/>
    <n v="0"/>
    <n v="0"/>
    <n v="0"/>
    <n v="0"/>
    <n v="0"/>
    <n v="0"/>
    <n v="0"/>
    <n v="0"/>
    <n v="25.71"/>
    <n v="25.71"/>
    <n v="25.71"/>
  </r>
  <r>
    <s v="basement"/>
    <x v="15"/>
    <n v="0"/>
    <n v="0"/>
    <n v="0"/>
    <n v="28.17"/>
    <n v="28.17"/>
    <n v="28.17"/>
    <n v="28.17"/>
    <n v="28.17"/>
    <n v="28.17"/>
    <n v="28.17"/>
    <n v="28.17"/>
    <n v="28.17"/>
    <n v="28.17"/>
    <n v="28.17"/>
    <n v="28.17"/>
    <n v="28.17"/>
    <n v="28.17"/>
  </r>
  <r>
    <s v="basement"/>
    <x v="15"/>
    <n v="0"/>
    <n v="0"/>
    <n v="0"/>
    <n v="58.34"/>
    <n v="58.34"/>
    <n v="58.34"/>
    <n v="58.34"/>
    <n v="58.34"/>
    <n v="58.34"/>
    <n v="58.34"/>
    <n v="58.34"/>
    <n v="58.34"/>
    <n v="58.34"/>
    <n v="58.34"/>
    <n v="58.34"/>
    <n v="58.34"/>
    <n v="58.34"/>
  </r>
  <r>
    <s v="basement"/>
    <x v="15"/>
    <n v="0"/>
    <n v="0"/>
    <n v="0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</r>
  <r>
    <s v="basement"/>
    <x v="15"/>
    <n v="0"/>
    <n v="0"/>
    <n v="0"/>
    <n v="55.04"/>
    <n v="55.04"/>
    <n v="55.04"/>
    <n v="55.04"/>
    <n v="55.04"/>
    <n v="55.04"/>
    <n v="55.04"/>
    <n v="55.04"/>
    <n v="55.04"/>
    <n v="55.04"/>
    <n v="55.04"/>
    <n v="55.04"/>
    <n v="55.04"/>
    <n v="55.04"/>
  </r>
  <r>
    <s v="basement"/>
    <x v="15"/>
    <n v="0"/>
    <n v="0"/>
    <n v="0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</r>
  <r>
    <s v="basement"/>
    <x v="15"/>
    <n v="0"/>
    <n v="0"/>
    <n v="0"/>
    <n v="99.28"/>
    <n v="99.28"/>
    <n v="99.28"/>
    <n v="99.28"/>
    <n v="99.28"/>
    <n v="99.28"/>
    <n v="99.28"/>
    <n v="99.28"/>
    <n v="99.28"/>
    <n v="99.28"/>
    <n v="99.28"/>
    <n v="99.28"/>
    <n v="99.28"/>
    <n v="99.28"/>
  </r>
  <r>
    <s v="basement"/>
    <x v="15"/>
    <n v="0"/>
    <n v="0"/>
    <n v="0"/>
    <n v="9.11"/>
    <n v="9.11"/>
    <n v="9.11"/>
    <n v="9.11"/>
    <n v="9.11"/>
    <n v="9.11"/>
    <n v="9.11"/>
    <n v="9.11"/>
    <n v="9.11"/>
    <n v="9.11"/>
    <n v="9.11"/>
    <n v="9.11"/>
    <n v="9.11"/>
    <n v="9.11"/>
  </r>
  <r>
    <s v="basement"/>
    <x v="15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s v="upper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4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s v="upper"/>
    <x v="4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s v="upper"/>
    <x v="4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s v="upper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4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s v="upper"/>
    <x v="4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s v="upper"/>
    <x v="4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s v="upper"/>
    <x v="4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s v="upper"/>
    <x v="4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s v="upper"/>
    <x v="4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s v="upper"/>
    <x v="4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s v="upper"/>
    <x v="4"/>
    <n v="0"/>
    <n v="0"/>
    <n v="0"/>
    <n v="202.82"/>
    <n v="202.82"/>
    <n v="202.82"/>
    <n v="202.82"/>
    <n v="202.82"/>
    <n v="202.82"/>
    <n v="202.82"/>
    <n v="202.82"/>
    <n v="202.82"/>
    <n v="202.82"/>
    <n v="202.82"/>
    <n v="202.82"/>
    <n v="202.82"/>
    <n v="202.82"/>
  </r>
  <r>
    <s v="upper"/>
    <x v="4"/>
    <n v="0"/>
    <n v="0"/>
    <n v="0"/>
    <n v="240.38"/>
    <n v="240.38"/>
    <n v="240.38"/>
    <n v="240.38"/>
    <n v="240.38"/>
    <n v="240.38"/>
    <n v="240.38"/>
    <n v="240.38"/>
    <n v="240.38"/>
    <n v="240.38"/>
    <n v="240.38"/>
    <n v="240.38"/>
    <n v="240.38"/>
    <n v="240.38"/>
  </r>
  <r>
    <s v="upper"/>
    <x v="4"/>
    <n v="0"/>
    <n v="0"/>
    <n v="0"/>
    <n v="165.32"/>
    <n v="165.32"/>
    <n v="165.32"/>
    <n v="165.32"/>
    <n v="165.32"/>
    <n v="165.32"/>
    <n v="165.32"/>
    <n v="165.32"/>
    <n v="165.32"/>
    <n v="165.32"/>
    <n v="165.32"/>
    <n v="165.32"/>
    <n v="165.32"/>
    <n v="165.32"/>
  </r>
  <r>
    <s v="upper"/>
    <x v="4"/>
    <n v="0"/>
    <n v="0"/>
    <n v="0"/>
    <n v="108.38"/>
    <n v="108.38"/>
    <n v="108.38"/>
    <n v="108.38"/>
    <n v="108.38"/>
    <n v="108.38"/>
    <n v="108.38"/>
    <n v="108.38"/>
    <n v="108.38"/>
    <n v="108.38"/>
    <n v="108.38"/>
    <n v="108.38"/>
    <n v="108.38"/>
    <n v="108.38"/>
  </r>
  <r>
    <s v="upper"/>
    <x v="4"/>
    <n v="0"/>
    <n v="0"/>
    <n v="0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</r>
  <r>
    <s v="upper"/>
    <x v="4"/>
    <n v="0"/>
    <n v="0"/>
    <n v="0"/>
    <n v="31.64"/>
    <n v="31.64"/>
    <n v="31.64"/>
    <n v="31.64"/>
    <n v="31.64"/>
    <n v="31.64"/>
    <n v="31.64"/>
    <n v="31.64"/>
    <n v="31.64"/>
    <n v="31.64"/>
    <n v="31.64"/>
    <n v="31.64"/>
    <n v="31.64"/>
    <n v="31.64"/>
  </r>
  <r>
    <s v="upper"/>
    <x v="4"/>
    <n v="0"/>
    <n v="0"/>
    <n v="0"/>
    <n v="249.84"/>
    <n v="249.84"/>
    <n v="249.84"/>
    <n v="249.84"/>
    <n v="249.84"/>
    <n v="249.84"/>
    <n v="249.84"/>
    <n v="249.84"/>
    <n v="249.84"/>
    <n v="249.84"/>
    <n v="249.84"/>
    <n v="249.84"/>
    <n v="249.84"/>
    <n v="249.84"/>
  </r>
  <r>
    <s v="upper"/>
    <x v="9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9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9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9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9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9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9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s v="upper"/>
    <x v="9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s v="upper"/>
    <x v="9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s v="upper"/>
    <x v="9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s v="upper"/>
    <x v="9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s v="upper"/>
    <x v="9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s v="upper"/>
    <x v="9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s v="upper"/>
    <x v="9"/>
    <n v="0"/>
    <n v="0"/>
    <n v="0"/>
    <n v="284.63"/>
    <n v="284.63"/>
    <n v="284.63"/>
    <n v="284.63"/>
    <n v="284.63"/>
    <n v="284.63"/>
    <n v="284.63"/>
    <n v="284.63"/>
    <n v="284.63"/>
    <n v="284.63"/>
    <n v="284.63"/>
    <n v="284.63"/>
    <n v="284.63"/>
    <n v="284.63"/>
  </r>
  <r>
    <s v="upper"/>
    <x v="9"/>
    <n v="0"/>
    <n v="0"/>
    <n v="0"/>
    <n v="337.31"/>
    <n v="337.31"/>
    <n v="337.31"/>
    <n v="337.31"/>
    <n v="337.31"/>
    <n v="337.31"/>
    <n v="337.31"/>
    <n v="337.31"/>
    <n v="337.31"/>
    <n v="337.31"/>
    <n v="337.31"/>
    <n v="337.31"/>
    <n v="337.31"/>
    <n v="337.31"/>
  </r>
  <r>
    <s v="upper"/>
    <x v="9"/>
    <n v="0"/>
    <n v="0"/>
    <n v="0"/>
    <n v="227.8"/>
    <n v="227.8"/>
    <n v="227.8"/>
    <n v="227.8"/>
    <n v="227.8"/>
    <n v="227.8"/>
    <n v="227.8"/>
    <n v="227.8"/>
    <n v="227.8"/>
    <n v="227.8"/>
    <n v="227.8"/>
    <n v="227.8"/>
    <n v="227.8"/>
    <n v="227.8"/>
  </r>
  <r>
    <s v="upper"/>
    <x v="9"/>
    <n v="0"/>
    <n v="0"/>
    <n v="0"/>
    <n v="149.38"/>
    <n v="149.38"/>
    <n v="149.38"/>
    <n v="149.38"/>
    <n v="149.38"/>
    <n v="149.38"/>
    <n v="149.38"/>
    <n v="149.38"/>
    <n v="149.38"/>
    <n v="149.38"/>
    <n v="149.38"/>
    <n v="149.38"/>
    <n v="149.38"/>
    <n v="149.38"/>
  </r>
  <r>
    <s v="upper"/>
    <x v="9"/>
    <n v="0"/>
    <n v="0"/>
    <n v="0"/>
    <n v="410.98"/>
    <n v="410.98"/>
    <n v="410.98"/>
    <n v="410.98"/>
    <n v="410.98"/>
    <n v="410.98"/>
    <n v="410.98"/>
    <n v="410.98"/>
    <n v="410.98"/>
    <n v="410.98"/>
    <n v="410.98"/>
    <n v="410.98"/>
    <n v="410.98"/>
    <n v="410.98"/>
  </r>
  <r>
    <s v="upper"/>
    <x v="9"/>
    <n v="0"/>
    <n v="0"/>
    <n v="0"/>
    <n v="44.4"/>
    <n v="44.4"/>
    <n v="44.4"/>
    <n v="44.4"/>
    <n v="44.4"/>
    <n v="44.4"/>
    <n v="44.4"/>
    <n v="44.4"/>
    <n v="44.4"/>
    <n v="44.4"/>
    <n v="44.4"/>
    <n v="44.4"/>
    <n v="44.4"/>
    <n v="44.4"/>
  </r>
  <r>
    <s v="upper"/>
    <x v="9"/>
    <n v="0"/>
    <n v="0"/>
    <n v="0"/>
    <n v="350.59"/>
    <n v="350.59"/>
    <n v="350.59"/>
    <n v="350.59"/>
    <n v="350.59"/>
    <n v="350.59"/>
    <n v="350.59"/>
    <n v="350.59"/>
    <n v="350.59"/>
    <n v="350.59"/>
    <n v="350.59"/>
    <n v="350.59"/>
    <n v="350.59"/>
    <n v="350.59"/>
  </r>
  <r>
    <s v="main"/>
    <x v="16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6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6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6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6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s v="main"/>
    <x v="16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s v="main"/>
    <x v="16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s v="main"/>
    <x v="16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main"/>
    <x v="16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s v="main"/>
    <x v="16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6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s v="main"/>
    <x v="16"/>
    <n v="0"/>
    <n v="0"/>
    <n v="0"/>
    <n v="0"/>
    <n v="0"/>
    <n v="0"/>
    <n v="0"/>
    <n v="0"/>
    <n v="0"/>
    <n v="0"/>
    <n v="0"/>
    <n v="0"/>
    <n v="4031.8"/>
    <n v="4031.8"/>
    <n v="4031.8"/>
    <n v="4031.8"/>
    <n v="4031.8"/>
  </r>
  <r>
    <s v="main"/>
    <x v="16"/>
    <n v="0"/>
    <n v="0"/>
    <n v="0"/>
    <n v="0"/>
    <n v="6009.36"/>
    <n v="6009.36"/>
    <n v="6009.36"/>
    <n v="6009.36"/>
    <n v="6009.36"/>
    <n v="6009.36"/>
    <n v="6009.36"/>
    <n v="6009.36"/>
    <n v="6009.36"/>
    <n v="6009.36"/>
    <n v="6009.36"/>
    <n v="6009.36"/>
    <n v="6009.36"/>
  </r>
  <r>
    <s v="main"/>
    <x v="16"/>
    <n v="0"/>
    <n v="0"/>
    <n v="0"/>
    <n v="0"/>
    <n v="0"/>
    <n v="0"/>
    <n v="0"/>
    <n v="0"/>
    <n v="0"/>
    <n v="0"/>
    <n v="2202.56"/>
    <n v="2202.56"/>
    <n v="2202.56"/>
    <n v="2202.56"/>
    <n v="2202.56"/>
    <n v="2202.56"/>
    <n v="2202.56"/>
  </r>
  <r>
    <s v="main"/>
    <x v="16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16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s v="main"/>
    <x v="16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6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6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16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16"/>
    <n v="0"/>
    <n v="0"/>
    <n v="0"/>
    <n v="0"/>
    <n v="0"/>
    <n v="0"/>
    <n v="0"/>
    <n v="0"/>
    <n v="0"/>
    <n v="0"/>
    <n v="997.94"/>
    <n v="997.94"/>
    <n v="997.94"/>
    <n v="997.94"/>
    <n v="997.94"/>
    <n v="997.94"/>
    <n v="997.94"/>
  </r>
  <r>
    <s v="main"/>
    <x v="16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s v="main"/>
    <x v="16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s v="main"/>
    <x v="16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s v="main"/>
    <x v="16"/>
    <n v="0"/>
    <n v="0"/>
    <n v="0"/>
    <n v="0"/>
    <n v="484.52"/>
    <n v="484.52"/>
    <n v="484.52"/>
    <n v="484.52"/>
    <n v="484.52"/>
    <n v="484.52"/>
    <n v="484.52"/>
    <n v="484.52"/>
    <n v="484.52"/>
    <n v="484.52"/>
    <n v="484.52"/>
    <n v="484.52"/>
    <n v="484.52"/>
  </r>
  <r>
    <s v="main"/>
    <x v="16"/>
    <n v="0"/>
    <n v="0"/>
    <n v="0"/>
    <n v="415.29500000000002"/>
    <n v="415.29500000000002"/>
    <n v="415.29500000000002"/>
    <n v="415.29500000000002"/>
    <n v="830.59"/>
    <n v="830.59"/>
    <n v="830.59"/>
    <n v="830.59"/>
    <n v="1661.18"/>
    <n v="1661.18"/>
    <n v="1661.18"/>
    <n v="1661.18"/>
    <n v="1661.18"/>
    <n v="1661.18"/>
  </r>
  <r>
    <s v="main"/>
    <x v="16"/>
    <n v="0"/>
    <n v="0"/>
    <n v="0"/>
    <n v="93.33"/>
    <n v="93.33"/>
    <n v="93.33"/>
    <n v="93.33"/>
    <n v="93.33"/>
    <n v="93.33"/>
    <n v="93.33"/>
    <n v="93.33"/>
    <n v="93.33"/>
    <n v="93.33"/>
    <n v="93.33"/>
    <n v="93.33"/>
    <n v="93.33"/>
    <n v="93.33"/>
  </r>
  <r>
    <s v="main"/>
    <x v="16"/>
    <n v="0"/>
    <n v="0"/>
    <n v="0"/>
    <n v="351.02"/>
    <n v="351.02"/>
    <n v="351.02"/>
    <n v="351.02"/>
    <n v="351.02"/>
    <n v="351.02"/>
    <n v="351.02"/>
    <n v="351.02"/>
    <n v="351.02"/>
    <n v="351.02"/>
    <n v="351.02"/>
    <n v="351.02"/>
    <n v="351.02"/>
    <n v="351.02"/>
  </r>
  <r>
    <s v="main"/>
    <x v="16"/>
    <n v="0"/>
    <n v="0"/>
    <n v="0"/>
    <n v="163.22499999999999"/>
    <n v="163.22499999999999"/>
    <n v="163.22499999999999"/>
    <n v="163.22499999999999"/>
    <n v="326.45"/>
    <n v="326.45"/>
    <n v="326.45"/>
    <n v="326.45"/>
    <n v="652.9"/>
    <n v="652.9"/>
    <n v="652.9"/>
    <n v="652.9"/>
    <n v="652.9"/>
    <n v="652.9"/>
  </r>
  <r>
    <s v="main"/>
    <x v="16"/>
    <n v="0"/>
    <n v="0"/>
    <n v="0"/>
    <n v="0"/>
    <n v="0"/>
    <n v="0"/>
    <n v="0"/>
    <n v="0"/>
    <n v="0"/>
    <n v="0"/>
    <n v="0"/>
    <n v="0"/>
    <n v="0"/>
    <n v="0"/>
    <n v="122.42"/>
    <n v="122.42"/>
    <n v="122.42"/>
  </r>
  <r>
    <s v="main"/>
    <x v="16"/>
    <n v="0"/>
    <n v="0"/>
    <n v="0"/>
    <n v="134.07"/>
    <n v="134.07"/>
    <n v="134.07"/>
    <n v="134.07"/>
    <n v="134.07"/>
    <n v="134.07"/>
    <n v="134.07"/>
    <n v="134.07"/>
    <n v="134.07"/>
    <n v="134.07"/>
    <n v="134.07"/>
    <n v="134.07"/>
    <n v="134.07"/>
    <n v="134.07"/>
  </r>
  <r>
    <s v="main"/>
    <x v="16"/>
    <n v="0"/>
    <n v="0"/>
    <n v="0"/>
    <n v="277.93"/>
    <n v="277.93"/>
    <n v="277.93"/>
    <n v="277.93"/>
    <n v="277.93"/>
    <n v="277.93"/>
    <n v="277.93"/>
    <n v="277.93"/>
    <n v="277.93"/>
    <n v="277.93"/>
    <n v="277.93"/>
    <n v="277.93"/>
    <n v="277.93"/>
    <n v="277.93"/>
  </r>
  <r>
    <s v="main"/>
    <x v="16"/>
    <n v="0"/>
    <n v="0"/>
    <n v="0"/>
    <n v="329.36"/>
    <n v="329.36"/>
    <n v="329.36"/>
    <n v="329.36"/>
    <n v="329.36"/>
    <n v="329.36"/>
    <n v="329.36"/>
    <n v="329.36"/>
    <n v="329.36"/>
    <n v="329.36"/>
    <n v="329.36"/>
    <n v="329.36"/>
    <n v="329.36"/>
    <n v="329.36"/>
  </r>
  <r>
    <s v="main"/>
    <x v="16"/>
    <n v="0"/>
    <n v="0"/>
    <n v="0"/>
    <n v="222.71"/>
    <n v="222.71"/>
    <n v="222.71"/>
    <n v="222.71"/>
    <n v="222.71"/>
    <n v="222.71"/>
    <n v="222.71"/>
    <n v="222.71"/>
    <n v="222.71"/>
    <n v="222.71"/>
    <n v="222.71"/>
    <n v="222.71"/>
    <n v="222.71"/>
    <n v="222.71"/>
  </r>
  <r>
    <s v="main"/>
    <x v="16"/>
    <n v="0"/>
    <n v="0"/>
    <n v="0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</r>
  <r>
    <s v="main"/>
    <x v="16"/>
    <n v="0"/>
    <n v="0"/>
    <n v="0"/>
    <n v="401.76"/>
    <n v="401.76"/>
    <n v="401.76"/>
    <n v="401.76"/>
    <n v="401.76"/>
    <n v="401.76"/>
    <n v="401.76"/>
    <n v="401.76"/>
    <n v="401.76"/>
    <n v="401.76"/>
    <n v="401.76"/>
    <n v="401.76"/>
    <n v="401.76"/>
    <n v="401.76"/>
  </r>
  <r>
    <s v="main"/>
    <x v="16"/>
    <n v="0"/>
    <n v="0"/>
    <n v="0"/>
    <n v="43.34"/>
    <n v="43.34"/>
    <n v="43.34"/>
    <n v="43.34"/>
    <n v="43.34"/>
    <n v="43.34"/>
    <n v="43.34"/>
    <n v="43.34"/>
    <n v="43.34"/>
    <n v="43.34"/>
    <n v="43.34"/>
    <n v="43.34"/>
    <n v="43.34"/>
    <n v="43.34"/>
  </r>
  <r>
    <s v="main"/>
    <x v="16"/>
    <n v="0"/>
    <n v="0"/>
    <n v="0"/>
    <n v="342.32"/>
    <n v="342.32"/>
    <n v="342.32"/>
    <n v="342.32"/>
    <n v="342.32"/>
    <n v="342.32"/>
    <n v="342.32"/>
    <n v="342.32"/>
    <n v="342.32"/>
    <n v="342.32"/>
    <n v="342.32"/>
    <n v="342.32"/>
    <n v="342.32"/>
    <n v="342.32"/>
  </r>
  <r>
    <s v="upper"/>
    <x v="9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9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9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9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9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9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9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s v="upper"/>
    <x v="9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s v="upper"/>
    <x v="9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s v="upper"/>
    <x v="9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s v="upper"/>
    <x v="9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s v="upper"/>
    <x v="9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s v="upper"/>
    <x v="9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s v="upper"/>
    <x v="9"/>
    <n v="0"/>
    <n v="0"/>
    <n v="0"/>
    <n v="284.63"/>
    <n v="284.63"/>
    <n v="284.63"/>
    <n v="284.63"/>
    <n v="284.63"/>
    <n v="284.63"/>
    <n v="284.63"/>
    <n v="284.63"/>
    <n v="284.63"/>
    <n v="284.63"/>
    <n v="284.63"/>
    <n v="284.63"/>
    <n v="284.63"/>
    <n v="284.63"/>
  </r>
  <r>
    <s v="upper"/>
    <x v="9"/>
    <n v="0"/>
    <n v="0"/>
    <n v="0"/>
    <n v="337.31"/>
    <n v="337.31"/>
    <n v="337.31"/>
    <n v="337.31"/>
    <n v="337.31"/>
    <n v="337.31"/>
    <n v="337.31"/>
    <n v="337.31"/>
    <n v="337.31"/>
    <n v="337.31"/>
    <n v="337.31"/>
    <n v="337.31"/>
    <n v="337.31"/>
    <n v="337.31"/>
  </r>
  <r>
    <s v="upper"/>
    <x v="9"/>
    <n v="0"/>
    <n v="0"/>
    <n v="0"/>
    <n v="227.8"/>
    <n v="227.8"/>
    <n v="227.8"/>
    <n v="227.8"/>
    <n v="227.8"/>
    <n v="227.8"/>
    <n v="227.8"/>
    <n v="227.8"/>
    <n v="227.8"/>
    <n v="227.8"/>
    <n v="227.8"/>
    <n v="227.8"/>
    <n v="227.8"/>
    <n v="227.8"/>
  </r>
  <r>
    <s v="upper"/>
    <x v="9"/>
    <n v="0"/>
    <n v="0"/>
    <n v="0"/>
    <n v="149.38"/>
    <n v="149.38"/>
    <n v="149.38"/>
    <n v="149.38"/>
    <n v="149.38"/>
    <n v="149.38"/>
    <n v="149.38"/>
    <n v="149.38"/>
    <n v="149.38"/>
    <n v="149.38"/>
    <n v="149.38"/>
    <n v="149.38"/>
    <n v="149.38"/>
    <n v="149.38"/>
  </r>
  <r>
    <s v="upper"/>
    <x v="9"/>
    <n v="0"/>
    <n v="0"/>
    <n v="0"/>
    <n v="410.98"/>
    <n v="410.98"/>
    <n v="410.98"/>
    <n v="410.98"/>
    <n v="410.98"/>
    <n v="410.98"/>
    <n v="410.98"/>
    <n v="410.98"/>
    <n v="410.98"/>
    <n v="410.98"/>
    <n v="410.98"/>
    <n v="410.98"/>
    <n v="410.98"/>
    <n v="410.98"/>
  </r>
  <r>
    <s v="upper"/>
    <x v="9"/>
    <n v="0"/>
    <n v="0"/>
    <n v="0"/>
    <n v="44.4"/>
    <n v="44.4"/>
    <n v="44.4"/>
    <n v="44.4"/>
    <n v="44.4"/>
    <n v="44.4"/>
    <n v="44.4"/>
    <n v="44.4"/>
    <n v="44.4"/>
    <n v="44.4"/>
    <n v="44.4"/>
    <n v="44.4"/>
    <n v="44.4"/>
    <n v="44.4"/>
  </r>
  <r>
    <s v="upper"/>
    <x v="9"/>
    <n v="0"/>
    <n v="0"/>
    <n v="0"/>
    <n v="350.59"/>
    <n v="350.59"/>
    <n v="350.59"/>
    <n v="350.59"/>
    <n v="350.59"/>
    <n v="350.59"/>
    <n v="350.59"/>
    <n v="350.59"/>
    <n v="350.59"/>
    <n v="350.59"/>
    <n v="350.59"/>
    <n v="350.59"/>
    <n v="350.59"/>
    <n v="350.59"/>
  </r>
  <r>
    <s v="basement"/>
    <x v="9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9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9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9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9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9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9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s v="basement"/>
    <x v="9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s v="basement"/>
    <x v="9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s v="basement"/>
    <x v="9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s v="basement"/>
    <x v="9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s v="basement"/>
    <x v="9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s v="basement"/>
    <x v="9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s v="basement"/>
    <x v="9"/>
    <n v="0"/>
    <n v="0"/>
    <n v="0"/>
    <n v="284.63"/>
    <n v="284.63"/>
    <n v="284.63"/>
    <n v="284.63"/>
    <n v="284.63"/>
    <n v="284.63"/>
    <n v="284.63"/>
    <n v="284.63"/>
    <n v="284.63"/>
    <n v="284.63"/>
    <n v="284.63"/>
    <n v="284.63"/>
    <n v="284.63"/>
    <n v="284.63"/>
  </r>
  <r>
    <s v="basement"/>
    <x v="9"/>
    <n v="0"/>
    <n v="0"/>
    <n v="0"/>
    <n v="337.31"/>
    <n v="337.31"/>
    <n v="337.31"/>
    <n v="337.31"/>
    <n v="337.31"/>
    <n v="337.31"/>
    <n v="337.31"/>
    <n v="337.31"/>
    <n v="337.31"/>
    <n v="337.31"/>
    <n v="337.31"/>
    <n v="337.31"/>
    <n v="337.31"/>
    <n v="337.31"/>
  </r>
  <r>
    <s v="basement"/>
    <x v="9"/>
    <n v="0"/>
    <n v="0"/>
    <n v="0"/>
    <n v="227.8"/>
    <n v="227.8"/>
    <n v="227.8"/>
    <n v="227.8"/>
    <n v="227.8"/>
    <n v="227.8"/>
    <n v="227.8"/>
    <n v="227.8"/>
    <n v="227.8"/>
    <n v="227.8"/>
    <n v="227.8"/>
    <n v="227.8"/>
    <n v="227.8"/>
    <n v="227.8"/>
  </r>
  <r>
    <s v="basement"/>
    <x v="9"/>
    <n v="0"/>
    <n v="0"/>
    <n v="0"/>
    <n v="149.38"/>
    <n v="149.38"/>
    <n v="149.38"/>
    <n v="149.38"/>
    <n v="149.38"/>
    <n v="149.38"/>
    <n v="149.38"/>
    <n v="149.38"/>
    <n v="149.38"/>
    <n v="149.38"/>
    <n v="149.38"/>
    <n v="149.38"/>
    <n v="149.38"/>
    <n v="149.38"/>
  </r>
  <r>
    <s v="basement"/>
    <x v="9"/>
    <n v="0"/>
    <n v="0"/>
    <n v="0"/>
    <n v="410.98"/>
    <n v="410.98"/>
    <n v="410.98"/>
    <n v="410.98"/>
    <n v="410.98"/>
    <n v="410.98"/>
    <n v="410.98"/>
    <n v="410.98"/>
    <n v="410.98"/>
    <n v="410.98"/>
    <n v="410.98"/>
    <n v="410.98"/>
    <n v="410.98"/>
    <n v="410.98"/>
  </r>
  <r>
    <s v="basement"/>
    <x v="9"/>
    <n v="0"/>
    <n v="0"/>
    <n v="0"/>
    <n v="44.4"/>
    <n v="44.4"/>
    <n v="44.4"/>
    <n v="44.4"/>
    <n v="44.4"/>
    <n v="44.4"/>
    <n v="44.4"/>
    <n v="44.4"/>
    <n v="44.4"/>
    <n v="44.4"/>
    <n v="44.4"/>
    <n v="44.4"/>
    <n v="44.4"/>
    <n v="44.4"/>
  </r>
  <r>
    <s v="basement"/>
    <x v="9"/>
    <n v="0"/>
    <n v="0"/>
    <n v="0"/>
    <n v="350.59"/>
    <n v="350.59"/>
    <n v="350.59"/>
    <n v="350.59"/>
    <n v="350.59"/>
    <n v="350.59"/>
    <n v="350.59"/>
    <n v="350.59"/>
    <n v="350.59"/>
    <n v="350.59"/>
    <n v="350.59"/>
    <n v="350.59"/>
    <n v="350.59"/>
    <n v="350.59"/>
  </r>
  <r>
    <s v="basement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11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11"/>
    <n v="0"/>
    <n v="0"/>
    <n v="0"/>
    <n v="0"/>
    <n v="354.36"/>
    <n v="354.36"/>
    <n v="354.36"/>
    <n v="354.36"/>
    <n v="354.36"/>
    <n v="354.36"/>
    <n v="354.36"/>
    <n v="354.36"/>
    <n v="354.36"/>
    <n v="354.36"/>
    <n v="354.36"/>
    <n v="354.36"/>
    <n v="354.36"/>
  </r>
  <r>
    <s v="basement"/>
    <x v="11"/>
    <n v="0"/>
    <n v="0"/>
    <n v="0"/>
    <n v="303.74250000000001"/>
    <n v="303.74250000000001"/>
    <n v="303.74250000000001"/>
    <n v="303.74250000000001"/>
    <n v="607.48500000000001"/>
    <n v="607.48500000000001"/>
    <n v="607.48500000000001"/>
    <n v="607.48500000000001"/>
    <n v="1214.97"/>
    <n v="1214.97"/>
    <n v="1214.97"/>
    <n v="1214.97"/>
    <n v="1214.97"/>
    <n v="1214.97"/>
  </r>
  <r>
    <s v="basement"/>
    <x v="11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s v="basement"/>
    <x v="11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s v="basement"/>
    <x v="11"/>
    <n v="0"/>
    <n v="0"/>
    <n v="0"/>
    <n v="59.807499999999997"/>
    <n v="59.807499999999997"/>
    <n v="59.807499999999997"/>
    <n v="59.807499999999997"/>
    <n v="119.61499999999999"/>
    <n v="119.61499999999999"/>
    <n v="119.61499999999999"/>
    <n v="119.61499999999999"/>
    <n v="239.23"/>
    <n v="239.23"/>
    <n v="239.23"/>
    <n v="239.23"/>
    <n v="239.23"/>
    <n v="239.23"/>
  </r>
  <r>
    <s v="basement"/>
    <x v="11"/>
    <n v="0"/>
    <n v="0"/>
    <n v="0"/>
    <n v="0"/>
    <n v="0"/>
    <n v="0"/>
    <n v="0"/>
    <n v="0"/>
    <n v="0"/>
    <n v="0"/>
    <n v="0"/>
    <n v="0"/>
    <n v="0"/>
    <n v="0"/>
    <n v="44.86"/>
    <n v="44.86"/>
    <n v="44.86"/>
  </r>
  <r>
    <s v="basement"/>
    <x v="11"/>
    <n v="0"/>
    <n v="0"/>
    <n v="0"/>
    <n v="49.12"/>
    <n v="49.12"/>
    <n v="49.12"/>
    <n v="49.12"/>
    <n v="49.12"/>
    <n v="49.12"/>
    <n v="49.12"/>
    <n v="49.12"/>
    <n v="49.12"/>
    <n v="49.12"/>
    <n v="49.12"/>
    <n v="49.12"/>
    <n v="49.12"/>
    <n v="49.12"/>
  </r>
  <r>
    <s v="basement"/>
    <x v="11"/>
    <n v="0"/>
    <n v="0"/>
    <n v="0"/>
    <n v="101.83"/>
    <n v="101.83"/>
    <n v="101.83"/>
    <n v="101.83"/>
    <n v="101.83"/>
    <n v="101.83"/>
    <n v="101.83"/>
    <n v="101.83"/>
    <n v="101.83"/>
    <n v="101.83"/>
    <n v="101.83"/>
    <n v="101.83"/>
    <n v="101.83"/>
    <n v="101.83"/>
  </r>
  <r>
    <s v="basement"/>
    <x v="11"/>
    <n v="0"/>
    <n v="0"/>
    <n v="0"/>
    <n v="120.72"/>
    <n v="120.72"/>
    <n v="120.72"/>
    <n v="120.72"/>
    <n v="120.72"/>
    <n v="120.72"/>
    <n v="120.72"/>
    <n v="120.72"/>
    <n v="120.72"/>
    <n v="120.72"/>
    <n v="120.72"/>
    <n v="120.72"/>
    <n v="120.72"/>
    <n v="120.72"/>
  </r>
  <r>
    <s v="basement"/>
    <x v="11"/>
    <n v="0"/>
    <n v="0"/>
    <n v="0"/>
    <n v="88.27"/>
    <n v="88.27"/>
    <n v="88.27"/>
    <n v="88.27"/>
    <n v="88.27"/>
    <n v="88.27"/>
    <n v="88.27"/>
    <n v="88.27"/>
    <n v="88.27"/>
    <n v="88.27"/>
    <n v="88.27"/>
    <n v="88.27"/>
    <n v="88.27"/>
    <n v="88.27"/>
  </r>
  <r>
    <s v="basement"/>
    <x v="11"/>
    <n v="0"/>
    <n v="0"/>
    <n v="0"/>
    <n v="57.86"/>
    <n v="57.86"/>
    <n v="57.86"/>
    <n v="57.86"/>
    <n v="57.86"/>
    <n v="57.86"/>
    <n v="57.86"/>
    <n v="57.86"/>
    <n v="57.86"/>
    <n v="57.86"/>
    <n v="57.86"/>
    <n v="57.86"/>
    <n v="57.86"/>
    <n v="57.86"/>
  </r>
  <r>
    <s v="basement"/>
    <x v="11"/>
    <n v="0"/>
    <n v="0"/>
    <n v="0"/>
    <n v="159.22"/>
    <n v="159.22"/>
    <n v="159.22"/>
    <n v="159.22"/>
    <n v="159.22"/>
    <n v="159.22"/>
    <n v="159.22"/>
    <n v="159.22"/>
    <n v="159.22"/>
    <n v="159.22"/>
    <n v="159.22"/>
    <n v="159.22"/>
    <n v="159.22"/>
    <n v="159.22"/>
  </r>
  <r>
    <s v="basement"/>
    <x v="11"/>
    <n v="0"/>
    <n v="0"/>
    <n v="0"/>
    <n v="15.88"/>
    <n v="15.88"/>
    <n v="15.88"/>
    <n v="15.88"/>
    <n v="15.88"/>
    <n v="15.88"/>
    <n v="15.88"/>
    <n v="15.88"/>
    <n v="15.88"/>
    <n v="15.88"/>
    <n v="15.88"/>
    <n v="15.88"/>
    <n v="15.88"/>
    <n v="15.88"/>
  </r>
  <r>
    <s v="basement"/>
    <x v="11"/>
    <n v="0"/>
    <n v="0"/>
    <n v="0"/>
    <n v="125.48"/>
    <n v="125.48"/>
    <n v="125.48"/>
    <n v="125.48"/>
    <n v="125.48"/>
    <n v="125.48"/>
    <n v="125.48"/>
    <n v="125.48"/>
    <n v="125.48"/>
    <n v="125.48"/>
    <n v="125.48"/>
    <n v="125.48"/>
    <n v="125.48"/>
    <n v="125.48"/>
  </r>
  <r>
    <s v="main"/>
    <x v="11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main"/>
    <x v="11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390.44"/>
    <n v="390.44"/>
    <n v="390.44"/>
    <n v="390.44"/>
    <n v="390.44"/>
    <n v="390.44"/>
    <n v="390.44"/>
    <n v="390.44"/>
    <n v="390.44"/>
    <n v="390.44"/>
    <n v="390.44"/>
    <n v="390.44"/>
    <n v="390.44"/>
  </r>
  <r>
    <s v="main"/>
    <x v="11"/>
    <n v="0"/>
    <n v="0"/>
    <n v="0"/>
    <n v="334.65499999999997"/>
    <n v="334.65499999999997"/>
    <n v="334.65499999999997"/>
    <n v="334.65499999999997"/>
    <n v="669.31"/>
    <n v="669.31"/>
    <n v="669.31"/>
    <n v="669.31"/>
    <n v="1338.62"/>
    <n v="1338.62"/>
    <n v="1338.62"/>
    <n v="1338.62"/>
    <n v="1338.62"/>
    <n v="1338.62"/>
  </r>
  <r>
    <s v="main"/>
    <x v="11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s v="main"/>
    <x v="11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s v="main"/>
    <x v="11"/>
    <n v="0"/>
    <n v="0"/>
    <n v="0"/>
    <n v="88.462500000000006"/>
    <n v="88.462500000000006"/>
    <n v="88.462500000000006"/>
    <n v="88.462500000000006"/>
    <n v="176.92500000000001"/>
    <n v="176.92500000000001"/>
    <n v="176.92500000000001"/>
    <n v="176.92500000000001"/>
    <n v="353.85"/>
    <n v="353.85"/>
    <n v="353.85"/>
    <n v="353.85"/>
    <n v="353.85"/>
    <n v="353.85"/>
  </r>
  <r>
    <s v="main"/>
    <x v="11"/>
    <n v="0"/>
    <n v="0"/>
    <n v="0"/>
    <n v="0"/>
    <n v="0"/>
    <n v="0"/>
    <n v="0"/>
    <n v="0"/>
    <n v="0"/>
    <n v="0"/>
    <n v="0"/>
    <n v="0"/>
    <n v="0"/>
    <n v="0"/>
    <n v="66.349999999999994"/>
    <n v="66.349999999999994"/>
    <n v="66.349999999999994"/>
  </r>
  <r>
    <s v="main"/>
    <x v="11"/>
    <n v="0"/>
    <n v="0"/>
    <n v="0"/>
    <n v="72.67"/>
    <n v="72.67"/>
    <n v="72.67"/>
    <n v="72.67"/>
    <n v="72.67"/>
    <n v="72.67"/>
    <n v="72.67"/>
    <n v="72.67"/>
    <n v="72.67"/>
    <n v="72.67"/>
    <n v="72.67"/>
    <n v="72.67"/>
    <n v="72.67"/>
    <n v="72.67"/>
  </r>
  <r>
    <s v="main"/>
    <x v="11"/>
    <n v="0"/>
    <n v="0"/>
    <n v="0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</r>
  <r>
    <s v="main"/>
    <x v="11"/>
    <n v="0"/>
    <n v="0"/>
    <n v="0"/>
    <n v="178.56"/>
    <n v="178.56"/>
    <n v="178.56"/>
    <n v="178.56"/>
    <n v="178.56"/>
    <n v="178.56"/>
    <n v="178.56"/>
    <n v="178.56"/>
    <n v="178.56"/>
    <n v="178.56"/>
    <n v="178.56"/>
    <n v="178.56"/>
    <n v="178.56"/>
    <n v="178.56"/>
  </r>
  <r>
    <s v="main"/>
    <x v="11"/>
    <n v="0"/>
    <n v="0"/>
    <n v="0"/>
    <n v="125.48"/>
    <n v="125.48"/>
    <n v="125.48"/>
    <n v="125.48"/>
    <n v="125.48"/>
    <n v="125.48"/>
    <n v="125.48"/>
    <n v="125.48"/>
    <n v="125.48"/>
    <n v="125.48"/>
    <n v="125.48"/>
    <n v="125.48"/>
    <n v="125.48"/>
    <n v="125.48"/>
  </r>
  <r>
    <s v="main"/>
    <x v="11"/>
    <n v="0"/>
    <n v="0"/>
    <n v="0"/>
    <n v="82.28"/>
    <n v="82.28"/>
    <n v="82.28"/>
    <n v="82.28"/>
    <n v="82.28"/>
    <n v="82.28"/>
    <n v="82.28"/>
    <n v="82.28"/>
    <n v="82.28"/>
    <n v="82.28"/>
    <n v="82.28"/>
    <n v="82.28"/>
    <n v="82.28"/>
    <n v="82.28"/>
  </r>
  <r>
    <s v="main"/>
    <x v="11"/>
    <n v="0"/>
    <n v="0"/>
    <n v="0"/>
    <n v="226.35"/>
    <n v="226.35"/>
    <n v="226.35"/>
    <n v="226.35"/>
    <n v="226.35"/>
    <n v="226.35"/>
    <n v="226.35"/>
    <n v="226.35"/>
    <n v="226.35"/>
    <n v="226.35"/>
    <n v="226.35"/>
    <n v="226.35"/>
    <n v="226.35"/>
    <n v="226.35"/>
  </r>
  <r>
    <s v="main"/>
    <x v="11"/>
    <n v="0"/>
    <n v="0"/>
    <n v="0"/>
    <n v="23.5"/>
    <n v="23.5"/>
    <n v="23.5"/>
    <n v="23.5"/>
    <n v="23.5"/>
    <n v="23.5"/>
    <n v="23.5"/>
    <n v="23.5"/>
    <n v="23.5"/>
    <n v="23.5"/>
    <n v="23.5"/>
    <n v="23.5"/>
    <n v="23.5"/>
    <n v="23.5"/>
  </r>
  <r>
    <s v="main"/>
    <x v="11"/>
    <n v="0"/>
    <n v="0"/>
    <n v="0"/>
    <n v="185.6"/>
    <n v="185.6"/>
    <n v="185.6"/>
    <n v="185.6"/>
    <n v="185.6"/>
    <n v="185.6"/>
    <n v="185.6"/>
    <n v="185.6"/>
    <n v="185.6"/>
    <n v="185.6"/>
    <n v="185.6"/>
    <n v="185.6"/>
    <n v="185.6"/>
    <n v="185.6"/>
  </r>
  <r>
    <s v="basement"/>
    <x v="9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9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9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9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9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9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9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s v="basement"/>
    <x v="9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s v="basement"/>
    <x v="9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s v="basement"/>
    <x v="9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s v="basement"/>
    <x v="9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s v="basement"/>
    <x v="9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s v="basement"/>
    <x v="9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s v="basement"/>
    <x v="9"/>
    <n v="0"/>
    <n v="0"/>
    <n v="0"/>
    <n v="284.63"/>
    <n v="284.63"/>
    <n v="284.63"/>
    <n v="284.63"/>
    <n v="284.63"/>
    <n v="284.63"/>
    <n v="284.63"/>
    <n v="284.63"/>
    <n v="284.63"/>
    <n v="284.63"/>
    <n v="284.63"/>
    <n v="284.63"/>
    <n v="284.63"/>
    <n v="284.63"/>
  </r>
  <r>
    <s v="basement"/>
    <x v="9"/>
    <n v="0"/>
    <n v="0"/>
    <n v="0"/>
    <n v="337.31"/>
    <n v="337.31"/>
    <n v="337.31"/>
    <n v="337.31"/>
    <n v="337.31"/>
    <n v="337.31"/>
    <n v="337.31"/>
    <n v="337.31"/>
    <n v="337.31"/>
    <n v="337.31"/>
    <n v="337.31"/>
    <n v="337.31"/>
    <n v="337.31"/>
    <n v="337.31"/>
  </r>
  <r>
    <s v="basement"/>
    <x v="9"/>
    <n v="0"/>
    <n v="0"/>
    <n v="0"/>
    <n v="227.8"/>
    <n v="227.8"/>
    <n v="227.8"/>
    <n v="227.8"/>
    <n v="227.8"/>
    <n v="227.8"/>
    <n v="227.8"/>
    <n v="227.8"/>
    <n v="227.8"/>
    <n v="227.8"/>
    <n v="227.8"/>
    <n v="227.8"/>
    <n v="227.8"/>
    <n v="227.8"/>
  </r>
  <r>
    <s v="basement"/>
    <x v="9"/>
    <n v="0"/>
    <n v="0"/>
    <n v="0"/>
    <n v="149.38"/>
    <n v="149.38"/>
    <n v="149.38"/>
    <n v="149.38"/>
    <n v="149.38"/>
    <n v="149.38"/>
    <n v="149.38"/>
    <n v="149.38"/>
    <n v="149.38"/>
    <n v="149.38"/>
    <n v="149.38"/>
    <n v="149.38"/>
    <n v="149.38"/>
    <n v="149.38"/>
  </r>
  <r>
    <s v="basement"/>
    <x v="9"/>
    <n v="0"/>
    <n v="0"/>
    <n v="0"/>
    <n v="410.98"/>
    <n v="410.98"/>
    <n v="410.98"/>
    <n v="410.98"/>
    <n v="410.98"/>
    <n v="410.98"/>
    <n v="410.98"/>
    <n v="410.98"/>
    <n v="410.98"/>
    <n v="410.98"/>
    <n v="410.98"/>
    <n v="410.98"/>
    <n v="410.98"/>
    <n v="410.98"/>
  </r>
  <r>
    <s v="basement"/>
    <x v="9"/>
    <n v="0"/>
    <n v="0"/>
    <n v="0"/>
    <n v="44.4"/>
    <n v="44.4"/>
    <n v="44.4"/>
    <n v="44.4"/>
    <n v="44.4"/>
    <n v="44.4"/>
    <n v="44.4"/>
    <n v="44.4"/>
    <n v="44.4"/>
    <n v="44.4"/>
    <n v="44.4"/>
    <n v="44.4"/>
    <n v="44.4"/>
    <n v="44.4"/>
  </r>
  <r>
    <s v="basement"/>
    <x v="9"/>
    <n v="0"/>
    <n v="0"/>
    <n v="0"/>
    <n v="350.59"/>
    <n v="350.59"/>
    <n v="350.59"/>
    <n v="350.59"/>
    <n v="350.59"/>
    <n v="350.59"/>
    <n v="350.59"/>
    <n v="350.59"/>
    <n v="350.59"/>
    <n v="350.59"/>
    <n v="350.59"/>
    <n v="350.59"/>
    <n v="350.59"/>
    <n v="350.59"/>
  </r>
  <r>
    <s v="upper"/>
    <x v="9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9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9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9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9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9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9"/>
    <n v="0"/>
    <n v="0"/>
    <n v="0"/>
    <n v="0"/>
    <n v="559.78"/>
    <n v="559.78"/>
    <n v="559.78"/>
    <n v="559.78"/>
    <n v="559.78"/>
    <n v="559.78"/>
    <n v="559.78"/>
    <n v="559.78"/>
    <n v="559.78"/>
    <n v="559.78"/>
    <n v="559.78"/>
    <n v="559.78"/>
    <n v="559.78"/>
  </r>
  <r>
    <s v="upper"/>
    <x v="9"/>
    <n v="0"/>
    <n v="0"/>
    <n v="0"/>
    <n v="479.81"/>
    <n v="479.81"/>
    <n v="479.81"/>
    <n v="479.81"/>
    <n v="959.62"/>
    <n v="959.62"/>
    <n v="959.62"/>
    <n v="959.62"/>
    <n v="1919.24"/>
    <n v="1919.24"/>
    <n v="1919.24"/>
    <n v="1919.24"/>
    <n v="1919.24"/>
    <n v="1919.24"/>
  </r>
  <r>
    <s v="upper"/>
    <x v="9"/>
    <n v="0"/>
    <n v="0"/>
    <n v="0"/>
    <n v="107.83"/>
    <n v="107.83"/>
    <n v="107.83"/>
    <n v="107.83"/>
    <n v="107.83"/>
    <n v="107.83"/>
    <n v="107.83"/>
    <n v="107.83"/>
    <n v="107.83"/>
    <n v="107.83"/>
    <n v="107.83"/>
    <n v="107.83"/>
    <n v="107.83"/>
    <n v="107.83"/>
  </r>
  <r>
    <s v="upper"/>
    <x v="9"/>
    <n v="0"/>
    <n v="0"/>
    <n v="0"/>
    <n v="405.56"/>
    <n v="405.56"/>
    <n v="405.56"/>
    <n v="405.56"/>
    <n v="405.56"/>
    <n v="405.56"/>
    <n v="405.56"/>
    <n v="405.56"/>
    <n v="405.56"/>
    <n v="405.56"/>
    <n v="405.56"/>
    <n v="405.56"/>
    <n v="405.56"/>
    <n v="405.56"/>
  </r>
  <r>
    <s v="upper"/>
    <x v="9"/>
    <n v="0"/>
    <n v="0"/>
    <n v="0"/>
    <n v="222.11500000000001"/>
    <n v="222.11500000000001"/>
    <n v="222.11500000000001"/>
    <n v="222.11500000000001"/>
    <n v="444.23"/>
    <n v="444.23"/>
    <n v="444.23"/>
    <n v="444.23"/>
    <n v="888.46"/>
    <n v="888.46"/>
    <n v="888.46"/>
    <n v="888.46"/>
    <n v="888.46"/>
    <n v="888.46"/>
  </r>
  <r>
    <s v="upper"/>
    <x v="9"/>
    <n v="0"/>
    <n v="0"/>
    <n v="0"/>
    <n v="0"/>
    <n v="0"/>
    <n v="0"/>
    <n v="0"/>
    <n v="0"/>
    <n v="0"/>
    <n v="0"/>
    <n v="0"/>
    <n v="0"/>
    <n v="0"/>
    <n v="0"/>
    <n v="166.58"/>
    <n v="166.58"/>
    <n v="166.58"/>
  </r>
  <r>
    <s v="upper"/>
    <x v="9"/>
    <n v="0"/>
    <n v="0"/>
    <n v="0"/>
    <n v="182.44"/>
    <n v="182.44"/>
    <n v="182.44"/>
    <n v="182.44"/>
    <n v="182.44"/>
    <n v="182.44"/>
    <n v="182.44"/>
    <n v="182.44"/>
    <n v="182.44"/>
    <n v="182.44"/>
    <n v="182.44"/>
    <n v="182.44"/>
    <n v="182.44"/>
    <n v="182.44"/>
  </r>
  <r>
    <s v="upper"/>
    <x v="9"/>
    <n v="0"/>
    <n v="0"/>
    <n v="0"/>
    <n v="378.12"/>
    <n v="378.12"/>
    <n v="378.12"/>
    <n v="378.12"/>
    <n v="378.12"/>
    <n v="378.12"/>
    <n v="378.12"/>
    <n v="378.12"/>
    <n v="378.12"/>
    <n v="378.12"/>
    <n v="378.12"/>
    <n v="378.12"/>
    <n v="378.12"/>
    <n v="378.12"/>
  </r>
  <r>
    <s v="upper"/>
    <x v="9"/>
    <n v="0"/>
    <n v="0"/>
    <n v="0"/>
    <n v="448.21"/>
    <n v="448.21"/>
    <n v="448.21"/>
    <n v="448.21"/>
    <n v="448.21"/>
    <n v="448.21"/>
    <n v="448.21"/>
    <n v="448.21"/>
    <n v="448.21"/>
    <n v="448.21"/>
    <n v="448.21"/>
    <n v="448.21"/>
    <n v="448.21"/>
    <n v="448.21"/>
  </r>
  <r>
    <s v="upper"/>
    <x v="9"/>
    <n v="0"/>
    <n v="0"/>
    <n v="0"/>
    <n v="299.24"/>
    <n v="299.24"/>
    <n v="299.24"/>
    <n v="299.24"/>
    <n v="299.24"/>
    <n v="299.24"/>
    <n v="299.24"/>
    <n v="299.24"/>
    <n v="299.24"/>
    <n v="299.24"/>
    <n v="299.24"/>
    <n v="299.24"/>
    <n v="299.24"/>
    <n v="299.24"/>
  </r>
  <r>
    <s v="upper"/>
    <x v="9"/>
    <n v="0"/>
    <n v="0"/>
    <n v="0"/>
    <n v="196.2"/>
    <n v="196.2"/>
    <n v="196.2"/>
    <n v="196.2"/>
    <n v="196.2"/>
    <n v="196.2"/>
    <n v="196.2"/>
    <n v="196.2"/>
    <n v="196.2"/>
    <n v="196.2"/>
    <n v="196.2"/>
    <n v="196.2"/>
    <n v="196.2"/>
    <n v="196.2"/>
  </r>
  <r>
    <s v="upper"/>
    <x v="9"/>
    <n v="0"/>
    <n v="0"/>
    <n v="0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</r>
  <r>
    <s v="upper"/>
    <x v="9"/>
    <n v="0"/>
    <n v="0"/>
    <n v="0"/>
    <n v="59"/>
    <n v="59"/>
    <n v="59"/>
    <n v="59"/>
    <n v="59"/>
    <n v="59"/>
    <n v="59"/>
    <n v="59"/>
    <n v="59"/>
    <n v="59"/>
    <n v="59"/>
    <n v="59"/>
    <n v="59"/>
    <n v="59"/>
  </r>
  <r>
    <s v="upper"/>
    <x v="9"/>
    <n v="0"/>
    <n v="0"/>
    <n v="0"/>
    <n v="465.85"/>
    <n v="465.85"/>
    <n v="465.85"/>
    <n v="465.85"/>
    <n v="465.85"/>
    <n v="465.85"/>
    <n v="465.85"/>
    <n v="465.85"/>
    <n v="465.85"/>
    <n v="465.85"/>
    <n v="465.85"/>
    <n v="465.85"/>
    <n v="465.85"/>
    <n v="465.85"/>
  </r>
  <r>
    <s v="basement"/>
    <x v="9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basement"/>
    <x v="9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basement"/>
    <x v="9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basement"/>
    <x v="9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basement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9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9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9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basement"/>
    <x v="9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9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9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9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s v="basement"/>
    <x v="9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s v="basement"/>
    <x v="9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s v="basement"/>
    <x v="9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s v="basement"/>
    <x v="9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s v="basement"/>
    <x v="9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s v="basement"/>
    <x v="9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s v="basement"/>
    <x v="9"/>
    <n v="0"/>
    <n v="0"/>
    <n v="0"/>
    <n v="284.63"/>
    <n v="284.63"/>
    <n v="284.63"/>
    <n v="284.63"/>
    <n v="284.63"/>
    <n v="284.63"/>
    <n v="284.63"/>
    <n v="284.63"/>
    <n v="284.63"/>
    <n v="284.63"/>
    <n v="284.63"/>
    <n v="284.63"/>
    <n v="284.63"/>
    <n v="284.63"/>
  </r>
  <r>
    <s v="basement"/>
    <x v="9"/>
    <n v="0"/>
    <n v="0"/>
    <n v="0"/>
    <n v="337.31"/>
    <n v="337.31"/>
    <n v="337.31"/>
    <n v="337.31"/>
    <n v="337.31"/>
    <n v="337.31"/>
    <n v="337.31"/>
    <n v="337.31"/>
    <n v="337.31"/>
    <n v="337.31"/>
    <n v="337.31"/>
    <n v="337.31"/>
    <n v="337.31"/>
    <n v="337.31"/>
  </r>
  <r>
    <s v="basement"/>
    <x v="9"/>
    <n v="0"/>
    <n v="0"/>
    <n v="0"/>
    <n v="227.8"/>
    <n v="227.8"/>
    <n v="227.8"/>
    <n v="227.8"/>
    <n v="227.8"/>
    <n v="227.8"/>
    <n v="227.8"/>
    <n v="227.8"/>
    <n v="227.8"/>
    <n v="227.8"/>
    <n v="227.8"/>
    <n v="227.8"/>
    <n v="227.8"/>
    <n v="227.8"/>
  </r>
  <r>
    <s v="basement"/>
    <x v="9"/>
    <n v="0"/>
    <n v="0"/>
    <n v="0"/>
    <n v="149.38"/>
    <n v="149.38"/>
    <n v="149.38"/>
    <n v="149.38"/>
    <n v="149.38"/>
    <n v="149.38"/>
    <n v="149.38"/>
    <n v="149.38"/>
    <n v="149.38"/>
    <n v="149.38"/>
    <n v="149.38"/>
    <n v="149.38"/>
    <n v="149.38"/>
    <n v="149.38"/>
  </r>
  <r>
    <s v="basement"/>
    <x v="9"/>
    <n v="0"/>
    <n v="0"/>
    <n v="0"/>
    <n v="410.98"/>
    <n v="410.98"/>
    <n v="410.98"/>
    <n v="410.98"/>
    <n v="410.98"/>
    <n v="410.98"/>
    <n v="410.98"/>
    <n v="410.98"/>
    <n v="410.98"/>
    <n v="410.98"/>
    <n v="410.98"/>
    <n v="410.98"/>
    <n v="410.98"/>
    <n v="410.98"/>
  </r>
  <r>
    <s v="basement"/>
    <x v="9"/>
    <n v="0"/>
    <n v="0"/>
    <n v="0"/>
    <n v="44.4"/>
    <n v="44.4"/>
    <n v="44.4"/>
    <n v="44.4"/>
    <n v="44.4"/>
    <n v="44.4"/>
    <n v="44.4"/>
    <n v="44.4"/>
    <n v="44.4"/>
    <n v="44.4"/>
    <n v="44.4"/>
    <n v="44.4"/>
    <n v="44.4"/>
    <n v="44.4"/>
  </r>
  <r>
    <s v="basement"/>
    <x v="9"/>
    <n v="0"/>
    <n v="0"/>
    <n v="0"/>
    <n v="350.59"/>
    <n v="350.59"/>
    <n v="350.59"/>
    <n v="350.59"/>
    <n v="350.59"/>
    <n v="350.59"/>
    <n v="350.59"/>
    <n v="350.59"/>
    <n v="350.59"/>
    <n v="350.59"/>
    <n v="350.59"/>
    <n v="350.59"/>
    <n v="350.59"/>
    <n v="350.59"/>
  </r>
  <r>
    <s v="basement"/>
    <x v="8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8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s v="basement"/>
    <x v="8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s v="basement"/>
    <x v="8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s v="basement"/>
    <x v="8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s v="basement"/>
    <x v="8"/>
    <n v="0"/>
    <n v="0"/>
    <n v="0"/>
    <n v="278.21749999999997"/>
    <n v="278.21749999999997"/>
    <n v="278.21749999999997"/>
    <n v="278.21749999999997"/>
    <n v="556.43499999999995"/>
    <n v="556.43499999999995"/>
    <n v="556.43499999999995"/>
    <n v="556.43499999999995"/>
    <n v="1112.8699999999999"/>
    <n v="1112.8699999999999"/>
    <n v="1112.8699999999999"/>
    <n v="1112.8699999999999"/>
    <n v="1112.8699999999999"/>
    <n v="1112.8699999999999"/>
  </r>
  <r>
    <s v="basement"/>
    <x v="8"/>
    <n v="0"/>
    <n v="0"/>
    <n v="0"/>
    <n v="0"/>
    <n v="0"/>
    <n v="0"/>
    <n v="0"/>
    <n v="0"/>
    <n v="0"/>
    <n v="0"/>
    <n v="0"/>
    <n v="0"/>
    <n v="0"/>
    <n v="0"/>
    <n v="208.67"/>
    <n v="208.67"/>
    <n v="208.67"/>
  </r>
  <r>
    <s v="basement"/>
    <x v="8"/>
    <n v="0"/>
    <n v="0"/>
    <n v="0"/>
    <n v="228.55"/>
    <n v="228.55"/>
    <n v="228.55"/>
    <n v="228.55"/>
    <n v="228.55"/>
    <n v="228.55"/>
    <n v="228.55"/>
    <n v="228.55"/>
    <n v="228.55"/>
    <n v="228.55"/>
    <n v="228.55"/>
    <n v="228.55"/>
    <n v="228.55"/>
    <n v="228.55"/>
  </r>
  <r>
    <s v="basement"/>
    <x v="8"/>
    <n v="0"/>
    <n v="0"/>
    <n v="0"/>
    <n v="473.65"/>
    <n v="473.65"/>
    <n v="473.65"/>
    <n v="473.65"/>
    <n v="473.65"/>
    <n v="473.65"/>
    <n v="473.65"/>
    <n v="473.65"/>
    <n v="473.65"/>
    <n v="473.65"/>
    <n v="473.65"/>
    <n v="473.65"/>
    <n v="473.65"/>
    <n v="473.65"/>
  </r>
  <r>
    <s v="basement"/>
    <x v="8"/>
    <n v="0"/>
    <n v="0"/>
    <n v="0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</r>
  <r>
    <s v="basement"/>
    <x v="8"/>
    <n v="0"/>
    <n v="0"/>
    <n v="0"/>
    <n v="372.15"/>
    <n v="372.15"/>
    <n v="372.15"/>
    <n v="372.15"/>
    <n v="372.15"/>
    <n v="372.15"/>
    <n v="372.15"/>
    <n v="372.15"/>
    <n v="372.15"/>
    <n v="372.15"/>
    <n v="372.15"/>
    <n v="372.15"/>
    <n v="372.15"/>
    <n v="372.15"/>
  </r>
  <r>
    <s v="basement"/>
    <x v="8"/>
    <n v="0"/>
    <n v="0"/>
    <n v="0"/>
    <n v="244"/>
    <n v="244"/>
    <n v="244"/>
    <n v="244"/>
    <n v="244"/>
    <n v="244"/>
    <n v="244"/>
    <n v="244"/>
    <n v="244"/>
    <n v="244"/>
    <n v="244"/>
    <n v="244"/>
    <n v="244"/>
    <n v="244"/>
  </r>
  <r>
    <s v="basement"/>
    <x v="8"/>
    <n v="0"/>
    <n v="0"/>
    <n v="0"/>
    <n v="671.38"/>
    <n v="671.38"/>
    <n v="671.38"/>
    <n v="671.38"/>
    <n v="671.38"/>
    <n v="671.38"/>
    <n v="671.38"/>
    <n v="671.38"/>
    <n v="671.38"/>
    <n v="671.38"/>
    <n v="671.38"/>
    <n v="671.38"/>
    <n v="671.38"/>
    <n v="671.38"/>
  </r>
  <r>
    <s v="basement"/>
    <x v="8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s v="basement"/>
    <x v="8"/>
    <n v="0"/>
    <n v="0"/>
    <n v="0"/>
    <n v="583.52"/>
    <n v="583.52"/>
    <n v="583.52"/>
    <n v="583.52"/>
    <n v="583.52"/>
    <n v="583.52"/>
    <n v="583.52"/>
    <n v="583.52"/>
    <n v="583.52"/>
    <n v="583.52"/>
    <n v="583.52"/>
    <n v="583.52"/>
    <n v="583.52"/>
    <n v="583.52"/>
  </r>
  <r>
    <s v="main"/>
    <x v="2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basement"/>
    <x v="8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basement"/>
    <x v="8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basement"/>
    <x v="8"/>
    <n v="0"/>
    <n v="0"/>
    <n v="0"/>
    <n v="0"/>
    <n v="448.44"/>
    <n v="448.44"/>
    <n v="448.44"/>
    <n v="448.44"/>
    <n v="448.44"/>
    <n v="448.44"/>
    <n v="448.44"/>
    <n v="448.44"/>
    <n v="448.44"/>
    <n v="448.44"/>
    <n v="448.44"/>
    <n v="448.44"/>
    <n v="448.44"/>
  </r>
  <r>
    <s v="basement"/>
    <x v="8"/>
    <n v="0"/>
    <n v="0"/>
    <n v="0"/>
    <n v="384.38249999999999"/>
    <n v="384.38249999999999"/>
    <n v="384.38249999999999"/>
    <n v="384.38249999999999"/>
    <n v="768.76499999999999"/>
    <n v="768.76499999999999"/>
    <n v="768.76499999999999"/>
    <n v="768.76499999999999"/>
    <n v="1537.53"/>
    <n v="1537.53"/>
    <n v="1537.53"/>
    <n v="1537.53"/>
    <n v="1537.53"/>
    <n v="1537.53"/>
  </r>
  <r>
    <s v="basement"/>
    <x v="8"/>
    <n v="0"/>
    <n v="0"/>
    <n v="0"/>
    <n v="86.38"/>
    <n v="86.38"/>
    <n v="86.38"/>
    <n v="86.38"/>
    <n v="86.38"/>
    <n v="86.38"/>
    <n v="86.38"/>
    <n v="86.38"/>
    <n v="86.38"/>
    <n v="86.38"/>
    <n v="86.38"/>
    <n v="86.38"/>
    <n v="86.38"/>
    <n v="86.38"/>
  </r>
  <r>
    <s v="basement"/>
    <x v="8"/>
    <n v="0"/>
    <n v="0"/>
    <n v="0"/>
    <n v="324.93"/>
    <n v="324.93"/>
    <n v="324.93"/>
    <n v="324.93"/>
    <n v="324.93"/>
    <n v="324.93"/>
    <n v="324.93"/>
    <n v="324.93"/>
    <n v="324.93"/>
    <n v="324.93"/>
    <n v="324.93"/>
    <n v="324.93"/>
    <n v="324.93"/>
    <n v="324.93"/>
  </r>
  <r>
    <s v="basement"/>
    <x v="8"/>
    <n v="0"/>
    <n v="0"/>
    <n v="0"/>
    <n v="139.11250000000001"/>
    <n v="139.11250000000001"/>
    <n v="139.11250000000001"/>
    <n v="139.11250000000001"/>
    <n v="278.22500000000002"/>
    <n v="278.22500000000002"/>
    <n v="278.22500000000002"/>
    <n v="278.22500000000002"/>
    <n v="556.45000000000005"/>
    <n v="556.45000000000005"/>
    <n v="556.45000000000005"/>
    <n v="556.45000000000005"/>
    <n v="556.45000000000005"/>
    <n v="556.45000000000005"/>
  </r>
  <r>
    <s v="basement"/>
    <x v="8"/>
    <n v="0"/>
    <n v="0"/>
    <n v="0"/>
    <n v="0"/>
    <n v="0"/>
    <n v="0"/>
    <n v="0"/>
    <n v="0"/>
    <n v="0"/>
    <n v="0"/>
    <n v="0"/>
    <n v="0"/>
    <n v="0"/>
    <n v="0"/>
    <n v="104.35"/>
    <n v="104.35"/>
    <n v="104.35"/>
  </r>
  <r>
    <s v="basement"/>
    <x v="8"/>
    <n v="0"/>
    <n v="0"/>
    <n v="0"/>
    <n v="114.27"/>
    <n v="114.27"/>
    <n v="114.27"/>
    <n v="114.27"/>
    <n v="114.27"/>
    <n v="114.27"/>
    <n v="114.27"/>
    <n v="114.27"/>
    <n v="114.27"/>
    <n v="114.27"/>
    <n v="114.27"/>
    <n v="114.27"/>
    <n v="114.27"/>
    <n v="114.27"/>
  </r>
  <r>
    <s v="basement"/>
    <x v="8"/>
    <n v="0"/>
    <n v="0"/>
    <n v="0"/>
    <n v="236.83"/>
    <n v="236.83"/>
    <n v="236.83"/>
    <n v="236.83"/>
    <n v="236.83"/>
    <n v="236.83"/>
    <n v="236.83"/>
    <n v="236.83"/>
    <n v="236.83"/>
    <n v="236.83"/>
    <n v="236.83"/>
    <n v="236.83"/>
    <n v="236.83"/>
    <n v="236.83"/>
  </r>
  <r>
    <s v="basement"/>
    <x v="8"/>
    <n v="0"/>
    <n v="0"/>
    <n v="0"/>
    <n v="280.7"/>
    <n v="280.7"/>
    <n v="280.7"/>
    <n v="280.7"/>
    <n v="280.7"/>
    <n v="280.7"/>
    <n v="280.7"/>
    <n v="280.7"/>
    <n v="280.7"/>
    <n v="280.7"/>
    <n v="280.7"/>
    <n v="280.7"/>
    <n v="280.7"/>
    <n v="280.7"/>
  </r>
  <r>
    <s v="basement"/>
    <x v="8"/>
    <n v="0"/>
    <n v="0"/>
    <n v="0"/>
    <n v="191.31"/>
    <n v="191.31"/>
    <n v="191.31"/>
    <n v="191.31"/>
    <n v="191.31"/>
    <n v="191.31"/>
    <n v="191.31"/>
    <n v="191.31"/>
    <n v="191.31"/>
    <n v="191.31"/>
    <n v="191.31"/>
    <n v="191.31"/>
    <n v="191.31"/>
    <n v="191.31"/>
  </r>
  <r>
    <s v="basement"/>
    <x v="8"/>
    <n v="0"/>
    <n v="0"/>
    <n v="0"/>
    <n v="125.44"/>
    <n v="125.44"/>
    <n v="125.44"/>
    <n v="125.44"/>
    <n v="125.44"/>
    <n v="125.44"/>
    <n v="125.44"/>
    <n v="125.44"/>
    <n v="125.44"/>
    <n v="125.44"/>
    <n v="125.44"/>
    <n v="125.44"/>
    <n v="125.44"/>
    <n v="125.44"/>
  </r>
  <r>
    <s v="basement"/>
    <x v="8"/>
    <n v="0"/>
    <n v="0"/>
    <n v="0"/>
    <n v="345.14"/>
    <n v="345.14"/>
    <n v="345.14"/>
    <n v="345.14"/>
    <n v="345.14"/>
    <n v="345.14"/>
    <n v="345.14"/>
    <n v="345.14"/>
    <n v="345.14"/>
    <n v="345.14"/>
    <n v="345.14"/>
    <n v="345.14"/>
    <n v="345.14"/>
    <n v="345.14"/>
  </r>
  <r>
    <s v="basement"/>
    <x v="8"/>
    <n v="0"/>
    <n v="0"/>
    <n v="0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</r>
  <r>
    <s v="basement"/>
    <x v="8"/>
    <n v="0"/>
    <n v="0"/>
    <n v="0"/>
    <n v="291.75"/>
    <n v="291.75"/>
    <n v="291.75"/>
    <n v="291.75"/>
    <n v="291.75"/>
    <n v="291.75"/>
    <n v="291.75"/>
    <n v="291.75"/>
    <n v="291.75"/>
    <n v="291.75"/>
    <n v="291.75"/>
    <n v="291.75"/>
    <n v="291.75"/>
    <n v="291.7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3">
  <r>
    <x v="0"/>
    <s v="general-split"/>
    <n v="0"/>
    <n v="0"/>
    <n v="0"/>
    <n v="0"/>
    <n v="0"/>
    <n v="0"/>
    <n v="0"/>
    <n v="0"/>
    <n v="0"/>
    <n v="0"/>
    <n v="0"/>
    <n v="465"/>
    <n v="465"/>
    <n v="465"/>
    <n v="465"/>
    <n v="465"/>
    <n v="465"/>
  </r>
  <r>
    <x v="0"/>
    <s v="general-split"/>
    <n v="0"/>
    <n v="0"/>
    <n v="0"/>
    <n v="0"/>
    <n v="0"/>
    <n v="0"/>
    <n v="0"/>
    <n v="0"/>
    <n v="0"/>
    <n v="0"/>
    <n v="0"/>
    <n v="760.75"/>
    <n v="760.75"/>
    <n v="760.75"/>
    <n v="760.75"/>
    <n v="760.75"/>
    <n v="760.7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259.11"/>
    <n v="259.11"/>
    <n v="518.22"/>
    <n v="518.22"/>
    <n v="1036.44"/>
    <n v="1036.44"/>
    <n v="1036.44"/>
    <n v="1036.44"/>
    <n v="1036.44"/>
  </r>
  <r>
    <x v="0"/>
    <s v="general-split"/>
    <n v="0"/>
    <n v="0"/>
    <n v="0"/>
    <n v="0"/>
    <n v="0"/>
    <n v="0"/>
    <n v="0"/>
    <n v="0"/>
    <n v="1374.3"/>
    <n v="1374.3"/>
    <n v="2748.6"/>
    <n v="2748.6"/>
    <n v="5497.2"/>
    <n v="5497.2"/>
    <n v="5497.2"/>
    <n v="5497.2"/>
    <n v="5497.2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0"/>
    <s v="general-split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213.12"/>
    <n v="213.12"/>
    <n v="213.12"/>
    <n v="213.12"/>
    <n v="213.12"/>
    <n v="213.12"/>
  </r>
  <r>
    <x v="0"/>
    <s v="general-split"/>
    <n v="0"/>
    <n v="0"/>
    <n v="0"/>
    <n v="0"/>
    <n v="0"/>
    <n v="0"/>
    <n v="0"/>
    <n v="0"/>
    <n v="0"/>
    <n v="0"/>
    <n v="0"/>
    <n v="554.4"/>
    <n v="554.4"/>
    <n v="554.4"/>
    <n v="554.4"/>
    <n v="554.4"/>
    <n v="554.4"/>
  </r>
  <r>
    <x v="0"/>
    <s v="general-split"/>
    <n v="0"/>
    <n v="0"/>
    <n v="0"/>
    <n v="0"/>
    <n v="244.6"/>
    <n v="244.6"/>
    <n v="244.6"/>
    <n v="244.6"/>
    <n v="244.6"/>
    <n v="244.6"/>
    <n v="244.6"/>
    <n v="244.6"/>
    <n v="244.6"/>
    <n v="244.6"/>
    <n v="244.6"/>
    <n v="244.6"/>
    <n v="244.6"/>
  </r>
  <r>
    <x v="0"/>
    <s v="general-split"/>
    <n v="0"/>
    <n v="0"/>
    <n v="0"/>
    <n v="166.61"/>
    <n v="166.61"/>
    <n v="166.61"/>
    <n v="166.61"/>
    <n v="166.61"/>
    <n v="333.22"/>
    <n v="333.22"/>
    <n v="333.22"/>
    <n v="666.44"/>
    <n v="666.44"/>
    <n v="666.44"/>
    <n v="666.44"/>
    <n v="666.44"/>
    <n v="666.44"/>
  </r>
  <r>
    <x v="0"/>
    <s v="general-split"/>
    <n v="0"/>
    <n v="0"/>
    <n v="0"/>
    <n v="0"/>
    <n v="0"/>
    <n v="0"/>
    <n v="0"/>
    <n v="0"/>
    <n v="0"/>
    <n v="0"/>
    <n v="0"/>
    <n v="115.1"/>
    <n v="115.1"/>
    <n v="115.1"/>
    <n v="115.1"/>
    <n v="115.1"/>
    <n v="115.1"/>
  </r>
  <r>
    <x v="0"/>
    <s v="general-split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x v="0"/>
    <s v="general-split"/>
    <n v="0"/>
    <n v="0"/>
    <n v="0"/>
    <n v="1793.7349999999999"/>
    <n v="1793.7349999999999"/>
    <n v="1793.7349999999999"/>
    <n v="1793.7349999999999"/>
    <n v="1793.7349999999999"/>
    <n v="3587.47"/>
    <n v="3587.47"/>
    <n v="3587.47"/>
    <n v="3587.47"/>
    <n v="7174.94"/>
    <n v="7174.94"/>
    <n v="7174.94"/>
    <n v="7174.94"/>
    <n v="7174.94"/>
  </r>
  <r>
    <x v="0"/>
    <s v="general-split"/>
    <n v="0"/>
    <n v="0"/>
    <n v="0"/>
    <n v="1170"/>
    <n v="1170"/>
    <n v="1170"/>
    <n v="1170"/>
    <n v="1170"/>
    <n v="2340"/>
    <n v="2340"/>
    <n v="2340"/>
    <n v="2340"/>
    <n v="4680"/>
    <n v="4680"/>
    <n v="4680"/>
    <n v="4680"/>
    <n v="4680"/>
  </r>
  <r>
    <x v="1"/>
    <s v="general-mechanical"/>
    <n v="0"/>
    <n v="0"/>
    <n v="0"/>
    <n v="0"/>
    <n v="0"/>
    <n v="0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  <n v="9944.780000000000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6056.02"/>
    <n v="6056.02"/>
  </r>
  <r>
    <x v="0"/>
    <s v="general-split"/>
    <n v="0"/>
    <n v="0"/>
    <n v="0"/>
    <n v="0"/>
    <n v="0"/>
    <n v="0"/>
    <n v="0"/>
    <n v="0"/>
    <n v="0"/>
    <n v="0"/>
    <n v="0"/>
    <n v="0"/>
    <n v="0"/>
    <n v="376.34"/>
    <n v="376.34"/>
    <n v="376.34"/>
    <n v="376.34"/>
  </r>
  <r>
    <x v="1"/>
    <s v="general-mechanical"/>
    <n v="0"/>
    <n v="0"/>
    <n v="0"/>
    <n v="0"/>
    <n v="0"/>
    <n v="0"/>
    <n v="162.6"/>
    <n v="162.6"/>
    <n v="162.6"/>
    <n v="162.6"/>
    <n v="162.6"/>
    <n v="162.6"/>
    <n v="162.6"/>
    <n v="162.6"/>
    <n v="162.6"/>
    <n v="162.6"/>
    <n v="162.6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10377.94"/>
    <n v="10377.94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0.07"/>
    <n v="300.07"/>
    <n v="300.07"/>
  </r>
  <r>
    <x v="2"/>
    <s v="general-main"/>
    <n v="0"/>
    <n v="0"/>
    <n v="0"/>
    <n v="0"/>
    <n v="0"/>
    <n v="0"/>
    <n v="0"/>
    <n v="0"/>
    <n v="0"/>
    <n v="0"/>
    <n v="0"/>
    <n v="378.03"/>
    <n v="378.03"/>
    <n v="378.03"/>
    <n v="378.03"/>
    <n v="378.03"/>
    <n v="378.03"/>
  </r>
  <r>
    <x v="2"/>
    <s v="general-main"/>
    <n v="0"/>
    <n v="0"/>
    <n v="0"/>
    <n v="0"/>
    <n v="0"/>
    <n v="1731.96"/>
    <n v="1731.96"/>
    <n v="1731.96"/>
    <n v="1731.96"/>
    <n v="1731.96"/>
    <n v="1731.96"/>
    <n v="1731.96"/>
    <n v="1731.96"/>
    <n v="1731.96"/>
    <n v="1731.96"/>
    <n v="1731.96"/>
    <n v="1731.96"/>
  </r>
  <r>
    <x v="2"/>
    <s v="general-main"/>
    <n v="0"/>
    <n v="0"/>
    <n v="0"/>
    <n v="0"/>
    <n v="0"/>
    <n v="2742.4"/>
    <n v="2742.4"/>
    <n v="2742.4"/>
    <n v="2742.4"/>
    <n v="2742.4"/>
    <n v="2742.4"/>
    <n v="2742.4"/>
    <n v="2742.4"/>
    <n v="2742.4"/>
    <n v="2742.4"/>
    <n v="2742.4"/>
    <n v="2742.4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11599.199999999999"/>
    <n v="11599.199999999999"/>
    <n v="11599.199999999999"/>
    <n v="11599.199999999999"/>
    <n v="11599.199999999999"/>
    <n v="11599.199999999999"/>
    <n v="11599.199999999999"/>
    <n v="11599.199999999999"/>
    <n v="11599.199999999999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0"/>
    <s v="general-split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0"/>
    <s v="general-split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x v="2"/>
    <s v="Entry Foyer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x v="2"/>
    <s v="Entry Foyer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2"/>
    <s v="Entry Foyer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x v="2"/>
    <s v="Entry Foyer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x v="2"/>
    <s v="Entry Foyer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x v="2"/>
    <s v="Entry Foyer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x v="2"/>
    <s v="Entry Foyer"/>
    <n v="0"/>
    <n v="0"/>
    <n v="0"/>
    <n v="168.75"/>
    <n v="168.75"/>
    <n v="168.75"/>
    <n v="168.75"/>
    <n v="168.75"/>
    <n v="168.75"/>
    <n v="168.75"/>
    <n v="168.75"/>
    <n v="168.75"/>
    <n v="168.75"/>
    <n v="168.75"/>
    <n v="168.75"/>
    <n v="168.75"/>
    <n v="168.75"/>
  </r>
  <r>
    <x v="2"/>
    <s v="Entry Foyer"/>
    <n v="0"/>
    <n v="0"/>
    <n v="0"/>
    <n v="200.05"/>
    <n v="200.05"/>
    <n v="200.05"/>
    <n v="200.05"/>
    <n v="200.05"/>
    <n v="200.05"/>
    <n v="200.05"/>
    <n v="200.05"/>
    <n v="200.05"/>
    <n v="200.05"/>
    <n v="200.05"/>
    <n v="200.05"/>
    <n v="200.05"/>
    <n v="200.05"/>
  </r>
  <r>
    <x v="2"/>
    <s v="Entry Foyer"/>
    <n v="0"/>
    <n v="0"/>
    <n v="0"/>
    <n v="139.35"/>
    <n v="139.35"/>
    <n v="139.35"/>
    <n v="139.35"/>
    <n v="139.35"/>
    <n v="139.35"/>
    <n v="139.35"/>
    <n v="139.35"/>
    <n v="139.35"/>
    <n v="139.35"/>
    <n v="139.35"/>
    <n v="139.35"/>
    <n v="139.35"/>
    <n v="139.35"/>
  </r>
  <r>
    <x v="2"/>
    <s v="Entry Foyer"/>
    <n v="0"/>
    <n v="0"/>
    <n v="0"/>
    <n v="91.39"/>
    <n v="91.39"/>
    <n v="91.39"/>
    <n v="91.39"/>
    <n v="91.39"/>
    <n v="91.39"/>
    <n v="91.39"/>
    <n v="91.39"/>
    <n v="91.39"/>
    <n v="91.39"/>
    <n v="91.39"/>
    <n v="91.39"/>
    <n v="91.39"/>
    <n v="91.39"/>
  </r>
  <r>
    <x v="2"/>
    <s v="Entry Foyer"/>
    <n v="0"/>
    <n v="0"/>
    <n v="0"/>
    <n v="251.41"/>
    <n v="251.41"/>
    <n v="251.41"/>
    <n v="251.41"/>
    <n v="251.41"/>
    <n v="251.41"/>
    <n v="251.41"/>
    <n v="251.41"/>
    <n v="251.41"/>
    <n v="251.41"/>
    <n v="251.41"/>
    <n v="251.41"/>
    <n v="251.41"/>
    <n v="251.41"/>
  </r>
  <r>
    <x v="2"/>
    <s v="Entry Foyer"/>
    <n v="0"/>
    <n v="0"/>
    <n v="0"/>
    <n v="26.32"/>
    <n v="26.32"/>
    <n v="26.32"/>
    <n v="26.32"/>
    <n v="26.32"/>
    <n v="26.32"/>
    <n v="26.32"/>
    <n v="26.32"/>
    <n v="26.32"/>
    <n v="26.32"/>
    <n v="26.32"/>
    <n v="26.32"/>
    <n v="26.32"/>
    <n v="26.32"/>
  </r>
  <r>
    <x v="2"/>
    <s v="Entry Foyer"/>
    <n v="0"/>
    <n v="0"/>
    <n v="0"/>
    <n v="207.93"/>
    <n v="207.93"/>
    <n v="207.93"/>
    <n v="207.93"/>
    <n v="207.93"/>
    <n v="207.93"/>
    <n v="207.93"/>
    <n v="207.93"/>
    <n v="207.93"/>
    <n v="207.93"/>
    <n v="207.93"/>
    <n v="207.93"/>
    <n v="207.93"/>
    <n v="207.93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Walk 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Walk 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 In Closet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x v="3"/>
    <s v="Walk In Closet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x v="3"/>
    <s v="Walk In Closet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x v="3"/>
    <s v="Walk In Closet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x v="3"/>
    <s v="Walk In Closet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x v="3"/>
    <s v="Walk In Closet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x v="3"/>
    <s v="Walk In Closet"/>
    <n v="0"/>
    <n v="0"/>
    <n v="0"/>
    <n v="202.82"/>
    <n v="202.82"/>
    <n v="202.82"/>
    <n v="202.82"/>
    <n v="202.82"/>
    <n v="202.82"/>
    <n v="202.82"/>
    <n v="202.82"/>
    <n v="202.82"/>
    <n v="202.82"/>
    <n v="202.82"/>
    <n v="202.82"/>
    <n v="202.82"/>
    <n v="202.82"/>
  </r>
  <r>
    <x v="3"/>
    <s v="Walk In Closet"/>
    <n v="0"/>
    <n v="0"/>
    <n v="0"/>
    <n v="240.38"/>
    <n v="240.38"/>
    <n v="240.38"/>
    <n v="240.38"/>
    <n v="240.38"/>
    <n v="240.38"/>
    <n v="240.38"/>
    <n v="240.38"/>
    <n v="240.38"/>
    <n v="240.38"/>
    <n v="240.38"/>
    <n v="240.38"/>
    <n v="240.38"/>
    <n v="240.38"/>
  </r>
  <r>
    <x v="3"/>
    <s v="Walk In Closet"/>
    <n v="0"/>
    <n v="0"/>
    <n v="0"/>
    <n v="165.32"/>
    <n v="165.32"/>
    <n v="165.32"/>
    <n v="165.32"/>
    <n v="165.32"/>
    <n v="165.32"/>
    <n v="165.32"/>
    <n v="165.32"/>
    <n v="165.32"/>
    <n v="165.32"/>
    <n v="165.32"/>
    <n v="165.32"/>
    <n v="165.32"/>
    <n v="165.32"/>
  </r>
  <r>
    <x v="3"/>
    <s v="Walk In Closet"/>
    <n v="0"/>
    <n v="0"/>
    <n v="0"/>
    <n v="108.38"/>
    <n v="108.38"/>
    <n v="108.38"/>
    <n v="108.38"/>
    <n v="108.38"/>
    <n v="108.38"/>
    <n v="108.38"/>
    <n v="108.38"/>
    <n v="108.38"/>
    <n v="108.38"/>
    <n v="108.38"/>
    <n v="108.38"/>
    <n v="108.38"/>
    <n v="108.38"/>
  </r>
  <r>
    <x v="3"/>
    <s v="Walk In Closet"/>
    <n v="0"/>
    <n v="0"/>
    <n v="0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</r>
  <r>
    <x v="3"/>
    <s v="Walk In Closet"/>
    <n v="0"/>
    <n v="0"/>
    <n v="0"/>
    <n v="31.64"/>
    <n v="31.64"/>
    <n v="31.64"/>
    <n v="31.64"/>
    <n v="31.64"/>
    <n v="31.64"/>
    <n v="31.64"/>
    <n v="31.64"/>
    <n v="31.64"/>
    <n v="31.64"/>
    <n v="31.64"/>
    <n v="31.64"/>
    <n v="31.64"/>
    <n v="31.64"/>
  </r>
  <r>
    <x v="3"/>
    <s v="Walk In Closet"/>
    <n v="0"/>
    <n v="0"/>
    <n v="0"/>
    <n v="249.84"/>
    <n v="249.84"/>
    <n v="249.84"/>
    <n v="249.84"/>
    <n v="249.84"/>
    <n v="249.84"/>
    <n v="249.84"/>
    <n v="249.84"/>
    <n v="249.84"/>
    <n v="249.84"/>
    <n v="249.84"/>
    <n v="249.84"/>
    <n v="249.84"/>
    <n v="249.84"/>
  </r>
  <r>
    <x v="4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4"/>
    <s v="Walk In Closet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4"/>
    <s v="Walk In Closet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4"/>
    <s v="Walk In Closet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x v="4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Walk In Closet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4"/>
    <s v="Walk In Closet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x v="4"/>
    <s v="Walk In Closet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x v="4"/>
    <s v="Walk In Closet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x v="4"/>
    <s v="Walk In Closet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x v="4"/>
    <s v="Walk In Closet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x v="4"/>
    <s v="Walk In Closet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x v="4"/>
    <s v="Walk In Closet"/>
    <n v="0"/>
    <n v="0"/>
    <n v="0"/>
    <n v="134.76"/>
    <n v="134.76"/>
    <n v="134.76"/>
    <n v="134.76"/>
    <n v="134.76"/>
    <n v="134.76"/>
    <n v="134.76"/>
    <n v="134.76"/>
    <n v="134.76"/>
    <n v="134.76"/>
    <n v="134.76"/>
    <n v="134.76"/>
    <n v="134.76"/>
    <n v="134.76"/>
  </r>
  <r>
    <x v="4"/>
    <s v="Walk In Closet"/>
    <n v="0"/>
    <n v="0"/>
    <n v="0"/>
    <n v="159.72"/>
    <n v="159.72"/>
    <n v="159.72"/>
    <n v="159.72"/>
    <n v="159.72"/>
    <n v="159.72"/>
    <n v="159.72"/>
    <n v="159.72"/>
    <n v="159.72"/>
    <n v="159.72"/>
    <n v="159.72"/>
    <n v="159.72"/>
    <n v="159.72"/>
    <n v="159.72"/>
  </r>
  <r>
    <x v="4"/>
    <s v="Walk In Closet"/>
    <n v="0"/>
    <n v="0"/>
    <n v="0"/>
    <n v="113.36"/>
    <n v="113.36"/>
    <n v="113.36"/>
    <n v="113.36"/>
    <n v="113.36"/>
    <n v="113.36"/>
    <n v="113.36"/>
    <n v="113.36"/>
    <n v="113.36"/>
    <n v="113.36"/>
    <n v="113.36"/>
    <n v="113.36"/>
    <n v="113.36"/>
    <n v="113.36"/>
  </r>
  <r>
    <x v="4"/>
    <s v="Walk In Closet"/>
    <n v="0"/>
    <n v="0"/>
    <n v="0"/>
    <n v="74.31"/>
    <n v="74.31"/>
    <n v="74.31"/>
    <n v="74.31"/>
    <n v="74.31"/>
    <n v="74.31"/>
    <n v="74.31"/>
    <n v="74.31"/>
    <n v="74.31"/>
    <n v="74.31"/>
    <n v="74.31"/>
    <n v="74.31"/>
    <n v="74.31"/>
    <n v="74.31"/>
  </r>
  <r>
    <x v="4"/>
    <s v="Walk In Closet"/>
    <n v="0"/>
    <n v="0"/>
    <n v="0"/>
    <n v="204.49"/>
    <n v="204.49"/>
    <n v="204.49"/>
    <n v="204.49"/>
    <n v="204.49"/>
    <n v="204.49"/>
    <n v="204.49"/>
    <n v="204.49"/>
    <n v="204.49"/>
    <n v="204.49"/>
    <n v="204.49"/>
    <n v="204.49"/>
    <n v="204.49"/>
    <n v="204.49"/>
  </r>
  <r>
    <x v="4"/>
    <s v="Walk In Closet"/>
    <n v="0"/>
    <n v="0"/>
    <n v="0"/>
    <n v="21.02"/>
    <n v="21.02"/>
    <n v="21.02"/>
    <n v="21.02"/>
    <n v="21.02"/>
    <n v="21.02"/>
    <n v="21.02"/>
    <n v="21.02"/>
    <n v="21.02"/>
    <n v="21.02"/>
    <n v="21.02"/>
    <n v="21.02"/>
    <n v="21.02"/>
    <n v="21.02"/>
  </r>
  <r>
    <x v="4"/>
    <s v="Walk In Closet"/>
    <n v="0"/>
    <n v="0"/>
    <n v="0"/>
    <n v="166"/>
    <n v="166"/>
    <n v="166"/>
    <n v="166"/>
    <n v="166"/>
    <n v="166"/>
    <n v="166"/>
    <n v="166"/>
    <n v="166"/>
    <n v="166"/>
    <n v="166"/>
    <n v="166"/>
    <n v="166"/>
    <n v="166"/>
  </r>
  <r>
    <x v="3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3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3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Full Bath"/>
    <n v="0"/>
    <n v="0"/>
    <n v="0"/>
    <n v="0"/>
    <n v="241.46"/>
    <n v="241.46"/>
    <n v="241.46"/>
    <n v="241.46"/>
    <n v="241.46"/>
    <n v="241.46"/>
    <n v="241.46"/>
    <n v="241.46"/>
    <n v="241.46"/>
    <n v="241.46"/>
    <n v="241.46"/>
    <n v="241.46"/>
    <n v="241.46"/>
  </r>
  <r>
    <x v="3"/>
    <s v="Full Bath"/>
    <n v="0"/>
    <n v="0"/>
    <n v="0"/>
    <n v="206.9725"/>
    <n v="206.9725"/>
    <n v="206.9725"/>
    <n v="206.9725"/>
    <n v="413.94499999999999"/>
    <n v="413.94499999999999"/>
    <n v="413.94499999999999"/>
    <n v="413.94499999999999"/>
    <n v="827.89"/>
    <n v="827.89"/>
    <n v="827.89"/>
    <n v="827.89"/>
    <n v="827.89"/>
    <n v="827.89"/>
  </r>
  <r>
    <x v="3"/>
    <s v="Full Bath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x v="3"/>
    <s v="Full Bath"/>
    <n v="0"/>
    <n v="0"/>
    <n v="0"/>
    <n v="174.97"/>
    <n v="174.97"/>
    <n v="174.97"/>
    <n v="174.97"/>
    <n v="174.97"/>
    <n v="174.97"/>
    <n v="174.97"/>
    <n v="174.97"/>
    <n v="174.97"/>
    <n v="174.97"/>
    <n v="174.97"/>
    <n v="174.97"/>
    <n v="174.97"/>
    <n v="174.97"/>
  </r>
  <r>
    <x v="3"/>
    <s v="Full Bath"/>
    <n v="0"/>
    <n v="0"/>
    <n v="0"/>
    <n v="39.232500000000002"/>
    <n v="39.232500000000002"/>
    <n v="39.232500000000002"/>
    <n v="39.232500000000002"/>
    <n v="78.465000000000003"/>
    <n v="78.465000000000003"/>
    <n v="78.465000000000003"/>
    <n v="78.465000000000003"/>
    <n v="156.93"/>
    <n v="156.93"/>
    <n v="156.93"/>
    <n v="156.93"/>
    <n v="156.93"/>
    <n v="156.93"/>
  </r>
  <r>
    <x v="3"/>
    <s v="Full Bath"/>
    <n v="0"/>
    <n v="0"/>
    <n v="0"/>
    <n v="0"/>
    <n v="0"/>
    <n v="0"/>
    <n v="0"/>
    <n v="0"/>
    <n v="0"/>
    <n v="0"/>
    <n v="0"/>
    <n v="0"/>
    <n v="0"/>
    <n v="0"/>
    <n v="29.42"/>
    <n v="29.42"/>
    <n v="29.42"/>
  </r>
  <r>
    <x v="3"/>
    <s v="Full Bath"/>
    <n v="0"/>
    <n v="0"/>
    <n v="0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</r>
  <r>
    <x v="3"/>
    <s v="Full Bath"/>
    <n v="0"/>
    <n v="0"/>
    <n v="0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</r>
  <r>
    <x v="3"/>
    <s v="Full Bath"/>
    <n v="0"/>
    <n v="0"/>
    <n v="0"/>
    <n v="79.16"/>
    <n v="79.16"/>
    <n v="79.16"/>
    <n v="79.16"/>
    <n v="79.16"/>
    <n v="79.16"/>
    <n v="79.16"/>
    <n v="79.16"/>
    <n v="79.16"/>
    <n v="79.16"/>
    <n v="79.16"/>
    <n v="79.16"/>
    <n v="79.16"/>
    <n v="79.16"/>
  </r>
  <r>
    <x v="3"/>
    <s v="Full Bath"/>
    <n v="0"/>
    <n v="0"/>
    <n v="0"/>
    <n v="61.45"/>
    <n v="61.45"/>
    <n v="61.45"/>
    <n v="61.45"/>
    <n v="61.45"/>
    <n v="61.45"/>
    <n v="61.45"/>
    <n v="61.45"/>
    <n v="61.45"/>
    <n v="61.45"/>
    <n v="61.45"/>
    <n v="61.45"/>
    <n v="61.45"/>
    <n v="61.45"/>
  </r>
  <r>
    <x v="3"/>
    <s v="Full Bath"/>
    <n v="0"/>
    <n v="0"/>
    <n v="0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</r>
  <r>
    <x v="3"/>
    <s v="Full Bath"/>
    <n v="0"/>
    <n v="0"/>
    <n v="0"/>
    <n v="110.87"/>
    <n v="110.87"/>
    <n v="110.87"/>
    <n v="110.87"/>
    <n v="110.87"/>
    <n v="110.87"/>
    <n v="110.87"/>
    <n v="110.87"/>
    <n v="110.87"/>
    <n v="110.87"/>
    <n v="110.87"/>
    <n v="110.87"/>
    <n v="110.87"/>
    <n v="110.87"/>
  </r>
  <r>
    <x v="3"/>
    <s v="Full Bath"/>
    <n v="0"/>
    <n v="0"/>
    <n v="0"/>
    <n v="10.42"/>
    <n v="10.42"/>
    <n v="10.42"/>
    <n v="10.42"/>
    <n v="10.42"/>
    <n v="10.42"/>
    <n v="10.42"/>
    <n v="10.42"/>
    <n v="10.42"/>
    <n v="10.42"/>
    <n v="10.42"/>
    <n v="10.42"/>
    <n v="10.42"/>
    <n v="10.42"/>
  </r>
  <r>
    <x v="3"/>
    <s v="Full Bath"/>
    <n v="0"/>
    <n v="0"/>
    <n v="0"/>
    <n v="82.28"/>
    <n v="82.28"/>
    <n v="82.28"/>
    <n v="82.28"/>
    <n v="82.28"/>
    <n v="82.28"/>
    <n v="82.28"/>
    <n v="82.28"/>
    <n v="82.28"/>
    <n v="82.28"/>
    <n v="82.28"/>
    <n v="82.28"/>
    <n v="82.28"/>
    <n v="82.28"/>
  </r>
  <r>
    <x v="4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4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4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4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4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4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4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4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4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4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4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4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4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4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4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4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4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4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4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4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4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4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4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4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4"/>
    <s v="Full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4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4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4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4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4"/>
    <s v="Full Bath"/>
    <n v="0"/>
    <n v="0"/>
    <n v="0"/>
    <n v="0"/>
    <n v="241.46"/>
    <n v="241.46"/>
    <n v="241.46"/>
    <n v="241.46"/>
    <n v="241.46"/>
    <n v="241.46"/>
    <n v="241.46"/>
    <n v="241.46"/>
    <n v="241.46"/>
    <n v="241.46"/>
    <n v="241.46"/>
    <n v="241.46"/>
    <n v="241.46"/>
  </r>
  <r>
    <x v="4"/>
    <s v="Full Bath"/>
    <n v="0"/>
    <n v="0"/>
    <n v="0"/>
    <n v="206.9725"/>
    <n v="206.9725"/>
    <n v="206.9725"/>
    <n v="206.9725"/>
    <n v="413.94499999999999"/>
    <n v="413.94499999999999"/>
    <n v="413.94499999999999"/>
    <n v="413.94499999999999"/>
    <n v="827.89"/>
    <n v="827.89"/>
    <n v="827.89"/>
    <n v="827.89"/>
    <n v="827.89"/>
    <n v="827.89"/>
  </r>
  <r>
    <x v="4"/>
    <s v="Full Bath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x v="4"/>
    <s v="Full Bath"/>
    <n v="0"/>
    <n v="0"/>
    <n v="0"/>
    <n v="174.97"/>
    <n v="174.97"/>
    <n v="174.97"/>
    <n v="174.97"/>
    <n v="174.97"/>
    <n v="174.97"/>
    <n v="174.97"/>
    <n v="174.97"/>
    <n v="174.97"/>
    <n v="174.97"/>
    <n v="174.97"/>
    <n v="174.97"/>
    <n v="174.97"/>
    <n v="174.97"/>
  </r>
  <r>
    <x v="4"/>
    <s v="Full Bath"/>
    <n v="0"/>
    <n v="0"/>
    <n v="0"/>
    <n v="39.232500000000002"/>
    <n v="39.232500000000002"/>
    <n v="39.232500000000002"/>
    <n v="39.232500000000002"/>
    <n v="78.465000000000003"/>
    <n v="78.465000000000003"/>
    <n v="78.465000000000003"/>
    <n v="78.465000000000003"/>
    <n v="156.93"/>
    <n v="156.93"/>
    <n v="156.93"/>
    <n v="156.93"/>
    <n v="156.93"/>
    <n v="156.93"/>
  </r>
  <r>
    <x v="4"/>
    <s v="Full Bath"/>
    <n v="0"/>
    <n v="0"/>
    <n v="0"/>
    <n v="0"/>
    <n v="0"/>
    <n v="0"/>
    <n v="0"/>
    <n v="0"/>
    <n v="0"/>
    <n v="0"/>
    <n v="0"/>
    <n v="0"/>
    <n v="0"/>
    <n v="0"/>
    <n v="29.42"/>
    <n v="29.42"/>
    <n v="29.42"/>
  </r>
  <r>
    <x v="4"/>
    <s v="Full Bath"/>
    <n v="0"/>
    <n v="0"/>
    <n v="0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</r>
  <r>
    <x v="4"/>
    <s v="Full Bath"/>
    <n v="0"/>
    <n v="0"/>
    <n v="0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</r>
  <r>
    <x v="4"/>
    <s v="Full Bath"/>
    <n v="0"/>
    <n v="0"/>
    <n v="0"/>
    <n v="79.16"/>
    <n v="79.16"/>
    <n v="79.16"/>
    <n v="79.16"/>
    <n v="79.16"/>
    <n v="79.16"/>
    <n v="79.16"/>
    <n v="79.16"/>
    <n v="79.16"/>
    <n v="79.16"/>
    <n v="79.16"/>
    <n v="79.16"/>
    <n v="79.16"/>
    <n v="79.16"/>
  </r>
  <r>
    <x v="4"/>
    <s v="Full Bath"/>
    <n v="0"/>
    <n v="0"/>
    <n v="0"/>
    <n v="61.45"/>
    <n v="61.45"/>
    <n v="61.45"/>
    <n v="61.45"/>
    <n v="61.45"/>
    <n v="61.45"/>
    <n v="61.45"/>
    <n v="61.45"/>
    <n v="61.45"/>
    <n v="61.45"/>
    <n v="61.45"/>
    <n v="61.45"/>
    <n v="61.45"/>
    <n v="61.45"/>
  </r>
  <r>
    <x v="4"/>
    <s v="Full Bath"/>
    <n v="0"/>
    <n v="0"/>
    <n v="0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</r>
  <r>
    <x v="4"/>
    <s v="Full Bath"/>
    <n v="0"/>
    <n v="0"/>
    <n v="0"/>
    <n v="110.87"/>
    <n v="110.87"/>
    <n v="110.87"/>
    <n v="110.87"/>
    <n v="110.87"/>
    <n v="110.87"/>
    <n v="110.87"/>
    <n v="110.87"/>
    <n v="110.87"/>
    <n v="110.87"/>
    <n v="110.87"/>
    <n v="110.87"/>
    <n v="110.87"/>
    <n v="110.87"/>
  </r>
  <r>
    <x v="4"/>
    <s v="Full Bath"/>
    <n v="0"/>
    <n v="0"/>
    <n v="0"/>
    <n v="10.42"/>
    <n v="10.42"/>
    <n v="10.42"/>
    <n v="10.42"/>
    <n v="10.42"/>
    <n v="10.42"/>
    <n v="10.42"/>
    <n v="10.42"/>
    <n v="10.42"/>
    <n v="10.42"/>
    <n v="10.42"/>
    <n v="10.42"/>
    <n v="10.42"/>
    <n v="10.42"/>
  </r>
  <r>
    <x v="4"/>
    <s v="Full Bath"/>
    <n v="0"/>
    <n v="0"/>
    <n v="0"/>
    <n v="82.28"/>
    <n v="82.28"/>
    <n v="82.28"/>
    <n v="82.28"/>
    <n v="82.28"/>
    <n v="82.28"/>
    <n v="82.28"/>
    <n v="82.28"/>
    <n v="82.28"/>
    <n v="82.28"/>
    <n v="82.28"/>
    <n v="82.28"/>
    <n v="82.28"/>
    <n v="82.28"/>
  </r>
  <r>
    <x v="3"/>
    <s v="1.5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1.5 Bath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3"/>
    <s v="1.5 Bath"/>
    <n v="0"/>
    <n v="0"/>
    <n v="0"/>
    <n v="835.19"/>
    <n v="835.19"/>
    <n v="835.19"/>
    <n v="835.19"/>
    <n v="835.19"/>
    <n v="835.19"/>
    <n v="835.19"/>
    <n v="835.19"/>
    <n v="835.19"/>
    <n v="835.19"/>
    <n v="835.19"/>
    <n v="835.19"/>
    <n v="835.19"/>
    <n v="835.19"/>
  </r>
  <r>
    <x v="3"/>
    <s v="1.5 Bath"/>
    <n v="0"/>
    <n v="0"/>
    <n v="0"/>
    <n v="0"/>
    <n v="0"/>
    <n v="0"/>
    <n v="0"/>
    <n v="0"/>
    <n v="0"/>
    <n v="2334.5100000000002"/>
    <n v="2334.5100000000002"/>
    <n v="2334.5100000000002"/>
    <n v="2334.5100000000002"/>
    <n v="2334.5100000000002"/>
    <n v="2334.5100000000002"/>
    <n v="2334.5100000000002"/>
    <n v="2334.5100000000002"/>
  </r>
  <r>
    <x v="3"/>
    <s v="1.5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1.5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1.5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1.5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1.5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1.5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1.5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1.5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1.5 Bath"/>
    <n v="0"/>
    <n v="0"/>
    <n v="0"/>
    <n v="0"/>
    <n v="0"/>
    <n v="0"/>
    <n v="0"/>
    <n v="0"/>
    <n v="0"/>
    <n v="701.67"/>
    <n v="701.67"/>
    <n v="701.67"/>
    <n v="701.67"/>
    <n v="701.67"/>
    <n v="701.67"/>
    <n v="701.67"/>
    <n v="701.67"/>
  </r>
  <r>
    <x v="3"/>
    <s v="1.5 Bath"/>
    <n v="0"/>
    <n v="0"/>
    <n v="0"/>
    <n v="0"/>
    <n v="0"/>
    <n v="0"/>
    <n v="0"/>
    <n v="199.39"/>
    <n v="199.39"/>
    <n v="199.39"/>
    <n v="199.39"/>
    <n v="199.39"/>
    <n v="199.39"/>
    <n v="199.39"/>
    <n v="199.39"/>
    <n v="199.39"/>
    <n v="199.39"/>
  </r>
  <r>
    <x v="3"/>
    <s v="1.5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1.5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1.5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1.5 Bath"/>
    <n v="0"/>
    <n v="0"/>
    <n v="0"/>
    <n v="0"/>
    <n v="0"/>
    <n v="0"/>
    <n v="0"/>
    <n v="0"/>
    <n v="0"/>
    <n v="0"/>
    <n v="0"/>
    <n v="0"/>
    <n v="0"/>
    <n v="0"/>
    <n v="186.56"/>
    <n v="186.56"/>
    <n v="186.56"/>
  </r>
  <r>
    <x v="3"/>
    <s v="1.5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1.5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1.5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1.5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1.5 Bath"/>
    <n v="0"/>
    <n v="0"/>
    <n v="0"/>
    <n v="0"/>
    <n v="1110.24"/>
    <n v="1110.24"/>
    <n v="1110.24"/>
    <n v="1110.24"/>
    <n v="1110.24"/>
    <n v="1110.24"/>
    <n v="1110.24"/>
    <n v="1110.24"/>
    <n v="1110.24"/>
    <n v="1110.24"/>
    <n v="1110.24"/>
    <n v="1110.24"/>
    <n v="1110.24"/>
  </r>
  <r>
    <x v="3"/>
    <s v="1.5 Bath"/>
    <n v="0"/>
    <n v="0"/>
    <n v="0"/>
    <n v="0"/>
    <n v="0"/>
    <n v="0"/>
    <n v="0"/>
    <n v="0"/>
    <n v="0"/>
    <n v="0"/>
    <n v="46.28"/>
    <n v="46.28"/>
    <n v="46.28"/>
    <n v="46.28"/>
    <n v="46.28"/>
    <n v="46.28"/>
    <n v="46.28"/>
  </r>
  <r>
    <x v="3"/>
    <s v="1.5 Bath"/>
    <n v="0"/>
    <n v="0"/>
    <n v="0"/>
    <n v="0"/>
    <n v="0"/>
    <n v="0"/>
    <n v="0"/>
    <n v="0"/>
    <n v="0"/>
    <n v="0"/>
    <n v="228.92"/>
    <n v="228.92"/>
    <n v="228.92"/>
    <n v="228.92"/>
    <n v="228.92"/>
    <n v="228.92"/>
    <n v="228.92"/>
  </r>
  <r>
    <x v="3"/>
    <s v="1.5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1.5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1.5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1.5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1.5 Bath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3"/>
    <s v="1.5 Bath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x v="3"/>
    <s v="1.5 Bath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x v="3"/>
    <s v="1.5 Bath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x v="3"/>
    <s v="1.5 Bath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x v="3"/>
    <s v="1.5 Bath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x v="3"/>
    <s v="1.5 Bath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x v="3"/>
    <s v="1.5 Bath"/>
    <n v="0"/>
    <n v="0"/>
    <n v="0"/>
    <n v="134.76"/>
    <n v="134.76"/>
    <n v="134.76"/>
    <n v="134.76"/>
    <n v="134.76"/>
    <n v="134.76"/>
    <n v="134.76"/>
    <n v="134.76"/>
    <n v="134.76"/>
    <n v="134.76"/>
    <n v="134.76"/>
    <n v="134.76"/>
    <n v="134.76"/>
    <n v="134.76"/>
  </r>
  <r>
    <x v="3"/>
    <s v="1.5 Bath"/>
    <n v="0"/>
    <n v="0"/>
    <n v="0"/>
    <n v="159.72"/>
    <n v="159.72"/>
    <n v="159.72"/>
    <n v="159.72"/>
    <n v="159.72"/>
    <n v="159.72"/>
    <n v="159.72"/>
    <n v="159.72"/>
    <n v="159.72"/>
    <n v="159.72"/>
    <n v="159.72"/>
    <n v="159.72"/>
    <n v="159.72"/>
    <n v="159.72"/>
  </r>
  <r>
    <x v="3"/>
    <s v="1.5 Bath"/>
    <n v="0"/>
    <n v="0"/>
    <n v="0"/>
    <n v="113.36"/>
    <n v="113.36"/>
    <n v="113.36"/>
    <n v="113.36"/>
    <n v="113.36"/>
    <n v="113.36"/>
    <n v="113.36"/>
    <n v="113.36"/>
    <n v="113.36"/>
    <n v="113.36"/>
    <n v="113.36"/>
    <n v="113.36"/>
    <n v="113.36"/>
    <n v="113.36"/>
  </r>
  <r>
    <x v="3"/>
    <s v="1.5 Bath"/>
    <n v="0"/>
    <n v="0"/>
    <n v="0"/>
    <n v="74.31"/>
    <n v="74.31"/>
    <n v="74.31"/>
    <n v="74.31"/>
    <n v="74.31"/>
    <n v="74.31"/>
    <n v="74.31"/>
    <n v="74.31"/>
    <n v="74.31"/>
    <n v="74.31"/>
    <n v="74.31"/>
    <n v="74.31"/>
    <n v="74.31"/>
    <n v="74.31"/>
  </r>
  <r>
    <x v="3"/>
    <s v="1.5 Bath"/>
    <n v="0"/>
    <n v="0"/>
    <n v="0"/>
    <n v="204.49"/>
    <n v="204.49"/>
    <n v="204.49"/>
    <n v="204.49"/>
    <n v="204.49"/>
    <n v="204.49"/>
    <n v="204.49"/>
    <n v="204.49"/>
    <n v="204.49"/>
    <n v="204.49"/>
    <n v="204.49"/>
    <n v="204.49"/>
    <n v="204.49"/>
    <n v="204.49"/>
  </r>
  <r>
    <x v="3"/>
    <s v="1.5 Bath"/>
    <n v="0"/>
    <n v="0"/>
    <n v="0"/>
    <n v="21.02"/>
    <n v="21.02"/>
    <n v="21.02"/>
    <n v="21.02"/>
    <n v="21.02"/>
    <n v="21.02"/>
    <n v="21.02"/>
    <n v="21.02"/>
    <n v="21.02"/>
    <n v="21.02"/>
    <n v="21.02"/>
    <n v="21.02"/>
    <n v="21.02"/>
    <n v="21.02"/>
  </r>
  <r>
    <x v="3"/>
    <s v="1.5 Bath"/>
    <n v="0"/>
    <n v="0"/>
    <n v="0"/>
    <n v="166"/>
    <n v="166"/>
    <n v="166"/>
    <n v="166"/>
    <n v="166"/>
    <n v="166"/>
    <n v="166"/>
    <n v="166"/>
    <n v="166"/>
    <n v="166"/>
    <n v="166"/>
    <n v="166"/>
    <n v="166"/>
    <n v="166"/>
  </r>
  <r>
    <x v="2"/>
    <s v="Pantry"/>
    <n v="0"/>
    <n v="0"/>
    <n v="0"/>
    <n v="0"/>
    <n v="0"/>
    <n v="0"/>
    <n v="0"/>
    <n v="0"/>
    <n v="0"/>
    <n v="0"/>
    <n v="0"/>
    <n v="879.12"/>
    <n v="879.12"/>
    <n v="879.12"/>
    <n v="879.12"/>
    <n v="879.12"/>
    <n v="879.12"/>
  </r>
  <r>
    <x v="2"/>
    <s v="Pantry"/>
    <n v="0"/>
    <n v="0"/>
    <n v="0"/>
    <n v="0"/>
    <n v="0"/>
    <n v="0"/>
    <n v="0"/>
    <n v="0"/>
    <n v="0"/>
    <n v="0"/>
    <n v="1013.52"/>
    <n v="1013.52"/>
    <n v="1013.52"/>
    <n v="1013.52"/>
    <n v="1013.52"/>
    <n v="1013.52"/>
    <n v="1013.52"/>
  </r>
  <r>
    <x v="2"/>
    <s v="Pantry"/>
    <n v="0"/>
    <n v="0"/>
    <n v="0"/>
    <n v="0"/>
    <n v="0"/>
    <n v="0"/>
    <n v="0"/>
    <n v="0"/>
    <n v="0"/>
    <n v="0"/>
    <n v="2528.4699999999998"/>
    <n v="2528.4699999999998"/>
    <n v="2528.4699999999998"/>
    <n v="2528.4699999999998"/>
    <n v="2528.4699999999998"/>
    <n v="2528.4699999999998"/>
    <n v="2528.4699999999998"/>
  </r>
  <r>
    <x v="2"/>
    <s v="Pantr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Pantry"/>
    <n v="0"/>
    <n v="0"/>
    <n v="0"/>
    <n v="0"/>
    <n v="0"/>
    <n v="0"/>
    <n v="0"/>
    <n v="0"/>
    <n v="0"/>
    <n v="0"/>
    <n v="0"/>
    <n v="0"/>
    <n v="0"/>
    <n v="0"/>
    <n v="118.58"/>
    <n v="118.58"/>
    <n v="118.58"/>
  </r>
  <r>
    <x v="2"/>
    <s v="Pantry"/>
    <n v="0"/>
    <n v="0"/>
    <n v="0"/>
    <n v="0"/>
    <n v="0"/>
    <n v="0"/>
    <n v="0"/>
    <n v="0"/>
    <n v="0"/>
    <n v="0"/>
    <n v="0"/>
    <n v="74.89"/>
    <n v="74.89"/>
    <n v="74.89"/>
    <n v="74.89"/>
    <n v="74.89"/>
    <n v="74.89"/>
  </r>
  <r>
    <x v="2"/>
    <s v="Pantry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Pantry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Pantry"/>
    <n v="0"/>
    <n v="0"/>
    <n v="0"/>
    <n v="0"/>
    <n v="439.42"/>
    <n v="439.42"/>
    <n v="439.42"/>
    <n v="439.42"/>
    <n v="439.42"/>
    <n v="439.42"/>
    <n v="439.42"/>
    <n v="439.42"/>
    <n v="439.42"/>
    <n v="439.42"/>
    <n v="439.42"/>
    <n v="439.42"/>
    <n v="439.42"/>
  </r>
  <r>
    <x v="2"/>
    <s v="Pantry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2"/>
    <s v="Pantry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x v="2"/>
    <s v="Pantry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x v="2"/>
    <s v="Pantry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x v="2"/>
    <s v="Pantry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x v="2"/>
    <s v="Pantry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x v="2"/>
    <s v="Pantry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x v="2"/>
    <s v="Pantry"/>
    <n v="0"/>
    <n v="0"/>
    <n v="0"/>
    <n v="134.76"/>
    <n v="134.76"/>
    <n v="134.76"/>
    <n v="134.76"/>
    <n v="134.76"/>
    <n v="134.76"/>
    <n v="134.76"/>
    <n v="134.76"/>
    <n v="134.76"/>
    <n v="134.76"/>
    <n v="134.76"/>
    <n v="134.76"/>
    <n v="134.76"/>
    <n v="134.76"/>
  </r>
  <r>
    <x v="2"/>
    <s v="Pantry"/>
    <n v="0"/>
    <n v="0"/>
    <n v="0"/>
    <n v="159.72"/>
    <n v="159.72"/>
    <n v="159.72"/>
    <n v="159.72"/>
    <n v="159.72"/>
    <n v="159.72"/>
    <n v="159.72"/>
    <n v="159.72"/>
    <n v="159.72"/>
    <n v="159.72"/>
    <n v="159.72"/>
    <n v="159.72"/>
    <n v="159.72"/>
    <n v="159.72"/>
  </r>
  <r>
    <x v="2"/>
    <s v="Pantry"/>
    <n v="0"/>
    <n v="0"/>
    <n v="0"/>
    <n v="113.36"/>
    <n v="113.36"/>
    <n v="113.36"/>
    <n v="113.36"/>
    <n v="113.36"/>
    <n v="113.36"/>
    <n v="113.36"/>
    <n v="113.36"/>
    <n v="113.36"/>
    <n v="113.36"/>
    <n v="113.36"/>
    <n v="113.36"/>
    <n v="113.36"/>
    <n v="113.36"/>
  </r>
  <r>
    <x v="2"/>
    <s v="Pantry"/>
    <n v="0"/>
    <n v="0"/>
    <n v="0"/>
    <n v="74.31"/>
    <n v="74.31"/>
    <n v="74.31"/>
    <n v="74.31"/>
    <n v="74.31"/>
    <n v="74.31"/>
    <n v="74.31"/>
    <n v="74.31"/>
    <n v="74.31"/>
    <n v="74.31"/>
    <n v="74.31"/>
    <n v="74.31"/>
    <n v="74.31"/>
    <n v="74.31"/>
  </r>
  <r>
    <x v="2"/>
    <s v="Pantry"/>
    <n v="0"/>
    <n v="0"/>
    <n v="0"/>
    <n v="204.49"/>
    <n v="204.49"/>
    <n v="204.49"/>
    <n v="204.49"/>
    <n v="204.49"/>
    <n v="204.49"/>
    <n v="204.49"/>
    <n v="204.49"/>
    <n v="204.49"/>
    <n v="204.49"/>
    <n v="204.49"/>
    <n v="204.49"/>
    <n v="204.49"/>
    <n v="204.49"/>
  </r>
  <r>
    <x v="2"/>
    <s v="Pantry"/>
    <n v="0"/>
    <n v="0"/>
    <n v="0"/>
    <n v="21.02"/>
    <n v="21.02"/>
    <n v="21.02"/>
    <n v="21.02"/>
    <n v="21.02"/>
    <n v="21.02"/>
    <n v="21.02"/>
    <n v="21.02"/>
    <n v="21.02"/>
    <n v="21.02"/>
    <n v="21.02"/>
    <n v="21.02"/>
    <n v="21.02"/>
    <n v="21.02"/>
  </r>
  <r>
    <x v="2"/>
    <s v="Pantry"/>
    <n v="0"/>
    <n v="0"/>
    <n v="0"/>
    <n v="166"/>
    <n v="166"/>
    <n v="166"/>
    <n v="166"/>
    <n v="166"/>
    <n v="166"/>
    <n v="166"/>
    <n v="166"/>
    <n v="166"/>
    <n v="166"/>
    <n v="166"/>
    <n v="166"/>
    <n v="166"/>
    <n v="166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x v="2"/>
    <s v="Living Area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x v="2"/>
    <s v="Living Area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x v="2"/>
    <s v="Living Area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x v="2"/>
    <s v="Living Area"/>
    <n v="0"/>
    <n v="0"/>
    <n v="0"/>
    <n v="278.21749999999997"/>
    <n v="278.21749999999997"/>
    <n v="278.21749999999997"/>
    <n v="278.21749999999997"/>
    <n v="556.43499999999995"/>
    <n v="556.43499999999995"/>
    <n v="556.43499999999995"/>
    <n v="556.43499999999995"/>
    <n v="1112.8699999999999"/>
    <n v="1112.8699999999999"/>
    <n v="1112.8699999999999"/>
    <n v="1112.8699999999999"/>
    <n v="1112.8699999999999"/>
    <n v="1112.8699999999999"/>
  </r>
  <r>
    <x v="2"/>
    <s v="Living Area"/>
    <n v="0"/>
    <n v="0"/>
    <n v="0"/>
    <n v="0"/>
    <n v="0"/>
    <n v="0"/>
    <n v="0"/>
    <n v="0"/>
    <n v="0"/>
    <n v="0"/>
    <n v="0"/>
    <n v="0"/>
    <n v="0"/>
    <n v="0"/>
    <n v="208.67"/>
    <n v="208.67"/>
    <n v="208.67"/>
  </r>
  <r>
    <x v="2"/>
    <s v="Living Area"/>
    <n v="0"/>
    <n v="0"/>
    <n v="0"/>
    <n v="228.55"/>
    <n v="228.55"/>
    <n v="228.55"/>
    <n v="228.55"/>
    <n v="228.55"/>
    <n v="228.55"/>
    <n v="228.55"/>
    <n v="228.55"/>
    <n v="228.55"/>
    <n v="228.55"/>
    <n v="228.55"/>
    <n v="228.55"/>
    <n v="228.55"/>
    <n v="228.55"/>
  </r>
  <r>
    <x v="2"/>
    <s v="Living Area"/>
    <n v="0"/>
    <n v="0"/>
    <n v="0"/>
    <n v="473.65"/>
    <n v="473.65"/>
    <n v="473.65"/>
    <n v="473.65"/>
    <n v="473.65"/>
    <n v="473.65"/>
    <n v="473.65"/>
    <n v="473.65"/>
    <n v="473.65"/>
    <n v="473.65"/>
    <n v="473.65"/>
    <n v="473.65"/>
    <n v="473.65"/>
    <n v="473.65"/>
  </r>
  <r>
    <x v="2"/>
    <s v="Living Area"/>
    <n v="0"/>
    <n v="0"/>
    <n v="0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</r>
  <r>
    <x v="2"/>
    <s v="Living Area"/>
    <n v="0"/>
    <n v="0"/>
    <n v="0"/>
    <n v="372.15"/>
    <n v="372.15"/>
    <n v="372.15"/>
    <n v="372.15"/>
    <n v="372.15"/>
    <n v="372.15"/>
    <n v="372.15"/>
    <n v="372.15"/>
    <n v="372.15"/>
    <n v="372.15"/>
    <n v="372.15"/>
    <n v="372.15"/>
    <n v="372.15"/>
    <n v="372.15"/>
  </r>
  <r>
    <x v="2"/>
    <s v="Living Area"/>
    <n v="0"/>
    <n v="0"/>
    <n v="0"/>
    <n v="244"/>
    <n v="244"/>
    <n v="244"/>
    <n v="244"/>
    <n v="244"/>
    <n v="244"/>
    <n v="244"/>
    <n v="244"/>
    <n v="244"/>
    <n v="244"/>
    <n v="244"/>
    <n v="244"/>
    <n v="244"/>
    <n v="244"/>
  </r>
  <r>
    <x v="2"/>
    <s v="Living Area"/>
    <n v="0"/>
    <n v="0"/>
    <n v="0"/>
    <n v="671.38"/>
    <n v="671.38"/>
    <n v="671.38"/>
    <n v="671.38"/>
    <n v="671.38"/>
    <n v="671.38"/>
    <n v="671.38"/>
    <n v="671.38"/>
    <n v="671.38"/>
    <n v="671.38"/>
    <n v="671.38"/>
    <n v="671.38"/>
    <n v="671.38"/>
    <n v="671.38"/>
  </r>
  <r>
    <x v="2"/>
    <s v="Living Area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x v="2"/>
    <s v="Living Area"/>
    <n v="0"/>
    <n v="0"/>
    <n v="0"/>
    <n v="583.52"/>
    <n v="583.52"/>
    <n v="583.52"/>
    <n v="583.52"/>
    <n v="583.52"/>
    <n v="583.52"/>
    <n v="583.52"/>
    <n v="583.52"/>
    <n v="583.52"/>
    <n v="583.52"/>
    <n v="583.52"/>
    <n v="583.52"/>
    <n v="583.52"/>
    <n v="583.52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x v="3"/>
    <s v="Bedroom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x v="3"/>
    <s v="Bedroom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3"/>
    <s v="Bedroom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x v="3"/>
    <s v="Bedroom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x v="3"/>
    <s v="Bedroom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x v="3"/>
    <s v="Bedroom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x v="3"/>
    <s v="Bedroom"/>
    <n v="0"/>
    <n v="0"/>
    <n v="0"/>
    <n v="168.75"/>
    <n v="168.75"/>
    <n v="168.75"/>
    <n v="168.75"/>
    <n v="168.75"/>
    <n v="168.75"/>
    <n v="168.75"/>
    <n v="168.75"/>
    <n v="168.75"/>
    <n v="168.75"/>
    <n v="168.75"/>
    <n v="168.75"/>
    <n v="168.75"/>
    <n v="168.75"/>
  </r>
  <r>
    <x v="3"/>
    <s v="Bedroom"/>
    <n v="0"/>
    <n v="0"/>
    <n v="0"/>
    <n v="200.05"/>
    <n v="200.05"/>
    <n v="200.05"/>
    <n v="200.05"/>
    <n v="200.05"/>
    <n v="200.05"/>
    <n v="200.05"/>
    <n v="200.05"/>
    <n v="200.05"/>
    <n v="200.05"/>
    <n v="200.05"/>
    <n v="200.05"/>
    <n v="200.05"/>
    <n v="200.05"/>
  </r>
  <r>
    <x v="3"/>
    <s v="Bedroom"/>
    <n v="0"/>
    <n v="0"/>
    <n v="0"/>
    <n v="139.35"/>
    <n v="139.35"/>
    <n v="139.35"/>
    <n v="139.35"/>
    <n v="139.35"/>
    <n v="139.35"/>
    <n v="139.35"/>
    <n v="139.35"/>
    <n v="139.35"/>
    <n v="139.35"/>
    <n v="139.35"/>
    <n v="139.35"/>
    <n v="139.35"/>
    <n v="139.35"/>
  </r>
  <r>
    <x v="3"/>
    <s v="Bedroom"/>
    <n v="0"/>
    <n v="0"/>
    <n v="0"/>
    <n v="91.39"/>
    <n v="91.39"/>
    <n v="91.39"/>
    <n v="91.39"/>
    <n v="91.39"/>
    <n v="91.39"/>
    <n v="91.39"/>
    <n v="91.39"/>
    <n v="91.39"/>
    <n v="91.39"/>
    <n v="91.39"/>
    <n v="91.39"/>
    <n v="91.39"/>
    <n v="91.39"/>
  </r>
  <r>
    <x v="3"/>
    <s v="Bedroom"/>
    <n v="0"/>
    <n v="0"/>
    <n v="0"/>
    <n v="251.41"/>
    <n v="251.41"/>
    <n v="251.41"/>
    <n v="251.41"/>
    <n v="251.41"/>
    <n v="251.41"/>
    <n v="251.41"/>
    <n v="251.41"/>
    <n v="251.41"/>
    <n v="251.41"/>
    <n v="251.41"/>
    <n v="251.41"/>
    <n v="251.41"/>
    <n v="251.41"/>
  </r>
  <r>
    <x v="3"/>
    <s v="Bedroom"/>
    <n v="0"/>
    <n v="0"/>
    <n v="0"/>
    <n v="26.32"/>
    <n v="26.32"/>
    <n v="26.32"/>
    <n v="26.32"/>
    <n v="26.32"/>
    <n v="26.32"/>
    <n v="26.32"/>
    <n v="26.32"/>
    <n v="26.32"/>
    <n v="26.32"/>
    <n v="26.32"/>
    <n v="26.32"/>
    <n v="26.32"/>
    <n v="26.32"/>
  </r>
  <r>
    <x v="3"/>
    <s v="Bedroom"/>
    <n v="0"/>
    <n v="0"/>
    <n v="0"/>
    <n v="207.93"/>
    <n v="207.93"/>
    <n v="207.93"/>
    <n v="207.93"/>
    <n v="207.93"/>
    <n v="207.93"/>
    <n v="207.93"/>
    <n v="207.93"/>
    <n v="207.93"/>
    <n v="207.93"/>
    <n v="207.93"/>
    <n v="207.93"/>
    <n v="207.93"/>
    <n v="207.93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73.18"/>
    <n v="373.18"/>
    <n v="373.18"/>
    <n v="373.18"/>
    <n v="373.18"/>
    <n v="373.18"/>
    <n v="373.18"/>
    <n v="373.18"/>
    <n v="373.18"/>
    <n v="373.18"/>
    <n v="373.18"/>
    <n v="373.18"/>
    <n v="373.18"/>
  </r>
  <r>
    <x v="2"/>
    <s v="Nook"/>
    <n v="0"/>
    <n v="0"/>
    <n v="0"/>
    <n v="319.86750000000001"/>
    <n v="319.86750000000001"/>
    <n v="319.86750000000001"/>
    <n v="319.86750000000001"/>
    <n v="639.73500000000001"/>
    <n v="639.73500000000001"/>
    <n v="639.73500000000001"/>
    <n v="639.73500000000001"/>
    <n v="1279.47"/>
    <n v="1279.47"/>
    <n v="1279.47"/>
    <n v="1279.47"/>
    <n v="1279.47"/>
    <n v="1279.47"/>
  </r>
  <r>
    <x v="2"/>
    <s v="Nook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2"/>
    <s v="Nook"/>
    <n v="0"/>
    <n v="0"/>
    <n v="0"/>
    <n v="270.39"/>
    <n v="270.39"/>
    <n v="270.39"/>
    <n v="270.39"/>
    <n v="270.39"/>
    <n v="270.39"/>
    <n v="270.39"/>
    <n v="270.39"/>
    <n v="270.39"/>
    <n v="270.39"/>
    <n v="270.39"/>
    <n v="270.39"/>
    <n v="270.39"/>
    <n v="270.39"/>
  </r>
  <r>
    <x v="2"/>
    <s v="Nook"/>
    <n v="0"/>
    <n v="0"/>
    <n v="0"/>
    <n v="99.125"/>
    <n v="99.125"/>
    <n v="99.125"/>
    <n v="99.125"/>
    <n v="198.25"/>
    <n v="198.25"/>
    <n v="198.25"/>
    <n v="198.25"/>
    <n v="396.5"/>
    <n v="396.5"/>
    <n v="396.5"/>
    <n v="396.5"/>
    <n v="396.5"/>
    <n v="396.5"/>
  </r>
  <r>
    <x v="2"/>
    <s v="Nook"/>
    <n v="0"/>
    <n v="0"/>
    <n v="0"/>
    <n v="0"/>
    <n v="0"/>
    <n v="0"/>
    <n v="0"/>
    <n v="0"/>
    <n v="0"/>
    <n v="0"/>
    <n v="0"/>
    <n v="0"/>
    <n v="0"/>
    <n v="0"/>
    <n v="74.349999999999994"/>
    <n v="74.349999999999994"/>
    <n v="74.349999999999994"/>
  </r>
  <r>
    <x v="2"/>
    <s v="Nook"/>
    <n v="0"/>
    <n v="0"/>
    <n v="0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  <n v="81.430000000000007"/>
  </r>
  <r>
    <x v="2"/>
    <s v="Nook"/>
    <n v="0"/>
    <n v="0"/>
    <n v="0"/>
    <n v="168.75"/>
    <n v="168.75"/>
    <n v="168.75"/>
    <n v="168.75"/>
    <n v="168.75"/>
    <n v="168.75"/>
    <n v="168.75"/>
    <n v="168.75"/>
    <n v="168.75"/>
    <n v="168.75"/>
    <n v="168.75"/>
    <n v="168.75"/>
    <n v="168.75"/>
    <n v="168.75"/>
  </r>
  <r>
    <x v="2"/>
    <s v="Nook"/>
    <n v="0"/>
    <n v="0"/>
    <n v="0"/>
    <n v="200.05"/>
    <n v="200.05"/>
    <n v="200.05"/>
    <n v="200.05"/>
    <n v="200.05"/>
    <n v="200.05"/>
    <n v="200.05"/>
    <n v="200.05"/>
    <n v="200.05"/>
    <n v="200.05"/>
    <n v="200.05"/>
    <n v="200.05"/>
    <n v="200.05"/>
    <n v="200.05"/>
  </r>
  <r>
    <x v="2"/>
    <s v="Nook"/>
    <n v="0"/>
    <n v="0"/>
    <n v="0"/>
    <n v="139.35"/>
    <n v="139.35"/>
    <n v="139.35"/>
    <n v="139.35"/>
    <n v="139.35"/>
    <n v="139.35"/>
    <n v="139.35"/>
    <n v="139.35"/>
    <n v="139.35"/>
    <n v="139.35"/>
    <n v="139.35"/>
    <n v="139.35"/>
    <n v="139.35"/>
    <n v="139.35"/>
  </r>
  <r>
    <x v="2"/>
    <s v="Nook"/>
    <n v="0"/>
    <n v="0"/>
    <n v="0"/>
    <n v="91.39"/>
    <n v="91.39"/>
    <n v="91.39"/>
    <n v="91.39"/>
    <n v="91.39"/>
    <n v="91.39"/>
    <n v="91.39"/>
    <n v="91.39"/>
    <n v="91.39"/>
    <n v="91.39"/>
    <n v="91.39"/>
    <n v="91.39"/>
    <n v="91.39"/>
    <n v="91.39"/>
  </r>
  <r>
    <x v="2"/>
    <s v="Nook"/>
    <n v="0"/>
    <n v="0"/>
    <n v="0"/>
    <n v="251.41"/>
    <n v="251.41"/>
    <n v="251.41"/>
    <n v="251.41"/>
    <n v="251.41"/>
    <n v="251.41"/>
    <n v="251.41"/>
    <n v="251.41"/>
    <n v="251.41"/>
    <n v="251.41"/>
    <n v="251.41"/>
    <n v="251.41"/>
    <n v="251.41"/>
    <n v="251.41"/>
  </r>
  <r>
    <x v="2"/>
    <s v="Nook"/>
    <n v="0"/>
    <n v="0"/>
    <n v="0"/>
    <n v="26.32"/>
    <n v="26.32"/>
    <n v="26.32"/>
    <n v="26.32"/>
    <n v="26.32"/>
    <n v="26.32"/>
    <n v="26.32"/>
    <n v="26.32"/>
    <n v="26.32"/>
    <n v="26.32"/>
    <n v="26.32"/>
    <n v="26.32"/>
    <n v="26.32"/>
    <n v="26.32"/>
  </r>
  <r>
    <x v="2"/>
    <s v="Nook"/>
    <n v="0"/>
    <n v="0"/>
    <n v="0"/>
    <n v="207.93"/>
    <n v="207.93"/>
    <n v="207.93"/>
    <n v="207.93"/>
    <n v="207.93"/>
    <n v="207.93"/>
    <n v="207.93"/>
    <n v="207.93"/>
    <n v="207.93"/>
    <n v="207.93"/>
    <n v="207.93"/>
    <n v="207.93"/>
    <n v="207.93"/>
    <n v="207.93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x v="2"/>
    <s v="Living Area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x v="2"/>
    <s v="Living Area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x v="2"/>
    <s v="Living Area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x v="2"/>
    <s v="Living Area"/>
    <n v="0"/>
    <n v="0"/>
    <n v="0"/>
    <n v="278.21749999999997"/>
    <n v="278.21749999999997"/>
    <n v="278.21749999999997"/>
    <n v="278.21749999999997"/>
    <n v="556.43499999999995"/>
    <n v="556.43499999999995"/>
    <n v="556.43499999999995"/>
    <n v="556.43499999999995"/>
    <n v="1112.8699999999999"/>
    <n v="1112.8699999999999"/>
    <n v="1112.8699999999999"/>
    <n v="1112.8699999999999"/>
    <n v="1112.8699999999999"/>
    <n v="1112.8699999999999"/>
  </r>
  <r>
    <x v="2"/>
    <s v="Living Area"/>
    <n v="0"/>
    <n v="0"/>
    <n v="0"/>
    <n v="0"/>
    <n v="0"/>
    <n v="0"/>
    <n v="0"/>
    <n v="0"/>
    <n v="0"/>
    <n v="0"/>
    <n v="0"/>
    <n v="0"/>
    <n v="0"/>
    <n v="0"/>
    <n v="208.67"/>
    <n v="208.67"/>
    <n v="208.67"/>
  </r>
  <r>
    <x v="2"/>
    <s v="Living Area"/>
    <n v="0"/>
    <n v="0"/>
    <n v="0"/>
    <n v="228.55"/>
    <n v="228.55"/>
    <n v="228.55"/>
    <n v="228.55"/>
    <n v="228.55"/>
    <n v="228.55"/>
    <n v="228.55"/>
    <n v="228.55"/>
    <n v="228.55"/>
    <n v="228.55"/>
    <n v="228.55"/>
    <n v="228.55"/>
    <n v="228.55"/>
    <n v="228.55"/>
  </r>
  <r>
    <x v="2"/>
    <s v="Living Area"/>
    <n v="0"/>
    <n v="0"/>
    <n v="0"/>
    <n v="473.65"/>
    <n v="473.65"/>
    <n v="473.65"/>
    <n v="473.65"/>
    <n v="473.65"/>
    <n v="473.65"/>
    <n v="473.65"/>
    <n v="473.65"/>
    <n v="473.65"/>
    <n v="473.65"/>
    <n v="473.65"/>
    <n v="473.65"/>
    <n v="473.65"/>
    <n v="473.65"/>
  </r>
  <r>
    <x v="2"/>
    <s v="Living Area"/>
    <n v="0"/>
    <n v="0"/>
    <n v="0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</r>
  <r>
    <x v="2"/>
    <s v="Living Area"/>
    <n v="0"/>
    <n v="0"/>
    <n v="0"/>
    <n v="372.15"/>
    <n v="372.15"/>
    <n v="372.15"/>
    <n v="372.15"/>
    <n v="372.15"/>
    <n v="372.15"/>
    <n v="372.15"/>
    <n v="372.15"/>
    <n v="372.15"/>
    <n v="372.15"/>
    <n v="372.15"/>
    <n v="372.15"/>
    <n v="372.15"/>
    <n v="372.15"/>
  </r>
  <r>
    <x v="2"/>
    <s v="Living Area"/>
    <n v="0"/>
    <n v="0"/>
    <n v="0"/>
    <n v="244"/>
    <n v="244"/>
    <n v="244"/>
    <n v="244"/>
    <n v="244"/>
    <n v="244"/>
    <n v="244"/>
    <n v="244"/>
    <n v="244"/>
    <n v="244"/>
    <n v="244"/>
    <n v="244"/>
    <n v="244"/>
    <n v="244"/>
  </r>
  <r>
    <x v="2"/>
    <s v="Living Area"/>
    <n v="0"/>
    <n v="0"/>
    <n v="0"/>
    <n v="671.38"/>
    <n v="671.38"/>
    <n v="671.38"/>
    <n v="671.38"/>
    <n v="671.38"/>
    <n v="671.38"/>
    <n v="671.38"/>
    <n v="671.38"/>
    <n v="671.38"/>
    <n v="671.38"/>
    <n v="671.38"/>
    <n v="671.38"/>
    <n v="671.38"/>
    <n v="671.38"/>
  </r>
  <r>
    <x v="2"/>
    <s v="Living Area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x v="2"/>
    <s v="Living Area"/>
    <n v="0"/>
    <n v="0"/>
    <n v="0"/>
    <n v="583.52"/>
    <n v="583.52"/>
    <n v="583.52"/>
    <n v="583.52"/>
    <n v="583.52"/>
    <n v="583.52"/>
    <n v="583.52"/>
    <n v="583.52"/>
    <n v="583.52"/>
    <n v="583.52"/>
    <n v="583.52"/>
    <n v="583.52"/>
    <n v="583.52"/>
    <n v="583.52"/>
  </r>
  <r>
    <x v="3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Hallway"/>
    <n v="0"/>
    <n v="0"/>
    <n v="0"/>
    <n v="0"/>
    <n v="390.44"/>
    <n v="390.44"/>
    <n v="390.44"/>
    <n v="390.44"/>
    <n v="390.44"/>
    <n v="390.44"/>
    <n v="390.44"/>
    <n v="390.44"/>
    <n v="390.44"/>
    <n v="390.44"/>
    <n v="390.44"/>
    <n v="390.44"/>
    <n v="390.44"/>
  </r>
  <r>
    <x v="3"/>
    <s v="Hallway"/>
    <n v="0"/>
    <n v="0"/>
    <n v="0"/>
    <n v="334.65499999999997"/>
    <n v="334.65499999999997"/>
    <n v="334.65499999999997"/>
    <n v="334.65499999999997"/>
    <n v="669.31"/>
    <n v="669.31"/>
    <n v="669.31"/>
    <n v="669.31"/>
    <n v="1338.62"/>
    <n v="1338.62"/>
    <n v="1338.62"/>
    <n v="1338.62"/>
    <n v="1338.62"/>
    <n v="1338.62"/>
  </r>
  <r>
    <x v="3"/>
    <s v="Hallway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3"/>
    <s v="Hallway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x v="3"/>
    <s v="Hallway"/>
    <n v="0"/>
    <n v="0"/>
    <n v="0"/>
    <n v="88.462500000000006"/>
    <n v="88.462500000000006"/>
    <n v="88.462500000000006"/>
    <n v="88.462500000000006"/>
    <n v="176.92500000000001"/>
    <n v="176.92500000000001"/>
    <n v="176.92500000000001"/>
    <n v="176.92500000000001"/>
    <n v="353.85"/>
    <n v="353.85"/>
    <n v="353.85"/>
    <n v="353.85"/>
    <n v="353.85"/>
    <n v="353.85"/>
  </r>
  <r>
    <x v="3"/>
    <s v="Hallway"/>
    <n v="0"/>
    <n v="0"/>
    <n v="0"/>
    <n v="0"/>
    <n v="0"/>
    <n v="0"/>
    <n v="0"/>
    <n v="0"/>
    <n v="0"/>
    <n v="0"/>
    <n v="0"/>
    <n v="0"/>
    <n v="0"/>
    <n v="0"/>
    <n v="66.349999999999994"/>
    <n v="66.349999999999994"/>
    <n v="66.349999999999994"/>
  </r>
  <r>
    <x v="3"/>
    <s v="Hallway"/>
    <n v="0"/>
    <n v="0"/>
    <n v="0"/>
    <n v="72.67"/>
    <n v="72.67"/>
    <n v="72.67"/>
    <n v="72.67"/>
    <n v="72.67"/>
    <n v="72.67"/>
    <n v="72.67"/>
    <n v="72.67"/>
    <n v="72.67"/>
    <n v="72.67"/>
    <n v="72.67"/>
    <n v="72.67"/>
    <n v="72.67"/>
    <n v="72.67"/>
  </r>
  <r>
    <x v="3"/>
    <s v="Hallway"/>
    <n v="0"/>
    <n v="0"/>
    <n v="0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</r>
  <r>
    <x v="3"/>
    <s v="Hallway"/>
    <n v="0"/>
    <n v="0"/>
    <n v="0"/>
    <n v="178.56"/>
    <n v="178.56"/>
    <n v="178.56"/>
    <n v="178.56"/>
    <n v="178.56"/>
    <n v="178.56"/>
    <n v="178.56"/>
    <n v="178.56"/>
    <n v="178.56"/>
    <n v="178.56"/>
    <n v="178.56"/>
    <n v="178.56"/>
    <n v="178.56"/>
    <n v="178.56"/>
  </r>
  <r>
    <x v="3"/>
    <s v="Hallway"/>
    <n v="0"/>
    <n v="0"/>
    <n v="0"/>
    <n v="125.48"/>
    <n v="125.48"/>
    <n v="125.48"/>
    <n v="125.48"/>
    <n v="125.48"/>
    <n v="125.48"/>
    <n v="125.48"/>
    <n v="125.48"/>
    <n v="125.48"/>
    <n v="125.48"/>
    <n v="125.48"/>
    <n v="125.48"/>
    <n v="125.48"/>
    <n v="125.48"/>
  </r>
  <r>
    <x v="3"/>
    <s v="Hallway"/>
    <n v="0"/>
    <n v="0"/>
    <n v="0"/>
    <n v="82.28"/>
    <n v="82.28"/>
    <n v="82.28"/>
    <n v="82.28"/>
    <n v="82.28"/>
    <n v="82.28"/>
    <n v="82.28"/>
    <n v="82.28"/>
    <n v="82.28"/>
    <n v="82.28"/>
    <n v="82.28"/>
    <n v="82.28"/>
    <n v="82.28"/>
    <n v="82.28"/>
  </r>
  <r>
    <x v="3"/>
    <s v="Hallway"/>
    <n v="0"/>
    <n v="0"/>
    <n v="0"/>
    <n v="226.35"/>
    <n v="226.35"/>
    <n v="226.35"/>
    <n v="226.35"/>
    <n v="226.35"/>
    <n v="226.35"/>
    <n v="226.35"/>
    <n v="226.35"/>
    <n v="226.35"/>
    <n v="226.35"/>
    <n v="226.35"/>
    <n v="226.35"/>
    <n v="226.35"/>
    <n v="226.35"/>
  </r>
  <r>
    <x v="3"/>
    <s v="Hallway"/>
    <n v="0"/>
    <n v="0"/>
    <n v="0"/>
    <n v="23.5"/>
    <n v="23.5"/>
    <n v="23.5"/>
    <n v="23.5"/>
    <n v="23.5"/>
    <n v="23.5"/>
    <n v="23.5"/>
    <n v="23.5"/>
    <n v="23.5"/>
    <n v="23.5"/>
    <n v="23.5"/>
    <n v="23.5"/>
    <n v="23.5"/>
    <n v="23.5"/>
  </r>
  <r>
    <x v="3"/>
    <s v="Hallway"/>
    <n v="0"/>
    <n v="0"/>
    <n v="0"/>
    <n v="185.6"/>
    <n v="185.6"/>
    <n v="185.6"/>
    <n v="185.6"/>
    <n v="185.6"/>
    <n v="185.6"/>
    <n v="185.6"/>
    <n v="185.6"/>
    <n v="185.6"/>
    <n v="185.6"/>
    <n v="185.6"/>
    <n v="185.6"/>
    <n v="185.6"/>
    <n v="185.6"/>
  </r>
  <r>
    <x v="2"/>
    <s v="Dining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x v="2"/>
    <s v="Dining Room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x v="2"/>
    <s v="Dining Room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x v="2"/>
    <s v="Dining Room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x v="2"/>
    <s v="Dining Room"/>
    <n v="0"/>
    <n v="0"/>
    <n v="0"/>
    <n v="278.21749999999997"/>
    <n v="278.21749999999997"/>
    <n v="278.21749999999997"/>
    <n v="278.21749999999997"/>
    <n v="556.43499999999995"/>
    <n v="556.43499999999995"/>
    <n v="556.43499999999995"/>
    <n v="556.43499999999995"/>
    <n v="1112.8699999999999"/>
    <n v="1112.8699999999999"/>
    <n v="1112.8699999999999"/>
    <n v="1112.8699999999999"/>
    <n v="1112.8699999999999"/>
    <n v="1112.8699999999999"/>
  </r>
  <r>
    <x v="2"/>
    <s v="Dining Room"/>
    <n v="0"/>
    <n v="0"/>
    <n v="0"/>
    <n v="0"/>
    <n v="0"/>
    <n v="0"/>
    <n v="0"/>
    <n v="0"/>
    <n v="0"/>
    <n v="0"/>
    <n v="0"/>
    <n v="0"/>
    <n v="0"/>
    <n v="0"/>
    <n v="208.67"/>
    <n v="208.67"/>
    <n v="208.67"/>
  </r>
  <r>
    <x v="2"/>
    <s v="Dining Room"/>
    <n v="0"/>
    <n v="0"/>
    <n v="0"/>
    <n v="228.55"/>
    <n v="228.55"/>
    <n v="228.55"/>
    <n v="228.55"/>
    <n v="228.55"/>
    <n v="228.55"/>
    <n v="228.55"/>
    <n v="228.55"/>
    <n v="228.55"/>
    <n v="228.55"/>
    <n v="228.55"/>
    <n v="228.55"/>
    <n v="228.55"/>
    <n v="228.55"/>
  </r>
  <r>
    <x v="2"/>
    <s v="Dining Room"/>
    <n v="0"/>
    <n v="0"/>
    <n v="0"/>
    <n v="473.65"/>
    <n v="473.65"/>
    <n v="473.65"/>
    <n v="473.65"/>
    <n v="473.65"/>
    <n v="473.65"/>
    <n v="473.65"/>
    <n v="473.65"/>
    <n v="473.65"/>
    <n v="473.65"/>
    <n v="473.65"/>
    <n v="473.65"/>
    <n v="473.65"/>
    <n v="473.65"/>
  </r>
  <r>
    <x v="2"/>
    <s v="Dining Room"/>
    <n v="0"/>
    <n v="0"/>
    <n v="0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</r>
  <r>
    <x v="2"/>
    <s v="Dining Room"/>
    <n v="0"/>
    <n v="0"/>
    <n v="0"/>
    <n v="372.15"/>
    <n v="372.15"/>
    <n v="372.15"/>
    <n v="372.15"/>
    <n v="372.15"/>
    <n v="372.15"/>
    <n v="372.15"/>
    <n v="372.15"/>
    <n v="372.15"/>
    <n v="372.15"/>
    <n v="372.15"/>
    <n v="372.15"/>
    <n v="372.15"/>
    <n v="372.15"/>
  </r>
  <r>
    <x v="2"/>
    <s v="Dining Room"/>
    <n v="0"/>
    <n v="0"/>
    <n v="0"/>
    <n v="244"/>
    <n v="244"/>
    <n v="244"/>
    <n v="244"/>
    <n v="244"/>
    <n v="244"/>
    <n v="244"/>
    <n v="244"/>
    <n v="244"/>
    <n v="244"/>
    <n v="244"/>
    <n v="244"/>
    <n v="244"/>
    <n v="244"/>
  </r>
  <r>
    <x v="2"/>
    <s v="Dining Room"/>
    <n v="0"/>
    <n v="0"/>
    <n v="0"/>
    <n v="671.38"/>
    <n v="671.38"/>
    <n v="671.38"/>
    <n v="671.38"/>
    <n v="671.38"/>
    <n v="671.38"/>
    <n v="671.38"/>
    <n v="671.38"/>
    <n v="671.38"/>
    <n v="671.38"/>
    <n v="671.38"/>
    <n v="671.38"/>
    <n v="671.38"/>
    <n v="671.38"/>
  </r>
  <r>
    <x v="2"/>
    <s v="Dining Room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x v="2"/>
    <s v="Dining Room"/>
    <n v="0"/>
    <n v="0"/>
    <n v="0"/>
    <n v="583.52"/>
    <n v="583.52"/>
    <n v="583.52"/>
    <n v="583.52"/>
    <n v="583.52"/>
    <n v="583.52"/>
    <n v="583.52"/>
    <n v="583.52"/>
    <n v="583.52"/>
    <n v="583.52"/>
    <n v="583.52"/>
    <n v="583.52"/>
    <n v="583.52"/>
    <n v="583.52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Half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Half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Half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Half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Half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Half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Half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2"/>
    <s v="Half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Half Bath"/>
    <n v="0"/>
    <n v="0"/>
    <n v="0"/>
    <n v="0"/>
    <n v="0"/>
    <n v="0"/>
    <n v="0"/>
    <n v="0"/>
    <n v="0"/>
    <n v="0"/>
    <n v="171.69"/>
    <n v="171.69"/>
    <n v="171.69"/>
    <n v="171.69"/>
    <n v="171.69"/>
    <n v="171.69"/>
    <n v="171.69"/>
  </r>
  <r>
    <x v="2"/>
    <s v="Half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Half Bath"/>
    <n v="0"/>
    <n v="0"/>
    <n v="0"/>
    <n v="0"/>
    <n v="241.46"/>
    <n v="241.46"/>
    <n v="241.46"/>
    <n v="241.46"/>
    <n v="241.46"/>
    <n v="241.46"/>
    <n v="241.46"/>
    <n v="241.46"/>
    <n v="241.46"/>
    <n v="241.46"/>
    <n v="241.46"/>
    <n v="241.46"/>
    <n v="241.46"/>
  </r>
  <r>
    <x v="2"/>
    <s v="Half Bath"/>
    <n v="0"/>
    <n v="0"/>
    <n v="0"/>
    <n v="206.9725"/>
    <n v="206.9725"/>
    <n v="206.9725"/>
    <n v="206.9725"/>
    <n v="413.94499999999999"/>
    <n v="413.94499999999999"/>
    <n v="413.94499999999999"/>
    <n v="413.94499999999999"/>
    <n v="827.89"/>
    <n v="827.89"/>
    <n v="827.89"/>
    <n v="827.89"/>
    <n v="827.89"/>
    <n v="827.89"/>
  </r>
  <r>
    <x v="2"/>
    <s v="Half Bath"/>
    <n v="0"/>
    <n v="0"/>
    <n v="0"/>
    <n v="46.52"/>
    <n v="46.52"/>
    <n v="46.52"/>
    <n v="46.52"/>
    <n v="46.52"/>
    <n v="46.52"/>
    <n v="46.52"/>
    <n v="46.52"/>
    <n v="46.52"/>
    <n v="46.52"/>
    <n v="46.52"/>
    <n v="46.52"/>
    <n v="46.52"/>
    <n v="46.52"/>
  </r>
  <r>
    <x v="2"/>
    <s v="Half Bath"/>
    <n v="0"/>
    <n v="0"/>
    <n v="0"/>
    <n v="174.97"/>
    <n v="174.97"/>
    <n v="174.97"/>
    <n v="174.97"/>
    <n v="174.97"/>
    <n v="174.97"/>
    <n v="174.97"/>
    <n v="174.97"/>
    <n v="174.97"/>
    <n v="174.97"/>
    <n v="174.97"/>
    <n v="174.97"/>
    <n v="174.97"/>
    <n v="174.97"/>
  </r>
  <r>
    <x v="2"/>
    <s v="Half Bath"/>
    <n v="0"/>
    <n v="0"/>
    <n v="0"/>
    <n v="39.232500000000002"/>
    <n v="39.232500000000002"/>
    <n v="39.232500000000002"/>
    <n v="39.232500000000002"/>
    <n v="78.465000000000003"/>
    <n v="78.465000000000003"/>
    <n v="78.465000000000003"/>
    <n v="78.465000000000003"/>
    <n v="156.93"/>
    <n v="156.93"/>
    <n v="156.93"/>
    <n v="156.93"/>
    <n v="156.93"/>
    <n v="156.93"/>
  </r>
  <r>
    <x v="2"/>
    <s v="Half Bath"/>
    <n v="0"/>
    <n v="0"/>
    <n v="0"/>
    <n v="0"/>
    <n v="0"/>
    <n v="0"/>
    <n v="0"/>
    <n v="0"/>
    <n v="0"/>
    <n v="0"/>
    <n v="0"/>
    <n v="0"/>
    <n v="0"/>
    <n v="0"/>
    <n v="29.42"/>
    <n v="29.42"/>
    <n v="29.42"/>
  </r>
  <r>
    <x v="2"/>
    <s v="Half Bath"/>
    <n v="0"/>
    <n v="0"/>
    <n v="0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  <n v="32.229999999999997"/>
  </r>
  <r>
    <x v="2"/>
    <s v="Half Bath"/>
    <n v="0"/>
    <n v="0"/>
    <n v="0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  <n v="66.760000000000005"/>
  </r>
  <r>
    <x v="2"/>
    <s v="Half Bath"/>
    <n v="0"/>
    <n v="0"/>
    <n v="0"/>
    <n v="79.16"/>
    <n v="79.16"/>
    <n v="79.16"/>
    <n v="79.16"/>
    <n v="79.16"/>
    <n v="79.16"/>
    <n v="79.16"/>
    <n v="79.16"/>
    <n v="79.16"/>
    <n v="79.16"/>
    <n v="79.16"/>
    <n v="79.16"/>
    <n v="79.16"/>
    <n v="79.16"/>
  </r>
  <r>
    <x v="2"/>
    <s v="Half Bath"/>
    <n v="0"/>
    <n v="0"/>
    <n v="0"/>
    <n v="61.45"/>
    <n v="61.45"/>
    <n v="61.45"/>
    <n v="61.45"/>
    <n v="61.45"/>
    <n v="61.45"/>
    <n v="61.45"/>
    <n v="61.45"/>
    <n v="61.45"/>
    <n v="61.45"/>
    <n v="61.45"/>
    <n v="61.45"/>
    <n v="61.45"/>
    <n v="61.45"/>
  </r>
  <r>
    <x v="2"/>
    <s v="Half Bath"/>
    <n v="0"/>
    <n v="0"/>
    <n v="0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  <n v="40.299999999999997"/>
  </r>
  <r>
    <x v="2"/>
    <s v="Half Bath"/>
    <n v="0"/>
    <n v="0"/>
    <n v="0"/>
    <n v="110.87"/>
    <n v="110.87"/>
    <n v="110.87"/>
    <n v="110.87"/>
    <n v="110.87"/>
    <n v="110.87"/>
    <n v="110.87"/>
    <n v="110.87"/>
    <n v="110.87"/>
    <n v="110.87"/>
    <n v="110.87"/>
    <n v="110.87"/>
    <n v="110.87"/>
    <n v="110.87"/>
  </r>
  <r>
    <x v="2"/>
    <s v="Half Bath"/>
    <n v="0"/>
    <n v="0"/>
    <n v="0"/>
    <n v="10.42"/>
    <n v="10.42"/>
    <n v="10.42"/>
    <n v="10.42"/>
    <n v="10.42"/>
    <n v="10.42"/>
    <n v="10.42"/>
    <n v="10.42"/>
    <n v="10.42"/>
    <n v="10.42"/>
    <n v="10.42"/>
    <n v="10.42"/>
    <n v="10.42"/>
    <n v="10.42"/>
  </r>
  <r>
    <x v="2"/>
    <s v="Half Bath"/>
    <n v="0"/>
    <n v="0"/>
    <n v="0"/>
    <n v="82.28"/>
    <n v="82.28"/>
    <n v="82.28"/>
    <n v="82.28"/>
    <n v="82.28"/>
    <n v="82.28"/>
    <n v="82.28"/>
    <n v="82.28"/>
    <n v="82.28"/>
    <n v="82.28"/>
    <n v="82.28"/>
    <n v="82.28"/>
    <n v="82.28"/>
    <n v="82.28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Laundry Room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x v="3"/>
    <s v="Laundry Room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3"/>
    <s v="Laundry Room"/>
    <n v="0"/>
    <n v="0"/>
    <n v="0"/>
    <n v="287.61250000000001"/>
    <n v="287.61250000000001"/>
    <n v="287.61250000000001"/>
    <n v="287.61250000000001"/>
    <n v="575.22500000000002"/>
    <n v="575.22500000000002"/>
    <n v="575.22500000000002"/>
    <n v="575.22500000000002"/>
    <n v="1150.45"/>
    <n v="1150.45"/>
    <n v="1150.45"/>
    <n v="1150.45"/>
    <n v="1150.45"/>
    <n v="1150.45"/>
  </r>
  <r>
    <x v="3"/>
    <s v="Laundry Room"/>
    <n v="0"/>
    <n v="0"/>
    <n v="0"/>
    <n v="64.64"/>
    <n v="64.64"/>
    <n v="64.64"/>
    <n v="64.64"/>
    <n v="64.64"/>
    <n v="64.64"/>
    <n v="64.64"/>
    <n v="64.64"/>
    <n v="64.64"/>
    <n v="64.64"/>
    <n v="64.64"/>
    <n v="64.64"/>
    <n v="64.64"/>
    <n v="64.64"/>
  </r>
  <r>
    <x v="3"/>
    <s v="Laundry Room"/>
    <n v="0"/>
    <n v="0"/>
    <n v="0"/>
    <n v="243.13"/>
    <n v="243.13"/>
    <n v="243.13"/>
    <n v="243.13"/>
    <n v="243.13"/>
    <n v="243.13"/>
    <n v="243.13"/>
    <n v="243.13"/>
    <n v="243.13"/>
    <n v="243.13"/>
    <n v="243.13"/>
    <n v="243.13"/>
    <n v="243.13"/>
    <n v="243.13"/>
  </r>
  <r>
    <x v="3"/>
    <s v="Laundry Room"/>
    <n v="0"/>
    <n v="0"/>
    <n v="0"/>
    <n v="79.137500000000003"/>
    <n v="79.137500000000003"/>
    <n v="79.137500000000003"/>
    <n v="79.137500000000003"/>
    <n v="158.27500000000001"/>
    <n v="158.27500000000001"/>
    <n v="158.27500000000001"/>
    <n v="158.27500000000001"/>
    <n v="316.55"/>
    <n v="316.55"/>
    <n v="316.55"/>
    <n v="316.55"/>
    <n v="316.55"/>
    <n v="316.55"/>
  </r>
  <r>
    <x v="3"/>
    <s v="Laundry Room"/>
    <n v="0"/>
    <n v="0"/>
    <n v="0"/>
    <n v="0"/>
    <n v="0"/>
    <n v="0"/>
    <n v="0"/>
    <n v="0"/>
    <n v="0"/>
    <n v="0"/>
    <n v="0"/>
    <n v="0"/>
    <n v="0"/>
    <n v="0"/>
    <n v="59.36"/>
    <n v="59.36"/>
    <n v="59.36"/>
  </r>
  <r>
    <x v="3"/>
    <s v="Laundry Room"/>
    <n v="0"/>
    <n v="0"/>
    <n v="0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  <n v="65.010000000000005"/>
  </r>
  <r>
    <x v="3"/>
    <s v="Laundry Room"/>
    <n v="0"/>
    <n v="0"/>
    <n v="0"/>
    <n v="134.76"/>
    <n v="134.76"/>
    <n v="134.76"/>
    <n v="134.76"/>
    <n v="134.76"/>
    <n v="134.76"/>
    <n v="134.76"/>
    <n v="134.76"/>
    <n v="134.76"/>
    <n v="134.76"/>
    <n v="134.76"/>
    <n v="134.76"/>
    <n v="134.76"/>
    <n v="134.76"/>
  </r>
  <r>
    <x v="3"/>
    <s v="Laundry Room"/>
    <n v="0"/>
    <n v="0"/>
    <n v="0"/>
    <n v="159.72"/>
    <n v="159.72"/>
    <n v="159.72"/>
    <n v="159.72"/>
    <n v="159.72"/>
    <n v="159.72"/>
    <n v="159.72"/>
    <n v="159.72"/>
    <n v="159.72"/>
    <n v="159.72"/>
    <n v="159.72"/>
    <n v="159.72"/>
    <n v="159.72"/>
    <n v="159.72"/>
  </r>
  <r>
    <x v="3"/>
    <s v="Laundry Room"/>
    <n v="0"/>
    <n v="0"/>
    <n v="0"/>
    <n v="113.36"/>
    <n v="113.36"/>
    <n v="113.36"/>
    <n v="113.36"/>
    <n v="113.36"/>
    <n v="113.36"/>
    <n v="113.36"/>
    <n v="113.36"/>
    <n v="113.36"/>
    <n v="113.36"/>
    <n v="113.36"/>
    <n v="113.36"/>
    <n v="113.36"/>
    <n v="113.36"/>
  </r>
  <r>
    <x v="3"/>
    <s v="Laundry Room"/>
    <n v="0"/>
    <n v="0"/>
    <n v="0"/>
    <n v="74.31"/>
    <n v="74.31"/>
    <n v="74.31"/>
    <n v="74.31"/>
    <n v="74.31"/>
    <n v="74.31"/>
    <n v="74.31"/>
    <n v="74.31"/>
    <n v="74.31"/>
    <n v="74.31"/>
    <n v="74.31"/>
    <n v="74.31"/>
    <n v="74.31"/>
    <n v="74.31"/>
  </r>
  <r>
    <x v="3"/>
    <s v="Laundry Room"/>
    <n v="0"/>
    <n v="0"/>
    <n v="0"/>
    <n v="204.49"/>
    <n v="204.49"/>
    <n v="204.49"/>
    <n v="204.49"/>
    <n v="204.49"/>
    <n v="204.49"/>
    <n v="204.49"/>
    <n v="204.49"/>
    <n v="204.49"/>
    <n v="204.49"/>
    <n v="204.49"/>
    <n v="204.49"/>
    <n v="204.49"/>
    <n v="204.49"/>
  </r>
  <r>
    <x v="3"/>
    <s v="Laundry Room"/>
    <n v="0"/>
    <n v="0"/>
    <n v="0"/>
    <n v="21.02"/>
    <n v="21.02"/>
    <n v="21.02"/>
    <n v="21.02"/>
    <n v="21.02"/>
    <n v="21.02"/>
    <n v="21.02"/>
    <n v="21.02"/>
    <n v="21.02"/>
    <n v="21.02"/>
    <n v="21.02"/>
    <n v="21.02"/>
    <n v="21.02"/>
    <n v="21.02"/>
  </r>
  <r>
    <x v="3"/>
    <s v="Laundry Room"/>
    <n v="0"/>
    <n v="0"/>
    <n v="0"/>
    <n v="166"/>
    <n v="166"/>
    <n v="166"/>
    <n v="166"/>
    <n v="166"/>
    <n v="166"/>
    <n v="166"/>
    <n v="166"/>
    <n v="166"/>
    <n v="166"/>
    <n v="166"/>
    <n v="166"/>
    <n v="166"/>
    <n v="166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Utility Room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x v="3"/>
    <s v="Utility Room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x v="3"/>
    <s v="Utility Room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x v="3"/>
    <s v="Utility Room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x v="3"/>
    <s v="Utility Room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x v="3"/>
    <s v="Utility Room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x v="3"/>
    <s v="Utility Room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x v="3"/>
    <s v="Utility Room"/>
    <n v="0"/>
    <n v="0"/>
    <n v="0"/>
    <n v="202.82"/>
    <n v="202.82"/>
    <n v="202.82"/>
    <n v="202.82"/>
    <n v="202.82"/>
    <n v="202.82"/>
    <n v="202.82"/>
    <n v="202.82"/>
    <n v="202.82"/>
    <n v="202.82"/>
    <n v="202.82"/>
    <n v="202.82"/>
    <n v="202.82"/>
    <n v="202.82"/>
  </r>
  <r>
    <x v="3"/>
    <s v="Utility Room"/>
    <n v="0"/>
    <n v="0"/>
    <n v="0"/>
    <n v="240.38"/>
    <n v="240.38"/>
    <n v="240.38"/>
    <n v="240.38"/>
    <n v="240.38"/>
    <n v="240.38"/>
    <n v="240.38"/>
    <n v="240.38"/>
    <n v="240.38"/>
    <n v="240.38"/>
    <n v="240.38"/>
    <n v="240.38"/>
    <n v="240.38"/>
    <n v="240.38"/>
  </r>
  <r>
    <x v="3"/>
    <s v="Utility Room"/>
    <n v="0"/>
    <n v="0"/>
    <n v="0"/>
    <n v="165.32"/>
    <n v="165.32"/>
    <n v="165.32"/>
    <n v="165.32"/>
    <n v="165.32"/>
    <n v="165.32"/>
    <n v="165.32"/>
    <n v="165.32"/>
    <n v="165.32"/>
    <n v="165.32"/>
    <n v="165.32"/>
    <n v="165.32"/>
    <n v="165.32"/>
    <n v="165.32"/>
  </r>
  <r>
    <x v="3"/>
    <s v="Utility Room"/>
    <n v="0"/>
    <n v="0"/>
    <n v="0"/>
    <n v="108.38"/>
    <n v="108.38"/>
    <n v="108.38"/>
    <n v="108.38"/>
    <n v="108.38"/>
    <n v="108.38"/>
    <n v="108.38"/>
    <n v="108.38"/>
    <n v="108.38"/>
    <n v="108.38"/>
    <n v="108.38"/>
    <n v="108.38"/>
    <n v="108.38"/>
    <n v="108.38"/>
  </r>
  <r>
    <x v="3"/>
    <s v="Utility Room"/>
    <n v="0"/>
    <n v="0"/>
    <n v="0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</r>
  <r>
    <x v="3"/>
    <s v="Utility Room"/>
    <n v="0"/>
    <n v="0"/>
    <n v="0"/>
    <n v="31.64"/>
    <n v="31.64"/>
    <n v="31.64"/>
    <n v="31.64"/>
    <n v="31.64"/>
    <n v="31.64"/>
    <n v="31.64"/>
    <n v="31.64"/>
    <n v="31.64"/>
    <n v="31.64"/>
    <n v="31.64"/>
    <n v="31.64"/>
    <n v="31.64"/>
    <n v="31.64"/>
  </r>
  <r>
    <x v="3"/>
    <s v="Utility Room"/>
    <n v="0"/>
    <n v="0"/>
    <n v="0"/>
    <n v="249.84"/>
    <n v="249.84"/>
    <n v="249.84"/>
    <n v="249.84"/>
    <n v="249.84"/>
    <n v="249.84"/>
    <n v="249.84"/>
    <n v="249.84"/>
    <n v="249.84"/>
    <n v="249.84"/>
    <n v="249.84"/>
    <n v="249.84"/>
    <n v="249.84"/>
    <n v="249.84"/>
  </r>
  <r>
    <x v="4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4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4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Utility Room"/>
    <n v="0"/>
    <n v="0"/>
    <n v="0"/>
    <n v="0"/>
    <n v="222.64"/>
    <n v="222.64"/>
    <n v="222.64"/>
    <n v="222.64"/>
    <n v="222.64"/>
    <n v="222.64"/>
    <n v="222.64"/>
    <n v="222.64"/>
    <n v="222.64"/>
    <n v="222.64"/>
    <n v="222.64"/>
    <n v="222.64"/>
    <n v="222.64"/>
  </r>
  <r>
    <x v="4"/>
    <s v="Utility Room"/>
    <n v="0"/>
    <n v="0"/>
    <n v="0"/>
    <n v="190.8475"/>
    <n v="190.8475"/>
    <n v="190.8475"/>
    <n v="190.8475"/>
    <n v="381.69499999999999"/>
    <n v="381.69499999999999"/>
    <n v="381.69499999999999"/>
    <n v="381.69499999999999"/>
    <n v="763.39"/>
    <n v="763.39"/>
    <n v="763.39"/>
    <n v="763.39"/>
    <n v="763.39"/>
    <n v="763.39"/>
  </r>
  <r>
    <x v="4"/>
    <s v="Utility Room"/>
    <n v="0"/>
    <n v="0"/>
    <n v="0"/>
    <n v="42.88"/>
    <n v="42.88"/>
    <n v="42.88"/>
    <n v="42.88"/>
    <n v="42.88"/>
    <n v="42.88"/>
    <n v="42.88"/>
    <n v="42.88"/>
    <n v="42.88"/>
    <n v="42.88"/>
    <n v="42.88"/>
    <n v="42.88"/>
    <n v="42.88"/>
    <n v="42.88"/>
  </r>
  <r>
    <x v="4"/>
    <s v="Utility Room"/>
    <n v="0"/>
    <n v="0"/>
    <n v="0"/>
    <n v="161.35"/>
    <n v="161.35"/>
    <n v="161.35"/>
    <n v="161.35"/>
    <n v="161.35"/>
    <n v="161.35"/>
    <n v="161.35"/>
    <n v="161.35"/>
    <n v="161.35"/>
    <n v="161.35"/>
    <n v="161.35"/>
    <n v="161.35"/>
    <n v="161.35"/>
    <n v="161.35"/>
  </r>
  <r>
    <x v="4"/>
    <s v="Utility Room"/>
    <n v="0"/>
    <n v="0"/>
    <n v="0"/>
    <n v="34.282499999999999"/>
    <n v="34.282499999999999"/>
    <n v="34.282499999999999"/>
    <n v="34.282499999999999"/>
    <n v="68.564999999999998"/>
    <n v="68.564999999999998"/>
    <n v="68.564999999999998"/>
    <n v="68.564999999999998"/>
    <n v="137.13"/>
    <n v="137.13"/>
    <n v="137.13"/>
    <n v="137.13"/>
    <n v="137.13"/>
    <n v="137.13"/>
  </r>
  <r>
    <x v="4"/>
    <s v="Utility Room"/>
    <n v="0"/>
    <n v="0"/>
    <n v="0"/>
    <n v="0"/>
    <n v="0"/>
    <n v="0"/>
    <n v="0"/>
    <n v="0"/>
    <n v="0"/>
    <n v="0"/>
    <n v="0"/>
    <n v="0"/>
    <n v="0"/>
    <n v="0"/>
    <n v="25.71"/>
    <n v="25.71"/>
    <n v="25.71"/>
  </r>
  <r>
    <x v="4"/>
    <s v="Utility Room"/>
    <n v="0"/>
    <n v="0"/>
    <n v="0"/>
    <n v="28.17"/>
    <n v="28.17"/>
    <n v="28.17"/>
    <n v="28.17"/>
    <n v="28.17"/>
    <n v="28.17"/>
    <n v="28.17"/>
    <n v="28.17"/>
    <n v="28.17"/>
    <n v="28.17"/>
    <n v="28.17"/>
    <n v="28.17"/>
    <n v="28.17"/>
    <n v="28.17"/>
  </r>
  <r>
    <x v="4"/>
    <s v="Utility Room"/>
    <n v="0"/>
    <n v="0"/>
    <n v="0"/>
    <n v="58.34"/>
    <n v="58.34"/>
    <n v="58.34"/>
    <n v="58.34"/>
    <n v="58.34"/>
    <n v="58.34"/>
    <n v="58.34"/>
    <n v="58.34"/>
    <n v="58.34"/>
    <n v="58.34"/>
    <n v="58.34"/>
    <n v="58.34"/>
    <n v="58.34"/>
    <n v="58.34"/>
  </r>
  <r>
    <x v="4"/>
    <s v="Utility Room"/>
    <n v="0"/>
    <n v="0"/>
    <n v="0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  <n v="69.150000000000006"/>
  </r>
  <r>
    <x v="4"/>
    <s v="Utility Room"/>
    <n v="0"/>
    <n v="0"/>
    <n v="0"/>
    <n v="55.04"/>
    <n v="55.04"/>
    <n v="55.04"/>
    <n v="55.04"/>
    <n v="55.04"/>
    <n v="55.04"/>
    <n v="55.04"/>
    <n v="55.04"/>
    <n v="55.04"/>
    <n v="55.04"/>
    <n v="55.04"/>
    <n v="55.04"/>
    <n v="55.04"/>
    <n v="55.04"/>
  </r>
  <r>
    <x v="4"/>
    <s v="Utility Room"/>
    <n v="0"/>
    <n v="0"/>
    <n v="0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  <n v="36.090000000000003"/>
  </r>
  <r>
    <x v="4"/>
    <s v="Utility Room"/>
    <n v="0"/>
    <n v="0"/>
    <n v="0"/>
    <n v="99.28"/>
    <n v="99.28"/>
    <n v="99.28"/>
    <n v="99.28"/>
    <n v="99.28"/>
    <n v="99.28"/>
    <n v="99.28"/>
    <n v="99.28"/>
    <n v="99.28"/>
    <n v="99.28"/>
    <n v="99.28"/>
    <n v="99.28"/>
    <n v="99.28"/>
    <n v="99.28"/>
  </r>
  <r>
    <x v="4"/>
    <s v="Utility Room"/>
    <n v="0"/>
    <n v="0"/>
    <n v="0"/>
    <n v="9.11"/>
    <n v="9.11"/>
    <n v="9.11"/>
    <n v="9.11"/>
    <n v="9.11"/>
    <n v="9.11"/>
    <n v="9.11"/>
    <n v="9.11"/>
    <n v="9.11"/>
    <n v="9.11"/>
    <n v="9.11"/>
    <n v="9.11"/>
    <n v="9.11"/>
    <n v="9.11"/>
  </r>
  <r>
    <x v="4"/>
    <s v="Utility Room"/>
    <n v="0"/>
    <n v="0"/>
    <n v="0"/>
    <n v="71.88"/>
    <n v="71.88"/>
    <n v="71.88"/>
    <n v="71.88"/>
    <n v="71.88"/>
    <n v="71.88"/>
    <n v="71.88"/>
    <n v="71.88"/>
    <n v="71.88"/>
    <n v="71.88"/>
    <n v="71.88"/>
    <n v="71.88"/>
    <n v="71.88"/>
    <n v="71.88"/>
  </r>
  <r>
    <x v="3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 In Closet"/>
    <n v="0"/>
    <n v="0"/>
    <n v="0"/>
    <n v="0"/>
    <n v="0"/>
    <n v="0"/>
    <n v="0"/>
    <n v="0"/>
    <n v="0"/>
    <n v="0"/>
    <n v="0"/>
    <n v="111.88"/>
    <n v="111.88"/>
    <n v="111.88"/>
    <n v="111.88"/>
    <n v="111.88"/>
    <n v="111.88"/>
  </r>
  <r>
    <x v="3"/>
    <s v="Walk In Closet"/>
    <n v="0"/>
    <n v="0"/>
    <n v="0"/>
    <n v="0"/>
    <n v="0"/>
    <n v="0"/>
    <n v="0"/>
    <n v="0"/>
    <n v="0"/>
    <n v="0"/>
    <n v="0"/>
    <n v="291.07"/>
    <n v="291.07"/>
    <n v="291.07"/>
    <n v="291.07"/>
    <n v="291.07"/>
    <n v="291.07"/>
  </r>
  <r>
    <x v="3"/>
    <s v="Walk In Closet"/>
    <n v="0"/>
    <n v="0"/>
    <n v="0"/>
    <n v="0"/>
    <n v="0"/>
    <n v="0"/>
    <n v="0"/>
    <n v="0"/>
    <n v="0"/>
    <n v="0"/>
    <n v="0"/>
    <n v="0"/>
    <n v="0"/>
    <n v="119.71"/>
    <n v="119.71"/>
    <n v="119.71"/>
    <n v="119.71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 In Closet"/>
    <n v="0"/>
    <n v="0"/>
    <n v="0"/>
    <n v="0"/>
    <n v="410.8"/>
    <n v="410.8"/>
    <n v="410.8"/>
    <n v="410.8"/>
    <n v="410.8"/>
    <n v="410.8"/>
    <n v="410.8"/>
    <n v="410.8"/>
    <n v="410.8"/>
    <n v="410.8"/>
    <n v="410.8"/>
    <n v="410.8"/>
    <n v="410.8"/>
  </r>
  <r>
    <x v="3"/>
    <s v="Walk In Closet"/>
    <n v="0"/>
    <n v="0"/>
    <n v="0"/>
    <n v="352.1275"/>
    <n v="352.1275"/>
    <n v="352.1275"/>
    <n v="352.1275"/>
    <n v="704.255"/>
    <n v="704.255"/>
    <n v="704.255"/>
    <n v="704.255"/>
    <n v="1408.51"/>
    <n v="1408.51"/>
    <n v="1408.51"/>
    <n v="1408.51"/>
    <n v="1408.51"/>
    <n v="1408.51"/>
  </r>
  <r>
    <x v="3"/>
    <s v="Walk In Closet"/>
    <n v="0"/>
    <n v="0"/>
    <n v="0"/>
    <n v="79.12"/>
    <n v="79.12"/>
    <n v="79.12"/>
    <n v="79.12"/>
    <n v="79.12"/>
    <n v="79.12"/>
    <n v="79.12"/>
    <n v="79.12"/>
    <n v="79.12"/>
    <n v="79.12"/>
    <n v="79.12"/>
    <n v="79.12"/>
    <n v="79.12"/>
    <n v="79.12"/>
  </r>
  <r>
    <x v="3"/>
    <s v="Walk In Closet"/>
    <n v="0"/>
    <n v="0"/>
    <n v="0"/>
    <n v="297.67"/>
    <n v="297.67"/>
    <n v="297.67"/>
    <n v="297.67"/>
    <n v="297.67"/>
    <n v="297.67"/>
    <n v="297.67"/>
    <n v="297.67"/>
    <n v="297.67"/>
    <n v="297.67"/>
    <n v="297.67"/>
    <n v="297.67"/>
    <n v="297.67"/>
    <n v="297.67"/>
  </r>
  <r>
    <x v="3"/>
    <s v="Walk In Closet"/>
    <n v="0"/>
    <n v="0"/>
    <n v="0"/>
    <n v="119.11750000000001"/>
    <n v="119.11750000000001"/>
    <n v="119.11750000000001"/>
    <n v="119.11750000000001"/>
    <n v="238.23500000000001"/>
    <n v="238.23500000000001"/>
    <n v="238.23500000000001"/>
    <n v="238.23500000000001"/>
    <n v="476.47"/>
    <n v="476.47"/>
    <n v="476.47"/>
    <n v="476.47"/>
    <n v="476.47"/>
    <n v="476.47"/>
  </r>
  <r>
    <x v="3"/>
    <s v="Walk In Closet"/>
    <n v="0"/>
    <n v="0"/>
    <n v="0"/>
    <n v="0"/>
    <n v="0"/>
    <n v="0"/>
    <n v="0"/>
    <n v="0"/>
    <n v="0"/>
    <n v="0"/>
    <n v="0"/>
    <n v="0"/>
    <n v="0"/>
    <n v="0"/>
    <n v="89.35"/>
    <n v="89.35"/>
    <n v="89.35"/>
  </r>
  <r>
    <x v="3"/>
    <s v="Walk In Closet"/>
    <n v="0"/>
    <n v="0"/>
    <n v="0"/>
    <n v="97.84"/>
    <n v="97.84"/>
    <n v="97.84"/>
    <n v="97.84"/>
    <n v="97.84"/>
    <n v="97.84"/>
    <n v="97.84"/>
    <n v="97.84"/>
    <n v="97.84"/>
    <n v="97.84"/>
    <n v="97.84"/>
    <n v="97.84"/>
    <n v="97.84"/>
    <n v="97.84"/>
  </r>
  <r>
    <x v="3"/>
    <s v="Walk In Closet"/>
    <n v="0"/>
    <n v="0"/>
    <n v="0"/>
    <n v="202.82"/>
    <n v="202.82"/>
    <n v="202.82"/>
    <n v="202.82"/>
    <n v="202.82"/>
    <n v="202.82"/>
    <n v="202.82"/>
    <n v="202.82"/>
    <n v="202.82"/>
    <n v="202.82"/>
    <n v="202.82"/>
    <n v="202.82"/>
    <n v="202.82"/>
    <n v="202.82"/>
  </r>
  <r>
    <x v="3"/>
    <s v="Walk In Closet"/>
    <n v="0"/>
    <n v="0"/>
    <n v="0"/>
    <n v="240.38"/>
    <n v="240.38"/>
    <n v="240.38"/>
    <n v="240.38"/>
    <n v="240.38"/>
    <n v="240.38"/>
    <n v="240.38"/>
    <n v="240.38"/>
    <n v="240.38"/>
    <n v="240.38"/>
    <n v="240.38"/>
    <n v="240.38"/>
    <n v="240.38"/>
    <n v="240.38"/>
  </r>
  <r>
    <x v="3"/>
    <s v="Walk In Closet"/>
    <n v="0"/>
    <n v="0"/>
    <n v="0"/>
    <n v="165.32"/>
    <n v="165.32"/>
    <n v="165.32"/>
    <n v="165.32"/>
    <n v="165.32"/>
    <n v="165.32"/>
    <n v="165.32"/>
    <n v="165.32"/>
    <n v="165.32"/>
    <n v="165.32"/>
    <n v="165.32"/>
    <n v="165.32"/>
    <n v="165.32"/>
    <n v="165.32"/>
  </r>
  <r>
    <x v="3"/>
    <s v="Walk In Closet"/>
    <n v="0"/>
    <n v="0"/>
    <n v="0"/>
    <n v="108.38"/>
    <n v="108.38"/>
    <n v="108.38"/>
    <n v="108.38"/>
    <n v="108.38"/>
    <n v="108.38"/>
    <n v="108.38"/>
    <n v="108.38"/>
    <n v="108.38"/>
    <n v="108.38"/>
    <n v="108.38"/>
    <n v="108.38"/>
    <n v="108.38"/>
    <n v="108.38"/>
  </r>
  <r>
    <x v="3"/>
    <s v="Walk In Closet"/>
    <n v="0"/>
    <n v="0"/>
    <n v="0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  <n v="298.22000000000003"/>
  </r>
  <r>
    <x v="3"/>
    <s v="Walk In Closet"/>
    <n v="0"/>
    <n v="0"/>
    <n v="0"/>
    <n v="31.64"/>
    <n v="31.64"/>
    <n v="31.64"/>
    <n v="31.64"/>
    <n v="31.64"/>
    <n v="31.64"/>
    <n v="31.64"/>
    <n v="31.64"/>
    <n v="31.64"/>
    <n v="31.64"/>
    <n v="31.64"/>
    <n v="31.64"/>
    <n v="31.64"/>
    <n v="31.64"/>
  </r>
  <r>
    <x v="3"/>
    <s v="Walk In Closet"/>
    <n v="0"/>
    <n v="0"/>
    <n v="0"/>
    <n v="249.84"/>
    <n v="249.84"/>
    <n v="249.84"/>
    <n v="249.84"/>
    <n v="249.84"/>
    <n v="249.84"/>
    <n v="249.84"/>
    <n v="249.84"/>
    <n v="249.84"/>
    <n v="249.84"/>
    <n v="249.84"/>
    <n v="249.84"/>
    <n v="249.84"/>
    <n v="249.84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x v="3"/>
    <s v="Bedroom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x v="3"/>
    <s v="Bedroom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x v="3"/>
    <s v="Bedroom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x v="3"/>
    <s v="Bedroom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x v="3"/>
    <s v="Bedroom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x v="3"/>
    <s v="Bedroom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x v="3"/>
    <s v="Bedroom"/>
    <n v="0"/>
    <n v="0"/>
    <n v="0"/>
    <n v="284.63"/>
    <n v="284.63"/>
    <n v="284.63"/>
    <n v="284.63"/>
    <n v="284.63"/>
    <n v="284.63"/>
    <n v="284.63"/>
    <n v="284.63"/>
    <n v="284.63"/>
    <n v="284.63"/>
    <n v="284.63"/>
    <n v="284.63"/>
    <n v="284.63"/>
    <n v="284.63"/>
  </r>
  <r>
    <x v="3"/>
    <s v="Bedroom"/>
    <n v="0"/>
    <n v="0"/>
    <n v="0"/>
    <n v="337.31"/>
    <n v="337.31"/>
    <n v="337.31"/>
    <n v="337.31"/>
    <n v="337.31"/>
    <n v="337.31"/>
    <n v="337.31"/>
    <n v="337.31"/>
    <n v="337.31"/>
    <n v="337.31"/>
    <n v="337.31"/>
    <n v="337.31"/>
    <n v="337.31"/>
    <n v="337.31"/>
  </r>
  <r>
    <x v="3"/>
    <s v="Bedroom"/>
    <n v="0"/>
    <n v="0"/>
    <n v="0"/>
    <n v="227.8"/>
    <n v="227.8"/>
    <n v="227.8"/>
    <n v="227.8"/>
    <n v="227.8"/>
    <n v="227.8"/>
    <n v="227.8"/>
    <n v="227.8"/>
    <n v="227.8"/>
    <n v="227.8"/>
    <n v="227.8"/>
    <n v="227.8"/>
    <n v="227.8"/>
    <n v="227.8"/>
  </r>
  <r>
    <x v="3"/>
    <s v="Bedroom"/>
    <n v="0"/>
    <n v="0"/>
    <n v="0"/>
    <n v="149.38"/>
    <n v="149.38"/>
    <n v="149.38"/>
    <n v="149.38"/>
    <n v="149.38"/>
    <n v="149.38"/>
    <n v="149.38"/>
    <n v="149.38"/>
    <n v="149.38"/>
    <n v="149.38"/>
    <n v="149.38"/>
    <n v="149.38"/>
    <n v="149.38"/>
    <n v="149.38"/>
  </r>
  <r>
    <x v="3"/>
    <s v="Bedroom"/>
    <n v="0"/>
    <n v="0"/>
    <n v="0"/>
    <n v="410.98"/>
    <n v="410.98"/>
    <n v="410.98"/>
    <n v="410.98"/>
    <n v="410.98"/>
    <n v="410.98"/>
    <n v="410.98"/>
    <n v="410.98"/>
    <n v="410.98"/>
    <n v="410.98"/>
    <n v="410.98"/>
    <n v="410.98"/>
    <n v="410.98"/>
    <n v="410.98"/>
  </r>
  <r>
    <x v="3"/>
    <s v="Bedroom"/>
    <n v="0"/>
    <n v="0"/>
    <n v="0"/>
    <n v="44.4"/>
    <n v="44.4"/>
    <n v="44.4"/>
    <n v="44.4"/>
    <n v="44.4"/>
    <n v="44.4"/>
    <n v="44.4"/>
    <n v="44.4"/>
    <n v="44.4"/>
    <n v="44.4"/>
    <n v="44.4"/>
    <n v="44.4"/>
    <n v="44.4"/>
    <n v="44.4"/>
  </r>
  <r>
    <x v="3"/>
    <s v="Bedroom"/>
    <n v="0"/>
    <n v="0"/>
    <n v="0"/>
    <n v="350.59"/>
    <n v="350.59"/>
    <n v="350.59"/>
    <n v="350.59"/>
    <n v="350.59"/>
    <n v="350.59"/>
    <n v="350.59"/>
    <n v="350.59"/>
    <n v="350.59"/>
    <n v="350.59"/>
    <n v="350.59"/>
    <n v="350.59"/>
    <n v="350.59"/>
    <n v="350.59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x v="2"/>
    <s v="Kitchen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x v="2"/>
    <s v="Kitchen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2"/>
    <s v="Kitchen"/>
    <n v="0"/>
    <n v="0"/>
    <n v="0"/>
    <n v="0"/>
    <n v="2357.38"/>
    <n v="2357.38"/>
    <n v="2357.38"/>
    <n v="2357.38"/>
    <n v="2357.38"/>
    <n v="2357.38"/>
    <n v="2357.38"/>
    <n v="2357.38"/>
    <n v="2357.38"/>
    <n v="2357.38"/>
    <n v="2357.38"/>
    <n v="2357.38"/>
    <n v="2357.38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90.46"/>
    <n v="390.46"/>
    <n v="390.46"/>
    <n v="390.46"/>
    <n v="390.46"/>
    <n v="390.46"/>
    <n v="390.46"/>
  </r>
  <r>
    <x v="2"/>
    <s v="Kitchen"/>
    <n v="0"/>
    <n v="0"/>
    <n v="0"/>
    <n v="0"/>
    <n v="0"/>
    <n v="0"/>
    <n v="0"/>
    <n v="0"/>
    <n v="0"/>
    <n v="0"/>
    <n v="0"/>
    <n v="0"/>
    <n v="4031.8"/>
    <n v="4031.8"/>
    <n v="4031.8"/>
    <n v="4031.8"/>
    <n v="4031.8"/>
  </r>
  <r>
    <x v="2"/>
    <s v="Kitchen"/>
    <n v="0"/>
    <n v="0"/>
    <n v="0"/>
    <n v="0"/>
    <n v="6009.36"/>
    <n v="6009.36"/>
    <n v="6009.36"/>
    <n v="6009.36"/>
    <n v="6009.36"/>
    <n v="6009.36"/>
    <n v="6009.36"/>
    <n v="6009.36"/>
    <n v="6009.36"/>
    <n v="6009.36"/>
    <n v="6009.36"/>
    <n v="6009.36"/>
    <n v="6009.36"/>
  </r>
  <r>
    <x v="2"/>
    <s v="Kitchen"/>
    <n v="0"/>
    <n v="0"/>
    <n v="0"/>
    <n v="0"/>
    <n v="0"/>
    <n v="0"/>
    <n v="0"/>
    <n v="0"/>
    <n v="0"/>
    <n v="0"/>
    <n v="2202.56"/>
    <n v="2202.56"/>
    <n v="2202.56"/>
    <n v="2202.56"/>
    <n v="2202.56"/>
    <n v="2202.56"/>
    <n v="2202.56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573.79999999999995"/>
    <n v="573.79999999999995"/>
    <n v="573.79999999999995"/>
    <n v="573.79999999999995"/>
    <n v="573.79999999999995"/>
    <n v="573.79999999999995"/>
    <n v="573.79999999999995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0"/>
    <n v="0"/>
    <n v="0"/>
    <n v="0"/>
    <n v="997.94"/>
    <n v="997.94"/>
    <n v="997.94"/>
    <n v="997.94"/>
    <n v="997.94"/>
    <n v="997.94"/>
    <n v="997.94"/>
  </r>
  <r>
    <x v="2"/>
    <s v="Kitchen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x v="2"/>
    <s v="Kitchen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x v="2"/>
    <s v="Kitchen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x v="2"/>
    <s v="Kitchen"/>
    <n v="0"/>
    <n v="0"/>
    <n v="0"/>
    <n v="0"/>
    <n v="484.52"/>
    <n v="484.52"/>
    <n v="484.52"/>
    <n v="484.52"/>
    <n v="484.52"/>
    <n v="484.52"/>
    <n v="484.52"/>
    <n v="484.52"/>
    <n v="484.52"/>
    <n v="484.52"/>
    <n v="484.52"/>
    <n v="484.52"/>
    <n v="484.52"/>
  </r>
  <r>
    <x v="2"/>
    <s v="Kitchen"/>
    <n v="0"/>
    <n v="0"/>
    <n v="0"/>
    <n v="415.29500000000002"/>
    <n v="415.29500000000002"/>
    <n v="415.29500000000002"/>
    <n v="415.29500000000002"/>
    <n v="830.59"/>
    <n v="830.59"/>
    <n v="830.59"/>
    <n v="830.59"/>
    <n v="1661.18"/>
    <n v="1661.18"/>
    <n v="1661.18"/>
    <n v="1661.18"/>
    <n v="1661.18"/>
    <n v="1661.18"/>
  </r>
  <r>
    <x v="2"/>
    <s v="Kitchen"/>
    <n v="0"/>
    <n v="0"/>
    <n v="0"/>
    <n v="93.33"/>
    <n v="93.33"/>
    <n v="93.33"/>
    <n v="93.33"/>
    <n v="93.33"/>
    <n v="93.33"/>
    <n v="93.33"/>
    <n v="93.33"/>
    <n v="93.33"/>
    <n v="93.33"/>
    <n v="93.33"/>
    <n v="93.33"/>
    <n v="93.33"/>
    <n v="93.33"/>
  </r>
  <r>
    <x v="2"/>
    <s v="Kitchen"/>
    <n v="0"/>
    <n v="0"/>
    <n v="0"/>
    <n v="351.02"/>
    <n v="351.02"/>
    <n v="351.02"/>
    <n v="351.02"/>
    <n v="351.02"/>
    <n v="351.02"/>
    <n v="351.02"/>
    <n v="351.02"/>
    <n v="351.02"/>
    <n v="351.02"/>
    <n v="351.02"/>
    <n v="351.02"/>
    <n v="351.02"/>
    <n v="351.02"/>
  </r>
  <r>
    <x v="2"/>
    <s v="Kitchen"/>
    <n v="0"/>
    <n v="0"/>
    <n v="0"/>
    <n v="163.22499999999999"/>
    <n v="163.22499999999999"/>
    <n v="163.22499999999999"/>
    <n v="163.22499999999999"/>
    <n v="326.45"/>
    <n v="326.45"/>
    <n v="326.45"/>
    <n v="326.45"/>
    <n v="652.9"/>
    <n v="652.9"/>
    <n v="652.9"/>
    <n v="652.9"/>
    <n v="652.9"/>
    <n v="652.9"/>
  </r>
  <r>
    <x v="2"/>
    <s v="Kitchen"/>
    <n v="0"/>
    <n v="0"/>
    <n v="0"/>
    <n v="0"/>
    <n v="0"/>
    <n v="0"/>
    <n v="0"/>
    <n v="0"/>
    <n v="0"/>
    <n v="0"/>
    <n v="0"/>
    <n v="0"/>
    <n v="0"/>
    <n v="0"/>
    <n v="122.42"/>
    <n v="122.42"/>
    <n v="122.42"/>
  </r>
  <r>
    <x v="2"/>
    <s v="Kitchen"/>
    <n v="0"/>
    <n v="0"/>
    <n v="0"/>
    <n v="134.07"/>
    <n v="134.07"/>
    <n v="134.07"/>
    <n v="134.07"/>
    <n v="134.07"/>
    <n v="134.07"/>
    <n v="134.07"/>
    <n v="134.07"/>
    <n v="134.07"/>
    <n v="134.07"/>
    <n v="134.07"/>
    <n v="134.07"/>
    <n v="134.07"/>
    <n v="134.07"/>
  </r>
  <r>
    <x v="2"/>
    <s v="Kitchen"/>
    <n v="0"/>
    <n v="0"/>
    <n v="0"/>
    <n v="277.93"/>
    <n v="277.93"/>
    <n v="277.93"/>
    <n v="277.93"/>
    <n v="277.93"/>
    <n v="277.93"/>
    <n v="277.93"/>
    <n v="277.93"/>
    <n v="277.93"/>
    <n v="277.93"/>
    <n v="277.93"/>
    <n v="277.93"/>
    <n v="277.93"/>
    <n v="277.93"/>
  </r>
  <r>
    <x v="2"/>
    <s v="Kitchen"/>
    <n v="0"/>
    <n v="0"/>
    <n v="0"/>
    <n v="329.36"/>
    <n v="329.36"/>
    <n v="329.36"/>
    <n v="329.36"/>
    <n v="329.36"/>
    <n v="329.36"/>
    <n v="329.36"/>
    <n v="329.36"/>
    <n v="329.36"/>
    <n v="329.36"/>
    <n v="329.36"/>
    <n v="329.36"/>
    <n v="329.36"/>
    <n v="329.36"/>
  </r>
  <r>
    <x v="2"/>
    <s v="Kitchen"/>
    <n v="0"/>
    <n v="0"/>
    <n v="0"/>
    <n v="222.71"/>
    <n v="222.71"/>
    <n v="222.71"/>
    <n v="222.71"/>
    <n v="222.71"/>
    <n v="222.71"/>
    <n v="222.71"/>
    <n v="222.71"/>
    <n v="222.71"/>
    <n v="222.71"/>
    <n v="222.71"/>
    <n v="222.71"/>
    <n v="222.71"/>
    <n v="222.71"/>
  </r>
  <r>
    <x v="2"/>
    <s v="Kitchen"/>
    <n v="0"/>
    <n v="0"/>
    <n v="0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  <n v="146.02000000000001"/>
  </r>
  <r>
    <x v="2"/>
    <s v="Kitchen"/>
    <n v="0"/>
    <n v="0"/>
    <n v="0"/>
    <n v="401.76"/>
    <n v="401.76"/>
    <n v="401.76"/>
    <n v="401.76"/>
    <n v="401.76"/>
    <n v="401.76"/>
    <n v="401.76"/>
    <n v="401.76"/>
    <n v="401.76"/>
    <n v="401.76"/>
    <n v="401.76"/>
    <n v="401.76"/>
    <n v="401.76"/>
    <n v="401.76"/>
  </r>
  <r>
    <x v="2"/>
    <s v="Kitchen"/>
    <n v="0"/>
    <n v="0"/>
    <n v="0"/>
    <n v="43.34"/>
    <n v="43.34"/>
    <n v="43.34"/>
    <n v="43.34"/>
    <n v="43.34"/>
    <n v="43.34"/>
    <n v="43.34"/>
    <n v="43.34"/>
    <n v="43.34"/>
    <n v="43.34"/>
    <n v="43.34"/>
    <n v="43.34"/>
    <n v="43.34"/>
    <n v="43.34"/>
  </r>
  <r>
    <x v="2"/>
    <s v="Kitchen"/>
    <n v="0"/>
    <n v="0"/>
    <n v="0"/>
    <n v="342.32"/>
    <n v="342.32"/>
    <n v="342.32"/>
    <n v="342.32"/>
    <n v="342.32"/>
    <n v="342.32"/>
    <n v="342.32"/>
    <n v="342.32"/>
    <n v="342.32"/>
    <n v="342.32"/>
    <n v="342.32"/>
    <n v="342.32"/>
    <n v="342.32"/>
    <n v="342.32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x v="3"/>
    <s v="Bedroom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x v="3"/>
    <s v="Bedroom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x v="3"/>
    <s v="Bedroom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x v="3"/>
    <s v="Bedroom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x v="3"/>
    <s v="Bedroom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x v="3"/>
    <s v="Bedroom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x v="3"/>
    <s v="Bedroom"/>
    <n v="0"/>
    <n v="0"/>
    <n v="0"/>
    <n v="284.63"/>
    <n v="284.63"/>
    <n v="284.63"/>
    <n v="284.63"/>
    <n v="284.63"/>
    <n v="284.63"/>
    <n v="284.63"/>
    <n v="284.63"/>
    <n v="284.63"/>
    <n v="284.63"/>
    <n v="284.63"/>
    <n v="284.63"/>
    <n v="284.63"/>
    <n v="284.63"/>
  </r>
  <r>
    <x v="3"/>
    <s v="Bedroom"/>
    <n v="0"/>
    <n v="0"/>
    <n v="0"/>
    <n v="337.31"/>
    <n v="337.31"/>
    <n v="337.31"/>
    <n v="337.31"/>
    <n v="337.31"/>
    <n v="337.31"/>
    <n v="337.31"/>
    <n v="337.31"/>
    <n v="337.31"/>
    <n v="337.31"/>
    <n v="337.31"/>
    <n v="337.31"/>
    <n v="337.31"/>
    <n v="337.31"/>
  </r>
  <r>
    <x v="3"/>
    <s v="Bedroom"/>
    <n v="0"/>
    <n v="0"/>
    <n v="0"/>
    <n v="227.8"/>
    <n v="227.8"/>
    <n v="227.8"/>
    <n v="227.8"/>
    <n v="227.8"/>
    <n v="227.8"/>
    <n v="227.8"/>
    <n v="227.8"/>
    <n v="227.8"/>
    <n v="227.8"/>
    <n v="227.8"/>
    <n v="227.8"/>
    <n v="227.8"/>
    <n v="227.8"/>
  </r>
  <r>
    <x v="3"/>
    <s v="Bedroom"/>
    <n v="0"/>
    <n v="0"/>
    <n v="0"/>
    <n v="149.38"/>
    <n v="149.38"/>
    <n v="149.38"/>
    <n v="149.38"/>
    <n v="149.38"/>
    <n v="149.38"/>
    <n v="149.38"/>
    <n v="149.38"/>
    <n v="149.38"/>
    <n v="149.38"/>
    <n v="149.38"/>
    <n v="149.38"/>
    <n v="149.38"/>
    <n v="149.38"/>
  </r>
  <r>
    <x v="3"/>
    <s v="Bedroom"/>
    <n v="0"/>
    <n v="0"/>
    <n v="0"/>
    <n v="410.98"/>
    <n v="410.98"/>
    <n v="410.98"/>
    <n v="410.98"/>
    <n v="410.98"/>
    <n v="410.98"/>
    <n v="410.98"/>
    <n v="410.98"/>
    <n v="410.98"/>
    <n v="410.98"/>
    <n v="410.98"/>
    <n v="410.98"/>
    <n v="410.98"/>
    <n v="410.98"/>
  </r>
  <r>
    <x v="3"/>
    <s v="Bedroom"/>
    <n v="0"/>
    <n v="0"/>
    <n v="0"/>
    <n v="44.4"/>
    <n v="44.4"/>
    <n v="44.4"/>
    <n v="44.4"/>
    <n v="44.4"/>
    <n v="44.4"/>
    <n v="44.4"/>
    <n v="44.4"/>
    <n v="44.4"/>
    <n v="44.4"/>
    <n v="44.4"/>
    <n v="44.4"/>
    <n v="44.4"/>
    <n v="44.4"/>
  </r>
  <r>
    <x v="3"/>
    <s v="Bedroom"/>
    <n v="0"/>
    <n v="0"/>
    <n v="0"/>
    <n v="350.59"/>
    <n v="350.59"/>
    <n v="350.59"/>
    <n v="350.59"/>
    <n v="350.59"/>
    <n v="350.59"/>
    <n v="350.59"/>
    <n v="350.59"/>
    <n v="350.59"/>
    <n v="350.59"/>
    <n v="350.59"/>
    <n v="350.59"/>
    <n v="350.59"/>
    <n v="350.59"/>
  </r>
  <r>
    <x v="4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4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4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4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4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4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Bedroom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x v="4"/>
    <s v="Bedroom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x v="4"/>
    <s v="Bedroom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x v="4"/>
    <s v="Bedroom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x v="4"/>
    <s v="Bedroom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x v="4"/>
    <s v="Bedroom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x v="4"/>
    <s v="Bedroom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x v="4"/>
    <s v="Bedroom"/>
    <n v="0"/>
    <n v="0"/>
    <n v="0"/>
    <n v="284.63"/>
    <n v="284.63"/>
    <n v="284.63"/>
    <n v="284.63"/>
    <n v="284.63"/>
    <n v="284.63"/>
    <n v="284.63"/>
    <n v="284.63"/>
    <n v="284.63"/>
    <n v="284.63"/>
    <n v="284.63"/>
    <n v="284.63"/>
    <n v="284.63"/>
    <n v="284.63"/>
  </r>
  <r>
    <x v="4"/>
    <s v="Bedroom"/>
    <n v="0"/>
    <n v="0"/>
    <n v="0"/>
    <n v="337.31"/>
    <n v="337.31"/>
    <n v="337.31"/>
    <n v="337.31"/>
    <n v="337.31"/>
    <n v="337.31"/>
    <n v="337.31"/>
    <n v="337.31"/>
    <n v="337.31"/>
    <n v="337.31"/>
    <n v="337.31"/>
    <n v="337.31"/>
    <n v="337.31"/>
    <n v="337.31"/>
  </r>
  <r>
    <x v="4"/>
    <s v="Bedroom"/>
    <n v="0"/>
    <n v="0"/>
    <n v="0"/>
    <n v="227.8"/>
    <n v="227.8"/>
    <n v="227.8"/>
    <n v="227.8"/>
    <n v="227.8"/>
    <n v="227.8"/>
    <n v="227.8"/>
    <n v="227.8"/>
    <n v="227.8"/>
    <n v="227.8"/>
    <n v="227.8"/>
    <n v="227.8"/>
    <n v="227.8"/>
    <n v="227.8"/>
  </r>
  <r>
    <x v="4"/>
    <s v="Bedroom"/>
    <n v="0"/>
    <n v="0"/>
    <n v="0"/>
    <n v="149.38"/>
    <n v="149.38"/>
    <n v="149.38"/>
    <n v="149.38"/>
    <n v="149.38"/>
    <n v="149.38"/>
    <n v="149.38"/>
    <n v="149.38"/>
    <n v="149.38"/>
    <n v="149.38"/>
    <n v="149.38"/>
    <n v="149.38"/>
    <n v="149.38"/>
    <n v="149.38"/>
  </r>
  <r>
    <x v="4"/>
    <s v="Bedroom"/>
    <n v="0"/>
    <n v="0"/>
    <n v="0"/>
    <n v="410.98"/>
    <n v="410.98"/>
    <n v="410.98"/>
    <n v="410.98"/>
    <n v="410.98"/>
    <n v="410.98"/>
    <n v="410.98"/>
    <n v="410.98"/>
    <n v="410.98"/>
    <n v="410.98"/>
    <n v="410.98"/>
    <n v="410.98"/>
    <n v="410.98"/>
    <n v="410.98"/>
  </r>
  <r>
    <x v="4"/>
    <s v="Bedroom"/>
    <n v="0"/>
    <n v="0"/>
    <n v="0"/>
    <n v="44.4"/>
    <n v="44.4"/>
    <n v="44.4"/>
    <n v="44.4"/>
    <n v="44.4"/>
    <n v="44.4"/>
    <n v="44.4"/>
    <n v="44.4"/>
    <n v="44.4"/>
    <n v="44.4"/>
    <n v="44.4"/>
    <n v="44.4"/>
    <n v="44.4"/>
    <n v="44.4"/>
  </r>
  <r>
    <x v="4"/>
    <s v="Bedroom"/>
    <n v="0"/>
    <n v="0"/>
    <n v="0"/>
    <n v="350.59"/>
    <n v="350.59"/>
    <n v="350.59"/>
    <n v="350.59"/>
    <n v="350.59"/>
    <n v="350.59"/>
    <n v="350.59"/>
    <n v="350.59"/>
    <n v="350.59"/>
    <n v="350.59"/>
    <n v="350.59"/>
    <n v="350.59"/>
    <n v="350.59"/>
    <n v="350.59"/>
  </r>
  <r>
    <x v="4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4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4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4"/>
    <s v="Hallway"/>
    <n v="0"/>
    <n v="0"/>
    <n v="0"/>
    <n v="0"/>
    <n v="354.36"/>
    <n v="354.36"/>
    <n v="354.36"/>
    <n v="354.36"/>
    <n v="354.36"/>
    <n v="354.36"/>
    <n v="354.36"/>
    <n v="354.36"/>
    <n v="354.36"/>
    <n v="354.36"/>
    <n v="354.36"/>
    <n v="354.36"/>
    <n v="354.36"/>
  </r>
  <r>
    <x v="4"/>
    <s v="Hallway"/>
    <n v="0"/>
    <n v="0"/>
    <n v="0"/>
    <n v="303.74250000000001"/>
    <n v="303.74250000000001"/>
    <n v="303.74250000000001"/>
    <n v="303.74250000000001"/>
    <n v="607.48500000000001"/>
    <n v="607.48500000000001"/>
    <n v="607.48500000000001"/>
    <n v="607.48500000000001"/>
    <n v="1214.97"/>
    <n v="1214.97"/>
    <n v="1214.97"/>
    <n v="1214.97"/>
    <n v="1214.97"/>
    <n v="1214.97"/>
  </r>
  <r>
    <x v="4"/>
    <s v="Hallway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x v="4"/>
    <s v="Hallway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x v="4"/>
    <s v="Hallway"/>
    <n v="0"/>
    <n v="0"/>
    <n v="0"/>
    <n v="59.807499999999997"/>
    <n v="59.807499999999997"/>
    <n v="59.807499999999997"/>
    <n v="59.807499999999997"/>
    <n v="119.61499999999999"/>
    <n v="119.61499999999999"/>
    <n v="119.61499999999999"/>
    <n v="119.61499999999999"/>
    <n v="239.23"/>
    <n v="239.23"/>
    <n v="239.23"/>
    <n v="239.23"/>
    <n v="239.23"/>
    <n v="239.23"/>
  </r>
  <r>
    <x v="4"/>
    <s v="Hallway"/>
    <n v="0"/>
    <n v="0"/>
    <n v="0"/>
    <n v="0"/>
    <n v="0"/>
    <n v="0"/>
    <n v="0"/>
    <n v="0"/>
    <n v="0"/>
    <n v="0"/>
    <n v="0"/>
    <n v="0"/>
    <n v="0"/>
    <n v="0"/>
    <n v="44.86"/>
    <n v="44.86"/>
    <n v="44.86"/>
  </r>
  <r>
    <x v="4"/>
    <s v="Hallway"/>
    <n v="0"/>
    <n v="0"/>
    <n v="0"/>
    <n v="49.12"/>
    <n v="49.12"/>
    <n v="49.12"/>
    <n v="49.12"/>
    <n v="49.12"/>
    <n v="49.12"/>
    <n v="49.12"/>
    <n v="49.12"/>
    <n v="49.12"/>
    <n v="49.12"/>
    <n v="49.12"/>
    <n v="49.12"/>
    <n v="49.12"/>
    <n v="49.12"/>
  </r>
  <r>
    <x v="4"/>
    <s v="Hallway"/>
    <n v="0"/>
    <n v="0"/>
    <n v="0"/>
    <n v="101.83"/>
    <n v="101.83"/>
    <n v="101.83"/>
    <n v="101.83"/>
    <n v="101.83"/>
    <n v="101.83"/>
    <n v="101.83"/>
    <n v="101.83"/>
    <n v="101.83"/>
    <n v="101.83"/>
    <n v="101.83"/>
    <n v="101.83"/>
    <n v="101.83"/>
    <n v="101.83"/>
  </r>
  <r>
    <x v="4"/>
    <s v="Hallway"/>
    <n v="0"/>
    <n v="0"/>
    <n v="0"/>
    <n v="120.72"/>
    <n v="120.72"/>
    <n v="120.72"/>
    <n v="120.72"/>
    <n v="120.72"/>
    <n v="120.72"/>
    <n v="120.72"/>
    <n v="120.72"/>
    <n v="120.72"/>
    <n v="120.72"/>
    <n v="120.72"/>
    <n v="120.72"/>
    <n v="120.72"/>
    <n v="120.72"/>
  </r>
  <r>
    <x v="4"/>
    <s v="Hallway"/>
    <n v="0"/>
    <n v="0"/>
    <n v="0"/>
    <n v="88.27"/>
    <n v="88.27"/>
    <n v="88.27"/>
    <n v="88.27"/>
    <n v="88.27"/>
    <n v="88.27"/>
    <n v="88.27"/>
    <n v="88.27"/>
    <n v="88.27"/>
    <n v="88.27"/>
    <n v="88.27"/>
    <n v="88.27"/>
    <n v="88.27"/>
    <n v="88.27"/>
  </r>
  <r>
    <x v="4"/>
    <s v="Hallway"/>
    <n v="0"/>
    <n v="0"/>
    <n v="0"/>
    <n v="57.86"/>
    <n v="57.86"/>
    <n v="57.86"/>
    <n v="57.86"/>
    <n v="57.86"/>
    <n v="57.86"/>
    <n v="57.86"/>
    <n v="57.86"/>
    <n v="57.86"/>
    <n v="57.86"/>
    <n v="57.86"/>
    <n v="57.86"/>
    <n v="57.86"/>
    <n v="57.86"/>
  </r>
  <r>
    <x v="4"/>
    <s v="Hallway"/>
    <n v="0"/>
    <n v="0"/>
    <n v="0"/>
    <n v="159.22"/>
    <n v="159.22"/>
    <n v="159.22"/>
    <n v="159.22"/>
    <n v="159.22"/>
    <n v="159.22"/>
    <n v="159.22"/>
    <n v="159.22"/>
    <n v="159.22"/>
    <n v="159.22"/>
    <n v="159.22"/>
    <n v="159.22"/>
    <n v="159.22"/>
    <n v="159.22"/>
  </r>
  <r>
    <x v="4"/>
    <s v="Hallway"/>
    <n v="0"/>
    <n v="0"/>
    <n v="0"/>
    <n v="15.88"/>
    <n v="15.88"/>
    <n v="15.88"/>
    <n v="15.88"/>
    <n v="15.88"/>
    <n v="15.88"/>
    <n v="15.88"/>
    <n v="15.88"/>
    <n v="15.88"/>
    <n v="15.88"/>
    <n v="15.88"/>
    <n v="15.88"/>
    <n v="15.88"/>
    <n v="15.88"/>
  </r>
  <r>
    <x v="4"/>
    <s v="Hallway"/>
    <n v="0"/>
    <n v="0"/>
    <n v="0"/>
    <n v="125.48"/>
    <n v="125.48"/>
    <n v="125.48"/>
    <n v="125.48"/>
    <n v="125.48"/>
    <n v="125.48"/>
    <n v="125.48"/>
    <n v="125.48"/>
    <n v="125.48"/>
    <n v="125.48"/>
    <n v="125.48"/>
    <n v="125.48"/>
    <n v="125.48"/>
    <n v="125.48"/>
  </r>
  <r>
    <x v="2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2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Hallway"/>
    <n v="0"/>
    <n v="0"/>
    <n v="0"/>
    <n v="0"/>
    <n v="390.44"/>
    <n v="390.44"/>
    <n v="390.44"/>
    <n v="390.44"/>
    <n v="390.44"/>
    <n v="390.44"/>
    <n v="390.44"/>
    <n v="390.44"/>
    <n v="390.44"/>
    <n v="390.44"/>
    <n v="390.44"/>
    <n v="390.44"/>
    <n v="390.44"/>
  </r>
  <r>
    <x v="2"/>
    <s v="Hallway"/>
    <n v="0"/>
    <n v="0"/>
    <n v="0"/>
    <n v="334.65499999999997"/>
    <n v="334.65499999999997"/>
    <n v="334.65499999999997"/>
    <n v="334.65499999999997"/>
    <n v="669.31"/>
    <n v="669.31"/>
    <n v="669.31"/>
    <n v="669.31"/>
    <n v="1338.62"/>
    <n v="1338.62"/>
    <n v="1338.62"/>
    <n v="1338.62"/>
    <n v="1338.62"/>
    <n v="1338.62"/>
  </r>
  <r>
    <x v="2"/>
    <s v="Hallway"/>
    <n v="0"/>
    <n v="0"/>
    <n v="0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  <n v="75.209999999999994"/>
  </r>
  <r>
    <x v="2"/>
    <s v="Hallway"/>
    <n v="0"/>
    <n v="0"/>
    <n v="0"/>
    <n v="282.86"/>
    <n v="282.86"/>
    <n v="282.86"/>
    <n v="282.86"/>
    <n v="282.86"/>
    <n v="282.86"/>
    <n v="282.86"/>
    <n v="282.86"/>
    <n v="282.86"/>
    <n v="282.86"/>
    <n v="282.86"/>
    <n v="282.86"/>
    <n v="282.86"/>
    <n v="282.86"/>
  </r>
  <r>
    <x v="2"/>
    <s v="Hallway"/>
    <n v="0"/>
    <n v="0"/>
    <n v="0"/>
    <n v="88.462500000000006"/>
    <n v="88.462500000000006"/>
    <n v="88.462500000000006"/>
    <n v="88.462500000000006"/>
    <n v="176.92500000000001"/>
    <n v="176.92500000000001"/>
    <n v="176.92500000000001"/>
    <n v="176.92500000000001"/>
    <n v="353.85"/>
    <n v="353.85"/>
    <n v="353.85"/>
    <n v="353.85"/>
    <n v="353.85"/>
    <n v="353.85"/>
  </r>
  <r>
    <x v="2"/>
    <s v="Hallway"/>
    <n v="0"/>
    <n v="0"/>
    <n v="0"/>
    <n v="0"/>
    <n v="0"/>
    <n v="0"/>
    <n v="0"/>
    <n v="0"/>
    <n v="0"/>
    <n v="0"/>
    <n v="0"/>
    <n v="0"/>
    <n v="0"/>
    <n v="0"/>
    <n v="66.349999999999994"/>
    <n v="66.349999999999994"/>
    <n v="66.349999999999994"/>
  </r>
  <r>
    <x v="2"/>
    <s v="Hallway"/>
    <n v="0"/>
    <n v="0"/>
    <n v="0"/>
    <n v="72.67"/>
    <n v="72.67"/>
    <n v="72.67"/>
    <n v="72.67"/>
    <n v="72.67"/>
    <n v="72.67"/>
    <n v="72.67"/>
    <n v="72.67"/>
    <n v="72.67"/>
    <n v="72.67"/>
    <n v="72.67"/>
    <n v="72.67"/>
    <n v="72.67"/>
    <n v="72.67"/>
  </r>
  <r>
    <x v="2"/>
    <s v="Hallway"/>
    <n v="0"/>
    <n v="0"/>
    <n v="0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  <n v="150.61000000000001"/>
  </r>
  <r>
    <x v="2"/>
    <s v="Hallway"/>
    <n v="0"/>
    <n v="0"/>
    <n v="0"/>
    <n v="178.56"/>
    <n v="178.56"/>
    <n v="178.56"/>
    <n v="178.56"/>
    <n v="178.56"/>
    <n v="178.56"/>
    <n v="178.56"/>
    <n v="178.56"/>
    <n v="178.56"/>
    <n v="178.56"/>
    <n v="178.56"/>
    <n v="178.56"/>
    <n v="178.56"/>
    <n v="178.56"/>
  </r>
  <r>
    <x v="2"/>
    <s v="Hallway"/>
    <n v="0"/>
    <n v="0"/>
    <n v="0"/>
    <n v="125.48"/>
    <n v="125.48"/>
    <n v="125.48"/>
    <n v="125.48"/>
    <n v="125.48"/>
    <n v="125.48"/>
    <n v="125.48"/>
    <n v="125.48"/>
    <n v="125.48"/>
    <n v="125.48"/>
    <n v="125.48"/>
    <n v="125.48"/>
    <n v="125.48"/>
    <n v="125.48"/>
  </r>
  <r>
    <x v="2"/>
    <s v="Hallway"/>
    <n v="0"/>
    <n v="0"/>
    <n v="0"/>
    <n v="82.28"/>
    <n v="82.28"/>
    <n v="82.28"/>
    <n v="82.28"/>
    <n v="82.28"/>
    <n v="82.28"/>
    <n v="82.28"/>
    <n v="82.28"/>
    <n v="82.28"/>
    <n v="82.28"/>
    <n v="82.28"/>
    <n v="82.28"/>
    <n v="82.28"/>
    <n v="82.28"/>
  </r>
  <r>
    <x v="2"/>
    <s v="Hallway"/>
    <n v="0"/>
    <n v="0"/>
    <n v="0"/>
    <n v="226.35"/>
    <n v="226.35"/>
    <n v="226.35"/>
    <n v="226.35"/>
    <n v="226.35"/>
    <n v="226.35"/>
    <n v="226.35"/>
    <n v="226.35"/>
    <n v="226.35"/>
    <n v="226.35"/>
    <n v="226.35"/>
    <n v="226.35"/>
    <n v="226.35"/>
    <n v="226.35"/>
  </r>
  <r>
    <x v="2"/>
    <s v="Hallway"/>
    <n v="0"/>
    <n v="0"/>
    <n v="0"/>
    <n v="23.5"/>
    <n v="23.5"/>
    <n v="23.5"/>
    <n v="23.5"/>
    <n v="23.5"/>
    <n v="23.5"/>
    <n v="23.5"/>
    <n v="23.5"/>
    <n v="23.5"/>
    <n v="23.5"/>
    <n v="23.5"/>
    <n v="23.5"/>
    <n v="23.5"/>
    <n v="23.5"/>
  </r>
  <r>
    <x v="2"/>
    <s v="Hallway"/>
    <n v="0"/>
    <n v="0"/>
    <n v="0"/>
    <n v="185.6"/>
    <n v="185.6"/>
    <n v="185.6"/>
    <n v="185.6"/>
    <n v="185.6"/>
    <n v="185.6"/>
    <n v="185.6"/>
    <n v="185.6"/>
    <n v="185.6"/>
    <n v="185.6"/>
    <n v="185.6"/>
    <n v="185.6"/>
    <n v="185.6"/>
    <n v="185.6"/>
  </r>
  <r>
    <x v="4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4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4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4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4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4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Bedroom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x v="4"/>
    <s v="Bedroom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x v="4"/>
    <s v="Bedroom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x v="4"/>
    <s v="Bedroom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x v="4"/>
    <s v="Bedroom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x v="4"/>
    <s v="Bedroom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x v="4"/>
    <s v="Bedroom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x v="4"/>
    <s v="Bedroom"/>
    <n v="0"/>
    <n v="0"/>
    <n v="0"/>
    <n v="284.63"/>
    <n v="284.63"/>
    <n v="284.63"/>
    <n v="284.63"/>
    <n v="284.63"/>
    <n v="284.63"/>
    <n v="284.63"/>
    <n v="284.63"/>
    <n v="284.63"/>
    <n v="284.63"/>
    <n v="284.63"/>
    <n v="284.63"/>
    <n v="284.63"/>
    <n v="284.63"/>
  </r>
  <r>
    <x v="4"/>
    <s v="Bedroom"/>
    <n v="0"/>
    <n v="0"/>
    <n v="0"/>
    <n v="337.31"/>
    <n v="337.31"/>
    <n v="337.31"/>
    <n v="337.31"/>
    <n v="337.31"/>
    <n v="337.31"/>
    <n v="337.31"/>
    <n v="337.31"/>
    <n v="337.31"/>
    <n v="337.31"/>
    <n v="337.31"/>
    <n v="337.31"/>
    <n v="337.31"/>
    <n v="337.31"/>
  </r>
  <r>
    <x v="4"/>
    <s v="Bedroom"/>
    <n v="0"/>
    <n v="0"/>
    <n v="0"/>
    <n v="227.8"/>
    <n v="227.8"/>
    <n v="227.8"/>
    <n v="227.8"/>
    <n v="227.8"/>
    <n v="227.8"/>
    <n v="227.8"/>
    <n v="227.8"/>
    <n v="227.8"/>
    <n v="227.8"/>
    <n v="227.8"/>
    <n v="227.8"/>
    <n v="227.8"/>
    <n v="227.8"/>
  </r>
  <r>
    <x v="4"/>
    <s v="Bedroom"/>
    <n v="0"/>
    <n v="0"/>
    <n v="0"/>
    <n v="149.38"/>
    <n v="149.38"/>
    <n v="149.38"/>
    <n v="149.38"/>
    <n v="149.38"/>
    <n v="149.38"/>
    <n v="149.38"/>
    <n v="149.38"/>
    <n v="149.38"/>
    <n v="149.38"/>
    <n v="149.38"/>
    <n v="149.38"/>
    <n v="149.38"/>
    <n v="149.38"/>
  </r>
  <r>
    <x v="4"/>
    <s v="Bedroom"/>
    <n v="0"/>
    <n v="0"/>
    <n v="0"/>
    <n v="410.98"/>
    <n v="410.98"/>
    <n v="410.98"/>
    <n v="410.98"/>
    <n v="410.98"/>
    <n v="410.98"/>
    <n v="410.98"/>
    <n v="410.98"/>
    <n v="410.98"/>
    <n v="410.98"/>
    <n v="410.98"/>
    <n v="410.98"/>
    <n v="410.98"/>
    <n v="410.98"/>
  </r>
  <r>
    <x v="4"/>
    <s v="Bedroom"/>
    <n v="0"/>
    <n v="0"/>
    <n v="0"/>
    <n v="44.4"/>
    <n v="44.4"/>
    <n v="44.4"/>
    <n v="44.4"/>
    <n v="44.4"/>
    <n v="44.4"/>
    <n v="44.4"/>
    <n v="44.4"/>
    <n v="44.4"/>
    <n v="44.4"/>
    <n v="44.4"/>
    <n v="44.4"/>
    <n v="44.4"/>
    <n v="44.4"/>
  </r>
  <r>
    <x v="4"/>
    <s v="Bedroom"/>
    <n v="0"/>
    <n v="0"/>
    <n v="0"/>
    <n v="350.59"/>
    <n v="350.59"/>
    <n v="350.59"/>
    <n v="350.59"/>
    <n v="350.59"/>
    <n v="350.59"/>
    <n v="350.59"/>
    <n v="350.59"/>
    <n v="350.59"/>
    <n v="350.59"/>
    <n v="350.59"/>
    <n v="350.59"/>
    <n v="350.59"/>
    <n v="350.59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59.78"/>
    <n v="559.78"/>
    <n v="559.78"/>
    <n v="559.78"/>
    <n v="559.78"/>
    <n v="559.78"/>
    <n v="559.78"/>
    <n v="559.78"/>
    <n v="559.78"/>
    <n v="559.78"/>
    <n v="559.78"/>
    <n v="559.78"/>
    <n v="559.78"/>
  </r>
  <r>
    <x v="3"/>
    <s v="Bedroom"/>
    <n v="0"/>
    <n v="0"/>
    <n v="0"/>
    <n v="479.81"/>
    <n v="479.81"/>
    <n v="479.81"/>
    <n v="479.81"/>
    <n v="959.62"/>
    <n v="959.62"/>
    <n v="959.62"/>
    <n v="959.62"/>
    <n v="1919.24"/>
    <n v="1919.24"/>
    <n v="1919.24"/>
    <n v="1919.24"/>
    <n v="1919.24"/>
    <n v="1919.24"/>
  </r>
  <r>
    <x v="3"/>
    <s v="Bedroom"/>
    <n v="0"/>
    <n v="0"/>
    <n v="0"/>
    <n v="107.83"/>
    <n v="107.83"/>
    <n v="107.83"/>
    <n v="107.83"/>
    <n v="107.83"/>
    <n v="107.83"/>
    <n v="107.83"/>
    <n v="107.83"/>
    <n v="107.83"/>
    <n v="107.83"/>
    <n v="107.83"/>
    <n v="107.83"/>
    <n v="107.83"/>
    <n v="107.83"/>
  </r>
  <r>
    <x v="3"/>
    <s v="Bedroom"/>
    <n v="0"/>
    <n v="0"/>
    <n v="0"/>
    <n v="405.56"/>
    <n v="405.56"/>
    <n v="405.56"/>
    <n v="405.56"/>
    <n v="405.56"/>
    <n v="405.56"/>
    <n v="405.56"/>
    <n v="405.56"/>
    <n v="405.56"/>
    <n v="405.56"/>
    <n v="405.56"/>
    <n v="405.56"/>
    <n v="405.56"/>
    <n v="405.56"/>
  </r>
  <r>
    <x v="3"/>
    <s v="Bedroom"/>
    <n v="0"/>
    <n v="0"/>
    <n v="0"/>
    <n v="222.11500000000001"/>
    <n v="222.11500000000001"/>
    <n v="222.11500000000001"/>
    <n v="222.11500000000001"/>
    <n v="444.23"/>
    <n v="444.23"/>
    <n v="444.23"/>
    <n v="444.23"/>
    <n v="888.46"/>
    <n v="888.46"/>
    <n v="888.46"/>
    <n v="888.46"/>
    <n v="888.46"/>
    <n v="888.46"/>
  </r>
  <r>
    <x v="3"/>
    <s v="Bedroom"/>
    <n v="0"/>
    <n v="0"/>
    <n v="0"/>
    <n v="0"/>
    <n v="0"/>
    <n v="0"/>
    <n v="0"/>
    <n v="0"/>
    <n v="0"/>
    <n v="0"/>
    <n v="0"/>
    <n v="0"/>
    <n v="0"/>
    <n v="0"/>
    <n v="166.58"/>
    <n v="166.58"/>
    <n v="166.58"/>
  </r>
  <r>
    <x v="3"/>
    <s v="Bedroom"/>
    <n v="0"/>
    <n v="0"/>
    <n v="0"/>
    <n v="182.44"/>
    <n v="182.44"/>
    <n v="182.44"/>
    <n v="182.44"/>
    <n v="182.44"/>
    <n v="182.44"/>
    <n v="182.44"/>
    <n v="182.44"/>
    <n v="182.44"/>
    <n v="182.44"/>
    <n v="182.44"/>
    <n v="182.44"/>
    <n v="182.44"/>
    <n v="182.44"/>
  </r>
  <r>
    <x v="3"/>
    <s v="Bedroom"/>
    <n v="0"/>
    <n v="0"/>
    <n v="0"/>
    <n v="378.12"/>
    <n v="378.12"/>
    <n v="378.12"/>
    <n v="378.12"/>
    <n v="378.12"/>
    <n v="378.12"/>
    <n v="378.12"/>
    <n v="378.12"/>
    <n v="378.12"/>
    <n v="378.12"/>
    <n v="378.12"/>
    <n v="378.12"/>
    <n v="378.12"/>
    <n v="378.12"/>
  </r>
  <r>
    <x v="3"/>
    <s v="Bedroom"/>
    <n v="0"/>
    <n v="0"/>
    <n v="0"/>
    <n v="448.21"/>
    <n v="448.21"/>
    <n v="448.21"/>
    <n v="448.21"/>
    <n v="448.21"/>
    <n v="448.21"/>
    <n v="448.21"/>
    <n v="448.21"/>
    <n v="448.21"/>
    <n v="448.21"/>
    <n v="448.21"/>
    <n v="448.21"/>
    <n v="448.21"/>
    <n v="448.21"/>
  </r>
  <r>
    <x v="3"/>
    <s v="Bedroom"/>
    <n v="0"/>
    <n v="0"/>
    <n v="0"/>
    <n v="299.24"/>
    <n v="299.24"/>
    <n v="299.24"/>
    <n v="299.24"/>
    <n v="299.24"/>
    <n v="299.24"/>
    <n v="299.24"/>
    <n v="299.24"/>
    <n v="299.24"/>
    <n v="299.24"/>
    <n v="299.24"/>
    <n v="299.24"/>
    <n v="299.24"/>
    <n v="299.24"/>
  </r>
  <r>
    <x v="3"/>
    <s v="Bedroom"/>
    <n v="0"/>
    <n v="0"/>
    <n v="0"/>
    <n v="196.2"/>
    <n v="196.2"/>
    <n v="196.2"/>
    <n v="196.2"/>
    <n v="196.2"/>
    <n v="196.2"/>
    <n v="196.2"/>
    <n v="196.2"/>
    <n v="196.2"/>
    <n v="196.2"/>
    <n v="196.2"/>
    <n v="196.2"/>
    <n v="196.2"/>
    <n v="196.2"/>
  </r>
  <r>
    <x v="3"/>
    <s v="Bedroom"/>
    <n v="0"/>
    <n v="0"/>
    <n v="0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  <n v="539.83000000000004"/>
  </r>
  <r>
    <x v="3"/>
    <s v="Bedroom"/>
    <n v="0"/>
    <n v="0"/>
    <n v="0"/>
    <n v="59"/>
    <n v="59"/>
    <n v="59"/>
    <n v="59"/>
    <n v="59"/>
    <n v="59"/>
    <n v="59"/>
    <n v="59"/>
    <n v="59"/>
    <n v="59"/>
    <n v="59"/>
    <n v="59"/>
    <n v="59"/>
    <n v="59"/>
  </r>
  <r>
    <x v="3"/>
    <s v="Bedroom"/>
    <n v="0"/>
    <n v="0"/>
    <n v="0"/>
    <n v="465.85"/>
    <n v="465.85"/>
    <n v="465.85"/>
    <n v="465.85"/>
    <n v="465.85"/>
    <n v="465.85"/>
    <n v="465.85"/>
    <n v="465.85"/>
    <n v="465.85"/>
    <n v="465.85"/>
    <n v="465.85"/>
    <n v="465.85"/>
    <n v="465.85"/>
    <n v="465.85"/>
  </r>
  <r>
    <x v="4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4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4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4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4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4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4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Bedroom"/>
    <n v="0"/>
    <n v="0"/>
    <n v="0"/>
    <n v="0"/>
    <n v="486.08"/>
    <n v="486.08"/>
    <n v="486.08"/>
    <n v="486.08"/>
    <n v="486.08"/>
    <n v="486.08"/>
    <n v="486.08"/>
    <n v="486.08"/>
    <n v="486.08"/>
    <n v="486.08"/>
    <n v="486.08"/>
    <n v="486.08"/>
    <n v="486.08"/>
  </r>
  <r>
    <x v="4"/>
    <s v="Bedroom"/>
    <n v="0"/>
    <n v="0"/>
    <n v="0"/>
    <n v="416.63749999999999"/>
    <n v="416.63749999999999"/>
    <n v="416.63749999999999"/>
    <n v="416.63749999999999"/>
    <n v="833.27499999999998"/>
    <n v="833.27499999999998"/>
    <n v="833.27499999999998"/>
    <n v="833.27499999999998"/>
    <n v="1666.55"/>
    <n v="1666.55"/>
    <n v="1666.55"/>
    <n v="1666.55"/>
    <n v="1666.55"/>
    <n v="1666.55"/>
  </r>
  <r>
    <x v="4"/>
    <s v="Bedroom"/>
    <n v="0"/>
    <n v="0"/>
    <n v="0"/>
    <n v="93.62"/>
    <n v="93.62"/>
    <n v="93.62"/>
    <n v="93.62"/>
    <n v="93.62"/>
    <n v="93.62"/>
    <n v="93.62"/>
    <n v="93.62"/>
    <n v="93.62"/>
    <n v="93.62"/>
    <n v="93.62"/>
    <n v="93.62"/>
    <n v="93.62"/>
    <n v="93.62"/>
  </r>
  <r>
    <x v="4"/>
    <s v="Bedroom"/>
    <n v="0"/>
    <n v="0"/>
    <n v="0"/>
    <n v="352.19"/>
    <n v="352.19"/>
    <n v="352.19"/>
    <n v="352.19"/>
    <n v="352.19"/>
    <n v="352.19"/>
    <n v="352.19"/>
    <n v="352.19"/>
    <n v="352.19"/>
    <n v="352.19"/>
    <n v="352.19"/>
    <n v="352.19"/>
    <n v="352.19"/>
    <n v="352.19"/>
  </r>
  <r>
    <x v="4"/>
    <s v="Bedroom"/>
    <n v="0"/>
    <n v="0"/>
    <n v="0"/>
    <n v="167.16499999999999"/>
    <n v="167.16499999999999"/>
    <n v="167.16499999999999"/>
    <n v="167.16499999999999"/>
    <n v="334.33"/>
    <n v="334.33"/>
    <n v="334.33"/>
    <n v="334.33"/>
    <n v="668.66"/>
    <n v="668.66"/>
    <n v="668.66"/>
    <n v="668.66"/>
    <n v="668.66"/>
    <n v="668.66"/>
  </r>
  <r>
    <x v="4"/>
    <s v="Bedroom"/>
    <n v="0"/>
    <n v="0"/>
    <n v="0"/>
    <n v="0"/>
    <n v="0"/>
    <n v="0"/>
    <n v="0"/>
    <n v="0"/>
    <n v="0"/>
    <n v="0"/>
    <n v="0"/>
    <n v="0"/>
    <n v="0"/>
    <n v="0"/>
    <n v="125.38"/>
    <n v="125.38"/>
    <n v="125.38"/>
  </r>
  <r>
    <x v="4"/>
    <s v="Bedroom"/>
    <n v="0"/>
    <n v="0"/>
    <n v="0"/>
    <n v="137.31"/>
    <n v="137.31"/>
    <n v="137.31"/>
    <n v="137.31"/>
    <n v="137.31"/>
    <n v="137.31"/>
    <n v="137.31"/>
    <n v="137.31"/>
    <n v="137.31"/>
    <n v="137.31"/>
    <n v="137.31"/>
    <n v="137.31"/>
    <n v="137.31"/>
    <n v="137.31"/>
  </r>
  <r>
    <x v="4"/>
    <s v="Bedroom"/>
    <n v="0"/>
    <n v="0"/>
    <n v="0"/>
    <n v="284.63"/>
    <n v="284.63"/>
    <n v="284.63"/>
    <n v="284.63"/>
    <n v="284.63"/>
    <n v="284.63"/>
    <n v="284.63"/>
    <n v="284.63"/>
    <n v="284.63"/>
    <n v="284.63"/>
    <n v="284.63"/>
    <n v="284.63"/>
    <n v="284.63"/>
    <n v="284.63"/>
  </r>
  <r>
    <x v="4"/>
    <s v="Bedroom"/>
    <n v="0"/>
    <n v="0"/>
    <n v="0"/>
    <n v="337.31"/>
    <n v="337.31"/>
    <n v="337.31"/>
    <n v="337.31"/>
    <n v="337.31"/>
    <n v="337.31"/>
    <n v="337.31"/>
    <n v="337.31"/>
    <n v="337.31"/>
    <n v="337.31"/>
    <n v="337.31"/>
    <n v="337.31"/>
    <n v="337.31"/>
    <n v="337.31"/>
  </r>
  <r>
    <x v="4"/>
    <s v="Bedroom"/>
    <n v="0"/>
    <n v="0"/>
    <n v="0"/>
    <n v="227.8"/>
    <n v="227.8"/>
    <n v="227.8"/>
    <n v="227.8"/>
    <n v="227.8"/>
    <n v="227.8"/>
    <n v="227.8"/>
    <n v="227.8"/>
    <n v="227.8"/>
    <n v="227.8"/>
    <n v="227.8"/>
    <n v="227.8"/>
    <n v="227.8"/>
    <n v="227.8"/>
  </r>
  <r>
    <x v="4"/>
    <s v="Bedroom"/>
    <n v="0"/>
    <n v="0"/>
    <n v="0"/>
    <n v="149.38"/>
    <n v="149.38"/>
    <n v="149.38"/>
    <n v="149.38"/>
    <n v="149.38"/>
    <n v="149.38"/>
    <n v="149.38"/>
    <n v="149.38"/>
    <n v="149.38"/>
    <n v="149.38"/>
    <n v="149.38"/>
    <n v="149.38"/>
    <n v="149.38"/>
    <n v="149.38"/>
  </r>
  <r>
    <x v="4"/>
    <s v="Bedroom"/>
    <n v="0"/>
    <n v="0"/>
    <n v="0"/>
    <n v="410.98"/>
    <n v="410.98"/>
    <n v="410.98"/>
    <n v="410.98"/>
    <n v="410.98"/>
    <n v="410.98"/>
    <n v="410.98"/>
    <n v="410.98"/>
    <n v="410.98"/>
    <n v="410.98"/>
    <n v="410.98"/>
    <n v="410.98"/>
    <n v="410.98"/>
    <n v="410.98"/>
  </r>
  <r>
    <x v="4"/>
    <s v="Bedroom"/>
    <n v="0"/>
    <n v="0"/>
    <n v="0"/>
    <n v="44.4"/>
    <n v="44.4"/>
    <n v="44.4"/>
    <n v="44.4"/>
    <n v="44.4"/>
    <n v="44.4"/>
    <n v="44.4"/>
    <n v="44.4"/>
    <n v="44.4"/>
    <n v="44.4"/>
    <n v="44.4"/>
    <n v="44.4"/>
    <n v="44.4"/>
    <n v="44.4"/>
  </r>
  <r>
    <x v="4"/>
    <s v="Bedroom"/>
    <n v="0"/>
    <n v="0"/>
    <n v="0"/>
    <n v="350.59"/>
    <n v="350.59"/>
    <n v="350.59"/>
    <n v="350.59"/>
    <n v="350.59"/>
    <n v="350.59"/>
    <n v="350.59"/>
    <n v="350.59"/>
    <n v="350.59"/>
    <n v="350.59"/>
    <n v="350.59"/>
    <n v="350.59"/>
    <n v="350.59"/>
    <n v="350.59"/>
  </r>
  <r>
    <x v="4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4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4"/>
    <s v="Living Area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x v="4"/>
    <s v="Living Area"/>
    <n v="0"/>
    <n v="0"/>
    <n v="0"/>
    <n v="544.32000000000005"/>
    <n v="544.32000000000005"/>
    <n v="544.32000000000005"/>
    <n v="544.32000000000005"/>
    <n v="1088.6400000000001"/>
    <n v="1088.6400000000001"/>
    <n v="1088.6400000000001"/>
    <n v="1088.6400000000001"/>
    <n v="2177.2800000000002"/>
    <n v="2177.2800000000002"/>
    <n v="2177.2800000000002"/>
    <n v="2177.2800000000002"/>
    <n v="2177.2800000000002"/>
    <n v="2177.2800000000002"/>
  </r>
  <r>
    <x v="4"/>
    <s v="Living Area"/>
    <n v="0"/>
    <n v="0"/>
    <n v="0"/>
    <n v="122.31"/>
    <n v="122.31"/>
    <n v="122.31"/>
    <n v="122.31"/>
    <n v="122.31"/>
    <n v="122.31"/>
    <n v="122.31"/>
    <n v="122.31"/>
    <n v="122.31"/>
    <n v="122.31"/>
    <n v="122.31"/>
    <n v="122.31"/>
    <n v="122.31"/>
    <n v="122.31"/>
  </r>
  <r>
    <x v="4"/>
    <s v="Living Area"/>
    <n v="0"/>
    <n v="0"/>
    <n v="0"/>
    <n v="460.08"/>
    <n v="460.08"/>
    <n v="460.08"/>
    <n v="460.08"/>
    <n v="460.08"/>
    <n v="460.08"/>
    <n v="460.08"/>
    <n v="460.08"/>
    <n v="460.08"/>
    <n v="460.08"/>
    <n v="460.08"/>
    <n v="460.08"/>
    <n v="460.08"/>
    <n v="460.08"/>
  </r>
  <r>
    <x v="4"/>
    <s v="Living Area"/>
    <n v="0"/>
    <n v="0"/>
    <n v="0"/>
    <n v="278.21749999999997"/>
    <n v="278.21749999999997"/>
    <n v="278.21749999999997"/>
    <n v="278.21749999999997"/>
    <n v="556.43499999999995"/>
    <n v="556.43499999999995"/>
    <n v="556.43499999999995"/>
    <n v="556.43499999999995"/>
    <n v="1112.8699999999999"/>
    <n v="1112.8699999999999"/>
    <n v="1112.8699999999999"/>
    <n v="1112.8699999999999"/>
    <n v="1112.8699999999999"/>
    <n v="1112.8699999999999"/>
  </r>
  <r>
    <x v="4"/>
    <s v="Living Area"/>
    <n v="0"/>
    <n v="0"/>
    <n v="0"/>
    <n v="0"/>
    <n v="0"/>
    <n v="0"/>
    <n v="0"/>
    <n v="0"/>
    <n v="0"/>
    <n v="0"/>
    <n v="0"/>
    <n v="0"/>
    <n v="0"/>
    <n v="0"/>
    <n v="208.67"/>
    <n v="208.67"/>
    <n v="208.67"/>
  </r>
  <r>
    <x v="4"/>
    <s v="Living Area"/>
    <n v="0"/>
    <n v="0"/>
    <n v="0"/>
    <n v="228.55"/>
    <n v="228.55"/>
    <n v="228.55"/>
    <n v="228.55"/>
    <n v="228.55"/>
    <n v="228.55"/>
    <n v="228.55"/>
    <n v="228.55"/>
    <n v="228.55"/>
    <n v="228.55"/>
    <n v="228.55"/>
    <n v="228.55"/>
    <n v="228.55"/>
    <n v="228.55"/>
  </r>
  <r>
    <x v="4"/>
    <s v="Living Area"/>
    <n v="0"/>
    <n v="0"/>
    <n v="0"/>
    <n v="473.65"/>
    <n v="473.65"/>
    <n v="473.65"/>
    <n v="473.65"/>
    <n v="473.65"/>
    <n v="473.65"/>
    <n v="473.65"/>
    <n v="473.65"/>
    <n v="473.65"/>
    <n v="473.65"/>
    <n v="473.65"/>
    <n v="473.65"/>
    <n v="473.65"/>
    <n v="473.65"/>
  </r>
  <r>
    <x v="4"/>
    <s v="Living Area"/>
    <n v="0"/>
    <n v="0"/>
    <n v="0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  <n v="561.42999999999995"/>
  </r>
  <r>
    <x v="4"/>
    <s v="Living Area"/>
    <n v="0"/>
    <n v="0"/>
    <n v="0"/>
    <n v="372.15"/>
    <n v="372.15"/>
    <n v="372.15"/>
    <n v="372.15"/>
    <n v="372.15"/>
    <n v="372.15"/>
    <n v="372.15"/>
    <n v="372.15"/>
    <n v="372.15"/>
    <n v="372.15"/>
    <n v="372.15"/>
    <n v="372.15"/>
    <n v="372.15"/>
    <n v="372.15"/>
  </r>
  <r>
    <x v="4"/>
    <s v="Living Area"/>
    <n v="0"/>
    <n v="0"/>
    <n v="0"/>
    <n v="244"/>
    <n v="244"/>
    <n v="244"/>
    <n v="244"/>
    <n v="244"/>
    <n v="244"/>
    <n v="244"/>
    <n v="244"/>
    <n v="244"/>
    <n v="244"/>
    <n v="244"/>
    <n v="244"/>
    <n v="244"/>
    <n v="244"/>
  </r>
  <r>
    <x v="4"/>
    <s v="Living Area"/>
    <n v="0"/>
    <n v="0"/>
    <n v="0"/>
    <n v="671.38"/>
    <n v="671.38"/>
    <n v="671.38"/>
    <n v="671.38"/>
    <n v="671.38"/>
    <n v="671.38"/>
    <n v="671.38"/>
    <n v="671.38"/>
    <n v="671.38"/>
    <n v="671.38"/>
    <n v="671.38"/>
    <n v="671.38"/>
    <n v="671.38"/>
    <n v="671.38"/>
  </r>
  <r>
    <x v="4"/>
    <s v="Living Area"/>
    <n v="0"/>
    <n v="0"/>
    <n v="0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  <n v="73.900000000000006"/>
  </r>
  <r>
    <x v="4"/>
    <s v="Living Area"/>
    <n v="0"/>
    <n v="0"/>
    <n v="0"/>
    <n v="583.52"/>
    <n v="583.52"/>
    <n v="583.52"/>
    <n v="583.52"/>
    <n v="583.52"/>
    <n v="583.52"/>
    <n v="583.52"/>
    <n v="583.52"/>
    <n v="583.52"/>
    <n v="583.52"/>
    <n v="583.52"/>
    <n v="583.52"/>
    <n v="583.52"/>
    <n v="583.52"/>
  </r>
  <r>
    <x v="2"/>
    <s v="general-main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4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4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4"/>
    <s v="Living Area"/>
    <n v="0"/>
    <n v="0"/>
    <n v="0"/>
    <n v="0"/>
    <n v="448.44"/>
    <n v="448.44"/>
    <n v="448.44"/>
    <n v="448.44"/>
    <n v="448.44"/>
    <n v="448.44"/>
    <n v="448.44"/>
    <n v="448.44"/>
    <n v="448.44"/>
    <n v="448.44"/>
    <n v="448.44"/>
    <n v="448.44"/>
    <n v="448.44"/>
  </r>
  <r>
    <x v="4"/>
    <s v="Living Area"/>
    <n v="0"/>
    <n v="0"/>
    <n v="0"/>
    <n v="384.38249999999999"/>
    <n v="384.38249999999999"/>
    <n v="384.38249999999999"/>
    <n v="384.38249999999999"/>
    <n v="768.76499999999999"/>
    <n v="768.76499999999999"/>
    <n v="768.76499999999999"/>
    <n v="768.76499999999999"/>
    <n v="1537.53"/>
    <n v="1537.53"/>
    <n v="1537.53"/>
    <n v="1537.53"/>
    <n v="1537.53"/>
    <n v="1537.53"/>
  </r>
  <r>
    <x v="4"/>
    <s v="Living Area"/>
    <n v="0"/>
    <n v="0"/>
    <n v="0"/>
    <n v="86.38"/>
    <n v="86.38"/>
    <n v="86.38"/>
    <n v="86.38"/>
    <n v="86.38"/>
    <n v="86.38"/>
    <n v="86.38"/>
    <n v="86.38"/>
    <n v="86.38"/>
    <n v="86.38"/>
    <n v="86.38"/>
    <n v="86.38"/>
    <n v="86.38"/>
    <n v="86.38"/>
  </r>
  <r>
    <x v="4"/>
    <s v="Living Area"/>
    <n v="0"/>
    <n v="0"/>
    <n v="0"/>
    <n v="324.93"/>
    <n v="324.93"/>
    <n v="324.93"/>
    <n v="324.93"/>
    <n v="324.93"/>
    <n v="324.93"/>
    <n v="324.93"/>
    <n v="324.93"/>
    <n v="324.93"/>
    <n v="324.93"/>
    <n v="324.93"/>
    <n v="324.93"/>
    <n v="324.93"/>
    <n v="324.93"/>
  </r>
  <r>
    <x v="4"/>
    <s v="Living Area"/>
    <n v="0"/>
    <n v="0"/>
    <n v="0"/>
    <n v="139.11250000000001"/>
    <n v="139.11250000000001"/>
    <n v="139.11250000000001"/>
    <n v="139.11250000000001"/>
    <n v="278.22500000000002"/>
    <n v="278.22500000000002"/>
    <n v="278.22500000000002"/>
    <n v="278.22500000000002"/>
    <n v="556.45000000000005"/>
    <n v="556.45000000000005"/>
    <n v="556.45000000000005"/>
    <n v="556.45000000000005"/>
    <n v="556.45000000000005"/>
    <n v="556.45000000000005"/>
  </r>
  <r>
    <x v="4"/>
    <s v="Living Area"/>
    <n v="0"/>
    <n v="0"/>
    <n v="0"/>
    <n v="0"/>
    <n v="0"/>
    <n v="0"/>
    <n v="0"/>
    <n v="0"/>
    <n v="0"/>
    <n v="0"/>
    <n v="0"/>
    <n v="0"/>
    <n v="0"/>
    <n v="0"/>
    <n v="104.35"/>
    <n v="104.35"/>
    <n v="104.35"/>
  </r>
  <r>
    <x v="4"/>
    <s v="Living Area"/>
    <n v="0"/>
    <n v="0"/>
    <n v="0"/>
    <n v="114.27"/>
    <n v="114.27"/>
    <n v="114.27"/>
    <n v="114.27"/>
    <n v="114.27"/>
    <n v="114.27"/>
    <n v="114.27"/>
    <n v="114.27"/>
    <n v="114.27"/>
    <n v="114.27"/>
    <n v="114.27"/>
    <n v="114.27"/>
    <n v="114.27"/>
    <n v="114.27"/>
  </r>
  <r>
    <x v="4"/>
    <s v="Living Area"/>
    <n v="0"/>
    <n v="0"/>
    <n v="0"/>
    <n v="236.83"/>
    <n v="236.83"/>
    <n v="236.83"/>
    <n v="236.83"/>
    <n v="236.83"/>
    <n v="236.83"/>
    <n v="236.83"/>
    <n v="236.83"/>
    <n v="236.83"/>
    <n v="236.83"/>
    <n v="236.83"/>
    <n v="236.83"/>
    <n v="236.83"/>
    <n v="236.83"/>
  </r>
  <r>
    <x v="4"/>
    <s v="Living Area"/>
    <n v="0"/>
    <n v="0"/>
    <n v="0"/>
    <n v="280.7"/>
    <n v="280.7"/>
    <n v="280.7"/>
    <n v="280.7"/>
    <n v="280.7"/>
    <n v="280.7"/>
    <n v="280.7"/>
    <n v="280.7"/>
    <n v="280.7"/>
    <n v="280.7"/>
    <n v="280.7"/>
    <n v="280.7"/>
    <n v="280.7"/>
    <n v="280.7"/>
  </r>
  <r>
    <x v="4"/>
    <s v="Living Area"/>
    <n v="0"/>
    <n v="0"/>
    <n v="0"/>
    <n v="191.31"/>
    <n v="191.31"/>
    <n v="191.31"/>
    <n v="191.31"/>
    <n v="191.31"/>
    <n v="191.31"/>
    <n v="191.31"/>
    <n v="191.31"/>
    <n v="191.31"/>
    <n v="191.31"/>
    <n v="191.31"/>
    <n v="191.31"/>
    <n v="191.31"/>
    <n v="191.31"/>
  </r>
  <r>
    <x v="4"/>
    <s v="Living Area"/>
    <n v="0"/>
    <n v="0"/>
    <n v="0"/>
    <n v="125.44"/>
    <n v="125.44"/>
    <n v="125.44"/>
    <n v="125.44"/>
    <n v="125.44"/>
    <n v="125.44"/>
    <n v="125.44"/>
    <n v="125.44"/>
    <n v="125.44"/>
    <n v="125.44"/>
    <n v="125.44"/>
    <n v="125.44"/>
    <n v="125.44"/>
    <n v="125.44"/>
  </r>
  <r>
    <x v="4"/>
    <s v="Living Area"/>
    <n v="0"/>
    <n v="0"/>
    <n v="0"/>
    <n v="345.14"/>
    <n v="345.14"/>
    <n v="345.14"/>
    <n v="345.14"/>
    <n v="345.14"/>
    <n v="345.14"/>
    <n v="345.14"/>
    <n v="345.14"/>
    <n v="345.14"/>
    <n v="345.14"/>
    <n v="345.14"/>
    <n v="345.14"/>
    <n v="345.14"/>
    <n v="345.14"/>
  </r>
  <r>
    <x v="4"/>
    <s v="Living Area"/>
    <n v="0"/>
    <n v="0"/>
    <n v="0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  <n v="36.950000000000003"/>
  </r>
  <r>
    <x v="4"/>
    <s v="Living Area"/>
    <n v="0"/>
    <n v="0"/>
    <n v="0"/>
    <n v="291.75"/>
    <n v="291.75"/>
    <n v="291.75"/>
    <n v="291.75"/>
    <n v="291.75"/>
    <n v="291.75"/>
    <n v="291.75"/>
    <n v="291.75"/>
    <n v="291.75"/>
    <n v="291.75"/>
    <n v="291.75"/>
    <n v="291.75"/>
    <n v="291.75"/>
    <n v="291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FA5D74-9AEB-4FF4-B1B0-864C9AB693CB}" name="grp2pivot" cacheId="17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4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FEF4C9-E6DB-4414-8E2D-D244DDC9BAA3}" name="grp3pivot" cacheId="16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S48" firstHeaderRow="1" firstDataRow="2" firstDataCol="1"/>
  <pivotFields count="19">
    <pivotField showAll="0"/>
    <pivotField axis="axisCol" showAll="0">
      <items count="18">
        <item x="0"/>
        <item x="1"/>
        <item x="2"/>
        <item x="5"/>
        <item x="15"/>
        <item x="9"/>
        <item x="16"/>
        <item x="10"/>
        <item x="8"/>
        <item x="11"/>
        <item x="3"/>
        <item x="4"/>
        <item x="6"/>
        <item x="7"/>
        <item x="12"/>
        <item x="13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50DCB-735D-462A-8980-B7F550F0B3D7}">
  <dimension ref="A1:J94"/>
  <sheetViews>
    <sheetView topLeftCell="A68" workbookViewId="0">
      <selection activeCell="C93" sqref="C93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3" customWidth="1"/>
    <col min="5" max="5" width="20.42578125" customWidth="1"/>
    <col min="7" max="7" width="26.42578125" style="134" customWidth="1"/>
    <col min="8" max="8" width="30.5703125" style="134" customWidth="1"/>
    <col min="9" max="9" width="17.42578125" customWidth="1"/>
    <col min="10" max="10" width="15.5703125" style="134" customWidth="1"/>
  </cols>
  <sheetData>
    <row r="1" spans="1:9" x14ac:dyDescent="0.25">
      <c r="C1" t="s">
        <v>167</v>
      </c>
      <c r="D1" s="133" t="s">
        <v>168</v>
      </c>
      <c r="E1" t="s">
        <v>169</v>
      </c>
      <c r="F1" t="s">
        <v>170</v>
      </c>
      <c r="G1" s="134" t="s">
        <v>171</v>
      </c>
      <c r="H1" s="134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5" t="s">
        <v>176</v>
      </c>
      <c r="E2">
        <v>2</v>
      </c>
      <c r="F2" t="s">
        <v>177</v>
      </c>
      <c r="G2" s="134" t="s">
        <v>11</v>
      </c>
      <c r="H2" s="134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6"/>
      <c r="D6" s="135"/>
    </row>
    <row r="7" spans="1:9" x14ac:dyDescent="0.25">
      <c r="B7" t="s">
        <v>181</v>
      </c>
      <c r="C7" s="136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7">
        <v>0.1</v>
      </c>
    </row>
    <row r="10" spans="1:9" x14ac:dyDescent="0.25">
      <c r="B10" t="s">
        <v>185</v>
      </c>
      <c r="C10" s="137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3">
        <v>2000</v>
      </c>
    </row>
    <row r="17" spans="3:5" x14ac:dyDescent="0.25">
      <c r="C17" s="3" t="s">
        <v>188</v>
      </c>
      <c r="D17" s="133" t="s">
        <v>189</v>
      </c>
    </row>
    <row r="18" spans="3:5" x14ac:dyDescent="0.25">
      <c r="C18" s="3" t="s">
        <v>190</v>
      </c>
      <c r="D18" s="138">
        <v>3000</v>
      </c>
    </row>
    <row r="19" spans="3:5" x14ac:dyDescent="0.25">
      <c r="C19" s="3" t="s">
        <v>191</v>
      </c>
      <c r="D19" s="133" t="s">
        <v>192</v>
      </c>
    </row>
    <row r="20" spans="3:5" x14ac:dyDescent="0.25">
      <c r="C20" s="3" t="s">
        <v>193</v>
      </c>
      <c r="D20" s="133" t="s">
        <v>192</v>
      </c>
    </row>
    <row r="21" spans="3:5" x14ac:dyDescent="0.25">
      <c r="C21" s="3" t="s">
        <v>194</v>
      </c>
      <c r="D21" s="133" t="s">
        <v>192</v>
      </c>
    </row>
    <row r="22" spans="3:5" x14ac:dyDescent="0.25">
      <c r="C22" s="3" t="s">
        <v>195</v>
      </c>
      <c r="D22" s="133" t="s">
        <v>192</v>
      </c>
    </row>
    <row r="24" spans="3:5" x14ac:dyDescent="0.25">
      <c r="C24" s="3" t="s">
        <v>196</v>
      </c>
      <c r="D24" s="133" t="s">
        <v>197</v>
      </c>
    </row>
    <row r="25" spans="3:5" x14ac:dyDescent="0.25">
      <c r="C25" s="3" t="s">
        <v>10</v>
      </c>
      <c r="D25" s="133">
        <v>2</v>
      </c>
    </row>
    <row r="26" spans="3:5" x14ac:dyDescent="0.25">
      <c r="C26" s="3" t="s">
        <v>198</v>
      </c>
      <c r="D26" s="133" t="s">
        <v>11</v>
      </c>
      <c r="E26" s="139">
        <v>1</v>
      </c>
    </row>
    <row r="27" spans="3:5" x14ac:dyDescent="0.25">
      <c r="C27" s="3" t="s">
        <v>199</v>
      </c>
      <c r="D27" s="140">
        <v>1</v>
      </c>
    </row>
    <row r="28" spans="3:5" x14ac:dyDescent="0.25">
      <c r="C28" s="3" t="s">
        <v>200</v>
      </c>
      <c r="D28" s="133" t="s">
        <v>155</v>
      </c>
    </row>
    <row r="29" spans="3:5" x14ac:dyDescent="0.25">
      <c r="C29" s="3" t="s">
        <v>201</v>
      </c>
      <c r="D29" s="133" t="s">
        <v>202</v>
      </c>
    </row>
    <row r="30" spans="3:5" x14ac:dyDescent="0.25">
      <c r="C30" s="3" t="s">
        <v>203</v>
      </c>
      <c r="D30" s="133" t="s">
        <v>178</v>
      </c>
    </row>
    <row r="31" spans="3:5" x14ac:dyDescent="0.25">
      <c r="C31" s="3" t="s">
        <v>204</v>
      </c>
      <c r="D31" s="133" t="s">
        <v>205</v>
      </c>
    </row>
    <row r="32" spans="3:5" ht="30" x14ac:dyDescent="0.25">
      <c r="C32" s="3" t="s">
        <v>206</v>
      </c>
      <c r="D32" s="133" t="s">
        <v>207</v>
      </c>
    </row>
    <row r="33" spans="1:4" x14ac:dyDescent="0.25">
      <c r="C33" s="3" t="s">
        <v>208</v>
      </c>
      <c r="D33" s="133" t="s">
        <v>209</v>
      </c>
    </row>
    <row r="34" spans="1:4" x14ac:dyDescent="0.25">
      <c r="C34" s="3" t="s">
        <v>210</v>
      </c>
      <c r="D34" s="133" t="s">
        <v>211</v>
      </c>
    </row>
    <row r="35" spans="1:4" x14ac:dyDescent="0.25">
      <c r="C35" s="3" t="s">
        <v>212</v>
      </c>
      <c r="D35" s="133" t="s">
        <v>213</v>
      </c>
    </row>
    <row r="36" spans="1:4" x14ac:dyDescent="0.25">
      <c r="C36" s="3" t="s">
        <v>214</v>
      </c>
      <c r="D36" s="133" t="s">
        <v>155</v>
      </c>
    </row>
    <row r="37" spans="1:4" ht="45" x14ac:dyDescent="0.25">
      <c r="C37" s="3" t="s">
        <v>215</v>
      </c>
      <c r="D37" s="133" t="s">
        <v>216</v>
      </c>
    </row>
    <row r="38" spans="1:4" x14ac:dyDescent="0.25">
      <c r="C38" s="3" t="s">
        <v>217</v>
      </c>
      <c r="D38" s="133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3" t="s">
        <v>221</v>
      </c>
    </row>
    <row r="42" spans="1:4" x14ac:dyDescent="0.25">
      <c r="C42" s="3" t="s">
        <v>222</v>
      </c>
      <c r="D42" s="133" t="s">
        <v>223</v>
      </c>
    </row>
    <row r="43" spans="1:4" x14ac:dyDescent="0.25">
      <c r="C43" s="3" t="s">
        <v>224</v>
      </c>
      <c r="D43" s="133" t="s">
        <v>155</v>
      </c>
    </row>
    <row r="44" spans="1:4" x14ac:dyDescent="0.25">
      <c r="C44" s="3" t="s">
        <v>225</v>
      </c>
      <c r="D44" s="133" t="s">
        <v>155</v>
      </c>
    </row>
    <row r="45" spans="1:4" ht="30" x14ac:dyDescent="0.25">
      <c r="C45" s="3" t="s">
        <v>226</v>
      </c>
      <c r="D45" s="133" t="s">
        <v>227</v>
      </c>
    </row>
    <row r="46" spans="1:4" x14ac:dyDescent="0.25">
      <c r="C46" s="3" t="s">
        <v>228</v>
      </c>
      <c r="D46" s="133" t="s">
        <v>155</v>
      </c>
    </row>
    <row r="47" spans="1:4" x14ac:dyDescent="0.25">
      <c r="C47" s="3" t="s">
        <v>229</v>
      </c>
      <c r="D47" s="133" t="s">
        <v>155</v>
      </c>
    </row>
    <row r="48" spans="1:4" x14ac:dyDescent="0.25">
      <c r="A48" t="s">
        <v>219</v>
      </c>
    </row>
    <row r="49" spans="1:10" x14ac:dyDescent="0.25">
      <c r="C49" s="3" t="s">
        <v>230</v>
      </c>
      <c r="D49" s="133">
        <v>8</v>
      </c>
    </row>
    <row r="50" spans="1:10" x14ac:dyDescent="0.25">
      <c r="C50" s="3" t="s">
        <v>231</v>
      </c>
      <c r="D50" s="133" t="s">
        <v>232</v>
      </c>
    </row>
    <row r="51" spans="1:10" x14ac:dyDescent="0.25">
      <c r="C51" s="3" t="s">
        <v>233</v>
      </c>
      <c r="D51" s="133" t="s">
        <v>234</v>
      </c>
    </row>
    <row r="52" spans="1:10" x14ac:dyDescent="0.25">
      <c r="C52" s="3" t="s">
        <v>235</v>
      </c>
      <c r="D52" s="133" t="s">
        <v>234</v>
      </c>
    </row>
    <row r="53" spans="1:10" x14ac:dyDescent="0.25">
      <c r="C53" s="3" t="s">
        <v>236</v>
      </c>
      <c r="D53" s="133" t="s">
        <v>237</v>
      </c>
      <c r="E53" s="3" t="s">
        <v>11</v>
      </c>
    </row>
    <row r="54" spans="1:10" x14ac:dyDescent="0.25">
      <c r="C54" s="3" t="s">
        <v>238</v>
      </c>
      <c r="D54" s="133" t="s">
        <v>239</v>
      </c>
    </row>
    <row r="55" spans="1:10" x14ac:dyDescent="0.25">
      <c r="C55" s="3" t="s">
        <v>240</v>
      </c>
      <c r="D55" s="133" t="s">
        <v>155</v>
      </c>
    </row>
    <row r="56" spans="1:10" x14ac:dyDescent="0.25">
      <c r="C56" s="3" t="s">
        <v>241</v>
      </c>
      <c r="D56" s="133" t="s">
        <v>242</v>
      </c>
    </row>
    <row r="57" spans="1:10" x14ac:dyDescent="0.25">
      <c r="C57" s="3" t="s">
        <v>243</v>
      </c>
      <c r="D57" s="133" t="s">
        <v>155</v>
      </c>
    </row>
    <row r="58" spans="1:10" x14ac:dyDescent="0.25">
      <c r="C58" s="3" t="s">
        <v>244</v>
      </c>
      <c r="D58" s="133" t="s">
        <v>155</v>
      </c>
    </row>
    <row r="59" spans="1:10" x14ac:dyDescent="0.25">
      <c r="C59" s="3" t="s">
        <v>245</v>
      </c>
      <c r="D59" s="133" t="s">
        <v>155</v>
      </c>
    </row>
    <row r="60" spans="1:10" x14ac:dyDescent="0.25">
      <c r="C60" s="3" t="s">
        <v>246</v>
      </c>
      <c r="D60" s="133" t="s">
        <v>155</v>
      </c>
    </row>
    <row r="61" spans="1:10" x14ac:dyDescent="0.25">
      <c r="C61" s="3" t="s">
        <v>247</v>
      </c>
      <c r="D61" s="133" t="s">
        <v>155</v>
      </c>
    </row>
    <row r="63" spans="1:10" x14ac:dyDescent="0.25">
      <c r="A63" t="s">
        <v>124</v>
      </c>
      <c r="C63" s="3"/>
    </row>
    <row r="64" spans="1:10" ht="30" x14ac:dyDescent="0.25">
      <c r="B64" s="141" t="s">
        <v>248</v>
      </c>
      <c r="C64" s="141" t="s">
        <v>249</v>
      </c>
      <c r="D64" s="142" t="s">
        <v>168</v>
      </c>
      <c r="E64" s="142" t="s">
        <v>170</v>
      </c>
      <c r="F64" s="141" t="s">
        <v>250</v>
      </c>
      <c r="G64" s="142" t="s">
        <v>251</v>
      </c>
      <c r="H64" s="142" t="s">
        <v>252</v>
      </c>
      <c r="I64" s="141" t="s">
        <v>253</v>
      </c>
      <c r="J64" s="142" t="s">
        <v>254</v>
      </c>
    </row>
    <row r="65" spans="2:10" ht="60" x14ac:dyDescent="0.25">
      <c r="B65" t="s">
        <v>7</v>
      </c>
      <c r="C65" s="3" t="s">
        <v>12</v>
      </c>
      <c r="D65" s="133" t="s">
        <v>7</v>
      </c>
      <c r="E65" t="s">
        <v>177</v>
      </c>
      <c r="F65" t="s">
        <v>155</v>
      </c>
      <c r="G65" s="134" t="s">
        <v>155</v>
      </c>
      <c r="H65" s="134" t="s">
        <v>255</v>
      </c>
      <c r="I65" t="s">
        <v>256</v>
      </c>
      <c r="J65" s="134" t="s">
        <v>257</v>
      </c>
    </row>
    <row r="66" spans="2:10" ht="30" x14ac:dyDescent="0.25">
      <c r="B66" t="s">
        <v>258</v>
      </c>
      <c r="C66" s="3" t="s">
        <v>51</v>
      </c>
      <c r="D66" s="133" t="s">
        <v>13</v>
      </c>
      <c r="E66" t="s">
        <v>259</v>
      </c>
      <c r="F66" t="s">
        <v>155</v>
      </c>
      <c r="G66" s="134" t="s">
        <v>155</v>
      </c>
      <c r="H66" s="134" t="s">
        <v>260</v>
      </c>
      <c r="I66" t="s">
        <v>256</v>
      </c>
      <c r="J66" s="134" t="s">
        <v>155</v>
      </c>
    </row>
    <row r="67" spans="2:10" x14ac:dyDescent="0.25">
      <c r="B67" t="s">
        <v>261</v>
      </c>
      <c r="C67" s="3" t="s">
        <v>12</v>
      </c>
      <c r="D67" s="133" t="s">
        <v>262</v>
      </c>
      <c r="E67" t="s">
        <v>259</v>
      </c>
      <c r="I67" t="s">
        <v>256</v>
      </c>
    </row>
    <row r="68" spans="2:10" ht="30" x14ac:dyDescent="0.25">
      <c r="B68" t="s">
        <v>263</v>
      </c>
      <c r="C68" s="3" t="s">
        <v>51</v>
      </c>
      <c r="D68" s="133" t="s">
        <v>264</v>
      </c>
      <c r="E68" t="s">
        <v>177</v>
      </c>
      <c r="F68" t="s">
        <v>155</v>
      </c>
      <c r="G68" s="134" t="s">
        <v>155</v>
      </c>
      <c r="H68" s="134" t="s">
        <v>260</v>
      </c>
      <c r="I68" t="s">
        <v>256</v>
      </c>
      <c r="J68" s="134" t="s">
        <v>155</v>
      </c>
    </row>
    <row r="69" spans="2:10" x14ac:dyDescent="0.25">
      <c r="B69" t="s">
        <v>263</v>
      </c>
      <c r="C69" s="3" t="s">
        <v>12</v>
      </c>
      <c r="D69" s="133" t="s">
        <v>262</v>
      </c>
      <c r="E69" t="s">
        <v>265</v>
      </c>
      <c r="F69" t="s">
        <v>155</v>
      </c>
      <c r="G69" s="134" t="s">
        <v>155</v>
      </c>
    </row>
    <row r="70" spans="2:10" ht="30" x14ac:dyDescent="0.25">
      <c r="B70" t="s">
        <v>266</v>
      </c>
      <c r="C70" s="3" t="s">
        <v>11</v>
      </c>
      <c r="D70" s="133" t="s">
        <v>13</v>
      </c>
      <c r="E70" t="s">
        <v>259</v>
      </c>
      <c r="F70" t="s">
        <v>155</v>
      </c>
      <c r="G70" s="134" t="s">
        <v>155</v>
      </c>
      <c r="H70" s="134" t="s">
        <v>260</v>
      </c>
      <c r="I70" t="s">
        <v>256</v>
      </c>
      <c r="J70" s="134" t="s">
        <v>155</v>
      </c>
    </row>
    <row r="71" spans="2:10" x14ac:dyDescent="0.25">
      <c r="B71" t="s">
        <v>4</v>
      </c>
      <c r="C71" s="3" t="s">
        <v>51</v>
      </c>
      <c r="D71" s="133" t="s">
        <v>4</v>
      </c>
      <c r="E71" t="s">
        <v>259</v>
      </c>
      <c r="F71" t="s">
        <v>155</v>
      </c>
      <c r="G71" t="s">
        <v>155</v>
      </c>
    </row>
    <row r="72" spans="2:10" x14ac:dyDescent="0.25">
      <c r="B72" t="s">
        <v>267</v>
      </c>
      <c r="C72" s="3" t="s">
        <v>51</v>
      </c>
      <c r="D72" s="133" t="s">
        <v>4</v>
      </c>
      <c r="E72" t="s">
        <v>177</v>
      </c>
      <c r="F72" t="s">
        <v>155</v>
      </c>
      <c r="G72" t="s">
        <v>155</v>
      </c>
    </row>
    <row r="73" spans="2:10" x14ac:dyDescent="0.25">
      <c r="B73" t="s">
        <v>268</v>
      </c>
      <c r="C73" s="3" t="s">
        <v>51</v>
      </c>
      <c r="D73" s="133" t="s">
        <v>4</v>
      </c>
      <c r="E73" t="s">
        <v>177</v>
      </c>
      <c r="F73" t="s">
        <v>155</v>
      </c>
      <c r="G73" t="s">
        <v>155</v>
      </c>
    </row>
    <row r="74" spans="2:10" x14ac:dyDescent="0.25">
      <c r="B74" t="s">
        <v>269</v>
      </c>
      <c r="C74" s="3" t="s">
        <v>51</v>
      </c>
      <c r="D74" s="133" t="s">
        <v>4</v>
      </c>
      <c r="E74" t="s">
        <v>270</v>
      </c>
      <c r="F74" t="s">
        <v>155</v>
      </c>
      <c r="G74" t="s">
        <v>155</v>
      </c>
    </row>
    <row r="75" spans="2:10" x14ac:dyDescent="0.25">
      <c r="B75" t="s">
        <v>271</v>
      </c>
      <c r="C75" s="3" t="s">
        <v>11</v>
      </c>
      <c r="D75" s="133" t="s">
        <v>4</v>
      </c>
      <c r="E75" t="s">
        <v>177</v>
      </c>
      <c r="F75" t="s">
        <v>155</v>
      </c>
      <c r="G75" t="s">
        <v>155</v>
      </c>
    </row>
    <row r="76" spans="2:10" x14ac:dyDescent="0.25">
      <c r="B76" t="s">
        <v>272</v>
      </c>
      <c r="C76" s="3" t="s">
        <v>11</v>
      </c>
      <c r="D76" s="133" t="s">
        <v>4</v>
      </c>
      <c r="E76" t="s">
        <v>177</v>
      </c>
      <c r="F76" t="s">
        <v>155</v>
      </c>
      <c r="G76" t="s">
        <v>155</v>
      </c>
    </row>
    <row r="77" spans="2:10" x14ac:dyDescent="0.25">
      <c r="B77" t="s">
        <v>273</v>
      </c>
      <c r="C77" s="3" t="s">
        <v>11</v>
      </c>
      <c r="D77" s="133" t="s">
        <v>4</v>
      </c>
      <c r="E77" t="s">
        <v>177</v>
      </c>
      <c r="F77" t="s">
        <v>155</v>
      </c>
      <c r="G77" t="s">
        <v>155</v>
      </c>
    </row>
    <row r="78" spans="2:10" x14ac:dyDescent="0.25">
      <c r="B78" t="s">
        <v>274</v>
      </c>
      <c r="C78" s="3" t="s">
        <v>12</v>
      </c>
      <c r="D78" s="133" t="s">
        <v>14</v>
      </c>
      <c r="E78" t="s">
        <v>177</v>
      </c>
      <c r="F78" t="s">
        <v>155</v>
      </c>
      <c r="G78" t="s">
        <v>155</v>
      </c>
    </row>
    <row r="79" spans="2:10" x14ac:dyDescent="0.25">
      <c r="B79" t="s">
        <v>275</v>
      </c>
      <c r="C79" s="3" t="s">
        <v>12</v>
      </c>
      <c r="D79" s="133" t="s">
        <v>14</v>
      </c>
      <c r="E79" t="s">
        <v>177</v>
      </c>
      <c r="F79" t="s">
        <v>155</v>
      </c>
      <c r="G79" t="s">
        <v>155</v>
      </c>
    </row>
    <row r="80" spans="2:10" x14ac:dyDescent="0.25">
      <c r="B80" t="s">
        <v>276</v>
      </c>
      <c r="C80" s="3" t="s">
        <v>11</v>
      </c>
      <c r="D80" s="133" t="s">
        <v>14</v>
      </c>
      <c r="E80" t="s">
        <v>265</v>
      </c>
      <c r="F80" t="s">
        <v>155</v>
      </c>
      <c r="G80" t="s">
        <v>155</v>
      </c>
    </row>
    <row r="81" spans="1:9" x14ac:dyDescent="0.25">
      <c r="B81" t="s">
        <v>277</v>
      </c>
      <c r="C81" s="3" t="s">
        <v>11</v>
      </c>
      <c r="D81" s="133" t="s">
        <v>14</v>
      </c>
      <c r="E81" t="s">
        <v>177</v>
      </c>
      <c r="F81" t="s">
        <v>155</v>
      </c>
      <c r="G81" t="s">
        <v>155</v>
      </c>
    </row>
    <row r="82" spans="1:9" x14ac:dyDescent="0.25">
      <c r="B82" t="s">
        <v>278</v>
      </c>
      <c r="C82" s="3" t="s">
        <v>12</v>
      </c>
      <c r="D82" s="133" t="s">
        <v>279</v>
      </c>
      <c r="E82" t="s">
        <v>177</v>
      </c>
      <c r="F82" t="s">
        <v>155</v>
      </c>
      <c r="G82" t="s">
        <v>155</v>
      </c>
    </row>
    <row r="83" spans="1:9" x14ac:dyDescent="0.25">
      <c r="B83" t="s">
        <v>280</v>
      </c>
      <c r="C83" s="3" t="s">
        <v>12</v>
      </c>
      <c r="D83" t="s">
        <v>281</v>
      </c>
      <c r="E83" t="s">
        <v>259</v>
      </c>
      <c r="F83" t="s">
        <v>155</v>
      </c>
      <c r="G83" t="s">
        <v>155</v>
      </c>
    </row>
    <row r="84" spans="1:9" x14ac:dyDescent="0.25">
      <c r="B84" t="s">
        <v>282</v>
      </c>
      <c r="C84" s="3" t="s">
        <v>51</v>
      </c>
      <c r="D84" t="s">
        <v>283</v>
      </c>
      <c r="E84" t="s">
        <v>259</v>
      </c>
      <c r="F84" t="s">
        <v>155</v>
      </c>
      <c r="G84" t="s">
        <v>155</v>
      </c>
    </row>
    <row r="85" spans="1:9" s="134" customFormat="1" x14ac:dyDescent="0.25">
      <c r="A85"/>
      <c r="B85" t="s">
        <v>6</v>
      </c>
      <c r="C85" s="3" t="s">
        <v>51</v>
      </c>
      <c r="D85" s="133" t="s">
        <v>6</v>
      </c>
      <c r="E85" t="s">
        <v>177</v>
      </c>
      <c r="F85" t="s">
        <v>155</v>
      </c>
      <c r="G85" t="s">
        <v>155</v>
      </c>
      <c r="I85"/>
    </row>
    <row r="86" spans="1:9" s="134" customFormat="1" x14ac:dyDescent="0.25">
      <c r="A86"/>
      <c r="B86" t="s">
        <v>284</v>
      </c>
      <c r="C86" s="3" t="s">
        <v>12</v>
      </c>
      <c r="D86" s="133" t="s">
        <v>6</v>
      </c>
      <c r="E86" t="s">
        <v>177</v>
      </c>
      <c r="F86" t="s">
        <v>155</v>
      </c>
      <c r="G86" t="s">
        <v>155</v>
      </c>
      <c r="I86"/>
    </row>
    <row r="87" spans="1:9" s="134" customFormat="1" x14ac:dyDescent="0.25">
      <c r="A87"/>
      <c r="B87" t="s">
        <v>285</v>
      </c>
      <c r="C87" s="3" t="s">
        <v>11</v>
      </c>
      <c r="D87" s="133" t="s">
        <v>6</v>
      </c>
      <c r="E87" t="s">
        <v>259</v>
      </c>
      <c r="F87" t="s">
        <v>155</v>
      </c>
      <c r="G87" t="s">
        <v>155</v>
      </c>
      <c r="I87"/>
    </row>
    <row r="88" spans="1:9" s="134" customFormat="1" x14ac:dyDescent="0.25">
      <c r="A88"/>
      <c r="B88" t="s">
        <v>5</v>
      </c>
      <c r="C88" s="3" t="s">
        <v>12</v>
      </c>
      <c r="D88" s="133" t="s">
        <v>5</v>
      </c>
      <c r="E88" t="s">
        <v>259</v>
      </c>
      <c r="F88" t="s">
        <v>155</v>
      </c>
      <c r="G88" t="s">
        <v>155</v>
      </c>
      <c r="I88"/>
    </row>
    <row r="89" spans="1:9" s="134" customFormat="1" x14ac:dyDescent="0.25">
      <c r="A89"/>
      <c r="B89" t="s">
        <v>286</v>
      </c>
      <c r="C89" s="3" t="s">
        <v>51</v>
      </c>
      <c r="D89" s="133" t="s">
        <v>15</v>
      </c>
      <c r="E89" t="s">
        <v>287</v>
      </c>
      <c r="F89" t="s">
        <v>155</v>
      </c>
      <c r="G89" t="s">
        <v>155</v>
      </c>
      <c r="I89"/>
    </row>
    <row r="90" spans="1:9" s="134" customFormat="1" x14ac:dyDescent="0.25">
      <c r="A90"/>
      <c r="B90" t="s">
        <v>288</v>
      </c>
      <c r="C90" s="3" t="s">
        <v>11</v>
      </c>
      <c r="D90" s="133" t="s">
        <v>15</v>
      </c>
      <c r="E90" t="s">
        <v>265</v>
      </c>
      <c r="F90" t="s">
        <v>155</v>
      </c>
      <c r="G90" t="s">
        <v>155</v>
      </c>
      <c r="I90"/>
    </row>
    <row r="91" spans="1:9" s="134" customFormat="1" x14ac:dyDescent="0.25">
      <c r="A91"/>
      <c r="B91" t="s">
        <v>289</v>
      </c>
      <c r="C91" s="3" t="s">
        <v>51</v>
      </c>
      <c r="D91" s="133" t="s">
        <v>290</v>
      </c>
      <c r="E91" t="s">
        <v>177</v>
      </c>
      <c r="F91" t="s">
        <v>155</v>
      </c>
      <c r="G91" t="s">
        <v>155</v>
      </c>
      <c r="I91"/>
    </row>
    <row r="92" spans="1:9" s="134" customFormat="1" x14ac:dyDescent="0.25">
      <c r="A92"/>
      <c r="B92" t="s">
        <v>291</v>
      </c>
      <c r="C92" s="3" t="s">
        <v>51</v>
      </c>
      <c r="D92" s="133" t="s">
        <v>290</v>
      </c>
      <c r="E92" t="s">
        <v>177</v>
      </c>
      <c r="F92" t="s">
        <v>155</v>
      </c>
      <c r="G92" t="s">
        <v>155</v>
      </c>
      <c r="I92"/>
    </row>
    <row r="93" spans="1:9" s="134" customFormat="1" x14ac:dyDescent="0.25">
      <c r="A93"/>
      <c r="B93" t="s">
        <v>292</v>
      </c>
      <c r="C93" s="3" t="s">
        <v>11</v>
      </c>
      <c r="D93" s="133" t="s">
        <v>290</v>
      </c>
      <c r="E93" t="s">
        <v>259</v>
      </c>
      <c r="F93" t="s">
        <v>155</v>
      </c>
      <c r="G93" t="s">
        <v>155</v>
      </c>
      <c r="I93"/>
    </row>
    <row r="94" spans="1:9" x14ac:dyDescent="0.25">
      <c r="B94" t="s">
        <v>293</v>
      </c>
      <c r="C94" s="3" t="s">
        <v>12</v>
      </c>
      <c r="D94" s="133" t="s">
        <v>293</v>
      </c>
      <c r="E94" t="s">
        <v>259</v>
      </c>
      <c r="F94" t="s">
        <v>155</v>
      </c>
      <c r="G94" s="134" t="s">
        <v>155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91E1-57C5-4AF3-B72E-8E9B63CB7F51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692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294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647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693</v>
      </c>
    </row>
    <row r="19" spans="1:2" x14ac:dyDescent="0.25">
      <c r="A19" s="33" t="s">
        <v>116</v>
      </c>
      <c r="B19" s="55" t="s">
        <v>694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695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41919.000500000009</v>
      </c>
    </row>
    <row r="28" spans="1:2" x14ac:dyDescent="0.25">
      <c r="A28" s="54">
        <v>-2.6500000000000004</v>
      </c>
      <c r="B28" s="53">
        <v>51412.895500000028</v>
      </c>
    </row>
    <row r="29" spans="1:2" x14ac:dyDescent="0.25">
      <c r="A29" s="54">
        <v>-2.6</v>
      </c>
      <c r="B29" s="53">
        <v>53167.33550000003</v>
      </c>
    </row>
    <row r="30" spans="1:2" x14ac:dyDescent="0.25">
      <c r="A30" s="54">
        <v>-2.5500000000000003</v>
      </c>
      <c r="B30" s="53">
        <v>63274.715500000035</v>
      </c>
    </row>
    <row r="31" spans="1:2" x14ac:dyDescent="0.25">
      <c r="A31" s="54">
        <v>-2.4000000000000004</v>
      </c>
      <c r="B31" s="53">
        <v>67573.790500000017</v>
      </c>
    </row>
    <row r="32" spans="1:2" x14ac:dyDescent="0.25">
      <c r="A32" s="54">
        <v>-2.2400000000000002</v>
      </c>
      <c r="B32" s="53">
        <v>76693.532500000016</v>
      </c>
    </row>
    <row r="33" spans="1:2" x14ac:dyDescent="0.25">
      <c r="A33" s="54">
        <v>-2.0900000000000003</v>
      </c>
      <c r="B33" s="53">
        <v>78921.137500000012</v>
      </c>
    </row>
    <row r="34" spans="1:2" x14ac:dyDescent="0.25">
      <c r="A34" s="54">
        <v>-1.9400000000000002</v>
      </c>
      <c r="B34" s="53">
        <v>81242.272500000021</v>
      </c>
    </row>
    <row r="35" spans="1:2" x14ac:dyDescent="0.25">
      <c r="A35" s="54">
        <v>-1.79</v>
      </c>
      <c r="B35" s="53">
        <v>97771.702500000014</v>
      </c>
    </row>
    <row r="36" spans="1:2" x14ac:dyDescent="0.25">
      <c r="A36" s="54">
        <v>-1.6800000000000002</v>
      </c>
      <c r="B36" s="53">
        <v>102368.84750000002</v>
      </c>
    </row>
    <row r="37" spans="1:2" x14ac:dyDescent="0.25">
      <c r="A37" s="54">
        <v>-1.4800000000000002</v>
      </c>
      <c r="B37" s="53">
        <v>102916.63750000003</v>
      </c>
    </row>
    <row r="38" spans="1:2" x14ac:dyDescent="0.25">
      <c r="A38" s="54">
        <v>-1.1800000000000002</v>
      </c>
      <c r="B38" s="53">
        <v>105100.02250000002</v>
      </c>
    </row>
    <row r="39" spans="1:2" x14ac:dyDescent="0.25">
      <c r="A39" s="54">
        <v>-0.87000000000000011</v>
      </c>
      <c r="B39" s="53">
        <v>121533.98250000001</v>
      </c>
    </row>
    <row r="40" spans="1:2" x14ac:dyDescent="0.25">
      <c r="A40" s="54">
        <v>0</v>
      </c>
      <c r="B40" s="53">
        <v>121533.98250000001</v>
      </c>
    </row>
    <row r="41" spans="1:2" x14ac:dyDescent="0.25">
      <c r="A41" s="54">
        <v>0.03</v>
      </c>
      <c r="B41" s="53">
        <v>170661.728</v>
      </c>
    </row>
    <row r="42" spans="1:2" x14ac:dyDescent="0.25">
      <c r="A42" s="54">
        <v>0.05</v>
      </c>
      <c r="B42" s="53">
        <v>186117.943</v>
      </c>
    </row>
    <row r="43" spans="1:2" x14ac:dyDescent="0.25">
      <c r="A43" s="54">
        <v>0.1</v>
      </c>
      <c r="B43" s="53">
        <v>190592.30300000001</v>
      </c>
    </row>
    <row r="44" spans="1:2" x14ac:dyDescent="0.25">
      <c r="A44" s="54">
        <v>0.15</v>
      </c>
      <c r="B44" s="53">
        <v>193720.05300000001</v>
      </c>
    </row>
    <row r="45" spans="1:2" x14ac:dyDescent="0.25">
      <c r="A45" s="54">
        <v>0.3</v>
      </c>
      <c r="B45" s="53">
        <v>198640.24300000002</v>
      </c>
    </row>
    <row r="46" spans="1:2" x14ac:dyDescent="0.25">
      <c r="A46" s="54">
        <v>0.46</v>
      </c>
      <c r="B46" s="53">
        <v>207961.51699999999</v>
      </c>
    </row>
    <row r="47" spans="1:2" x14ac:dyDescent="0.25">
      <c r="A47" s="54">
        <v>0.61</v>
      </c>
      <c r="B47" s="53">
        <v>209084.78200000001</v>
      </c>
    </row>
    <row r="48" spans="1:2" x14ac:dyDescent="0.25">
      <c r="A48" s="54">
        <v>0.76</v>
      </c>
      <c r="B48" s="53">
        <v>219843.35700000002</v>
      </c>
    </row>
    <row r="49" spans="1:2" x14ac:dyDescent="0.25">
      <c r="A49" s="54">
        <v>0.91</v>
      </c>
      <c r="B49" s="53">
        <v>236418.72700000007</v>
      </c>
    </row>
    <row r="50" spans="1:2" x14ac:dyDescent="0.25">
      <c r="A50" s="54">
        <v>1.02</v>
      </c>
      <c r="B50" s="53">
        <v>245047.67200000008</v>
      </c>
    </row>
    <row r="51" spans="1:2" x14ac:dyDescent="0.25">
      <c r="A51" s="54">
        <v>1.22</v>
      </c>
      <c r="B51" s="53">
        <v>246037.03200000006</v>
      </c>
    </row>
    <row r="52" spans="1:2" x14ac:dyDescent="0.25">
      <c r="A52" s="54">
        <v>1.52</v>
      </c>
      <c r="B52" s="53">
        <v>248914.28500000006</v>
      </c>
    </row>
    <row r="53" spans="1:2" x14ac:dyDescent="0.25">
      <c r="A53" s="54">
        <v>1.83</v>
      </c>
      <c r="B53" s="53">
        <v>248914.28500000006</v>
      </c>
    </row>
    <row r="54" spans="1:2" x14ac:dyDescent="0.25">
      <c r="A54" s="77">
        <v>2.7</v>
      </c>
      <c r="B54" s="72">
        <v>248914.28500000006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87D10-34E1-43DF-82C8-37B049FF1FE6}">
  <dimension ref="A1:B55"/>
  <sheetViews>
    <sheetView workbookViewId="0"/>
  </sheetViews>
  <sheetFormatPr defaultRowHeight="15" x14ac:dyDescent="0.25"/>
  <cols>
    <col min="1" max="1" width="20.140625" bestFit="1" customWidth="1"/>
    <col min="2" max="2" width="31.7109375" bestFit="1" customWidth="1"/>
  </cols>
  <sheetData>
    <row r="1" spans="1:2" x14ac:dyDescent="0.25">
      <c r="A1" s="63" t="s">
        <v>19</v>
      </c>
      <c r="B1" s="64" t="s">
        <v>697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294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647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693</v>
      </c>
    </row>
    <row r="19" spans="1:2" x14ac:dyDescent="0.25">
      <c r="A19" s="33" t="s">
        <v>116</v>
      </c>
      <c r="B19" s="55" t="s">
        <v>694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695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300.80837360831555</v>
      </c>
    </row>
    <row r="28" spans="1:2" x14ac:dyDescent="0.25">
      <c r="A28" s="54">
        <v>-2.6500000000000004</v>
      </c>
      <c r="B28" s="53">
        <v>368.93602646487932</v>
      </c>
    </row>
    <row r="29" spans="1:2" x14ac:dyDescent="0.25">
      <c r="A29" s="54">
        <v>-2.6</v>
      </c>
      <c r="B29" s="53">
        <v>381.52578854647703</v>
      </c>
    </row>
    <row r="30" spans="1:2" x14ac:dyDescent="0.25">
      <c r="A30" s="54">
        <v>-2.5500000000000003</v>
      </c>
      <c r="B30" s="53">
        <v>454.05577501982378</v>
      </c>
    </row>
    <row r="31" spans="1:2" x14ac:dyDescent="0.25">
      <c r="A31" s="54">
        <v>-2.4000000000000004</v>
      </c>
      <c r="B31" s="53">
        <v>484.90569375226505</v>
      </c>
    </row>
    <row r="32" spans="1:2" x14ac:dyDescent="0.25">
      <c r="A32" s="54">
        <v>-2.2400000000000002</v>
      </c>
      <c r="B32" s="53">
        <v>550.34844587006535</v>
      </c>
    </row>
    <row r="33" spans="1:2" x14ac:dyDescent="0.25">
      <c r="A33" s="54">
        <v>-2.0900000000000003</v>
      </c>
      <c r="B33" s="53">
        <v>566.33361319512471</v>
      </c>
    </row>
    <row r="34" spans="1:2" x14ac:dyDescent="0.25">
      <c r="A34" s="54">
        <v>-1.9400000000000002</v>
      </c>
      <c r="B34" s="53">
        <v>582.98994650334237</v>
      </c>
    </row>
    <row r="35" spans="1:2" x14ac:dyDescent="0.25">
      <c r="A35" s="54">
        <v>-1.79</v>
      </c>
      <c r="B35" s="53">
        <v>701.60420007965308</v>
      </c>
    </row>
    <row r="36" spans="1:2" x14ac:dyDescent="0.25">
      <c r="A36" s="54">
        <v>-1.6800000000000002</v>
      </c>
      <c r="B36" s="53">
        <v>734.59305225163178</v>
      </c>
    </row>
    <row r="37" spans="1:2" x14ac:dyDescent="0.25">
      <c r="A37" s="54">
        <v>-1.4800000000000002</v>
      </c>
      <c r="B37" s="53">
        <v>738.52396226888993</v>
      </c>
    </row>
    <row r="38" spans="1:2" x14ac:dyDescent="0.25">
      <c r="A38" s="54">
        <v>-1.1800000000000002</v>
      </c>
      <c r="B38" s="53">
        <v>754.19180937824058</v>
      </c>
    </row>
    <row r="39" spans="1:2" x14ac:dyDescent="0.25">
      <c r="A39" s="54">
        <v>-0.87000000000000011</v>
      </c>
      <c r="B39" s="53">
        <v>872.12097564126032</v>
      </c>
    </row>
    <row r="40" spans="1:2" x14ac:dyDescent="0.25">
      <c r="A40" s="54">
        <v>0</v>
      </c>
      <c r="B40" s="53">
        <v>872.12097564126032</v>
      </c>
    </row>
    <row r="41" spans="1:2" x14ac:dyDescent="0.25">
      <c r="A41" s="54">
        <v>0.03</v>
      </c>
      <c r="B41" s="53">
        <v>1224.6588951199997</v>
      </c>
    </row>
    <row r="42" spans="1:2" x14ac:dyDescent="0.25">
      <c r="A42" s="54">
        <v>0.05</v>
      </c>
      <c r="B42" s="53">
        <v>1335.5718186352074</v>
      </c>
    </row>
    <row r="43" spans="1:2" x14ac:dyDescent="0.25">
      <c r="A43" s="54">
        <v>0.1</v>
      </c>
      <c r="B43" s="53">
        <v>1367.6795726008131</v>
      </c>
    </row>
    <row r="44" spans="1:2" x14ac:dyDescent="0.25">
      <c r="A44" s="54">
        <v>0.15</v>
      </c>
      <c r="B44" s="53">
        <v>1390.1241294683703</v>
      </c>
    </row>
    <row r="45" spans="1:2" x14ac:dyDescent="0.25">
      <c r="A45" s="54">
        <v>0.3</v>
      </c>
      <c r="B45" s="53">
        <v>1425.4311342654885</v>
      </c>
    </row>
    <row r="46" spans="1:2" x14ac:dyDescent="0.25">
      <c r="A46" s="54">
        <v>0.46</v>
      </c>
      <c r="B46" s="53">
        <v>1492.3200686020184</v>
      </c>
    </row>
    <row r="47" spans="1:2" x14ac:dyDescent="0.25">
      <c r="A47" s="54">
        <v>0.61</v>
      </c>
      <c r="B47" s="53">
        <v>1500.3805546286628</v>
      </c>
    </row>
    <row r="48" spans="1:2" x14ac:dyDescent="0.25">
      <c r="A48" s="54">
        <v>0.76</v>
      </c>
      <c r="B48" s="53">
        <v>1577.5834795431795</v>
      </c>
    </row>
    <row r="49" spans="1:2" x14ac:dyDescent="0.25">
      <c r="A49" s="54">
        <v>0.91</v>
      </c>
      <c r="B49" s="53">
        <v>1696.5273959577917</v>
      </c>
    </row>
    <row r="50" spans="1:2" x14ac:dyDescent="0.25">
      <c r="A50" s="54">
        <v>1.02</v>
      </c>
      <c r="B50" s="53">
        <v>1758.4482165986751</v>
      </c>
    </row>
    <row r="51" spans="1:2" x14ac:dyDescent="0.25">
      <c r="A51" s="54">
        <v>1.22</v>
      </c>
      <c r="B51" s="53">
        <v>1765.5478079287002</v>
      </c>
    </row>
    <row r="52" spans="1:2" x14ac:dyDescent="0.25">
      <c r="A52" s="54">
        <v>1.52</v>
      </c>
      <c r="B52" s="53">
        <v>1786.19481251054</v>
      </c>
    </row>
    <row r="53" spans="1:2" x14ac:dyDescent="0.25">
      <c r="A53" s="54">
        <v>1.83</v>
      </c>
      <c r="B53" s="53">
        <v>1786.19481251054</v>
      </c>
    </row>
    <row r="54" spans="1:2" x14ac:dyDescent="0.25">
      <c r="A54" s="77">
        <v>2.7</v>
      </c>
      <c r="B54" s="72">
        <v>1786.19481251054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D2" sqref="D2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298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3" t="s">
        <v>295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3" t="s">
        <v>294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4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4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4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4" t="s">
        <v>296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4" t="s">
        <v>297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3" t="s">
        <v>647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298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646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646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646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689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689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689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696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17C61-9EFC-4944-8D7F-CD4FA47C44F1}">
  <dimension ref="A1:AZ785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8" t="s">
        <v>687</v>
      </c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50"/>
      <c r="AJ1" s="148" t="s">
        <v>688</v>
      </c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50"/>
    </row>
    <row r="2" spans="1:52" x14ac:dyDescent="0.25">
      <c r="A2" s="145" t="s">
        <v>299</v>
      </c>
      <c r="B2" s="146" t="s">
        <v>300</v>
      </c>
      <c r="C2" s="146" t="s">
        <v>301</v>
      </c>
      <c r="D2" s="146" t="s">
        <v>302</v>
      </c>
      <c r="E2" s="146" t="s">
        <v>303</v>
      </c>
      <c r="F2" s="146" t="s">
        <v>304</v>
      </c>
      <c r="G2" s="146" t="s">
        <v>305</v>
      </c>
      <c r="H2" s="146" t="s">
        <v>306</v>
      </c>
      <c r="I2" s="146" t="s">
        <v>307</v>
      </c>
      <c r="J2" s="146" t="s">
        <v>308</v>
      </c>
      <c r="K2" s="146" t="s">
        <v>535</v>
      </c>
      <c r="L2" s="146" t="s">
        <v>157</v>
      </c>
      <c r="M2" s="146" t="s">
        <v>536</v>
      </c>
      <c r="N2" s="146" t="s">
        <v>683</v>
      </c>
      <c r="O2" s="147" t="s">
        <v>684</v>
      </c>
      <c r="P2" s="145">
        <v>-0.9</v>
      </c>
      <c r="Q2" s="146">
        <v>-0.46</v>
      </c>
      <c r="R2" s="146">
        <v>0</v>
      </c>
      <c r="S2" s="146">
        <v>0.03</v>
      </c>
      <c r="T2" s="146">
        <v>0.05</v>
      </c>
      <c r="U2" s="146">
        <v>0.1</v>
      </c>
      <c r="V2" s="146">
        <v>0.15</v>
      </c>
      <c r="W2" s="146">
        <v>0.3</v>
      </c>
      <c r="X2" s="146">
        <v>0.46</v>
      </c>
      <c r="Y2" s="146">
        <v>0.61</v>
      </c>
      <c r="Z2" s="146">
        <v>0.76</v>
      </c>
      <c r="AA2" s="146">
        <v>0.91</v>
      </c>
      <c r="AB2" s="146">
        <v>1.02</v>
      </c>
      <c r="AC2" s="146">
        <v>1.22</v>
      </c>
      <c r="AD2" s="146">
        <v>1.52</v>
      </c>
      <c r="AE2" s="146">
        <v>1.83</v>
      </c>
      <c r="AF2" s="146">
        <v>2.7</v>
      </c>
      <c r="AG2" s="146" t="s">
        <v>685</v>
      </c>
      <c r="AH2" s="146" t="s">
        <v>686</v>
      </c>
      <c r="AI2" s="146" t="s">
        <v>101</v>
      </c>
      <c r="AJ2" s="146">
        <v>-0.9</v>
      </c>
      <c r="AK2" s="146">
        <v>-0.46</v>
      </c>
      <c r="AL2" s="146">
        <v>0</v>
      </c>
      <c r="AM2" s="146">
        <v>0.03</v>
      </c>
      <c r="AN2" s="146">
        <v>0.05</v>
      </c>
      <c r="AO2" s="146">
        <v>0.1</v>
      </c>
      <c r="AP2" s="146">
        <v>0.15</v>
      </c>
      <c r="AQ2" s="146">
        <v>0.3</v>
      </c>
      <c r="AR2" s="146">
        <v>0.46</v>
      </c>
      <c r="AS2" s="146">
        <v>0.61</v>
      </c>
      <c r="AT2" s="146">
        <v>0.76</v>
      </c>
      <c r="AU2" s="146">
        <v>0.91</v>
      </c>
      <c r="AV2" s="146">
        <v>1.02</v>
      </c>
      <c r="AW2" s="146">
        <v>1.22</v>
      </c>
      <c r="AX2" s="146">
        <v>1.52</v>
      </c>
      <c r="AY2" s="146">
        <v>1.83</v>
      </c>
      <c r="AZ2" s="147">
        <v>2.7</v>
      </c>
    </row>
    <row r="3" spans="1:52" x14ac:dyDescent="0.25">
      <c r="A3">
        <v>1</v>
      </c>
      <c r="B3" t="s">
        <v>309</v>
      </c>
      <c r="C3" t="s">
        <v>310</v>
      </c>
      <c r="D3">
        <v>155</v>
      </c>
      <c r="E3">
        <v>387.5</v>
      </c>
      <c r="F3" t="s">
        <v>311</v>
      </c>
      <c r="G3">
        <v>2.5</v>
      </c>
      <c r="H3">
        <v>465</v>
      </c>
      <c r="I3" t="s">
        <v>312</v>
      </c>
      <c r="J3" t="s">
        <v>313</v>
      </c>
      <c r="K3" t="s">
        <v>537</v>
      </c>
      <c r="L3" t="s">
        <v>178</v>
      </c>
      <c r="M3" t="s">
        <v>538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538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465</v>
      </c>
      <c r="AV3">
        <f>$H$3*$AB$3</f>
        <v>465</v>
      </c>
      <c r="AW3">
        <f>$H$3*$AC$3</f>
        <v>465</v>
      </c>
      <c r="AX3">
        <f>$H$3*$AD$3</f>
        <v>465</v>
      </c>
      <c r="AY3">
        <f>$H$3*$AE$3</f>
        <v>465</v>
      </c>
      <c r="AZ3">
        <f>$H$3*$AF$3</f>
        <v>465</v>
      </c>
    </row>
    <row r="4" spans="1:52" x14ac:dyDescent="0.25">
      <c r="A4">
        <v>2</v>
      </c>
      <c r="B4" t="s">
        <v>309</v>
      </c>
      <c r="C4" t="s">
        <v>314</v>
      </c>
      <c r="D4">
        <v>155</v>
      </c>
      <c r="E4">
        <v>633.95000000000005</v>
      </c>
      <c r="F4" t="s">
        <v>311</v>
      </c>
      <c r="G4">
        <v>4.09</v>
      </c>
      <c r="H4">
        <v>760.75</v>
      </c>
      <c r="I4" t="s">
        <v>315</v>
      </c>
      <c r="J4" t="s">
        <v>316</v>
      </c>
      <c r="K4" t="s">
        <v>539</v>
      </c>
      <c r="L4" t="s">
        <v>178</v>
      </c>
      <c r="M4" t="s">
        <v>538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538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760.75</v>
      </c>
      <c r="AV4">
        <f>$H$4*$AB$4</f>
        <v>760.75</v>
      </c>
      <c r="AW4">
        <f>$H$4*$AC$4</f>
        <v>760.75</v>
      </c>
      <c r="AX4">
        <f>$H$4*$AD$4</f>
        <v>760.75</v>
      </c>
      <c r="AY4">
        <f>$H$4*$AE$4</f>
        <v>760.75</v>
      </c>
      <c r="AZ4">
        <f>$H$4*$AF$4</f>
        <v>760.75</v>
      </c>
    </row>
    <row r="5" spans="1:52" x14ac:dyDescent="0.25">
      <c r="A5">
        <v>4</v>
      </c>
      <c r="B5" t="s">
        <v>309</v>
      </c>
      <c r="C5" t="s">
        <v>318</v>
      </c>
      <c r="D5">
        <v>1</v>
      </c>
      <c r="E5">
        <v>60.4</v>
      </c>
      <c r="F5" t="s">
        <v>317</v>
      </c>
      <c r="G5">
        <v>60.4</v>
      </c>
      <c r="H5">
        <v>72.48</v>
      </c>
      <c r="I5" t="s">
        <v>319</v>
      </c>
      <c r="J5" t="s">
        <v>320</v>
      </c>
      <c r="K5" t="s">
        <v>540</v>
      </c>
      <c r="L5" t="s">
        <v>178</v>
      </c>
      <c r="M5" t="s">
        <v>538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538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309</v>
      </c>
      <c r="C6" t="s">
        <v>321</v>
      </c>
      <c r="D6">
        <v>1</v>
      </c>
      <c r="E6">
        <v>115.87</v>
      </c>
      <c r="F6" t="s">
        <v>317</v>
      </c>
      <c r="G6">
        <v>115.87</v>
      </c>
      <c r="H6">
        <v>139.05000000000001</v>
      </c>
      <c r="I6" t="s">
        <v>322</v>
      </c>
      <c r="J6" t="s">
        <v>323</v>
      </c>
      <c r="K6" t="s">
        <v>541</v>
      </c>
      <c r="L6" t="s">
        <v>178</v>
      </c>
      <c r="M6" t="s">
        <v>538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538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309</v>
      </c>
      <c r="C7" t="s">
        <v>324</v>
      </c>
      <c r="D7">
        <v>1</v>
      </c>
      <c r="E7">
        <v>75.02</v>
      </c>
      <c r="F7" t="s">
        <v>317</v>
      </c>
      <c r="G7">
        <v>75.02</v>
      </c>
      <c r="H7">
        <v>90.02</v>
      </c>
      <c r="I7" t="s">
        <v>325</v>
      </c>
      <c r="J7" t="s">
        <v>326</v>
      </c>
      <c r="K7" t="s">
        <v>542</v>
      </c>
      <c r="L7" t="s">
        <v>178</v>
      </c>
      <c r="M7" t="s">
        <v>538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538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309</v>
      </c>
      <c r="C8" t="s">
        <v>327</v>
      </c>
      <c r="D8">
        <v>30</v>
      </c>
      <c r="E8">
        <v>863.7</v>
      </c>
      <c r="F8" t="s">
        <v>311</v>
      </c>
      <c r="G8">
        <v>28.79</v>
      </c>
      <c r="H8">
        <v>1036.44</v>
      </c>
      <c r="I8" t="s">
        <v>312</v>
      </c>
      <c r="J8" t="s">
        <v>328</v>
      </c>
      <c r="K8" t="s">
        <v>543</v>
      </c>
      <c r="L8" t="s">
        <v>178</v>
      </c>
      <c r="M8" t="s">
        <v>538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538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259.11</v>
      </c>
      <c r="AS8">
        <f>$H$8*$Y$8</f>
        <v>259.11</v>
      </c>
      <c r="AT8">
        <f>$H$8*$Z$8</f>
        <v>518.22</v>
      </c>
      <c r="AU8">
        <f>$H$8*$AA$8</f>
        <v>518.22</v>
      </c>
      <c r="AV8">
        <f>$H$8*$AB$8</f>
        <v>1036.44</v>
      </c>
      <c r="AW8">
        <f>$H$8*$AC$8</f>
        <v>1036.44</v>
      </c>
      <c r="AX8">
        <f>$H$8*$AD$8</f>
        <v>1036.44</v>
      </c>
      <c r="AY8">
        <f>$H$8*$AE$8</f>
        <v>1036.44</v>
      </c>
      <c r="AZ8">
        <f>$H$8*$AF$8</f>
        <v>1036.44</v>
      </c>
    </row>
    <row r="9" spans="1:52" x14ac:dyDescent="0.25">
      <c r="A9">
        <v>8</v>
      </c>
      <c r="B9" t="s">
        <v>309</v>
      </c>
      <c r="C9" t="s">
        <v>329</v>
      </c>
      <c r="D9">
        <v>30</v>
      </c>
      <c r="E9">
        <v>4581</v>
      </c>
      <c r="F9" t="s">
        <v>311</v>
      </c>
      <c r="G9">
        <v>152.69999999999999</v>
      </c>
      <c r="H9">
        <v>5497.2</v>
      </c>
      <c r="I9" t="s">
        <v>315</v>
      </c>
      <c r="J9" t="s">
        <v>330</v>
      </c>
      <c r="K9" t="s">
        <v>544</v>
      </c>
      <c r="L9" t="s">
        <v>178</v>
      </c>
      <c r="M9" t="s">
        <v>538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538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1374.3</v>
      </c>
      <c r="AS9">
        <f>$H$9*$Y$9</f>
        <v>1374.3</v>
      </c>
      <c r="AT9">
        <f>$H$9*$Z$9</f>
        <v>2748.6</v>
      </c>
      <c r="AU9">
        <f>$H$9*$AA$9</f>
        <v>2748.6</v>
      </c>
      <c r="AV9">
        <f>$H$9*$AB$9</f>
        <v>5497.2</v>
      </c>
      <c r="AW9">
        <f>$H$9*$AC$9</f>
        <v>5497.2</v>
      </c>
      <c r="AX9">
        <f>$H$9*$AD$9</f>
        <v>5497.2</v>
      </c>
      <c r="AY9">
        <f>$H$9*$AE$9</f>
        <v>5497.2</v>
      </c>
      <c r="AZ9">
        <f>$H$9*$AF$9</f>
        <v>5497.2</v>
      </c>
    </row>
    <row r="10" spans="1:52" x14ac:dyDescent="0.25">
      <c r="A10">
        <v>9</v>
      </c>
      <c r="B10" t="s">
        <v>309</v>
      </c>
      <c r="C10" t="s">
        <v>331</v>
      </c>
      <c r="D10">
        <v>15</v>
      </c>
      <c r="E10">
        <v>31.8</v>
      </c>
      <c r="F10" t="s">
        <v>311</v>
      </c>
      <c r="G10">
        <v>2.12</v>
      </c>
      <c r="H10">
        <v>38.159999999999997</v>
      </c>
      <c r="I10" t="s">
        <v>312</v>
      </c>
      <c r="J10" t="s">
        <v>332</v>
      </c>
      <c r="K10" t="s">
        <v>545</v>
      </c>
      <c r="L10" t="s">
        <v>178</v>
      </c>
      <c r="M10" t="s">
        <v>538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538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38.159999999999997</v>
      </c>
      <c r="AV10">
        <f>$H$10*$AB$10</f>
        <v>38.159999999999997</v>
      </c>
      <c r="AW10">
        <f>$H$10*$AC$10</f>
        <v>38.159999999999997</v>
      </c>
      <c r="AX10">
        <f>$H$10*$AD$10</f>
        <v>38.159999999999997</v>
      </c>
      <c r="AY10">
        <f>$H$10*$AE$10</f>
        <v>38.159999999999997</v>
      </c>
      <c r="AZ10">
        <f>$H$10*$AF$10</f>
        <v>38.159999999999997</v>
      </c>
    </row>
    <row r="11" spans="1:52" x14ac:dyDescent="0.25">
      <c r="A11">
        <v>10</v>
      </c>
      <c r="B11" t="s">
        <v>309</v>
      </c>
      <c r="C11" t="s">
        <v>333</v>
      </c>
      <c r="D11">
        <v>15</v>
      </c>
      <c r="E11">
        <v>276.3</v>
      </c>
      <c r="F11" t="s">
        <v>311</v>
      </c>
      <c r="G11">
        <v>18.420000000000002</v>
      </c>
      <c r="H11">
        <v>331.56</v>
      </c>
      <c r="I11" t="s">
        <v>315</v>
      </c>
      <c r="J11" t="s">
        <v>334</v>
      </c>
      <c r="K11" t="s">
        <v>546</v>
      </c>
      <c r="L11" t="s">
        <v>178</v>
      </c>
      <c r="M11" t="s">
        <v>538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1</v>
      </c>
      <c r="AF11">
        <v>1</v>
      </c>
      <c r="AG11" t="s">
        <v>538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0</v>
      </c>
      <c r="AV11">
        <f>$H$11*$AB$11</f>
        <v>0</v>
      </c>
      <c r="AW11">
        <f>$H$11*$AC$11</f>
        <v>331.56</v>
      </c>
      <c r="AX11">
        <f>$H$11*$AD$11</f>
        <v>331.56</v>
      </c>
      <c r="AY11">
        <f>$H$11*$AE$11</f>
        <v>331.56</v>
      </c>
      <c r="AZ11">
        <f>$H$11*$AF$11</f>
        <v>331.56</v>
      </c>
    </row>
    <row r="12" spans="1:52" x14ac:dyDescent="0.25">
      <c r="A12">
        <v>22</v>
      </c>
      <c r="B12" t="s">
        <v>309</v>
      </c>
      <c r="C12" t="s">
        <v>337</v>
      </c>
      <c r="D12">
        <v>1</v>
      </c>
      <c r="E12">
        <v>655.73</v>
      </c>
      <c r="F12" t="s">
        <v>317</v>
      </c>
      <c r="G12">
        <v>655.73</v>
      </c>
      <c r="H12">
        <v>786.87</v>
      </c>
      <c r="I12" t="s">
        <v>336</v>
      </c>
      <c r="J12" t="s">
        <v>338</v>
      </c>
      <c r="K12" t="s">
        <v>547</v>
      </c>
      <c r="L12" t="s">
        <v>178</v>
      </c>
      <c r="M12" t="s">
        <v>538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538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786.87</v>
      </c>
      <c r="AT12">
        <f>$H$12*$Z$12</f>
        <v>786.87</v>
      </c>
      <c r="AU12">
        <f>$H$12*$AA$12</f>
        <v>786.87</v>
      </c>
      <c r="AV12">
        <f>$H$12*$AB$12</f>
        <v>786.87</v>
      </c>
      <c r="AW12">
        <f>$H$12*$AC$12</f>
        <v>786.87</v>
      </c>
      <c r="AX12">
        <f>$H$12*$AD$12</f>
        <v>786.87</v>
      </c>
      <c r="AY12">
        <f>$H$12*$AE$12</f>
        <v>786.87</v>
      </c>
      <c r="AZ12">
        <f>$H$12*$AF$12</f>
        <v>786.87</v>
      </c>
    </row>
    <row r="13" spans="1:52" x14ac:dyDescent="0.25">
      <c r="A13">
        <v>23</v>
      </c>
      <c r="B13" t="s">
        <v>309</v>
      </c>
      <c r="C13" t="s">
        <v>339</v>
      </c>
      <c r="D13">
        <v>1</v>
      </c>
      <c r="E13">
        <v>1462.04</v>
      </c>
      <c r="F13" t="s">
        <v>317</v>
      </c>
      <c r="G13">
        <v>1462.04</v>
      </c>
      <c r="H13">
        <v>1754.44</v>
      </c>
      <c r="I13" t="s">
        <v>336</v>
      </c>
      <c r="J13" t="s">
        <v>340</v>
      </c>
      <c r="K13" t="s">
        <v>548</v>
      </c>
      <c r="L13" t="s">
        <v>178</v>
      </c>
      <c r="M13" t="s">
        <v>549</v>
      </c>
      <c r="N13" t="s">
        <v>26</v>
      </c>
      <c r="O13" t="s">
        <v>67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549</v>
      </c>
      <c r="AH13" t="s">
        <v>26</v>
      </c>
      <c r="AI13" t="s">
        <v>67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1754.44</v>
      </c>
      <c r="AP13">
        <f>$H$13*$V$13</f>
        <v>1754.44</v>
      </c>
      <c r="AQ13">
        <f>$H$13*$W$13</f>
        <v>1754.44</v>
      </c>
      <c r="AR13">
        <f>$H$13*$X$13</f>
        <v>1754.44</v>
      </c>
      <c r="AS13">
        <f>$H$13*$Y$13</f>
        <v>1754.44</v>
      </c>
      <c r="AT13">
        <f>$H$13*$Z$13</f>
        <v>1754.44</v>
      </c>
      <c r="AU13">
        <f>$H$13*$AA$13</f>
        <v>1754.44</v>
      </c>
      <c r="AV13">
        <f>$H$13*$AB$13</f>
        <v>1754.44</v>
      </c>
      <c r="AW13">
        <f>$H$13*$AC$13</f>
        <v>1754.44</v>
      </c>
      <c r="AX13">
        <f>$H$13*$AD$13</f>
        <v>1754.44</v>
      </c>
      <c r="AY13">
        <f>$H$13*$AE$13</f>
        <v>1754.44</v>
      </c>
      <c r="AZ13">
        <f>$H$13*$AF$13</f>
        <v>1754.44</v>
      </c>
    </row>
    <row r="14" spans="1:52" x14ac:dyDescent="0.25">
      <c r="A14">
        <v>32</v>
      </c>
      <c r="B14" t="s">
        <v>309</v>
      </c>
      <c r="C14" t="s">
        <v>341</v>
      </c>
      <c r="D14">
        <v>40</v>
      </c>
      <c r="E14">
        <v>177.6</v>
      </c>
      <c r="F14" t="s">
        <v>311</v>
      </c>
      <c r="G14">
        <v>4.4400000000000004</v>
      </c>
      <c r="H14">
        <v>213.12</v>
      </c>
      <c r="I14" t="s">
        <v>312</v>
      </c>
      <c r="J14" t="s">
        <v>342</v>
      </c>
      <c r="K14" t="s">
        <v>550</v>
      </c>
      <c r="L14" t="s">
        <v>178</v>
      </c>
      <c r="M14" t="s">
        <v>538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538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213.12</v>
      </c>
      <c r="AV14">
        <f>$H$14*$AB$14</f>
        <v>213.12</v>
      </c>
      <c r="AW14">
        <f>$H$14*$AC$14</f>
        <v>213.12</v>
      </c>
      <c r="AX14">
        <f>$H$14*$AD$14</f>
        <v>213.12</v>
      </c>
      <c r="AY14">
        <f>$H$14*$AE$14</f>
        <v>213.12</v>
      </c>
      <c r="AZ14">
        <f>$H$14*$AF$14</f>
        <v>213.12</v>
      </c>
    </row>
    <row r="15" spans="1:52" x14ac:dyDescent="0.25">
      <c r="A15">
        <v>33</v>
      </c>
      <c r="B15" t="s">
        <v>309</v>
      </c>
      <c r="C15" t="s">
        <v>343</v>
      </c>
      <c r="D15">
        <v>40</v>
      </c>
      <c r="E15">
        <v>462</v>
      </c>
      <c r="F15" t="s">
        <v>311</v>
      </c>
      <c r="G15">
        <v>11.55</v>
      </c>
      <c r="H15">
        <v>554.4</v>
      </c>
      <c r="I15" t="s">
        <v>315</v>
      </c>
      <c r="J15" t="s">
        <v>344</v>
      </c>
      <c r="K15" t="s">
        <v>551</v>
      </c>
      <c r="L15" t="s">
        <v>178</v>
      </c>
      <c r="M15" t="s">
        <v>538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538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554.4</v>
      </c>
      <c r="AV15">
        <f>$H$15*$AB$15</f>
        <v>554.4</v>
      </c>
      <c r="AW15">
        <f>$H$15*$AC$15</f>
        <v>554.4</v>
      </c>
      <c r="AX15">
        <f>$H$15*$AD$15</f>
        <v>554.4</v>
      </c>
      <c r="AY15">
        <f>$H$15*$AE$15</f>
        <v>554.4</v>
      </c>
      <c r="AZ15">
        <f>$H$15*$AF$15</f>
        <v>554.4</v>
      </c>
    </row>
    <row r="16" spans="1:52" x14ac:dyDescent="0.25">
      <c r="A16">
        <v>34</v>
      </c>
      <c r="B16" t="s">
        <v>309</v>
      </c>
      <c r="C16" t="s">
        <v>345</v>
      </c>
      <c r="D16">
        <v>208</v>
      </c>
      <c r="E16">
        <v>203.84</v>
      </c>
      <c r="F16" t="s">
        <v>335</v>
      </c>
      <c r="G16">
        <v>0.98</v>
      </c>
      <c r="H16">
        <v>244.6</v>
      </c>
      <c r="I16" t="s">
        <v>312</v>
      </c>
      <c r="J16" t="s">
        <v>346</v>
      </c>
      <c r="K16" t="s">
        <v>552</v>
      </c>
      <c r="L16" t="s">
        <v>178</v>
      </c>
      <c r="M16" t="s">
        <v>538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538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244.6</v>
      </c>
      <c r="AO16">
        <f>$H$16*$U$16</f>
        <v>244.6</v>
      </c>
      <c r="AP16">
        <f>$H$16*$V$16</f>
        <v>244.6</v>
      </c>
      <c r="AQ16">
        <f>$H$16*$W$16</f>
        <v>244.6</v>
      </c>
      <c r="AR16">
        <f>$H$16*$X$16</f>
        <v>244.6</v>
      </c>
      <c r="AS16">
        <f>$H$16*$Y$16</f>
        <v>244.6</v>
      </c>
      <c r="AT16">
        <f>$H$16*$Z$16</f>
        <v>244.6</v>
      </c>
      <c r="AU16">
        <f>$H$16*$AA$16</f>
        <v>244.6</v>
      </c>
      <c r="AV16">
        <f>$H$16*$AB$16</f>
        <v>244.6</v>
      </c>
      <c r="AW16">
        <f>$H$16*$AC$16</f>
        <v>244.6</v>
      </c>
      <c r="AX16">
        <f>$H$16*$AD$16</f>
        <v>244.6</v>
      </c>
      <c r="AY16">
        <f>$H$16*$AE$16</f>
        <v>244.6</v>
      </c>
      <c r="AZ16">
        <f>$H$16*$AF$16</f>
        <v>244.6</v>
      </c>
    </row>
    <row r="17" spans="1:52" x14ac:dyDescent="0.25">
      <c r="A17">
        <v>35</v>
      </c>
      <c r="B17" t="s">
        <v>309</v>
      </c>
      <c r="C17" t="s">
        <v>347</v>
      </c>
      <c r="D17">
        <v>208</v>
      </c>
      <c r="E17">
        <v>555.36</v>
      </c>
      <c r="F17" t="s">
        <v>335</v>
      </c>
      <c r="G17">
        <v>2.67</v>
      </c>
      <c r="H17">
        <v>666.44</v>
      </c>
      <c r="I17" t="s">
        <v>348</v>
      </c>
      <c r="J17" t="s">
        <v>349</v>
      </c>
      <c r="K17" t="s">
        <v>553</v>
      </c>
      <c r="L17" t="s">
        <v>178</v>
      </c>
      <c r="M17" t="s">
        <v>538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0.25</v>
      </c>
      <c r="T17">
        <v>0.25</v>
      </c>
      <c r="U17">
        <v>0.25</v>
      </c>
      <c r="V17">
        <v>0.25</v>
      </c>
      <c r="W17">
        <v>0.25</v>
      </c>
      <c r="X17">
        <v>0.5</v>
      </c>
      <c r="Y17">
        <v>0.5</v>
      </c>
      <c r="Z17">
        <v>0.5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538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166.61</v>
      </c>
      <c r="AN17">
        <f>$H$17*$T$17</f>
        <v>166.61</v>
      </c>
      <c r="AO17">
        <f>$H$17*$U$17</f>
        <v>166.61</v>
      </c>
      <c r="AP17">
        <f>$H$17*$V$17</f>
        <v>166.61</v>
      </c>
      <c r="AQ17">
        <f>$H$17*$W$17</f>
        <v>166.61</v>
      </c>
      <c r="AR17">
        <f>$H$17*$X$17</f>
        <v>333.22</v>
      </c>
      <c r="AS17">
        <f>$H$17*$Y$17</f>
        <v>333.22</v>
      </c>
      <c r="AT17">
        <f>$H$17*$Z$17</f>
        <v>333.22</v>
      </c>
      <c r="AU17">
        <f>$H$17*$AA$17</f>
        <v>666.44</v>
      </c>
      <c r="AV17">
        <f>$H$17*$AB$17</f>
        <v>666.44</v>
      </c>
      <c r="AW17">
        <f>$H$17*$AC$17</f>
        <v>666.44</v>
      </c>
      <c r="AX17">
        <f>$H$17*$AD$17</f>
        <v>666.44</v>
      </c>
      <c r="AY17">
        <f>$H$17*$AE$17</f>
        <v>666.44</v>
      </c>
      <c r="AZ17">
        <f>$H$17*$AF$17</f>
        <v>666.44</v>
      </c>
    </row>
    <row r="18" spans="1:52" x14ac:dyDescent="0.25">
      <c r="A18">
        <v>36</v>
      </c>
      <c r="B18" t="s">
        <v>309</v>
      </c>
      <c r="C18" t="s">
        <v>350</v>
      </c>
      <c r="D18">
        <v>2</v>
      </c>
      <c r="E18">
        <v>95.92</v>
      </c>
      <c r="F18" t="s">
        <v>317</v>
      </c>
      <c r="G18">
        <v>47.96</v>
      </c>
      <c r="H18">
        <v>115.1</v>
      </c>
      <c r="I18" t="s">
        <v>351</v>
      </c>
      <c r="J18" t="s">
        <v>352</v>
      </c>
      <c r="K18" t="s">
        <v>554</v>
      </c>
      <c r="L18" t="s">
        <v>178</v>
      </c>
      <c r="M18" t="s">
        <v>538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538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0</v>
      </c>
      <c r="AO18">
        <f>$H$18*$U$18</f>
        <v>0</v>
      </c>
      <c r="AP18">
        <f>$H$18*$V$18</f>
        <v>0</v>
      </c>
      <c r="AQ18">
        <f>$H$18*$W$18</f>
        <v>0</v>
      </c>
      <c r="AR18">
        <f>$H$18*$X$18</f>
        <v>0</v>
      </c>
      <c r="AS18">
        <f>$H$18*$Y$18</f>
        <v>0</v>
      </c>
      <c r="AT18">
        <f>$H$18*$Z$18</f>
        <v>0</v>
      </c>
      <c r="AU18">
        <f>$H$18*$AA$18</f>
        <v>115.1</v>
      </c>
      <c r="AV18">
        <f>$H$18*$AB$18</f>
        <v>115.1</v>
      </c>
      <c r="AW18">
        <f>$H$18*$AC$18</f>
        <v>115.1</v>
      </c>
      <c r="AX18">
        <f>$H$18*$AD$18</f>
        <v>115.1</v>
      </c>
      <c r="AY18">
        <f>$H$18*$AE$18</f>
        <v>115.1</v>
      </c>
      <c r="AZ18">
        <f>$H$18*$AF$18</f>
        <v>115.1</v>
      </c>
    </row>
    <row r="19" spans="1:52" x14ac:dyDescent="0.25">
      <c r="A19">
        <v>37</v>
      </c>
      <c r="B19" t="s">
        <v>309</v>
      </c>
      <c r="C19" t="s">
        <v>353</v>
      </c>
      <c r="D19">
        <v>2</v>
      </c>
      <c r="E19">
        <v>730.18</v>
      </c>
      <c r="F19" t="s">
        <v>317</v>
      </c>
      <c r="G19">
        <v>365.09</v>
      </c>
      <c r="H19">
        <v>876.22</v>
      </c>
      <c r="I19" t="s">
        <v>354</v>
      </c>
      <c r="J19" t="s">
        <v>355</v>
      </c>
      <c r="K19" t="s">
        <v>555</v>
      </c>
      <c r="L19" t="s">
        <v>178</v>
      </c>
      <c r="M19" t="s">
        <v>538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538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876.22</v>
      </c>
      <c r="AO19">
        <f>$H$19*$U$19</f>
        <v>876.22</v>
      </c>
      <c r="AP19">
        <f>$H$19*$V$19</f>
        <v>876.22</v>
      </c>
      <c r="AQ19">
        <f>$H$19*$W$19</f>
        <v>876.22</v>
      </c>
      <c r="AR19">
        <f>$H$19*$X$19</f>
        <v>876.22</v>
      </c>
      <c r="AS19">
        <f>$H$19*$Y$19</f>
        <v>876.22</v>
      </c>
      <c r="AT19">
        <f>$H$19*$Z$19</f>
        <v>876.22</v>
      </c>
      <c r="AU19">
        <f>$H$19*$AA$19</f>
        <v>876.22</v>
      </c>
      <c r="AV19">
        <f>$H$19*$AB$19</f>
        <v>876.22</v>
      </c>
      <c r="AW19">
        <f>$H$19*$AC$19</f>
        <v>876.22</v>
      </c>
      <c r="AX19">
        <f>$H$19*$AD$19</f>
        <v>876.22</v>
      </c>
      <c r="AY19">
        <f>$H$19*$AE$19</f>
        <v>876.22</v>
      </c>
      <c r="AZ19">
        <f>$H$19*$AF$19</f>
        <v>876.22</v>
      </c>
    </row>
    <row r="20" spans="1:52" x14ac:dyDescent="0.25">
      <c r="A20">
        <v>38</v>
      </c>
      <c r="B20" t="s">
        <v>309</v>
      </c>
      <c r="C20" t="s">
        <v>356</v>
      </c>
      <c r="D20">
        <v>4</v>
      </c>
      <c r="E20">
        <v>125.44</v>
      </c>
      <c r="F20" t="s">
        <v>317</v>
      </c>
      <c r="G20">
        <v>31.36</v>
      </c>
      <c r="H20">
        <v>150.52000000000001</v>
      </c>
      <c r="I20" t="s">
        <v>312</v>
      </c>
      <c r="J20" t="s">
        <v>357</v>
      </c>
      <c r="K20" t="s">
        <v>556</v>
      </c>
      <c r="L20" t="s">
        <v>178</v>
      </c>
      <c r="M20" t="s">
        <v>538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538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150.52000000000001</v>
      </c>
      <c r="AN20">
        <f>$H$20*$T$20</f>
        <v>150.52000000000001</v>
      </c>
      <c r="AO20">
        <f>$H$20*$U$20</f>
        <v>150.52000000000001</v>
      </c>
      <c r="AP20">
        <f>$H$20*$V$20</f>
        <v>150.52000000000001</v>
      </c>
      <c r="AQ20">
        <f>$H$20*$W$20</f>
        <v>150.52000000000001</v>
      </c>
      <c r="AR20">
        <f>$H$20*$X$20</f>
        <v>150.52000000000001</v>
      </c>
      <c r="AS20">
        <f>$H$20*$Y$20</f>
        <v>150.52000000000001</v>
      </c>
      <c r="AT20">
        <f>$H$20*$Z$20</f>
        <v>150.52000000000001</v>
      </c>
      <c r="AU20">
        <f>$H$20*$AA$20</f>
        <v>150.52000000000001</v>
      </c>
      <c r="AV20">
        <f>$H$20*$AB$20</f>
        <v>150.52000000000001</v>
      </c>
      <c r="AW20">
        <f>$H$20*$AC$20</f>
        <v>150.52000000000001</v>
      </c>
      <c r="AX20">
        <f>$H$20*$AD$20</f>
        <v>150.52000000000001</v>
      </c>
      <c r="AY20">
        <f>$H$20*$AE$20</f>
        <v>150.52000000000001</v>
      </c>
      <c r="AZ20">
        <f>$H$20*$AF$20</f>
        <v>150.52000000000001</v>
      </c>
    </row>
    <row r="21" spans="1:52" x14ac:dyDescent="0.25">
      <c r="A21">
        <v>39</v>
      </c>
      <c r="B21" t="s">
        <v>309</v>
      </c>
      <c r="C21" t="s">
        <v>358</v>
      </c>
      <c r="D21">
        <v>4</v>
      </c>
      <c r="E21">
        <v>155.72</v>
      </c>
      <c r="F21" t="s">
        <v>317</v>
      </c>
      <c r="G21">
        <v>38.93</v>
      </c>
      <c r="H21">
        <v>186.86</v>
      </c>
      <c r="I21" t="s">
        <v>312</v>
      </c>
      <c r="J21" t="s">
        <v>354</v>
      </c>
      <c r="K21" t="s">
        <v>557</v>
      </c>
      <c r="L21" t="s">
        <v>178</v>
      </c>
      <c r="M21" t="s">
        <v>538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538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186.86</v>
      </c>
      <c r="AN21">
        <f>$H$21*$T$21</f>
        <v>186.86</v>
      </c>
      <c r="AO21">
        <f>$H$21*$U$21</f>
        <v>186.86</v>
      </c>
      <c r="AP21">
        <f>$H$21*$V$21</f>
        <v>186.86</v>
      </c>
      <c r="AQ21">
        <f>$H$21*$W$21</f>
        <v>186.86</v>
      </c>
      <c r="AR21">
        <f>$H$21*$X$21</f>
        <v>186.86</v>
      </c>
      <c r="AS21">
        <f>$H$21*$Y$21</f>
        <v>186.86</v>
      </c>
      <c r="AT21">
        <f>$H$21*$Z$21</f>
        <v>186.86</v>
      </c>
      <c r="AU21">
        <f>$H$21*$AA$21</f>
        <v>186.86</v>
      </c>
      <c r="AV21">
        <f>$H$21*$AB$21</f>
        <v>186.86</v>
      </c>
      <c r="AW21">
        <f>$H$21*$AC$21</f>
        <v>186.86</v>
      </c>
      <c r="AX21">
        <f>$H$21*$AD$21</f>
        <v>186.86</v>
      </c>
      <c r="AY21">
        <f>$H$21*$AE$21</f>
        <v>186.86</v>
      </c>
      <c r="AZ21">
        <f>$H$21*$AF$21</f>
        <v>186.86</v>
      </c>
    </row>
    <row r="22" spans="1:52" x14ac:dyDescent="0.25">
      <c r="A22">
        <v>42</v>
      </c>
      <c r="B22" t="s">
        <v>309</v>
      </c>
      <c r="C22" t="s">
        <v>359</v>
      </c>
      <c r="D22">
        <v>15</v>
      </c>
      <c r="E22">
        <v>457.8</v>
      </c>
      <c r="F22" t="s">
        <v>317</v>
      </c>
      <c r="G22">
        <v>30.52</v>
      </c>
      <c r="H22">
        <v>549.36</v>
      </c>
      <c r="I22" t="s">
        <v>360</v>
      </c>
      <c r="J22" t="s">
        <v>361</v>
      </c>
      <c r="K22" t="s">
        <v>558</v>
      </c>
      <c r="L22" t="s">
        <v>178</v>
      </c>
      <c r="M22" t="s">
        <v>538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538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549.36</v>
      </c>
      <c r="AN22">
        <f>$H$22*$T$22</f>
        <v>549.36</v>
      </c>
      <c r="AO22">
        <f>$H$22*$U$22</f>
        <v>549.36</v>
      </c>
      <c r="AP22">
        <f>$H$22*$V$22</f>
        <v>549.36</v>
      </c>
      <c r="AQ22">
        <f>$H$22*$W$22</f>
        <v>549.36</v>
      </c>
      <c r="AR22">
        <f>$H$22*$X$22</f>
        <v>549.36</v>
      </c>
      <c r="AS22">
        <f>$H$22*$Y$22</f>
        <v>549.36</v>
      </c>
      <c r="AT22">
        <f>$H$22*$Z$22</f>
        <v>549.36</v>
      </c>
      <c r="AU22">
        <f>$H$22*$AA$22</f>
        <v>549.36</v>
      </c>
      <c r="AV22">
        <f>$H$22*$AB$22</f>
        <v>549.36</v>
      </c>
      <c r="AW22">
        <f>$H$22*$AC$22</f>
        <v>549.36</v>
      </c>
      <c r="AX22">
        <f>$H$22*$AD$22</f>
        <v>549.36</v>
      </c>
      <c r="AY22">
        <f>$H$22*$AE$22</f>
        <v>549.36</v>
      </c>
      <c r="AZ22">
        <f>$H$22*$AF$22</f>
        <v>549.36</v>
      </c>
    </row>
    <row r="23" spans="1:52" x14ac:dyDescent="0.25">
      <c r="A23">
        <v>43</v>
      </c>
      <c r="B23" t="s">
        <v>309</v>
      </c>
      <c r="C23" t="s">
        <v>362</v>
      </c>
      <c r="D23">
        <v>3907.92</v>
      </c>
      <c r="E23">
        <v>5979.12</v>
      </c>
      <c r="F23" t="s">
        <v>335</v>
      </c>
      <c r="G23">
        <v>1.53</v>
      </c>
      <c r="H23">
        <v>7174.94</v>
      </c>
      <c r="I23" t="s">
        <v>363</v>
      </c>
      <c r="J23" t="s">
        <v>364</v>
      </c>
      <c r="K23" t="s">
        <v>559</v>
      </c>
      <c r="L23" t="s">
        <v>178</v>
      </c>
      <c r="M23" t="s">
        <v>538</v>
      </c>
      <c r="N23" t="s">
        <v>27</v>
      </c>
      <c r="O23" t="s">
        <v>66</v>
      </c>
      <c r="P23">
        <v>0</v>
      </c>
      <c r="Q23">
        <v>0</v>
      </c>
      <c r="R23">
        <v>0</v>
      </c>
      <c r="S23">
        <v>0.25</v>
      </c>
      <c r="T23">
        <v>0.25</v>
      </c>
      <c r="U23">
        <v>0.25</v>
      </c>
      <c r="V23">
        <v>0.25</v>
      </c>
      <c r="W23">
        <v>0.25</v>
      </c>
      <c r="X23">
        <v>0.5</v>
      </c>
      <c r="Y23">
        <v>0.5</v>
      </c>
      <c r="Z23">
        <v>0.5</v>
      </c>
      <c r="AA23">
        <v>0.5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538</v>
      </c>
      <c r="AH23" t="s">
        <v>27</v>
      </c>
      <c r="AI23" t="s">
        <v>66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1793.7349999999999</v>
      </c>
      <c r="AN23">
        <f>$H$23*$T$23</f>
        <v>1793.7349999999999</v>
      </c>
      <c r="AO23">
        <f>$H$23*$U$23</f>
        <v>1793.7349999999999</v>
      </c>
      <c r="AP23">
        <f>$H$23*$V$23</f>
        <v>1793.7349999999999</v>
      </c>
      <c r="AQ23">
        <f>$H$23*$W$23</f>
        <v>1793.7349999999999</v>
      </c>
      <c r="AR23">
        <f>$H$23*$X$23</f>
        <v>3587.47</v>
      </c>
      <c r="AS23">
        <f>$H$23*$Y$23</f>
        <v>3587.47</v>
      </c>
      <c r="AT23">
        <f>$H$23*$Z$23</f>
        <v>3587.47</v>
      </c>
      <c r="AU23">
        <f>$H$23*$AA$23</f>
        <v>3587.47</v>
      </c>
      <c r="AV23">
        <f>$H$23*$AB$23</f>
        <v>7174.94</v>
      </c>
      <c r="AW23">
        <f>$H$23*$AC$23</f>
        <v>7174.94</v>
      </c>
      <c r="AX23">
        <f>$H$23*$AD$23</f>
        <v>7174.94</v>
      </c>
      <c r="AY23">
        <f>$H$23*$AE$23</f>
        <v>7174.94</v>
      </c>
      <c r="AZ23">
        <f>$H$23*$AF$23</f>
        <v>7174.94</v>
      </c>
    </row>
    <row r="24" spans="1:52" x14ac:dyDescent="0.25">
      <c r="A24">
        <v>44</v>
      </c>
      <c r="B24" t="s">
        <v>309</v>
      </c>
      <c r="C24" t="s">
        <v>365</v>
      </c>
      <c r="D24">
        <v>1500</v>
      </c>
      <c r="E24">
        <v>3900</v>
      </c>
      <c r="F24" t="s">
        <v>335</v>
      </c>
      <c r="G24">
        <v>2.6</v>
      </c>
      <c r="H24">
        <v>4680</v>
      </c>
      <c r="I24" t="s">
        <v>363</v>
      </c>
      <c r="J24" t="s">
        <v>366</v>
      </c>
      <c r="K24" t="s">
        <v>560</v>
      </c>
      <c r="L24" t="s">
        <v>178</v>
      </c>
      <c r="M24" t="s">
        <v>538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0.25</v>
      </c>
      <c r="T24">
        <v>0.25</v>
      </c>
      <c r="U24">
        <v>0.25</v>
      </c>
      <c r="V24">
        <v>0.25</v>
      </c>
      <c r="W24">
        <v>0.25</v>
      </c>
      <c r="X24">
        <v>0.5</v>
      </c>
      <c r="Y24">
        <v>0.5</v>
      </c>
      <c r="Z24">
        <v>0.5</v>
      </c>
      <c r="AA24">
        <v>0.5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538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1170</v>
      </c>
      <c r="AN24">
        <f>$H$24*$T$24</f>
        <v>1170</v>
      </c>
      <c r="AO24">
        <f>$H$24*$U$24</f>
        <v>1170</v>
      </c>
      <c r="AP24">
        <f>$H$24*$V$24</f>
        <v>1170</v>
      </c>
      <c r="AQ24">
        <f>$H$24*$W$24</f>
        <v>1170</v>
      </c>
      <c r="AR24">
        <f>$H$24*$X$24</f>
        <v>2340</v>
      </c>
      <c r="AS24">
        <f>$H$24*$Y$24</f>
        <v>2340</v>
      </c>
      <c r="AT24">
        <f>$H$24*$Z$24</f>
        <v>2340</v>
      </c>
      <c r="AU24">
        <f>$H$24*$AA$24</f>
        <v>2340</v>
      </c>
      <c r="AV24">
        <f>$H$24*$AB$24</f>
        <v>4680</v>
      </c>
      <c r="AW24">
        <f>$H$24*$AC$24</f>
        <v>4680</v>
      </c>
      <c r="AX24">
        <f>$H$24*$AD$24</f>
        <v>4680</v>
      </c>
      <c r="AY24">
        <f>$H$24*$AE$24</f>
        <v>4680</v>
      </c>
      <c r="AZ24">
        <f>$H$24*$AF$24</f>
        <v>4680</v>
      </c>
    </row>
    <row r="25" spans="1:52" x14ac:dyDescent="0.25">
      <c r="A25">
        <v>46</v>
      </c>
      <c r="B25" t="s">
        <v>309</v>
      </c>
      <c r="C25" t="s">
        <v>367</v>
      </c>
      <c r="D25">
        <v>2</v>
      </c>
      <c r="E25">
        <v>8287.32</v>
      </c>
      <c r="F25" t="s">
        <v>317</v>
      </c>
      <c r="G25">
        <v>4143.66</v>
      </c>
      <c r="H25">
        <v>9944.7800000000007</v>
      </c>
      <c r="I25" t="s">
        <v>325</v>
      </c>
      <c r="J25" t="s">
        <v>368</v>
      </c>
      <c r="K25" t="s">
        <v>561</v>
      </c>
      <c r="L25" t="s">
        <v>178</v>
      </c>
      <c r="M25" t="s">
        <v>549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549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9944.7800000000007</v>
      </c>
      <c r="AQ25">
        <f>$H$25*$W$25</f>
        <v>9944.7800000000007</v>
      </c>
      <c r="AR25">
        <f>$H$25*$X$25</f>
        <v>9944.7800000000007</v>
      </c>
      <c r="AS25">
        <f>$H$25*$Y$25</f>
        <v>9944.7800000000007</v>
      </c>
      <c r="AT25">
        <f>$H$25*$Z$25</f>
        <v>9944.7800000000007</v>
      </c>
      <c r="AU25">
        <f>$H$25*$AA$25</f>
        <v>9944.7800000000007</v>
      </c>
      <c r="AV25">
        <f>$H$25*$AB$25</f>
        <v>9944.7800000000007</v>
      </c>
      <c r="AW25">
        <f>$H$25*$AC$25</f>
        <v>9944.7800000000007</v>
      </c>
      <c r="AX25">
        <f>$H$25*$AD$25</f>
        <v>9944.7800000000007</v>
      </c>
      <c r="AY25">
        <f>$H$25*$AE$25</f>
        <v>9944.7800000000007</v>
      </c>
      <c r="AZ25">
        <f>$H$25*$AF$25</f>
        <v>9944.7800000000007</v>
      </c>
    </row>
    <row r="26" spans="1:52" x14ac:dyDescent="0.25">
      <c r="A26">
        <v>47</v>
      </c>
      <c r="B26" t="s">
        <v>309</v>
      </c>
      <c r="C26" t="s">
        <v>369</v>
      </c>
      <c r="D26">
        <v>2</v>
      </c>
      <c r="E26">
        <v>10093.36</v>
      </c>
      <c r="F26" t="s">
        <v>317</v>
      </c>
      <c r="G26">
        <v>5046.68</v>
      </c>
      <c r="H26">
        <v>12112.04</v>
      </c>
      <c r="I26" t="s">
        <v>325</v>
      </c>
      <c r="J26" t="s">
        <v>370</v>
      </c>
      <c r="K26" t="s">
        <v>562</v>
      </c>
      <c r="L26" t="s">
        <v>178</v>
      </c>
      <c r="M26" t="s">
        <v>549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0.5</v>
      </c>
      <c r="AF26">
        <v>0.5</v>
      </c>
      <c r="AG26" t="s">
        <v>549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0</v>
      </c>
      <c r="AY26">
        <f>$H$26*$AE$26</f>
        <v>6056.02</v>
      </c>
      <c r="AZ26">
        <f>$H$26*$AF$26</f>
        <v>6056.02</v>
      </c>
    </row>
    <row r="27" spans="1:52" x14ac:dyDescent="0.25">
      <c r="A27">
        <v>48</v>
      </c>
      <c r="B27" t="s">
        <v>309</v>
      </c>
      <c r="C27" t="s">
        <v>371</v>
      </c>
      <c r="D27">
        <v>2</v>
      </c>
      <c r="E27">
        <v>313.62</v>
      </c>
      <c r="F27" t="s">
        <v>317</v>
      </c>
      <c r="G27">
        <v>156.81</v>
      </c>
      <c r="H27">
        <v>376.34</v>
      </c>
      <c r="I27" t="s">
        <v>325</v>
      </c>
      <c r="J27" t="s">
        <v>372</v>
      </c>
      <c r="K27" t="s">
        <v>563</v>
      </c>
      <c r="L27" t="s">
        <v>178</v>
      </c>
      <c r="M27" t="s">
        <v>538</v>
      </c>
      <c r="N27" t="s">
        <v>27</v>
      </c>
      <c r="O27" t="s">
        <v>66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1</v>
      </c>
      <c r="AF27">
        <v>1</v>
      </c>
      <c r="AG27" t="s">
        <v>538</v>
      </c>
      <c r="AH27" t="s">
        <v>27</v>
      </c>
      <c r="AI27" t="s">
        <v>66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376.34</v>
      </c>
      <c r="AX27">
        <f>$H$27*$AD$27</f>
        <v>376.34</v>
      </c>
      <c r="AY27">
        <f>$H$27*$AE$27</f>
        <v>376.34</v>
      </c>
      <c r="AZ27">
        <f>$H$27*$AF$27</f>
        <v>376.34</v>
      </c>
    </row>
    <row r="28" spans="1:52" x14ac:dyDescent="0.25">
      <c r="A28">
        <v>49</v>
      </c>
      <c r="B28" t="s">
        <v>309</v>
      </c>
      <c r="C28" t="s">
        <v>373</v>
      </c>
      <c r="D28">
        <v>2</v>
      </c>
      <c r="E28">
        <v>135.5</v>
      </c>
      <c r="F28" t="s">
        <v>317</v>
      </c>
      <c r="G28">
        <v>67.75</v>
      </c>
      <c r="H28">
        <v>162.6</v>
      </c>
      <c r="I28" t="s">
        <v>325</v>
      </c>
      <c r="J28" t="s">
        <v>374</v>
      </c>
      <c r="K28" t="s">
        <v>564</v>
      </c>
      <c r="L28" t="s">
        <v>178</v>
      </c>
      <c r="M28" t="s">
        <v>549</v>
      </c>
      <c r="N28" t="s">
        <v>26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549</v>
      </c>
      <c r="AH28" t="s">
        <v>26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162.6</v>
      </c>
      <c r="AQ28">
        <f>$H$28*$W$28</f>
        <v>162.6</v>
      </c>
      <c r="AR28">
        <f>$H$28*$X$28</f>
        <v>162.6</v>
      </c>
      <c r="AS28">
        <f>$H$28*$Y$28</f>
        <v>162.6</v>
      </c>
      <c r="AT28">
        <f>$H$28*$Z$28</f>
        <v>162.6</v>
      </c>
      <c r="AU28">
        <f>$H$28*$AA$28</f>
        <v>162.6</v>
      </c>
      <c r="AV28">
        <f>$H$28*$AB$28</f>
        <v>162.6</v>
      </c>
      <c r="AW28">
        <f>$H$28*$AC$28</f>
        <v>162.6</v>
      </c>
      <c r="AX28">
        <f>$H$28*$AD$28</f>
        <v>162.6</v>
      </c>
      <c r="AY28">
        <f>$H$28*$AE$28</f>
        <v>162.6</v>
      </c>
      <c r="AZ28">
        <f>$H$28*$AF$28</f>
        <v>162.6</v>
      </c>
    </row>
    <row r="29" spans="1:52" x14ac:dyDescent="0.25">
      <c r="A29">
        <v>50</v>
      </c>
      <c r="B29" t="s">
        <v>309</v>
      </c>
      <c r="C29" t="s">
        <v>375</v>
      </c>
      <c r="D29">
        <v>2</v>
      </c>
      <c r="E29">
        <v>8648.2800000000007</v>
      </c>
      <c r="F29" t="s">
        <v>317</v>
      </c>
      <c r="G29">
        <v>4324.1400000000003</v>
      </c>
      <c r="H29">
        <v>10377.94</v>
      </c>
      <c r="I29" t="s">
        <v>325</v>
      </c>
      <c r="J29" t="s">
        <v>376</v>
      </c>
      <c r="K29" t="s">
        <v>565</v>
      </c>
      <c r="L29" t="s">
        <v>178</v>
      </c>
      <c r="M29" t="s">
        <v>549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</v>
      </c>
      <c r="AF29">
        <v>1</v>
      </c>
      <c r="AG29" t="s">
        <v>549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0</v>
      </c>
      <c r="AY29">
        <f>$H$29*$AE$29</f>
        <v>10377.94</v>
      </c>
      <c r="AZ29">
        <f>$H$29*$AF$29</f>
        <v>10377.94</v>
      </c>
    </row>
    <row r="30" spans="1:52" x14ac:dyDescent="0.25">
      <c r="A30">
        <v>56</v>
      </c>
      <c r="B30" t="s">
        <v>309</v>
      </c>
      <c r="C30" t="s">
        <v>377</v>
      </c>
      <c r="D30">
        <v>3</v>
      </c>
      <c r="E30">
        <v>250.05</v>
      </c>
      <c r="F30" t="s">
        <v>317</v>
      </c>
      <c r="G30">
        <v>83.35</v>
      </c>
      <c r="H30">
        <v>300.07</v>
      </c>
      <c r="I30" t="s">
        <v>322</v>
      </c>
      <c r="J30" t="s">
        <v>378</v>
      </c>
      <c r="K30" t="s">
        <v>566</v>
      </c>
      <c r="L30" t="s">
        <v>178</v>
      </c>
      <c r="M30" t="s">
        <v>567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1</v>
      </c>
      <c r="AF30">
        <v>1</v>
      </c>
      <c r="AG30" t="s">
        <v>567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0</v>
      </c>
      <c r="AV30">
        <f>$H$30*$AB$30</f>
        <v>0</v>
      </c>
      <c r="AW30">
        <f>$H$30*$AC$30</f>
        <v>0</v>
      </c>
      <c r="AX30">
        <f>$H$30*$AD$30</f>
        <v>300.07</v>
      </c>
      <c r="AY30">
        <f>$H$30*$AE$30</f>
        <v>300.07</v>
      </c>
      <c r="AZ30">
        <f>$H$30*$AF$30</f>
        <v>300.07</v>
      </c>
    </row>
    <row r="31" spans="1:52" x14ac:dyDescent="0.25">
      <c r="A31">
        <v>57</v>
      </c>
      <c r="B31" t="s">
        <v>309</v>
      </c>
      <c r="C31" t="s">
        <v>379</v>
      </c>
      <c r="D31">
        <v>3</v>
      </c>
      <c r="E31">
        <v>315.02999999999997</v>
      </c>
      <c r="F31" t="s">
        <v>317</v>
      </c>
      <c r="G31">
        <v>105.01</v>
      </c>
      <c r="H31">
        <v>378.03</v>
      </c>
      <c r="I31" t="s">
        <v>351</v>
      </c>
      <c r="J31" t="s">
        <v>380</v>
      </c>
      <c r="K31" t="s">
        <v>568</v>
      </c>
      <c r="L31" t="s">
        <v>178</v>
      </c>
      <c r="M31" t="s">
        <v>567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567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378.03</v>
      </c>
      <c r="AV31">
        <f>$H$31*$AB$31</f>
        <v>378.03</v>
      </c>
      <c r="AW31">
        <f>$H$31*$AC$31</f>
        <v>378.03</v>
      </c>
      <c r="AX31">
        <f>$H$31*$AD$31</f>
        <v>378.03</v>
      </c>
      <c r="AY31">
        <f>$H$31*$AE$31</f>
        <v>378.03</v>
      </c>
      <c r="AZ31">
        <f>$H$31*$AF$31</f>
        <v>378.03</v>
      </c>
    </row>
    <row r="32" spans="1:52" x14ac:dyDescent="0.25">
      <c r="A32">
        <v>58</v>
      </c>
      <c r="B32" t="s">
        <v>309</v>
      </c>
      <c r="C32" t="s">
        <v>381</v>
      </c>
      <c r="D32">
        <v>3</v>
      </c>
      <c r="E32">
        <v>1443.3</v>
      </c>
      <c r="F32" t="s">
        <v>317</v>
      </c>
      <c r="G32">
        <v>481.1</v>
      </c>
      <c r="H32">
        <v>1731.96</v>
      </c>
      <c r="I32" t="s">
        <v>354</v>
      </c>
      <c r="J32" t="s">
        <v>378</v>
      </c>
      <c r="K32" t="s">
        <v>569</v>
      </c>
      <c r="L32" t="s">
        <v>178</v>
      </c>
      <c r="M32" t="s">
        <v>567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567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1731.96</v>
      </c>
      <c r="AP32">
        <f>$H$32*$V$32</f>
        <v>1731.96</v>
      </c>
      <c r="AQ32">
        <f>$H$32*$W$32</f>
        <v>1731.96</v>
      </c>
      <c r="AR32">
        <f>$H$32*$X$32</f>
        <v>1731.96</v>
      </c>
      <c r="AS32">
        <f>$H$32*$Y$32</f>
        <v>1731.96</v>
      </c>
      <c r="AT32">
        <f>$H$32*$Z$32</f>
        <v>1731.96</v>
      </c>
      <c r="AU32">
        <f>$H$32*$AA$32</f>
        <v>1731.96</v>
      </c>
      <c r="AV32">
        <f>$H$32*$AB$32</f>
        <v>1731.96</v>
      </c>
      <c r="AW32">
        <f>$H$32*$AC$32</f>
        <v>1731.96</v>
      </c>
      <c r="AX32">
        <f>$H$32*$AD$32</f>
        <v>1731.96</v>
      </c>
      <c r="AY32">
        <f>$H$32*$AE$32</f>
        <v>1731.96</v>
      </c>
      <c r="AZ32">
        <f>$H$32*$AF$32</f>
        <v>1731.96</v>
      </c>
    </row>
    <row r="33" spans="1:52" x14ac:dyDescent="0.25">
      <c r="A33">
        <v>59</v>
      </c>
      <c r="B33" t="s">
        <v>309</v>
      </c>
      <c r="C33" t="s">
        <v>382</v>
      </c>
      <c r="D33">
        <v>2</v>
      </c>
      <c r="E33">
        <v>2285.34</v>
      </c>
      <c r="F33" t="s">
        <v>317</v>
      </c>
      <c r="G33">
        <v>1142.67</v>
      </c>
      <c r="H33">
        <v>2742.4</v>
      </c>
      <c r="I33" t="s">
        <v>383</v>
      </c>
      <c r="J33" t="s">
        <v>384</v>
      </c>
      <c r="K33" t="s">
        <v>570</v>
      </c>
      <c r="L33" t="s">
        <v>178</v>
      </c>
      <c r="M33" t="s">
        <v>567</v>
      </c>
      <c r="N33" t="s">
        <v>12</v>
      </c>
      <c r="O33" t="s">
        <v>68</v>
      </c>
      <c r="P33">
        <v>0</v>
      </c>
      <c r="Q33">
        <v>0</v>
      </c>
      <c r="R33">
        <v>0</v>
      </c>
      <c r="S33">
        <v>0</v>
      </c>
      <c r="T33">
        <v>0</v>
      </c>
      <c r="U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567</v>
      </c>
      <c r="AH33" t="s">
        <v>12</v>
      </c>
      <c r="AI33" t="s">
        <v>68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2742.4</v>
      </c>
      <c r="AP33">
        <f>$H$33*$V$33</f>
        <v>2742.4</v>
      </c>
      <c r="AQ33">
        <f>$H$33*$W$33</f>
        <v>2742.4</v>
      </c>
      <c r="AR33">
        <f>$H$33*$X$33</f>
        <v>2742.4</v>
      </c>
      <c r="AS33">
        <f>$H$33*$Y$33</f>
        <v>2742.4</v>
      </c>
      <c r="AT33">
        <f>$H$33*$Z$33</f>
        <v>2742.4</v>
      </c>
      <c r="AU33">
        <f>$H$33*$AA$33</f>
        <v>2742.4</v>
      </c>
      <c r="AV33">
        <f>$H$33*$AB$33</f>
        <v>2742.4</v>
      </c>
      <c r="AW33">
        <f>$H$33*$AC$33</f>
        <v>2742.4</v>
      </c>
      <c r="AX33">
        <f>$H$33*$AD$33</f>
        <v>2742.4</v>
      </c>
      <c r="AY33">
        <f>$H$33*$AE$33</f>
        <v>2742.4</v>
      </c>
      <c r="AZ33">
        <f>$H$33*$AF$33</f>
        <v>2742.4</v>
      </c>
    </row>
    <row r="34" spans="1:52" x14ac:dyDescent="0.25">
      <c r="A34">
        <v>72</v>
      </c>
      <c r="B34" t="s">
        <v>309</v>
      </c>
      <c r="C34" t="s">
        <v>385</v>
      </c>
      <c r="D34">
        <v>2</v>
      </c>
      <c r="E34">
        <v>35.54</v>
      </c>
      <c r="F34" t="s">
        <v>317</v>
      </c>
      <c r="G34">
        <v>17.77</v>
      </c>
      <c r="H34">
        <v>42.64</v>
      </c>
      <c r="I34" t="s">
        <v>319</v>
      </c>
      <c r="J34" t="s">
        <v>386</v>
      </c>
      <c r="K34" t="s">
        <v>571</v>
      </c>
      <c r="L34" t="s">
        <v>178</v>
      </c>
      <c r="M34" t="s">
        <v>538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538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42.64</v>
      </c>
      <c r="AS34">
        <f>$H$34*$Y$34</f>
        <v>42.64</v>
      </c>
      <c r="AT34">
        <f>$H$34*$Z$34</f>
        <v>42.64</v>
      </c>
      <c r="AU34">
        <f>$H$34*$AA$34</f>
        <v>42.64</v>
      </c>
      <c r="AV34">
        <f>$H$34*$AB$34</f>
        <v>42.64</v>
      </c>
      <c r="AW34">
        <f>$H$34*$AC$34</f>
        <v>42.64</v>
      </c>
      <c r="AX34">
        <f>$H$34*$AD$34</f>
        <v>42.64</v>
      </c>
      <c r="AY34">
        <f>$H$34*$AE$34</f>
        <v>42.64</v>
      </c>
      <c r="AZ34">
        <f>$H$34*$AF$34</f>
        <v>42.64</v>
      </c>
    </row>
    <row r="35" spans="1:52" x14ac:dyDescent="0.25">
      <c r="A35">
        <v>74</v>
      </c>
      <c r="B35" t="s">
        <v>309</v>
      </c>
      <c r="C35" t="s">
        <v>387</v>
      </c>
      <c r="D35">
        <v>1</v>
      </c>
      <c r="E35">
        <v>1489.01</v>
      </c>
      <c r="F35" t="s">
        <v>317</v>
      </c>
      <c r="G35">
        <v>1489.01</v>
      </c>
      <c r="H35">
        <v>1786.81</v>
      </c>
      <c r="I35" t="s">
        <v>319</v>
      </c>
      <c r="J35" t="s">
        <v>388</v>
      </c>
      <c r="K35" t="s">
        <v>572</v>
      </c>
      <c r="L35" t="s">
        <v>178</v>
      </c>
      <c r="M35" t="s">
        <v>549</v>
      </c>
      <c r="N35" t="s">
        <v>26</v>
      </c>
      <c r="O35" t="s">
        <v>67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549</v>
      </c>
      <c r="AH35" t="s">
        <v>26</v>
      </c>
      <c r="AI35" t="s">
        <v>67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1786.81</v>
      </c>
      <c r="AV35">
        <f>$H$35*$AB$35</f>
        <v>1786.81</v>
      </c>
      <c r="AW35">
        <f>$H$35*$AC$35</f>
        <v>1786.81</v>
      </c>
      <c r="AX35">
        <f>$H$35*$AD$35</f>
        <v>1786.81</v>
      </c>
      <c r="AY35">
        <f>$H$35*$AE$35</f>
        <v>1786.81</v>
      </c>
      <c r="AZ35">
        <f>$H$35*$AF$35</f>
        <v>1786.81</v>
      </c>
    </row>
    <row r="36" spans="1:52" x14ac:dyDescent="0.25">
      <c r="A36">
        <v>77</v>
      </c>
      <c r="B36" t="s">
        <v>309</v>
      </c>
      <c r="C36" t="s">
        <v>389</v>
      </c>
      <c r="D36">
        <v>40</v>
      </c>
      <c r="E36">
        <v>39.6</v>
      </c>
      <c r="F36" t="s">
        <v>311</v>
      </c>
      <c r="G36">
        <v>0.99</v>
      </c>
      <c r="H36">
        <v>47.52</v>
      </c>
      <c r="I36" t="s">
        <v>319</v>
      </c>
      <c r="J36" t="s">
        <v>390</v>
      </c>
      <c r="K36" t="s">
        <v>573</v>
      </c>
      <c r="L36" t="s">
        <v>178</v>
      </c>
      <c r="M36" t="s">
        <v>538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0.6</v>
      </c>
      <c r="Y36">
        <v>0.6</v>
      </c>
      <c r="Z36">
        <v>0.6</v>
      </c>
      <c r="AA36">
        <v>0.6</v>
      </c>
      <c r="AB36">
        <v>0.6</v>
      </c>
      <c r="AC36">
        <v>0.6</v>
      </c>
      <c r="AD36">
        <v>0.6</v>
      </c>
      <c r="AE36">
        <v>0.6</v>
      </c>
      <c r="AF36">
        <v>0.6</v>
      </c>
      <c r="AG36" t="s">
        <v>538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28.512</v>
      </c>
      <c r="AS36">
        <f>$H$36*$Y$36</f>
        <v>28.512</v>
      </c>
      <c r="AT36">
        <f>$H$36*$Z$36</f>
        <v>28.512</v>
      </c>
      <c r="AU36">
        <f>$H$36*$AA$36</f>
        <v>28.512</v>
      </c>
      <c r="AV36">
        <f>$H$36*$AB$36</f>
        <v>28.512</v>
      </c>
      <c r="AW36">
        <f>$H$36*$AC$36</f>
        <v>28.512</v>
      </c>
      <c r="AX36">
        <f>$H$36*$AD$36</f>
        <v>28.512</v>
      </c>
      <c r="AY36">
        <f>$H$36*$AE$36</f>
        <v>28.512</v>
      </c>
      <c r="AZ36">
        <f>$H$36*$AF$36</f>
        <v>28.512</v>
      </c>
    </row>
    <row r="37" spans="1:52" x14ac:dyDescent="0.25">
      <c r="A37">
        <v>79</v>
      </c>
      <c r="B37" t="s">
        <v>309</v>
      </c>
      <c r="C37" t="s">
        <v>385</v>
      </c>
      <c r="D37">
        <v>4</v>
      </c>
      <c r="E37">
        <v>71.08</v>
      </c>
      <c r="F37" t="s">
        <v>317</v>
      </c>
      <c r="G37">
        <v>17.77</v>
      </c>
      <c r="H37">
        <v>85.3</v>
      </c>
      <c r="I37" t="s">
        <v>319</v>
      </c>
      <c r="J37" t="s">
        <v>386</v>
      </c>
      <c r="K37" t="s">
        <v>571</v>
      </c>
      <c r="L37" t="s">
        <v>178</v>
      </c>
      <c r="M37" t="s">
        <v>538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538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85.3</v>
      </c>
      <c r="AS37">
        <f>$H$37*$Y$37</f>
        <v>85.3</v>
      </c>
      <c r="AT37">
        <f>$H$37*$Z$37</f>
        <v>85.3</v>
      </c>
      <c r="AU37">
        <f>$H$37*$AA$37</f>
        <v>85.3</v>
      </c>
      <c r="AV37">
        <f>$H$37*$AB$37</f>
        <v>85.3</v>
      </c>
      <c r="AW37">
        <f>$H$37*$AC$37</f>
        <v>85.3</v>
      </c>
      <c r="AX37">
        <f>$H$37*$AD$37</f>
        <v>85.3</v>
      </c>
      <c r="AY37">
        <f>$H$37*$AE$37</f>
        <v>85.3</v>
      </c>
      <c r="AZ37">
        <f>$H$37*$AF$37</f>
        <v>85.3</v>
      </c>
    </row>
    <row r="38" spans="1:52" x14ac:dyDescent="0.25">
      <c r="A38">
        <v>80</v>
      </c>
      <c r="B38" t="s">
        <v>309</v>
      </c>
      <c r="C38" t="s">
        <v>391</v>
      </c>
      <c r="D38">
        <v>2</v>
      </c>
      <c r="E38">
        <v>41.5</v>
      </c>
      <c r="F38" t="s">
        <v>317</v>
      </c>
      <c r="G38">
        <v>20.75</v>
      </c>
      <c r="H38">
        <v>49.8</v>
      </c>
      <c r="I38" t="s">
        <v>319</v>
      </c>
      <c r="J38" t="s">
        <v>392</v>
      </c>
      <c r="K38" t="s">
        <v>574</v>
      </c>
      <c r="L38" t="s">
        <v>178</v>
      </c>
      <c r="M38" t="s">
        <v>567</v>
      </c>
      <c r="N38" t="s">
        <v>12</v>
      </c>
      <c r="O38" t="s">
        <v>68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567</v>
      </c>
      <c r="AH38" t="s">
        <v>12</v>
      </c>
      <c r="AI38" t="s">
        <v>68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49.8</v>
      </c>
      <c r="AS38">
        <f>$H$38*$Y$38</f>
        <v>49.8</v>
      </c>
      <c r="AT38">
        <f>$H$38*$Z$38</f>
        <v>49.8</v>
      </c>
      <c r="AU38">
        <f>$H$38*$AA$38</f>
        <v>49.8</v>
      </c>
      <c r="AV38">
        <f>$H$38*$AB$38</f>
        <v>49.8</v>
      </c>
      <c r="AW38">
        <f>$H$38*$AC$38</f>
        <v>49.8</v>
      </c>
      <c r="AX38">
        <f>$H$38*$AD$38</f>
        <v>49.8</v>
      </c>
      <c r="AY38">
        <f>$H$38*$AE$38</f>
        <v>49.8</v>
      </c>
      <c r="AZ38">
        <f>$H$38*$AF$38</f>
        <v>49.8</v>
      </c>
    </row>
    <row r="39" spans="1:52" x14ac:dyDescent="0.25">
      <c r="A39">
        <v>81</v>
      </c>
      <c r="B39" t="s">
        <v>309</v>
      </c>
      <c r="C39" t="s">
        <v>393</v>
      </c>
      <c r="D39">
        <v>4500</v>
      </c>
      <c r="E39">
        <v>16110</v>
      </c>
      <c r="F39" t="s">
        <v>335</v>
      </c>
      <c r="G39">
        <v>3.58</v>
      </c>
      <c r="H39">
        <v>19332</v>
      </c>
      <c r="I39" t="s">
        <v>319</v>
      </c>
      <c r="J39" t="s">
        <v>394</v>
      </c>
      <c r="K39" t="s">
        <v>575</v>
      </c>
      <c r="L39" t="s">
        <v>178</v>
      </c>
      <c r="M39" t="s">
        <v>538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0.6</v>
      </c>
      <c r="Y39">
        <v>0.6</v>
      </c>
      <c r="Z39">
        <v>0.6</v>
      </c>
      <c r="AA39">
        <v>0.6</v>
      </c>
      <c r="AB39">
        <v>0.6</v>
      </c>
      <c r="AC39">
        <v>0.6</v>
      </c>
      <c r="AD39">
        <v>0.6</v>
      </c>
      <c r="AE39">
        <v>0.6</v>
      </c>
      <c r="AF39">
        <v>0.6</v>
      </c>
      <c r="AG39" t="s">
        <v>538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11599.199999999999</v>
      </c>
      <c r="AS39">
        <f>$H$39*$Y$39</f>
        <v>11599.199999999999</v>
      </c>
      <c r="AT39">
        <f>$H$39*$Z$39</f>
        <v>11599.199999999999</v>
      </c>
      <c r="AU39">
        <f>$H$39*$AA$39</f>
        <v>11599.199999999999</v>
      </c>
      <c r="AV39">
        <f>$H$39*$AB$39</f>
        <v>11599.199999999999</v>
      </c>
      <c r="AW39">
        <f>$H$39*$AC$39</f>
        <v>11599.199999999999</v>
      </c>
      <c r="AX39">
        <f>$H$39*$AD$39</f>
        <v>11599.199999999999</v>
      </c>
      <c r="AY39">
        <f>$H$39*$AE$39</f>
        <v>11599.199999999999</v>
      </c>
      <c r="AZ39">
        <f>$H$39*$AF$39</f>
        <v>11599.199999999999</v>
      </c>
    </row>
    <row r="40" spans="1:52" x14ac:dyDescent="0.25">
      <c r="A40">
        <v>82</v>
      </c>
      <c r="B40" t="s">
        <v>309</v>
      </c>
      <c r="C40" t="s">
        <v>389</v>
      </c>
      <c r="D40">
        <v>40</v>
      </c>
      <c r="E40">
        <v>39.6</v>
      </c>
      <c r="F40" t="s">
        <v>311</v>
      </c>
      <c r="G40">
        <v>0.99</v>
      </c>
      <c r="H40">
        <v>47.52</v>
      </c>
      <c r="I40" t="s">
        <v>319</v>
      </c>
      <c r="J40" t="s">
        <v>390</v>
      </c>
      <c r="K40" t="s">
        <v>573</v>
      </c>
      <c r="L40" t="s">
        <v>178</v>
      </c>
      <c r="M40" t="s">
        <v>538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0.6</v>
      </c>
      <c r="Y40">
        <v>0.6</v>
      </c>
      <c r="Z40">
        <v>0.6</v>
      </c>
      <c r="AA40">
        <v>0.6</v>
      </c>
      <c r="AB40">
        <v>0.6</v>
      </c>
      <c r="AC40">
        <v>0.6</v>
      </c>
      <c r="AD40">
        <v>0.6</v>
      </c>
      <c r="AE40">
        <v>0.6</v>
      </c>
      <c r="AF40">
        <v>0.6</v>
      </c>
      <c r="AG40" t="s">
        <v>538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28.512</v>
      </c>
      <c r="AS40">
        <f>$H$40*$Y$40</f>
        <v>28.512</v>
      </c>
      <c r="AT40">
        <f>$H$40*$Z$40</f>
        <v>28.512</v>
      </c>
      <c r="AU40">
        <f>$H$40*$AA$40</f>
        <v>28.512</v>
      </c>
      <c r="AV40">
        <f>$H$40*$AB$40</f>
        <v>28.512</v>
      </c>
      <c r="AW40">
        <f>$H$40*$AC$40</f>
        <v>28.512</v>
      </c>
      <c r="AX40">
        <f>$H$40*$AD$40</f>
        <v>28.512</v>
      </c>
      <c r="AY40">
        <f>$H$40*$AE$40</f>
        <v>28.512</v>
      </c>
      <c r="AZ40">
        <f>$H$40*$AF$40</f>
        <v>28.512</v>
      </c>
    </row>
    <row r="41" spans="1:52" x14ac:dyDescent="0.25">
      <c r="A41">
        <v>84</v>
      </c>
      <c r="B41" t="s">
        <v>309</v>
      </c>
      <c r="C41" t="s">
        <v>341</v>
      </c>
      <c r="D41">
        <v>4</v>
      </c>
      <c r="E41">
        <v>17.760000000000002</v>
      </c>
      <c r="F41" t="s">
        <v>311</v>
      </c>
      <c r="G41">
        <v>4.4400000000000004</v>
      </c>
      <c r="H41">
        <v>21.32</v>
      </c>
      <c r="I41" t="s">
        <v>312</v>
      </c>
      <c r="J41" t="s">
        <v>342</v>
      </c>
      <c r="K41" t="s">
        <v>550</v>
      </c>
      <c r="L41" t="s">
        <v>178</v>
      </c>
      <c r="M41" t="s">
        <v>538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538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21.32</v>
      </c>
      <c r="AV41">
        <f>$H$41*$AB$41</f>
        <v>21.32</v>
      </c>
      <c r="AW41">
        <f>$H$41*$AC$41</f>
        <v>21.32</v>
      </c>
      <c r="AX41">
        <f>$H$41*$AD$41</f>
        <v>21.32</v>
      </c>
      <c r="AY41">
        <f>$H$41*$AE$41</f>
        <v>21.32</v>
      </c>
      <c r="AZ41">
        <f>$H$41*$AF$41</f>
        <v>21.32</v>
      </c>
    </row>
    <row r="42" spans="1:52" x14ac:dyDescent="0.25">
      <c r="A42">
        <v>85</v>
      </c>
      <c r="B42" t="s">
        <v>309</v>
      </c>
      <c r="C42" t="s">
        <v>343</v>
      </c>
      <c r="D42">
        <v>4</v>
      </c>
      <c r="E42">
        <v>46.2</v>
      </c>
      <c r="F42" t="s">
        <v>311</v>
      </c>
      <c r="G42">
        <v>11.55</v>
      </c>
      <c r="H42">
        <v>55.44</v>
      </c>
      <c r="I42" t="s">
        <v>315</v>
      </c>
      <c r="J42" t="s">
        <v>344</v>
      </c>
      <c r="K42" t="s">
        <v>551</v>
      </c>
      <c r="L42" t="s">
        <v>178</v>
      </c>
      <c r="M42" t="s">
        <v>538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538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55.44</v>
      </c>
      <c r="AV42">
        <f>$H$42*$AB$42</f>
        <v>55.44</v>
      </c>
      <c r="AW42">
        <f>$H$42*$AC$42</f>
        <v>55.44</v>
      </c>
      <c r="AX42">
        <f>$H$42*$AD$42</f>
        <v>55.44</v>
      </c>
      <c r="AY42">
        <f>$H$42*$AE$42</f>
        <v>55.44</v>
      </c>
      <c r="AZ42">
        <f>$H$42*$AF$42</f>
        <v>55.44</v>
      </c>
    </row>
    <row r="43" spans="1:52" x14ac:dyDescent="0.25">
      <c r="A43">
        <v>86</v>
      </c>
      <c r="B43" t="s">
        <v>309</v>
      </c>
      <c r="C43" t="s">
        <v>395</v>
      </c>
      <c r="D43">
        <v>4</v>
      </c>
      <c r="E43">
        <v>19</v>
      </c>
      <c r="F43" t="s">
        <v>311</v>
      </c>
      <c r="G43">
        <v>4.75</v>
      </c>
      <c r="H43">
        <v>22.8</v>
      </c>
      <c r="I43" t="s">
        <v>315</v>
      </c>
      <c r="J43" t="s">
        <v>396</v>
      </c>
      <c r="K43" t="s">
        <v>576</v>
      </c>
      <c r="L43" t="s">
        <v>178</v>
      </c>
      <c r="M43" t="s">
        <v>538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1</v>
      </c>
      <c r="AF43">
        <v>1</v>
      </c>
      <c r="AG43" t="s">
        <v>538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0</v>
      </c>
      <c r="AV43">
        <f>$H$43*$AB$43</f>
        <v>0</v>
      </c>
      <c r="AW43">
        <f>$H$43*$AC$43</f>
        <v>22.8</v>
      </c>
      <c r="AX43">
        <f>$H$43*$AD$43</f>
        <v>22.8</v>
      </c>
      <c r="AY43">
        <f>$H$43*$AE$43</f>
        <v>22.8</v>
      </c>
      <c r="AZ43">
        <f>$H$43*$AF$43</f>
        <v>22.8</v>
      </c>
    </row>
    <row r="44" spans="1:52" x14ac:dyDescent="0.25">
      <c r="A44">
        <v>87</v>
      </c>
      <c r="B44" t="s">
        <v>309</v>
      </c>
      <c r="C44" t="s">
        <v>345</v>
      </c>
      <c r="D44">
        <v>104</v>
      </c>
      <c r="E44">
        <v>101.92</v>
      </c>
      <c r="F44" t="s">
        <v>335</v>
      </c>
      <c r="G44">
        <v>0.98</v>
      </c>
      <c r="H44">
        <v>122.3</v>
      </c>
      <c r="I44" t="s">
        <v>312</v>
      </c>
      <c r="J44" t="s">
        <v>346</v>
      </c>
      <c r="K44" t="s">
        <v>552</v>
      </c>
      <c r="L44" t="s">
        <v>178</v>
      </c>
      <c r="M44" t="s">
        <v>538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1</v>
      </c>
      <c r="U44">
        <v>1</v>
      </c>
      <c r="V44">
        <v>1</v>
      </c>
      <c r="W44">
        <v>1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538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122.3</v>
      </c>
      <c r="AO44">
        <f>$H$44*$U$44</f>
        <v>122.3</v>
      </c>
      <c r="AP44">
        <f>$H$44*$V$44</f>
        <v>122.3</v>
      </c>
      <c r="AQ44">
        <f>$H$44*$W$44</f>
        <v>122.3</v>
      </c>
      <c r="AR44">
        <f>$H$44*$X$44</f>
        <v>122.3</v>
      </c>
      <c r="AS44">
        <f>$H$44*$Y$44</f>
        <v>122.3</v>
      </c>
      <c r="AT44">
        <f>$H$44*$Z$44</f>
        <v>122.3</v>
      </c>
      <c r="AU44">
        <f>$H$44*$AA$44</f>
        <v>122.3</v>
      </c>
      <c r="AV44">
        <f>$H$44*$AB$44</f>
        <v>122.3</v>
      </c>
      <c r="AW44">
        <f>$H$44*$AC$44</f>
        <v>122.3</v>
      </c>
      <c r="AX44">
        <f>$H$44*$AD$44</f>
        <v>122.3</v>
      </c>
      <c r="AY44">
        <f>$H$44*$AE$44</f>
        <v>122.3</v>
      </c>
      <c r="AZ44">
        <f>$H$44*$AF$44</f>
        <v>122.3</v>
      </c>
    </row>
    <row r="45" spans="1:52" x14ac:dyDescent="0.25">
      <c r="A45">
        <v>88</v>
      </c>
      <c r="B45" t="s">
        <v>309</v>
      </c>
      <c r="C45" t="s">
        <v>347</v>
      </c>
      <c r="D45">
        <v>104</v>
      </c>
      <c r="E45">
        <v>277.68</v>
      </c>
      <c r="F45" t="s">
        <v>335</v>
      </c>
      <c r="G45">
        <v>2.67</v>
      </c>
      <c r="H45">
        <v>333.22</v>
      </c>
      <c r="I45" t="s">
        <v>348</v>
      </c>
      <c r="J45" t="s">
        <v>349</v>
      </c>
      <c r="K45" t="s">
        <v>553</v>
      </c>
      <c r="L45" t="s">
        <v>178</v>
      </c>
      <c r="M45" t="s">
        <v>538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0.25</v>
      </c>
      <c r="T45">
        <v>0.25</v>
      </c>
      <c r="U45">
        <v>0.25</v>
      </c>
      <c r="V45">
        <v>0.25</v>
      </c>
      <c r="W45">
        <v>0.25</v>
      </c>
      <c r="X45">
        <v>0.5</v>
      </c>
      <c r="Y45">
        <v>0.5</v>
      </c>
      <c r="Z45">
        <v>0.5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538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83.305000000000007</v>
      </c>
      <c r="AN45">
        <f>$H$45*$T$45</f>
        <v>83.305000000000007</v>
      </c>
      <c r="AO45">
        <f>$H$45*$U$45</f>
        <v>83.305000000000007</v>
      </c>
      <c r="AP45">
        <f>$H$45*$V$45</f>
        <v>83.305000000000007</v>
      </c>
      <c r="AQ45">
        <f>$H$45*$W$45</f>
        <v>83.305000000000007</v>
      </c>
      <c r="AR45">
        <f>$H$45*$X$45</f>
        <v>166.61</v>
      </c>
      <c r="AS45">
        <f>$H$45*$Y$45</f>
        <v>166.61</v>
      </c>
      <c r="AT45">
        <f>$H$45*$Z$45</f>
        <v>166.61</v>
      </c>
      <c r="AU45">
        <f>$H$45*$AA$45</f>
        <v>333.22</v>
      </c>
      <c r="AV45">
        <f>$H$45*$AB$45</f>
        <v>333.22</v>
      </c>
      <c r="AW45">
        <f>$H$45*$AC$45</f>
        <v>333.22</v>
      </c>
      <c r="AX45">
        <f>$H$45*$AD$45</f>
        <v>333.22</v>
      </c>
      <c r="AY45">
        <f>$H$45*$AE$45</f>
        <v>333.22</v>
      </c>
      <c r="AZ45">
        <f>$H$45*$AF$45</f>
        <v>333.22</v>
      </c>
    </row>
    <row r="46" spans="1:52" x14ac:dyDescent="0.25">
      <c r="A46">
        <v>89</v>
      </c>
      <c r="B46" t="s">
        <v>309</v>
      </c>
      <c r="C46" t="s">
        <v>350</v>
      </c>
      <c r="D46">
        <v>1</v>
      </c>
      <c r="E46">
        <v>47.96</v>
      </c>
      <c r="F46" t="s">
        <v>317</v>
      </c>
      <c r="G46">
        <v>47.96</v>
      </c>
      <c r="H46">
        <v>57.56</v>
      </c>
      <c r="I46" t="s">
        <v>351</v>
      </c>
      <c r="J46" t="s">
        <v>352</v>
      </c>
      <c r="K46" t="s">
        <v>554</v>
      </c>
      <c r="L46" t="s">
        <v>178</v>
      </c>
      <c r="M46" t="s">
        <v>538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538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57.56</v>
      </c>
      <c r="AV46">
        <f>$H$46*$AB$46</f>
        <v>57.56</v>
      </c>
      <c r="AW46">
        <f>$H$46*$AC$46</f>
        <v>57.56</v>
      </c>
      <c r="AX46">
        <f>$H$46*$AD$46</f>
        <v>57.56</v>
      </c>
      <c r="AY46">
        <f>$H$46*$AE$46</f>
        <v>57.56</v>
      </c>
      <c r="AZ46">
        <f>$H$46*$AF$46</f>
        <v>57.56</v>
      </c>
    </row>
    <row r="47" spans="1:52" x14ac:dyDescent="0.25">
      <c r="A47">
        <v>90</v>
      </c>
      <c r="B47" t="s">
        <v>309</v>
      </c>
      <c r="C47" t="s">
        <v>353</v>
      </c>
      <c r="D47">
        <v>1</v>
      </c>
      <c r="E47">
        <v>365.09</v>
      </c>
      <c r="F47" t="s">
        <v>317</v>
      </c>
      <c r="G47">
        <v>365.09</v>
      </c>
      <c r="H47">
        <v>438.11</v>
      </c>
      <c r="I47" t="s">
        <v>354</v>
      </c>
      <c r="J47" t="s">
        <v>355</v>
      </c>
      <c r="K47" t="s">
        <v>555</v>
      </c>
      <c r="L47" t="s">
        <v>178</v>
      </c>
      <c r="M47" t="s">
        <v>538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538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438.11</v>
      </c>
      <c r="AO47">
        <f>$H$47*$U$47</f>
        <v>438.11</v>
      </c>
      <c r="AP47">
        <f>$H$47*$V$47</f>
        <v>438.11</v>
      </c>
      <c r="AQ47">
        <f>$H$47*$W$47</f>
        <v>438.11</v>
      </c>
      <c r="AR47">
        <f>$H$47*$X$47</f>
        <v>438.11</v>
      </c>
      <c r="AS47">
        <f>$H$47*$Y$47</f>
        <v>438.11</v>
      </c>
      <c r="AT47">
        <f>$H$47*$Z$47</f>
        <v>438.11</v>
      </c>
      <c r="AU47">
        <f>$H$47*$AA$47</f>
        <v>438.11</v>
      </c>
      <c r="AV47">
        <f>$H$47*$AB$47</f>
        <v>438.11</v>
      </c>
      <c r="AW47">
        <f>$H$47*$AC$47</f>
        <v>438.11</v>
      </c>
      <c r="AX47">
        <f>$H$47*$AD$47</f>
        <v>438.11</v>
      </c>
      <c r="AY47">
        <f>$H$47*$AE$47</f>
        <v>438.11</v>
      </c>
      <c r="AZ47">
        <f>$H$47*$AF$47</f>
        <v>438.11</v>
      </c>
    </row>
    <row r="48" spans="1:52" x14ac:dyDescent="0.25">
      <c r="A48">
        <v>91</v>
      </c>
      <c r="B48" t="s">
        <v>309</v>
      </c>
      <c r="C48" t="s">
        <v>356</v>
      </c>
      <c r="D48">
        <v>2</v>
      </c>
      <c r="E48">
        <v>62.72</v>
      </c>
      <c r="F48" t="s">
        <v>317</v>
      </c>
      <c r="G48">
        <v>31.36</v>
      </c>
      <c r="H48">
        <v>75.260000000000005</v>
      </c>
      <c r="I48" t="s">
        <v>312</v>
      </c>
      <c r="J48" t="s">
        <v>357</v>
      </c>
      <c r="K48" t="s">
        <v>556</v>
      </c>
      <c r="L48" t="s">
        <v>178</v>
      </c>
      <c r="M48" t="s">
        <v>538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538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75.260000000000005</v>
      </c>
      <c r="AN48">
        <f>$H$48*$T$48</f>
        <v>75.260000000000005</v>
      </c>
      <c r="AO48">
        <f>$H$48*$U$48</f>
        <v>75.260000000000005</v>
      </c>
      <c r="AP48">
        <f>$H$48*$V$48</f>
        <v>75.260000000000005</v>
      </c>
      <c r="AQ48">
        <f>$H$48*$W$48</f>
        <v>75.260000000000005</v>
      </c>
      <c r="AR48">
        <f>$H$48*$X$48</f>
        <v>75.260000000000005</v>
      </c>
      <c r="AS48">
        <f>$H$48*$Y$48</f>
        <v>75.260000000000005</v>
      </c>
      <c r="AT48">
        <f>$H$48*$Z$48</f>
        <v>75.260000000000005</v>
      </c>
      <c r="AU48">
        <f>$H$48*$AA$48</f>
        <v>75.260000000000005</v>
      </c>
      <c r="AV48">
        <f>$H$48*$AB$48</f>
        <v>75.260000000000005</v>
      </c>
      <c r="AW48">
        <f>$H$48*$AC$48</f>
        <v>75.260000000000005</v>
      </c>
      <c r="AX48">
        <f>$H$48*$AD$48</f>
        <v>75.260000000000005</v>
      </c>
      <c r="AY48">
        <f>$H$48*$AE$48</f>
        <v>75.260000000000005</v>
      </c>
      <c r="AZ48">
        <f>$H$48*$AF$48</f>
        <v>75.260000000000005</v>
      </c>
    </row>
    <row r="49" spans="1:52" x14ac:dyDescent="0.25">
      <c r="A49">
        <v>92</v>
      </c>
      <c r="B49" t="s">
        <v>309</v>
      </c>
      <c r="C49" t="s">
        <v>358</v>
      </c>
      <c r="D49">
        <v>2</v>
      </c>
      <c r="E49">
        <v>77.86</v>
      </c>
      <c r="F49" t="s">
        <v>317</v>
      </c>
      <c r="G49">
        <v>38.93</v>
      </c>
      <c r="H49">
        <v>93.44</v>
      </c>
      <c r="I49" t="s">
        <v>312</v>
      </c>
      <c r="J49" t="s">
        <v>354</v>
      </c>
      <c r="K49" t="s">
        <v>557</v>
      </c>
      <c r="L49" t="s">
        <v>178</v>
      </c>
      <c r="M49" t="s">
        <v>538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538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93.44</v>
      </c>
      <c r="AN49">
        <f>$H$49*$T$49</f>
        <v>93.44</v>
      </c>
      <c r="AO49">
        <f>$H$49*$U$49</f>
        <v>93.44</v>
      </c>
      <c r="AP49">
        <f>$H$49*$V$49</f>
        <v>93.44</v>
      </c>
      <c r="AQ49">
        <f>$H$49*$W$49</f>
        <v>93.44</v>
      </c>
      <c r="AR49">
        <f>$H$49*$X$49</f>
        <v>93.44</v>
      </c>
      <c r="AS49">
        <f>$H$49*$Y$49</f>
        <v>93.44</v>
      </c>
      <c r="AT49">
        <f>$H$49*$Z$49</f>
        <v>93.44</v>
      </c>
      <c r="AU49">
        <f>$H$49*$AA$49</f>
        <v>93.44</v>
      </c>
      <c r="AV49">
        <f>$H$49*$AB$49</f>
        <v>93.44</v>
      </c>
      <c r="AW49">
        <f>$H$49*$AC$49</f>
        <v>93.44</v>
      </c>
      <c r="AX49">
        <f>$H$49*$AD$49</f>
        <v>93.44</v>
      </c>
      <c r="AY49">
        <f>$H$49*$AE$49</f>
        <v>93.44</v>
      </c>
      <c r="AZ49">
        <f>$H$49*$AF$49</f>
        <v>93.44</v>
      </c>
    </row>
    <row r="50" spans="1:52" x14ac:dyDescent="0.25">
      <c r="A50">
        <v>93</v>
      </c>
      <c r="B50" t="s">
        <v>280</v>
      </c>
      <c r="C50" t="s">
        <v>397</v>
      </c>
      <c r="D50">
        <v>2</v>
      </c>
      <c r="E50">
        <v>26.54</v>
      </c>
      <c r="F50" t="s">
        <v>317</v>
      </c>
      <c r="G50">
        <v>13.27</v>
      </c>
      <c r="H50">
        <v>31.84</v>
      </c>
      <c r="I50" t="s">
        <v>319</v>
      </c>
      <c r="J50" t="s">
        <v>398</v>
      </c>
      <c r="K50" t="s">
        <v>577</v>
      </c>
      <c r="L50" t="s">
        <v>178</v>
      </c>
      <c r="M50" t="s">
        <v>280</v>
      </c>
      <c r="N50" t="s">
        <v>12</v>
      </c>
      <c r="O50" t="s">
        <v>281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1</v>
      </c>
      <c r="Y50">
        <v>1</v>
      </c>
      <c r="Z50">
        <v>1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280</v>
      </c>
      <c r="AH50" t="s">
        <v>12</v>
      </c>
      <c r="AI50" t="s">
        <v>281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31.84</v>
      </c>
      <c r="AS50">
        <f>$H$50*$Y$50</f>
        <v>31.84</v>
      </c>
      <c r="AT50">
        <f>$H$50*$Z$50</f>
        <v>31.84</v>
      </c>
      <c r="AU50">
        <f>$H$50*$AA$50</f>
        <v>31.84</v>
      </c>
      <c r="AV50">
        <f>$H$50*$AB$50</f>
        <v>31.84</v>
      </c>
      <c r="AW50">
        <f>$H$50*$AC$50</f>
        <v>31.84</v>
      </c>
      <c r="AX50">
        <f>$H$50*$AD$50</f>
        <v>31.84</v>
      </c>
      <c r="AY50">
        <f>$H$50*$AE$50</f>
        <v>31.84</v>
      </c>
      <c r="AZ50">
        <f>$H$50*$AF$50</f>
        <v>31.84</v>
      </c>
    </row>
    <row r="51" spans="1:52" x14ac:dyDescent="0.25">
      <c r="A51">
        <v>94</v>
      </c>
      <c r="B51" t="s">
        <v>280</v>
      </c>
      <c r="C51" t="s">
        <v>399</v>
      </c>
      <c r="D51">
        <v>1</v>
      </c>
      <c r="E51">
        <v>63.51</v>
      </c>
      <c r="F51" t="s">
        <v>317</v>
      </c>
      <c r="G51">
        <v>63.51</v>
      </c>
      <c r="H51">
        <v>76.209999999999994</v>
      </c>
      <c r="I51" t="s">
        <v>322</v>
      </c>
      <c r="J51" t="s">
        <v>355</v>
      </c>
      <c r="K51" t="s">
        <v>578</v>
      </c>
      <c r="L51" t="s">
        <v>178</v>
      </c>
      <c r="M51" t="s">
        <v>280</v>
      </c>
      <c r="N51" t="s">
        <v>12</v>
      </c>
      <c r="O51" t="s">
        <v>281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280</v>
      </c>
      <c r="AH51" t="s">
        <v>12</v>
      </c>
      <c r="AI51" t="s">
        <v>281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76.209999999999994</v>
      </c>
      <c r="AY51">
        <f>$H$51*$AE$51</f>
        <v>76.209999999999994</v>
      </c>
      <c r="AZ51">
        <f>$H$51*$AF$51</f>
        <v>76.209999999999994</v>
      </c>
    </row>
    <row r="52" spans="1:52" x14ac:dyDescent="0.25">
      <c r="A52">
        <v>95</v>
      </c>
      <c r="B52" t="s">
        <v>280</v>
      </c>
      <c r="C52" t="s">
        <v>345</v>
      </c>
      <c r="D52">
        <v>317.33</v>
      </c>
      <c r="E52">
        <v>310.98</v>
      </c>
      <c r="F52" t="s">
        <v>335</v>
      </c>
      <c r="G52">
        <v>0.98</v>
      </c>
      <c r="H52">
        <v>373.18</v>
      </c>
      <c r="I52" t="s">
        <v>312</v>
      </c>
      <c r="J52" t="s">
        <v>346</v>
      </c>
      <c r="K52" t="s">
        <v>552</v>
      </c>
      <c r="L52" t="s">
        <v>178</v>
      </c>
      <c r="M52" t="s">
        <v>280</v>
      </c>
      <c r="N52" t="s">
        <v>12</v>
      </c>
      <c r="O52" t="s">
        <v>281</v>
      </c>
      <c r="P52">
        <v>0</v>
      </c>
      <c r="Q52">
        <v>0</v>
      </c>
      <c r="R52">
        <v>0</v>
      </c>
      <c r="S52">
        <v>0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280</v>
      </c>
      <c r="AH52" t="s">
        <v>12</v>
      </c>
      <c r="AI52" t="s">
        <v>281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373.18</v>
      </c>
      <c r="AO52">
        <f>$H$52*$U$52</f>
        <v>373.18</v>
      </c>
      <c r="AP52">
        <f>$H$52*$V$52</f>
        <v>373.18</v>
      </c>
      <c r="AQ52">
        <f>$H$52*$W$52</f>
        <v>373.18</v>
      </c>
      <c r="AR52">
        <f>$H$52*$X$52</f>
        <v>373.18</v>
      </c>
      <c r="AS52">
        <f>$H$52*$Y$52</f>
        <v>373.18</v>
      </c>
      <c r="AT52">
        <f>$H$52*$Z$52</f>
        <v>373.18</v>
      </c>
      <c r="AU52">
        <f>$H$52*$AA$52</f>
        <v>373.18</v>
      </c>
      <c r="AV52">
        <f>$H$52*$AB$52</f>
        <v>373.18</v>
      </c>
      <c r="AW52">
        <f>$H$52*$AC$52</f>
        <v>373.18</v>
      </c>
      <c r="AX52">
        <f>$H$52*$AD$52</f>
        <v>373.18</v>
      </c>
      <c r="AY52">
        <f>$H$52*$AE$52</f>
        <v>373.18</v>
      </c>
      <c r="AZ52">
        <f>$H$52*$AF$52</f>
        <v>373.18</v>
      </c>
    </row>
    <row r="53" spans="1:52" x14ac:dyDescent="0.25">
      <c r="A53">
        <v>96</v>
      </c>
      <c r="B53" t="s">
        <v>280</v>
      </c>
      <c r="C53" t="s">
        <v>400</v>
      </c>
      <c r="D53">
        <v>317.33</v>
      </c>
      <c r="E53">
        <v>1066.23</v>
      </c>
      <c r="F53" t="s">
        <v>335</v>
      </c>
      <c r="G53">
        <v>3.36</v>
      </c>
      <c r="H53">
        <v>1279.47</v>
      </c>
      <c r="I53" t="s">
        <v>348</v>
      </c>
      <c r="J53" t="s">
        <v>401</v>
      </c>
      <c r="K53" t="s">
        <v>579</v>
      </c>
      <c r="L53" t="s">
        <v>178</v>
      </c>
      <c r="M53" t="s">
        <v>280</v>
      </c>
      <c r="N53" t="s">
        <v>12</v>
      </c>
      <c r="O53" t="s">
        <v>281</v>
      </c>
      <c r="P53">
        <v>0</v>
      </c>
      <c r="Q53">
        <v>0</v>
      </c>
      <c r="R53">
        <v>0</v>
      </c>
      <c r="S53">
        <v>0.25</v>
      </c>
      <c r="T53">
        <v>0.25</v>
      </c>
      <c r="U53">
        <v>0.25</v>
      </c>
      <c r="V53">
        <v>0.25</v>
      </c>
      <c r="W53">
        <v>0.5</v>
      </c>
      <c r="X53">
        <v>0.5</v>
      </c>
      <c r="Y53">
        <v>0.5</v>
      </c>
      <c r="Z53">
        <v>0.5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280</v>
      </c>
      <c r="AH53" t="s">
        <v>12</v>
      </c>
      <c r="AI53" t="s">
        <v>281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319.86750000000001</v>
      </c>
      <c r="AN53">
        <f>$H$53*$T$53</f>
        <v>319.86750000000001</v>
      </c>
      <c r="AO53">
        <f>$H$53*$U$53</f>
        <v>319.86750000000001</v>
      </c>
      <c r="AP53">
        <f>$H$53*$V$53</f>
        <v>319.86750000000001</v>
      </c>
      <c r="AQ53">
        <f>$H$53*$W$53</f>
        <v>639.73500000000001</v>
      </c>
      <c r="AR53">
        <f>$H$53*$X$53</f>
        <v>639.73500000000001</v>
      </c>
      <c r="AS53">
        <f>$H$53*$Y$53</f>
        <v>639.73500000000001</v>
      </c>
      <c r="AT53">
        <f>$H$53*$Z$53</f>
        <v>639.73500000000001</v>
      </c>
      <c r="AU53">
        <f>$H$53*$AA$53</f>
        <v>1279.47</v>
      </c>
      <c r="AV53">
        <f>$H$53*$AB$53</f>
        <v>1279.47</v>
      </c>
      <c r="AW53">
        <f>$H$53*$AC$53</f>
        <v>1279.47</v>
      </c>
      <c r="AX53">
        <f>$H$53*$AD$53</f>
        <v>1279.47</v>
      </c>
      <c r="AY53">
        <f>$H$53*$AE$53</f>
        <v>1279.47</v>
      </c>
      <c r="AZ53">
        <f>$H$53*$AF$53</f>
        <v>1279.47</v>
      </c>
    </row>
    <row r="54" spans="1:52" x14ac:dyDescent="0.25">
      <c r="A54">
        <v>97</v>
      </c>
      <c r="B54" t="s">
        <v>280</v>
      </c>
      <c r="C54" t="s">
        <v>402</v>
      </c>
      <c r="D54">
        <v>39.67</v>
      </c>
      <c r="E54">
        <v>59.9</v>
      </c>
      <c r="F54" t="s">
        <v>311</v>
      </c>
      <c r="G54">
        <v>1.51</v>
      </c>
      <c r="H54">
        <v>71.88</v>
      </c>
      <c r="I54" t="s">
        <v>312</v>
      </c>
      <c r="J54" t="s">
        <v>403</v>
      </c>
      <c r="K54" t="s">
        <v>580</v>
      </c>
      <c r="L54" t="s">
        <v>178</v>
      </c>
      <c r="M54" t="s">
        <v>280</v>
      </c>
      <c r="N54" t="s">
        <v>12</v>
      </c>
      <c r="O54" t="s">
        <v>281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280</v>
      </c>
      <c r="AH54" t="s">
        <v>12</v>
      </c>
      <c r="AI54" t="s">
        <v>281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71.88</v>
      </c>
      <c r="AN54">
        <f>$H$54*$T$54</f>
        <v>71.88</v>
      </c>
      <c r="AO54">
        <f>$H$54*$U$54</f>
        <v>71.88</v>
      </c>
      <c r="AP54">
        <f>$H$54*$V$54</f>
        <v>71.88</v>
      </c>
      <c r="AQ54">
        <f>$H$54*$W$54</f>
        <v>71.88</v>
      </c>
      <c r="AR54">
        <f>$H$54*$X$54</f>
        <v>71.88</v>
      </c>
      <c r="AS54">
        <f>$H$54*$Y$54</f>
        <v>71.88</v>
      </c>
      <c r="AT54">
        <f>$H$54*$Z$54</f>
        <v>71.88</v>
      </c>
      <c r="AU54">
        <f>$H$54*$AA$54</f>
        <v>71.88</v>
      </c>
      <c r="AV54">
        <f>$H$54*$AB$54</f>
        <v>71.88</v>
      </c>
      <c r="AW54">
        <f>$H$54*$AC$54</f>
        <v>71.88</v>
      </c>
      <c r="AX54">
        <f>$H$54*$AD$54</f>
        <v>71.88</v>
      </c>
      <c r="AY54">
        <f>$H$54*$AE$54</f>
        <v>71.88</v>
      </c>
      <c r="AZ54">
        <f>$H$54*$AF$54</f>
        <v>71.88</v>
      </c>
    </row>
    <row r="55" spans="1:52" x14ac:dyDescent="0.25">
      <c r="A55">
        <v>98</v>
      </c>
      <c r="B55" t="s">
        <v>280</v>
      </c>
      <c r="C55" t="s">
        <v>404</v>
      </c>
      <c r="D55">
        <v>39.67</v>
      </c>
      <c r="E55">
        <v>225.33</v>
      </c>
      <c r="F55" t="s">
        <v>311</v>
      </c>
      <c r="G55">
        <v>5.68</v>
      </c>
      <c r="H55">
        <v>270.39</v>
      </c>
      <c r="I55" t="s">
        <v>315</v>
      </c>
      <c r="J55" t="s">
        <v>405</v>
      </c>
      <c r="K55" t="s">
        <v>581</v>
      </c>
      <c r="L55" t="s">
        <v>178</v>
      </c>
      <c r="M55" t="s">
        <v>280</v>
      </c>
      <c r="N55" t="s">
        <v>12</v>
      </c>
      <c r="O55" t="s">
        <v>281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280</v>
      </c>
      <c r="AH55" t="s">
        <v>12</v>
      </c>
      <c r="AI55" t="s">
        <v>281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270.39</v>
      </c>
      <c r="AN55">
        <f>$H$55*$T$55</f>
        <v>270.39</v>
      </c>
      <c r="AO55">
        <f>$H$55*$U$55</f>
        <v>270.39</v>
      </c>
      <c r="AP55">
        <f>$H$55*$V$55</f>
        <v>270.39</v>
      </c>
      <c r="AQ55">
        <f>$H$55*$W$55</f>
        <v>270.39</v>
      </c>
      <c r="AR55">
        <f>$H$55*$X$55</f>
        <v>270.39</v>
      </c>
      <c r="AS55">
        <f>$H$55*$Y$55</f>
        <v>270.39</v>
      </c>
      <c r="AT55">
        <f>$H$55*$Z$55</f>
        <v>270.39</v>
      </c>
      <c r="AU55">
        <f>$H$55*$AA$55</f>
        <v>270.39</v>
      </c>
      <c r="AV55">
        <f>$H$55*$AB$55</f>
        <v>270.39</v>
      </c>
      <c r="AW55">
        <f>$H$55*$AC$55</f>
        <v>270.39</v>
      </c>
      <c r="AX55">
        <f>$H$55*$AD$55</f>
        <v>270.39</v>
      </c>
      <c r="AY55">
        <f>$H$55*$AE$55</f>
        <v>270.39</v>
      </c>
      <c r="AZ55">
        <f>$H$55*$AF$55</f>
        <v>270.39</v>
      </c>
    </row>
    <row r="56" spans="1:52" x14ac:dyDescent="0.25">
      <c r="A56">
        <v>99</v>
      </c>
      <c r="B56" t="s">
        <v>280</v>
      </c>
      <c r="C56" t="s">
        <v>400</v>
      </c>
      <c r="D56">
        <v>98.34</v>
      </c>
      <c r="E56">
        <v>330.42</v>
      </c>
      <c r="F56" t="s">
        <v>335</v>
      </c>
      <c r="G56">
        <v>3.36</v>
      </c>
      <c r="H56">
        <v>396.5</v>
      </c>
      <c r="I56" t="s">
        <v>348</v>
      </c>
      <c r="J56" t="s">
        <v>401</v>
      </c>
      <c r="K56" t="s">
        <v>579</v>
      </c>
      <c r="L56" t="s">
        <v>178</v>
      </c>
      <c r="M56" t="s">
        <v>280</v>
      </c>
      <c r="N56" t="s">
        <v>12</v>
      </c>
      <c r="O56" t="s">
        <v>281</v>
      </c>
      <c r="P56">
        <v>0</v>
      </c>
      <c r="Q56">
        <v>0</v>
      </c>
      <c r="R56">
        <v>0</v>
      </c>
      <c r="S56">
        <v>0.25</v>
      </c>
      <c r="T56">
        <v>0.25</v>
      </c>
      <c r="U56">
        <v>0.25</v>
      </c>
      <c r="V56">
        <v>0.25</v>
      </c>
      <c r="W56">
        <v>0.5</v>
      </c>
      <c r="X56">
        <v>0.5</v>
      </c>
      <c r="Y56">
        <v>0.5</v>
      </c>
      <c r="Z56">
        <v>0.5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280</v>
      </c>
      <c r="AH56" t="s">
        <v>12</v>
      </c>
      <c r="AI56" t="s">
        <v>281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99.125</v>
      </c>
      <c r="AN56">
        <f>$H$56*$T$56</f>
        <v>99.125</v>
      </c>
      <c r="AO56">
        <f>$H$56*$U$56</f>
        <v>99.125</v>
      </c>
      <c r="AP56">
        <f>$H$56*$V$56</f>
        <v>99.125</v>
      </c>
      <c r="AQ56">
        <f>$H$56*$W$56</f>
        <v>198.25</v>
      </c>
      <c r="AR56">
        <f>$H$56*$X$56</f>
        <v>198.25</v>
      </c>
      <c r="AS56">
        <f>$H$56*$Y$56</f>
        <v>198.25</v>
      </c>
      <c r="AT56">
        <f>$H$56*$Z$56</f>
        <v>198.25</v>
      </c>
      <c r="AU56">
        <f>$H$56*$AA$56</f>
        <v>396.5</v>
      </c>
      <c r="AV56">
        <f>$H$56*$AB$56</f>
        <v>396.5</v>
      </c>
      <c r="AW56">
        <f>$H$56*$AC$56</f>
        <v>396.5</v>
      </c>
      <c r="AX56">
        <f>$H$56*$AD$56</f>
        <v>396.5</v>
      </c>
      <c r="AY56">
        <f>$H$56*$AE$56</f>
        <v>396.5</v>
      </c>
      <c r="AZ56">
        <f>$H$56*$AF$56</f>
        <v>396.5</v>
      </c>
    </row>
    <row r="57" spans="1:52" x14ac:dyDescent="0.25">
      <c r="A57">
        <v>100</v>
      </c>
      <c r="B57" t="s">
        <v>280</v>
      </c>
      <c r="C57" t="s">
        <v>406</v>
      </c>
      <c r="D57">
        <v>98.34</v>
      </c>
      <c r="E57">
        <v>61.95</v>
      </c>
      <c r="F57" t="s">
        <v>335</v>
      </c>
      <c r="G57">
        <v>0.63</v>
      </c>
      <c r="H57">
        <v>74.349999999999994</v>
      </c>
      <c r="I57" t="s">
        <v>312</v>
      </c>
      <c r="J57" t="s">
        <v>407</v>
      </c>
      <c r="K57" t="s">
        <v>582</v>
      </c>
      <c r="L57" t="s">
        <v>178</v>
      </c>
      <c r="M57" t="s">
        <v>280</v>
      </c>
      <c r="N57" t="s">
        <v>12</v>
      </c>
      <c r="O57" t="s">
        <v>281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1</v>
      </c>
      <c r="AE57">
        <v>1</v>
      </c>
      <c r="AF57">
        <v>1</v>
      </c>
      <c r="AG57" t="s">
        <v>280</v>
      </c>
      <c r="AH57" t="s">
        <v>12</v>
      </c>
      <c r="AI57" t="s">
        <v>281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0</v>
      </c>
      <c r="AV57">
        <f>$H$57*$AB$57</f>
        <v>0</v>
      </c>
      <c r="AW57">
        <f>$H$57*$AC$57</f>
        <v>0</v>
      </c>
      <c r="AX57">
        <f>$H$57*$AD$57</f>
        <v>74.349999999999994</v>
      </c>
      <c r="AY57">
        <f>$H$57*$AE$57</f>
        <v>74.349999999999994</v>
      </c>
      <c r="AZ57">
        <f>$H$57*$AF$57</f>
        <v>74.349999999999994</v>
      </c>
    </row>
    <row r="58" spans="1:52" x14ac:dyDescent="0.25">
      <c r="A58">
        <v>101</v>
      </c>
      <c r="B58" t="s">
        <v>280</v>
      </c>
      <c r="C58" t="s">
        <v>408</v>
      </c>
      <c r="D58">
        <v>98.34</v>
      </c>
      <c r="E58">
        <v>67.849999999999994</v>
      </c>
      <c r="F58" t="s">
        <v>335</v>
      </c>
      <c r="G58">
        <v>0.69</v>
      </c>
      <c r="H58">
        <v>81.430000000000007</v>
      </c>
      <c r="I58" t="s">
        <v>312</v>
      </c>
      <c r="J58" t="s">
        <v>409</v>
      </c>
      <c r="K58" t="s">
        <v>583</v>
      </c>
      <c r="L58" t="s">
        <v>178</v>
      </c>
      <c r="M58" t="s">
        <v>280</v>
      </c>
      <c r="N58" t="s">
        <v>12</v>
      </c>
      <c r="O58" t="s">
        <v>281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280</v>
      </c>
      <c r="AH58" t="s">
        <v>12</v>
      </c>
      <c r="AI58" t="s">
        <v>281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81.430000000000007</v>
      </c>
      <c r="AN58">
        <f>$H$58*$T$58</f>
        <v>81.430000000000007</v>
      </c>
      <c r="AO58">
        <f>$H$58*$U$58</f>
        <v>81.430000000000007</v>
      </c>
      <c r="AP58">
        <f>$H$58*$V$58</f>
        <v>81.430000000000007</v>
      </c>
      <c r="AQ58">
        <f>$H$58*$W$58</f>
        <v>81.430000000000007</v>
      </c>
      <c r="AR58">
        <f>$H$58*$X$58</f>
        <v>81.430000000000007</v>
      </c>
      <c r="AS58">
        <f>$H$58*$Y$58</f>
        <v>81.430000000000007</v>
      </c>
      <c r="AT58">
        <f>$H$58*$Z$58</f>
        <v>81.430000000000007</v>
      </c>
      <c r="AU58">
        <f>$H$58*$AA$58</f>
        <v>81.430000000000007</v>
      </c>
      <c r="AV58">
        <f>$H$58*$AB$58</f>
        <v>81.430000000000007</v>
      </c>
      <c r="AW58">
        <f>$H$58*$AC$58</f>
        <v>81.430000000000007</v>
      </c>
      <c r="AX58">
        <f>$H$58*$AD$58</f>
        <v>81.430000000000007</v>
      </c>
      <c r="AY58">
        <f>$H$58*$AE$58</f>
        <v>81.430000000000007</v>
      </c>
      <c r="AZ58">
        <f>$H$58*$AF$58</f>
        <v>81.430000000000007</v>
      </c>
    </row>
    <row r="59" spans="1:52" x14ac:dyDescent="0.25">
      <c r="A59">
        <v>102</v>
      </c>
      <c r="B59" t="s">
        <v>280</v>
      </c>
      <c r="C59" t="s">
        <v>410</v>
      </c>
      <c r="D59">
        <v>20.65</v>
      </c>
      <c r="E59">
        <v>140.63</v>
      </c>
      <c r="F59" t="s">
        <v>335</v>
      </c>
      <c r="G59">
        <v>6.81</v>
      </c>
      <c r="H59">
        <v>168.75</v>
      </c>
      <c r="I59" t="s">
        <v>411</v>
      </c>
      <c r="J59" t="s">
        <v>412</v>
      </c>
      <c r="K59" t="s">
        <v>584</v>
      </c>
      <c r="L59" t="s">
        <v>178</v>
      </c>
      <c r="M59" t="s">
        <v>280</v>
      </c>
      <c r="N59" t="s">
        <v>12</v>
      </c>
      <c r="O59" t="s">
        <v>281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280</v>
      </c>
      <c r="AH59" t="s">
        <v>12</v>
      </c>
      <c r="AI59" t="s">
        <v>281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168.75</v>
      </c>
      <c r="AN59">
        <f>$H$59*$T$59</f>
        <v>168.75</v>
      </c>
      <c r="AO59">
        <f>$H$59*$U$59</f>
        <v>168.75</v>
      </c>
      <c r="AP59">
        <f>$H$59*$V$59</f>
        <v>168.75</v>
      </c>
      <c r="AQ59">
        <f>$H$59*$W$59</f>
        <v>168.75</v>
      </c>
      <c r="AR59">
        <f>$H$59*$X$59</f>
        <v>168.75</v>
      </c>
      <c r="AS59">
        <f>$H$59*$Y$59</f>
        <v>168.75</v>
      </c>
      <c r="AT59">
        <f>$H$59*$Z$59</f>
        <v>168.75</v>
      </c>
      <c r="AU59">
        <f>$H$59*$AA$59</f>
        <v>168.75</v>
      </c>
      <c r="AV59">
        <f>$H$59*$AB$59</f>
        <v>168.75</v>
      </c>
      <c r="AW59">
        <f>$H$59*$AC$59</f>
        <v>168.75</v>
      </c>
      <c r="AX59">
        <f>$H$59*$AD$59</f>
        <v>168.75</v>
      </c>
      <c r="AY59">
        <f>$H$59*$AE$59</f>
        <v>168.75</v>
      </c>
      <c r="AZ59">
        <f>$H$59*$AF$59</f>
        <v>168.75</v>
      </c>
    </row>
    <row r="60" spans="1:52" x14ac:dyDescent="0.25">
      <c r="A60">
        <v>103</v>
      </c>
      <c r="B60" t="s">
        <v>280</v>
      </c>
      <c r="C60" t="s">
        <v>413</v>
      </c>
      <c r="D60">
        <v>22.62</v>
      </c>
      <c r="E60">
        <v>166.71</v>
      </c>
      <c r="F60" t="s">
        <v>335</v>
      </c>
      <c r="G60">
        <v>7.37</v>
      </c>
      <c r="H60">
        <v>200.05</v>
      </c>
      <c r="I60" t="s">
        <v>411</v>
      </c>
      <c r="J60" t="s">
        <v>414</v>
      </c>
      <c r="K60" t="s">
        <v>585</v>
      </c>
      <c r="L60" t="s">
        <v>178</v>
      </c>
      <c r="M60" t="s">
        <v>280</v>
      </c>
      <c r="N60" t="s">
        <v>12</v>
      </c>
      <c r="O60" t="s">
        <v>281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280</v>
      </c>
      <c r="AH60" t="s">
        <v>12</v>
      </c>
      <c r="AI60" t="s">
        <v>281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200.05</v>
      </c>
      <c r="AN60">
        <f>$H$60*$T$60</f>
        <v>200.05</v>
      </c>
      <c r="AO60">
        <f>$H$60*$U$60</f>
        <v>200.05</v>
      </c>
      <c r="AP60">
        <f>$H$60*$V$60</f>
        <v>200.05</v>
      </c>
      <c r="AQ60">
        <f>$H$60*$W$60</f>
        <v>200.05</v>
      </c>
      <c r="AR60">
        <f>$H$60*$X$60</f>
        <v>200.05</v>
      </c>
      <c r="AS60">
        <f>$H$60*$Y$60</f>
        <v>200.05</v>
      </c>
      <c r="AT60">
        <f>$H$60*$Z$60</f>
        <v>200.05</v>
      </c>
      <c r="AU60">
        <f>$H$60*$AA$60</f>
        <v>200.05</v>
      </c>
      <c r="AV60">
        <f>$H$60*$AB$60</f>
        <v>200.05</v>
      </c>
      <c r="AW60">
        <f>$H$60*$AC$60</f>
        <v>200.05</v>
      </c>
      <c r="AX60">
        <f>$H$60*$AD$60</f>
        <v>200.05</v>
      </c>
      <c r="AY60">
        <f>$H$60*$AE$60</f>
        <v>200.05</v>
      </c>
      <c r="AZ60">
        <f>$H$60*$AF$60</f>
        <v>200.05</v>
      </c>
    </row>
    <row r="61" spans="1:52" x14ac:dyDescent="0.25">
      <c r="A61">
        <v>104</v>
      </c>
      <c r="B61" t="s">
        <v>280</v>
      </c>
      <c r="C61" t="s">
        <v>415</v>
      </c>
      <c r="D61">
        <v>21.27</v>
      </c>
      <c r="E61">
        <v>116.13</v>
      </c>
      <c r="F61" t="s">
        <v>335</v>
      </c>
      <c r="G61">
        <v>5.46</v>
      </c>
      <c r="H61">
        <v>139.35</v>
      </c>
      <c r="I61" t="s">
        <v>416</v>
      </c>
      <c r="J61" t="s">
        <v>417</v>
      </c>
      <c r="K61" t="s">
        <v>586</v>
      </c>
      <c r="L61" t="s">
        <v>178</v>
      </c>
      <c r="M61" t="s">
        <v>280</v>
      </c>
      <c r="N61" t="s">
        <v>12</v>
      </c>
      <c r="O61" t="s">
        <v>281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280</v>
      </c>
      <c r="AH61" t="s">
        <v>12</v>
      </c>
      <c r="AI61" t="s">
        <v>281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139.35</v>
      </c>
      <c r="AN61">
        <f>$H$61*$T$61</f>
        <v>139.35</v>
      </c>
      <c r="AO61">
        <f>$H$61*$U$61</f>
        <v>139.35</v>
      </c>
      <c r="AP61">
        <f>$H$61*$V$61</f>
        <v>139.35</v>
      </c>
      <c r="AQ61">
        <f>$H$61*$W$61</f>
        <v>139.35</v>
      </c>
      <c r="AR61">
        <f>$H$61*$X$61</f>
        <v>139.35</v>
      </c>
      <c r="AS61">
        <f>$H$61*$Y$61</f>
        <v>139.35</v>
      </c>
      <c r="AT61">
        <f>$H$61*$Z$61</f>
        <v>139.35</v>
      </c>
      <c r="AU61">
        <f>$H$61*$AA$61</f>
        <v>139.35</v>
      </c>
      <c r="AV61">
        <f>$H$61*$AB$61</f>
        <v>139.35</v>
      </c>
      <c r="AW61">
        <f>$H$61*$AC$61</f>
        <v>139.35</v>
      </c>
      <c r="AX61">
        <f>$H$61*$AD$61</f>
        <v>139.35</v>
      </c>
      <c r="AY61">
        <f>$H$61*$AE$61</f>
        <v>139.35</v>
      </c>
      <c r="AZ61">
        <f>$H$61*$AF$61</f>
        <v>139.35</v>
      </c>
    </row>
    <row r="62" spans="1:52" x14ac:dyDescent="0.25">
      <c r="A62">
        <v>105</v>
      </c>
      <c r="B62" t="s">
        <v>280</v>
      </c>
      <c r="C62" t="s">
        <v>418</v>
      </c>
      <c r="D62">
        <v>21.27</v>
      </c>
      <c r="E62">
        <v>76.150000000000006</v>
      </c>
      <c r="F62" t="s">
        <v>335</v>
      </c>
      <c r="G62">
        <v>3.58</v>
      </c>
      <c r="H62">
        <v>91.39</v>
      </c>
      <c r="I62" t="s">
        <v>416</v>
      </c>
      <c r="J62" t="s">
        <v>419</v>
      </c>
      <c r="K62" t="s">
        <v>587</v>
      </c>
      <c r="L62" t="s">
        <v>178</v>
      </c>
      <c r="M62" t="s">
        <v>280</v>
      </c>
      <c r="N62" t="s">
        <v>12</v>
      </c>
      <c r="O62" t="s">
        <v>281</v>
      </c>
      <c r="P62">
        <v>0</v>
      </c>
      <c r="Q62">
        <v>0</v>
      </c>
      <c r="R62">
        <v>0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280</v>
      </c>
      <c r="AH62" t="s">
        <v>12</v>
      </c>
      <c r="AI62" t="s">
        <v>281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91.39</v>
      </c>
      <c r="AN62">
        <f>$H$62*$T$62</f>
        <v>91.39</v>
      </c>
      <c r="AO62">
        <f>$H$62*$U$62</f>
        <v>91.39</v>
      </c>
      <c r="AP62">
        <f>$H$62*$V$62</f>
        <v>91.39</v>
      </c>
      <c r="AQ62">
        <f>$H$62*$W$62</f>
        <v>91.39</v>
      </c>
      <c r="AR62">
        <f>$H$62*$X$62</f>
        <v>91.39</v>
      </c>
      <c r="AS62">
        <f>$H$62*$Y$62</f>
        <v>91.39</v>
      </c>
      <c r="AT62">
        <f>$H$62*$Z$62</f>
        <v>91.39</v>
      </c>
      <c r="AU62">
        <f>$H$62*$AA$62</f>
        <v>91.39</v>
      </c>
      <c r="AV62">
        <f>$H$62*$AB$62</f>
        <v>91.39</v>
      </c>
      <c r="AW62">
        <f>$H$62*$AC$62</f>
        <v>91.39</v>
      </c>
      <c r="AX62">
        <f>$H$62*$AD$62</f>
        <v>91.39</v>
      </c>
      <c r="AY62">
        <f>$H$62*$AE$62</f>
        <v>91.39</v>
      </c>
      <c r="AZ62">
        <f>$H$62*$AF$62</f>
        <v>91.39</v>
      </c>
    </row>
    <row r="63" spans="1:52" x14ac:dyDescent="0.25">
      <c r="A63">
        <v>106</v>
      </c>
      <c r="B63" t="s">
        <v>280</v>
      </c>
      <c r="C63" t="s">
        <v>420</v>
      </c>
      <c r="D63">
        <v>21.27</v>
      </c>
      <c r="E63">
        <v>209.51</v>
      </c>
      <c r="F63" t="s">
        <v>335</v>
      </c>
      <c r="G63">
        <v>9.85</v>
      </c>
      <c r="H63">
        <v>251.41</v>
      </c>
      <c r="I63" t="s">
        <v>416</v>
      </c>
      <c r="J63" t="s">
        <v>414</v>
      </c>
      <c r="K63" t="s">
        <v>588</v>
      </c>
      <c r="L63" t="s">
        <v>178</v>
      </c>
      <c r="M63" t="s">
        <v>280</v>
      </c>
      <c r="N63" t="s">
        <v>12</v>
      </c>
      <c r="O63" t="s">
        <v>281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280</v>
      </c>
      <c r="AH63" t="s">
        <v>12</v>
      </c>
      <c r="AI63" t="s">
        <v>281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251.41</v>
      </c>
      <c r="AN63">
        <f>$H$63*$T$63</f>
        <v>251.41</v>
      </c>
      <c r="AO63">
        <f>$H$63*$U$63</f>
        <v>251.41</v>
      </c>
      <c r="AP63">
        <f>$H$63*$V$63</f>
        <v>251.41</v>
      </c>
      <c r="AQ63">
        <f>$H$63*$W$63</f>
        <v>251.41</v>
      </c>
      <c r="AR63">
        <f>$H$63*$X$63</f>
        <v>251.41</v>
      </c>
      <c r="AS63">
        <f>$H$63*$Y$63</f>
        <v>251.41</v>
      </c>
      <c r="AT63">
        <f>$H$63*$Z$63</f>
        <v>251.41</v>
      </c>
      <c r="AU63">
        <f>$H$63*$AA$63</f>
        <v>251.41</v>
      </c>
      <c r="AV63">
        <f>$H$63*$AB$63</f>
        <v>251.41</v>
      </c>
      <c r="AW63">
        <f>$H$63*$AC$63</f>
        <v>251.41</v>
      </c>
      <c r="AX63">
        <f>$H$63*$AD$63</f>
        <v>251.41</v>
      </c>
      <c r="AY63">
        <f>$H$63*$AE$63</f>
        <v>251.41</v>
      </c>
      <c r="AZ63">
        <f>$H$63*$AF$63</f>
        <v>251.41</v>
      </c>
    </row>
    <row r="64" spans="1:52" x14ac:dyDescent="0.25">
      <c r="A64">
        <v>107</v>
      </c>
      <c r="B64" t="s">
        <v>280</v>
      </c>
      <c r="C64" t="s">
        <v>421</v>
      </c>
      <c r="D64">
        <v>22.62</v>
      </c>
      <c r="E64">
        <v>21.94</v>
      </c>
      <c r="F64" t="s">
        <v>335</v>
      </c>
      <c r="G64">
        <v>0.97</v>
      </c>
      <c r="H64">
        <v>26.32</v>
      </c>
      <c r="I64" t="s">
        <v>360</v>
      </c>
      <c r="J64" t="s">
        <v>422</v>
      </c>
      <c r="K64" t="s">
        <v>589</v>
      </c>
      <c r="L64" t="s">
        <v>178</v>
      </c>
      <c r="M64" t="s">
        <v>280</v>
      </c>
      <c r="N64" t="s">
        <v>12</v>
      </c>
      <c r="O64" t="s">
        <v>281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280</v>
      </c>
      <c r="AH64" t="s">
        <v>12</v>
      </c>
      <c r="AI64" t="s">
        <v>281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26.32</v>
      </c>
      <c r="AN64">
        <f>$H$64*$T$64</f>
        <v>26.32</v>
      </c>
      <c r="AO64">
        <f>$H$64*$U$64</f>
        <v>26.32</v>
      </c>
      <c r="AP64">
        <f>$H$64*$V$64</f>
        <v>26.32</v>
      </c>
      <c r="AQ64">
        <f>$H$64*$W$64</f>
        <v>26.32</v>
      </c>
      <c r="AR64">
        <f>$H$64*$X$64</f>
        <v>26.32</v>
      </c>
      <c r="AS64">
        <f>$H$64*$Y$64</f>
        <v>26.32</v>
      </c>
      <c r="AT64">
        <f>$H$64*$Z$64</f>
        <v>26.32</v>
      </c>
      <c r="AU64">
        <f>$H$64*$AA$64</f>
        <v>26.32</v>
      </c>
      <c r="AV64">
        <f>$H$64*$AB$64</f>
        <v>26.32</v>
      </c>
      <c r="AW64">
        <f>$H$64*$AC$64</f>
        <v>26.32</v>
      </c>
      <c r="AX64">
        <f>$H$64*$AD$64</f>
        <v>26.32</v>
      </c>
      <c r="AY64">
        <f>$H$64*$AE$64</f>
        <v>26.32</v>
      </c>
      <c r="AZ64">
        <f>$H$64*$AF$64</f>
        <v>26.32</v>
      </c>
    </row>
    <row r="65" spans="1:52" x14ac:dyDescent="0.25">
      <c r="A65">
        <v>108</v>
      </c>
      <c r="B65" t="s">
        <v>280</v>
      </c>
      <c r="C65" t="s">
        <v>423</v>
      </c>
      <c r="D65">
        <v>22.62</v>
      </c>
      <c r="E65">
        <v>173.27</v>
      </c>
      <c r="F65" t="s">
        <v>335</v>
      </c>
      <c r="G65">
        <v>7.66</v>
      </c>
      <c r="H65">
        <v>207.93</v>
      </c>
      <c r="I65" t="s">
        <v>360</v>
      </c>
      <c r="J65" t="s">
        <v>414</v>
      </c>
      <c r="K65" t="s">
        <v>590</v>
      </c>
      <c r="L65" t="s">
        <v>178</v>
      </c>
      <c r="M65" t="s">
        <v>280</v>
      </c>
      <c r="N65" t="s">
        <v>12</v>
      </c>
      <c r="O65" t="s">
        <v>281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280</v>
      </c>
      <c r="AH65" t="s">
        <v>12</v>
      </c>
      <c r="AI65" t="s">
        <v>281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207.93</v>
      </c>
      <c r="AN65">
        <f>$H$65*$T$65</f>
        <v>207.93</v>
      </c>
      <c r="AO65">
        <f>$H$65*$U$65</f>
        <v>207.93</v>
      </c>
      <c r="AP65">
        <f>$H$65*$V$65</f>
        <v>207.93</v>
      </c>
      <c r="AQ65">
        <f>$H$65*$W$65</f>
        <v>207.93</v>
      </c>
      <c r="AR65">
        <f>$H$65*$X$65</f>
        <v>207.93</v>
      </c>
      <c r="AS65">
        <f>$H$65*$Y$65</f>
        <v>207.93</v>
      </c>
      <c r="AT65">
        <f>$H$65*$Z$65</f>
        <v>207.93</v>
      </c>
      <c r="AU65">
        <f>$H$65*$AA$65</f>
        <v>207.93</v>
      </c>
      <c r="AV65">
        <f>$H$65*$AB$65</f>
        <v>207.93</v>
      </c>
      <c r="AW65">
        <f>$H$65*$AC$65</f>
        <v>207.93</v>
      </c>
      <c r="AX65">
        <f>$H$65*$AD$65</f>
        <v>207.93</v>
      </c>
      <c r="AY65">
        <f>$H$65*$AE$65</f>
        <v>207.93</v>
      </c>
      <c r="AZ65">
        <f>$H$65*$AF$65</f>
        <v>207.93</v>
      </c>
    </row>
    <row r="66" spans="1:52" x14ac:dyDescent="0.25">
      <c r="A66">
        <v>109</v>
      </c>
      <c r="B66" t="s">
        <v>291</v>
      </c>
      <c r="C66" t="s">
        <v>397</v>
      </c>
      <c r="D66">
        <v>2</v>
      </c>
      <c r="E66">
        <v>26.54</v>
      </c>
      <c r="F66" t="s">
        <v>317</v>
      </c>
      <c r="G66">
        <v>13.27</v>
      </c>
      <c r="H66">
        <v>31.84</v>
      </c>
      <c r="I66" t="s">
        <v>319</v>
      </c>
      <c r="J66" t="s">
        <v>398</v>
      </c>
      <c r="K66" t="s">
        <v>577</v>
      </c>
      <c r="L66" t="s">
        <v>178</v>
      </c>
      <c r="M66" t="s">
        <v>291</v>
      </c>
      <c r="N66" t="s">
        <v>51</v>
      </c>
      <c r="O66" t="s">
        <v>290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291</v>
      </c>
      <c r="AH66" t="s">
        <v>51</v>
      </c>
      <c r="AI66" t="s">
        <v>290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31.84</v>
      </c>
      <c r="AS66">
        <f>$H$66*$Y$66</f>
        <v>31.84</v>
      </c>
      <c r="AT66">
        <f>$H$66*$Z$66</f>
        <v>31.84</v>
      </c>
      <c r="AU66">
        <f>$H$66*$AA$66</f>
        <v>31.84</v>
      </c>
      <c r="AV66">
        <f>$H$66*$AB$66</f>
        <v>31.84</v>
      </c>
      <c r="AW66">
        <f>$H$66*$AC$66</f>
        <v>31.84</v>
      </c>
      <c r="AX66">
        <f>$H$66*$AD$66</f>
        <v>31.84</v>
      </c>
      <c r="AY66">
        <f>$H$66*$AE$66</f>
        <v>31.84</v>
      </c>
      <c r="AZ66">
        <f>$H$66*$AF$66</f>
        <v>31.84</v>
      </c>
    </row>
    <row r="67" spans="1:52" x14ac:dyDescent="0.25">
      <c r="A67">
        <v>110</v>
      </c>
      <c r="B67" t="s">
        <v>291</v>
      </c>
      <c r="C67" t="s">
        <v>341</v>
      </c>
      <c r="D67">
        <v>21</v>
      </c>
      <c r="E67">
        <v>93.24</v>
      </c>
      <c r="F67" t="s">
        <v>311</v>
      </c>
      <c r="G67">
        <v>4.4400000000000004</v>
      </c>
      <c r="H67">
        <v>111.88</v>
      </c>
      <c r="I67" t="s">
        <v>312</v>
      </c>
      <c r="J67" t="s">
        <v>342</v>
      </c>
      <c r="K67" t="s">
        <v>550</v>
      </c>
      <c r="L67" t="s">
        <v>178</v>
      </c>
      <c r="M67" t="s">
        <v>291</v>
      </c>
      <c r="N67" t="s">
        <v>51</v>
      </c>
      <c r="O67" t="s">
        <v>290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291</v>
      </c>
      <c r="AH67" t="s">
        <v>51</v>
      </c>
      <c r="AI67" t="s">
        <v>290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111.88</v>
      </c>
      <c r="AV67">
        <f>$H$67*$AB$67</f>
        <v>111.88</v>
      </c>
      <c r="AW67">
        <f>$H$67*$AC$67</f>
        <v>111.88</v>
      </c>
      <c r="AX67">
        <f>$H$67*$AD$67</f>
        <v>111.88</v>
      </c>
      <c r="AY67">
        <f>$H$67*$AE$67</f>
        <v>111.88</v>
      </c>
      <c r="AZ67">
        <f>$H$67*$AF$67</f>
        <v>111.88</v>
      </c>
    </row>
    <row r="68" spans="1:52" x14ac:dyDescent="0.25">
      <c r="A68">
        <v>111</v>
      </c>
      <c r="B68" t="s">
        <v>291</v>
      </c>
      <c r="C68" t="s">
        <v>343</v>
      </c>
      <c r="D68">
        <v>21</v>
      </c>
      <c r="E68">
        <v>242.55</v>
      </c>
      <c r="F68" t="s">
        <v>311</v>
      </c>
      <c r="G68">
        <v>11.55</v>
      </c>
      <c r="H68">
        <v>291.07</v>
      </c>
      <c r="I68" t="s">
        <v>315</v>
      </c>
      <c r="J68" t="s">
        <v>344</v>
      </c>
      <c r="K68" t="s">
        <v>551</v>
      </c>
      <c r="L68" t="s">
        <v>178</v>
      </c>
      <c r="M68" t="s">
        <v>291</v>
      </c>
      <c r="N68" t="s">
        <v>51</v>
      </c>
      <c r="O68" t="s">
        <v>290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291</v>
      </c>
      <c r="AH68" t="s">
        <v>51</v>
      </c>
      <c r="AI68" t="s">
        <v>290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291.07</v>
      </c>
      <c r="AV68">
        <f>$H$68*$AB$68</f>
        <v>291.07</v>
      </c>
      <c r="AW68">
        <f>$H$68*$AC$68</f>
        <v>291.07</v>
      </c>
      <c r="AX68">
        <f>$H$68*$AD$68</f>
        <v>291.07</v>
      </c>
      <c r="AY68">
        <f>$H$68*$AE$68</f>
        <v>291.07</v>
      </c>
      <c r="AZ68">
        <f>$H$68*$AF$68</f>
        <v>291.07</v>
      </c>
    </row>
    <row r="69" spans="1:52" x14ac:dyDescent="0.25">
      <c r="A69">
        <v>112</v>
      </c>
      <c r="B69" t="s">
        <v>291</v>
      </c>
      <c r="C69" t="s">
        <v>395</v>
      </c>
      <c r="D69">
        <v>21</v>
      </c>
      <c r="E69">
        <v>99.75</v>
      </c>
      <c r="F69" t="s">
        <v>311</v>
      </c>
      <c r="G69">
        <v>4.75</v>
      </c>
      <c r="H69">
        <v>119.71</v>
      </c>
      <c r="I69" t="s">
        <v>315</v>
      </c>
      <c r="J69" t="s">
        <v>396</v>
      </c>
      <c r="K69" t="s">
        <v>576</v>
      </c>
      <c r="L69" t="s">
        <v>178</v>
      </c>
      <c r="M69" t="s">
        <v>291</v>
      </c>
      <c r="N69" t="s">
        <v>51</v>
      </c>
      <c r="O69" t="s">
        <v>290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</v>
      </c>
      <c r="AF69">
        <v>1</v>
      </c>
      <c r="AG69" t="s">
        <v>291</v>
      </c>
      <c r="AH69" t="s">
        <v>51</v>
      </c>
      <c r="AI69" t="s">
        <v>290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0</v>
      </c>
      <c r="AV69">
        <f>$H$69*$AB$69</f>
        <v>0</v>
      </c>
      <c r="AW69">
        <f>$H$69*$AC$69</f>
        <v>119.71</v>
      </c>
      <c r="AX69">
        <f>$H$69*$AD$69</f>
        <v>119.71</v>
      </c>
      <c r="AY69">
        <f>$H$69*$AE$69</f>
        <v>119.71</v>
      </c>
      <c r="AZ69">
        <f>$H$69*$AF$69</f>
        <v>119.71</v>
      </c>
    </row>
    <row r="70" spans="1:52" x14ac:dyDescent="0.25">
      <c r="A70">
        <v>113</v>
      </c>
      <c r="B70" t="s">
        <v>291</v>
      </c>
      <c r="C70" t="s">
        <v>424</v>
      </c>
      <c r="D70">
        <v>1</v>
      </c>
      <c r="E70">
        <v>48.06</v>
      </c>
      <c r="F70" t="s">
        <v>317</v>
      </c>
      <c r="G70">
        <v>48.06</v>
      </c>
      <c r="H70">
        <v>57.68</v>
      </c>
      <c r="I70" t="s">
        <v>322</v>
      </c>
      <c r="J70" t="s">
        <v>425</v>
      </c>
      <c r="K70" t="s">
        <v>591</v>
      </c>
      <c r="L70" t="s">
        <v>178</v>
      </c>
      <c r="M70" t="s">
        <v>291</v>
      </c>
      <c r="N70" t="s">
        <v>51</v>
      </c>
      <c r="O70" t="s">
        <v>290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1</v>
      </c>
      <c r="AE70">
        <v>1</v>
      </c>
      <c r="AF70">
        <v>1</v>
      </c>
      <c r="AG70" t="s">
        <v>291</v>
      </c>
      <c r="AH70" t="s">
        <v>51</v>
      </c>
      <c r="AI70" t="s">
        <v>290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0</v>
      </c>
      <c r="AV70">
        <f>$H$70*$AB$70</f>
        <v>0</v>
      </c>
      <c r="AW70">
        <f>$H$70*$AC$70</f>
        <v>0</v>
      </c>
      <c r="AX70">
        <f>$H$70*$AD$70</f>
        <v>57.68</v>
      </c>
      <c r="AY70">
        <f>$H$70*$AE$70</f>
        <v>57.68</v>
      </c>
      <c r="AZ70">
        <f>$H$70*$AF$70</f>
        <v>57.68</v>
      </c>
    </row>
    <row r="71" spans="1:52" x14ac:dyDescent="0.25">
      <c r="A71">
        <v>114</v>
      </c>
      <c r="B71" t="s">
        <v>291</v>
      </c>
      <c r="C71" t="s">
        <v>350</v>
      </c>
      <c r="D71">
        <v>1</v>
      </c>
      <c r="E71">
        <v>47.96</v>
      </c>
      <c r="F71" t="s">
        <v>317</v>
      </c>
      <c r="G71">
        <v>47.96</v>
      </c>
      <c r="H71">
        <v>57.56</v>
      </c>
      <c r="I71" t="s">
        <v>351</v>
      </c>
      <c r="J71" t="s">
        <v>352</v>
      </c>
      <c r="K71" t="s">
        <v>554</v>
      </c>
      <c r="L71" t="s">
        <v>178</v>
      </c>
      <c r="M71" t="s">
        <v>291</v>
      </c>
      <c r="N71" t="s">
        <v>51</v>
      </c>
      <c r="O71" t="s">
        <v>290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291</v>
      </c>
      <c r="AH71" t="s">
        <v>51</v>
      </c>
      <c r="AI71" t="s">
        <v>290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57.56</v>
      </c>
      <c r="AV71">
        <f>$H$71*$AB$71</f>
        <v>57.56</v>
      </c>
      <c r="AW71">
        <f>$H$71*$AC$71</f>
        <v>57.56</v>
      </c>
      <c r="AX71">
        <f>$H$71*$AD$71</f>
        <v>57.56</v>
      </c>
      <c r="AY71">
        <f>$H$71*$AE$71</f>
        <v>57.56</v>
      </c>
      <c r="AZ71">
        <f>$H$71*$AF$71</f>
        <v>57.56</v>
      </c>
    </row>
    <row r="72" spans="1:52" x14ac:dyDescent="0.25">
      <c r="A72">
        <v>115</v>
      </c>
      <c r="B72" t="s">
        <v>291</v>
      </c>
      <c r="C72" t="s">
        <v>358</v>
      </c>
      <c r="D72">
        <v>2</v>
      </c>
      <c r="E72">
        <v>77.86</v>
      </c>
      <c r="F72" t="s">
        <v>317</v>
      </c>
      <c r="G72">
        <v>38.93</v>
      </c>
      <c r="H72">
        <v>93.44</v>
      </c>
      <c r="I72" t="s">
        <v>312</v>
      </c>
      <c r="J72" t="s">
        <v>354</v>
      </c>
      <c r="K72" t="s">
        <v>557</v>
      </c>
      <c r="L72" t="s">
        <v>178</v>
      </c>
      <c r="M72" t="s">
        <v>291</v>
      </c>
      <c r="N72" t="s">
        <v>51</v>
      </c>
      <c r="O72" t="s">
        <v>290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291</v>
      </c>
      <c r="AH72" t="s">
        <v>51</v>
      </c>
      <c r="AI72" t="s">
        <v>290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93.44</v>
      </c>
      <c r="AN72">
        <f>$H$72*$T$72</f>
        <v>93.44</v>
      </c>
      <c r="AO72">
        <f>$H$72*$U$72</f>
        <v>93.44</v>
      </c>
      <c r="AP72">
        <f>$H$72*$V$72</f>
        <v>93.44</v>
      </c>
      <c r="AQ72">
        <f>$H$72*$W$72</f>
        <v>93.44</v>
      </c>
      <c r="AR72">
        <f>$H$72*$X$72</f>
        <v>93.44</v>
      </c>
      <c r="AS72">
        <f>$H$72*$Y$72</f>
        <v>93.44</v>
      </c>
      <c r="AT72">
        <f>$H$72*$Z$72</f>
        <v>93.44</v>
      </c>
      <c r="AU72">
        <f>$H$72*$AA$72</f>
        <v>93.44</v>
      </c>
      <c r="AV72">
        <f>$H$72*$AB$72</f>
        <v>93.44</v>
      </c>
      <c r="AW72">
        <f>$H$72*$AC$72</f>
        <v>93.44</v>
      </c>
      <c r="AX72">
        <f>$H$72*$AD$72</f>
        <v>93.44</v>
      </c>
      <c r="AY72">
        <f>$H$72*$AE$72</f>
        <v>93.44</v>
      </c>
      <c r="AZ72">
        <f>$H$72*$AF$72</f>
        <v>93.44</v>
      </c>
    </row>
    <row r="73" spans="1:52" x14ac:dyDescent="0.25">
      <c r="A73">
        <v>116</v>
      </c>
      <c r="B73" t="s">
        <v>291</v>
      </c>
      <c r="C73" t="s">
        <v>356</v>
      </c>
      <c r="D73">
        <v>2</v>
      </c>
      <c r="E73">
        <v>62.72</v>
      </c>
      <c r="F73" t="s">
        <v>317</v>
      </c>
      <c r="G73">
        <v>31.36</v>
      </c>
      <c r="H73">
        <v>75.260000000000005</v>
      </c>
      <c r="I73" t="s">
        <v>312</v>
      </c>
      <c r="J73" t="s">
        <v>357</v>
      </c>
      <c r="K73" t="s">
        <v>556</v>
      </c>
      <c r="L73" t="s">
        <v>178</v>
      </c>
      <c r="M73" t="s">
        <v>291</v>
      </c>
      <c r="N73" t="s">
        <v>51</v>
      </c>
      <c r="O73" t="s">
        <v>290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291</v>
      </c>
      <c r="AH73" t="s">
        <v>51</v>
      </c>
      <c r="AI73" t="s">
        <v>290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75.260000000000005</v>
      </c>
      <c r="AN73">
        <f>$H$73*$T$73</f>
        <v>75.260000000000005</v>
      </c>
      <c r="AO73">
        <f>$H$73*$U$73</f>
        <v>75.260000000000005</v>
      </c>
      <c r="AP73">
        <f>$H$73*$V$73</f>
        <v>75.260000000000005</v>
      </c>
      <c r="AQ73">
        <f>$H$73*$W$73</f>
        <v>75.260000000000005</v>
      </c>
      <c r="AR73">
        <f>$H$73*$X$73</f>
        <v>75.260000000000005</v>
      </c>
      <c r="AS73">
        <f>$H$73*$Y$73</f>
        <v>75.260000000000005</v>
      </c>
      <c r="AT73">
        <f>$H$73*$Z$73</f>
        <v>75.260000000000005</v>
      </c>
      <c r="AU73">
        <f>$H$73*$AA$73</f>
        <v>75.260000000000005</v>
      </c>
      <c r="AV73">
        <f>$H$73*$AB$73</f>
        <v>75.260000000000005</v>
      </c>
      <c r="AW73">
        <f>$H$73*$AC$73</f>
        <v>75.260000000000005</v>
      </c>
      <c r="AX73">
        <f>$H$73*$AD$73</f>
        <v>75.260000000000005</v>
      </c>
      <c r="AY73">
        <f>$H$73*$AE$73</f>
        <v>75.260000000000005</v>
      </c>
      <c r="AZ73">
        <f>$H$73*$AF$73</f>
        <v>75.260000000000005</v>
      </c>
    </row>
    <row r="74" spans="1:52" x14ac:dyDescent="0.25">
      <c r="A74">
        <v>117</v>
      </c>
      <c r="B74" t="s">
        <v>291</v>
      </c>
      <c r="C74" t="s">
        <v>353</v>
      </c>
      <c r="D74">
        <v>1</v>
      </c>
      <c r="E74">
        <v>365.09</v>
      </c>
      <c r="F74" t="s">
        <v>317</v>
      </c>
      <c r="G74">
        <v>365.09</v>
      </c>
      <c r="H74">
        <v>438.11</v>
      </c>
      <c r="I74" t="s">
        <v>354</v>
      </c>
      <c r="J74" t="s">
        <v>355</v>
      </c>
      <c r="K74" t="s">
        <v>555</v>
      </c>
      <c r="L74" t="s">
        <v>178</v>
      </c>
      <c r="M74" t="s">
        <v>291</v>
      </c>
      <c r="N74" t="s">
        <v>51</v>
      </c>
      <c r="O74" t="s">
        <v>290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291</v>
      </c>
      <c r="AH74" t="s">
        <v>51</v>
      </c>
      <c r="AI74" t="s">
        <v>290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438.11</v>
      </c>
      <c r="AO74">
        <f>$H$74*$U$74</f>
        <v>438.11</v>
      </c>
      <c r="AP74">
        <f>$H$74*$V$74</f>
        <v>438.11</v>
      </c>
      <c r="AQ74">
        <f>$H$74*$W$74</f>
        <v>438.11</v>
      </c>
      <c r="AR74">
        <f>$H$74*$X$74</f>
        <v>438.11</v>
      </c>
      <c r="AS74">
        <f>$H$74*$Y$74</f>
        <v>438.11</v>
      </c>
      <c r="AT74">
        <f>$H$74*$Z$74</f>
        <v>438.11</v>
      </c>
      <c r="AU74">
        <f>$H$74*$AA$74</f>
        <v>438.11</v>
      </c>
      <c r="AV74">
        <f>$H$74*$AB$74</f>
        <v>438.11</v>
      </c>
      <c r="AW74">
        <f>$H$74*$AC$74</f>
        <v>438.11</v>
      </c>
      <c r="AX74">
        <f>$H$74*$AD$74</f>
        <v>438.11</v>
      </c>
      <c r="AY74">
        <f>$H$74*$AE$74</f>
        <v>438.11</v>
      </c>
      <c r="AZ74">
        <f>$H$74*$AF$74</f>
        <v>438.11</v>
      </c>
    </row>
    <row r="75" spans="1:52" x14ac:dyDescent="0.25">
      <c r="A75">
        <v>118</v>
      </c>
      <c r="B75" t="s">
        <v>291</v>
      </c>
      <c r="C75" t="s">
        <v>345</v>
      </c>
      <c r="D75">
        <v>349.33</v>
      </c>
      <c r="E75">
        <v>342.34</v>
      </c>
      <c r="F75" t="s">
        <v>335</v>
      </c>
      <c r="G75">
        <v>0.98</v>
      </c>
      <c r="H75">
        <v>410.8</v>
      </c>
      <c r="I75" t="s">
        <v>312</v>
      </c>
      <c r="J75" t="s">
        <v>346</v>
      </c>
      <c r="K75" t="s">
        <v>552</v>
      </c>
      <c r="L75" t="s">
        <v>178</v>
      </c>
      <c r="M75" t="s">
        <v>291</v>
      </c>
      <c r="N75" t="s">
        <v>51</v>
      </c>
      <c r="O75" t="s">
        <v>290</v>
      </c>
      <c r="P75">
        <v>0</v>
      </c>
      <c r="Q75">
        <v>0</v>
      </c>
      <c r="R75">
        <v>0</v>
      </c>
      <c r="S75">
        <v>0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291</v>
      </c>
      <c r="AH75" t="s">
        <v>51</v>
      </c>
      <c r="AI75" t="s">
        <v>290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410.8</v>
      </c>
      <c r="AO75">
        <f>$H$75*$U$75</f>
        <v>410.8</v>
      </c>
      <c r="AP75">
        <f>$H$75*$V$75</f>
        <v>410.8</v>
      </c>
      <c r="AQ75">
        <f>$H$75*$W$75</f>
        <v>410.8</v>
      </c>
      <c r="AR75">
        <f>$H$75*$X$75</f>
        <v>410.8</v>
      </c>
      <c r="AS75">
        <f>$H$75*$Y$75</f>
        <v>410.8</v>
      </c>
      <c r="AT75">
        <f>$H$75*$Z$75</f>
        <v>410.8</v>
      </c>
      <c r="AU75">
        <f>$H$75*$AA$75</f>
        <v>410.8</v>
      </c>
      <c r="AV75">
        <f>$H$75*$AB$75</f>
        <v>410.8</v>
      </c>
      <c r="AW75">
        <f>$H$75*$AC$75</f>
        <v>410.8</v>
      </c>
      <c r="AX75">
        <f>$H$75*$AD$75</f>
        <v>410.8</v>
      </c>
      <c r="AY75">
        <f>$H$75*$AE$75</f>
        <v>410.8</v>
      </c>
      <c r="AZ75">
        <f>$H$75*$AF$75</f>
        <v>410.8</v>
      </c>
    </row>
    <row r="76" spans="1:52" x14ac:dyDescent="0.25">
      <c r="A76">
        <v>119</v>
      </c>
      <c r="B76" t="s">
        <v>291</v>
      </c>
      <c r="C76" t="s">
        <v>400</v>
      </c>
      <c r="D76">
        <v>349.33</v>
      </c>
      <c r="E76">
        <v>1173.75</v>
      </c>
      <c r="F76" t="s">
        <v>335</v>
      </c>
      <c r="G76">
        <v>3.36</v>
      </c>
      <c r="H76">
        <v>1408.51</v>
      </c>
      <c r="I76" t="s">
        <v>348</v>
      </c>
      <c r="J76" t="s">
        <v>401</v>
      </c>
      <c r="K76" t="s">
        <v>579</v>
      </c>
      <c r="L76" t="s">
        <v>178</v>
      </c>
      <c r="M76" t="s">
        <v>291</v>
      </c>
      <c r="N76" t="s">
        <v>51</v>
      </c>
      <c r="O76" t="s">
        <v>290</v>
      </c>
      <c r="P76">
        <v>0</v>
      </c>
      <c r="Q76">
        <v>0</v>
      </c>
      <c r="R76">
        <v>0</v>
      </c>
      <c r="S76">
        <v>0.25</v>
      </c>
      <c r="T76">
        <v>0.25</v>
      </c>
      <c r="U76">
        <v>0.25</v>
      </c>
      <c r="V76">
        <v>0.25</v>
      </c>
      <c r="W76">
        <v>0.5</v>
      </c>
      <c r="X76">
        <v>0.5</v>
      </c>
      <c r="Y76">
        <v>0.5</v>
      </c>
      <c r="Z76">
        <v>0.5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291</v>
      </c>
      <c r="AH76" t="s">
        <v>51</v>
      </c>
      <c r="AI76" t="s">
        <v>290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352.1275</v>
      </c>
      <c r="AN76">
        <f>$H$76*$T$76</f>
        <v>352.1275</v>
      </c>
      <c r="AO76">
        <f>$H$76*$U$76</f>
        <v>352.1275</v>
      </c>
      <c r="AP76">
        <f>$H$76*$V$76</f>
        <v>352.1275</v>
      </c>
      <c r="AQ76">
        <f>$H$76*$W$76</f>
        <v>704.255</v>
      </c>
      <c r="AR76">
        <f>$H$76*$X$76</f>
        <v>704.255</v>
      </c>
      <c r="AS76">
        <f>$H$76*$Y$76</f>
        <v>704.255</v>
      </c>
      <c r="AT76">
        <f>$H$76*$Z$76</f>
        <v>704.255</v>
      </c>
      <c r="AU76">
        <f>$H$76*$AA$76</f>
        <v>1408.51</v>
      </c>
      <c r="AV76">
        <f>$H$76*$AB$76</f>
        <v>1408.51</v>
      </c>
      <c r="AW76">
        <f>$H$76*$AC$76</f>
        <v>1408.51</v>
      </c>
      <c r="AX76">
        <f>$H$76*$AD$76</f>
        <v>1408.51</v>
      </c>
      <c r="AY76">
        <f>$H$76*$AE$76</f>
        <v>1408.51</v>
      </c>
      <c r="AZ76">
        <f>$H$76*$AF$76</f>
        <v>1408.51</v>
      </c>
    </row>
    <row r="77" spans="1:52" x14ac:dyDescent="0.25">
      <c r="A77">
        <v>120</v>
      </c>
      <c r="B77" t="s">
        <v>291</v>
      </c>
      <c r="C77" t="s">
        <v>402</v>
      </c>
      <c r="D77">
        <v>43.67</v>
      </c>
      <c r="E77">
        <v>65.94</v>
      </c>
      <c r="F77" t="s">
        <v>311</v>
      </c>
      <c r="G77">
        <v>1.51</v>
      </c>
      <c r="H77">
        <v>79.12</v>
      </c>
      <c r="I77" t="s">
        <v>312</v>
      </c>
      <c r="J77" t="s">
        <v>403</v>
      </c>
      <c r="K77" t="s">
        <v>580</v>
      </c>
      <c r="L77" t="s">
        <v>178</v>
      </c>
      <c r="M77" t="s">
        <v>291</v>
      </c>
      <c r="N77" t="s">
        <v>51</v>
      </c>
      <c r="O77" t="s">
        <v>290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291</v>
      </c>
      <c r="AH77" t="s">
        <v>51</v>
      </c>
      <c r="AI77" t="s">
        <v>290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79.12</v>
      </c>
      <c r="AN77">
        <f>$H$77*$T$77</f>
        <v>79.12</v>
      </c>
      <c r="AO77">
        <f>$H$77*$U$77</f>
        <v>79.12</v>
      </c>
      <c r="AP77">
        <f>$H$77*$V$77</f>
        <v>79.12</v>
      </c>
      <c r="AQ77">
        <f>$H$77*$W$77</f>
        <v>79.12</v>
      </c>
      <c r="AR77">
        <f>$H$77*$X$77</f>
        <v>79.12</v>
      </c>
      <c r="AS77">
        <f>$H$77*$Y$77</f>
        <v>79.12</v>
      </c>
      <c r="AT77">
        <f>$H$77*$Z$77</f>
        <v>79.12</v>
      </c>
      <c r="AU77">
        <f>$H$77*$AA$77</f>
        <v>79.12</v>
      </c>
      <c r="AV77">
        <f>$H$77*$AB$77</f>
        <v>79.12</v>
      </c>
      <c r="AW77">
        <f>$H$77*$AC$77</f>
        <v>79.12</v>
      </c>
      <c r="AX77">
        <f>$H$77*$AD$77</f>
        <v>79.12</v>
      </c>
      <c r="AY77">
        <f>$H$77*$AE$77</f>
        <v>79.12</v>
      </c>
      <c r="AZ77">
        <f>$H$77*$AF$77</f>
        <v>79.12</v>
      </c>
    </row>
    <row r="78" spans="1:52" x14ac:dyDescent="0.25">
      <c r="A78">
        <v>121</v>
      </c>
      <c r="B78" t="s">
        <v>291</v>
      </c>
      <c r="C78" t="s">
        <v>404</v>
      </c>
      <c r="D78">
        <v>43.67</v>
      </c>
      <c r="E78">
        <v>248.05</v>
      </c>
      <c r="F78" t="s">
        <v>311</v>
      </c>
      <c r="G78">
        <v>5.68</v>
      </c>
      <c r="H78">
        <v>297.67</v>
      </c>
      <c r="I78" t="s">
        <v>315</v>
      </c>
      <c r="J78" t="s">
        <v>405</v>
      </c>
      <c r="K78" t="s">
        <v>581</v>
      </c>
      <c r="L78" t="s">
        <v>178</v>
      </c>
      <c r="M78" t="s">
        <v>291</v>
      </c>
      <c r="N78" t="s">
        <v>51</v>
      </c>
      <c r="O78" t="s">
        <v>290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291</v>
      </c>
      <c r="AH78" t="s">
        <v>51</v>
      </c>
      <c r="AI78" t="s">
        <v>290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297.67</v>
      </c>
      <c r="AN78">
        <f>$H$78*$T$78</f>
        <v>297.67</v>
      </c>
      <c r="AO78">
        <f>$H$78*$U$78</f>
        <v>297.67</v>
      </c>
      <c r="AP78">
        <f>$H$78*$V$78</f>
        <v>297.67</v>
      </c>
      <c r="AQ78">
        <f>$H$78*$W$78</f>
        <v>297.67</v>
      </c>
      <c r="AR78">
        <f>$H$78*$X$78</f>
        <v>297.67</v>
      </c>
      <c r="AS78">
        <f>$H$78*$Y$78</f>
        <v>297.67</v>
      </c>
      <c r="AT78">
        <f>$H$78*$Z$78</f>
        <v>297.67</v>
      </c>
      <c r="AU78">
        <f>$H$78*$AA$78</f>
        <v>297.67</v>
      </c>
      <c r="AV78">
        <f>$H$78*$AB$78</f>
        <v>297.67</v>
      </c>
      <c r="AW78">
        <f>$H$78*$AC$78</f>
        <v>297.67</v>
      </c>
      <c r="AX78">
        <f>$H$78*$AD$78</f>
        <v>297.67</v>
      </c>
      <c r="AY78">
        <f>$H$78*$AE$78</f>
        <v>297.67</v>
      </c>
      <c r="AZ78">
        <f>$H$78*$AF$78</f>
        <v>297.67</v>
      </c>
    </row>
    <row r="79" spans="1:52" x14ac:dyDescent="0.25">
      <c r="A79">
        <v>122</v>
      </c>
      <c r="B79" t="s">
        <v>291</v>
      </c>
      <c r="C79" t="s">
        <v>400</v>
      </c>
      <c r="D79">
        <v>118.17</v>
      </c>
      <c r="E79">
        <v>397.05</v>
      </c>
      <c r="F79" t="s">
        <v>335</v>
      </c>
      <c r="G79">
        <v>3.36</v>
      </c>
      <c r="H79">
        <v>476.47</v>
      </c>
      <c r="I79" t="s">
        <v>348</v>
      </c>
      <c r="J79" t="s">
        <v>401</v>
      </c>
      <c r="K79" t="s">
        <v>579</v>
      </c>
      <c r="L79" t="s">
        <v>178</v>
      </c>
      <c r="M79" t="s">
        <v>291</v>
      </c>
      <c r="N79" t="s">
        <v>51</v>
      </c>
      <c r="O79" t="s">
        <v>290</v>
      </c>
      <c r="P79">
        <v>0</v>
      </c>
      <c r="Q79">
        <v>0</v>
      </c>
      <c r="R79">
        <v>0</v>
      </c>
      <c r="S79">
        <v>0.25</v>
      </c>
      <c r="T79">
        <v>0.25</v>
      </c>
      <c r="U79">
        <v>0.25</v>
      </c>
      <c r="V79">
        <v>0.25</v>
      </c>
      <c r="W79">
        <v>0.5</v>
      </c>
      <c r="X79">
        <v>0.5</v>
      </c>
      <c r="Y79">
        <v>0.5</v>
      </c>
      <c r="Z79">
        <v>0.5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291</v>
      </c>
      <c r="AH79" t="s">
        <v>51</v>
      </c>
      <c r="AI79" t="s">
        <v>290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119.11750000000001</v>
      </c>
      <c r="AN79">
        <f>$H$79*$T$79</f>
        <v>119.11750000000001</v>
      </c>
      <c r="AO79">
        <f>$H$79*$U$79</f>
        <v>119.11750000000001</v>
      </c>
      <c r="AP79">
        <f>$H$79*$V$79</f>
        <v>119.11750000000001</v>
      </c>
      <c r="AQ79">
        <f>$H$79*$W$79</f>
        <v>238.23500000000001</v>
      </c>
      <c r="AR79">
        <f>$H$79*$X$79</f>
        <v>238.23500000000001</v>
      </c>
      <c r="AS79">
        <f>$H$79*$Y$79</f>
        <v>238.23500000000001</v>
      </c>
      <c r="AT79">
        <f>$H$79*$Z$79</f>
        <v>238.23500000000001</v>
      </c>
      <c r="AU79">
        <f>$H$79*$AA$79</f>
        <v>476.47</v>
      </c>
      <c r="AV79">
        <f>$H$79*$AB$79</f>
        <v>476.47</v>
      </c>
      <c r="AW79">
        <f>$H$79*$AC$79</f>
        <v>476.47</v>
      </c>
      <c r="AX79">
        <f>$H$79*$AD$79</f>
        <v>476.47</v>
      </c>
      <c r="AY79">
        <f>$H$79*$AE$79</f>
        <v>476.47</v>
      </c>
      <c r="AZ79">
        <f>$H$79*$AF$79</f>
        <v>476.47</v>
      </c>
    </row>
    <row r="80" spans="1:52" x14ac:dyDescent="0.25">
      <c r="A80">
        <v>123</v>
      </c>
      <c r="B80" t="s">
        <v>291</v>
      </c>
      <c r="C80" t="s">
        <v>406</v>
      </c>
      <c r="D80">
        <v>118.17</v>
      </c>
      <c r="E80">
        <v>74.45</v>
      </c>
      <c r="F80" t="s">
        <v>335</v>
      </c>
      <c r="G80">
        <v>0.63</v>
      </c>
      <c r="H80">
        <v>89.35</v>
      </c>
      <c r="I80" t="s">
        <v>312</v>
      </c>
      <c r="J80" t="s">
        <v>407</v>
      </c>
      <c r="K80" t="s">
        <v>582</v>
      </c>
      <c r="L80" t="s">
        <v>178</v>
      </c>
      <c r="M80" t="s">
        <v>291</v>
      </c>
      <c r="N80" t="s">
        <v>51</v>
      </c>
      <c r="O80" t="s">
        <v>290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1</v>
      </c>
      <c r="AF80">
        <v>1</v>
      </c>
      <c r="AG80" t="s">
        <v>291</v>
      </c>
      <c r="AH80" t="s">
        <v>51</v>
      </c>
      <c r="AI80" t="s">
        <v>290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0</v>
      </c>
      <c r="AV80">
        <f>$H$80*$AB$80</f>
        <v>0</v>
      </c>
      <c r="AW80">
        <f>$H$80*$AC$80</f>
        <v>0</v>
      </c>
      <c r="AX80">
        <f>$H$80*$AD$80</f>
        <v>89.35</v>
      </c>
      <c r="AY80">
        <f>$H$80*$AE$80</f>
        <v>89.35</v>
      </c>
      <c r="AZ80">
        <f>$H$80*$AF$80</f>
        <v>89.35</v>
      </c>
    </row>
    <row r="81" spans="1:52" x14ac:dyDescent="0.25">
      <c r="A81">
        <v>124</v>
      </c>
      <c r="B81" t="s">
        <v>291</v>
      </c>
      <c r="C81" t="s">
        <v>408</v>
      </c>
      <c r="D81">
        <v>118.17</v>
      </c>
      <c r="E81">
        <v>81.540000000000006</v>
      </c>
      <c r="F81" t="s">
        <v>335</v>
      </c>
      <c r="G81">
        <v>0.69</v>
      </c>
      <c r="H81">
        <v>97.84</v>
      </c>
      <c r="I81" t="s">
        <v>312</v>
      </c>
      <c r="J81" t="s">
        <v>409</v>
      </c>
      <c r="K81" t="s">
        <v>583</v>
      </c>
      <c r="L81" t="s">
        <v>178</v>
      </c>
      <c r="M81" t="s">
        <v>291</v>
      </c>
      <c r="N81" t="s">
        <v>51</v>
      </c>
      <c r="O81" t="s">
        <v>290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291</v>
      </c>
      <c r="AH81" t="s">
        <v>51</v>
      </c>
      <c r="AI81" t="s">
        <v>290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97.84</v>
      </c>
      <c r="AN81">
        <f>$H$81*$T$81</f>
        <v>97.84</v>
      </c>
      <c r="AO81">
        <f>$H$81*$U$81</f>
        <v>97.84</v>
      </c>
      <c r="AP81">
        <f>$H$81*$V$81</f>
        <v>97.84</v>
      </c>
      <c r="AQ81">
        <f>$H$81*$W$81</f>
        <v>97.84</v>
      </c>
      <c r="AR81">
        <f>$H$81*$X$81</f>
        <v>97.84</v>
      </c>
      <c r="AS81">
        <f>$H$81*$Y$81</f>
        <v>97.84</v>
      </c>
      <c r="AT81">
        <f>$H$81*$Z$81</f>
        <v>97.84</v>
      </c>
      <c r="AU81">
        <f>$H$81*$AA$81</f>
        <v>97.84</v>
      </c>
      <c r="AV81">
        <f>$H$81*$AB$81</f>
        <v>97.84</v>
      </c>
      <c r="AW81">
        <f>$H$81*$AC$81</f>
        <v>97.84</v>
      </c>
      <c r="AX81">
        <f>$H$81*$AD$81</f>
        <v>97.84</v>
      </c>
      <c r="AY81">
        <f>$H$81*$AE$81</f>
        <v>97.84</v>
      </c>
      <c r="AZ81">
        <f>$H$81*$AF$81</f>
        <v>97.84</v>
      </c>
    </row>
    <row r="82" spans="1:52" x14ac:dyDescent="0.25">
      <c r="A82">
        <v>125</v>
      </c>
      <c r="B82" t="s">
        <v>291</v>
      </c>
      <c r="C82" t="s">
        <v>410</v>
      </c>
      <c r="D82">
        <v>24.82</v>
      </c>
      <c r="E82">
        <v>169.02</v>
      </c>
      <c r="F82" t="s">
        <v>335</v>
      </c>
      <c r="G82">
        <v>6.81</v>
      </c>
      <c r="H82">
        <v>202.82</v>
      </c>
      <c r="I82" t="s">
        <v>411</v>
      </c>
      <c r="J82" t="s">
        <v>412</v>
      </c>
      <c r="K82" t="s">
        <v>584</v>
      </c>
      <c r="L82" t="s">
        <v>178</v>
      </c>
      <c r="M82" t="s">
        <v>291</v>
      </c>
      <c r="N82" t="s">
        <v>51</v>
      </c>
      <c r="O82" t="s">
        <v>290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291</v>
      </c>
      <c r="AH82" t="s">
        <v>51</v>
      </c>
      <c r="AI82" t="s">
        <v>290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202.82</v>
      </c>
      <c r="AN82">
        <f>$H$82*$T$82</f>
        <v>202.82</v>
      </c>
      <c r="AO82">
        <f>$H$82*$U$82</f>
        <v>202.82</v>
      </c>
      <c r="AP82">
        <f>$H$82*$V$82</f>
        <v>202.82</v>
      </c>
      <c r="AQ82">
        <f>$H$82*$W$82</f>
        <v>202.82</v>
      </c>
      <c r="AR82">
        <f>$H$82*$X$82</f>
        <v>202.82</v>
      </c>
      <c r="AS82">
        <f>$H$82*$Y$82</f>
        <v>202.82</v>
      </c>
      <c r="AT82">
        <f>$H$82*$Z$82</f>
        <v>202.82</v>
      </c>
      <c r="AU82">
        <f>$H$82*$AA$82</f>
        <v>202.82</v>
      </c>
      <c r="AV82">
        <f>$H$82*$AB$82</f>
        <v>202.82</v>
      </c>
      <c r="AW82">
        <f>$H$82*$AC$82</f>
        <v>202.82</v>
      </c>
      <c r="AX82">
        <f>$H$82*$AD$82</f>
        <v>202.82</v>
      </c>
      <c r="AY82">
        <f>$H$82*$AE$82</f>
        <v>202.82</v>
      </c>
      <c r="AZ82">
        <f>$H$82*$AF$82</f>
        <v>202.82</v>
      </c>
    </row>
    <row r="83" spans="1:52" x14ac:dyDescent="0.25">
      <c r="A83">
        <v>126</v>
      </c>
      <c r="B83" t="s">
        <v>291</v>
      </c>
      <c r="C83" t="s">
        <v>413</v>
      </c>
      <c r="D83">
        <v>27.18</v>
      </c>
      <c r="E83">
        <v>200.32</v>
      </c>
      <c r="F83" t="s">
        <v>335</v>
      </c>
      <c r="G83">
        <v>7.37</v>
      </c>
      <c r="H83">
        <v>240.38</v>
      </c>
      <c r="I83" t="s">
        <v>411</v>
      </c>
      <c r="J83" t="s">
        <v>414</v>
      </c>
      <c r="K83" t="s">
        <v>585</v>
      </c>
      <c r="L83" t="s">
        <v>178</v>
      </c>
      <c r="M83" t="s">
        <v>291</v>
      </c>
      <c r="N83" t="s">
        <v>51</v>
      </c>
      <c r="O83" t="s">
        <v>290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291</v>
      </c>
      <c r="AH83" t="s">
        <v>51</v>
      </c>
      <c r="AI83" t="s">
        <v>290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240.38</v>
      </c>
      <c r="AN83">
        <f>$H$83*$T$83</f>
        <v>240.38</v>
      </c>
      <c r="AO83">
        <f>$H$83*$U$83</f>
        <v>240.38</v>
      </c>
      <c r="AP83">
        <f>$H$83*$V$83</f>
        <v>240.38</v>
      </c>
      <c r="AQ83">
        <f>$H$83*$W$83</f>
        <v>240.38</v>
      </c>
      <c r="AR83">
        <f>$H$83*$X$83</f>
        <v>240.38</v>
      </c>
      <c r="AS83">
        <f>$H$83*$Y$83</f>
        <v>240.38</v>
      </c>
      <c r="AT83">
        <f>$H$83*$Z$83</f>
        <v>240.38</v>
      </c>
      <c r="AU83">
        <f>$H$83*$AA$83</f>
        <v>240.38</v>
      </c>
      <c r="AV83">
        <f>$H$83*$AB$83</f>
        <v>240.38</v>
      </c>
      <c r="AW83">
        <f>$H$83*$AC$83</f>
        <v>240.38</v>
      </c>
      <c r="AX83">
        <f>$H$83*$AD$83</f>
        <v>240.38</v>
      </c>
      <c r="AY83">
        <f>$H$83*$AE$83</f>
        <v>240.38</v>
      </c>
      <c r="AZ83">
        <f>$H$83*$AF$83</f>
        <v>240.38</v>
      </c>
    </row>
    <row r="84" spans="1:52" x14ac:dyDescent="0.25">
      <c r="A84">
        <v>127</v>
      </c>
      <c r="B84" t="s">
        <v>291</v>
      </c>
      <c r="C84" t="s">
        <v>415</v>
      </c>
      <c r="D84">
        <v>25.23</v>
      </c>
      <c r="E84">
        <v>137.76</v>
      </c>
      <c r="F84" t="s">
        <v>335</v>
      </c>
      <c r="G84">
        <v>5.46</v>
      </c>
      <c r="H84">
        <v>165.32</v>
      </c>
      <c r="I84" t="s">
        <v>416</v>
      </c>
      <c r="J84" t="s">
        <v>417</v>
      </c>
      <c r="K84" t="s">
        <v>586</v>
      </c>
      <c r="L84" t="s">
        <v>178</v>
      </c>
      <c r="M84" t="s">
        <v>291</v>
      </c>
      <c r="N84" t="s">
        <v>51</v>
      </c>
      <c r="O84" t="s">
        <v>290</v>
      </c>
      <c r="P84">
        <v>0</v>
      </c>
      <c r="Q84">
        <v>0</v>
      </c>
      <c r="R84">
        <v>0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291</v>
      </c>
      <c r="AH84" t="s">
        <v>51</v>
      </c>
      <c r="AI84" t="s">
        <v>290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165.32</v>
      </c>
      <c r="AN84">
        <f>$H$84*$T$84</f>
        <v>165.32</v>
      </c>
      <c r="AO84">
        <f>$H$84*$U$84</f>
        <v>165.32</v>
      </c>
      <c r="AP84">
        <f>$H$84*$V$84</f>
        <v>165.32</v>
      </c>
      <c r="AQ84">
        <f>$H$84*$W$84</f>
        <v>165.32</v>
      </c>
      <c r="AR84">
        <f>$H$84*$X$84</f>
        <v>165.32</v>
      </c>
      <c r="AS84">
        <f>$H$84*$Y$84</f>
        <v>165.32</v>
      </c>
      <c r="AT84">
        <f>$H$84*$Z$84</f>
        <v>165.32</v>
      </c>
      <c r="AU84">
        <f>$H$84*$AA$84</f>
        <v>165.32</v>
      </c>
      <c r="AV84">
        <f>$H$84*$AB$84</f>
        <v>165.32</v>
      </c>
      <c r="AW84">
        <f>$H$84*$AC$84</f>
        <v>165.32</v>
      </c>
      <c r="AX84">
        <f>$H$84*$AD$84</f>
        <v>165.32</v>
      </c>
      <c r="AY84">
        <f>$H$84*$AE$84</f>
        <v>165.32</v>
      </c>
      <c r="AZ84">
        <f>$H$84*$AF$84</f>
        <v>165.32</v>
      </c>
    </row>
    <row r="85" spans="1:52" x14ac:dyDescent="0.25">
      <c r="A85">
        <v>128</v>
      </c>
      <c r="B85" t="s">
        <v>291</v>
      </c>
      <c r="C85" t="s">
        <v>418</v>
      </c>
      <c r="D85">
        <v>25.23</v>
      </c>
      <c r="E85">
        <v>90.32</v>
      </c>
      <c r="F85" t="s">
        <v>335</v>
      </c>
      <c r="G85">
        <v>3.58</v>
      </c>
      <c r="H85">
        <v>108.38</v>
      </c>
      <c r="I85" t="s">
        <v>416</v>
      </c>
      <c r="J85" t="s">
        <v>419</v>
      </c>
      <c r="K85" t="s">
        <v>587</v>
      </c>
      <c r="L85" t="s">
        <v>178</v>
      </c>
      <c r="M85" t="s">
        <v>291</v>
      </c>
      <c r="N85" t="s">
        <v>51</v>
      </c>
      <c r="O85" t="s">
        <v>290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291</v>
      </c>
      <c r="AH85" t="s">
        <v>51</v>
      </c>
      <c r="AI85" t="s">
        <v>290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108.38</v>
      </c>
      <c r="AN85">
        <f>$H$85*$T$85</f>
        <v>108.38</v>
      </c>
      <c r="AO85">
        <f>$H$85*$U$85</f>
        <v>108.38</v>
      </c>
      <c r="AP85">
        <f>$H$85*$V$85</f>
        <v>108.38</v>
      </c>
      <c r="AQ85">
        <f>$H$85*$W$85</f>
        <v>108.38</v>
      </c>
      <c r="AR85">
        <f>$H$85*$X$85</f>
        <v>108.38</v>
      </c>
      <c r="AS85">
        <f>$H$85*$Y$85</f>
        <v>108.38</v>
      </c>
      <c r="AT85">
        <f>$H$85*$Z$85</f>
        <v>108.38</v>
      </c>
      <c r="AU85">
        <f>$H$85*$AA$85</f>
        <v>108.38</v>
      </c>
      <c r="AV85">
        <f>$H$85*$AB$85</f>
        <v>108.38</v>
      </c>
      <c r="AW85">
        <f>$H$85*$AC$85</f>
        <v>108.38</v>
      </c>
      <c r="AX85">
        <f>$H$85*$AD$85</f>
        <v>108.38</v>
      </c>
      <c r="AY85">
        <f>$H$85*$AE$85</f>
        <v>108.38</v>
      </c>
      <c r="AZ85">
        <f>$H$85*$AF$85</f>
        <v>108.38</v>
      </c>
    </row>
    <row r="86" spans="1:52" x14ac:dyDescent="0.25">
      <c r="A86">
        <v>129</v>
      </c>
      <c r="B86" t="s">
        <v>291</v>
      </c>
      <c r="C86" t="s">
        <v>420</v>
      </c>
      <c r="D86">
        <v>25.23</v>
      </c>
      <c r="E86">
        <v>248.52</v>
      </c>
      <c r="F86" t="s">
        <v>335</v>
      </c>
      <c r="G86">
        <v>9.85</v>
      </c>
      <c r="H86">
        <v>298.22000000000003</v>
      </c>
      <c r="I86" t="s">
        <v>416</v>
      </c>
      <c r="J86" t="s">
        <v>414</v>
      </c>
      <c r="K86" t="s">
        <v>588</v>
      </c>
      <c r="L86" t="s">
        <v>178</v>
      </c>
      <c r="M86" t="s">
        <v>291</v>
      </c>
      <c r="N86" t="s">
        <v>51</v>
      </c>
      <c r="O86" t="s">
        <v>290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291</v>
      </c>
      <c r="AH86" t="s">
        <v>51</v>
      </c>
      <c r="AI86" t="s">
        <v>290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298.22000000000003</v>
      </c>
      <c r="AN86">
        <f>$H$86*$T$86</f>
        <v>298.22000000000003</v>
      </c>
      <c r="AO86">
        <f>$H$86*$U$86</f>
        <v>298.22000000000003</v>
      </c>
      <c r="AP86">
        <f>$H$86*$V$86</f>
        <v>298.22000000000003</v>
      </c>
      <c r="AQ86">
        <f>$H$86*$W$86</f>
        <v>298.22000000000003</v>
      </c>
      <c r="AR86">
        <f>$H$86*$X$86</f>
        <v>298.22000000000003</v>
      </c>
      <c r="AS86">
        <f>$H$86*$Y$86</f>
        <v>298.22000000000003</v>
      </c>
      <c r="AT86">
        <f>$H$86*$Z$86</f>
        <v>298.22000000000003</v>
      </c>
      <c r="AU86">
        <f>$H$86*$AA$86</f>
        <v>298.22000000000003</v>
      </c>
      <c r="AV86">
        <f>$H$86*$AB$86</f>
        <v>298.22000000000003</v>
      </c>
      <c r="AW86">
        <f>$H$86*$AC$86</f>
        <v>298.22000000000003</v>
      </c>
      <c r="AX86">
        <f>$H$86*$AD$86</f>
        <v>298.22000000000003</v>
      </c>
      <c r="AY86">
        <f>$H$86*$AE$86</f>
        <v>298.22000000000003</v>
      </c>
      <c r="AZ86">
        <f>$H$86*$AF$86</f>
        <v>298.22000000000003</v>
      </c>
    </row>
    <row r="87" spans="1:52" x14ac:dyDescent="0.25">
      <c r="A87">
        <v>130</v>
      </c>
      <c r="B87" t="s">
        <v>291</v>
      </c>
      <c r="C87" t="s">
        <v>421</v>
      </c>
      <c r="D87">
        <v>27.18</v>
      </c>
      <c r="E87">
        <v>26.36</v>
      </c>
      <c r="F87" t="s">
        <v>335</v>
      </c>
      <c r="G87">
        <v>0.97</v>
      </c>
      <c r="H87">
        <v>31.64</v>
      </c>
      <c r="I87" t="s">
        <v>360</v>
      </c>
      <c r="J87" t="s">
        <v>422</v>
      </c>
      <c r="K87" t="s">
        <v>589</v>
      </c>
      <c r="L87" t="s">
        <v>178</v>
      </c>
      <c r="M87" t="s">
        <v>291</v>
      </c>
      <c r="N87" t="s">
        <v>51</v>
      </c>
      <c r="O87" t="s">
        <v>290</v>
      </c>
      <c r="P87">
        <v>0</v>
      </c>
      <c r="Q87">
        <v>0</v>
      </c>
      <c r="R87">
        <v>0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291</v>
      </c>
      <c r="AH87" t="s">
        <v>51</v>
      </c>
      <c r="AI87" t="s">
        <v>290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31.64</v>
      </c>
      <c r="AN87">
        <f>$H$87*$T$87</f>
        <v>31.64</v>
      </c>
      <c r="AO87">
        <f>$H$87*$U$87</f>
        <v>31.64</v>
      </c>
      <c r="AP87">
        <f>$H$87*$V$87</f>
        <v>31.64</v>
      </c>
      <c r="AQ87">
        <f>$H$87*$W$87</f>
        <v>31.64</v>
      </c>
      <c r="AR87">
        <f>$H$87*$X$87</f>
        <v>31.64</v>
      </c>
      <c r="AS87">
        <f>$H$87*$Y$87</f>
        <v>31.64</v>
      </c>
      <c r="AT87">
        <f>$H$87*$Z$87</f>
        <v>31.64</v>
      </c>
      <c r="AU87">
        <f>$H$87*$AA$87</f>
        <v>31.64</v>
      </c>
      <c r="AV87">
        <f>$H$87*$AB$87</f>
        <v>31.64</v>
      </c>
      <c r="AW87">
        <f>$H$87*$AC$87</f>
        <v>31.64</v>
      </c>
      <c r="AX87">
        <f>$H$87*$AD$87</f>
        <v>31.64</v>
      </c>
      <c r="AY87">
        <f>$H$87*$AE$87</f>
        <v>31.64</v>
      </c>
      <c r="AZ87">
        <f>$H$87*$AF$87</f>
        <v>31.64</v>
      </c>
    </row>
    <row r="88" spans="1:52" x14ac:dyDescent="0.25">
      <c r="A88">
        <v>131</v>
      </c>
      <c r="B88" t="s">
        <v>291</v>
      </c>
      <c r="C88" t="s">
        <v>423</v>
      </c>
      <c r="D88">
        <v>27.18</v>
      </c>
      <c r="E88">
        <v>208.2</v>
      </c>
      <c r="F88" t="s">
        <v>335</v>
      </c>
      <c r="G88">
        <v>7.66</v>
      </c>
      <c r="H88">
        <v>249.84</v>
      </c>
      <c r="I88" t="s">
        <v>360</v>
      </c>
      <c r="J88" t="s">
        <v>414</v>
      </c>
      <c r="K88" t="s">
        <v>590</v>
      </c>
      <c r="L88" t="s">
        <v>178</v>
      </c>
      <c r="M88" t="s">
        <v>291</v>
      </c>
      <c r="N88" t="s">
        <v>51</v>
      </c>
      <c r="O88" t="s">
        <v>290</v>
      </c>
      <c r="P88">
        <v>0</v>
      </c>
      <c r="Q88">
        <v>0</v>
      </c>
      <c r="R88">
        <v>0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291</v>
      </c>
      <c r="AH88" t="s">
        <v>51</v>
      </c>
      <c r="AI88" t="s">
        <v>290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249.84</v>
      </c>
      <c r="AN88">
        <f>$H$88*$T$88</f>
        <v>249.84</v>
      </c>
      <c r="AO88">
        <f>$H$88*$U$88</f>
        <v>249.84</v>
      </c>
      <c r="AP88">
        <f>$H$88*$V$88</f>
        <v>249.84</v>
      </c>
      <c r="AQ88">
        <f>$H$88*$W$88</f>
        <v>249.84</v>
      </c>
      <c r="AR88">
        <f>$H$88*$X$88</f>
        <v>249.84</v>
      </c>
      <c r="AS88">
        <f>$H$88*$Y$88</f>
        <v>249.84</v>
      </c>
      <c r="AT88">
        <f>$H$88*$Z$88</f>
        <v>249.84</v>
      </c>
      <c r="AU88">
        <f>$H$88*$AA$88</f>
        <v>249.84</v>
      </c>
      <c r="AV88">
        <f>$H$88*$AB$88</f>
        <v>249.84</v>
      </c>
      <c r="AW88">
        <f>$H$88*$AC$88</f>
        <v>249.84</v>
      </c>
      <c r="AX88">
        <f>$H$88*$AD$88</f>
        <v>249.84</v>
      </c>
      <c r="AY88">
        <f>$H$88*$AE$88</f>
        <v>249.84</v>
      </c>
      <c r="AZ88">
        <f>$H$88*$AF$88</f>
        <v>249.84</v>
      </c>
    </row>
    <row r="89" spans="1:52" x14ac:dyDescent="0.25">
      <c r="A89">
        <v>132</v>
      </c>
      <c r="B89" t="s">
        <v>292</v>
      </c>
      <c r="C89" t="s">
        <v>397</v>
      </c>
      <c r="D89">
        <v>2</v>
      </c>
      <c r="E89">
        <v>26.54</v>
      </c>
      <c r="F89" t="s">
        <v>317</v>
      </c>
      <c r="G89">
        <v>13.27</v>
      </c>
      <c r="H89">
        <v>31.84</v>
      </c>
      <c r="I89" t="s">
        <v>319</v>
      </c>
      <c r="J89" t="s">
        <v>398</v>
      </c>
      <c r="K89" t="s">
        <v>577</v>
      </c>
      <c r="L89" t="s">
        <v>178</v>
      </c>
      <c r="M89" t="s">
        <v>292</v>
      </c>
      <c r="N89" t="s">
        <v>11</v>
      </c>
      <c r="O89" t="s">
        <v>290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292</v>
      </c>
      <c r="AH89" t="s">
        <v>11</v>
      </c>
      <c r="AI89" t="s">
        <v>290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31.84</v>
      </c>
      <c r="AS89">
        <f>$H$89*$Y$89</f>
        <v>31.84</v>
      </c>
      <c r="AT89">
        <f>$H$89*$Z$89</f>
        <v>31.84</v>
      </c>
      <c r="AU89">
        <f>$H$89*$AA$89</f>
        <v>31.84</v>
      </c>
      <c r="AV89">
        <f>$H$89*$AB$89</f>
        <v>31.84</v>
      </c>
      <c r="AW89">
        <f>$H$89*$AC$89</f>
        <v>31.84</v>
      </c>
      <c r="AX89">
        <f>$H$89*$AD$89</f>
        <v>31.84</v>
      </c>
      <c r="AY89">
        <f>$H$89*$AE$89</f>
        <v>31.84</v>
      </c>
      <c r="AZ89">
        <f>$H$89*$AF$89</f>
        <v>31.84</v>
      </c>
    </row>
    <row r="90" spans="1:52" x14ac:dyDescent="0.25">
      <c r="A90">
        <v>133</v>
      </c>
      <c r="B90" t="s">
        <v>292</v>
      </c>
      <c r="C90" t="s">
        <v>341</v>
      </c>
      <c r="D90">
        <v>17</v>
      </c>
      <c r="E90">
        <v>75.48</v>
      </c>
      <c r="F90" t="s">
        <v>311</v>
      </c>
      <c r="G90">
        <v>4.4400000000000004</v>
      </c>
      <c r="H90">
        <v>90.58</v>
      </c>
      <c r="I90" t="s">
        <v>312</v>
      </c>
      <c r="J90" t="s">
        <v>342</v>
      </c>
      <c r="K90" t="s">
        <v>550</v>
      </c>
      <c r="L90" t="s">
        <v>178</v>
      </c>
      <c r="M90" t="s">
        <v>292</v>
      </c>
      <c r="N90" t="s">
        <v>11</v>
      </c>
      <c r="O90" t="s">
        <v>290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292</v>
      </c>
      <c r="AH90" t="s">
        <v>11</v>
      </c>
      <c r="AI90" t="s">
        <v>290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90.58</v>
      </c>
      <c r="AV90">
        <f>$H$90*$AB$90</f>
        <v>90.58</v>
      </c>
      <c r="AW90">
        <f>$H$90*$AC$90</f>
        <v>90.58</v>
      </c>
      <c r="AX90">
        <f>$H$90*$AD$90</f>
        <v>90.58</v>
      </c>
      <c r="AY90">
        <f>$H$90*$AE$90</f>
        <v>90.58</v>
      </c>
      <c r="AZ90">
        <f>$H$90*$AF$90</f>
        <v>90.58</v>
      </c>
    </row>
    <row r="91" spans="1:52" x14ac:dyDescent="0.25">
      <c r="A91">
        <v>134</v>
      </c>
      <c r="B91" t="s">
        <v>292</v>
      </c>
      <c r="C91" t="s">
        <v>343</v>
      </c>
      <c r="D91">
        <v>17</v>
      </c>
      <c r="E91">
        <v>196.35</v>
      </c>
      <c r="F91" t="s">
        <v>311</v>
      </c>
      <c r="G91">
        <v>11.55</v>
      </c>
      <c r="H91">
        <v>235.63</v>
      </c>
      <c r="I91" t="s">
        <v>315</v>
      </c>
      <c r="J91" t="s">
        <v>344</v>
      </c>
      <c r="K91" t="s">
        <v>551</v>
      </c>
      <c r="L91" t="s">
        <v>178</v>
      </c>
      <c r="M91" t="s">
        <v>292</v>
      </c>
      <c r="N91" t="s">
        <v>11</v>
      </c>
      <c r="O91" t="s">
        <v>290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292</v>
      </c>
      <c r="AH91" t="s">
        <v>11</v>
      </c>
      <c r="AI91" t="s">
        <v>290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235.63</v>
      </c>
      <c r="AV91">
        <f>$H$91*$AB$91</f>
        <v>235.63</v>
      </c>
      <c r="AW91">
        <f>$H$91*$AC$91</f>
        <v>235.63</v>
      </c>
      <c r="AX91">
        <f>$H$91*$AD$91</f>
        <v>235.63</v>
      </c>
      <c r="AY91">
        <f>$H$91*$AE$91</f>
        <v>235.63</v>
      </c>
      <c r="AZ91">
        <f>$H$91*$AF$91</f>
        <v>235.63</v>
      </c>
    </row>
    <row r="92" spans="1:52" x14ac:dyDescent="0.25">
      <c r="A92">
        <v>135</v>
      </c>
      <c r="B92" t="s">
        <v>292</v>
      </c>
      <c r="C92" t="s">
        <v>395</v>
      </c>
      <c r="D92">
        <v>17</v>
      </c>
      <c r="E92">
        <v>80.75</v>
      </c>
      <c r="F92" t="s">
        <v>311</v>
      </c>
      <c r="G92">
        <v>4.75</v>
      </c>
      <c r="H92">
        <v>96.91</v>
      </c>
      <c r="I92" t="s">
        <v>315</v>
      </c>
      <c r="J92" t="s">
        <v>396</v>
      </c>
      <c r="K92" t="s">
        <v>576</v>
      </c>
      <c r="L92" t="s">
        <v>178</v>
      </c>
      <c r="M92" t="s">
        <v>292</v>
      </c>
      <c r="N92" t="s">
        <v>11</v>
      </c>
      <c r="O92" t="s">
        <v>290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1</v>
      </c>
      <c r="AD92">
        <v>1</v>
      </c>
      <c r="AE92">
        <v>1</v>
      </c>
      <c r="AF92">
        <v>1</v>
      </c>
      <c r="AG92" t="s">
        <v>292</v>
      </c>
      <c r="AH92" t="s">
        <v>11</v>
      </c>
      <c r="AI92" t="s">
        <v>290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0</v>
      </c>
      <c r="AV92">
        <f>$H$92*$AB$92</f>
        <v>0</v>
      </c>
      <c r="AW92">
        <f>$H$92*$AC$92</f>
        <v>96.91</v>
      </c>
      <c r="AX92">
        <f>$H$92*$AD$92</f>
        <v>96.91</v>
      </c>
      <c r="AY92">
        <f>$H$92*$AE$92</f>
        <v>96.91</v>
      </c>
      <c r="AZ92">
        <f>$H$92*$AF$92</f>
        <v>96.91</v>
      </c>
    </row>
    <row r="93" spans="1:52" x14ac:dyDescent="0.25">
      <c r="A93">
        <v>136</v>
      </c>
      <c r="B93" t="s">
        <v>292</v>
      </c>
      <c r="C93" t="s">
        <v>424</v>
      </c>
      <c r="D93">
        <v>1</v>
      </c>
      <c r="E93">
        <v>48.06</v>
      </c>
      <c r="F93" t="s">
        <v>317</v>
      </c>
      <c r="G93">
        <v>48.06</v>
      </c>
      <c r="H93">
        <v>57.68</v>
      </c>
      <c r="I93" t="s">
        <v>322</v>
      </c>
      <c r="J93" t="s">
        <v>425</v>
      </c>
      <c r="K93" t="s">
        <v>591</v>
      </c>
      <c r="L93" t="s">
        <v>178</v>
      </c>
      <c r="M93" t="s">
        <v>292</v>
      </c>
      <c r="N93" t="s">
        <v>11</v>
      </c>
      <c r="O93" t="s">
        <v>290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1</v>
      </c>
      <c r="AE93">
        <v>1</v>
      </c>
      <c r="AF93">
        <v>1</v>
      </c>
      <c r="AG93" t="s">
        <v>292</v>
      </c>
      <c r="AH93" t="s">
        <v>11</v>
      </c>
      <c r="AI93" t="s">
        <v>290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0</v>
      </c>
      <c r="AV93">
        <f>$H$93*$AB$93</f>
        <v>0</v>
      </c>
      <c r="AW93">
        <f>$H$93*$AC$93</f>
        <v>0</v>
      </c>
      <c r="AX93">
        <f>$H$93*$AD$93</f>
        <v>57.68</v>
      </c>
      <c r="AY93">
        <f>$H$93*$AE$93</f>
        <v>57.68</v>
      </c>
      <c r="AZ93">
        <f>$H$93*$AF$93</f>
        <v>57.68</v>
      </c>
    </row>
    <row r="94" spans="1:52" x14ac:dyDescent="0.25">
      <c r="A94">
        <v>137</v>
      </c>
      <c r="B94" t="s">
        <v>292</v>
      </c>
      <c r="C94" t="s">
        <v>350</v>
      </c>
      <c r="D94">
        <v>1</v>
      </c>
      <c r="E94">
        <v>47.96</v>
      </c>
      <c r="F94" t="s">
        <v>317</v>
      </c>
      <c r="G94">
        <v>47.96</v>
      </c>
      <c r="H94">
        <v>57.56</v>
      </c>
      <c r="I94" t="s">
        <v>351</v>
      </c>
      <c r="J94" t="s">
        <v>352</v>
      </c>
      <c r="K94" t="s">
        <v>554</v>
      </c>
      <c r="L94" t="s">
        <v>178</v>
      </c>
      <c r="M94" t="s">
        <v>292</v>
      </c>
      <c r="N94" t="s">
        <v>11</v>
      </c>
      <c r="O94" t="s">
        <v>290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292</v>
      </c>
      <c r="AH94" t="s">
        <v>11</v>
      </c>
      <c r="AI94" t="s">
        <v>290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57.56</v>
      </c>
      <c r="AV94">
        <f>$H$94*$AB$94</f>
        <v>57.56</v>
      </c>
      <c r="AW94">
        <f>$H$94*$AC$94</f>
        <v>57.56</v>
      </c>
      <c r="AX94">
        <f>$H$94*$AD$94</f>
        <v>57.56</v>
      </c>
      <c r="AY94">
        <f>$H$94*$AE$94</f>
        <v>57.56</v>
      </c>
      <c r="AZ94">
        <f>$H$94*$AF$94</f>
        <v>57.56</v>
      </c>
    </row>
    <row r="95" spans="1:52" x14ac:dyDescent="0.25">
      <c r="A95">
        <v>138</v>
      </c>
      <c r="B95" t="s">
        <v>292</v>
      </c>
      <c r="C95" t="s">
        <v>358</v>
      </c>
      <c r="D95">
        <v>2</v>
      </c>
      <c r="E95">
        <v>77.86</v>
      </c>
      <c r="F95" t="s">
        <v>317</v>
      </c>
      <c r="G95">
        <v>38.93</v>
      </c>
      <c r="H95">
        <v>93.44</v>
      </c>
      <c r="I95" t="s">
        <v>312</v>
      </c>
      <c r="J95" t="s">
        <v>354</v>
      </c>
      <c r="K95" t="s">
        <v>557</v>
      </c>
      <c r="L95" t="s">
        <v>178</v>
      </c>
      <c r="M95" t="s">
        <v>292</v>
      </c>
      <c r="N95" t="s">
        <v>11</v>
      </c>
      <c r="O95" t="s">
        <v>290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292</v>
      </c>
      <c r="AH95" t="s">
        <v>11</v>
      </c>
      <c r="AI95" t="s">
        <v>290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93.44</v>
      </c>
      <c r="AN95">
        <f>$H$95*$T$95</f>
        <v>93.44</v>
      </c>
      <c r="AO95">
        <f>$H$95*$U$95</f>
        <v>93.44</v>
      </c>
      <c r="AP95">
        <f>$H$95*$V$95</f>
        <v>93.44</v>
      </c>
      <c r="AQ95">
        <f>$H$95*$W$95</f>
        <v>93.44</v>
      </c>
      <c r="AR95">
        <f>$H$95*$X$95</f>
        <v>93.44</v>
      </c>
      <c r="AS95">
        <f>$H$95*$Y$95</f>
        <v>93.44</v>
      </c>
      <c r="AT95">
        <f>$H$95*$Z$95</f>
        <v>93.44</v>
      </c>
      <c r="AU95">
        <f>$H$95*$AA$95</f>
        <v>93.44</v>
      </c>
      <c r="AV95">
        <f>$H$95*$AB$95</f>
        <v>93.44</v>
      </c>
      <c r="AW95">
        <f>$H$95*$AC$95</f>
        <v>93.44</v>
      </c>
      <c r="AX95">
        <f>$H$95*$AD$95</f>
        <v>93.44</v>
      </c>
      <c r="AY95">
        <f>$H$95*$AE$95</f>
        <v>93.44</v>
      </c>
      <c r="AZ95">
        <f>$H$95*$AF$95</f>
        <v>93.44</v>
      </c>
    </row>
    <row r="96" spans="1:52" x14ac:dyDescent="0.25">
      <c r="A96">
        <v>139</v>
      </c>
      <c r="B96" t="s">
        <v>292</v>
      </c>
      <c r="C96" t="s">
        <v>356</v>
      </c>
      <c r="D96">
        <v>2</v>
      </c>
      <c r="E96">
        <v>62.72</v>
      </c>
      <c r="F96" t="s">
        <v>317</v>
      </c>
      <c r="G96">
        <v>31.36</v>
      </c>
      <c r="H96">
        <v>75.260000000000005</v>
      </c>
      <c r="I96" t="s">
        <v>312</v>
      </c>
      <c r="J96" t="s">
        <v>357</v>
      </c>
      <c r="K96" t="s">
        <v>556</v>
      </c>
      <c r="L96" t="s">
        <v>178</v>
      </c>
      <c r="M96" t="s">
        <v>292</v>
      </c>
      <c r="N96" t="s">
        <v>11</v>
      </c>
      <c r="O96" t="s">
        <v>290</v>
      </c>
      <c r="P96">
        <v>0</v>
      </c>
      <c r="Q96">
        <v>0</v>
      </c>
      <c r="R96">
        <v>0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292</v>
      </c>
      <c r="AH96" t="s">
        <v>11</v>
      </c>
      <c r="AI96" t="s">
        <v>290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75.260000000000005</v>
      </c>
      <c r="AN96">
        <f>$H$96*$T$96</f>
        <v>75.260000000000005</v>
      </c>
      <c r="AO96">
        <f>$H$96*$U$96</f>
        <v>75.260000000000005</v>
      </c>
      <c r="AP96">
        <f>$H$96*$V$96</f>
        <v>75.260000000000005</v>
      </c>
      <c r="AQ96">
        <f>$H$96*$W$96</f>
        <v>75.260000000000005</v>
      </c>
      <c r="AR96">
        <f>$H$96*$X$96</f>
        <v>75.260000000000005</v>
      </c>
      <c r="AS96">
        <f>$H$96*$Y$96</f>
        <v>75.260000000000005</v>
      </c>
      <c r="AT96">
        <f>$H$96*$Z$96</f>
        <v>75.260000000000005</v>
      </c>
      <c r="AU96">
        <f>$H$96*$AA$96</f>
        <v>75.260000000000005</v>
      </c>
      <c r="AV96">
        <f>$H$96*$AB$96</f>
        <v>75.260000000000005</v>
      </c>
      <c r="AW96">
        <f>$H$96*$AC$96</f>
        <v>75.260000000000005</v>
      </c>
      <c r="AX96">
        <f>$H$96*$AD$96</f>
        <v>75.260000000000005</v>
      </c>
      <c r="AY96">
        <f>$H$96*$AE$96</f>
        <v>75.260000000000005</v>
      </c>
      <c r="AZ96">
        <f>$H$96*$AF$96</f>
        <v>75.260000000000005</v>
      </c>
    </row>
    <row r="97" spans="1:52" x14ac:dyDescent="0.25">
      <c r="A97">
        <v>140</v>
      </c>
      <c r="B97" t="s">
        <v>292</v>
      </c>
      <c r="C97" t="s">
        <v>353</v>
      </c>
      <c r="D97">
        <v>1</v>
      </c>
      <c r="E97">
        <v>365.09</v>
      </c>
      <c r="F97" t="s">
        <v>317</v>
      </c>
      <c r="G97">
        <v>365.09</v>
      </c>
      <c r="H97">
        <v>438.11</v>
      </c>
      <c r="I97" t="s">
        <v>354</v>
      </c>
      <c r="J97" t="s">
        <v>355</v>
      </c>
      <c r="K97" t="s">
        <v>555</v>
      </c>
      <c r="L97" t="s">
        <v>178</v>
      </c>
      <c r="M97" t="s">
        <v>292</v>
      </c>
      <c r="N97" t="s">
        <v>11</v>
      </c>
      <c r="O97" t="s">
        <v>290</v>
      </c>
      <c r="P97">
        <v>0</v>
      </c>
      <c r="Q97">
        <v>0</v>
      </c>
      <c r="R97">
        <v>0</v>
      </c>
      <c r="S97">
        <v>0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292</v>
      </c>
      <c r="AH97" t="s">
        <v>11</v>
      </c>
      <c r="AI97" t="s">
        <v>290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438.11</v>
      </c>
      <c r="AO97">
        <f>$H$97*$U$97</f>
        <v>438.11</v>
      </c>
      <c r="AP97">
        <f>$H$97*$V$97</f>
        <v>438.11</v>
      </c>
      <c r="AQ97">
        <f>$H$97*$W$97</f>
        <v>438.11</v>
      </c>
      <c r="AR97">
        <f>$H$97*$X$97</f>
        <v>438.11</v>
      </c>
      <c r="AS97">
        <f>$H$97*$Y$97</f>
        <v>438.11</v>
      </c>
      <c r="AT97">
        <f>$H$97*$Z$97</f>
        <v>438.11</v>
      </c>
      <c r="AU97">
        <f>$H$97*$AA$97</f>
        <v>438.11</v>
      </c>
      <c r="AV97">
        <f>$H$97*$AB$97</f>
        <v>438.11</v>
      </c>
      <c r="AW97">
        <f>$H$97*$AC$97</f>
        <v>438.11</v>
      </c>
      <c r="AX97">
        <f>$H$97*$AD$97</f>
        <v>438.11</v>
      </c>
      <c r="AY97">
        <f>$H$97*$AE$97</f>
        <v>438.11</v>
      </c>
      <c r="AZ97">
        <f>$H$97*$AF$97</f>
        <v>438.11</v>
      </c>
    </row>
    <row r="98" spans="1:52" x14ac:dyDescent="0.25">
      <c r="A98">
        <v>141</v>
      </c>
      <c r="B98" t="s">
        <v>292</v>
      </c>
      <c r="C98" t="s">
        <v>345</v>
      </c>
      <c r="D98">
        <v>285.33</v>
      </c>
      <c r="E98">
        <v>279.62</v>
      </c>
      <c r="F98" t="s">
        <v>335</v>
      </c>
      <c r="G98">
        <v>0.98</v>
      </c>
      <c r="H98">
        <v>335.54</v>
      </c>
      <c r="I98" t="s">
        <v>312</v>
      </c>
      <c r="J98" t="s">
        <v>346</v>
      </c>
      <c r="K98" t="s">
        <v>552</v>
      </c>
      <c r="L98" t="s">
        <v>178</v>
      </c>
      <c r="M98" t="s">
        <v>292</v>
      </c>
      <c r="N98" t="s">
        <v>11</v>
      </c>
      <c r="O98" t="s">
        <v>290</v>
      </c>
      <c r="P98">
        <v>0</v>
      </c>
      <c r="Q98">
        <v>0</v>
      </c>
      <c r="R98">
        <v>0</v>
      </c>
      <c r="S98">
        <v>0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292</v>
      </c>
      <c r="AH98" t="s">
        <v>11</v>
      </c>
      <c r="AI98" t="s">
        <v>290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335.54</v>
      </c>
      <c r="AO98">
        <f>$H$98*$U$98</f>
        <v>335.54</v>
      </c>
      <c r="AP98">
        <f>$H$98*$V$98</f>
        <v>335.54</v>
      </c>
      <c r="AQ98">
        <f>$H$98*$W$98</f>
        <v>335.54</v>
      </c>
      <c r="AR98">
        <f>$H$98*$X$98</f>
        <v>335.54</v>
      </c>
      <c r="AS98">
        <f>$H$98*$Y$98</f>
        <v>335.54</v>
      </c>
      <c r="AT98">
        <f>$H$98*$Z$98</f>
        <v>335.54</v>
      </c>
      <c r="AU98">
        <f>$H$98*$AA$98</f>
        <v>335.54</v>
      </c>
      <c r="AV98">
        <f>$H$98*$AB$98</f>
        <v>335.54</v>
      </c>
      <c r="AW98">
        <f>$H$98*$AC$98</f>
        <v>335.54</v>
      </c>
      <c r="AX98">
        <f>$H$98*$AD$98</f>
        <v>335.54</v>
      </c>
      <c r="AY98">
        <f>$H$98*$AE$98</f>
        <v>335.54</v>
      </c>
      <c r="AZ98">
        <f>$H$98*$AF$98</f>
        <v>335.54</v>
      </c>
    </row>
    <row r="99" spans="1:52" x14ac:dyDescent="0.25">
      <c r="A99">
        <v>142</v>
      </c>
      <c r="B99" t="s">
        <v>292</v>
      </c>
      <c r="C99" t="s">
        <v>400</v>
      </c>
      <c r="D99">
        <v>285.33</v>
      </c>
      <c r="E99">
        <v>958.71</v>
      </c>
      <c r="F99" t="s">
        <v>335</v>
      </c>
      <c r="G99">
        <v>3.36</v>
      </c>
      <c r="H99">
        <v>1150.45</v>
      </c>
      <c r="I99" t="s">
        <v>348</v>
      </c>
      <c r="J99" t="s">
        <v>401</v>
      </c>
      <c r="K99" t="s">
        <v>579</v>
      </c>
      <c r="L99" t="s">
        <v>178</v>
      </c>
      <c r="M99" t="s">
        <v>292</v>
      </c>
      <c r="N99" t="s">
        <v>11</v>
      </c>
      <c r="O99" t="s">
        <v>290</v>
      </c>
      <c r="P99">
        <v>0</v>
      </c>
      <c r="Q99">
        <v>0</v>
      </c>
      <c r="R99">
        <v>0</v>
      </c>
      <c r="S99">
        <v>0.25</v>
      </c>
      <c r="T99">
        <v>0.25</v>
      </c>
      <c r="U99">
        <v>0.25</v>
      </c>
      <c r="V99">
        <v>0.25</v>
      </c>
      <c r="W99">
        <v>0.5</v>
      </c>
      <c r="X99">
        <v>0.5</v>
      </c>
      <c r="Y99">
        <v>0.5</v>
      </c>
      <c r="Z99">
        <v>0.5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292</v>
      </c>
      <c r="AH99" t="s">
        <v>11</v>
      </c>
      <c r="AI99" t="s">
        <v>290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287.61250000000001</v>
      </c>
      <c r="AN99">
        <f>$H$99*$T$99</f>
        <v>287.61250000000001</v>
      </c>
      <c r="AO99">
        <f>$H$99*$U$99</f>
        <v>287.61250000000001</v>
      </c>
      <c r="AP99">
        <f>$H$99*$V$99</f>
        <v>287.61250000000001</v>
      </c>
      <c r="AQ99">
        <f>$H$99*$W$99</f>
        <v>575.22500000000002</v>
      </c>
      <c r="AR99">
        <f>$H$99*$X$99</f>
        <v>575.22500000000002</v>
      </c>
      <c r="AS99">
        <f>$H$99*$Y$99</f>
        <v>575.22500000000002</v>
      </c>
      <c r="AT99">
        <f>$H$99*$Z$99</f>
        <v>575.22500000000002</v>
      </c>
      <c r="AU99">
        <f>$H$99*$AA$99</f>
        <v>1150.45</v>
      </c>
      <c r="AV99">
        <f>$H$99*$AB$99</f>
        <v>1150.45</v>
      </c>
      <c r="AW99">
        <f>$H$99*$AC$99</f>
        <v>1150.45</v>
      </c>
      <c r="AX99">
        <f>$H$99*$AD$99</f>
        <v>1150.45</v>
      </c>
      <c r="AY99">
        <f>$H$99*$AE$99</f>
        <v>1150.45</v>
      </c>
      <c r="AZ99">
        <f>$H$99*$AF$99</f>
        <v>1150.45</v>
      </c>
    </row>
    <row r="100" spans="1:52" x14ac:dyDescent="0.25">
      <c r="A100">
        <v>143</v>
      </c>
      <c r="B100" t="s">
        <v>292</v>
      </c>
      <c r="C100" t="s">
        <v>402</v>
      </c>
      <c r="D100">
        <v>35.67</v>
      </c>
      <c r="E100">
        <v>53.86</v>
      </c>
      <c r="F100" t="s">
        <v>311</v>
      </c>
      <c r="G100">
        <v>1.51</v>
      </c>
      <c r="H100">
        <v>64.64</v>
      </c>
      <c r="I100" t="s">
        <v>312</v>
      </c>
      <c r="J100" t="s">
        <v>403</v>
      </c>
      <c r="K100" t="s">
        <v>580</v>
      </c>
      <c r="L100" t="s">
        <v>178</v>
      </c>
      <c r="M100" t="s">
        <v>292</v>
      </c>
      <c r="N100" t="s">
        <v>11</v>
      </c>
      <c r="O100" t="s">
        <v>290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292</v>
      </c>
      <c r="AH100" t="s">
        <v>11</v>
      </c>
      <c r="AI100" t="s">
        <v>290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64.64</v>
      </c>
      <c r="AN100">
        <f>$H$100*$T$100</f>
        <v>64.64</v>
      </c>
      <c r="AO100">
        <f>$H$100*$U$100</f>
        <v>64.64</v>
      </c>
      <c r="AP100">
        <f>$H$100*$V$100</f>
        <v>64.64</v>
      </c>
      <c r="AQ100">
        <f>$H$100*$W$100</f>
        <v>64.64</v>
      </c>
      <c r="AR100">
        <f>$H$100*$X$100</f>
        <v>64.64</v>
      </c>
      <c r="AS100">
        <f>$H$100*$Y$100</f>
        <v>64.64</v>
      </c>
      <c r="AT100">
        <f>$H$100*$Z$100</f>
        <v>64.64</v>
      </c>
      <c r="AU100">
        <f>$H$100*$AA$100</f>
        <v>64.64</v>
      </c>
      <c r="AV100">
        <f>$H$100*$AB$100</f>
        <v>64.64</v>
      </c>
      <c r="AW100">
        <f>$H$100*$AC$100</f>
        <v>64.64</v>
      </c>
      <c r="AX100">
        <f>$H$100*$AD$100</f>
        <v>64.64</v>
      </c>
      <c r="AY100">
        <f>$H$100*$AE$100</f>
        <v>64.64</v>
      </c>
      <c r="AZ100">
        <f>$H$100*$AF$100</f>
        <v>64.64</v>
      </c>
    </row>
    <row r="101" spans="1:52" x14ac:dyDescent="0.25">
      <c r="A101">
        <v>144</v>
      </c>
      <c r="B101" t="s">
        <v>292</v>
      </c>
      <c r="C101" t="s">
        <v>404</v>
      </c>
      <c r="D101">
        <v>35.67</v>
      </c>
      <c r="E101">
        <v>202.61</v>
      </c>
      <c r="F101" t="s">
        <v>311</v>
      </c>
      <c r="G101">
        <v>5.68</v>
      </c>
      <c r="H101">
        <v>243.13</v>
      </c>
      <c r="I101" t="s">
        <v>315</v>
      </c>
      <c r="J101" t="s">
        <v>405</v>
      </c>
      <c r="K101" t="s">
        <v>581</v>
      </c>
      <c r="L101" t="s">
        <v>178</v>
      </c>
      <c r="M101" t="s">
        <v>292</v>
      </c>
      <c r="N101" t="s">
        <v>11</v>
      </c>
      <c r="O101" t="s">
        <v>290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292</v>
      </c>
      <c r="AH101" t="s">
        <v>11</v>
      </c>
      <c r="AI101" t="s">
        <v>290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243.13</v>
      </c>
      <c r="AN101">
        <f>$H$101*$T$101</f>
        <v>243.13</v>
      </c>
      <c r="AO101">
        <f>$H$101*$U$101</f>
        <v>243.13</v>
      </c>
      <c r="AP101">
        <f>$H$101*$V$101</f>
        <v>243.13</v>
      </c>
      <c r="AQ101">
        <f>$H$101*$W$101</f>
        <v>243.13</v>
      </c>
      <c r="AR101">
        <f>$H$101*$X$101</f>
        <v>243.13</v>
      </c>
      <c r="AS101">
        <f>$H$101*$Y$101</f>
        <v>243.13</v>
      </c>
      <c r="AT101">
        <f>$H$101*$Z$101</f>
        <v>243.13</v>
      </c>
      <c r="AU101">
        <f>$H$101*$AA$101</f>
        <v>243.13</v>
      </c>
      <c r="AV101">
        <f>$H$101*$AB$101</f>
        <v>243.13</v>
      </c>
      <c r="AW101">
        <f>$H$101*$AC$101</f>
        <v>243.13</v>
      </c>
      <c r="AX101">
        <f>$H$101*$AD$101</f>
        <v>243.13</v>
      </c>
      <c r="AY101">
        <f>$H$101*$AE$101</f>
        <v>243.13</v>
      </c>
      <c r="AZ101">
        <f>$H$101*$AF$101</f>
        <v>243.13</v>
      </c>
    </row>
    <row r="102" spans="1:52" x14ac:dyDescent="0.25">
      <c r="A102">
        <v>145</v>
      </c>
      <c r="B102" t="s">
        <v>292</v>
      </c>
      <c r="C102" t="s">
        <v>400</v>
      </c>
      <c r="D102">
        <v>78.510000000000005</v>
      </c>
      <c r="E102">
        <v>263.79000000000002</v>
      </c>
      <c r="F102" t="s">
        <v>335</v>
      </c>
      <c r="G102">
        <v>3.36</v>
      </c>
      <c r="H102">
        <v>316.55</v>
      </c>
      <c r="I102" t="s">
        <v>348</v>
      </c>
      <c r="J102" t="s">
        <v>401</v>
      </c>
      <c r="K102" t="s">
        <v>579</v>
      </c>
      <c r="L102" t="s">
        <v>178</v>
      </c>
      <c r="M102" t="s">
        <v>292</v>
      </c>
      <c r="N102" t="s">
        <v>11</v>
      </c>
      <c r="O102" t="s">
        <v>290</v>
      </c>
      <c r="P102">
        <v>0</v>
      </c>
      <c r="Q102">
        <v>0</v>
      </c>
      <c r="R102">
        <v>0</v>
      </c>
      <c r="S102">
        <v>0.25</v>
      </c>
      <c r="T102">
        <v>0.25</v>
      </c>
      <c r="U102">
        <v>0.25</v>
      </c>
      <c r="V102">
        <v>0.25</v>
      </c>
      <c r="W102">
        <v>0.5</v>
      </c>
      <c r="X102">
        <v>0.5</v>
      </c>
      <c r="Y102">
        <v>0.5</v>
      </c>
      <c r="Z102">
        <v>0.5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292</v>
      </c>
      <c r="AH102" t="s">
        <v>11</v>
      </c>
      <c r="AI102" t="s">
        <v>290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79.137500000000003</v>
      </c>
      <c r="AN102">
        <f>$H$102*$T$102</f>
        <v>79.137500000000003</v>
      </c>
      <c r="AO102">
        <f>$H$102*$U$102</f>
        <v>79.137500000000003</v>
      </c>
      <c r="AP102">
        <f>$H$102*$V$102</f>
        <v>79.137500000000003</v>
      </c>
      <c r="AQ102">
        <f>$H$102*$W$102</f>
        <v>158.27500000000001</v>
      </c>
      <c r="AR102">
        <f>$H$102*$X$102</f>
        <v>158.27500000000001</v>
      </c>
      <c r="AS102">
        <f>$H$102*$Y$102</f>
        <v>158.27500000000001</v>
      </c>
      <c r="AT102">
        <f>$H$102*$Z$102</f>
        <v>158.27500000000001</v>
      </c>
      <c r="AU102">
        <f>$H$102*$AA$102</f>
        <v>316.55</v>
      </c>
      <c r="AV102">
        <f>$H$102*$AB$102</f>
        <v>316.55</v>
      </c>
      <c r="AW102">
        <f>$H$102*$AC$102</f>
        <v>316.55</v>
      </c>
      <c r="AX102">
        <f>$H$102*$AD$102</f>
        <v>316.55</v>
      </c>
      <c r="AY102">
        <f>$H$102*$AE$102</f>
        <v>316.55</v>
      </c>
      <c r="AZ102">
        <f>$H$102*$AF$102</f>
        <v>316.55</v>
      </c>
    </row>
    <row r="103" spans="1:52" x14ac:dyDescent="0.25">
      <c r="A103">
        <v>146</v>
      </c>
      <c r="B103" t="s">
        <v>292</v>
      </c>
      <c r="C103" t="s">
        <v>406</v>
      </c>
      <c r="D103">
        <v>78.510000000000005</v>
      </c>
      <c r="E103">
        <v>49.46</v>
      </c>
      <c r="F103" t="s">
        <v>335</v>
      </c>
      <c r="G103">
        <v>0.63</v>
      </c>
      <c r="H103">
        <v>59.36</v>
      </c>
      <c r="I103" t="s">
        <v>312</v>
      </c>
      <c r="J103" t="s">
        <v>407</v>
      </c>
      <c r="K103" t="s">
        <v>582</v>
      </c>
      <c r="L103" t="s">
        <v>178</v>
      </c>
      <c r="M103" t="s">
        <v>292</v>
      </c>
      <c r="N103" t="s">
        <v>11</v>
      </c>
      <c r="O103" t="s">
        <v>290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292</v>
      </c>
      <c r="AH103" t="s">
        <v>11</v>
      </c>
      <c r="AI103" t="s">
        <v>290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59.36</v>
      </c>
      <c r="AY103">
        <f>$H$103*$AE$103</f>
        <v>59.36</v>
      </c>
      <c r="AZ103">
        <f>$H$103*$AF$103</f>
        <v>59.36</v>
      </c>
    </row>
    <row r="104" spans="1:52" x14ac:dyDescent="0.25">
      <c r="A104">
        <v>147</v>
      </c>
      <c r="B104" t="s">
        <v>292</v>
      </c>
      <c r="C104" t="s">
        <v>408</v>
      </c>
      <c r="D104">
        <v>78.510000000000005</v>
      </c>
      <c r="E104">
        <v>54.17</v>
      </c>
      <c r="F104" t="s">
        <v>335</v>
      </c>
      <c r="G104">
        <v>0.69</v>
      </c>
      <c r="H104">
        <v>65.010000000000005</v>
      </c>
      <c r="I104" t="s">
        <v>312</v>
      </c>
      <c r="J104" t="s">
        <v>409</v>
      </c>
      <c r="K104" t="s">
        <v>583</v>
      </c>
      <c r="L104" t="s">
        <v>178</v>
      </c>
      <c r="M104" t="s">
        <v>292</v>
      </c>
      <c r="N104" t="s">
        <v>11</v>
      </c>
      <c r="O104" t="s">
        <v>290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292</v>
      </c>
      <c r="AH104" t="s">
        <v>11</v>
      </c>
      <c r="AI104" t="s">
        <v>290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65.010000000000005</v>
      </c>
      <c r="AN104">
        <f>$H$104*$T$104</f>
        <v>65.010000000000005</v>
      </c>
      <c r="AO104">
        <f>$H$104*$U$104</f>
        <v>65.010000000000005</v>
      </c>
      <c r="AP104">
        <f>$H$104*$V$104</f>
        <v>65.010000000000005</v>
      </c>
      <c r="AQ104">
        <f>$H$104*$W$104</f>
        <v>65.010000000000005</v>
      </c>
      <c r="AR104">
        <f>$H$104*$X$104</f>
        <v>65.010000000000005</v>
      </c>
      <c r="AS104">
        <f>$H$104*$Y$104</f>
        <v>65.010000000000005</v>
      </c>
      <c r="AT104">
        <f>$H$104*$Z$104</f>
        <v>65.010000000000005</v>
      </c>
      <c r="AU104">
        <f>$H$104*$AA$104</f>
        <v>65.010000000000005</v>
      </c>
      <c r="AV104">
        <f>$H$104*$AB$104</f>
        <v>65.010000000000005</v>
      </c>
      <c r="AW104">
        <f>$H$104*$AC$104</f>
        <v>65.010000000000005</v>
      </c>
      <c r="AX104">
        <f>$H$104*$AD$104</f>
        <v>65.010000000000005</v>
      </c>
      <c r="AY104">
        <f>$H$104*$AE$104</f>
        <v>65.010000000000005</v>
      </c>
      <c r="AZ104">
        <f>$H$104*$AF$104</f>
        <v>65.010000000000005</v>
      </c>
    </row>
    <row r="105" spans="1:52" x14ac:dyDescent="0.25">
      <c r="A105">
        <v>148</v>
      </c>
      <c r="B105" t="s">
        <v>292</v>
      </c>
      <c r="C105" t="s">
        <v>410</v>
      </c>
      <c r="D105">
        <v>16.489999999999998</v>
      </c>
      <c r="E105">
        <v>112.3</v>
      </c>
      <c r="F105" t="s">
        <v>335</v>
      </c>
      <c r="G105">
        <v>6.81</v>
      </c>
      <c r="H105">
        <v>134.76</v>
      </c>
      <c r="I105" t="s">
        <v>411</v>
      </c>
      <c r="J105" t="s">
        <v>412</v>
      </c>
      <c r="K105" t="s">
        <v>584</v>
      </c>
      <c r="L105" t="s">
        <v>178</v>
      </c>
      <c r="M105" t="s">
        <v>292</v>
      </c>
      <c r="N105" t="s">
        <v>11</v>
      </c>
      <c r="O105" t="s">
        <v>290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292</v>
      </c>
      <c r="AH105" t="s">
        <v>11</v>
      </c>
      <c r="AI105" t="s">
        <v>290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134.76</v>
      </c>
      <c r="AN105">
        <f>$H$105*$T$105</f>
        <v>134.76</v>
      </c>
      <c r="AO105">
        <f>$H$105*$U$105</f>
        <v>134.76</v>
      </c>
      <c r="AP105">
        <f>$H$105*$V$105</f>
        <v>134.76</v>
      </c>
      <c r="AQ105">
        <f>$H$105*$W$105</f>
        <v>134.76</v>
      </c>
      <c r="AR105">
        <f>$H$105*$X$105</f>
        <v>134.76</v>
      </c>
      <c r="AS105">
        <f>$H$105*$Y$105</f>
        <v>134.76</v>
      </c>
      <c r="AT105">
        <f>$H$105*$Z$105</f>
        <v>134.76</v>
      </c>
      <c r="AU105">
        <f>$H$105*$AA$105</f>
        <v>134.76</v>
      </c>
      <c r="AV105">
        <f>$H$105*$AB$105</f>
        <v>134.76</v>
      </c>
      <c r="AW105">
        <f>$H$105*$AC$105</f>
        <v>134.76</v>
      </c>
      <c r="AX105">
        <f>$H$105*$AD$105</f>
        <v>134.76</v>
      </c>
      <c r="AY105">
        <f>$H$105*$AE$105</f>
        <v>134.76</v>
      </c>
      <c r="AZ105">
        <f>$H$105*$AF$105</f>
        <v>134.76</v>
      </c>
    </row>
    <row r="106" spans="1:52" x14ac:dyDescent="0.25">
      <c r="A106">
        <v>149</v>
      </c>
      <c r="B106" t="s">
        <v>292</v>
      </c>
      <c r="C106" t="s">
        <v>413</v>
      </c>
      <c r="D106">
        <v>18.059999999999999</v>
      </c>
      <c r="E106">
        <v>133.1</v>
      </c>
      <c r="F106" t="s">
        <v>335</v>
      </c>
      <c r="G106">
        <v>7.37</v>
      </c>
      <c r="H106">
        <v>159.72</v>
      </c>
      <c r="I106" t="s">
        <v>411</v>
      </c>
      <c r="J106" t="s">
        <v>414</v>
      </c>
      <c r="K106" t="s">
        <v>585</v>
      </c>
      <c r="L106" t="s">
        <v>178</v>
      </c>
      <c r="M106" t="s">
        <v>292</v>
      </c>
      <c r="N106" t="s">
        <v>11</v>
      </c>
      <c r="O106" t="s">
        <v>290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292</v>
      </c>
      <c r="AH106" t="s">
        <v>11</v>
      </c>
      <c r="AI106" t="s">
        <v>290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159.72</v>
      </c>
      <c r="AN106">
        <f>$H$106*$T$106</f>
        <v>159.72</v>
      </c>
      <c r="AO106">
        <f>$H$106*$U$106</f>
        <v>159.72</v>
      </c>
      <c r="AP106">
        <f>$H$106*$V$106</f>
        <v>159.72</v>
      </c>
      <c r="AQ106">
        <f>$H$106*$W$106</f>
        <v>159.72</v>
      </c>
      <c r="AR106">
        <f>$H$106*$X$106</f>
        <v>159.72</v>
      </c>
      <c r="AS106">
        <f>$H$106*$Y$106</f>
        <v>159.72</v>
      </c>
      <c r="AT106">
        <f>$H$106*$Z$106</f>
        <v>159.72</v>
      </c>
      <c r="AU106">
        <f>$H$106*$AA$106</f>
        <v>159.72</v>
      </c>
      <c r="AV106">
        <f>$H$106*$AB$106</f>
        <v>159.72</v>
      </c>
      <c r="AW106">
        <f>$H$106*$AC$106</f>
        <v>159.72</v>
      </c>
      <c r="AX106">
        <f>$H$106*$AD$106</f>
        <v>159.72</v>
      </c>
      <c r="AY106">
        <f>$H$106*$AE$106</f>
        <v>159.72</v>
      </c>
      <c r="AZ106">
        <f>$H$106*$AF$106</f>
        <v>159.72</v>
      </c>
    </row>
    <row r="107" spans="1:52" x14ac:dyDescent="0.25">
      <c r="A107">
        <v>150</v>
      </c>
      <c r="B107" t="s">
        <v>292</v>
      </c>
      <c r="C107" t="s">
        <v>415</v>
      </c>
      <c r="D107">
        <v>17.3</v>
      </c>
      <c r="E107">
        <v>94.46</v>
      </c>
      <c r="F107" t="s">
        <v>335</v>
      </c>
      <c r="G107">
        <v>5.46</v>
      </c>
      <c r="H107">
        <v>113.36</v>
      </c>
      <c r="I107" t="s">
        <v>416</v>
      </c>
      <c r="J107" t="s">
        <v>417</v>
      </c>
      <c r="K107" t="s">
        <v>586</v>
      </c>
      <c r="L107" t="s">
        <v>178</v>
      </c>
      <c r="M107" t="s">
        <v>292</v>
      </c>
      <c r="N107" t="s">
        <v>11</v>
      </c>
      <c r="O107" t="s">
        <v>290</v>
      </c>
      <c r="P107">
        <v>0</v>
      </c>
      <c r="Q107">
        <v>0</v>
      </c>
      <c r="R107">
        <v>0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292</v>
      </c>
      <c r="AH107" t="s">
        <v>11</v>
      </c>
      <c r="AI107" t="s">
        <v>290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113.36</v>
      </c>
      <c r="AN107">
        <f>$H$107*$T$107</f>
        <v>113.36</v>
      </c>
      <c r="AO107">
        <f>$H$107*$U$107</f>
        <v>113.36</v>
      </c>
      <c r="AP107">
        <f>$H$107*$V$107</f>
        <v>113.36</v>
      </c>
      <c r="AQ107">
        <f>$H$107*$W$107</f>
        <v>113.36</v>
      </c>
      <c r="AR107">
        <f>$H$107*$X$107</f>
        <v>113.36</v>
      </c>
      <c r="AS107">
        <f>$H$107*$Y$107</f>
        <v>113.36</v>
      </c>
      <c r="AT107">
        <f>$H$107*$Z$107</f>
        <v>113.36</v>
      </c>
      <c r="AU107">
        <f>$H$107*$AA$107</f>
        <v>113.36</v>
      </c>
      <c r="AV107">
        <f>$H$107*$AB$107</f>
        <v>113.36</v>
      </c>
      <c r="AW107">
        <f>$H$107*$AC$107</f>
        <v>113.36</v>
      </c>
      <c r="AX107">
        <f>$H$107*$AD$107</f>
        <v>113.36</v>
      </c>
      <c r="AY107">
        <f>$H$107*$AE$107</f>
        <v>113.36</v>
      </c>
      <c r="AZ107">
        <f>$H$107*$AF$107</f>
        <v>113.36</v>
      </c>
    </row>
    <row r="108" spans="1:52" x14ac:dyDescent="0.25">
      <c r="A108">
        <v>151</v>
      </c>
      <c r="B108" t="s">
        <v>292</v>
      </c>
      <c r="C108" t="s">
        <v>418</v>
      </c>
      <c r="D108">
        <v>17.3</v>
      </c>
      <c r="E108">
        <v>61.93</v>
      </c>
      <c r="F108" t="s">
        <v>335</v>
      </c>
      <c r="G108">
        <v>3.58</v>
      </c>
      <c r="H108">
        <v>74.31</v>
      </c>
      <c r="I108" t="s">
        <v>416</v>
      </c>
      <c r="J108" t="s">
        <v>419</v>
      </c>
      <c r="K108" t="s">
        <v>587</v>
      </c>
      <c r="L108" t="s">
        <v>178</v>
      </c>
      <c r="M108" t="s">
        <v>292</v>
      </c>
      <c r="N108" t="s">
        <v>11</v>
      </c>
      <c r="O108" t="s">
        <v>290</v>
      </c>
      <c r="P108">
        <v>0</v>
      </c>
      <c r="Q108">
        <v>0</v>
      </c>
      <c r="R108">
        <v>0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292</v>
      </c>
      <c r="AH108" t="s">
        <v>11</v>
      </c>
      <c r="AI108" t="s">
        <v>290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74.31</v>
      </c>
      <c r="AN108">
        <f>$H$108*$T$108</f>
        <v>74.31</v>
      </c>
      <c r="AO108">
        <f>$H$108*$U$108</f>
        <v>74.31</v>
      </c>
      <c r="AP108">
        <f>$H$108*$V$108</f>
        <v>74.31</v>
      </c>
      <c r="AQ108">
        <f>$H$108*$W$108</f>
        <v>74.31</v>
      </c>
      <c r="AR108">
        <f>$H$108*$X$108</f>
        <v>74.31</v>
      </c>
      <c r="AS108">
        <f>$H$108*$Y$108</f>
        <v>74.31</v>
      </c>
      <c r="AT108">
        <f>$H$108*$Z$108</f>
        <v>74.31</v>
      </c>
      <c r="AU108">
        <f>$H$108*$AA$108</f>
        <v>74.31</v>
      </c>
      <c r="AV108">
        <f>$H$108*$AB$108</f>
        <v>74.31</v>
      </c>
      <c r="AW108">
        <f>$H$108*$AC$108</f>
        <v>74.31</v>
      </c>
      <c r="AX108">
        <f>$H$108*$AD$108</f>
        <v>74.31</v>
      </c>
      <c r="AY108">
        <f>$H$108*$AE$108</f>
        <v>74.31</v>
      </c>
      <c r="AZ108">
        <f>$H$108*$AF$108</f>
        <v>74.31</v>
      </c>
    </row>
    <row r="109" spans="1:52" x14ac:dyDescent="0.25">
      <c r="A109">
        <v>152</v>
      </c>
      <c r="B109" t="s">
        <v>292</v>
      </c>
      <c r="C109" t="s">
        <v>420</v>
      </c>
      <c r="D109">
        <v>17.3</v>
      </c>
      <c r="E109">
        <v>170.41</v>
      </c>
      <c r="F109" t="s">
        <v>335</v>
      </c>
      <c r="G109">
        <v>9.85</v>
      </c>
      <c r="H109">
        <v>204.49</v>
      </c>
      <c r="I109" t="s">
        <v>416</v>
      </c>
      <c r="J109" t="s">
        <v>414</v>
      </c>
      <c r="K109" t="s">
        <v>588</v>
      </c>
      <c r="L109" t="s">
        <v>178</v>
      </c>
      <c r="M109" t="s">
        <v>292</v>
      </c>
      <c r="N109" t="s">
        <v>11</v>
      </c>
      <c r="O109" t="s">
        <v>290</v>
      </c>
      <c r="P109">
        <v>0</v>
      </c>
      <c r="Q109">
        <v>0</v>
      </c>
      <c r="R109">
        <v>0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292</v>
      </c>
      <c r="AH109" t="s">
        <v>11</v>
      </c>
      <c r="AI109" t="s">
        <v>290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204.49</v>
      </c>
      <c r="AN109">
        <f>$H$109*$T$109</f>
        <v>204.49</v>
      </c>
      <c r="AO109">
        <f>$H$109*$U$109</f>
        <v>204.49</v>
      </c>
      <c r="AP109">
        <f>$H$109*$V$109</f>
        <v>204.49</v>
      </c>
      <c r="AQ109">
        <f>$H$109*$W$109</f>
        <v>204.49</v>
      </c>
      <c r="AR109">
        <f>$H$109*$X$109</f>
        <v>204.49</v>
      </c>
      <c r="AS109">
        <f>$H$109*$Y$109</f>
        <v>204.49</v>
      </c>
      <c r="AT109">
        <f>$H$109*$Z$109</f>
        <v>204.49</v>
      </c>
      <c r="AU109">
        <f>$H$109*$AA$109</f>
        <v>204.49</v>
      </c>
      <c r="AV109">
        <f>$H$109*$AB$109</f>
        <v>204.49</v>
      </c>
      <c r="AW109">
        <f>$H$109*$AC$109</f>
        <v>204.49</v>
      </c>
      <c r="AX109">
        <f>$H$109*$AD$109</f>
        <v>204.49</v>
      </c>
      <c r="AY109">
        <f>$H$109*$AE$109</f>
        <v>204.49</v>
      </c>
      <c r="AZ109">
        <f>$H$109*$AF$109</f>
        <v>204.49</v>
      </c>
    </row>
    <row r="110" spans="1:52" x14ac:dyDescent="0.25">
      <c r="A110">
        <v>153</v>
      </c>
      <c r="B110" t="s">
        <v>292</v>
      </c>
      <c r="C110" t="s">
        <v>421</v>
      </c>
      <c r="D110">
        <v>18.059999999999999</v>
      </c>
      <c r="E110">
        <v>17.52</v>
      </c>
      <c r="F110" t="s">
        <v>335</v>
      </c>
      <c r="G110">
        <v>0.97</v>
      </c>
      <c r="H110">
        <v>21.02</v>
      </c>
      <c r="I110" t="s">
        <v>360</v>
      </c>
      <c r="J110" t="s">
        <v>422</v>
      </c>
      <c r="K110" t="s">
        <v>589</v>
      </c>
      <c r="L110" t="s">
        <v>178</v>
      </c>
      <c r="M110" t="s">
        <v>292</v>
      </c>
      <c r="N110" t="s">
        <v>11</v>
      </c>
      <c r="O110" t="s">
        <v>290</v>
      </c>
      <c r="P110">
        <v>0</v>
      </c>
      <c r="Q110">
        <v>0</v>
      </c>
      <c r="R110">
        <v>0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292</v>
      </c>
      <c r="AH110" t="s">
        <v>11</v>
      </c>
      <c r="AI110" t="s">
        <v>290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21.02</v>
      </c>
      <c r="AN110">
        <f>$H$110*$T$110</f>
        <v>21.02</v>
      </c>
      <c r="AO110">
        <f>$H$110*$U$110</f>
        <v>21.02</v>
      </c>
      <c r="AP110">
        <f>$H$110*$V$110</f>
        <v>21.02</v>
      </c>
      <c r="AQ110">
        <f>$H$110*$W$110</f>
        <v>21.02</v>
      </c>
      <c r="AR110">
        <f>$H$110*$X$110</f>
        <v>21.02</v>
      </c>
      <c r="AS110">
        <f>$H$110*$Y$110</f>
        <v>21.02</v>
      </c>
      <c r="AT110">
        <f>$H$110*$Z$110</f>
        <v>21.02</v>
      </c>
      <c r="AU110">
        <f>$H$110*$AA$110</f>
        <v>21.02</v>
      </c>
      <c r="AV110">
        <f>$H$110*$AB$110</f>
        <v>21.02</v>
      </c>
      <c r="AW110">
        <f>$H$110*$AC$110</f>
        <v>21.02</v>
      </c>
      <c r="AX110">
        <f>$H$110*$AD$110</f>
        <v>21.02</v>
      </c>
      <c r="AY110">
        <f>$H$110*$AE$110</f>
        <v>21.02</v>
      </c>
      <c r="AZ110">
        <f>$H$110*$AF$110</f>
        <v>21.02</v>
      </c>
    </row>
    <row r="111" spans="1:52" x14ac:dyDescent="0.25">
      <c r="A111">
        <v>154</v>
      </c>
      <c r="B111" t="s">
        <v>292</v>
      </c>
      <c r="C111" t="s">
        <v>423</v>
      </c>
      <c r="D111">
        <v>18.059999999999999</v>
      </c>
      <c r="E111">
        <v>138.34</v>
      </c>
      <c r="F111" t="s">
        <v>335</v>
      </c>
      <c r="G111">
        <v>7.66</v>
      </c>
      <c r="H111">
        <v>166</v>
      </c>
      <c r="I111" t="s">
        <v>360</v>
      </c>
      <c r="J111" t="s">
        <v>414</v>
      </c>
      <c r="K111" t="s">
        <v>590</v>
      </c>
      <c r="L111" t="s">
        <v>178</v>
      </c>
      <c r="M111" t="s">
        <v>292</v>
      </c>
      <c r="N111" t="s">
        <v>11</v>
      </c>
      <c r="O111" t="s">
        <v>290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292</v>
      </c>
      <c r="AH111" t="s">
        <v>11</v>
      </c>
      <c r="AI111" t="s">
        <v>290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166</v>
      </c>
      <c r="AN111">
        <f>$H$111*$T$111</f>
        <v>166</v>
      </c>
      <c r="AO111">
        <f>$H$111*$U$111</f>
        <v>166</v>
      </c>
      <c r="AP111">
        <f>$H$111*$V$111</f>
        <v>166</v>
      </c>
      <c r="AQ111">
        <f>$H$111*$W$111</f>
        <v>166</v>
      </c>
      <c r="AR111">
        <f>$H$111*$X$111</f>
        <v>166</v>
      </c>
      <c r="AS111">
        <f>$H$111*$Y$111</f>
        <v>166</v>
      </c>
      <c r="AT111">
        <f>$H$111*$Z$111</f>
        <v>166</v>
      </c>
      <c r="AU111">
        <f>$H$111*$AA$111</f>
        <v>166</v>
      </c>
      <c r="AV111">
        <f>$H$111*$AB$111</f>
        <v>166</v>
      </c>
      <c r="AW111">
        <f>$H$111*$AC$111</f>
        <v>166</v>
      </c>
      <c r="AX111">
        <f>$H$111*$AD$111</f>
        <v>166</v>
      </c>
      <c r="AY111">
        <f>$H$111*$AE$111</f>
        <v>166</v>
      </c>
      <c r="AZ111">
        <f>$H$111*$AF$111</f>
        <v>166</v>
      </c>
    </row>
    <row r="112" spans="1:52" x14ac:dyDescent="0.25">
      <c r="A112">
        <v>155</v>
      </c>
      <c r="B112" t="s">
        <v>258</v>
      </c>
      <c r="C112" t="s">
        <v>426</v>
      </c>
      <c r="D112">
        <v>55</v>
      </c>
      <c r="E112">
        <v>484.55</v>
      </c>
      <c r="F112" t="s">
        <v>335</v>
      </c>
      <c r="G112">
        <v>8.81</v>
      </c>
      <c r="H112">
        <v>581.47</v>
      </c>
      <c r="I112" t="s">
        <v>427</v>
      </c>
      <c r="J112" t="s">
        <v>428</v>
      </c>
      <c r="K112" t="s">
        <v>592</v>
      </c>
      <c r="L112" t="s">
        <v>178</v>
      </c>
      <c r="M112" t="s">
        <v>258</v>
      </c>
      <c r="N112" t="s">
        <v>51</v>
      </c>
      <c r="O112" t="s">
        <v>13</v>
      </c>
      <c r="P112">
        <v>0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258</v>
      </c>
      <c r="AH112" t="s">
        <v>51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581.47</v>
      </c>
      <c r="AN112">
        <f>$H$112*$T$112</f>
        <v>581.47</v>
      </c>
      <c r="AO112">
        <f>$H$112*$U$112</f>
        <v>581.47</v>
      </c>
      <c r="AP112">
        <f>$H$112*$V$112</f>
        <v>581.47</v>
      </c>
      <c r="AQ112">
        <f>$H$112*$W$112</f>
        <v>581.47</v>
      </c>
      <c r="AR112">
        <f>$H$112*$X$112</f>
        <v>581.47</v>
      </c>
      <c r="AS112">
        <f>$H$112*$Y$112</f>
        <v>581.47</v>
      </c>
      <c r="AT112">
        <f>$H$112*$Z$112</f>
        <v>581.47</v>
      </c>
      <c r="AU112">
        <f>$H$112*$AA$112</f>
        <v>581.47</v>
      </c>
      <c r="AV112">
        <f>$H$112*$AB$112</f>
        <v>581.47</v>
      </c>
      <c r="AW112">
        <f>$H$112*$AC$112</f>
        <v>581.47</v>
      </c>
      <c r="AX112">
        <f>$H$112*$AD$112</f>
        <v>581.47</v>
      </c>
      <c r="AY112">
        <f>$H$112*$AE$112</f>
        <v>581.47</v>
      </c>
      <c r="AZ112">
        <f>$H$112*$AF$112</f>
        <v>581.47</v>
      </c>
    </row>
    <row r="113" spans="1:52" x14ac:dyDescent="0.25">
      <c r="A113">
        <v>156</v>
      </c>
      <c r="B113" t="s">
        <v>258</v>
      </c>
      <c r="C113" t="s">
        <v>429</v>
      </c>
      <c r="D113">
        <v>1</v>
      </c>
      <c r="E113">
        <v>1081.7</v>
      </c>
      <c r="F113" t="s">
        <v>317</v>
      </c>
      <c r="G113">
        <v>1081.7</v>
      </c>
      <c r="H113">
        <v>1298.04</v>
      </c>
      <c r="I113" t="s">
        <v>427</v>
      </c>
      <c r="J113" t="s">
        <v>430</v>
      </c>
      <c r="K113" t="s">
        <v>593</v>
      </c>
      <c r="L113" t="s">
        <v>178</v>
      </c>
      <c r="M113" t="s">
        <v>258</v>
      </c>
      <c r="N113" t="s">
        <v>51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258</v>
      </c>
      <c r="AH113" t="s">
        <v>51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1298.04</v>
      </c>
      <c r="AU113">
        <f>$H$113*$AA$113</f>
        <v>1298.04</v>
      </c>
      <c r="AV113">
        <f>$H$113*$AB$113</f>
        <v>1298.04</v>
      </c>
      <c r="AW113">
        <f>$H$113*$AC$113</f>
        <v>1298.04</v>
      </c>
      <c r="AX113">
        <f>$H$113*$AD$113</f>
        <v>1298.04</v>
      </c>
      <c r="AY113">
        <f>$H$113*$AE$113</f>
        <v>1298.04</v>
      </c>
      <c r="AZ113">
        <f>$H$113*$AF$113</f>
        <v>1298.04</v>
      </c>
    </row>
    <row r="114" spans="1:52" x14ac:dyDescent="0.25">
      <c r="A114">
        <v>157</v>
      </c>
      <c r="B114" t="s">
        <v>258</v>
      </c>
      <c r="C114" t="s">
        <v>431</v>
      </c>
      <c r="D114">
        <v>1</v>
      </c>
      <c r="E114">
        <v>36.590000000000003</v>
      </c>
      <c r="F114" t="s">
        <v>317</v>
      </c>
      <c r="G114">
        <v>36.590000000000003</v>
      </c>
      <c r="H114">
        <v>43.91</v>
      </c>
      <c r="I114" t="s">
        <v>351</v>
      </c>
      <c r="J114" t="s">
        <v>432</v>
      </c>
      <c r="K114" t="s">
        <v>594</v>
      </c>
      <c r="L114" t="s">
        <v>178</v>
      </c>
      <c r="M114" t="s">
        <v>258</v>
      </c>
      <c r="N114" t="s">
        <v>51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258</v>
      </c>
      <c r="AH114" t="s">
        <v>51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43.91</v>
      </c>
      <c r="AV114">
        <f>$H$114*$AB$114</f>
        <v>43.91</v>
      </c>
      <c r="AW114">
        <f>$H$114*$AC$114</f>
        <v>43.91</v>
      </c>
      <c r="AX114">
        <f>$H$114*$AD$114</f>
        <v>43.91</v>
      </c>
      <c r="AY114">
        <f>$H$114*$AE$114</f>
        <v>43.91</v>
      </c>
      <c r="AZ114">
        <f>$H$114*$AF$114</f>
        <v>43.91</v>
      </c>
    </row>
    <row r="115" spans="1:52" x14ac:dyDescent="0.25">
      <c r="A115">
        <v>158</v>
      </c>
      <c r="B115" t="s">
        <v>258</v>
      </c>
      <c r="C115" t="s">
        <v>341</v>
      </c>
      <c r="D115">
        <v>12</v>
      </c>
      <c r="E115">
        <v>53.28</v>
      </c>
      <c r="F115" t="s">
        <v>311</v>
      </c>
      <c r="G115">
        <v>4.4400000000000004</v>
      </c>
      <c r="H115">
        <v>63.94</v>
      </c>
      <c r="I115" t="s">
        <v>312</v>
      </c>
      <c r="J115" t="s">
        <v>342</v>
      </c>
      <c r="K115" t="s">
        <v>550</v>
      </c>
      <c r="L115" t="s">
        <v>178</v>
      </c>
      <c r="M115" t="s">
        <v>258</v>
      </c>
      <c r="N115" t="s">
        <v>51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258</v>
      </c>
      <c r="AH115" t="s">
        <v>51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63.94</v>
      </c>
      <c r="AV115">
        <f>$H$115*$AB$115</f>
        <v>63.94</v>
      </c>
      <c r="AW115">
        <f>$H$115*$AC$115</f>
        <v>63.94</v>
      </c>
      <c r="AX115">
        <f>$H$115*$AD$115</f>
        <v>63.94</v>
      </c>
      <c r="AY115">
        <f>$H$115*$AE$115</f>
        <v>63.94</v>
      </c>
      <c r="AZ115">
        <f>$H$115*$AF$115</f>
        <v>63.94</v>
      </c>
    </row>
    <row r="116" spans="1:52" x14ac:dyDescent="0.25">
      <c r="A116">
        <v>159</v>
      </c>
      <c r="B116" t="s">
        <v>258</v>
      </c>
      <c r="C116" t="s">
        <v>343</v>
      </c>
      <c r="D116">
        <v>12</v>
      </c>
      <c r="E116">
        <v>138.6</v>
      </c>
      <c r="F116" t="s">
        <v>311</v>
      </c>
      <c r="G116">
        <v>11.55</v>
      </c>
      <c r="H116">
        <v>166.32</v>
      </c>
      <c r="I116" t="s">
        <v>315</v>
      </c>
      <c r="J116" t="s">
        <v>344</v>
      </c>
      <c r="K116" t="s">
        <v>551</v>
      </c>
      <c r="L116" t="s">
        <v>178</v>
      </c>
      <c r="M116" t="s">
        <v>258</v>
      </c>
      <c r="N116" t="s">
        <v>51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258</v>
      </c>
      <c r="AH116" t="s">
        <v>51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166.32</v>
      </c>
      <c r="AV116">
        <f>$H$116*$AB$116</f>
        <v>166.32</v>
      </c>
      <c r="AW116">
        <f>$H$116*$AC$116</f>
        <v>166.32</v>
      </c>
      <c r="AX116">
        <f>$H$116*$AD$116</f>
        <v>166.32</v>
      </c>
      <c r="AY116">
        <f>$H$116*$AE$116</f>
        <v>166.32</v>
      </c>
      <c r="AZ116">
        <f>$H$116*$AF$116</f>
        <v>166.32</v>
      </c>
    </row>
    <row r="117" spans="1:52" x14ac:dyDescent="0.25">
      <c r="A117">
        <v>160</v>
      </c>
      <c r="B117" t="s">
        <v>258</v>
      </c>
      <c r="C117" t="s">
        <v>433</v>
      </c>
      <c r="D117">
        <v>1</v>
      </c>
      <c r="E117">
        <v>36.64</v>
      </c>
      <c r="F117" t="s">
        <v>317</v>
      </c>
      <c r="G117">
        <v>36.64</v>
      </c>
      <c r="H117">
        <v>43.96</v>
      </c>
      <c r="I117" t="s">
        <v>351</v>
      </c>
      <c r="J117" t="s">
        <v>434</v>
      </c>
      <c r="K117" t="s">
        <v>595</v>
      </c>
      <c r="L117" t="s">
        <v>178</v>
      </c>
      <c r="M117" t="s">
        <v>258</v>
      </c>
      <c r="N117" t="s">
        <v>51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258</v>
      </c>
      <c r="AH117" t="s">
        <v>51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43.96</v>
      </c>
      <c r="AV117">
        <f>$H$117*$AB$117</f>
        <v>43.96</v>
      </c>
      <c r="AW117">
        <f>$H$117*$AC$117</f>
        <v>43.96</v>
      </c>
      <c r="AX117">
        <f>$H$117*$AD$117</f>
        <v>43.96</v>
      </c>
      <c r="AY117">
        <f>$H$117*$AE$117</f>
        <v>43.96</v>
      </c>
      <c r="AZ117">
        <f>$H$117*$AF$117</f>
        <v>43.96</v>
      </c>
    </row>
    <row r="118" spans="1:52" x14ac:dyDescent="0.25">
      <c r="A118">
        <v>161</v>
      </c>
      <c r="B118" t="s">
        <v>258</v>
      </c>
      <c r="C118" t="s">
        <v>435</v>
      </c>
      <c r="D118">
        <v>1</v>
      </c>
      <c r="E118">
        <v>33.18</v>
      </c>
      <c r="F118" t="s">
        <v>317</v>
      </c>
      <c r="G118">
        <v>33.18</v>
      </c>
      <c r="H118">
        <v>39.82</v>
      </c>
      <c r="I118" t="s">
        <v>351</v>
      </c>
      <c r="J118" t="s">
        <v>436</v>
      </c>
      <c r="K118" t="s">
        <v>596</v>
      </c>
      <c r="L118" t="s">
        <v>178</v>
      </c>
      <c r="M118" t="s">
        <v>258</v>
      </c>
      <c r="N118" t="s">
        <v>51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258</v>
      </c>
      <c r="AH118" t="s">
        <v>51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39.82</v>
      </c>
      <c r="AT118">
        <f>$H$118*$Z$118</f>
        <v>39.82</v>
      </c>
      <c r="AU118">
        <f>$H$118*$AA$118</f>
        <v>39.82</v>
      </c>
      <c r="AV118">
        <f>$H$118*$AB$118</f>
        <v>39.82</v>
      </c>
      <c r="AW118">
        <f>$H$118*$AC$118</f>
        <v>39.82</v>
      </c>
      <c r="AX118">
        <f>$H$118*$AD$118</f>
        <v>39.82</v>
      </c>
      <c r="AY118">
        <f>$H$118*$AE$118</f>
        <v>39.82</v>
      </c>
      <c r="AZ118">
        <f>$H$118*$AF$118</f>
        <v>39.82</v>
      </c>
    </row>
    <row r="119" spans="1:52" x14ac:dyDescent="0.25">
      <c r="A119">
        <v>162</v>
      </c>
      <c r="B119" t="s">
        <v>258</v>
      </c>
      <c r="C119" t="s">
        <v>397</v>
      </c>
      <c r="D119">
        <v>2</v>
      </c>
      <c r="E119">
        <v>26.54</v>
      </c>
      <c r="F119" t="s">
        <v>317</v>
      </c>
      <c r="G119">
        <v>13.27</v>
      </c>
      <c r="H119">
        <v>31.84</v>
      </c>
      <c r="I119" t="s">
        <v>319</v>
      </c>
      <c r="J119" t="s">
        <v>398</v>
      </c>
      <c r="K119" t="s">
        <v>577</v>
      </c>
      <c r="L119" t="s">
        <v>178</v>
      </c>
      <c r="M119" t="s">
        <v>258</v>
      </c>
      <c r="N119" t="s">
        <v>51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258</v>
      </c>
      <c r="AH119" t="s">
        <v>51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31.84</v>
      </c>
      <c r="AS119">
        <f>$H$119*$Y$119</f>
        <v>31.84</v>
      </c>
      <c r="AT119">
        <f>$H$119*$Z$119</f>
        <v>31.84</v>
      </c>
      <c r="AU119">
        <f>$H$119*$AA$119</f>
        <v>31.84</v>
      </c>
      <c r="AV119">
        <f>$H$119*$AB$119</f>
        <v>31.84</v>
      </c>
      <c r="AW119">
        <f>$H$119*$AC$119</f>
        <v>31.84</v>
      </c>
      <c r="AX119">
        <f>$H$119*$AD$119</f>
        <v>31.84</v>
      </c>
      <c r="AY119">
        <f>$H$119*$AE$119</f>
        <v>31.84</v>
      </c>
      <c r="AZ119">
        <f>$H$119*$AF$119</f>
        <v>31.84</v>
      </c>
    </row>
    <row r="120" spans="1:52" x14ac:dyDescent="0.25">
      <c r="A120">
        <v>163</v>
      </c>
      <c r="B120" t="s">
        <v>258</v>
      </c>
      <c r="C120" t="s">
        <v>437</v>
      </c>
      <c r="D120">
        <v>6</v>
      </c>
      <c r="E120">
        <v>112.38</v>
      </c>
      <c r="F120" t="s">
        <v>335</v>
      </c>
      <c r="G120">
        <v>18.73</v>
      </c>
      <c r="H120">
        <v>134.86000000000001</v>
      </c>
      <c r="I120" t="s">
        <v>438</v>
      </c>
      <c r="J120" t="s">
        <v>355</v>
      </c>
      <c r="K120" t="s">
        <v>597</v>
      </c>
      <c r="L120" t="s">
        <v>178</v>
      </c>
      <c r="M120" t="s">
        <v>258</v>
      </c>
      <c r="N120" t="s">
        <v>51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258</v>
      </c>
      <c r="AH120" t="s">
        <v>51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134.86000000000001</v>
      </c>
      <c r="AV120">
        <f>$H$120*$AB$120</f>
        <v>134.86000000000001</v>
      </c>
      <c r="AW120">
        <f>$H$120*$AC$120</f>
        <v>134.86000000000001</v>
      </c>
      <c r="AX120">
        <f>$H$120*$AD$120</f>
        <v>134.86000000000001</v>
      </c>
      <c r="AY120">
        <f>$H$120*$AE$120</f>
        <v>134.86000000000001</v>
      </c>
      <c r="AZ120">
        <f>$H$120*$AF$120</f>
        <v>134.86000000000001</v>
      </c>
    </row>
    <row r="121" spans="1:52" x14ac:dyDescent="0.25">
      <c r="A121">
        <v>164</v>
      </c>
      <c r="B121" t="s">
        <v>258</v>
      </c>
      <c r="C121" t="s">
        <v>439</v>
      </c>
      <c r="D121">
        <v>0.75</v>
      </c>
      <c r="E121">
        <v>432.23</v>
      </c>
      <c r="F121" t="s">
        <v>317</v>
      </c>
      <c r="G121">
        <v>576.30999999999995</v>
      </c>
      <c r="H121">
        <v>518.66999999999996</v>
      </c>
      <c r="I121" t="s">
        <v>336</v>
      </c>
      <c r="J121" t="s">
        <v>440</v>
      </c>
      <c r="K121" t="s">
        <v>598</v>
      </c>
      <c r="L121" t="s">
        <v>178</v>
      </c>
      <c r="M121" t="s">
        <v>258</v>
      </c>
      <c r="N121" t="s">
        <v>51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258</v>
      </c>
      <c r="AH121" t="s">
        <v>51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518.66999999999996</v>
      </c>
      <c r="AV121">
        <f>$H$121*$AB$121</f>
        <v>518.66999999999996</v>
      </c>
      <c r="AW121">
        <f>$H$121*$AC$121</f>
        <v>518.66999999999996</v>
      </c>
      <c r="AX121">
        <f>$H$121*$AD$121</f>
        <v>518.66999999999996</v>
      </c>
      <c r="AY121">
        <f>$H$121*$AE$121</f>
        <v>518.66999999999996</v>
      </c>
      <c r="AZ121">
        <f>$H$121*$AF$121</f>
        <v>518.66999999999996</v>
      </c>
    </row>
    <row r="122" spans="1:52" x14ac:dyDescent="0.25">
      <c r="A122">
        <v>165</v>
      </c>
      <c r="B122" t="s">
        <v>258</v>
      </c>
      <c r="C122" t="s">
        <v>439</v>
      </c>
      <c r="D122">
        <v>0.75</v>
      </c>
      <c r="E122">
        <v>432.23</v>
      </c>
      <c r="F122" t="s">
        <v>317</v>
      </c>
      <c r="G122">
        <v>576.30999999999995</v>
      </c>
      <c r="H122">
        <v>518.66999999999996</v>
      </c>
      <c r="I122" t="s">
        <v>336</v>
      </c>
      <c r="J122" t="s">
        <v>440</v>
      </c>
      <c r="K122" t="s">
        <v>598</v>
      </c>
      <c r="L122" t="s">
        <v>178</v>
      </c>
      <c r="M122" t="s">
        <v>258</v>
      </c>
      <c r="N122" t="s">
        <v>51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258</v>
      </c>
      <c r="AH122" t="s">
        <v>51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518.66999999999996</v>
      </c>
      <c r="AV122">
        <f>$H$122*$AB$122</f>
        <v>518.66999999999996</v>
      </c>
      <c r="AW122">
        <f>$H$122*$AC$122</f>
        <v>518.66999999999996</v>
      </c>
      <c r="AX122">
        <f>$H$122*$AD$122</f>
        <v>518.66999999999996</v>
      </c>
      <c r="AY122">
        <f>$H$122*$AE$122</f>
        <v>518.66999999999996</v>
      </c>
      <c r="AZ122">
        <f>$H$122*$AF$122</f>
        <v>518.66999999999996</v>
      </c>
    </row>
    <row r="123" spans="1:52" x14ac:dyDescent="0.25">
      <c r="A123">
        <v>166</v>
      </c>
      <c r="B123" t="s">
        <v>258</v>
      </c>
      <c r="C123" t="s">
        <v>439</v>
      </c>
      <c r="D123">
        <v>0.25</v>
      </c>
      <c r="E123">
        <v>144.08000000000001</v>
      </c>
      <c r="F123" t="s">
        <v>317</v>
      </c>
      <c r="G123">
        <v>576.30999999999995</v>
      </c>
      <c r="H123">
        <v>172.9</v>
      </c>
      <c r="I123" t="s">
        <v>336</v>
      </c>
      <c r="J123" t="s">
        <v>440</v>
      </c>
      <c r="K123" t="s">
        <v>598</v>
      </c>
      <c r="L123" t="s">
        <v>178</v>
      </c>
      <c r="M123" t="s">
        <v>258</v>
      </c>
      <c r="N123" t="s">
        <v>51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258</v>
      </c>
      <c r="AH123" t="s">
        <v>51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172.9</v>
      </c>
      <c r="AV123">
        <f>$H$123*$AB$123</f>
        <v>172.9</v>
      </c>
      <c r="AW123">
        <f>$H$123*$AC$123</f>
        <v>172.9</v>
      </c>
      <c r="AX123">
        <f>$H$123*$AD$123</f>
        <v>172.9</v>
      </c>
      <c r="AY123">
        <f>$H$123*$AE$123</f>
        <v>172.9</v>
      </c>
      <c r="AZ123">
        <f>$H$123*$AF$123</f>
        <v>172.9</v>
      </c>
    </row>
    <row r="124" spans="1:52" x14ac:dyDescent="0.25">
      <c r="A124">
        <v>167</v>
      </c>
      <c r="B124" t="s">
        <v>258</v>
      </c>
      <c r="C124" t="s">
        <v>439</v>
      </c>
      <c r="D124">
        <v>0.25</v>
      </c>
      <c r="E124">
        <v>144.08000000000001</v>
      </c>
      <c r="F124" t="s">
        <v>317</v>
      </c>
      <c r="G124">
        <v>576.30999999999995</v>
      </c>
      <c r="H124">
        <v>172.9</v>
      </c>
      <c r="I124" t="s">
        <v>336</v>
      </c>
      <c r="J124" t="s">
        <v>440</v>
      </c>
      <c r="K124" t="s">
        <v>598</v>
      </c>
      <c r="L124" t="s">
        <v>178</v>
      </c>
      <c r="M124" t="s">
        <v>258</v>
      </c>
      <c r="N124" t="s">
        <v>51</v>
      </c>
      <c r="O124" t="s">
        <v>13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258</v>
      </c>
      <c r="AH124" t="s">
        <v>51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0</v>
      </c>
      <c r="AS124">
        <f>$H$124*$Y$124</f>
        <v>0</v>
      </c>
      <c r="AT124">
        <f>$H$124*$Z$124</f>
        <v>0</v>
      </c>
      <c r="AU124">
        <f>$H$124*$AA$124</f>
        <v>172.9</v>
      </c>
      <c r="AV124">
        <f>$H$124*$AB$124</f>
        <v>172.9</v>
      </c>
      <c r="AW124">
        <f>$H$124*$AC$124</f>
        <v>172.9</v>
      </c>
      <c r="AX124">
        <f>$H$124*$AD$124</f>
        <v>172.9</v>
      </c>
      <c r="AY124">
        <f>$H$124*$AE$124</f>
        <v>172.9</v>
      </c>
      <c r="AZ124">
        <f>$H$124*$AF$124</f>
        <v>172.9</v>
      </c>
    </row>
    <row r="125" spans="1:52" x14ac:dyDescent="0.25">
      <c r="A125">
        <v>168</v>
      </c>
      <c r="B125" t="s">
        <v>258</v>
      </c>
      <c r="C125" t="s">
        <v>441</v>
      </c>
      <c r="D125">
        <v>1</v>
      </c>
      <c r="E125">
        <v>55.84</v>
      </c>
      <c r="F125" t="s">
        <v>317</v>
      </c>
      <c r="G125">
        <v>55.84</v>
      </c>
      <c r="H125">
        <v>67</v>
      </c>
      <c r="I125" t="s">
        <v>336</v>
      </c>
      <c r="J125" t="s">
        <v>442</v>
      </c>
      <c r="K125" t="s">
        <v>599</v>
      </c>
      <c r="L125" t="s">
        <v>178</v>
      </c>
      <c r="M125" t="s">
        <v>258</v>
      </c>
      <c r="N125" t="s">
        <v>51</v>
      </c>
      <c r="O125" t="s">
        <v>13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258</v>
      </c>
      <c r="AH125" t="s">
        <v>51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67</v>
      </c>
      <c r="AT125">
        <f>$H$125*$Z$125</f>
        <v>67</v>
      </c>
      <c r="AU125">
        <f>$H$125*$AA$125</f>
        <v>67</v>
      </c>
      <c r="AV125">
        <f>$H$125*$AB$125</f>
        <v>67</v>
      </c>
      <c r="AW125">
        <f>$H$125*$AC$125</f>
        <v>67</v>
      </c>
      <c r="AX125">
        <f>$H$125*$AD$125</f>
        <v>67</v>
      </c>
      <c r="AY125">
        <f>$H$125*$AE$125</f>
        <v>67</v>
      </c>
      <c r="AZ125">
        <f>$H$125*$AF$125</f>
        <v>67</v>
      </c>
    </row>
    <row r="126" spans="1:52" x14ac:dyDescent="0.25">
      <c r="A126">
        <v>169</v>
      </c>
      <c r="B126" t="s">
        <v>258</v>
      </c>
      <c r="C126" t="s">
        <v>443</v>
      </c>
      <c r="D126">
        <v>1</v>
      </c>
      <c r="E126">
        <v>519.16999999999996</v>
      </c>
      <c r="F126" t="s">
        <v>317</v>
      </c>
      <c r="G126">
        <v>519.16999999999996</v>
      </c>
      <c r="H126">
        <v>623.01</v>
      </c>
      <c r="I126" t="s">
        <v>336</v>
      </c>
      <c r="J126" t="s">
        <v>444</v>
      </c>
      <c r="K126" t="s">
        <v>600</v>
      </c>
      <c r="L126" t="s">
        <v>178</v>
      </c>
      <c r="M126" t="s">
        <v>258</v>
      </c>
      <c r="N126" t="s">
        <v>51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258</v>
      </c>
      <c r="AH126" t="s">
        <v>51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623.01</v>
      </c>
      <c r="AT126">
        <f>$H$126*$Z$126</f>
        <v>623.01</v>
      </c>
      <c r="AU126">
        <f>$H$126*$AA$126</f>
        <v>623.01</v>
      </c>
      <c r="AV126">
        <f>$H$126*$AB$126</f>
        <v>623.01</v>
      </c>
      <c r="AW126">
        <f>$H$126*$AC$126</f>
        <v>623.01</v>
      </c>
      <c r="AX126">
        <f>$H$126*$AD$126</f>
        <v>623.01</v>
      </c>
      <c r="AY126">
        <f>$H$126*$AE$126</f>
        <v>623.01</v>
      </c>
      <c r="AZ126">
        <f>$H$126*$AF$126</f>
        <v>623.01</v>
      </c>
    </row>
    <row r="127" spans="1:52" x14ac:dyDescent="0.25">
      <c r="A127">
        <v>170</v>
      </c>
      <c r="B127" t="s">
        <v>258</v>
      </c>
      <c r="C127" t="s">
        <v>445</v>
      </c>
      <c r="D127">
        <v>1</v>
      </c>
      <c r="E127">
        <v>920.28</v>
      </c>
      <c r="F127" t="s">
        <v>317</v>
      </c>
      <c r="G127">
        <v>920.28</v>
      </c>
      <c r="H127">
        <v>1104.3399999999999</v>
      </c>
      <c r="I127" t="s">
        <v>336</v>
      </c>
      <c r="J127" t="s">
        <v>430</v>
      </c>
      <c r="K127" t="s">
        <v>601</v>
      </c>
      <c r="L127" t="s">
        <v>178</v>
      </c>
      <c r="M127" t="s">
        <v>258</v>
      </c>
      <c r="N127" t="s">
        <v>51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258</v>
      </c>
      <c r="AH127" t="s">
        <v>51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1104.3399999999999</v>
      </c>
      <c r="AT127">
        <f>$H$127*$Z$127</f>
        <v>1104.3399999999999</v>
      </c>
      <c r="AU127">
        <f>$H$127*$AA$127</f>
        <v>1104.3399999999999</v>
      </c>
      <c r="AV127">
        <f>$H$127*$AB$127</f>
        <v>1104.3399999999999</v>
      </c>
      <c r="AW127">
        <f>$H$127*$AC$127</f>
        <v>1104.3399999999999</v>
      </c>
      <c r="AX127">
        <f>$H$127*$AD$127</f>
        <v>1104.3399999999999</v>
      </c>
      <c r="AY127">
        <f>$H$127*$AE$127</f>
        <v>1104.3399999999999</v>
      </c>
      <c r="AZ127">
        <f>$H$127*$AF$127</f>
        <v>1104.3399999999999</v>
      </c>
    </row>
    <row r="128" spans="1:52" x14ac:dyDescent="0.25">
      <c r="A128">
        <v>171</v>
      </c>
      <c r="B128" t="s">
        <v>258</v>
      </c>
      <c r="C128" t="s">
        <v>446</v>
      </c>
      <c r="D128">
        <v>1</v>
      </c>
      <c r="E128">
        <v>34.520000000000003</v>
      </c>
      <c r="F128" t="s">
        <v>317</v>
      </c>
      <c r="G128">
        <v>34.520000000000003</v>
      </c>
      <c r="H128">
        <v>41.42</v>
      </c>
      <c r="I128" t="s">
        <v>351</v>
      </c>
      <c r="J128" t="s">
        <v>447</v>
      </c>
      <c r="K128" t="s">
        <v>602</v>
      </c>
      <c r="L128" t="s">
        <v>178</v>
      </c>
      <c r="M128" t="s">
        <v>258</v>
      </c>
      <c r="N128" t="s">
        <v>51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258</v>
      </c>
      <c r="AH128" t="s">
        <v>51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41.42</v>
      </c>
      <c r="AV128">
        <f>$H$128*$AB$128</f>
        <v>41.42</v>
      </c>
      <c r="AW128">
        <f>$H$128*$AC$128</f>
        <v>41.42</v>
      </c>
      <c r="AX128">
        <f>$H$128*$AD$128</f>
        <v>41.42</v>
      </c>
      <c r="AY128">
        <f>$H$128*$AE$128</f>
        <v>41.42</v>
      </c>
      <c r="AZ128">
        <f>$H$128*$AF$128</f>
        <v>41.42</v>
      </c>
    </row>
    <row r="129" spans="1:52" x14ac:dyDescent="0.25">
      <c r="A129">
        <v>172</v>
      </c>
      <c r="B129" t="s">
        <v>258</v>
      </c>
      <c r="C129" t="s">
        <v>448</v>
      </c>
      <c r="D129">
        <v>1</v>
      </c>
      <c r="E129">
        <v>327.22000000000003</v>
      </c>
      <c r="F129" t="s">
        <v>317</v>
      </c>
      <c r="G129">
        <v>327.22000000000003</v>
      </c>
      <c r="H129">
        <v>392.66</v>
      </c>
      <c r="I129" t="s">
        <v>336</v>
      </c>
      <c r="J129" t="s">
        <v>449</v>
      </c>
      <c r="K129" t="s">
        <v>603</v>
      </c>
      <c r="L129" t="s">
        <v>178</v>
      </c>
      <c r="M129" t="s">
        <v>258</v>
      </c>
      <c r="N129" t="s">
        <v>51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258</v>
      </c>
      <c r="AH129" t="s">
        <v>51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392.66</v>
      </c>
      <c r="AV129">
        <f>$H$129*$AB$129</f>
        <v>392.66</v>
      </c>
      <c r="AW129">
        <f>$H$129*$AC$129</f>
        <v>392.66</v>
      </c>
      <c r="AX129">
        <f>$H$129*$AD$129</f>
        <v>392.66</v>
      </c>
      <c r="AY129">
        <f>$H$129*$AE$129</f>
        <v>392.66</v>
      </c>
      <c r="AZ129">
        <f>$H$129*$AF$129</f>
        <v>392.66</v>
      </c>
    </row>
    <row r="130" spans="1:52" x14ac:dyDescent="0.25">
      <c r="A130">
        <v>173</v>
      </c>
      <c r="B130" t="s">
        <v>258</v>
      </c>
      <c r="C130" t="s">
        <v>450</v>
      </c>
      <c r="D130">
        <v>10</v>
      </c>
      <c r="E130">
        <v>65.7</v>
      </c>
      <c r="F130" t="s">
        <v>311</v>
      </c>
      <c r="G130">
        <v>6.57</v>
      </c>
      <c r="H130">
        <v>78.84</v>
      </c>
      <c r="I130" t="s">
        <v>325</v>
      </c>
      <c r="J130" t="s">
        <v>451</v>
      </c>
      <c r="K130" t="s">
        <v>604</v>
      </c>
      <c r="L130" t="s">
        <v>178</v>
      </c>
      <c r="M130" t="s">
        <v>258</v>
      </c>
      <c r="N130" t="s">
        <v>51</v>
      </c>
      <c r="O130" t="s">
        <v>13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1</v>
      </c>
      <c r="AF130">
        <v>1</v>
      </c>
      <c r="AG130" t="s">
        <v>258</v>
      </c>
      <c r="AH130" t="s">
        <v>51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0</v>
      </c>
      <c r="AV130">
        <f>$H$130*$AB$130</f>
        <v>0</v>
      </c>
      <c r="AW130">
        <f>$H$130*$AC$130</f>
        <v>0</v>
      </c>
      <c r="AX130">
        <f>$H$130*$AD$130</f>
        <v>78.84</v>
      </c>
      <c r="AY130">
        <f>$H$130*$AE$130</f>
        <v>78.84</v>
      </c>
      <c r="AZ130">
        <f>$H$130*$AF$130</f>
        <v>78.84</v>
      </c>
    </row>
    <row r="131" spans="1:52" x14ac:dyDescent="0.25">
      <c r="A131">
        <v>174</v>
      </c>
      <c r="B131" t="s">
        <v>258</v>
      </c>
      <c r="C131" t="s">
        <v>452</v>
      </c>
      <c r="D131">
        <v>1</v>
      </c>
      <c r="E131">
        <v>120.98</v>
      </c>
      <c r="F131" t="s">
        <v>317</v>
      </c>
      <c r="G131">
        <v>120.98</v>
      </c>
      <c r="H131">
        <v>145.18</v>
      </c>
      <c r="I131" t="s">
        <v>325</v>
      </c>
      <c r="J131" t="s">
        <v>453</v>
      </c>
      <c r="K131" t="s">
        <v>605</v>
      </c>
      <c r="L131" t="s">
        <v>178</v>
      </c>
      <c r="M131" t="s">
        <v>258</v>
      </c>
      <c r="N131" t="s">
        <v>51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1</v>
      </c>
      <c r="AE131">
        <v>1</v>
      </c>
      <c r="AF131">
        <v>1</v>
      </c>
      <c r="AG131" t="s">
        <v>258</v>
      </c>
      <c r="AH131" t="s">
        <v>51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0</v>
      </c>
      <c r="AV131">
        <f>$H$131*$AB$131</f>
        <v>0</v>
      </c>
      <c r="AW131">
        <f>$H$131*$AC$131</f>
        <v>0</v>
      </c>
      <c r="AX131">
        <f>$H$131*$AD$131</f>
        <v>145.18</v>
      </c>
      <c r="AY131">
        <f>$H$131*$AE$131</f>
        <v>145.18</v>
      </c>
      <c r="AZ131">
        <f>$H$131*$AF$131</f>
        <v>145.18</v>
      </c>
    </row>
    <row r="132" spans="1:52" x14ac:dyDescent="0.25">
      <c r="A132">
        <v>175</v>
      </c>
      <c r="B132" t="s">
        <v>258</v>
      </c>
      <c r="C132" t="s">
        <v>454</v>
      </c>
      <c r="D132">
        <v>1</v>
      </c>
      <c r="E132">
        <v>103.99</v>
      </c>
      <c r="F132" t="s">
        <v>317</v>
      </c>
      <c r="G132">
        <v>103.99</v>
      </c>
      <c r="H132">
        <v>124.79</v>
      </c>
      <c r="I132" t="s">
        <v>322</v>
      </c>
      <c r="J132" t="s">
        <v>455</v>
      </c>
      <c r="K132" t="s">
        <v>606</v>
      </c>
      <c r="L132" t="s">
        <v>178</v>
      </c>
      <c r="M132" t="s">
        <v>258</v>
      </c>
      <c r="N132" t="s">
        <v>51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1</v>
      </c>
      <c r="AF132">
        <v>1</v>
      </c>
      <c r="AG132" t="s">
        <v>258</v>
      </c>
      <c r="AH132" t="s">
        <v>51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0</v>
      </c>
      <c r="AV132">
        <f>$H$132*$AB$132</f>
        <v>0</v>
      </c>
      <c r="AW132">
        <f>$H$132*$AC$132</f>
        <v>0</v>
      </c>
      <c r="AX132">
        <f>$H$132*$AD$132</f>
        <v>124.79</v>
      </c>
      <c r="AY132">
        <f>$H$132*$AE$132</f>
        <v>124.79</v>
      </c>
      <c r="AZ132">
        <f>$H$132*$AF$132</f>
        <v>124.79</v>
      </c>
    </row>
    <row r="133" spans="1:52" x14ac:dyDescent="0.25">
      <c r="A133">
        <v>176</v>
      </c>
      <c r="B133" t="s">
        <v>258</v>
      </c>
      <c r="C133" t="s">
        <v>350</v>
      </c>
      <c r="D133">
        <v>1</v>
      </c>
      <c r="E133">
        <v>47.96</v>
      </c>
      <c r="F133" t="s">
        <v>317</v>
      </c>
      <c r="G133">
        <v>47.96</v>
      </c>
      <c r="H133">
        <v>57.56</v>
      </c>
      <c r="I133" t="s">
        <v>351</v>
      </c>
      <c r="J133" t="s">
        <v>352</v>
      </c>
      <c r="K133" t="s">
        <v>554</v>
      </c>
      <c r="L133" t="s">
        <v>178</v>
      </c>
      <c r="M133" t="s">
        <v>258</v>
      </c>
      <c r="N133" t="s">
        <v>51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258</v>
      </c>
      <c r="AH133" t="s">
        <v>51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0</v>
      </c>
      <c r="AU133">
        <f>$H$133*$AA$133</f>
        <v>57.56</v>
      </c>
      <c r="AV133">
        <f>$H$133*$AB$133</f>
        <v>57.56</v>
      </c>
      <c r="AW133">
        <f>$H$133*$AC$133</f>
        <v>57.56</v>
      </c>
      <c r="AX133">
        <f>$H$133*$AD$133</f>
        <v>57.56</v>
      </c>
      <c r="AY133">
        <f>$H$133*$AE$133</f>
        <v>57.56</v>
      </c>
      <c r="AZ133">
        <f>$H$133*$AF$133</f>
        <v>57.56</v>
      </c>
    </row>
    <row r="134" spans="1:52" x14ac:dyDescent="0.25">
      <c r="A134">
        <v>177</v>
      </c>
      <c r="B134" t="s">
        <v>258</v>
      </c>
      <c r="C134" t="s">
        <v>358</v>
      </c>
      <c r="D134">
        <v>2</v>
      </c>
      <c r="E134">
        <v>77.86</v>
      </c>
      <c r="F134" t="s">
        <v>317</v>
      </c>
      <c r="G134">
        <v>38.93</v>
      </c>
      <c r="H134">
        <v>93.44</v>
      </c>
      <c r="I134" t="s">
        <v>312</v>
      </c>
      <c r="J134" t="s">
        <v>354</v>
      </c>
      <c r="K134" t="s">
        <v>557</v>
      </c>
      <c r="L134" t="s">
        <v>178</v>
      </c>
      <c r="M134" t="s">
        <v>258</v>
      </c>
      <c r="N134" t="s">
        <v>51</v>
      </c>
      <c r="O134" t="s">
        <v>13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258</v>
      </c>
      <c r="AH134" t="s">
        <v>51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93.44</v>
      </c>
      <c r="AN134">
        <f>$H$134*$T$134</f>
        <v>93.44</v>
      </c>
      <c r="AO134">
        <f>$H$134*$U$134</f>
        <v>93.44</v>
      </c>
      <c r="AP134">
        <f>$H$134*$V$134</f>
        <v>93.44</v>
      </c>
      <c r="AQ134">
        <f>$H$134*$W$134</f>
        <v>93.44</v>
      </c>
      <c r="AR134">
        <f>$H$134*$X$134</f>
        <v>93.44</v>
      </c>
      <c r="AS134">
        <f>$H$134*$Y$134</f>
        <v>93.44</v>
      </c>
      <c r="AT134">
        <f>$H$134*$Z$134</f>
        <v>93.44</v>
      </c>
      <c r="AU134">
        <f>$H$134*$AA$134</f>
        <v>93.44</v>
      </c>
      <c r="AV134">
        <f>$H$134*$AB$134</f>
        <v>93.44</v>
      </c>
      <c r="AW134">
        <f>$H$134*$AC$134</f>
        <v>93.44</v>
      </c>
      <c r="AX134">
        <f>$H$134*$AD$134</f>
        <v>93.44</v>
      </c>
      <c r="AY134">
        <f>$H$134*$AE$134</f>
        <v>93.44</v>
      </c>
      <c r="AZ134">
        <f>$H$134*$AF$134</f>
        <v>93.44</v>
      </c>
    </row>
    <row r="135" spans="1:52" x14ac:dyDescent="0.25">
      <c r="A135">
        <v>178</v>
      </c>
      <c r="B135" t="s">
        <v>258</v>
      </c>
      <c r="C135" t="s">
        <v>356</v>
      </c>
      <c r="D135">
        <v>2</v>
      </c>
      <c r="E135">
        <v>62.72</v>
      </c>
      <c r="F135" t="s">
        <v>317</v>
      </c>
      <c r="G135">
        <v>31.36</v>
      </c>
      <c r="H135">
        <v>75.260000000000005</v>
      </c>
      <c r="I135" t="s">
        <v>312</v>
      </c>
      <c r="J135" t="s">
        <v>357</v>
      </c>
      <c r="K135" t="s">
        <v>556</v>
      </c>
      <c r="L135" t="s">
        <v>178</v>
      </c>
      <c r="M135" t="s">
        <v>258</v>
      </c>
      <c r="N135" t="s">
        <v>51</v>
      </c>
      <c r="O135" t="s">
        <v>13</v>
      </c>
      <c r="P135">
        <v>0</v>
      </c>
      <c r="Q135">
        <v>0</v>
      </c>
      <c r="R135">
        <v>0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258</v>
      </c>
      <c r="AH135" t="s">
        <v>51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75.260000000000005</v>
      </c>
      <c r="AN135">
        <f>$H$135*$T$135</f>
        <v>75.260000000000005</v>
      </c>
      <c r="AO135">
        <f>$H$135*$U$135</f>
        <v>75.260000000000005</v>
      </c>
      <c r="AP135">
        <f>$H$135*$V$135</f>
        <v>75.260000000000005</v>
      </c>
      <c r="AQ135">
        <f>$H$135*$W$135</f>
        <v>75.260000000000005</v>
      </c>
      <c r="AR135">
        <f>$H$135*$X$135</f>
        <v>75.260000000000005</v>
      </c>
      <c r="AS135">
        <f>$H$135*$Y$135</f>
        <v>75.260000000000005</v>
      </c>
      <c r="AT135">
        <f>$H$135*$Z$135</f>
        <v>75.260000000000005</v>
      </c>
      <c r="AU135">
        <f>$H$135*$AA$135</f>
        <v>75.260000000000005</v>
      </c>
      <c r="AV135">
        <f>$H$135*$AB$135</f>
        <v>75.260000000000005</v>
      </c>
      <c r="AW135">
        <f>$H$135*$AC$135</f>
        <v>75.260000000000005</v>
      </c>
      <c r="AX135">
        <f>$H$135*$AD$135</f>
        <v>75.260000000000005</v>
      </c>
      <c r="AY135">
        <f>$H$135*$AE$135</f>
        <v>75.260000000000005</v>
      </c>
      <c r="AZ135">
        <f>$H$135*$AF$135</f>
        <v>75.260000000000005</v>
      </c>
    </row>
    <row r="136" spans="1:52" x14ac:dyDescent="0.25">
      <c r="A136">
        <v>179</v>
      </c>
      <c r="B136" t="s">
        <v>258</v>
      </c>
      <c r="C136" t="s">
        <v>353</v>
      </c>
      <c r="D136">
        <v>1</v>
      </c>
      <c r="E136">
        <v>365.09</v>
      </c>
      <c r="F136" t="s">
        <v>317</v>
      </c>
      <c r="G136">
        <v>365.09</v>
      </c>
      <c r="H136">
        <v>438.11</v>
      </c>
      <c r="I136" t="s">
        <v>354</v>
      </c>
      <c r="J136" t="s">
        <v>355</v>
      </c>
      <c r="K136" t="s">
        <v>555</v>
      </c>
      <c r="L136" t="s">
        <v>178</v>
      </c>
      <c r="M136" t="s">
        <v>258</v>
      </c>
      <c r="N136" t="s">
        <v>51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258</v>
      </c>
      <c r="AH136" t="s">
        <v>51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438.11</v>
      </c>
      <c r="AO136">
        <f>$H$136*$U$136</f>
        <v>438.11</v>
      </c>
      <c r="AP136">
        <f>$H$136*$V$136</f>
        <v>438.11</v>
      </c>
      <c r="AQ136">
        <f>$H$136*$W$136</f>
        <v>438.11</v>
      </c>
      <c r="AR136">
        <f>$H$136*$X$136</f>
        <v>438.11</v>
      </c>
      <c r="AS136">
        <f>$H$136*$Y$136</f>
        <v>438.11</v>
      </c>
      <c r="AT136">
        <f>$H$136*$Z$136</f>
        <v>438.11</v>
      </c>
      <c r="AU136">
        <f>$H$136*$AA$136</f>
        <v>438.11</v>
      </c>
      <c r="AV136">
        <f>$H$136*$AB$136</f>
        <v>438.11</v>
      </c>
      <c r="AW136">
        <f>$H$136*$AC$136</f>
        <v>438.11</v>
      </c>
      <c r="AX136">
        <f>$H$136*$AD$136</f>
        <v>438.11</v>
      </c>
      <c r="AY136">
        <f>$H$136*$AE$136</f>
        <v>438.11</v>
      </c>
      <c r="AZ136">
        <f>$H$136*$AF$136</f>
        <v>438.11</v>
      </c>
    </row>
    <row r="137" spans="1:52" x14ac:dyDescent="0.25">
      <c r="A137">
        <v>180</v>
      </c>
      <c r="B137" t="s">
        <v>258</v>
      </c>
      <c r="C137" t="s">
        <v>456</v>
      </c>
      <c r="D137">
        <v>1</v>
      </c>
      <c r="E137">
        <v>37</v>
      </c>
      <c r="F137" t="s">
        <v>317</v>
      </c>
      <c r="G137">
        <v>37</v>
      </c>
      <c r="H137">
        <v>44.4</v>
      </c>
      <c r="I137" t="s">
        <v>319</v>
      </c>
      <c r="J137" t="s">
        <v>457</v>
      </c>
      <c r="K137" t="s">
        <v>607</v>
      </c>
      <c r="L137" t="s">
        <v>178</v>
      </c>
      <c r="M137" t="s">
        <v>258</v>
      </c>
      <c r="N137" t="s">
        <v>51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0.6</v>
      </c>
      <c r="Y137">
        <v>0.6</v>
      </c>
      <c r="Z137">
        <v>0.6</v>
      </c>
      <c r="AA137">
        <v>0.6</v>
      </c>
      <c r="AB137">
        <v>0.6</v>
      </c>
      <c r="AC137">
        <v>0.6</v>
      </c>
      <c r="AD137">
        <v>1</v>
      </c>
      <c r="AE137">
        <v>1</v>
      </c>
      <c r="AF137">
        <v>1</v>
      </c>
      <c r="AG137" t="s">
        <v>258</v>
      </c>
      <c r="AH137" t="s">
        <v>51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26.639999999999997</v>
      </c>
      <c r="AS137">
        <f>$H$137*$Y$137</f>
        <v>26.639999999999997</v>
      </c>
      <c r="AT137">
        <f>$H$137*$Z$137</f>
        <v>26.639999999999997</v>
      </c>
      <c r="AU137">
        <f>$H$137*$AA$137</f>
        <v>26.639999999999997</v>
      </c>
      <c r="AV137">
        <f>$H$137*$AB$137</f>
        <v>26.639999999999997</v>
      </c>
      <c r="AW137">
        <f>$H$137*$AC$137</f>
        <v>26.639999999999997</v>
      </c>
      <c r="AX137">
        <f>$H$137*$AD$137</f>
        <v>44.4</v>
      </c>
      <c r="AY137">
        <f>$H$137*$AE$137</f>
        <v>44.4</v>
      </c>
      <c r="AZ137">
        <f>$H$137*$AF$137</f>
        <v>44.4</v>
      </c>
    </row>
    <row r="138" spans="1:52" x14ac:dyDescent="0.25">
      <c r="A138">
        <v>181</v>
      </c>
      <c r="B138" t="s">
        <v>258</v>
      </c>
      <c r="C138" t="s">
        <v>458</v>
      </c>
      <c r="D138">
        <v>3</v>
      </c>
      <c r="E138">
        <v>693.9</v>
      </c>
      <c r="F138" t="s">
        <v>311</v>
      </c>
      <c r="G138">
        <v>231.3</v>
      </c>
      <c r="H138">
        <v>832.68</v>
      </c>
      <c r="I138" t="s">
        <v>459</v>
      </c>
      <c r="J138" t="s">
        <v>460</v>
      </c>
      <c r="K138" t="s">
        <v>608</v>
      </c>
      <c r="L138" t="s">
        <v>178</v>
      </c>
      <c r="M138" t="s">
        <v>258</v>
      </c>
      <c r="N138" t="s">
        <v>51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258</v>
      </c>
      <c r="AH138" t="s">
        <v>51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832.68</v>
      </c>
      <c r="AO138">
        <f>$H$138*$U$138</f>
        <v>832.68</v>
      </c>
      <c r="AP138">
        <f>$H$138*$V$138</f>
        <v>832.68</v>
      </c>
      <c r="AQ138">
        <f>$H$138*$W$138</f>
        <v>832.68</v>
      </c>
      <c r="AR138">
        <f>$H$138*$X$138</f>
        <v>832.68</v>
      </c>
      <c r="AS138">
        <f>$H$138*$Y$138</f>
        <v>832.68</v>
      </c>
      <c r="AT138">
        <f>$H$138*$Z$138</f>
        <v>832.68</v>
      </c>
      <c r="AU138">
        <f>$H$138*$AA$138</f>
        <v>832.68</v>
      </c>
      <c r="AV138">
        <f>$H$138*$AB$138</f>
        <v>832.68</v>
      </c>
      <c r="AW138">
        <f>$H$138*$AC$138</f>
        <v>832.68</v>
      </c>
      <c r="AX138">
        <f>$H$138*$AD$138</f>
        <v>832.68</v>
      </c>
      <c r="AY138">
        <f>$H$138*$AE$138</f>
        <v>832.68</v>
      </c>
      <c r="AZ138">
        <f>$H$138*$AF$138</f>
        <v>832.68</v>
      </c>
    </row>
    <row r="139" spans="1:52" x14ac:dyDescent="0.25">
      <c r="A139">
        <v>182</v>
      </c>
      <c r="B139" t="s">
        <v>258</v>
      </c>
      <c r="C139" t="s">
        <v>461</v>
      </c>
      <c r="D139">
        <v>3</v>
      </c>
      <c r="E139">
        <v>28.92</v>
      </c>
      <c r="F139" t="s">
        <v>311</v>
      </c>
      <c r="G139">
        <v>9.64</v>
      </c>
      <c r="H139">
        <v>34.700000000000003</v>
      </c>
      <c r="I139" t="s">
        <v>459</v>
      </c>
      <c r="J139" t="s">
        <v>462</v>
      </c>
      <c r="K139" t="s">
        <v>609</v>
      </c>
      <c r="L139" t="s">
        <v>178</v>
      </c>
      <c r="M139" t="s">
        <v>258</v>
      </c>
      <c r="N139" t="s">
        <v>51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258</v>
      </c>
      <c r="AH139" t="s">
        <v>51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34.700000000000003</v>
      </c>
      <c r="AU139">
        <f>$H$139*$AA$139</f>
        <v>34.700000000000003</v>
      </c>
      <c r="AV139">
        <f>$H$139*$AB$139</f>
        <v>34.700000000000003</v>
      </c>
      <c r="AW139">
        <f>$H$139*$AC$139</f>
        <v>34.700000000000003</v>
      </c>
      <c r="AX139">
        <f>$H$139*$AD$139</f>
        <v>34.700000000000003</v>
      </c>
      <c r="AY139">
        <f>$H$139*$AE$139</f>
        <v>34.700000000000003</v>
      </c>
      <c r="AZ139">
        <f>$H$139*$AF$139</f>
        <v>34.700000000000003</v>
      </c>
    </row>
    <row r="140" spans="1:52" x14ac:dyDescent="0.25">
      <c r="A140">
        <v>183</v>
      </c>
      <c r="B140" t="s">
        <v>258</v>
      </c>
      <c r="C140" t="s">
        <v>463</v>
      </c>
      <c r="D140">
        <v>3</v>
      </c>
      <c r="E140">
        <v>143.07</v>
      </c>
      <c r="F140" t="s">
        <v>311</v>
      </c>
      <c r="G140">
        <v>47.69</v>
      </c>
      <c r="H140">
        <v>171.69</v>
      </c>
      <c r="I140" t="s">
        <v>459</v>
      </c>
      <c r="J140" t="s">
        <v>464</v>
      </c>
      <c r="K140" t="s">
        <v>610</v>
      </c>
      <c r="L140" t="s">
        <v>178</v>
      </c>
      <c r="M140" t="s">
        <v>258</v>
      </c>
      <c r="N140" t="s">
        <v>51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258</v>
      </c>
      <c r="AH140" t="s">
        <v>51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171.69</v>
      </c>
      <c r="AU140">
        <f>$H$140*$AA$140</f>
        <v>171.69</v>
      </c>
      <c r="AV140">
        <f>$H$140*$AB$140</f>
        <v>171.69</v>
      </c>
      <c r="AW140">
        <f>$H$140*$AC$140</f>
        <v>171.69</v>
      </c>
      <c r="AX140">
        <f>$H$140*$AD$140</f>
        <v>171.69</v>
      </c>
      <c r="AY140">
        <f>$H$140*$AE$140</f>
        <v>171.69</v>
      </c>
      <c r="AZ140">
        <f>$H$140*$AF$140</f>
        <v>171.69</v>
      </c>
    </row>
    <row r="141" spans="1:52" x14ac:dyDescent="0.25">
      <c r="A141">
        <v>184</v>
      </c>
      <c r="B141" t="s">
        <v>258</v>
      </c>
      <c r="C141" t="s">
        <v>465</v>
      </c>
      <c r="D141">
        <v>1</v>
      </c>
      <c r="E141">
        <v>226.94</v>
      </c>
      <c r="F141" t="s">
        <v>317</v>
      </c>
      <c r="G141">
        <v>226.94</v>
      </c>
      <c r="H141">
        <v>272.32</v>
      </c>
      <c r="I141" t="s">
        <v>336</v>
      </c>
      <c r="J141" t="s">
        <v>466</v>
      </c>
      <c r="K141" t="s">
        <v>611</v>
      </c>
      <c r="L141" t="s">
        <v>178</v>
      </c>
      <c r="M141" t="s">
        <v>258</v>
      </c>
      <c r="N141" t="s">
        <v>51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258</v>
      </c>
      <c r="AH141" t="s">
        <v>51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272.32</v>
      </c>
      <c r="AV141">
        <f>$H$141*$AB$141</f>
        <v>272.32</v>
      </c>
      <c r="AW141">
        <f>$H$141*$AC$141</f>
        <v>272.32</v>
      </c>
      <c r="AX141">
        <f>$H$141*$AD$141</f>
        <v>272.32</v>
      </c>
      <c r="AY141">
        <f>$H$141*$AE$141</f>
        <v>272.32</v>
      </c>
      <c r="AZ141">
        <f>$H$141*$AF$141</f>
        <v>272.32</v>
      </c>
    </row>
    <row r="142" spans="1:52" x14ac:dyDescent="0.25">
      <c r="A142">
        <v>185</v>
      </c>
      <c r="B142" t="s">
        <v>258</v>
      </c>
      <c r="C142" t="s">
        <v>439</v>
      </c>
      <c r="D142">
        <v>0.75</v>
      </c>
      <c r="E142">
        <v>432.23</v>
      </c>
      <c r="F142" t="s">
        <v>317</v>
      </c>
      <c r="G142">
        <v>576.30999999999995</v>
      </c>
      <c r="H142">
        <v>518.66999999999996</v>
      </c>
      <c r="I142" t="s">
        <v>336</v>
      </c>
      <c r="J142" t="s">
        <v>440</v>
      </c>
      <c r="K142" t="s">
        <v>598</v>
      </c>
      <c r="L142" t="s">
        <v>178</v>
      </c>
      <c r="M142" t="s">
        <v>258</v>
      </c>
      <c r="N142" t="s">
        <v>51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258</v>
      </c>
      <c r="AH142" t="s">
        <v>51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518.66999999999996</v>
      </c>
      <c r="AV142">
        <f>$H$142*$AB$142</f>
        <v>518.66999999999996</v>
      </c>
      <c r="AW142">
        <f>$H$142*$AC$142</f>
        <v>518.66999999999996</v>
      </c>
      <c r="AX142">
        <f>$H$142*$AD$142</f>
        <v>518.66999999999996</v>
      </c>
      <c r="AY142">
        <f>$H$142*$AE$142</f>
        <v>518.66999999999996</v>
      </c>
      <c r="AZ142">
        <f>$H$142*$AF$142</f>
        <v>518.66999999999996</v>
      </c>
    </row>
    <row r="143" spans="1:52" x14ac:dyDescent="0.25">
      <c r="A143">
        <v>186</v>
      </c>
      <c r="B143" t="s">
        <v>258</v>
      </c>
      <c r="C143" t="s">
        <v>439</v>
      </c>
      <c r="D143">
        <v>0.25</v>
      </c>
      <c r="E143">
        <v>144.08000000000001</v>
      </c>
      <c r="F143" t="s">
        <v>317</v>
      </c>
      <c r="G143">
        <v>576.30999999999995</v>
      </c>
      <c r="H143">
        <v>172.9</v>
      </c>
      <c r="I143" t="s">
        <v>336</v>
      </c>
      <c r="J143" t="s">
        <v>440</v>
      </c>
      <c r="K143" t="s">
        <v>598</v>
      </c>
      <c r="L143" t="s">
        <v>178</v>
      </c>
      <c r="M143" t="s">
        <v>258</v>
      </c>
      <c r="N143" t="s">
        <v>51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258</v>
      </c>
      <c r="AH143" t="s">
        <v>51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172.9</v>
      </c>
      <c r="AV143">
        <f>$H$143*$AB$143</f>
        <v>172.9</v>
      </c>
      <c r="AW143">
        <f>$H$143*$AC$143</f>
        <v>172.9</v>
      </c>
      <c r="AX143">
        <f>$H$143*$AD$143</f>
        <v>172.9</v>
      </c>
      <c r="AY143">
        <f>$H$143*$AE$143</f>
        <v>172.9</v>
      </c>
      <c r="AZ143">
        <f>$H$143*$AF$143</f>
        <v>172.9</v>
      </c>
    </row>
    <row r="144" spans="1:52" x14ac:dyDescent="0.25">
      <c r="A144">
        <v>187</v>
      </c>
      <c r="B144" t="s">
        <v>258</v>
      </c>
      <c r="C144" t="s">
        <v>467</v>
      </c>
      <c r="D144">
        <v>1</v>
      </c>
      <c r="E144">
        <v>291.27999999999997</v>
      </c>
      <c r="F144" t="s">
        <v>317</v>
      </c>
      <c r="G144">
        <v>291.27999999999997</v>
      </c>
      <c r="H144">
        <v>349.54</v>
      </c>
      <c r="I144" t="s">
        <v>336</v>
      </c>
      <c r="J144" t="s">
        <v>468</v>
      </c>
      <c r="K144" t="s">
        <v>612</v>
      </c>
      <c r="L144" t="s">
        <v>178</v>
      </c>
      <c r="M144" t="s">
        <v>258</v>
      </c>
      <c r="N144" t="s">
        <v>51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258</v>
      </c>
      <c r="AH144" t="s">
        <v>51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349.54</v>
      </c>
      <c r="AV144">
        <f>$H$144*$AB$144</f>
        <v>349.54</v>
      </c>
      <c r="AW144">
        <f>$H$144*$AC$144</f>
        <v>349.54</v>
      </c>
      <c r="AX144">
        <f>$H$144*$AD$144</f>
        <v>349.54</v>
      </c>
      <c r="AY144">
        <f>$H$144*$AE$144</f>
        <v>349.54</v>
      </c>
      <c r="AZ144">
        <f>$H$144*$AF$144</f>
        <v>349.54</v>
      </c>
    </row>
    <row r="145" spans="1:52" x14ac:dyDescent="0.25">
      <c r="A145">
        <v>188</v>
      </c>
      <c r="B145" t="s">
        <v>258</v>
      </c>
      <c r="C145" t="s">
        <v>345</v>
      </c>
      <c r="D145">
        <v>205.33</v>
      </c>
      <c r="E145">
        <v>201.22</v>
      </c>
      <c r="F145" t="s">
        <v>335</v>
      </c>
      <c r="G145">
        <v>0.98</v>
      </c>
      <c r="H145">
        <v>241.46</v>
      </c>
      <c r="I145" t="s">
        <v>312</v>
      </c>
      <c r="J145" t="s">
        <v>346</v>
      </c>
      <c r="K145" t="s">
        <v>552</v>
      </c>
      <c r="L145" t="s">
        <v>178</v>
      </c>
      <c r="M145" t="s">
        <v>258</v>
      </c>
      <c r="N145" t="s">
        <v>51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258</v>
      </c>
      <c r="AH145" t="s">
        <v>51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241.46</v>
      </c>
      <c r="AO145">
        <f>$H$145*$U$145</f>
        <v>241.46</v>
      </c>
      <c r="AP145">
        <f>$H$145*$V$145</f>
        <v>241.46</v>
      </c>
      <c r="AQ145">
        <f>$H$145*$W$145</f>
        <v>241.46</v>
      </c>
      <c r="AR145">
        <f>$H$145*$X$145</f>
        <v>241.46</v>
      </c>
      <c r="AS145">
        <f>$H$145*$Y$145</f>
        <v>241.46</v>
      </c>
      <c r="AT145">
        <f>$H$145*$Z$145</f>
        <v>241.46</v>
      </c>
      <c r="AU145">
        <f>$H$145*$AA$145</f>
        <v>241.46</v>
      </c>
      <c r="AV145">
        <f>$H$145*$AB$145</f>
        <v>241.46</v>
      </c>
      <c r="AW145">
        <f>$H$145*$AC$145</f>
        <v>241.46</v>
      </c>
      <c r="AX145">
        <f>$H$145*$AD$145</f>
        <v>241.46</v>
      </c>
      <c r="AY145">
        <f>$H$145*$AE$145</f>
        <v>241.46</v>
      </c>
      <c r="AZ145">
        <f>$H$145*$AF$145</f>
        <v>241.46</v>
      </c>
    </row>
    <row r="146" spans="1:52" x14ac:dyDescent="0.25">
      <c r="A146">
        <v>189</v>
      </c>
      <c r="B146" t="s">
        <v>258</v>
      </c>
      <c r="C146" t="s">
        <v>400</v>
      </c>
      <c r="D146">
        <v>205.33</v>
      </c>
      <c r="E146">
        <v>689.91</v>
      </c>
      <c r="F146" t="s">
        <v>335</v>
      </c>
      <c r="G146">
        <v>3.36</v>
      </c>
      <c r="H146">
        <v>827.89</v>
      </c>
      <c r="I146" t="s">
        <v>348</v>
      </c>
      <c r="J146" t="s">
        <v>401</v>
      </c>
      <c r="K146" t="s">
        <v>579</v>
      </c>
      <c r="L146" t="s">
        <v>178</v>
      </c>
      <c r="M146" t="s">
        <v>258</v>
      </c>
      <c r="N146" t="s">
        <v>51</v>
      </c>
      <c r="O146" t="s">
        <v>13</v>
      </c>
      <c r="P146">
        <v>0</v>
      </c>
      <c r="Q146">
        <v>0</v>
      </c>
      <c r="R146">
        <v>0</v>
      </c>
      <c r="S146">
        <v>0.25</v>
      </c>
      <c r="T146">
        <v>0.25</v>
      </c>
      <c r="U146">
        <v>0.25</v>
      </c>
      <c r="V146">
        <v>0.25</v>
      </c>
      <c r="W146">
        <v>0.5</v>
      </c>
      <c r="X146">
        <v>0.5</v>
      </c>
      <c r="Y146">
        <v>0.5</v>
      </c>
      <c r="Z146">
        <v>0.5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258</v>
      </c>
      <c r="AH146" t="s">
        <v>51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206.9725</v>
      </c>
      <c r="AN146">
        <f>$H$146*$T$146</f>
        <v>206.9725</v>
      </c>
      <c r="AO146">
        <f>$H$146*$U$146</f>
        <v>206.9725</v>
      </c>
      <c r="AP146">
        <f>$H$146*$V$146</f>
        <v>206.9725</v>
      </c>
      <c r="AQ146">
        <f>$H$146*$W$146</f>
        <v>413.94499999999999</v>
      </c>
      <c r="AR146">
        <f>$H$146*$X$146</f>
        <v>413.94499999999999</v>
      </c>
      <c r="AS146">
        <f>$H$146*$Y$146</f>
        <v>413.94499999999999</v>
      </c>
      <c r="AT146">
        <f>$H$146*$Z$146</f>
        <v>413.94499999999999</v>
      </c>
      <c r="AU146">
        <f>$H$146*$AA$146</f>
        <v>827.89</v>
      </c>
      <c r="AV146">
        <f>$H$146*$AB$146</f>
        <v>827.89</v>
      </c>
      <c r="AW146">
        <f>$H$146*$AC$146</f>
        <v>827.89</v>
      </c>
      <c r="AX146">
        <f>$H$146*$AD$146</f>
        <v>827.89</v>
      </c>
      <c r="AY146">
        <f>$H$146*$AE$146</f>
        <v>827.89</v>
      </c>
      <c r="AZ146">
        <f>$H$146*$AF$146</f>
        <v>827.89</v>
      </c>
    </row>
    <row r="147" spans="1:52" x14ac:dyDescent="0.25">
      <c r="A147">
        <v>190</v>
      </c>
      <c r="B147" t="s">
        <v>258</v>
      </c>
      <c r="C147" t="s">
        <v>402</v>
      </c>
      <c r="D147">
        <v>25.67</v>
      </c>
      <c r="E147">
        <v>38.76</v>
      </c>
      <c r="F147" t="s">
        <v>311</v>
      </c>
      <c r="G147">
        <v>1.51</v>
      </c>
      <c r="H147">
        <v>46.52</v>
      </c>
      <c r="I147" t="s">
        <v>312</v>
      </c>
      <c r="J147" t="s">
        <v>403</v>
      </c>
      <c r="K147" t="s">
        <v>580</v>
      </c>
      <c r="L147" t="s">
        <v>178</v>
      </c>
      <c r="M147" t="s">
        <v>258</v>
      </c>
      <c r="N147" t="s">
        <v>51</v>
      </c>
      <c r="O147" t="s">
        <v>13</v>
      </c>
      <c r="P147">
        <v>0</v>
      </c>
      <c r="Q147">
        <v>0</v>
      </c>
      <c r="R147">
        <v>0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258</v>
      </c>
      <c r="AH147" t="s">
        <v>51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46.52</v>
      </c>
      <c r="AN147">
        <f>$H$147*$T$147</f>
        <v>46.52</v>
      </c>
      <c r="AO147">
        <f>$H$147*$U$147</f>
        <v>46.52</v>
      </c>
      <c r="AP147">
        <f>$H$147*$V$147</f>
        <v>46.52</v>
      </c>
      <c r="AQ147">
        <f>$H$147*$W$147</f>
        <v>46.52</v>
      </c>
      <c r="AR147">
        <f>$H$147*$X$147</f>
        <v>46.52</v>
      </c>
      <c r="AS147">
        <f>$H$147*$Y$147</f>
        <v>46.52</v>
      </c>
      <c r="AT147">
        <f>$H$147*$Z$147</f>
        <v>46.52</v>
      </c>
      <c r="AU147">
        <f>$H$147*$AA$147</f>
        <v>46.52</v>
      </c>
      <c r="AV147">
        <f>$H$147*$AB$147</f>
        <v>46.52</v>
      </c>
      <c r="AW147">
        <f>$H$147*$AC$147</f>
        <v>46.52</v>
      </c>
      <c r="AX147">
        <f>$H$147*$AD$147</f>
        <v>46.52</v>
      </c>
      <c r="AY147">
        <f>$H$147*$AE$147</f>
        <v>46.52</v>
      </c>
      <c r="AZ147">
        <f>$H$147*$AF$147</f>
        <v>46.52</v>
      </c>
    </row>
    <row r="148" spans="1:52" x14ac:dyDescent="0.25">
      <c r="A148">
        <v>191</v>
      </c>
      <c r="B148" t="s">
        <v>258</v>
      </c>
      <c r="C148" t="s">
        <v>404</v>
      </c>
      <c r="D148">
        <v>25.67</v>
      </c>
      <c r="E148">
        <v>145.81</v>
      </c>
      <c r="F148" t="s">
        <v>311</v>
      </c>
      <c r="G148">
        <v>5.68</v>
      </c>
      <c r="H148">
        <v>174.97</v>
      </c>
      <c r="I148" t="s">
        <v>315</v>
      </c>
      <c r="J148" t="s">
        <v>405</v>
      </c>
      <c r="K148" t="s">
        <v>581</v>
      </c>
      <c r="L148" t="s">
        <v>178</v>
      </c>
      <c r="M148" t="s">
        <v>258</v>
      </c>
      <c r="N148" t="s">
        <v>51</v>
      </c>
      <c r="O148" t="s">
        <v>13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258</v>
      </c>
      <c r="AH148" t="s">
        <v>51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174.97</v>
      </c>
      <c r="AN148">
        <f>$H$148*$T$148</f>
        <v>174.97</v>
      </c>
      <c r="AO148">
        <f>$H$148*$U$148</f>
        <v>174.97</v>
      </c>
      <c r="AP148">
        <f>$H$148*$V$148</f>
        <v>174.97</v>
      </c>
      <c r="AQ148">
        <f>$H$148*$W$148</f>
        <v>174.97</v>
      </c>
      <c r="AR148">
        <f>$H$148*$X$148</f>
        <v>174.97</v>
      </c>
      <c r="AS148">
        <f>$H$148*$Y$148</f>
        <v>174.97</v>
      </c>
      <c r="AT148">
        <f>$H$148*$Z$148</f>
        <v>174.97</v>
      </c>
      <c r="AU148">
        <f>$H$148*$AA$148</f>
        <v>174.97</v>
      </c>
      <c r="AV148">
        <f>$H$148*$AB$148</f>
        <v>174.97</v>
      </c>
      <c r="AW148">
        <f>$H$148*$AC$148</f>
        <v>174.97</v>
      </c>
      <c r="AX148">
        <f>$H$148*$AD$148</f>
        <v>174.97</v>
      </c>
      <c r="AY148">
        <f>$H$148*$AE$148</f>
        <v>174.97</v>
      </c>
      <c r="AZ148">
        <f>$H$148*$AF$148</f>
        <v>174.97</v>
      </c>
    </row>
    <row r="149" spans="1:52" x14ac:dyDescent="0.25">
      <c r="A149">
        <v>192</v>
      </c>
      <c r="B149" t="s">
        <v>258</v>
      </c>
      <c r="C149" t="s">
        <v>400</v>
      </c>
      <c r="D149">
        <v>38.92</v>
      </c>
      <c r="E149">
        <v>130.77000000000001</v>
      </c>
      <c r="F149" t="s">
        <v>335</v>
      </c>
      <c r="G149">
        <v>3.36</v>
      </c>
      <c r="H149">
        <v>156.93</v>
      </c>
      <c r="I149" t="s">
        <v>348</v>
      </c>
      <c r="J149" t="s">
        <v>401</v>
      </c>
      <c r="K149" t="s">
        <v>579</v>
      </c>
      <c r="L149" t="s">
        <v>178</v>
      </c>
      <c r="M149" t="s">
        <v>258</v>
      </c>
      <c r="N149" t="s">
        <v>51</v>
      </c>
      <c r="O149" t="s">
        <v>13</v>
      </c>
      <c r="P149">
        <v>0</v>
      </c>
      <c r="Q149">
        <v>0</v>
      </c>
      <c r="R149">
        <v>0</v>
      </c>
      <c r="S149">
        <v>0.25</v>
      </c>
      <c r="T149">
        <v>0.25</v>
      </c>
      <c r="U149">
        <v>0.25</v>
      </c>
      <c r="V149">
        <v>0.25</v>
      </c>
      <c r="W149">
        <v>0.5</v>
      </c>
      <c r="X149">
        <v>0.5</v>
      </c>
      <c r="Y149">
        <v>0.5</v>
      </c>
      <c r="Z149">
        <v>0.5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258</v>
      </c>
      <c r="AH149" t="s">
        <v>51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39.232500000000002</v>
      </c>
      <c r="AN149">
        <f>$H$149*$T$149</f>
        <v>39.232500000000002</v>
      </c>
      <c r="AO149">
        <f>$H$149*$U$149</f>
        <v>39.232500000000002</v>
      </c>
      <c r="AP149">
        <f>$H$149*$V$149</f>
        <v>39.232500000000002</v>
      </c>
      <c r="AQ149">
        <f>$H$149*$W$149</f>
        <v>78.465000000000003</v>
      </c>
      <c r="AR149">
        <f>$H$149*$X$149</f>
        <v>78.465000000000003</v>
      </c>
      <c r="AS149">
        <f>$H$149*$Y$149</f>
        <v>78.465000000000003</v>
      </c>
      <c r="AT149">
        <f>$H$149*$Z$149</f>
        <v>78.465000000000003</v>
      </c>
      <c r="AU149">
        <f>$H$149*$AA$149</f>
        <v>156.93</v>
      </c>
      <c r="AV149">
        <f>$H$149*$AB$149</f>
        <v>156.93</v>
      </c>
      <c r="AW149">
        <f>$H$149*$AC$149</f>
        <v>156.93</v>
      </c>
      <c r="AX149">
        <f>$H$149*$AD$149</f>
        <v>156.93</v>
      </c>
      <c r="AY149">
        <f>$H$149*$AE$149</f>
        <v>156.93</v>
      </c>
      <c r="AZ149">
        <f>$H$149*$AF$149</f>
        <v>156.93</v>
      </c>
    </row>
    <row r="150" spans="1:52" x14ac:dyDescent="0.25">
      <c r="A150">
        <v>193</v>
      </c>
      <c r="B150" t="s">
        <v>258</v>
      </c>
      <c r="C150" t="s">
        <v>406</v>
      </c>
      <c r="D150">
        <v>38.92</v>
      </c>
      <c r="E150">
        <v>24.52</v>
      </c>
      <c r="F150" t="s">
        <v>335</v>
      </c>
      <c r="G150">
        <v>0.63</v>
      </c>
      <c r="H150">
        <v>29.42</v>
      </c>
      <c r="I150" t="s">
        <v>312</v>
      </c>
      <c r="J150" t="s">
        <v>407</v>
      </c>
      <c r="K150" t="s">
        <v>582</v>
      </c>
      <c r="L150" t="s">
        <v>178</v>
      </c>
      <c r="M150" t="s">
        <v>258</v>
      </c>
      <c r="N150" t="s">
        <v>51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1</v>
      </c>
      <c r="AF150">
        <v>1</v>
      </c>
      <c r="AG150" t="s">
        <v>258</v>
      </c>
      <c r="AH150" t="s">
        <v>51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0</v>
      </c>
      <c r="AV150">
        <f>$H$150*$AB$150</f>
        <v>0</v>
      </c>
      <c r="AW150">
        <f>$H$150*$AC$150</f>
        <v>0</v>
      </c>
      <c r="AX150">
        <f>$H$150*$AD$150</f>
        <v>29.42</v>
      </c>
      <c r="AY150">
        <f>$H$150*$AE$150</f>
        <v>29.42</v>
      </c>
      <c r="AZ150">
        <f>$H$150*$AF$150</f>
        <v>29.42</v>
      </c>
    </row>
    <row r="151" spans="1:52" x14ac:dyDescent="0.25">
      <c r="A151">
        <v>194</v>
      </c>
      <c r="B151" t="s">
        <v>258</v>
      </c>
      <c r="C151" t="s">
        <v>408</v>
      </c>
      <c r="D151">
        <v>38.92</v>
      </c>
      <c r="E151">
        <v>26.85</v>
      </c>
      <c r="F151" t="s">
        <v>335</v>
      </c>
      <c r="G151">
        <v>0.69</v>
      </c>
      <c r="H151">
        <v>32.229999999999997</v>
      </c>
      <c r="I151" t="s">
        <v>312</v>
      </c>
      <c r="J151" t="s">
        <v>409</v>
      </c>
      <c r="K151" t="s">
        <v>583</v>
      </c>
      <c r="L151" t="s">
        <v>178</v>
      </c>
      <c r="M151" t="s">
        <v>258</v>
      </c>
      <c r="N151" t="s">
        <v>51</v>
      </c>
      <c r="O151" t="s">
        <v>13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258</v>
      </c>
      <c r="AH151" t="s">
        <v>51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32.229999999999997</v>
      </c>
      <c r="AN151">
        <f>$H$151*$T$151</f>
        <v>32.229999999999997</v>
      </c>
      <c r="AO151">
        <f>$H$151*$U$151</f>
        <v>32.229999999999997</v>
      </c>
      <c r="AP151">
        <f>$H$151*$V$151</f>
        <v>32.229999999999997</v>
      </c>
      <c r="AQ151">
        <f>$H$151*$W$151</f>
        <v>32.229999999999997</v>
      </c>
      <c r="AR151">
        <f>$H$151*$X$151</f>
        <v>32.229999999999997</v>
      </c>
      <c r="AS151">
        <f>$H$151*$Y$151</f>
        <v>32.229999999999997</v>
      </c>
      <c r="AT151">
        <f>$H$151*$Z$151</f>
        <v>32.229999999999997</v>
      </c>
      <c r="AU151">
        <f>$H$151*$AA$151</f>
        <v>32.229999999999997</v>
      </c>
      <c r="AV151">
        <f>$H$151*$AB$151</f>
        <v>32.229999999999997</v>
      </c>
      <c r="AW151">
        <f>$H$151*$AC$151</f>
        <v>32.229999999999997</v>
      </c>
      <c r="AX151">
        <f>$H$151*$AD$151</f>
        <v>32.229999999999997</v>
      </c>
      <c r="AY151">
        <f>$H$151*$AE$151</f>
        <v>32.229999999999997</v>
      </c>
      <c r="AZ151">
        <f>$H$151*$AF$151</f>
        <v>32.229999999999997</v>
      </c>
    </row>
    <row r="152" spans="1:52" x14ac:dyDescent="0.25">
      <c r="A152">
        <v>195</v>
      </c>
      <c r="B152" t="s">
        <v>258</v>
      </c>
      <c r="C152" t="s">
        <v>410</v>
      </c>
      <c r="D152">
        <v>8.17</v>
      </c>
      <c r="E152">
        <v>55.64</v>
      </c>
      <c r="F152" t="s">
        <v>335</v>
      </c>
      <c r="G152">
        <v>6.81</v>
      </c>
      <c r="H152">
        <v>66.760000000000005</v>
      </c>
      <c r="I152" t="s">
        <v>411</v>
      </c>
      <c r="J152" t="s">
        <v>412</v>
      </c>
      <c r="K152" t="s">
        <v>584</v>
      </c>
      <c r="L152" t="s">
        <v>178</v>
      </c>
      <c r="M152" t="s">
        <v>258</v>
      </c>
      <c r="N152" t="s">
        <v>51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258</v>
      </c>
      <c r="AH152" t="s">
        <v>51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66.760000000000005</v>
      </c>
      <c r="AN152">
        <f>$H$152*$T$152</f>
        <v>66.760000000000005</v>
      </c>
      <c r="AO152">
        <f>$H$152*$U$152</f>
        <v>66.760000000000005</v>
      </c>
      <c r="AP152">
        <f>$H$152*$V$152</f>
        <v>66.760000000000005</v>
      </c>
      <c r="AQ152">
        <f>$H$152*$W$152</f>
        <v>66.760000000000005</v>
      </c>
      <c r="AR152">
        <f>$H$152*$X$152</f>
        <v>66.760000000000005</v>
      </c>
      <c r="AS152">
        <f>$H$152*$Y$152</f>
        <v>66.760000000000005</v>
      </c>
      <c r="AT152">
        <f>$H$152*$Z$152</f>
        <v>66.760000000000005</v>
      </c>
      <c r="AU152">
        <f>$H$152*$AA$152</f>
        <v>66.760000000000005</v>
      </c>
      <c r="AV152">
        <f>$H$152*$AB$152</f>
        <v>66.760000000000005</v>
      </c>
      <c r="AW152">
        <f>$H$152*$AC$152</f>
        <v>66.760000000000005</v>
      </c>
      <c r="AX152">
        <f>$H$152*$AD$152</f>
        <v>66.760000000000005</v>
      </c>
      <c r="AY152">
        <f>$H$152*$AE$152</f>
        <v>66.760000000000005</v>
      </c>
      <c r="AZ152">
        <f>$H$152*$AF$152</f>
        <v>66.760000000000005</v>
      </c>
    </row>
    <row r="153" spans="1:52" x14ac:dyDescent="0.25">
      <c r="A153">
        <v>196</v>
      </c>
      <c r="B153" t="s">
        <v>258</v>
      </c>
      <c r="C153" t="s">
        <v>413</v>
      </c>
      <c r="D153">
        <v>8.9499999999999993</v>
      </c>
      <c r="E153">
        <v>65.959999999999994</v>
      </c>
      <c r="F153" t="s">
        <v>335</v>
      </c>
      <c r="G153">
        <v>7.37</v>
      </c>
      <c r="H153">
        <v>79.16</v>
      </c>
      <c r="I153" t="s">
        <v>411</v>
      </c>
      <c r="J153" t="s">
        <v>414</v>
      </c>
      <c r="K153" t="s">
        <v>585</v>
      </c>
      <c r="L153" t="s">
        <v>178</v>
      </c>
      <c r="M153" t="s">
        <v>258</v>
      </c>
      <c r="N153" t="s">
        <v>51</v>
      </c>
      <c r="O153" t="s">
        <v>13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258</v>
      </c>
      <c r="AH153" t="s">
        <v>51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79.16</v>
      </c>
      <c r="AN153">
        <f>$H$153*$T$153</f>
        <v>79.16</v>
      </c>
      <c r="AO153">
        <f>$H$153*$U$153</f>
        <v>79.16</v>
      </c>
      <c r="AP153">
        <f>$H$153*$V$153</f>
        <v>79.16</v>
      </c>
      <c r="AQ153">
        <f>$H$153*$W$153</f>
        <v>79.16</v>
      </c>
      <c r="AR153">
        <f>$H$153*$X$153</f>
        <v>79.16</v>
      </c>
      <c r="AS153">
        <f>$H$153*$Y$153</f>
        <v>79.16</v>
      </c>
      <c r="AT153">
        <f>$H$153*$Z$153</f>
        <v>79.16</v>
      </c>
      <c r="AU153">
        <f>$H$153*$AA$153</f>
        <v>79.16</v>
      </c>
      <c r="AV153">
        <f>$H$153*$AB$153</f>
        <v>79.16</v>
      </c>
      <c r="AW153">
        <f>$H$153*$AC$153</f>
        <v>79.16</v>
      </c>
      <c r="AX153">
        <f>$H$153*$AD$153</f>
        <v>79.16</v>
      </c>
      <c r="AY153">
        <f>$H$153*$AE$153</f>
        <v>79.16</v>
      </c>
      <c r="AZ153">
        <f>$H$153*$AF$153</f>
        <v>79.16</v>
      </c>
    </row>
    <row r="154" spans="1:52" x14ac:dyDescent="0.25">
      <c r="A154">
        <v>197</v>
      </c>
      <c r="B154" t="s">
        <v>258</v>
      </c>
      <c r="C154" t="s">
        <v>415</v>
      </c>
      <c r="D154">
        <v>9.3800000000000008</v>
      </c>
      <c r="E154">
        <v>51.21</v>
      </c>
      <c r="F154" t="s">
        <v>335</v>
      </c>
      <c r="G154">
        <v>5.46</v>
      </c>
      <c r="H154">
        <v>61.45</v>
      </c>
      <c r="I154" t="s">
        <v>416</v>
      </c>
      <c r="J154" t="s">
        <v>417</v>
      </c>
      <c r="K154" t="s">
        <v>586</v>
      </c>
      <c r="L154" t="s">
        <v>178</v>
      </c>
      <c r="M154" t="s">
        <v>258</v>
      </c>
      <c r="N154" t="s">
        <v>51</v>
      </c>
      <c r="O154" t="s">
        <v>13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258</v>
      </c>
      <c r="AH154" t="s">
        <v>51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61.45</v>
      </c>
      <c r="AN154">
        <f>$H$154*$T$154</f>
        <v>61.45</v>
      </c>
      <c r="AO154">
        <f>$H$154*$U$154</f>
        <v>61.45</v>
      </c>
      <c r="AP154">
        <f>$H$154*$V$154</f>
        <v>61.45</v>
      </c>
      <c r="AQ154">
        <f>$H$154*$W$154</f>
        <v>61.45</v>
      </c>
      <c r="AR154">
        <f>$H$154*$X$154</f>
        <v>61.45</v>
      </c>
      <c r="AS154">
        <f>$H$154*$Y$154</f>
        <v>61.45</v>
      </c>
      <c r="AT154">
        <f>$H$154*$Z$154</f>
        <v>61.45</v>
      </c>
      <c r="AU154">
        <f>$H$154*$AA$154</f>
        <v>61.45</v>
      </c>
      <c r="AV154">
        <f>$H$154*$AB$154</f>
        <v>61.45</v>
      </c>
      <c r="AW154">
        <f>$H$154*$AC$154</f>
        <v>61.45</v>
      </c>
      <c r="AX154">
        <f>$H$154*$AD$154</f>
        <v>61.45</v>
      </c>
      <c r="AY154">
        <f>$H$154*$AE$154</f>
        <v>61.45</v>
      </c>
      <c r="AZ154">
        <f>$H$154*$AF$154</f>
        <v>61.45</v>
      </c>
    </row>
    <row r="155" spans="1:52" x14ac:dyDescent="0.25">
      <c r="A155">
        <v>198</v>
      </c>
      <c r="B155" t="s">
        <v>258</v>
      </c>
      <c r="C155" t="s">
        <v>418</v>
      </c>
      <c r="D155">
        <v>9.3800000000000008</v>
      </c>
      <c r="E155">
        <v>33.58</v>
      </c>
      <c r="F155" t="s">
        <v>335</v>
      </c>
      <c r="G155">
        <v>3.58</v>
      </c>
      <c r="H155">
        <v>40.299999999999997</v>
      </c>
      <c r="I155" t="s">
        <v>416</v>
      </c>
      <c r="J155" t="s">
        <v>419</v>
      </c>
      <c r="K155" t="s">
        <v>587</v>
      </c>
      <c r="L155" t="s">
        <v>178</v>
      </c>
      <c r="M155" t="s">
        <v>258</v>
      </c>
      <c r="N155" t="s">
        <v>51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258</v>
      </c>
      <c r="AH155" t="s">
        <v>51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40.299999999999997</v>
      </c>
      <c r="AN155">
        <f>$H$155*$T$155</f>
        <v>40.299999999999997</v>
      </c>
      <c r="AO155">
        <f>$H$155*$U$155</f>
        <v>40.299999999999997</v>
      </c>
      <c r="AP155">
        <f>$H$155*$V$155</f>
        <v>40.299999999999997</v>
      </c>
      <c r="AQ155">
        <f>$H$155*$W$155</f>
        <v>40.299999999999997</v>
      </c>
      <c r="AR155">
        <f>$H$155*$X$155</f>
        <v>40.299999999999997</v>
      </c>
      <c r="AS155">
        <f>$H$155*$Y$155</f>
        <v>40.299999999999997</v>
      </c>
      <c r="AT155">
        <f>$H$155*$Z$155</f>
        <v>40.299999999999997</v>
      </c>
      <c r="AU155">
        <f>$H$155*$AA$155</f>
        <v>40.299999999999997</v>
      </c>
      <c r="AV155">
        <f>$H$155*$AB$155</f>
        <v>40.299999999999997</v>
      </c>
      <c r="AW155">
        <f>$H$155*$AC$155</f>
        <v>40.299999999999997</v>
      </c>
      <c r="AX155">
        <f>$H$155*$AD$155</f>
        <v>40.299999999999997</v>
      </c>
      <c r="AY155">
        <f>$H$155*$AE$155</f>
        <v>40.299999999999997</v>
      </c>
      <c r="AZ155">
        <f>$H$155*$AF$155</f>
        <v>40.299999999999997</v>
      </c>
    </row>
    <row r="156" spans="1:52" x14ac:dyDescent="0.25">
      <c r="A156">
        <v>199</v>
      </c>
      <c r="B156" t="s">
        <v>258</v>
      </c>
      <c r="C156" t="s">
        <v>420</v>
      </c>
      <c r="D156">
        <v>9.3800000000000008</v>
      </c>
      <c r="E156">
        <v>92.39</v>
      </c>
      <c r="F156" t="s">
        <v>335</v>
      </c>
      <c r="G156">
        <v>9.85</v>
      </c>
      <c r="H156">
        <v>110.87</v>
      </c>
      <c r="I156" t="s">
        <v>416</v>
      </c>
      <c r="J156" t="s">
        <v>414</v>
      </c>
      <c r="K156" t="s">
        <v>588</v>
      </c>
      <c r="L156" t="s">
        <v>178</v>
      </c>
      <c r="M156" t="s">
        <v>258</v>
      </c>
      <c r="N156" t="s">
        <v>51</v>
      </c>
      <c r="O156" t="s">
        <v>13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258</v>
      </c>
      <c r="AH156" t="s">
        <v>51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110.87</v>
      </c>
      <c r="AN156">
        <f>$H$156*$T$156</f>
        <v>110.87</v>
      </c>
      <c r="AO156">
        <f>$H$156*$U$156</f>
        <v>110.87</v>
      </c>
      <c r="AP156">
        <f>$H$156*$V$156</f>
        <v>110.87</v>
      </c>
      <c r="AQ156">
        <f>$H$156*$W$156</f>
        <v>110.87</v>
      </c>
      <c r="AR156">
        <f>$H$156*$X$156</f>
        <v>110.87</v>
      </c>
      <c r="AS156">
        <f>$H$156*$Y$156</f>
        <v>110.87</v>
      </c>
      <c r="AT156">
        <f>$H$156*$Z$156</f>
        <v>110.87</v>
      </c>
      <c r="AU156">
        <f>$H$156*$AA$156</f>
        <v>110.87</v>
      </c>
      <c r="AV156">
        <f>$H$156*$AB$156</f>
        <v>110.87</v>
      </c>
      <c r="AW156">
        <f>$H$156*$AC$156</f>
        <v>110.87</v>
      </c>
      <c r="AX156">
        <f>$H$156*$AD$156</f>
        <v>110.87</v>
      </c>
      <c r="AY156">
        <f>$H$156*$AE$156</f>
        <v>110.87</v>
      </c>
      <c r="AZ156">
        <f>$H$156*$AF$156</f>
        <v>110.87</v>
      </c>
    </row>
    <row r="157" spans="1:52" x14ac:dyDescent="0.25">
      <c r="A157">
        <v>200</v>
      </c>
      <c r="B157" t="s">
        <v>258</v>
      </c>
      <c r="C157" t="s">
        <v>421</v>
      </c>
      <c r="D157">
        <v>8.9499999999999993</v>
      </c>
      <c r="E157">
        <v>8.68</v>
      </c>
      <c r="F157" t="s">
        <v>335</v>
      </c>
      <c r="G157">
        <v>0.97</v>
      </c>
      <c r="H157">
        <v>10.42</v>
      </c>
      <c r="I157" t="s">
        <v>360</v>
      </c>
      <c r="J157" t="s">
        <v>422</v>
      </c>
      <c r="K157" t="s">
        <v>589</v>
      </c>
      <c r="L157" t="s">
        <v>178</v>
      </c>
      <c r="M157" t="s">
        <v>258</v>
      </c>
      <c r="N157" t="s">
        <v>51</v>
      </c>
      <c r="O157" t="s">
        <v>13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258</v>
      </c>
      <c r="AH157" t="s">
        <v>51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10.42</v>
      </c>
      <c r="AN157">
        <f>$H$157*$T$157</f>
        <v>10.42</v>
      </c>
      <c r="AO157">
        <f>$H$157*$U$157</f>
        <v>10.42</v>
      </c>
      <c r="AP157">
        <f>$H$157*$V$157</f>
        <v>10.42</v>
      </c>
      <c r="AQ157">
        <f>$H$157*$W$157</f>
        <v>10.42</v>
      </c>
      <c r="AR157">
        <f>$H$157*$X$157</f>
        <v>10.42</v>
      </c>
      <c r="AS157">
        <f>$H$157*$Y$157</f>
        <v>10.42</v>
      </c>
      <c r="AT157">
        <f>$H$157*$Z$157</f>
        <v>10.42</v>
      </c>
      <c r="AU157">
        <f>$H$157*$AA$157</f>
        <v>10.42</v>
      </c>
      <c r="AV157">
        <f>$H$157*$AB$157</f>
        <v>10.42</v>
      </c>
      <c r="AW157">
        <f>$H$157*$AC$157</f>
        <v>10.42</v>
      </c>
      <c r="AX157">
        <f>$H$157*$AD$157</f>
        <v>10.42</v>
      </c>
      <c r="AY157">
        <f>$H$157*$AE$157</f>
        <v>10.42</v>
      </c>
      <c r="AZ157">
        <f>$H$157*$AF$157</f>
        <v>10.42</v>
      </c>
    </row>
    <row r="158" spans="1:52" x14ac:dyDescent="0.25">
      <c r="A158">
        <v>201</v>
      </c>
      <c r="B158" t="s">
        <v>258</v>
      </c>
      <c r="C158" t="s">
        <v>423</v>
      </c>
      <c r="D158">
        <v>8.9499999999999993</v>
      </c>
      <c r="E158">
        <v>68.56</v>
      </c>
      <c r="F158" t="s">
        <v>335</v>
      </c>
      <c r="G158">
        <v>7.66</v>
      </c>
      <c r="H158">
        <v>82.28</v>
      </c>
      <c r="I158" t="s">
        <v>360</v>
      </c>
      <c r="J158" t="s">
        <v>414</v>
      </c>
      <c r="K158" t="s">
        <v>590</v>
      </c>
      <c r="L158" t="s">
        <v>178</v>
      </c>
      <c r="M158" t="s">
        <v>258</v>
      </c>
      <c r="N158" t="s">
        <v>51</v>
      </c>
      <c r="O158" t="s">
        <v>13</v>
      </c>
      <c r="P158">
        <v>0</v>
      </c>
      <c r="Q158">
        <v>0</v>
      </c>
      <c r="R158">
        <v>0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258</v>
      </c>
      <c r="AH158" t="s">
        <v>51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82.28</v>
      </c>
      <c r="AN158">
        <f>$H$158*$T$158</f>
        <v>82.28</v>
      </c>
      <c r="AO158">
        <f>$H$158*$U$158</f>
        <v>82.28</v>
      </c>
      <c r="AP158">
        <f>$H$158*$V$158</f>
        <v>82.28</v>
      </c>
      <c r="AQ158">
        <f>$H$158*$W$158</f>
        <v>82.28</v>
      </c>
      <c r="AR158">
        <f>$H$158*$X$158</f>
        <v>82.28</v>
      </c>
      <c r="AS158">
        <f>$H$158*$Y$158</f>
        <v>82.28</v>
      </c>
      <c r="AT158">
        <f>$H$158*$Z$158</f>
        <v>82.28</v>
      </c>
      <c r="AU158">
        <f>$H$158*$AA$158</f>
        <v>82.28</v>
      </c>
      <c r="AV158">
        <f>$H$158*$AB$158</f>
        <v>82.28</v>
      </c>
      <c r="AW158">
        <f>$H$158*$AC$158</f>
        <v>82.28</v>
      </c>
      <c r="AX158">
        <f>$H$158*$AD$158</f>
        <v>82.28</v>
      </c>
      <c r="AY158">
        <f>$H$158*$AE$158</f>
        <v>82.28</v>
      </c>
      <c r="AZ158">
        <f>$H$158*$AF$158</f>
        <v>82.28</v>
      </c>
    </row>
    <row r="159" spans="1:52" x14ac:dyDescent="0.25">
      <c r="A159">
        <v>202</v>
      </c>
      <c r="B159" t="s">
        <v>266</v>
      </c>
      <c r="C159" t="s">
        <v>426</v>
      </c>
      <c r="D159">
        <v>55</v>
      </c>
      <c r="E159">
        <v>484.55</v>
      </c>
      <c r="F159" t="s">
        <v>335</v>
      </c>
      <c r="G159">
        <v>8.81</v>
      </c>
      <c r="H159">
        <v>581.47</v>
      </c>
      <c r="I159" t="s">
        <v>427</v>
      </c>
      <c r="J159" t="s">
        <v>428</v>
      </c>
      <c r="K159" t="s">
        <v>592</v>
      </c>
      <c r="L159" t="s">
        <v>178</v>
      </c>
      <c r="M159" t="s">
        <v>266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266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581.47</v>
      </c>
      <c r="AN159">
        <f>$H$159*$T$159</f>
        <v>581.47</v>
      </c>
      <c r="AO159">
        <f>$H$159*$U$159</f>
        <v>581.47</v>
      </c>
      <c r="AP159">
        <f>$H$159*$V$159</f>
        <v>581.47</v>
      </c>
      <c r="AQ159">
        <f>$H$159*$W$159</f>
        <v>581.47</v>
      </c>
      <c r="AR159">
        <f>$H$159*$X$159</f>
        <v>581.47</v>
      </c>
      <c r="AS159">
        <f>$H$159*$Y$159</f>
        <v>581.47</v>
      </c>
      <c r="AT159">
        <f>$H$159*$Z$159</f>
        <v>581.47</v>
      </c>
      <c r="AU159">
        <f>$H$159*$AA$159</f>
        <v>581.47</v>
      </c>
      <c r="AV159">
        <f>$H$159*$AB$159</f>
        <v>581.47</v>
      </c>
      <c r="AW159">
        <f>$H$159*$AC$159</f>
        <v>581.47</v>
      </c>
      <c r="AX159">
        <f>$H$159*$AD$159</f>
        <v>581.47</v>
      </c>
      <c r="AY159">
        <f>$H$159*$AE$159</f>
        <v>581.47</v>
      </c>
      <c r="AZ159">
        <f>$H$159*$AF$159</f>
        <v>581.47</v>
      </c>
    </row>
    <row r="160" spans="1:52" x14ac:dyDescent="0.25">
      <c r="A160">
        <v>203</v>
      </c>
      <c r="B160" t="s">
        <v>266</v>
      </c>
      <c r="C160" t="s">
        <v>429</v>
      </c>
      <c r="D160">
        <v>1</v>
      </c>
      <c r="E160">
        <v>1081.7</v>
      </c>
      <c r="F160" t="s">
        <v>317</v>
      </c>
      <c r="G160">
        <v>1081.7</v>
      </c>
      <c r="H160">
        <v>1298.04</v>
      </c>
      <c r="I160" t="s">
        <v>427</v>
      </c>
      <c r="J160" t="s">
        <v>430</v>
      </c>
      <c r="K160" t="s">
        <v>593</v>
      </c>
      <c r="L160" t="s">
        <v>178</v>
      </c>
      <c r="M160" t="s">
        <v>266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266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1298.04</v>
      </c>
      <c r="AU160">
        <f>$H$160*$AA$160</f>
        <v>1298.04</v>
      </c>
      <c r="AV160">
        <f>$H$160*$AB$160</f>
        <v>1298.04</v>
      </c>
      <c r="AW160">
        <f>$H$160*$AC$160</f>
        <v>1298.04</v>
      </c>
      <c r="AX160">
        <f>$H$160*$AD$160</f>
        <v>1298.04</v>
      </c>
      <c r="AY160">
        <f>$H$160*$AE$160</f>
        <v>1298.04</v>
      </c>
      <c r="AZ160">
        <f>$H$160*$AF$160</f>
        <v>1298.04</v>
      </c>
    </row>
    <row r="161" spans="1:52" x14ac:dyDescent="0.25">
      <c r="A161">
        <v>204</v>
      </c>
      <c r="B161" t="s">
        <v>266</v>
      </c>
      <c r="C161" t="s">
        <v>431</v>
      </c>
      <c r="D161">
        <v>1</v>
      </c>
      <c r="E161">
        <v>36.590000000000003</v>
      </c>
      <c r="F161" t="s">
        <v>317</v>
      </c>
      <c r="G161">
        <v>36.590000000000003</v>
      </c>
      <c r="H161">
        <v>43.91</v>
      </c>
      <c r="I161" t="s">
        <v>351</v>
      </c>
      <c r="J161" t="s">
        <v>432</v>
      </c>
      <c r="K161" t="s">
        <v>594</v>
      </c>
      <c r="L161" t="s">
        <v>178</v>
      </c>
      <c r="M161" t="s">
        <v>266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266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43.91</v>
      </c>
      <c r="AV161">
        <f>$H$161*$AB$161</f>
        <v>43.91</v>
      </c>
      <c r="AW161">
        <f>$H$161*$AC$161</f>
        <v>43.91</v>
      </c>
      <c r="AX161">
        <f>$H$161*$AD$161</f>
        <v>43.91</v>
      </c>
      <c r="AY161">
        <f>$H$161*$AE$161</f>
        <v>43.91</v>
      </c>
      <c r="AZ161">
        <f>$H$161*$AF$161</f>
        <v>43.91</v>
      </c>
    </row>
    <row r="162" spans="1:52" x14ac:dyDescent="0.25">
      <c r="A162">
        <v>205</v>
      </c>
      <c r="B162" t="s">
        <v>266</v>
      </c>
      <c r="C162" t="s">
        <v>341</v>
      </c>
      <c r="D162">
        <v>12</v>
      </c>
      <c r="E162">
        <v>53.28</v>
      </c>
      <c r="F162" t="s">
        <v>311</v>
      </c>
      <c r="G162">
        <v>4.4400000000000004</v>
      </c>
      <c r="H162">
        <v>63.94</v>
      </c>
      <c r="I162" t="s">
        <v>312</v>
      </c>
      <c r="J162" t="s">
        <v>342</v>
      </c>
      <c r="K162" t="s">
        <v>550</v>
      </c>
      <c r="L162" t="s">
        <v>178</v>
      </c>
      <c r="M162" t="s">
        <v>266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266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63.94</v>
      </c>
      <c r="AV162">
        <f>$H$162*$AB$162</f>
        <v>63.94</v>
      </c>
      <c r="AW162">
        <f>$H$162*$AC$162</f>
        <v>63.94</v>
      </c>
      <c r="AX162">
        <f>$H$162*$AD$162</f>
        <v>63.94</v>
      </c>
      <c r="AY162">
        <f>$H$162*$AE$162</f>
        <v>63.94</v>
      </c>
      <c r="AZ162">
        <f>$H$162*$AF$162</f>
        <v>63.94</v>
      </c>
    </row>
    <row r="163" spans="1:52" x14ac:dyDescent="0.25">
      <c r="A163">
        <v>206</v>
      </c>
      <c r="B163" t="s">
        <v>266</v>
      </c>
      <c r="C163" t="s">
        <v>343</v>
      </c>
      <c r="D163">
        <v>12</v>
      </c>
      <c r="E163">
        <v>138.6</v>
      </c>
      <c r="F163" t="s">
        <v>311</v>
      </c>
      <c r="G163">
        <v>11.55</v>
      </c>
      <c r="H163">
        <v>166.32</v>
      </c>
      <c r="I163" t="s">
        <v>315</v>
      </c>
      <c r="J163" t="s">
        <v>344</v>
      </c>
      <c r="K163" t="s">
        <v>551</v>
      </c>
      <c r="L163" t="s">
        <v>178</v>
      </c>
      <c r="M163" t="s">
        <v>266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266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166.32</v>
      </c>
      <c r="AV163">
        <f>$H$163*$AB$163</f>
        <v>166.32</v>
      </c>
      <c r="AW163">
        <f>$H$163*$AC$163</f>
        <v>166.32</v>
      </c>
      <c r="AX163">
        <f>$H$163*$AD$163</f>
        <v>166.32</v>
      </c>
      <c r="AY163">
        <f>$H$163*$AE$163</f>
        <v>166.32</v>
      </c>
      <c r="AZ163">
        <f>$H$163*$AF$163</f>
        <v>166.32</v>
      </c>
    </row>
    <row r="164" spans="1:52" x14ac:dyDescent="0.25">
      <c r="A164">
        <v>207</v>
      </c>
      <c r="B164" t="s">
        <v>266</v>
      </c>
      <c r="C164" t="s">
        <v>433</v>
      </c>
      <c r="D164">
        <v>1</v>
      </c>
      <c r="E164">
        <v>36.64</v>
      </c>
      <c r="F164" t="s">
        <v>317</v>
      </c>
      <c r="G164">
        <v>36.64</v>
      </c>
      <c r="H164">
        <v>43.96</v>
      </c>
      <c r="I164" t="s">
        <v>351</v>
      </c>
      <c r="J164" t="s">
        <v>434</v>
      </c>
      <c r="K164" t="s">
        <v>595</v>
      </c>
      <c r="L164" t="s">
        <v>178</v>
      </c>
      <c r="M164" t="s">
        <v>266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266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43.96</v>
      </c>
      <c r="AV164">
        <f>$H$164*$AB$164</f>
        <v>43.96</v>
      </c>
      <c r="AW164">
        <f>$H$164*$AC$164</f>
        <v>43.96</v>
      </c>
      <c r="AX164">
        <f>$H$164*$AD$164</f>
        <v>43.96</v>
      </c>
      <c r="AY164">
        <f>$H$164*$AE$164</f>
        <v>43.96</v>
      </c>
      <c r="AZ164">
        <f>$H$164*$AF$164</f>
        <v>43.96</v>
      </c>
    </row>
    <row r="165" spans="1:52" x14ac:dyDescent="0.25">
      <c r="A165">
        <v>208</v>
      </c>
      <c r="B165" t="s">
        <v>266</v>
      </c>
      <c r="C165" t="s">
        <v>435</v>
      </c>
      <c r="D165">
        <v>1</v>
      </c>
      <c r="E165">
        <v>33.18</v>
      </c>
      <c r="F165" t="s">
        <v>317</v>
      </c>
      <c r="G165">
        <v>33.18</v>
      </c>
      <c r="H165">
        <v>39.82</v>
      </c>
      <c r="I165" t="s">
        <v>351</v>
      </c>
      <c r="J165" t="s">
        <v>436</v>
      </c>
      <c r="K165" t="s">
        <v>596</v>
      </c>
      <c r="L165" t="s">
        <v>178</v>
      </c>
      <c r="M165" t="s">
        <v>266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266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39.82</v>
      </c>
      <c r="AT165">
        <f>$H$165*$Z$165</f>
        <v>39.82</v>
      </c>
      <c r="AU165">
        <f>$H$165*$AA$165</f>
        <v>39.82</v>
      </c>
      <c r="AV165">
        <f>$H$165*$AB$165</f>
        <v>39.82</v>
      </c>
      <c r="AW165">
        <f>$H$165*$AC$165</f>
        <v>39.82</v>
      </c>
      <c r="AX165">
        <f>$H$165*$AD$165</f>
        <v>39.82</v>
      </c>
      <c r="AY165">
        <f>$H$165*$AE$165</f>
        <v>39.82</v>
      </c>
      <c r="AZ165">
        <f>$H$165*$AF$165</f>
        <v>39.82</v>
      </c>
    </row>
    <row r="166" spans="1:52" x14ac:dyDescent="0.25">
      <c r="A166">
        <v>209</v>
      </c>
      <c r="B166" t="s">
        <v>266</v>
      </c>
      <c r="C166" t="s">
        <v>397</v>
      </c>
      <c r="D166">
        <v>2</v>
      </c>
      <c r="E166">
        <v>26.54</v>
      </c>
      <c r="F166" t="s">
        <v>317</v>
      </c>
      <c r="G166">
        <v>13.27</v>
      </c>
      <c r="H166">
        <v>31.84</v>
      </c>
      <c r="I166" t="s">
        <v>319</v>
      </c>
      <c r="J166" t="s">
        <v>398</v>
      </c>
      <c r="K166" t="s">
        <v>577</v>
      </c>
      <c r="L166" t="s">
        <v>178</v>
      </c>
      <c r="M166" t="s">
        <v>266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266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31.84</v>
      </c>
      <c r="AS166">
        <f>$H$166*$Y$166</f>
        <v>31.84</v>
      </c>
      <c r="AT166">
        <f>$H$166*$Z$166</f>
        <v>31.84</v>
      </c>
      <c r="AU166">
        <f>$H$166*$AA$166</f>
        <v>31.84</v>
      </c>
      <c r="AV166">
        <f>$H$166*$AB$166</f>
        <v>31.84</v>
      </c>
      <c r="AW166">
        <f>$H$166*$AC$166</f>
        <v>31.84</v>
      </c>
      <c r="AX166">
        <f>$H$166*$AD$166</f>
        <v>31.84</v>
      </c>
      <c r="AY166">
        <f>$H$166*$AE$166</f>
        <v>31.84</v>
      </c>
      <c r="AZ166">
        <f>$H$166*$AF$166</f>
        <v>31.84</v>
      </c>
    </row>
    <row r="167" spans="1:52" x14ac:dyDescent="0.25">
      <c r="A167">
        <v>210</v>
      </c>
      <c r="B167" t="s">
        <v>266</v>
      </c>
      <c r="C167" t="s">
        <v>437</v>
      </c>
      <c r="D167">
        <v>6</v>
      </c>
      <c r="E167">
        <v>112.38</v>
      </c>
      <c r="F167" t="s">
        <v>335</v>
      </c>
      <c r="G167">
        <v>18.73</v>
      </c>
      <c r="H167">
        <v>134.86000000000001</v>
      </c>
      <c r="I167" t="s">
        <v>438</v>
      </c>
      <c r="J167" t="s">
        <v>355</v>
      </c>
      <c r="K167" t="s">
        <v>597</v>
      </c>
      <c r="L167" t="s">
        <v>178</v>
      </c>
      <c r="M167" t="s">
        <v>266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266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0</v>
      </c>
      <c r="AT167">
        <f>$H$167*$Z$167</f>
        <v>0</v>
      </c>
      <c r="AU167">
        <f>$H$167*$AA$167</f>
        <v>134.86000000000001</v>
      </c>
      <c r="AV167">
        <f>$H$167*$AB$167</f>
        <v>134.86000000000001</v>
      </c>
      <c r="AW167">
        <f>$H$167*$AC$167</f>
        <v>134.86000000000001</v>
      </c>
      <c r="AX167">
        <f>$H$167*$AD$167</f>
        <v>134.86000000000001</v>
      </c>
      <c r="AY167">
        <f>$H$167*$AE$167</f>
        <v>134.86000000000001</v>
      </c>
      <c r="AZ167">
        <f>$H$167*$AF$167</f>
        <v>134.86000000000001</v>
      </c>
    </row>
    <row r="168" spans="1:52" x14ac:dyDescent="0.25">
      <c r="A168">
        <v>211</v>
      </c>
      <c r="B168" t="s">
        <v>266</v>
      </c>
      <c r="C168" t="s">
        <v>439</v>
      </c>
      <c r="D168">
        <v>0.75</v>
      </c>
      <c r="E168">
        <v>432.23</v>
      </c>
      <c r="F168" t="s">
        <v>317</v>
      </c>
      <c r="G168">
        <v>576.30999999999995</v>
      </c>
      <c r="H168">
        <v>518.66999999999996</v>
      </c>
      <c r="I168" t="s">
        <v>336</v>
      </c>
      <c r="J168" t="s">
        <v>440</v>
      </c>
      <c r="K168" t="s">
        <v>598</v>
      </c>
      <c r="L168" t="s">
        <v>178</v>
      </c>
      <c r="M168" t="s">
        <v>266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266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518.66999999999996</v>
      </c>
      <c r="AV168">
        <f>$H$168*$AB$168</f>
        <v>518.66999999999996</v>
      </c>
      <c r="AW168">
        <f>$H$168*$AC$168</f>
        <v>518.66999999999996</v>
      </c>
      <c r="AX168">
        <f>$H$168*$AD$168</f>
        <v>518.66999999999996</v>
      </c>
      <c r="AY168">
        <f>$H$168*$AE$168</f>
        <v>518.66999999999996</v>
      </c>
      <c r="AZ168">
        <f>$H$168*$AF$168</f>
        <v>518.66999999999996</v>
      </c>
    </row>
    <row r="169" spans="1:52" x14ac:dyDescent="0.25">
      <c r="A169">
        <v>212</v>
      </c>
      <c r="B169" t="s">
        <v>266</v>
      </c>
      <c r="C169" t="s">
        <v>439</v>
      </c>
      <c r="D169">
        <v>0.75</v>
      </c>
      <c r="E169">
        <v>432.23</v>
      </c>
      <c r="F169" t="s">
        <v>317</v>
      </c>
      <c r="G169">
        <v>576.30999999999995</v>
      </c>
      <c r="H169">
        <v>518.66999999999996</v>
      </c>
      <c r="I169" t="s">
        <v>336</v>
      </c>
      <c r="J169" t="s">
        <v>440</v>
      </c>
      <c r="K169" t="s">
        <v>598</v>
      </c>
      <c r="L169" t="s">
        <v>178</v>
      </c>
      <c r="M169" t="s">
        <v>266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266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518.66999999999996</v>
      </c>
      <c r="AV169">
        <f>$H$169*$AB$169</f>
        <v>518.66999999999996</v>
      </c>
      <c r="AW169">
        <f>$H$169*$AC$169</f>
        <v>518.66999999999996</v>
      </c>
      <c r="AX169">
        <f>$H$169*$AD$169</f>
        <v>518.66999999999996</v>
      </c>
      <c r="AY169">
        <f>$H$169*$AE$169</f>
        <v>518.66999999999996</v>
      </c>
      <c r="AZ169">
        <f>$H$169*$AF$169</f>
        <v>518.66999999999996</v>
      </c>
    </row>
    <row r="170" spans="1:52" x14ac:dyDescent="0.25">
      <c r="A170">
        <v>213</v>
      </c>
      <c r="B170" t="s">
        <v>266</v>
      </c>
      <c r="C170" t="s">
        <v>439</v>
      </c>
      <c r="D170">
        <v>0.25</v>
      </c>
      <c r="E170">
        <v>144.08000000000001</v>
      </c>
      <c r="F170" t="s">
        <v>317</v>
      </c>
      <c r="G170">
        <v>576.30999999999995</v>
      </c>
      <c r="H170">
        <v>172.9</v>
      </c>
      <c r="I170" t="s">
        <v>336</v>
      </c>
      <c r="J170" t="s">
        <v>440</v>
      </c>
      <c r="K170" t="s">
        <v>598</v>
      </c>
      <c r="L170" t="s">
        <v>178</v>
      </c>
      <c r="M170" t="s">
        <v>266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266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172.9</v>
      </c>
      <c r="AV170">
        <f>$H$170*$AB$170</f>
        <v>172.9</v>
      </c>
      <c r="AW170">
        <f>$H$170*$AC$170</f>
        <v>172.9</v>
      </c>
      <c r="AX170">
        <f>$H$170*$AD$170</f>
        <v>172.9</v>
      </c>
      <c r="AY170">
        <f>$H$170*$AE$170</f>
        <v>172.9</v>
      </c>
      <c r="AZ170">
        <f>$H$170*$AF$170</f>
        <v>172.9</v>
      </c>
    </row>
    <row r="171" spans="1:52" x14ac:dyDescent="0.25">
      <c r="A171">
        <v>214</v>
      </c>
      <c r="B171" t="s">
        <v>266</v>
      </c>
      <c r="C171" t="s">
        <v>439</v>
      </c>
      <c r="D171">
        <v>0.25</v>
      </c>
      <c r="E171">
        <v>144.08000000000001</v>
      </c>
      <c r="F171" t="s">
        <v>317</v>
      </c>
      <c r="G171">
        <v>576.30999999999995</v>
      </c>
      <c r="H171">
        <v>172.9</v>
      </c>
      <c r="I171" t="s">
        <v>336</v>
      </c>
      <c r="J171" t="s">
        <v>440</v>
      </c>
      <c r="K171" t="s">
        <v>598</v>
      </c>
      <c r="L171" t="s">
        <v>178</v>
      </c>
      <c r="M171" t="s">
        <v>266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266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0</v>
      </c>
      <c r="AU171">
        <f>$H$171*$AA$171</f>
        <v>172.9</v>
      </c>
      <c r="AV171">
        <f>$H$171*$AB$171</f>
        <v>172.9</v>
      </c>
      <c r="AW171">
        <f>$H$171*$AC$171</f>
        <v>172.9</v>
      </c>
      <c r="AX171">
        <f>$H$171*$AD$171</f>
        <v>172.9</v>
      </c>
      <c r="AY171">
        <f>$H$171*$AE$171</f>
        <v>172.9</v>
      </c>
      <c r="AZ171">
        <f>$H$171*$AF$171</f>
        <v>172.9</v>
      </c>
    </row>
    <row r="172" spans="1:52" x14ac:dyDescent="0.25">
      <c r="A172">
        <v>215</v>
      </c>
      <c r="B172" t="s">
        <v>266</v>
      </c>
      <c r="C172" t="s">
        <v>441</v>
      </c>
      <c r="D172">
        <v>1</v>
      </c>
      <c r="E172">
        <v>55.84</v>
      </c>
      <c r="F172" t="s">
        <v>317</v>
      </c>
      <c r="G172">
        <v>55.84</v>
      </c>
      <c r="H172">
        <v>67</v>
      </c>
      <c r="I172" t="s">
        <v>336</v>
      </c>
      <c r="J172" t="s">
        <v>442</v>
      </c>
      <c r="K172" t="s">
        <v>599</v>
      </c>
      <c r="L172" t="s">
        <v>178</v>
      </c>
      <c r="M172" t="s">
        <v>266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266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67</v>
      </c>
      <c r="AT172">
        <f>$H$172*$Z$172</f>
        <v>67</v>
      </c>
      <c r="AU172">
        <f>$H$172*$AA$172</f>
        <v>67</v>
      </c>
      <c r="AV172">
        <f>$H$172*$AB$172</f>
        <v>67</v>
      </c>
      <c r="AW172">
        <f>$H$172*$AC$172</f>
        <v>67</v>
      </c>
      <c r="AX172">
        <f>$H$172*$AD$172</f>
        <v>67</v>
      </c>
      <c r="AY172">
        <f>$H$172*$AE$172</f>
        <v>67</v>
      </c>
      <c r="AZ172">
        <f>$H$172*$AF$172</f>
        <v>67</v>
      </c>
    </row>
    <row r="173" spans="1:52" x14ac:dyDescent="0.25">
      <c r="A173">
        <v>216</v>
      </c>
      <c r="B173" t="s">
        <v>266</v>
      </c>
      <c r="C173" t="s">
        <v>443</v>
      </c>
      <c r="D173">
        <v>1</v>
      </c>
      <c r="E173">
        <v>519.16999999999996</v>
      </c>
      <c r="F173" t="s">
        <v>317</v>
      </c>
      <c r="G173">
        <v>519.16999999999996</v>
      </c>
      <c r="H173">
        <v>623.01</v>
      </c>
      <c r="I173" t="s">
        <v>336</v>
      </c>
      <c r="J173" t="s">
        <v>444</v>
      </c>
      <c r="K173" t="s">
        <v>600</v>
      </c>
      <c r="L173" t="s">
        <v>178</v>
      </c>
      <c r="M173" t="s">
        <v>266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266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623.01</v>
      </c>
      <c r="AT173">
        <f>$H$173*$Z$173</f>
        <v>623.01</v>
      </c>
      <c r="AU173">
        <f>$H$173*$AA$173</f>
        <v>623.01</v>
      </c>
      <c r="AV173">
        <f>$H$173*$AB$173</f>
        <v>623.01</v>
      </c>
      <c r="AW173">
        <f>$H$173*$AC$173</f>
        <v>623.01</v>
      </c>
      <c r="AX173">
        <f>$H$173*$AD$173</f>
        <v>623.01</v>
      </c>
      <c r="AY173">
        <f>$H$173*$AE$173</f>
        <v>623.01</v>
      </c>
      <c r="AZ173">
        <f>$H$173*$AF$173</f>
        <v>623.01</v>
      </c>
    </row>
    <row r="174" spans="1:52" x14ac:dyDescent="0.25">
      <c r="A174">
        <v>217</v>
      </c>
      <c r="B174" t="s">
        <v>266</v>
      </c>
      <c r="C174" t="s">
        <v>445</v>
      </c>
      <c r="D174">
        <v>1</v>
      </c>
      <c r="E174">
        <v>920.28</v>
      </c>
      <c r="F174" t="s">
        <v>317</v>
      </c>
      <c r="G174">
        <v>920.28</v>
      </c>
      <c r="H174">
        <v>1104.3399999999999</v>
      </c>
      <c r="I174" t="s">
        <v>336</v>
      </c>
      <c r="J174" t="s">
        <v>430</v>
      </c>
      <c r="K174" t="s">
        <v>601</v>
      </c>
      <c r="L174" t="s">
        <v>178</v>
      </c>
      <c r="M174" t="s">
        <v>266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266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1104.3399999999999</v>
      </c>
      <c r="AT174">
        <f>$H$174*$Z$174</f>
        <v>1104.3399999999999</v>
      </c>
      <c r="AU174">
        <f>$H$174*$AA$174</f>
        <v>1104.3399999999999</v>
      </c>
      <c r="AV174">
        <f>$H$174*$AB$174</f>
        <v>1104.3399999999999</v>
      </c>
      <c r="AW174">
        <f>$H$174*$AC$174</f>
        <v>1104.3399999999999</v>
      </c>
      <c r="AX174">
        <f>$H$174*$AD$174</f>
        <v>1104.3399999999999</v>
      </c>
      <c r="AY174">
        <f>$H$174*$AE$174</f>
        <v>1104.3399999999999</v>
      </c>
      <c r="AZ174">
        <f>$H$174*$AF$174</f>
        <v>1104.3399999999999</v>
      </c>
    </row>
    <row r="175" spans="1:52" x14ac:dyDescent="0.25">
      <c r="A175">
        <v>218</v>
      </c>
      <c r="B175" t="s">
        <v>266</v>
      </c>
      <c r="C175" t="s">
        <v>446</v>
      </c>
      <c r="D175">
        <v>1</v>
      </c>
      <c r="E175">
        <v>34.520000000000003</v>
      </c>
      <c r="F175" t="s">
        <v>317</v>
      </c>
      <c r="G175">
        <v>34.520000000000003</v>
      </c>
      <c r="H175">
        <v>41.42</v>
      </c>
      <c r="I175" t="s">
        <v>351</v>
      </c>
      <c r="J175" t="s">
        <v>447</v>
      </c>
      <c r="K175" t="s">
        <v>602</v>
      </c>
      <c r="L175" t="s">
        <v>178</v>
      </c>
      <c r="M175" t="s">
        <v>266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266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41.42</v>
      </c>
      <c r="AV175">
        <f>$H$175*$AB$175</f>
        <v>41.42</v>
      </c>
      <c r="AW175">
        <f>$H$175*$AC$175</f>
        <v>41.42</v>
      </c>
      <c r="AX175">
        <f>$H$175*$AD$175</f>
        <v>41.42</v>
      </c>
      <c r="AY175">
        <f>$H$175*$AE$175</f>
        <v>41.42</v>
      </c>
      <c r="AZ175">
        <f>$H$175*$AF$175</f>
        <v>41.42</v>
      </c>
    </row>
    <row r="176" spans="1:52" x14ac:dyDescent="0.25">
      <c r="A176">
        <v>219</v>
      </c>
      <c r="B176" t="s">
        <v>266</v>
      </c>
      <c r="C176" t="s">
        <v>448</v>
      </c>
      <c r="D176">
        <v>1</v>
      </c>
      <c r="E176">
        <v>327.22000000000003</v>
      </c>
      <c r="F176" t="s">
        <v>317</v>
      </c>
      <c r="G176">
        <v>327.22000000000003</v>
      </c>
      <c r="H176">
        <v>392.66</v>
      </c>
      <c r="I176" t="s">
        <v>336</v>
      </c>
      <c r="J176" t="s">
        <v>449</v>
      </c>
      <c r="K176" t="s">
        <v>603</v>
      </c>
      <c r="L176" t="s">
        <v>178</v>
      </c>
      <c r="M176" t="s">
        <v>266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266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392.66</v>
      </c>
      <c r="AV176">
        <f>$H$176*$AB$176</f>
        <v>392.66</v>
      </c>
      <c r="AW176">
        <f>$H$176*$AC$176</f>
        <v>392.66</v>
      </c>
      <c r="AX176">
        <f>$H$176*$AD$176</f>
        <v>392.66</v>
      </c>
      <c r="AY176">
        <f>$H$176*$AE$176</f>
        <v>392.66</v>
      </c>
      <c r="AZ176">
        <f>$H$176*$AF$176</f>
        <v>392.66</v>
      </c>
    </row>
    <row r="177" spans="1:52" x14ac:dyDescent="0.25">
      <c r="A177">
        <v>220</v>
      </c>
      <c r="B177" t="s">
        <v>266</v>
      </c>
      <c r="C177" t="s">
        <v>450</v>
      </c>
      <c r="D177">
        <v>10</v>
      </c>
      <c r="E177">
        <v>65.7</v>
      </c>
      <c r="F177" t="s">
        <v>311</v>
      </c>
      <c r="G177">
        <v>6.57</v>
      </c>
      <c r="H177">
        <v>78.84</v>
      </c>
      <c r="I177" t="s">
        <v>325</v>
      </c>
      <c r="J177" t="s">
        <v>451</v>
      </c>
      <c r="K177" t="s">
        <v>604</v>
      </c>
      <c r="L177" t="s">
        <v>178</v>
      </c>
      <c r="M177" t="s">
        <v>266</v>
      </c>
      <c r="N177" t="s">
        <v>11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1</v>
      </c>
      <c r="AF177">
        <v>1</v>
      </c>
      <c r="AG177" t="s">
        <v>266</v>
      </c>
      <c r="AH177" t="s">
        <v>11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0</v>
      </c>
      <c r="AV177">
        <f>$H$177*$AB$177</f>
        <v>0</v>
      </c>
      <c r="AW177">
        <f>$H$177*$AC$177</f>
        <v>0</v>
      </c>
      <c r="AX177">
        <f>$H$177*$AD$177</f>
        <v>78.84</v>
      </c>
      <c r="AY177">
        <f>$H$177*$AE$177</f>
        <v>78.84</v>
      </c>
      <c r="AZ177">
        <f>$H$177*$AF$177</f>
        <v>78.84</v>
      </c>
    </row>
    <row r="178" spans="1:52" x14ac:dyDescent="0.25">
      <c r="A178">
        <v>221</v>
      </c>
      <c r="B178" t="s">
        <v>266</v>
      </c>
      <c r="C178" t="s">
        <v>452</v>
      </c>
      <c r="D178">
        <v>1</v>
      </c>
      <c r="E178">
        <v>120.98</v>
      </c>
      <c r="F178" t="s">
        <v>317</v>
      </c>
      <c r="G178">
        <v>120.98</v>
      </c>
      <c r="H178">
        <v>145.18</v>
      </c>
      <c r="I178" t="s">
        <v>325</v>
      </c>
      <c r="J178" t="s">
        <v>453</v>
      </c>
      <c r="K178" t="s">
        <v>605</v>
      </c>
      <c r="L178" t="s">
        <v>178</v>
      </c>
      <c r="M178" t="s">
        <v>266</v>
      </c>
      <c r="N178" t="s">
        <v>11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266</v>
      </c>
      <c r="AH178" t="s">
        <v>11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145.18</v>
      </c>
      <c r="AY178">
        <f>$H$178*$AE$178</f>
        <v>145.18</v>
      </c>
      <c r="AZ178">
        <f>$H$178*$AF$178</f>
        <v>145.18</v>
      </c>
    </row>
    <row r="179" spans="1:52" x14ac:dyDescent="0.25">
      <c r="A179">
        <v>222</v>
      </c>
      <c r="B179" t="s">
        <v>266</v>
      </c>
      <c r="C179" t="s">
        <v>454</v>
      </c>
      <c r="D179">
        <v>1</v>
      </c>
      <c r="E179">
        <v>103.99</v>
      </c>
      <c r="F179" t="s">
        <v>317</v>
      </c>
      <c r="G179">
        <v>103.99</v>
      </c>
      <c r="H179">
        <v>124.79</v>
      </c>
      <c r="I179" t="s">
        <v>322</v>
      </c>
      <c r="J179" t="s">
        <v>455</v>
      </c>
      <c r="K179" t="s">
        <v>606</v>
      </c>
      <c r="L179" t="s">
        <v>178</v>
      </c>
      <c r="M179" t="s">
        <v>266</v>
      </c>
      <c r="N179" t="s">
        <v>11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1</v>
      </c>
      <c r="AF179">
        <v>1</v>
      </c>
      <c r="AG179" t="s">
        <v>266</v>
      </c>
      <c r="AH179" t="s">
        <v>11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0</v>
      </c>
      <c r="AV179">
        <f>$H$179*$AB$179</f>
        <v>0</v>
      </c>
      <c r="AW179">
        <f>$H$179*$AC$179</f>
        <v>0</v>
      </c>
      <c r="AX179">
        <f>$H$179*$AD$179</f>
        <v>124.79</v>
      </c>
      <c r="AY179">
        <f>$H$179*$AE$179</f>
        <v>124.79</v>
      </c>
      <c r="AZ179">
        <f>$H$179*$AF$179</f>
        <v>124.79</v>
      </c>
    </row>
    <row r="180" spans="1:52" x14ac:dyDescent="0.25">
      <c r="A180">
        <v>223</v>
      </c>
      <c r="B180" t="s">
        <v>266</v>
      </c>
      <c r="C180" t="s">
        <v>350</v>
      </c>
      <c r="D180">
        <v>1</v>
      </c>
      <c r="E180">
        <v>47.96</v>
      </c>
      <c r="F180" t="s">
        <v>317</v>
      </c>
      <c r="G180">
        <v>47.96</v>
      </c>
      <c r="H180">
        <v>57.56</v>
      </c>
      <c r="I180" t="s">
        <v>351</v>
      </c>
      <c r="J180" t="s">
        <v>352</v>
      </c>
      <c r="K180" t="s">
        <v>554</v>
      </c>
      <c r="L180" t="s">
        <v>178</v>
      </c>
      <c r="M180" t="s">
        <v>266</v>
      </c>
      <c r="N180" t="s">
        <v>11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266</v>
      </c>
      <c r="AH180" t="s">
        <v>11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57.56</v>
      </c>
      <c r="AV180">
        <f>$H$180*$AB$180</f>
        <v>57.56</v>
      </c>
      <c r="AW180">
        <f>$H$180*$AC$180</f>
        <v>57.56</v>
      </c>
      <c r="AX180">
        <f>$H$180*$AD$180</f>
        <v>57.56</v>
      </c>
      <c r="AY180">
        <f>$H$180*$AE$180</f>
        <v>57.56</v>
      </c>
      <c r="AZ180">
        <f>$H$180*$AF$180</f>
        <v>57.56</v>
      </c>
    </row>
    <row r="181" spans="1:52" x14ac:dyDescent="0.25">
      <c r="A181">
        <v>224</v>
      </c>
      <c r="B181" t="s">
        <v>266</v>
      </c>
      <c r="C181" t="s">
        <v>358</v>
      </c>
      <c r="D181">
        <v>2</v>
      </c>
      <c r="E181">
        <v>77.86</v>
      </c>
      <c r="F181" t="s">
        <v>317</v>
      </c>
      <c r="G181">
        <v>38.93</v>
      </c>
      <c r="H181">
        <v>93.44</v>
      </c>
      <c r="I181" t="s">
        <v>312</v>
      </c>
      <c r="J181" t="s">
        <v>354</v>
      </c>
      <c r="K181" t="s">
        <v>557</v>
      </c>
      <c r="L181" t="s">
        <v>178</v>
      </c>
      <c r="M181" t="s">
        <v>266</v>
      </c>
      <c r="N181" t="s">
        <v>11</v>
      </c>
      <c r="O181" t="s">
        <v>13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266</v>
      </c>
      <c r="AH181" t="s">
        <v>11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93.44</v>
      </c>
      <c r="AN181">
        <f>$H$181*$T$181</f>
        <v>93.44</v>
      </c>
      <c r="AO181">
        <f>$H$181*$U$181</f>
        <v>93.44</v>
      </c>
      <c r="AP181">
        <f>$H$181*$V$181</f>
        <v>93.44</v>
      </c>
      <c r="AQ181">
        <f>$H$181*$W$181</f>
        <v>93.44</v>
      </c>
      <c r="AR181">
        <f>$H$181*$X$181</f>
        <v>93.44</v>
      </c>
      <c r="AS181">
        <f>$H$181*$Y$181</f>
        <v>93.44</v>
      </c>
      <c r="AT181">
        <f>$H$181*$Z$181</f>
        <v>93.44</v>
      </c>
      <c r="AU181">
        <f>$H$181*$AA$181</f>
        <v>93.44</v>
      </c>
      <c r="AV181">
        <f>$H$181*$AB$181</f>
        <v>93.44</v>
      </c>
      <c r="AW181">
        <f>$H$181*$AC$181</f>
        <v>93.44</v>
      </c>
      <c r="AX181">
        <f>$H$181*$AD$181</f>
        <v>93.44</v>
      </c>
      <c r="AY181">
        <f>$H$181*$AE$181</f>
        <v>93.44</v>
      </c>
      <c r="AZ181">
        <f>$H$181*$AF$181</f>
        <v>93.44</v>
      </c>
    </row>
    <row r="182" spans="1:52" x14ac:dyDescent="0.25">
      <c r="A182">
        <v>225</v>
      </c>
      <c r="B182" t="s">
        <v>266</v>
      </c>
      <c r="C182" t="s">
        <v>356</v>
      </c>
      <c r="D182">
        <v>2</v>
      </c>
      <c r="E182">
        <v>62.72</v>
      </c>
      <c r="F182" t="s">
        <v>317</v>
      </c>
      <c r="G182">
        <v>31.36</v>
      </c>
      <c r="H182">
        <v>75.260000000000005</v>
      </c>
      <c r="I182" t="s">
        <v>312</v>
      </c>
      <c r="J182" t="s">
        <v>357</v>
      </c>
      <c r="K182" t="s">
        <v>556</v>
      </c>
      <c r="L182" t="s">
        <v>178</v>
      </c>
      <c r="M182" t="s">
        <v>266</v>
      </c>
      <c r="N182" t="s">
        <v>11</v>
      </c>
      <c r="O182" t="s">
        <v>13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266</v>
      </c>
      <c r="AH182" t="s">
        <v>11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75.260000000000005</v>
      </c>
      <c r="AN182">
        <f>$H$182*$T$182</f>
        <v>75.260000000000005</v>
      </c>
      <c r="AO182">
        <f>$H$182*$U$182</f>
        <v>75.260000000000005</v>
      </c>
      <c r="AP182">
        <f>$H$182*$V$182</f>
        <v>75.260000000000005</v>
      </c>
      <c r="AQ182">
        <f>$H$182*$W$182</f>
        <v>75.260000000000005</v>
      </c>
      <c r="AR182">
        <f>$H$182*$X$182</f>
        <v>75.260000000000005</v>
      </c>
      <c r="AS182">
        <f>$H$182*$Y$182</f>
        <v>75.260000000000005</v>
      </c>
      <c r="AT182">
        <f>$H$182*$Z$182</f>
        <v>75.260000000000005</v>
      </c>
      <c r="AU182">
        <f>$H$182*$AA$182</f>
        <v>75.260000000000005</v>
      </c>
      <c r="AV182">
        <f>$H$182*$AB$182</f>
        <v>75.260000000000005</v>
      </c>
      <c r="AW182">
        <f>$H$182*$AC$182</f>
        <v>75.260000000000005</v>
      </c>
      <c r="AX182">
        <f>$H$182*$AD$182</f>
        <v>75.260000000000005</v>
      </c>
      <c r="AY182">
        <f>$H$182*$AE$182</f>
        <v>75.260000000000005</v>
      </c>
      <c r="AZ182">
        <f>$H$182*$AF$182</f>
        <v>75.260000000000005</v>
      </c>
    </row>
    <row r="183" spans="1:52" x14ac:dyDescent="0.25">
      <c r="A183">
        <v>226</v>
      </c>
      <c r="B183" t="s">
        <v>266</v>
      </c>
      <c r="C183" t="s">
        <v>353</v>
      </c>
      <c r="D183">
        <v>1</v>
      </c>
      <c r="E183">
        <v>365.09</v>
      </c>
      <c r="F183" t="s">
        <v>317</v>
      </c>
      <c r="G183">
        <v>365.09</v>
      </c>
      <c r="H183">
        <v>438.11</v>
      </c>
      <c r="I183" t="s">
        <v>354</v>
      </c>
      <c r="J183" t="s">
        <v>355</v>
      </c>
      <c r="K183" t="s">
        <v>555</v>
      </c>
      <c r="L183" t="s">
        <v>178</v>
      </c>
      <c r="M183" t="s">
        <v>266</v>
      </c>
      <c r="N183" t="s">
        <v>11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266</v>
      </c>
      <c r="AH183" t="s">
        <v>11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438.11</v>
      </c>
      <c r="AO183">
        <f>$H$183*$U$183</f>
        <v>438.11</v>
      </c>
      <c r="AP183">
        <f>$H$183*$V$183</f>
        <v>438.11</v>
      </c>
      <c r="AQ183">
        <f>$H$183*$W$183</f>
        <v>438.11</v>
      </c>
      <c r="AR183">
        <f>$H$183*$X$183</f>
        <v>438.11</v>
      </c>
      <c r="AS183">
        <f>$H$183*$Y$183</f>
        <v>438.11</v>
      </c>
      <c r="AT183">
        <f>$H$183*$Z$183</f>
        <v>438.11</v>
      </c>
      <c r="AU183">
        <f>$H$183*$AA$183</f>
        <v>438.11</v>
      </c>
      <c r="AV183">
        <f>$H$183*$AB$183</f>
        <v>438.11</v>
      </c>
      <c r="AW183">
        <f>$H$183*$AC$183</f>
        <v>438.11</v>
      </c>
      <c r="AX183">
        <f>$H$183*$AD$183</f>
        <v>438.11</v>
      </c>
      <c r="AY183">
        <f>$H$183*$AE$183</f>
        <v>438.11</v>
      </c>
      <c r="AZ183">
        <f>$H$183*$AF$183</f>
        <v>438.11</v>
      </c>
    </row>
    <row r="184" spans="1:52" x14ac:dyDescent="0.25">
      <c r="A184">
        <v>227</v>
      </c>
      <c r="B184" t="s">
        <v>266</v>
      </c>
      <c r="C184" t="s">
        <v>456</v>
      </c>
      <c r="D184">
        <v>1</v>
      </c>
      <c r="E184">
        <v>37</v>
      </c>
      <c r="F184" t="s">
        <v>317</v>
      </c>
      <c r="G184">
        <v>37</v>
      </c>
      <c r="H184">
        <v>44.4</v>
      </c>
      <c r="I184" t="s">
        <v>319</v>
      </c>
      <c r="J184" t="s">
        <v>457</v>
      </c>
      <c r="K184" t="s">
        <v>607</v>
      </c>
      <c r="L184" t="s">
        <v>178</v>
      </c>
      <c r="M184" t="s">
        <v>266</v>
      </c>
      <c r="N184" t="s">
        <v>11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0.6</v>
      </c>
      <c r="Y184">
        <v>0.6</v>
      </c>
      <c r="Z184">
        <v>0.6</v>
      </c>
      <c r="AA184">
        <v>0.6</v>
      </c>
      <c r="AB184">
        <v>0.6</v>
      </c>
      <c r="AC184">
        <v>0.6</v>
      </c>
      <c r="AD184">
        <v>1</v>
      </c>
      <c r="AE184">
        <v>1</v>
      </c>
      <c r="AF184">
        <v>1</v>
      </c>
      <c r="AG184" t="s">
        <v>266</v>
      </c>
      <c r="AH184" t="s">
        <v>11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26.639999999999997</v>
      </c>
      <c r="AS184">
        <f>$H$184*$Y$184</f>
        <v>26.639999999999997</v>
      </c>
      <c r="AT184">
        <f>$H$184*$Z$184</f>
        <v>26.639999999999997</v>
      </c>
      <c r="AU184">
        <f>$H$184*$AA$184</f>
        <v>26.639999999999997</v>
      </c>
      <c r="AV184">
        <f>$H$184*$AB$184</f>
        <v>26.639999999999997</v>
      </c>
      <c r="AW184">
        <f>$H$184*$AC$184</f>
        <v>26.639999999999997</v>
      </c>
      <c r="AX184">
        <f>$H$184*$AD$184</f>
        <v>44.4</v>
      </c>
      <c r="AY184">
        <f>$H$184*$AE$184</f>
        <v>44.4</v>
      </c>
      <c r="AZ184">
        <f>$H$184*$AF$184</f>
        <v>44.4</v>
      </c>
    </row>
    <row r="185" spans="1:52" x14ac:dyDescent="0.25">
      <c r="A185">
        <v>228</v>
      </c>
      <c r="B185" t="s">
        <v>266</v>
      </c>
      <c r="C185" t="s">
        <v>458</v>
      </c>
      <c r="D185">
        <v>3</v>
      </c>
      <c r="E185">
        <v>693.9</v>
      </c>
      <c r="F185" t="s">
        <v>311</v>
      </c>
      <c r="G185">
        <v>231.3</v>
      </c>
      <c r="H185">
        <v>832.68</v>
      </c>
      <c r="I185" t="s">
        <v>459</v>
      </c>
      <c r="J185" t="s">
        <v>460</v>
      </c>
      <c r="K185" t="s">
        <v>608</v>
      </c>
      <c r="L185" t="s">
        <v>178</v>
      </c>
      <c r="M185" t="s">
        <v>266</v>
      </c>
      <c r="N185" t="s">
        <v>11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266</v>
      </c>
      <c r="AH185" t="s">
        <v>11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832.68</v>
      </c>
      <c r="AO185">
        <f>$H$185*$U$185</f>
        <v>832.68</v>
      </c>
      <c r="AP185">
        <f>$H$185*$V$185</f>
        <v>832.68</v>
      </c>
      <c r="AQ185">
        <f>$H$185*$W$185</f>
        <v>832.68</v>
      </c>
      <c r="AR185">
        <f>$H$185*$X$185</f>
        <v>832.68</v>
      </c>
      <c r="AS185">
        <f>$H$185*$Y$185</f>
        <v>832.68</v>
      </c>
      <c r="AT185">
        <f>$H$185*$Z$185</f>
        <v>832.68</v>
      </c>
      <c r="AU185">
        <f>$H$185*$AA$185</f>
        <v>832.68</v>
      </c>
      <c r="AV185">
        <f>$H$185*$AB$185</f>
        <v>832.68</v>
      </c>
      <c r="AW185">
        <f>$H$185*$AC$185</f>
        <v>832.68</v>
      </c>
      <c r="AX185">
        <f>$H$185*$AD$185</f>
        <v>832.68</v>
      </c>
      <c r="AY185">
        <f>$H$185*$AE$185</f>
        <v>832.68</v>
      </c>
      <c r="AZ185">
        <f>$H$185*$AF$185</f>
        <v>832.68</v>
      </c>
    </row>
    <row r="186" spans="1:52" x14ac:dyDescent="0.25">
      <c r="A186">
        <v>229</v>
      </c>
      <c r="B186" t="s">
        <v>266</v>
      </c>
      <c r="C186" t="s">
        <v>461</v>
      </c>
      <c r="D186">
        <v>3</v>
      </c>
      <c r="E186">
        <v>28.92</v>
      </c>
      <c r="F186" t="s">
        <v>311</v>
      </c>
      <c r="G186">
        <v>9.64</v>
      </c>
      <c r="H186">
        <v>34.700000000000003</v>
      </c>
      <c r="I186" t="s">
        <v>459</v>
      </c>
      <c r="J186" t="s">
        <v>462</v>
      </c>
      <c r="K186" t="s">
        <v>609</v>
      </c>
      <c r="L186" t="s">
        <v>178</v>
      </c>
      <c r="M186" t="s">
        <v>266</v>
      </c>
      <c r="N186" t="s">
        <v>11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266</v>
      </c>
      <c r="AH186" t="s">
        <v>11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34.700000000000003</v>
      </c>
      <c r="AU186">
        <f>$H$186*$AA$186</f>
        <v>34.700000000000003</v>
      </c>
      <c r="AV186">
        <f>$H$186*$AB$186</f>
        <v>34.700000000000003</v>
      </c>
      <c r="AW186">
        <f>$H$186*$AC$186</f>
        <v>34.700000000000003</v>
      </c>
      <c r="AX186">
        <f>$H$186*$AD$186</f>
        <v>34.700000000000003</v>
      </c>
      <c r="AY186">
        <f>$H$186*$AE$186</f>
        <v>34.700000000000003</v>
      </c>
      <c r="AZ186">
        <f>$H$186*$AF$186</f>
        <v>34.700000000000003</v>
      </c>
    </row>
    <row r="187" spans="1:52" x14ac:dyDescent="0.25">
      <c r="A187">
        <v>230</v>
      </c>
      <c r="B187" t="s">
        <v>266</v>
      </c>
      <c r="C187" t="s">
        <v>463</v>
      </c>
      <c r="D187">
        <v>3</v>
      </c>
      <c r="E187">
        <v>143.07</v>
      </c>
      <c r="F187" t="s">
        <v>311</v>
      </c>
      <c r="G187">
        <v>47.69</v>
      </c>
      <c r="H187">
        <v>171.69</v>
      </c>
      <c r="I187" t="s">
        <v>459</v>
      </c>
      <c r="J187" t="s">
        <v>464</v>
      </c>
      <c r="K187" t="s">
        <v>610</v>
      </c>
      <c r="L187" t="s">
        <v>178</v>
      </c>
      <c r="M187" t="s">
        <v>266</v>
      </c>
      <c r="N187" t="s">
        <v>11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266</v>
      </c>
      <c r="AH187" t="s">
        <v>11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171.69</v>
      </c>
      <c r="AU187">
        <f>$H$187*$AA$187</f>
        <v>171.69</v>
      </c>
      <c r="AV187">
        <f>$H$187*$AB$187</f>
        <v>171.69</v>
      </c>
      <c r="AW187">
        <f>$H$187*$AC$187</f>
        <v>171.69</v>
      </c>
      <c r="AX187">
        <f>$H$187*$AD$187</f>
        <v>171.69</v>
      </c>
      <c r="AY187">
        <f>$H$187*$AE$187</f>
        <v>171.69</v>
      </c>
      <c r="AZ187">
        <f>$H$187*$AF$187</f>
        <v>171.69</v>
      </c>
    </row>
    <row r="188" spans="1:52" x14ac:dyDescent="0.25">
      <c r="A188">
        <v>231</v>
      </c>
      <c r="B188" t="s">
        <v>266</v>
      </c>
      <c r="C188" t="s">
        <v>465</v>
      </c>
      <c r="D188">
        <v>1</v>
      </c>
      <c r="E188">
        <v>226.94</v>
      </c>
      <c r="F188" t="s">
        <v>317</v>
      </c>
      <c r="G188">
        <v>226.94</v>
      </c>
      <c r="H188">
        <v>272.32</v>
      </c>
      <c r="I188" t="s">
        <v>336</v>
      </c>
      <c r="J188" t="s">
        <v>466</v>
      </c>
      <c r="K188" t="s">
        <v>611</v>
      </c>
      <c r="L188" t="s">
        <v>178</v>
      </c>
      <c r="M188" t="s">
        <v>266</v>
      </c>
      <c r="N188" t="s">
        <v>11</v>
      </c>
      <c r="O188" t="s">
        <v>13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266</v>
      </c>
      <c r="AH188" t="s">
        <v>11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0</v>
      </c>
      <c r="AS188">
        <f>$H$188*$Y$188</f>
        <v>0</v>
      </c>
      <c r="AT188">
        <f>$H$188*$Z$188</f>
        <v>0</v>
      </c>
      <c r="AU188">
        <f>$H$188*$AA$188</f>
        <v>272.32</v>
      </c>
      <c r="AV188">
        <f>$H$188*$AB$188</f>
        <v>272.32</v>
      </c>
      <c r="AW188">
        <f>$H$188*$AC$188</f>
        <v>272.32</v>
      </c>
      <c r="AX188">
        <f>$H$188*$AD$188</f>
        <v>272.32</v>
      </c>
      <c r="AY188">
        <f>$H$188*$AE$188</f>
        <v>272.32</v>
      </c>
      <c r="AZ188">
        <f>$H$188*$AF$188</f>
        <v>272.32</v>
      </c>
    </row>
    <row r="189" spans="1:52" x14ac:dyDescent="0.25">
      <c r="A189">
        <v>232</v>
      </c>
      <c r="B189" t="s">
        <v>266</v>
      </c>
      <c r="C189" t="s">
        <v>439</v>
      </c>
      <c r="D189">
        <v>0.75</v>
      </c>
      <c r="E189">
        <v>432.23</v>
      </c>
      <c r="F189" t="s">
        <v>317</v>
      </c>
      <c r="G189">
        <v>576.30999999999995</v>
      </c>
      <c r="H189">
        <v>518.66999999999996</v>
      </c>
      <c r="I189" t="s">
        <v>336</v>
      </c>
      <c r="J189" t="s">
        <v>440</v>
      </c>
      <c r="K189" t="s">
        <v>598</v>
      </c>
      <c r="L189" t="s">
        <v>178</v>
      </c>
      <c r="M189" t="s">
        <v>266</v>
      </c>
      <c r="N189" t="s">
        <v>11</v>
      </c>
      <c r="O189" t="s">
        <v>13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266</v>
      </c>
      <c r="AH189" t="s">
        <v>11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518.66999999999996</v>
      </c>
      <c r="AV189">
        <f>$H$189*$AB$189</f>
        <v>518.66999999999996</v>
      </c>
      <c r="AW189">
        <f>$H$189*$AC$189</f>
        <v>518.66999999999996</v>
      </c>
      <c r="AX189">
        <f>$H$189*$AD$189</f>
        <v>518.66999999999996</v>
      </c>
      <c r="AY189">
        <f>$H$189*$AE$189</f>
        <v>518.66999999999996</v>
      </c>
      <c r="AZ189">
        <f>$H$189*$AF$189</f>
        <v>518.66999999999996</v>
      </c>
    </row>
    <row r="190" spans="1:52" x14ac:dyDescent="0.25">
      <c r="A190">
        <v>233</v>
      </c>
      <c r="B190" t="s">
        <v>266</v>
      </c>
      <c r="C190" t="s">
        <v>439</v>
      </c>
      <c r="D190">
        <v>0.25</v>
      </c>
      <c r="E190">
        <v>144.08000000000001</v>
      </c>
      <c r="F190" t="s">
        <v>317</v>
      </c>
      <c r="G190">
        <v>576.30999999999995</v>
      </c>
      <c r="H190">
        <v>172.9</v>
      </c>
      <c r="I190" t="s">
        <v>336</v>
      </c>
      <c r="J190" t="s">
        <v>440</v>
      </c>
      <c r="K190" t="s">
        <v>598</v>
      </c>
      <c r="L190" t="s">
        <v>178</v>
      </c>
      <c r="M190" t="s">
        <v>266</v>
      </c>
      <c r="N190" t="s">
        <v>11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266</v>
      </c>
      <c r="AH190" t="s">
        <v>11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172.9</v>
      </c>
      <c r="AV190">
        <f>$H$190*$AB$190</f>
        <v>172.9</v>
      </c>
      <c r="AW190">
        <f>$H$190*$AC$190</f>
        <v>172.9</v>
      </c>
      <c r="AX190">
        <f>$H$190*$AD$190</f>
        <v>172.9</v>
      </c>
      <c r="AY190">
        <f>$H$190*$AE$190</f>
        <v>172.9</v>
      </c>
      <c r="AZ190">
        <f>$H$190*$AF$190</f>
        <v>172.9</v>
      </c>
    </row>
    <row r="191" spans="1:52" x14ac:dyDescent="0.25">
      <c r="A191">
        <v>234</v>
      </c>
      <c r="B191" t="s">
        <v>266</v>
      </c>
      <c r="C191" t="s">
        <v>467</v>
      </c>
      <c r="D191">
        <v>1</v>
      </c>
      <c r="E191">
        <v>291.27999999999997</v>
      </c>
      <c r="F191" t="s">
        <v>317</v>
      </c>
      <c r="G191">
        <v>291.27999999999997</v>
      </c>
      <c r="H191">
        <v>349.54</v>
      </c>
      <c r="I191" t="s">
        <v>336</v>
      </c>
      <c r="J191" t="s">
        <v>468</v>
      </c>
      <c r="K191" t="s">
        <v>612</v>
      </c>
      <c r="L191" t="s">
        <v>178</v>
      </c>
      <c r="M191" t="s">
        <v>266</v>
      </c>
      <c r="N191" t="s">
        <v>11</v>
      </c>
      <c r="O191" t="s">
        <v>13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266</v>
      </c>
      <c r="AH191" t="s">
        <v>11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349.54</v>
      </c>
      <c r="AV191">
        <f>$H$191*$AB$191</f>
        <v>349.54</v>
      </c>
      <c r="AW191">
        <f>$H$191*$AC$191</f>
        <v>349.54</v>
      </c>
      <c r="AX191">
        <f>$H$191*$AD$191</f>
        <v>349.54</v>
      </c>
      <c r="AY191">
        <f>$H$191*$AE$191</f>
        <v>349.54</v>
      </c>
      <c r="AZ191">
        <f>$H$191*$AF$191</f>
        <v>349.54</v>
      </c>
    </row>
    <row r="192" spans="1:52" x14ac:dyDescent="0.25">
      <c r="A192">
        <v>235</v>
      </c>
      <c r="B192" t="s">
        <v>266</v>
      </c>
      <c r="C192" t="s">
        <v>345</v>
      </c>
      <c r="D192">
        <v>205.33</v>
      </c>
      <c r="E192">
        <v>201.22</v>
      </c>
      <c r="F192" t="s">
        <v>335</v>
      </c>
      <c r="G192">
        <v>0.98</v>
      </c>
      <c r="H192">
        <v>241.46</v>
      </c>
      <c r="I192" t="s">
        <v>312</v>
      </c>
      <c r="J192" t="s">
        <v>346</v>
      </c>
      <c r="K192" t="s">
        <v>552</v>
      </c>
      <c r="L192" t="s">
        <v>178</v>
      </c>
      <c r="M192" t="s">
        <v>266</v>
      </c>
      <c r="N192" t="s">
        <v>11</v>
      </c>
      <c r="O192" t="s">
        <v>13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266</v>
      </c>
      <c r="AH192" t="s">
        <v>11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241.46</v>
      </c>
      <c r="AO192">
        <f>$H$192*$U$192</f>
        <v>241.46</v>
      </c>
      <c r="AP192">
        <f>$H$192*$V$192</f>
        <v>241.46</v>
      </c>
      <c r="AQ192">
        <f>$H$192*$W$192</f>
        <v>241.46</v>
      </c>
      <c r="AR192">
        <f>$H$192*$X$192</f>
        <v>241.46</v>
      </c>
      <c r="AS192">
        <f>$H$192*$Y$192</f>
        <v>241.46</v>
      </c>
      <c r="AT192">
        <f>$H$192*$Z$192</f>
        <v>241.46</v>
      </c>
      <c r="AU192">
        <f>$H$192*$AA$192</f>
        <v>241.46</v>
      </c>
      <c r="AV192">
        <f>$H$192*$AB$192</f>
        <v>241.46</v>
      </c>
      <c r="AW192">
        <f>$H$192*$AC$192</f>
        <v>241.46</v>
      </c>
      <c r="AX192">
        <f>$H$192*$AD$192</f>
        <v>241.46</v>
      </c>
      <c r="AY192">
        <f>$H$192*$AE$192</f>
        <v>241.46</v>
      </c>
      <c r="AZ192">
        <f>$H$192*$AF$192</f>
        <v>241.46</v>
      </c>
    </row>
    <row r="193" spans="1:52" x14ac:dyDescent="0.25">
      <c r="A193">
        <v>236</v>
      </c>
      <c r="B193" t="s">
        <v>266</v>
      </c>
      <c r="C193" t="s">
        <v>400</v>
      </c>
      <c r="D193">
        <v>205.33</v>
      </c>
      <c r="E193">
        <v>689.91</v>
      </c>
      <c r="F193" t="s">
        <v>335</v>
      </c>
      <c r="G193">
        <v>3.36</v>
      </c>
      <c r="H193">
        <v>827.89</v>
      </c>
      <c r="I193" t="s">
        <v>348</v>
      </c>
      <c r="J193" t="s">
        <v>401</v>
      </c>
      <c r="K193" t="s">
        <v>579</v>
      </c>
      <c r="L193" t="s">
        <v>178</v>
      </c>
      <c r="M193" t="s">
        <v>266</v>
      </c>
      <c r="N193" t="s">
        <v>11</v>
      </c>
      <c r="O193" t="s">
        <v>13</v>
      </c>
      <c r="P193">
        <v>0</v>
      </c>
      <c r="Q193">
        <v>0</v>
      </c>
      <c r="R193">
        <v>0</v>
      </c>
      <c r="S193">
        <v>0.25</v>
      </c>
      <c r="T193">
        <v>0.25</v>
      </c>
      <c r="U193">
        <v>0.25</v>
      </c>
      <c r="V193">
        <v>0.25</v>
      </c>
      <c r="W193">
        <v>0.5</v>
      </c>
      <c r="X193">
        <v>0.5</v>
      </c>
      <c r="Y193">
        <v>0.5</v>
      </c>
      <c r="Z193">
        <v>0.5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266</v>
      </c>
      <c r="AH193" t="s">
        <v>11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206.9725</v>
      </c>
      <c r="AN193">
        <f>$H$193*$T$193</f>
        <v>206.9725</v>
      </c>
      <c r="AO193">
        <f>$H$193*$U$193</f>
        <v>206.9725</v>
      </c>
      <c r="AP193">
        <f>$H$193*$V$193</f>
        <v>206.9725</v>
      </c>
      <c r="AQ193">
        <f>$H$193*$W$193</f>
        <v>413.94499999999999</v>
      </c>
      <c r="AR193">
        <f>$H$193*$X$193</f>
        <v>413.94499999999999</v>
      </c>
      <c r="AS193">
        <f>$H$193*$Y$193</f>
        <v>413.94499999999999</v>
      </c>
      <c r="AT193">
        <f>$H$193*$Z$193</f>
        <v>413.94499999999999</v>
      </c>
      <c r="AU193">
        <f>$H$193*$AA$193</f>
        <v>827.89</v>
      </c>
      <c r="AV193">
        <f>$H$193*$AB$193</f>
        <v>827.89</v>
      </c>
      <c r="AW193">
        <f>$H$193*$AC$193</f>
        <v>827.89</v>
      </c>
      <c r="AX193">
        <f>$H$193*$AD$193</f>
        <v>827.89</v>
      </c>
      <c r="AY193">
        <f>$H$193*$AE$193</f>
        <v>827.89</v>
      </c>
      <c r="AZ193">
        <f>$H$193*$AF$193</f>
        <v>827.89</v>
      </c>
    </row>
    <row r="194" spans="1:52" x14ac:dyDescent="0.25">
      <c r="A194">
        <v>237</v>
      </c>
      <c r="B194" t="s">
        <v>266</v>
      </c>
      <c r="C194" t="s">
        <v>402</v>
      </c>
      <c r="D194">
        <v>25.67</v>
      </c>
      <c r="E194">
        <v>38.76</v>
      </c>
      <c r="F194" t="s">
        <v>311</v>
      </c>
      <c r="G194">
        <v>1.51</v>
      </c>
      <c r="H194">
        <v>46.52</v>
      </c>
      <c r="I194" t="s">
        <v>312</v>
      </c>
      <c r="J194" t="s">
        <v>403</v>
      </c>
      <c r="K194" t="s">
        <v>580</v>
      </c>
      <c r="L194" t="s">
        <v>178</v>
      </c>
      <c r="M194" t="s">
        <v>266</v>
      </c>
      <c r="N194" t="s">
        <v>11</v>
      </c>
      <c r="O194" t="s">
        <v>13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266</v>
      </c>
      <c r="AH194" t="s">
        <v>11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46.52</v>
      </c>
      <c r="AN194">
        <f>$H$194*$T$194</f>
        <v>46.52</v>
      </c>
      <c r="AO194">
        <f>$H$194*$U$194</f>
        <v>46.52</v>
      </c>
      <c r="AP194">
        <f>$H$194*$V$194</f>
        <v>46.52</v>
      </c>
      <c r="AQ194">
        <f>$H$194*$W$194</f>
        <v>46.52</v>
      </c>
      <c r="AR194">
        <f>$H$194*$X$194</f>
        <v>46.52</v>
      </c>
      <c r="AS194">
        <f>$H$194*$Y$194</f>
        <v>46.52</v>
      </c>
      <c r="AT194">
        <f>$H$194*$Z$194</f>
        <v>46.52</v>
      </c>
      <c r="AU194">
        <f>$H$194*$AA$194</f>
        <v>46.52</v>
      </c>
      <c r="AV194">
        <f>$H$194*$AB$194</f>
        <v>46.52</v>
      </c>
      <c r="AW194">
        <f>$H$194*$AC$194</f>
        <v>46.52</v>
      </c>
      <c r="AX194">
        <f>$H$194*$AD$194</f>
        <v>46.52</v>
      </c>
      <c r="AY194">
        <f>$H$194*$AE$194</f>
        <v>46.52</v>
      </c>
      <c r="AZ194">
        <f>$H$194*$AF$194</f>
        <v>46.52</v>
      </c>
    </row>
    <row r="195" spans="1:52" x14ac:dyDescent="0.25">
      <c r="A195">
        <v>238</v>
      </c>
      <c r="B195" t="s">
        <v>266</v>
      </c>
      <c r="C195" t="s">
        <v>404</v>
      </c>
      <c r="D195">
        <v>25.67</v>
      </c>
      <c r="E195">
        <v>145.81</v>
      </c>
      <c r="F195" t="s">
        <v>311</v>
      </c>
      <c r="G195">
        <v>5.68</v>
      </c>
      <c r="H195">
        <v>174.97</v>
      </c>
      <c r="I195" t="s">
        <v>315</v>
      </c>
      <c r="J195" t="s">
        <v>405</v>
      </c>
      <c r="K195" t="s">
        <v>581</v>
      </c>
      <c r="L195" t="s">
        <v>178</v>
      </c>
      <c r="M195" t="s">
        <v>266</v>
      </c>
      <c r="N195" t="s">
        <v>11</v>
      </c>
      <c r="O195" t="s">
        <v>13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266</v>
      </c>
      <c r="AH195" t="s">
        <v>11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174.97</v>
      </c>
      <c r="AN195">
        <f>$H$195*$T$195</f>
        <v>174.97</v>
      </c>
      <c r="AO195">
        <f>$H$195*$U$195</f>
        <v>174.97</v>
      </c>
      <c r="AP195">
        <f>$H$195*$V$195</f>
        <v>174.97</v>
      </c>
      <c r="AQ195">
        <f>$H$195*$W$195</f>
        <v>174.97</v>
      </c>
      <c r="AR195">
        <f>$H$195*$X$195</f>
        <v>174.97</v>
      </c>
      <c r="AS195">
        <f>$H$195*$Y$195</f>
        <v>174.97</v>
      </c>
      <c r="AT195">
        <f>$H$195*$Z$195</f>
        <v>174.97</v>
      </c>
      <c r="AU195">
        <f>$H$195*$AA$195</f>
        <v>174.97</v>
      </c>
      <c r="AV195">
        <f>$H$195*$AB$195</f>
        <v>174.97</v>
      </c>
      <c r="AW195">
        <f>$H$195*$AC$195</f>
        <v>174.97</v>
      </c>
      <c r="AX195">
        <f>$H$195*$AD$195</f>
        <v>174.97</v>
      </c>
      <c r="AY195">
        <f>$H$195*$AE$195</f>
        <v>174.97</v>
      </c>
      <c r="AZ195">
        <f>$H$195*$AF$195</f>
        <v>174.97</v>
      </c>
    </row>
    <row r="196" spans="1:52" x14ac:dyDescent="0.25">
      <c r="A196">
        <v>239</v>
      </c>
      <c r="B196" t="s">
        <v>266</v>
      </c>
      <c r="C196" t="s">
        <v>400</v>
      </c>
      <c r="D196">
        <v>38.92</v>
      </c>
      <c r="E196">
        <v>130.77000000000001</v>
      </c>
      <c r="F196" t="s">
        <v>335</v>
      </c>
      <c r="G196">
        <v>3.36</v>
      </c>
      <c r="H196">
        <v>156.93</v>
      </c>
      <c r="I196" t="s">
        <v>348</v>
      </c>
      <c r="J196" t="s">
        <v>401</v>
      </c>
      <c r="K196" t="s">
        <v>579</v>
      </c>
      <c r="L196" t="s">
        <v>178</v>
      </c>
      <c r="M196" t="s">
        <v>266</v>
      </c>
      <c r="N196" t="s">
        <v>11</v>
      </c>
      <c r="O196" t="s">
        <v>13</v>
      </c>
      <c r="P196">
        <v>0</v>
      </c>
      <c r="Q196">
        <v>0</v>
      </c>
      <c r="R196">
        <v>0</v>
      </c>
      <c r="S196">
        <v>0.25</v>
      </c>
      <c r="T196">
        <v>0.25</v>
      </c>
      <c r="U196">
        <v>0.25</v>
      </c>
      <c r="V196">
        <v>0.25</v>
      </c>
      <c r="W196">
        <v>0.5</v>
      </c>
      <c r="X196">
        <v>0.5</v>
      </c>
      <c r="Y196">
        <v>0.5</v>
      </c>
      <c r="Z196">
        <v>0.5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266</v>
      </c>
      <c r="AH196" t="s">
        <v>11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39.232500000000002</v>
      </c>
      <c r="AN196">
        <f>$H$196*$T$196</f>
        <v>39.232500000000002</v>
      </c>
      <c r="AO196">
        <f>$H$196*$U$196</f>
        <v>39.232500000000002</v>
      </c>
      <c r="AP196">
        <f>$H$196*$V$196</f>
        <v>39.232500000000002</v>
      </c>
      <c r="AQ196">
        <f>$H$196*$W$196</f>
        <v>78.465000000000003</v>
      </c>
      <c r="AR196">
        <f>$H$196*$X$196</f>
        <v>78.465000000000003</v>
      </c>
      <c r="AS196">
        <f>$H$196*$Y$196</f>
        <v>78.465000000000003</v>
      </c>
      <c r="AT196">
        <f>$H$196*$Z$196</f>
        <v>78.465000000000003</v>
      </c>
      <c r="AU196">
        <f>$H$196*$AA$196</f>
        <v>156.93</v>
      </c>
      <c r="AV196">
        <f>$H$196*$AB$196</f>
        <v>156.93</v>
      </c>
      <c r="AW196">
        <f>$H$196*$AC$196</f>
        <v>156.93</v>
      </c>
      <c r="AX196">
        <f>$H$196*$AD$196</f>
        <v>156.93</v>
      </c>
      <c r="AY196">
        <f>$H$196*$AE$196</f>
        <v>156.93</v>
      </c>
      <c r="AZ196">
        <f>$H$196*$AF$196</f>
        <v>156.93</v>
      </c>
    </row>
    <row r="197" spans="1:52" x14ac:dyDescent="0.25">
      <c r="A197">
        <v>240</v>
      </c>
      <c r="B197" t="s">
        <v>266</v>
      </c>
      <c r="C197" t="s">
        <v>406</v>
      </c>
      <c r="D197">
        <v>38.92</v>
      </c>
      <c r="E197">
        <v>24.52</v>
      </c>
      <c r="F197" t="s">
        <v>335</v>
      </c>
      <c r="G197">
        <v>0.63</v>
      </c>
      <c r="H197">
        <v>29.42</v>
      </c>
      <c r="I197" t="s">
        <v>312</v>
      </c>
      <c r="J197" t="s">
        <v>407</v>
      </c>
      <c r="K197" t="s">
        <v>582</v>
      </c>
      <c r="L197" t="s">
        <v>178</v>
      </c>
      <c r="M197" t="s">
        <v>266</v>
      </c>
      <c r="N197" t="s">
        <v>11</v>
      </c>
      <c r="O197" t="s">
        <v>13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1</v>
      </c>
      <c r="AF197">
        <v>1</v>
      </c>
      <c r="AG197" t="s">
        <v>266</v>
      </c>
      <c r="AH197" t="s">
        <v>11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0</v>
      </c>
      <c r="AV197">
        <f>$H$197*$AB$197</f>
        <v>0</v>
      </c>
      <c r="AW197">
        <f>$H$197*$AC$197</f>
        <v>0</v>
      </c>
      <c r="AX197">
        <f>$H$197*$AD$197</f>
        <v>29.42</v>
      </c>
      <c r="AY197">
        <f>$H$197*$AE$197</f>
        <v>29.42</v>
      </c>
      <c r="AZ197">
        <f>$H$197*$AF$197</f>
        <v>29.42</v>
      </c>
    </row>
    <row r="198" spans="1:52" x14ac:dyDescent="0.25">
      <c r="A198">
        <v>241</v>
      </c>
      <c r="B198" t="s">
        <v>266</v>
      </c>
      <c r="C198" t="s">
        <v>408</v>
      </c>
      <c r="D198">
        <v>38.92</v>
      </c>
      <c r="E198">
        <v>26.85</v>
      </c>
      <c r="F198" t="s">
        <v>335</v>
      </c>
      <c r="G198">
        <v>0.69</v>
      </c>
      <c r="H198">
        <v>32.229999999999997</v>
      </c>
      <c r="I198" t="s">
        <v>312</v>
      </c>
      <c r="J198" t="s">
        <v>409</v>
      </c>
      <c r="K198" t="s">
        <v>583</v>
      </c>
      <c r="L198" t="s">
        <v>178</v>
      </c>
      <c r="M198" t="s">
        <v>266</v>
      </c>
      <c r="N198" t="s">
        <v>11</v>
      </c>
      <c r="O198" t="s">
        <v>13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266</v>
      </c>
      <c r="AH198" t="s">
        <v>11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32.229999999999997</v>
      </c>
      <c r="AN198">
        <f>$H$198*$T$198</f>
        <v>32.229999999999997</v>
      </c>
      <c r="AO198">
        <f>$H$198*$U$198</f>
        <v>32.229999999999997</v>
      </c>
      <c r="AP198">
        <f>$H$198*$V$198</f>
        <v>32.229999999999997</v>
      </c>
      <c r="AQ198">
        <f>$H$198*$W$198</f>
        <v>32.229999999999997</v>
      </c>
      <c r="AR198">
        <f>$H$198*$X$198</f>
        <v>32.229999999999997</v>
      </c>
      <c r="AS198">
        <f>$H$198*$Y$198</f>
        <v>32.229999999999997</v>
      </c>
      <c r="AT198">
        <f>$H$198*$Z$198</f>
        <v>32.229999999999997</v>
      </c>
      <c r="AU198">
        <f>$H$198*$AA$198</f>
        <v>32.229999999999997</v>
      </c>
      <c r="AV198">
        <f>$H$198*$AB$198</f>
        <v>32.229999999999997</v>
      </c>
      <c r="AW198">
        <f>$H$198*$AC$198</f>
        <v>32.229999999999997</v>
      </c>
      <c r="AX198">
        <f>$H$198*$AD$198</f>
        <v>32.229999999999997</v>
      </c>
      <c r="AY198">
        <f>$H$198*$AE$198</f>
        <v>32.229999999999997</v>
      </c>
      <c r="AZ198">
        <f>$H$198*$AF$198</f>
        <v>32.229999999999997</v>
      </c>
    </row>
    <row r="199" spans="1:52" x14ac:dyDescent="0.25">
      <c r="A199">
        <v>242</v>
      </c>
      <c r="B199" t="s">
        <v>266</v>
      </c>
      <c r="C199" t="s">
        <v>410</v>
      </c>
      <c r="D199">
        <v>8.17</v>
      </c>
      <c r="E199">
        <v>55.64</v>
      </c>
      <c r="F199" t="s">
        <v>335</v>
      </c>
      <c r="G199">
        <v>6.81</v>
      </c>
      <c r="H199">
        <v>66.760000000000005</v>
      </c>
      <c r="I199" t="s">
        <v>411</v>
      </c>
      <c r="J199" t="s">
        <v>412</v>
      </c>
      <c r="K199" t="s">
        <v>584</v>
      </c>
      <c r="L199" t="s">
        <v>178</v>
      </c>
      <c r="M199" t="s">
        <v>266</v>
      </c>
      <c r="N199" t="s">
        <v>11</v>
      </c>
      <c r="O199" t="s">
        <v>13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266</v>
      </c>
      <c r="AH199" t="s">
        <v>11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66.760000000000005</v>
      </c>
      <c r="AN199">
        <f>$H$199*$T$199</f>
        <v>66.760000000000005</v>
      </c>
      <c r="AO199">
        <f>$H$199*$U$199</f>
        <v>66.760000000000005</v>
      </c>
      <c r="AP199">
        <f>$H$199*$V$199</f>
        <v>66.760000000000005</v>
      </c>
      <c r="AQ199">
        <f>$H$199*$W$199</f>
        <v>66.760000000000005</v>
      </c>
      <c r="AR199">
        <f>$H$199*$X$199</f>
        <v>66.760000000000005</v>
      </c>
      <c r="AS199">
        <f>$H$199*$Y$199</f>
        <v>66.760000000000005</v>
      </c>
      <c r="AT199">
        <f>$H$199*$Z$199</f>
        <v>66.760000000000005</v>
      </c>
      <c r="AU199">
        <f>$H$199*$AA$199</f>
        <v>66.760000000000005</v>
      </c>
      <c r="AV199">
        <f>$H$199*$AB$199</f>
        <v>66.760000000000005</v>
      </c>
      <c r="AW199">
        <f>$H$199*$AC$199</f>
        <v>66.760000000000005</v>
      </c>
      <c r="AX199">
        <f>$H$199*$AD$199</f>
        <v>66.760000000000005</v>
      </c>
      <c r="AY199">
        <f>$H$199*$AE$199</f>
        <v>66.760000000000005</v>
      </c>
      <c r="AZ199">
        <f>$H$199*$AF$199</f>
        <v>66.760000000000005</v>
      </c>
    </row>
    <row r="200" spans="1:52" x14ac:dyDescent="0.25">
      <c r="A200">
        <v>243</v>
      </c>
      <c r="B200" t="s">
        <v>266</v>
      </c>
      <c r="C200" t="s">
        <v>413</v>
      </c>
      <c r="D200">
        <v>8.9499999999999993</v>
      </c>
      <c r="E200">
        <v>65.959999999999994</v>
      </c>
      <c r="F200" t="s">
        <v>335</v>
      </c>
      <c r="G200">
        <v>7.37</v>
      </c>
      <c r="H200">
        <v>79.16</v>
      </c>
      <c r="I200" t="s">
        <v>411</v>
      </c>
      <c r="J200" t="s">
        <v>414</v>
      </c>
      <c r="K200" t="s">
        <v>585</v>
      </c>
      <c r="L200" t="s">
        <v>178</v>
      </c>
      <c r="M200" t="s">
        <v>266</v>
      </c>
      <c r="N200" t="s">
        <v>11</v>
      </c>
      <c r="O200" t="s">
        <v>13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266</v>
      </c>
      <c r="AH200" t="s">
        <v>11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79.16</v>
      </c>
      <c r="AN200">
        <f>$H$200*$T$200</f>
        <v>79.16</v>
      </c>
      <c r="AO200">
        <f>$H$200*$U$200</f>
        <v>79.16</v>
      </c>
      <c r="AP200">
        <f>$H$200*$V$200</f>
        <v>79.16</v>
      </c>
      <c r="AQ200">
        <f>$H$200*$W$200</f>
        <v>79.16</v>
      </c>
      <c r="AR200">
        <f>$H$200*$X$200</f>
        <v>79.16</v>
      </c>
      <c r="AS200">
        <f>$H$200*$Y$200</f>
        <v>79.16</v>
      </c>
      <c r="AT200">
        <f>$H$200*$Z$200</f>
        <v>79.16</v>
      </c>
      <c r="AU200">
        <f>$H$200*$AA$200</f>
        <v>79.16</v>
      </c>
      <c r="AV200">
        <f>$H$200*$AB$200</f>
        <v>79.16</v>
      </c>
      <c r="AW200">
        <f>$H$200*$AC$200</f>
        <v>79.16</v>
      </c>
      <c r="AX200">
        <f>$H$200*$AD$200</f>
        <v>79.16</v>
      </c>
      <c r="AY200">
        <f>$H$200*$AE$200</f>
        <v>79.16</v>
      </c>
      <c r="AZ200">
        <f>$H$200*$AF$200</f>
        <v>79.16</v>
      </c>
    </row>
    <row r="201" spans="1:52" x14ac:dyDescent="0.25">
      <c r="A201">
        <v>244</v>
      </c>
      <c r="B201" t="s">
        <v>266</v>
      </c>
      <c r="C201" t="s">
        <v>415</v>
      </c>
      <c r="D201">
        <v>9.3800000000000008</v>
      </c>
      <c r="E201">
        <v>51.21</v>
      </c>
      <c r="F201" t="s">
        <v>335</v>
      </c>
      <c r="G201">
        <v>5.46</v>
      </c>
      <c r="H201">
        <v>61.45</v>
      </c>
      <c r="I201" t="s">
        <v>416</v>
      </c>
      <c r="J201" t="s">
        <v>417</v>
      </c>
      <c r="K201" t="s">
        <v>586</v>
      </c>
      <c r="L201" t="s">
        <v>178</v>
      </c>
      <c r="M201" t="s">
        <v>266</v>
      </c>
      <c r="N201" t="s">
        <v>11</v>
      </c>
      <c r="O201" t="s">
        <v>13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266</v>
      </c>
      <c r="AH201" t="s">
        <v>11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61.45</v>
      </c>
      <c r="AN201">
        <f>$H$201*$T$201</f>
        <v>61.45</v>
      </c>
      <c r="AO201">
        <f>$H$201*$U$201</f>
        <v>61.45</v>
      </c>
      <c r="AP201">
        <f>$H$201*$V$201</f>
        <v>61.45</v>
      </c>
      <c r="AQ201">
        <f>$H$201*$W$201</f>
        <v>61.45</v>
      </c>
      <c r="AR201">
        <f>$H$201*$X$201</f>
        <v>61.45</v>
      </c>
      <c r="AS201">
        <f>$H$201*$Y$201</f>
        <v>61.45</v>
      </c>
      <c r="AT201">
        <f>$H$201*$Z$201</f>
        <v>61.45</v>
      </c>
      <c r="AU201">
        <f>$H$201*$AA$201</f>
        <v>61.45</v>
      </c>
      <c r="AV201">
        <f>$H$201*$AB$201</f>
        <v>61.45</v>
      </c>
      <c r="AW201">
        <f>$H$201*$AC$201</f>
        <v>61.45</v>
      </c>
      <c r="AX201">
        <f>$H$201*$AD$201</f>
        <v>61.45</v>
      </c>
      <c r="AY201">
        <f>$H$201*$AE$201</f>
        <v>61.45</v>
      </c>
      <c r="AZ201">
        <f>$H$201*$AF$201</f>
        <v>61.45</v>
      </c>
    </row>
    <row r="202" spans="1:52" x14ac:dyDescent="0.25">
      <c r="A202">
        <v>245</v>
      </c>
      <c r="B202" t="s">
        <v>266</v>
      </c>
      <c r="C202" t="s">
        <v>418</v>
      </c>
      <c r="D202">
        <v>9.3800000000000008</v>
      </c>
      <c r="E202">
        <v>33.58</v>
      </c>
      <c r="F202" t="s">
        <v>335</v>
      </c>
      <c r="G202">
        <v>3.58</v>
      </c>
      <c r="H202">
        <v>40.299999999999997</v>
      </c>
      <c r="I202" t="s">
        <v>416</v>
      </c>
      <c r="J202" t="s">
        <v>419</v>
      </c>
      <c r="K202" t="s">
        <v>587</v>
      </c>
      <c r="L202" t="s">
        <v>178</v>
      </c>
      <c r="M202" t="s">
        <v>266</v>
      </c>
      <c r="N202" t="s">
        <v>11</v>
      </c>
      <c r="O202" t="s">
        <v>13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266</v>
      </c>
      <c r="AH202" t="s">
        <v>11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40.299999999999997</v>
      </c>
      <c r="AN202">
        <f>$H$202*$T$202</f>
        <v>40.299999999999997</v>
      </c>
      <c r="AO202">
        <f>$H$202*$U$202</f>
        <v>40.299999999999997</v>
      </c>
      <c r="AP202">
        <f>$H$202*$V$202</f>
        <v>40.299999999999997</v>
      </c>
      <c r="AQ202">
        <f>$H$202*$W$202</f>
        <v>40.299999999999997</v>
      </c>
      <c r="AR202">
        <f>$H$202*$X$202</f>
        <v>40.299999999999997</v>
      </c>
      <c r="AS202">
        <f>$H$202*$Y$202</f>
        <v>40.299999999999997</v>
      </c>
      <c r="AT202">
        <f>$H$202*$Z$202</f>
        <v>40.299999999999997</v>
      </c>
      <c r="AU202">
        <f>$H$202*$AA$202</f>
        <v>40.299999999999997</v>
      </c>
      <c r="AV202">
        <f>$H$202*$AB$202</f>
        <v>40.299999999999997</v>
      </c>
      <c r="AW202">
        <f>$H$202*$AC$202</f>
        <v>40.299999999999997</v>
      </c>
      <c r="AX202">
        <f>$H$202*$AD$202</f>
        <v>40.299999999999997</v>
      </c>
      <c r="AY202">
        <f>$H$202*$AE$202</f>
        <v>40.299999999999997</v>
      </c>
      <c r="AZ202">
        <f>$H$202*$AF$202</f>
        <v>40.299999999999997</v>
      </c>
    </row>
    <row r="203" spans="1:52" x14ac:dyDescent="0.25">
      <c r="A203">
        <v>246</v>
      </c>
      <c r="B203" t="s">
        <v>266</v>
      </c>
      <c r="C203" t="s">
        <v>420</v>
      </c>
      <c r="D203">
        <v>9.3800000000000008</v>
      </c>
      <c r="E203">
        <v>92.39</v>
      </c>
      <c r="F203" t="s">
        <v>335</v>
      </c>
      <c r="G203">
        <v>9.85</v>
      </c>
      <c r="H203">
        <v>110.87</v>
      </c>
      <c r="I203" t="s">
        <v>416</v>
      </c>
      <c r="J203" t="s">
        <v>414</v>
      </c>
      <c r="K203" t="s">
        <v>588</v>
      </c>
      <c r="L203" t="s">
        <v>178</v>
      </c>
      <c r="M203" t="s">
        <v>266</v>
      </c>
      <c r="N203" t="s">
        <v>11</v>
      </c>
      <c r="O203" t="s">
        <v>13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266</v>
      </c>
      <c r="AH203" t="s">
        <v>11</v>
      </c>
      <c r="AI203" t="s">
        <v>13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110.87</v>
      </c>
      <c r="AN203">
        <f>$H$203*$T$203</f>
        <v>110.87</v>
      </c>
      <c r="AO203">
        <f>$H$203*$U$203</f>
        <v>110.87</v>
      </c>
      <c r="AP203">
        <f>$H$203*$V$203</f>
        <v>110.87</v>
      </c>
      <c r="AQ203">
        <f>$H$203*$W$203</f>
        <v>110.87</v>
      </c>
      <c r="AR203">
        <f>$H$203*$X$203</f>
        <v>110.87</v>
      </c>
      <c r="AS203">
        <f>$H$203*$Y$203</f>
        <v>110.87</v>
      </c>
      <c r="AT203">
        <f>$H$203*$Z$203</f>
        <v>110.87</v>
      </c>
      <c r="AU203">
        <f>$H$203*$AA$203</f>
        <v>110.87</v>
      </c>
      <c r="AV203">
        <f>$H$203*$AB$203</f>
        <v>110.87</v>
      </c>
      <c r="AW203">
        <f>$H$203*$AC$203</f>
        <v>110.87</v>
      </c>
      <c r="AX203">
        <f>$H$203*$AD$203</f>
        <v>110.87</v>
      </c>
      <c r="AY203">
        <f>$H$203*$AE$203</f>
        <v>110.87</v>
      </c>
      <c r="AZ203">
        <f>$H$203*$AF$203</f>
        <v>110.87</v>
      </c>
    </row>
    <row r="204" spans="1:52" x14ac:dyDescent="0.25">
      <c r="A204">
        <v>247</v>
      </c>
      <c r="B204" t="s">
        <v>266</v>
      </c>
      <c r="C204" t="s">
        <v>421</v>
      </c>
      <c r="D204">
        <v>8.9499999999999993</v>
      </c>
      <c r="E204">
        <v>8.68</v>
      </c>
      <c r="F204" t="s">
        <v>335</v>
      </c>
      <c r="G204">
        <v>0.97</v>
      </c>
      <c r="H204">
        <v>10.42</v>
      </c>
      <c r="I204" t="s">
        <v>360</v>
      </c>
      <c r="J204" t="s">
        <v>422</v>
      </c>
      <c r="K204" t="s">
        <v>589</v>
      </c>
      <c r="L204" t="s">
        <v>178</v>
      </c>
      <c r="M204" t="s">
        <v>266</v>
      </c>
      <c r="N204" t="s">
        <v>11</v>
      </c>
      <c r="O204" t="s">
        <v>13</v>
      </c>
      <c r="P204">
        <v>0</v>
      </c>
      <c r="Q204">
        <v>0</v>
      </c>
      <c r="R204">
        <v>0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266</v>
      </c>
      <c r="AH204" t="s">
        <v>11</v>
      </c>
      <c r="AI204" t="s">
        <v>13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10.42</v>
      </c>
      <c r="AN204">
        <f>$H$204*$T$204</f>
        <v>10.42</v>
      </c>
      <c r="AO204">
        <f>$H$204*$U$204</f>
        <v>10.42</v>
      </c>
      <c r="AP204">
        <f>$H$204*$V$204</f>
        <v>10.42</v>
      </c>
      <c r="AQ204">
        <f>$H$204*$W$204</f>
        <v>10.42</v>
      </c>
      <c r="AR204">
        <f>$H$204*$X$204</f>
        <v>10.42</v>
      </c>
      <c r="AS204">
        <f>$H$204*$Y$204</f>
        <v>10.42</v>
      </c>
      <c r="AT204">
        <f>$H$204*$Z$204</f>
        <v>10.42</v>
      </c>
      <c r="AU204">
        <f>$H$204*$AA$204</f>
        <v>10.42</v>
      </c>
      <c r="AV204">
        <f>$H$204*$AB$204</f>
        <v>10.42</v>
      </c>
      <c r="AW204">
        <f>$H$204*$AC$204</f>
        <v>10.42</v>
      </c>
      <c r="AX204">
        <f>$H$204*$AD$204</f>
        <v>10.42</v>
      </c>
      <c r="AY204">
        <f>$H$204*$AE$204</f>
        <v>10.42</v>
      </c>
      <c r="AZ204">
        <f>$H$204*$AF$204</f>
        <v>10.42</v>
      </c>
    </row>
    <row r="205" spans="1:52" x14ac:dyDescent="0.25">
      <c r="A205">
        <v>248</v>
      </c>
      <c r="B205" t="s">
        <v>266</v>
      </c>
      <c r="C205" t="s">
        <v>423</v>
      </c>
      <c r="D205">
        <v>8.9499999999999993</v>
      </c>
      <c r="E205">
        <v>68.56</v>
      </c>
      <c r="F205" t="s">
        <v>335</v>
      </c>
      <c r="G205">
        <v>7.66</v>
      </c>
      <c r="H205">
        <v>82.28</v>
      </c>
      <c r="I205" t="s">
        <v>360</v>
      </c>
      <c r="J205" t="s">
        <v>414</v>
      </c>
      <c r="K205" t="s">
        <v>590</v>
      </c>
      <c r="L205" t="s">
        <v>178</v>
      </c>
      <c r="M205" t="s">
        <v>266</v>
      </c>
      <c r="N205" t="s">
        <v>11</v>
      </c>
      <c r="O205" t="s">
        <v>13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266</v>
      </c>
      <c r="AH205" t="s">
        <v>11</v>
      </c>
      <c r="AI205" t="s">
        <v>13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82.28</v>
      </c>
      <c r="AN205">
        <f>$H$205*$T$205</f>
        <v>82.28</v>
      </c>
      <c r="AO205">
        <f>$H$205*$U$205</f>
        <v>82.28</v>
      </c>
      <c r="AP205">
        <f>$H$205*$V$205</f>
        <v>82.28</v>
      </c>
      <c r="AQ205">
        <f>$H$205*$W$205</f>
        <v>82.28</v>
      </c>
      <c r="AR205">
        <f>$H$205*$X$205</f>
        <v>82.28</v>
      </c>
      <c r="AS205">
        <f>$H$205*$Y$205</f>
        <v>82.28</v>
      </c>
      <c r="AT205">
        <f>$H$205*$Z$205</f>
        <v>82.28</v>
      </c>
      <c r="AU205">
        <f>$H$205*$AA$205</f>
        <v>82.28</v>
      </c>
      <c r="AV205">
        <f>$H$205*$AB$205</f>
        <v>82.28</v>
      </c>
      <c r="AW205">
        <f>$H$205*$AC$205</f>
        <v>82.28</v>
      </c>
      <c r="AX205">
        <f>$H$205*$AD$205</f>
        <v>82.28</v>
      </c>
      <c r="AY205">
        <f>$H$205*$AE$205</f>
        <v>82.28</v>
      </c>
      <c r="AZ205">
        <f>$H$205*$AF$205</f>
        <v>82.28</v>
      </c>
    </row>
    <row r="206" spans="1:52" x14ac:dyDescent="0.25">
      <c r="A206">
        <v>249</v>
      </c>
      <c r="B206" t="s">
        <v>263</v>
      </c>
      <c r="C206" t="s">
        <v>397</v>
      </c>
      <c r="D206">
        <v>2</v>
      </c>
      <c r="E206">
        <v>26.54</v>
      </c>
      <c r="F206" t="s">
        <v>317</v>
      </c>
      <c r="G206">
        <v>13.27</v>
      </c>
      <c r="H206">
        <v>31.84</v>
      </c>
      <c r="I206" t="s">
        <v>319</v>
      </c>
      <c r="J206" t="s">
        <v>398</v>
      </c>
      <c r="K206" t="s">
        <v>577</v>
      </c>
      <c r="L206" t="s">
        <v>178</v>
      </c>
      <c r="M206" t="s">
        <v>263</v>
      </c>
      <c r="N206" t="s">
        <v>51</v>
      </c>
      <c r="O206" t="s">
        <v>264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263</v>
      </c>
      <c r="AH206" t="s">
        <v>51</v>
      </c>
      <c r="AI206" t="s">
        <v>264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31.84</v>
      </c>
      <c r="AS206">
        <f>$H$206*$Y$206</f>
        <v>31.84</v>
      </c>
      <c r="AT206">
        <f>$H$206*$Z$206</f>
        <v>31.84</v>
      </c>
      <c r="AU206">
        <f>$H$206*$AA$206</f>
        <v>31.84</v>
      </c>
      <c r="AV206">
        <f>$H$206*$AB$206</f>
        <v>31.84</v>
      </c>
      <c r="AW206">
        <f>$H$206*$AC$206</f>
        <v>31.84</v>
      </c>
      <c r="AX206">
        <f>$H$206*$AD$206</f>
        <v>31.84</v>
      </c>
      <c r="AY206">
        <f>$H$206*$AE$206</f>
        <v>31.84</v>
      </c>
      <c r="AZ206">
        <f>$H$206*$AF$206</f>
        <v>31.84</v>
      </c>
    </row>
    <row r="207" spans="1:52" x14ac:dyDescent="0.25">
      <c r="A207">
        <v>250</v>
      </c>
      <c r="B207" t="s">
        <v>263</v>
      </c>
      <c r="C207" t="s">
        <v>456</v>
      </c>
      <c r="D207">
        <v>2</v>
      </c>
      <c r="E207">
        <v>74</v>
      </c>
      <c r="F207" t="s">
        <v>317</v>
      </c>
      <c r="G207">
        <v>37</v>
      </c>
      <c r="H207">
        <v>88.8</v>
      </c>
      <c r="I207" t="s">
        <v>319</v>
      </c>
      <c r="J207" t="s">
        <v>457</v>
      </c>
      <c r="K207" t="s">
        <v>607</v>
      </c>
      <c r="L207" t="s">
        <v>178</v>
      </c>
      <c r="M207" t="s">
        <v>263</v>
      </c>
      <c r="N207" t="s">
        <v>51</v>
      </c>
      <c r="O207" t="s">
        <v>264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0.6</v>
      </c>
      <c r="Y207">
        <v>0.6</v>
      </c>
      <c r="Z207">
        <v>0.6</v>
      </c>
      <c r="AA207">
        <v>0.6</v>
      </c>
      <c r="AB207">
        <v>0.6</v>
      </c>
      <c r="AC207">
        <v>0.6</v>
      </c>
      <c r="AD207">
        <v>1</v>
      </c>
      <c r="AE207">
        <v>1</v>
      </c>
      <c r="AF207">
        <v>1</v>
      </c>
      <c r="AG207" t="s">
        <v>263</v>
      </c>
      <c r="AH207" t="s">
        <v>51</v>
      </c>
      <c r="AI207" t="s">
        <v>264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53.279999999999994</v>
      </c>
      <c r="AS207">
        <f>$H$207*$Y$207</f>
        <v>53.279999999999994</v>
      </c>
      <c r="AT207">
        <f>$H$207*$Z$207</f>
        <v>53.279999999999994</v>
      </c>
      <c r="AU207">
        <f>$H$207*$AA$207</f>
        <v>53.279999999999994</v>
      </c>
      <c r="AV207">
        <f>$H$207*$AB$207</f>
        <v>53.279999999999994</v>
      </c>
      <c r="AW207">
        <f>$H$207*$AC$207</f>
        <v>53.279999999999994</v>
      </c>
      <c r="AX207">
        <f>$H$207*$AD$207</f>
        <v>88.8</v>
      </c>
      <c r="AY207">
        <f>$H$207*$AE$207</f>
        <v>88.8</v>
      </c>
      <c r="AZ207">
        <f>$H$207*$AF$207</f>
        <v>88.8</v>
      </c>
    </row>
    <row r="208" spans="1:52" x14ac:dyDescent="0.25">
      <c r="A208">
        <v>251</v>
      </c>
      <c r="B208" t="s">
        <v>263</v>
      </c>
      <c r="C208" t="s">
        <v>426</v>
      </c>
      <c r="D208">
        <v>79</v>
      </c>
      <c r="E208">
        <v>695.99</v>
      </c>
      <c r="F208" t="s">
        <v>335</v>
      </c>
      <c r="G208">
        <v>8.81</v>
      </c>
      <c r="H208">
        <v>835.19</v>
      </c>
      <c r="I208" t="s">
        <v>427</v>
      </c>
      <c r="J208" t="s">
        <v>428</v>
      </c>
      <c r="K208" t="s">
        <v>592</v>
      </c>
      <c r="L208" t="s">
        <v>178</v>
      </c>
      <c r="M208" t="s">
        <v>263</v>
      </c>
      <c r="N208" t="s">
        <v>51</v>
      </c>
      <c r="O208" t="s">
        <v>264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263</v>
      </c>
      <c r="AH208" t="s">
        <v>51</v>
      </c>
      <c r="AI208" t="s">
        <v>264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835.19</v>
      </c>
      <c r="AN208">
        <f>$H$208*$T$208</f>
        <v>835.19</v>
      </c>
      <c r="AO208">
        <f>$H$208*$U$208</f>
        <v>835.19</v>
      </c>
      <c r="AP208">
        <f>$H$208*$V$208</f>
        <v>835.19</v>
      </c>
      <c r="AQ208">
        <f>$H$208*$W$208</f>
        <v>835.19</v>
      </c>
      <c r="AR208">
        <f>$H$208*$X$208</f>
        <v>835.19</v>
      </c>
      <c r="AS208">
        <f>$H$208*$Y$208</f>
        <v>835.19</v>
      </c>
      <c r="AT208">
        <f>$H$208*$Z$208</f>
        <v>835.19</v>
      </c>
      <c r="AU208">
        <f>$H$208*$AA$208</f>
        <v>835.19</v>
      </c>
      <c r="AV208">
        <f>$H$208*$AB$208</f>
        <v>835.19</v>
      </c>
      <c r="AW208">
        <f>$H$208*$AC$208</f>
        <v>835.19</v>
      </c>
      <c r="AX208">
        <f>$H$208*$AD$208</f>
        <v>835.19</v>
      </c>
      <c r="AY208">
        <f>$H$208*$AE$208</f>
        <v>835.19</v>
      </c>
      <c r="AZ208">
        <f>$H$208*$AF$208</f>
        <v>835.19</v>
      </c>
    </row>
    <row r="209" spans="1:52" x14ac:dyDescent="0.25">
      <c r="A209">
        <v>252</v>
      </c>
      <c r="B209" t="s">
        <v>263</v>
      </c>
      <c r="C209" t="s">
        <v>469</v>
      </c>
      <c r="D209">
        <v>1</v>
      </c>
      <c r="E209">
        <v>1945.43</v>
      </c>
      <c r="F209" t="s">
        <v>317</v>
      </c>
      <c r="G209">
        <v>1945.43</v>
      </c>
      <c r="H209">
        <v>2334.5100000000002</v>
      </c>
      <c r="I209" t="s">
        <v>427</v>
      </c>
      <c r="J209" t="s">
        <v>470</v>
      </c>
      <c r="K209" t="s">
        <v>613</v>
      </c>
      <c r="L209" t="s">
        <v>178</v>
      </c>
      <c r="M209" t="s">
        <v>263</v>
      </c>
      <c r="N209" t="s">
        <v>51</v>
      </c>
      <c r="O209" t="s">
        <v>264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263</v>
      </c>
      <c r="AH209" t="s">
        <v>51</v>
      </c>
      <c r="AI209" t="s">
        <v>264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2334.5100000000002</v>
      </c>
      <c r="AT209">
        <f>$H$209*$Z$209</f>
        <v>2334.5100000000002</v>
      </c>
      <c r="AU209">
        <f>$H$209*$AA$209</f>
        <v>2334.5100000000002</v>
      </c>
      <c r="AV209">
        <f>$H$209*$AB$209</f>
        <v>2334.5100000000002</v>
      </c>
      <c r="AW209">
        <f>$H$209*$AC$209</f>
        <v>2334.5100000000002</v>
      </c>
      <c r="AX209">
        <f>$H$209*$AD$209</f>
        <v>2334.5100000000002</v>
      </c>
      <c r="AY209">
        <f>$H$209*$AE$209</f>
        <v>2334.5100000000002</v>
      </c>
      <c r="AZ209">
        <f>$H$209*$AF$209</f>
        <v>2334.5100000000002</v>
      </c>
    </row>
    <row r="210" spans="1:52" x14ac:dyDescent="0.25">
      <c r="A210">
        <v>253</v>
      </c>
      <c r="B210" t="s">
        <v>263</v>
      </c>
      <c r="C210" t="s">
        <v>431</v>
      </c>
      <c r="D210">
        <v>1</v>
      </c>
      <c r="E210">
        <v>36.590000000000003</v>
      </c>
      <c r="F210" t="s">
        <v>317</v>
      </c>
      <c r="G210">
        <v>36.590000000000003</v>
      </c>
      <c r="H210">
        <v>43.91</v>
      </c>
      <c r="I210" t="s">
        <v>351</v>
      </c>
      <c r="J210" t="s">
        <v>432</v>
      </c>
      <c r="K210" t="s">
        <v>594</v>
      </c>
      <c r="L210" t="s">
        <v>178</v>
      </c>
      <c r="M210" t="s">
        <v>263</v>
      </c>
      <c r="N210" t="s">
        <v>51</v>
      </c>
      <c r="O210" t="s">
        <v>264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263</v>
      </c>
      <c r="AH210" t="s">
        <v>51</v>
      </c>
      <c r="AI210" t="s">
        <v>264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43.91</v>
      </c>
      <c r="AV210">
        <f>$H$210*$AB$210</f>
        <v>43.91</v>
      </c>
      <c r="AW210">
        <f>$H$210*$AC$210</f>
        <v>43.91</v>
      </c>
      <c r="AX210">
        <f>$H$210*$AD$210</f>
        <v>43.91</v>
      </c>
      <c r="AY210">
        <f>$H$210*$AE$210</f>
        <v>43.91</v>
      </c>
      <c r="AZ210">
        <f>$H$210*$AF$210</f>
        <v>43.91</v>
      </c>
    </row>
    <row r="211" spans="1:52" x14ac:dyDescent="0.25">
      <c r="A211">
        <v>254</v>
      </c>
      <c r="B211" t="s">
        <v>263</v>
      </c>
      <c r="C211" t="s">
        <v>341</v>
      </c>
      <c r="D211">
        <v>12</v>
      </c>
      <c r="E211">
        <v>53.28</v>
      </c>
      <c r="F211" t="s">
        <v>311</v>
      </c>
      <c r="G211">
        <v>4.4400000000000004</v>
      </c>
      <c r="H211">
        <v>63.94</v>
      </c>
      <c r="I211" t="s">
        <v>312</v>
      </c>
      <c r="J211" t="s">
        <v>342</v>
      </c>
      <c r="K211" t="s">
        <v>550</v>
      </c>
      <c r="L211" t="s">
        <v>178</v>
      </c>
      <c r="M211" t="s">
        <v>263</v>
      </c>
      <c r="N211" t="s">
        <v>51</v>
      </c>
      <c r="O211" t="s">
        <v>264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263</v>
      </c>
      <c r="AH211" t="s">
        <v>51</v>
      </c>
      <c r="AI211" t="s">
        <v>264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0</v>
      </c>
      <c r="AT211">
        <f>$H$211*$Z$211</f>
        <v>0</v>
      </c>
      <c r="AU211">
        <f>$H$211*$AA$211</f>
        <v>63.94</v>
      </c>
      <c r="AV211">
        <f>$H$211*$AB$211</f>
        <v>63.94</v>
      </c>
      <c r="AW211">
        <f>$H$211*$AC$211</f>
        <v>63.94</v>
      </c>
      <c r="AX211">
        <f>$H$211*$AD$211</f>
        <v>63.94</v>
      </c>
      <c r="AY211">
        <f>$H$211*$AE$211</f>
        <v>63.94</v>
      </c>
      <c r="AZ211">
        <f>$H$211*$AF$211</f>
        <v>63.94</v>
      </c>
    </row>
    <row r="212" spans="1:52" x14ac:dyDescent="0.25">
      <c r="A212">
        <v>255</v>
      </c>
      <c r="B212" t="s">
        <v>263</v>
      </c>
      <c r="C212" t="s">
        <v>343</v>
      </c>
      <c r="D212">
        <v>12</v>
      </c>
      <c r="E212">
        <v>138.6</v>
      </c>
      <c r="F212" t="s">
        <v>311</v>
      </c>
      <c r="G212">
        <v>11.55</v>
      </c>
      <c r="H212">
        <v>166.32</v>
      </c>
      <c r="I212" t="s">
        <v>315</v>
      </c>
      <c r="J212" t="s">
        <v>344</v>
      </c>
      <c r="K212" t="s">
        <v>551</v>
      </c>
      <c r="L212" t="s">
        <v>178</v>
      </c>
      <c r="M212" t="s">
        <v>263</v>
      </c>
      <c r="N212" t="s">
        <v>51</v>
      </c>
      <c r="O212" t="s">
        <v>264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263</v>
      </c>
      <c r="AH212" t="s">
        <v>51</v>
      </c>
      <c r="AI212" t="s">
        <v>264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0</v>
      </c>
      <c r="AT212">
        <f>$H$212*$Z$212</f>
        <v>0</v>
      </c>
      <c r="AU212">
        <f>$H$212*$AA$212</f>
        <v>166.32</v>
      </c>
      <c r="AV212">
        <f>$H$212*$AB$212</f>
        <v>166.32</v>
      </c>
      <c r="AW212">
        <f>$H$212*$AC$212</f>
        <v>166.32</v>
      </c>
      <c r="AX212">
        <f>$H$212*$AD$212</f>
        <v>166.32</v>
      </c>
      <c r="AY212">
        <f>$H$212*$AE$212</f>
        <v>166.32</v>
      </c>
      <c r="AZ212">
        <f>$H$212*$AF$212</f>
        <v>166.32</v>
      </c>
    </row>
    <row r="213" spans="1:52" x14ac:dyDescent="0.25">
      <c r="A213">
        <v>256</v>
      </c>
      <c r="B213" t="s">
        <v>263</v>
      </c>
      <c r="C213" t="s">
        <v>433</v>
      </c>
      <c r="D213">
        <v>1</v>
      </c>
      <c r="E213">
        <v>36.64</v>
      </c>
      <c r="F213" t="s">
        <v>317</v>
      </c>
      <c r="G213">
        <v>36.64</v>
      </c>
      <c r="H213">
        <v>43.96</v>
      </c>
      <c r="I213" t="s">
        <v>351</v>
      </c>
      <c r="J213" t="s">
        <v>434</v>
      </c>
      <c r="K213" t="s">
        <v>595</v>
      </c>
      <c r="L213" t="s">
        <v>178</v>
      </c>
      <c r="M213" t="s">
        <v>263</v>
      </c>
      <c r="N213" t="s">
        <v>51</v>
      </c>
      <c r="O213" t="s">
        <v>264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263</v>
      </c>
      <c r="AH213" t="s">
        <v>51</v>
      </c>
      <c r="AI213" t="s">
        <v>264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0</v>
      </c>
      <c r="AT213">
        <f>$H$213*$Z$213</f>
        <v>0</v>
      </c>
      <c r="AU213">
        <f>$H$213*$AA$213</f>
        <v>43.96</v>
      </c>
      <c r="AV213">
        <f>$H$213*$AB$213</f>
        <v>43.96</v>
      </c>
      <c r="AW213">
        <f>$H$213*$AC$213</f>
        <v>43.96</v>
      </c>
      <c r="AX213">
        <f>$H$213*$AD$213</f>
        <v>43.96</v>
      </c>
      <c r="AY213">
        <f>$H$213*$AE$213</f>
        <v>43.96</v>
      </c>
      <c r="AZ213">
        <f>$H$213*$AF$213</f>
        <v>43.96</v>
      </c>
    </row>
    <row r="214" spans="1:52" x14ac:dyDescent="0.25">
      <c r="A214">
        <v>257</v>
      </c>
      <c r="B214" t="s">
        <v>263</v>
      </c>
      <c r="C214" t="s">
        <v>435</v>
      </c>
      <c r="D214">
        <v>1</v>
      </c>
      <c r="E214">
        <v>33.18</v>
      </c>
      <c r="F214" t="s">
        <v>317</v>
      </c>
      <c r="G214">
        <v>33.18</v>
      </c>
      <c r="H214">
        <v>39.82</v>
      </c>
      <c r="I214" t="s">
        <v>351</v>
      </c>
      <c r="J214" t="s">
        <v>436</v>
      </c>
      <c r="K214" t="s">
        <v>596</v>
      </c>
      <c r="L214" t="s">
        <v>178</v>
      </c>
      <c r="M214" t="s">
        <v>263</v>
      </c>
      <c r="N214" t="s">
        <v>51</v>
      </c>
      <c r="O214" t="s">
        <v>264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263</v>
      </c>
      <c r="AH214" t="s">
        <v>51</v>
      </c>
      <c r="AI214" t="s">
        <v>264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39.82</v>
      </c>
      <c r="AT214">
        <f>$H$214*$Z$214</f>
        <v>39.82</v>
      </c>
      <c r="AU214">
        <f>$H$214*$AA$214</f>
        <v>39.82</v>
      </c>
      <c r="AV214">
        <f>$H$214*$AB$214</f>
        <v>39.82</v>
      </c>
      <c r="AW214">
        <f>$H$214*$AC$214</f>
        <v>39.82</v>
      </c>
      <c r="AX214">
        <f>$H$214*$AD$214</f>
        <v>39.82</v>
      </c>
      <c r="AY214">
        <f>$H$214*$AE$214</f>
        <v>39.82</v>
      </c>
      <c r="AZ214">
        <f>$H$214*$AF$214</f>
        <v>39.82</v>
      </c>
    </row>
    <row r="215" spans="1:52" x14ac:dyDescent="0.25">
      <c r="A215">
        <v>258</v>
      </c>
      <c r="B215" t="s">
        <v>263</v>
      </c>
      <c r="C215" t="s">
        <v>437</v>
      </c>
      <c r="D215">
        <v>6</v>
      </c>
      <c r="E215">
        <v>112.38</v>
      </c>
      <c r="F215" t="s">
        <v>335</v>
      </c>
      <c r="G215">
        <v>18.73</v>
      </c>
      <c r="H215">
        <v>134.86000000000001</v>
      </c>
      <c r="I215" t="s">
        <v>438</v>
      </c>
      <c r="J215" t="s">
        <v>355</v>
      </c>
      <c r="K215" t="s">
        <v>597</v>
      </c>
      <c r="L215" t="s">
        <v>178</v>
      </c>
      <c r="M215" t="s">
        <v>263</v>
      </c>
      <c r="N215" t="s">
        <v>51</v>
      </c>
      <c r="O215" t="s">
        <v>264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263</v>
      </c>
      <c r="AH215" t="s">
        <v>51</v>
      </c>
      <c r="AI215" t="s">
        <v>264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134.86000000000001</v>
      </c>
      <c r="AV215">
        <f>$H$215*$AB$215</f>
        <v>134.86000000000001</v>
      </c>
      <c r="AW215">
        <f>$H$215*$AC$215</f>
        <v>134.86000000000001</v>
      </c>
      <c r="AX215">
        <f>$H$215*$AD$215</f>
        <v>134.86000000000001</v>
      </c>
      <c r="AY215">
        <f>$H$215*$AE$215</f>
        <v>134.86000000000001</v>
      </c>
      <c r="AZ215">
        <f>$H$215*$AF$215</f>
        <v>134.86000000000001</v>
      </c>
    </row>
    <row r="216" spans="1:52" x14ac:dyDescent="0.25">
      <c r="A216">
        <v>259</v>
      </c>
      <c r="B216" t="s">
        <v>263</v>
      </c>
      <c r="C216" t="s">
        <v>439</v>
      </c>
      <c r="D216">
        <v>0.75</v>
      </c>
      <c r="E216">
        <v>432.23</v>
      </c>
      <c r="F216" t="s">
        <v>317</v>
      </c>
      <c r="G216">
        <v>576.30999999999995</v>
      </c>
      <c r="H216">
        <v>518.66999999999996</v>
      </c>
      <c r="I216" t="s">
        <v>336</v>
      </c>
      <c r="J216" t="s">
        <v>440</v>
      </c>
      <c r="K216" t="s">
        <v>598</v>
      </c>
      <c r="L216" t="s">
        <v>178</v>
      </c>
      <c r="M216" t="s">
        <v>263</v>
      </c>
      <c r="N216" t="s">
        <v>51</v>
      </c>
      <c r="O216" t="s">
        <v>264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263</v>
      </c>
      <c r="AH216" t="s">
        <v>51</v>
      </c>
      <c r="AI216" t="s">
        <v>264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518.66999999999996</v>
      </c>
      <c r="AV216">
        <f>$H$216*$AB$216</f>
        <v>518.66999999999996</v>
      </c>
      <c r="AW216">
        <f>$H$216*$AC$216</f>
        <v>518.66999999999996</v>
      </c>
      <c r="AX216">
        <f>$H$216*$AD$216</f>
        <v>518.66999999999996</v>
      </c>
      <c r="AY216">
        <f>$H$216*$AE$216</f>
        <v>518.66999999999996</v>
      </c>
      <c r="AZ216">
        <f>$H$216*$AF$216</f>
        <v>518.66999999999996</v>
      </c>
    </row>
    <row r="217" spans="1:52" x14ac:dyDescent="0.25">
      <c r="A217">
        <v>260</v>
      </c>
      <c r="B217" t="s">
        <v>263</v>
      </c>
      <c r="C217" t="s">
        <v>439</v>
      </c>
      <c r="D217">
        <v>0.75</v>
      </c>
      <c r="E217">
        <v>432.23</v>
      </c>
      <c r="F217" t="s">
        <v>317</v>
      </c>
      <c r="G217">
        <v>576.30999999999995</v>
      </c>
      <c r="H217">
        <v>518.66999999999996</v>
      </c>
      <c r="I217" t="s">
        <v>336</v>
      </c>
      <c r="J217" t="s">
        <v>440</v>
      </c>
      <c r="K217" t="s">
        <v>598</v>
      </c>
      <c r="L217" t="s">
        <v>178</v>
      </c>
      <c r="M217" t="s">
        <v>263</v>
      </c>
      <c r="N217" t="s">
        <v>51</v>
      </c>
      <c r="O217" t="s">
        <v>264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263</v>
      </c>
      <c r="AH217" t="s">
        <v>51</v>
      </c>
      <c r="AI217" t="s">
        <v>264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518.66999999999996</v>
      </c>
      <c r="AV217">
        <f>$H$217*$AB$217</f>
        <v>518.66999999999996</v>
      </c>
      <c r="AW217">
        <f>$H$217*$AC$217</f>
        <v>518.66999999999996</v>
      </c>
      <c r="AX217">
        <f>$H$217*$AD$217</f>
        <v>518.66999999999996</v>
      </c>
      <c r="AY217">
        <f>$H$217*$AE$217</f>
        <v>518.66999999999996</v>
      </c>
      <c r="AZ217">
        <f>$H$217*$AF$217</f>
        <v>518.66999999999996</v>
      </c>
    </row>
    <row r="218" spans="1:52" x14ac:dyDescent="0.25">
      <c r="A218">
        <v>261</v>
      </c>
      <c r="B218" t="s">
        <v>263</v>
      </c>
      <c r="C218" t="s">
        <v>439</v>
      </c>
      <c r="D218">
        <v>0.75</v>
      </c>
      <c r="E218">
        <v>432.23</v>
      </c>
      <c r="F218" t="s">
        <v>317</v>
      </c>
      <c r="G218">
        <v>576.30999999999995</v>
      </c>
      <c r="H218">
        <v>518.66999999999996</v>
      </c>
      <c r="I218" t="s">
        <v>336</v>
      </c>
      <c r="J218" t="s">
        <v>440</v>
      </c>
      <c r="K218" t="s">
        <v>598</v>
      </c>
      <c r="L218" t="s">
        <v>178</v>
      </c>
      <c r="M218" t="s">
        <v>263</v>
      </c>
      <c r="N218" t="s">
        <v>51</v>
      </c>
      <c r="O218" t="s">
        <v>264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263</v>
      </c>
      <c r="AH218" t="s">
        <v>51</v>
      </c>
      <c r="AI218" t="s">
        <v>264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518.66999999999996</v>
      </c>
      <c r="AV218">
        <f>$H$218*$AB$218</f>
        <v>518.66999999999996</v>
      </c>
      <c r="AW218">
        <f>$H$218*$AC$218</f>
        <v>518.66999999999996</v>
      </c>
      <c r="AX218">
        <f>$H$218*$AD$218</f>
        <v>518.66999999999996</v>
      </c>
      <c r="AY218">
        <f>$H$218*$AE$218</f>
        <v>518.66999999999996</v>
      </c>
      <c r="AZ218">
        <f>$H$218*$AF$218</f>
        <v>518.66999999999996</v>
      </c>
    </row>
    <row r="219" spans="1:52" x14ac:dyDescent="0.25">
      <c r="A219">
        <v>262</v>
      </c>
      <c r="B219" t="s">
        <v>263</v>
      </c>
      <c r="C219" t="s">
        <v>439</v>
      </c>
      <c r="D219">
        <v>0.25</v>
      </c>
      <c r="E219">
        <v>144.08000000000001</v>
      </c>
      <c r="F219" t="s">
        <v>317</v>
      </c>
      <c r="G219">
        <v>576.30999999999995</v>
      </c>
      <c r="H219">
        <v>172.9</v>
      </c>
      <c r="I219" t="s">
        <v>336</v>
      </c>
      <c r="J219" t="s">
        <v>440</v>
      </c>
      <c r="K219" t="s">
        <v>598</v>
      </c>
      <c r="L219" t="s">
        <v>178</v>
      </c>
      <c r="M219" t="s">
        <v>263</v>
      </c>
      <c r="N219" t="s">
        <v>51</v>
      </c>
      <c r="O219" t="s">
        <v>264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263</v>
      </c>
      <c r="AH219" t="s">
        <v>51</v>
      </c>
      <c r="AI219" t="s">
        <v>264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172.9</v>
      </c>
      <c r="AV219">
        <f>$H$219*$AB$219</f>
        <v>172.9</v>
      </c>
      <c r="AW219">
        <f>$H$219*$AC$219</f>
        <v>172.9</v>
      </c>
      <c r="AX219">
        <f>$H$219*$AD$219</f>
        <v>172.9</v>
      </c>
      <c r="AY219">
        <f>$H$219*$AE$219</f>
        <v>172.9</v>
      </c>
      <c r="AZ219">
        <f>$H$219*$AF$219</f>
        <v>172.9</v>
      </c>
    </row>
    <row r="220" spans="1:52" x14ac:dyDescent="0.25">
      <c r="A220">
        <v>263</v>
      </c>
      <c r="B220" t="s">
        <v>263</v>
      </c>
      <c r="C220" t="s">
        <v>439</v>
      </c>
      <c r="D220">
        <v>0.25</v>
      </c>
      <c r="E220">
        <v>144.08000000000001</v>
      </c>
      <c r="F220" t="s">
        <v>317</v>
      </c>
      <c r="G220">
        <v>576.30999999999995</v>
      </c>
      <c r="H220">
        <v>172.9</v>
      </c>
      <c r="I220" t="s">
        <v>336</v>
      </c>
      <c r="J220" t="s">
        <v>440</v>
      </c>
      <c r="K220" t="s">
        <v>598</v>
      </c>
      <c r="L220" t="s">
        <v>178</v>
      </c>
      <c r="M220" t="s">
        <v>263</v>
      </c>
      <c r="N220" t="s">
        <v>51</v>
      </c>
      <c r="O220" t="s">
        <v>264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263</v>
      </c>
      <c r="AH220" t="s">
        <v>51</v>
      </c>
      <c r="AI220" t="s">
        <v>264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172.9</v>
      </c>
      <c r="AV220">
        <f>$H$220*$AB$220</f>
        <v>172.9</v>
      </c>
      <c r="AW220">
        <f>$H$220*$AC$220</f>
        <v>172.9</v>
      </c>
      <c r="AX220">
        <f>$H$220*$AD$220</f>
        <v>172.9</v>
      </c>
      <c r="AY220">
        <f>$H$220*$AE$220</f>
        <v>172.9</v>
      </c>
      <c r="AZ220">
        <f>$H$220*$AF$220</f>
        <v>172.9</v>
      </c>
    </row>
    <row r="221" spans="1:52" x14ac:dyDescent="0.25">
      <c r="A221">
        <v>264</v>
      </c>
      <c r="B221" t="s">
        <v>263</v>
      </c>
      <c r="C221" t="s">
        <v>439</v>
      </c>
      <c r="D221">
        <v>0.25</v>
      </c>
      <c r="E221">
        <v>144.08000000000001</v>
      </c>
      <c r="F221" t="s">
        <v>317</v>
      </c>
      <c r="G221">
        <v>576.30999999999995</v>
      </c>
      <c r="H221">
        <v>172.9</v>
      </c>
      <c r="I221" t="s">
        <v>336</v>
      </c>
      <c r="J221" t="s">
        <v>440</v>
      </c>
      <c r="K221" t="s">
        <v>598</v>
      </c>
      <c r="L221" t="s">
        <v>178</v>
      </c>
      <c r="M221" t="s">
        <v>263</v>
      </c>
      <c r="N221" t="s">
        <v>51</v>
      </c>
      <c r="O221" t="s">
        <v>264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263</v>
      </c>
      <c r="AH221" t="s">
        <v>51</v>
      </c>
      <c r="AI221" t="s">
        <v>264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0</v>
      </c>
      <c r="AS221">
        <f>$H$221*$Y$221</f>
        <v>0</v>
      </c>
      <c r="AT221">
        <f>$H$221*$Z$221</f>
        <v>0</v>
      </c>
      <c r="AU221">
        <f>$H$221*$AA$221</f>
        <v>172.9</v>
      </c>
      <c r="AV221">
        <f>$H$221*$AB$221</f>
        <v>172.9</v>
      </c>
      <c r="AW221">
        <f>$H$221*$AC$221</f>
        <v>172.9</v>
      </c>
      <c r="AX221">
        <f>$H$221*$AD$221</f>
        <v>172.9</v>
      </c>
      <c r="AY221">
        <f>$H$221*$AE$221</f>
        <v>172.9</v>
      </c>
      <c r="AZ221">
        <f>$H$221*$AF$221</f>
        <v>172.9</v>
      </c>
    </row>
    <row r="222" spans="1:52" x14ac:dyDescent="0.25">
      <c r="A222">
        <v>265</v>
      </c>
      <c r="B222" t="s">
        <v>263</v>
      </c>
      <c r="C222" t="s">
        <v>441</v>
      </c>
      <c r="D222">
        <v>1</v>
      </c>
      <c r="E222">
        <v>55.84</v>
      </c>
      <c r="F222" t="s">
        <v>317</v>
      </c>
      <c r="G222">
        <v>55.84</v>
      </c>
      <c r="H222">
        <v>67</v>
      </c>
      <c r="I222" t="s">
        <v>336</v>
      </c>
      <c r="J222" t="s">
        <v>442</v>
      </c>
      <c r="K222" t="s">
        <v>599</v>
      </c>
      <c r="L222" t="s">
        <v>178</v>
      </c>
      <c r="M222" t="s">
        <v>263</v>
      </c>
      <c r="N222" t="s">
        <v>51</v>
      </c>
      <c r="O222" t="s">
        <v>264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263</v>
      </c>
      <c r="AH222" t="s">
        <v>51</v>
      </c>
      <c r="AI222" t="s">
        <v>264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67</v>
      </c>
      <c r="AT222">
        <f>$H$222*$Z$222</f>
        <v>67</v>
      </c>
      <c r="AU222">
        <f>$H$222*$AA$222</f>
        <v>67</v>
      </c>
      <c r="AV222">
        <f>$H$222*$AB$222</f>
        <v>67</v>
      </c>
      <c r="AW222">
        <f>$H$222*$AC$222</f>
        <v>67</v>
      </c>
      <c r="AX222">
        <f>$H$222*$AD$222</f>
        <v>67</v>
      </c>
      <c r="AY222">
        <f>$H$222*$AE$222</f>
        <v>67</v>
      </c>
      <c r="AZ222">
        <f>$H$222*$AF$222</f>
        <v>67</v>
      </c>
    </row>
    <row r="223" spans="1:52" x14ac:dyDescent="0.25">
      <c r="A223">
        <v>266</v>
      </c>
      <c r="B223" t="s">
        <v>263</v>
      </c>
      <c r="C223" t="s">
        <v>443</v>
      </c>
      <c r="D223">
        <v>1</v>
      </c>
      <c r="E223">
        <v>519.16999999999996</v>
      </c>
      <c r="F223" t="s">
        <v>317</v>
      </c>
      <c r="G223">
        <v>519.16999999999996</v>
      </c>
      <c r="H223">
        <v>623.01</v>
      </c>
      <c r="I223" t="s">
        <v>336</v>
      </c>
      <c r="J223" t="s">
        <v>444</v>
      </c>
      <c r="K223" t="s">
        <v>600</v>
      </c>
      <c r="L223" t="s">
        <v>178</v>
      </c>
      <c r="M223" t="s">
        <v>263</v>
      </c>
      <c r="N223" t="s">
        <v>51</v>
      </c>
      <c r="O223" t="s">
        <v>264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263</v>
      </c>
      <c r="AH223" t="s">
        <v>51</v>
      </c>
      <c r="AI223" t="s">
        <v>264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623.01</v>
      </c>
      <c r="AT223">
        <f>$H$223*$Z$223</f>
        <v>623.01</v>
      </c>
      <c r="AU223">
        <f>$H$223*$AA$223</f>
        <v>623.01</v>
      </c>
      <c r="AV223">
        <f>$H$223*$AB$223</f>
        <v>623.01</v>
      </c>
      <c r="AW223">
        <f>$H$223*$AC$223</f>
        <v>623.01</v>
      </c>
      <c r="AX223">
        <f>$H$223*$AD$223</f>
        <v>623.01</v>
      </c>
      <c r="AY223">
        <f>$H$223*$AE$223</f>
        <v>623.01</v>
      </c>
      <c r="AZ223">
        <f>$H$223*$AF$223</f>
        <v>623.01</v>
      </c>
    </row>
    <row r="224" spans="1:52" x14ac:dyDescent="0.25">
      <c r="A224">
        <v>267</v>
      </c>
      <c r="B224" t="s">
        <v>263</v>
      </c>
      <c r="C224" t="s">
        <v>445</v>
      </c>
      <c r="D224">
        <v>1</v>
      </c>
      <c r="E224">
        <v>920.28</v>
      </c>
      <c r="F224" t="s">
        <v>317</v>
      </c>
      <c r="G224">
        <v>920.28</v>
      </c>
      <c r="H224">
        <v>1104.3399999999999</v>
      </c>
      <c r="I224" t="s">
        <v>336</v>
      </c>
      <c r="J224" t="s">
        <v>430</v>
      </c>
      <c r="K224" t="s">
        <v>601</v>
      </c>
      <c r="L224" t="s">
        <v>178</v>
      </c>
      <c r="M224" t="s">
        <v>263</v>
      </c>
      <c r="N224" t="s">
        <v>51</v>
      </c>
      <c r="O224" t="s">
        <v>264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263</v>
      </c>
      <c r="AH224" t="s">
        <v>51</v>
      </c>
      <c r="AI224" t="s">
        <v>264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1104.3399999999999</v>
      </c>
      <c r="AT224">
        <f>$H$224*$Z$224</f>
        <v>1104.3399999999999</v>
      </c>
      <c r="AU224">
        <f>$H$224*$AA$224</f>
        <v>1104.3399999999999</v>
      </c>
      <c r="AV224">
        <f>$H$224*$AB$224</f>
        <v>1104.3399999999999</v>
      </c>
      <c r="AW224">
        <f>$H$224*$AC$224</f>
        <v>1104.3399999999999</v>
      </c>
      <c r="AX224">
        <f>$H$224*$AD$224</f>
        <v>1104.3399999999999</v>
      </c>
      <c r="AY224">
        <f>$H$224*$AE$224</f>
        <v>1104.3399999999999</v>
      </c>
      <c r="AZ224">
        <f>$H$224*$AF$224</f>
        <v>1104.3399999999999</v>
      </c>
    </row>
    <row r="225" spans="1:52" x14ac:dyDescent="0.25">
      <c r="A225">
        <v>268</v>
      </c>
      <c r="B225" t="s">
        <v>263</v>
      </c>
      <c r="C225" t="s">
        <v>471</v>
      </c>
      <c r="D225">
        <v>1</v>
      </c>
      <c r="E225">
        <v>584.73</v>
      </c>
      <c r="F225" t="s">
        <v>317</v>
      </c>
      <c r="G225">
        <v>584.73</v>
      </c>
      <c r="H225">
        <v>701.67</v>
      </c>
      <c r="I225" t="s">
        <v>438</v>
      </c>
      <c r="J225" t="s">
        <v>472</v>
      </c>
      <c r="K225" t="s">
        <v>614</v>
      </c>
      <c r="L225" t="s">
        <v>178</v>
      </c>
      <c r="M225" t="s">
        <v>263</v>
      </c>
      <c r="N225" t="s">
        <v>51</v>
      </c>
      <c r="O225" t="s">
        <v>264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263</v>
      </c>
      <c r="AH225" t="s">
        <v>51</v>
      </c>
      <c r="AI225" t="s">
        <v>264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701.67</v>
      </c>
      <c r="AT225">
        <f>$H$225*$Z$225</f>
        <v>701.67</v>
      </c>
      <c r="AU225">
        <f>$H$225*$AA$225</f>
        <v>701.67</v>
      </c>
      <c r="AV225">
        <f>$H$225*$AB$225</f>
        <v>701.67</v>
      </c>
      <c r="AW225">
        <f>$H$225*$AC$225</f>
        <v>701.67</v>
      </c>
      <c r="AX225">
        <f>$H$225*$AD$225</f>
        <v>701.67</v>
      </c>
      <c r="AY225">
        <f>$H$225*$AE$225</f>
        <v>701.67</v>
      </c>
      <c r="AZ225">
        <f>$H$225*$AF$225</f>
        <v>701.67</v>
      </c>
    </row>
    <row r="226" spans="1:52" x14ac:dyDescent="0.25">
      <c r="A226">
        <v>269</v>
      </c>
      <c r="B226" t="s">
        <v>263</v>
      </c>
      <c r="C226" t="s">
        <v>473</v>
      </c>
      <c r="D226">
        <v>1</v>
      </c>
      <c r="E226">
        <v>166.15</v>
      </c>
      <c r="F226" t="s">
        <v>317</v>
      </c>
      <c r="G226">
        <v>166.15</v>
      </c>
      <c r="H226">
        <v>199.39</v>
      </c>
      <c r="I226" t="s">
        <v>336</v>
      </c>
      <c r="J226" t="s">
        <v>474</v>
      </c>
      <c r="K226" t="s">
        <v>615</v>
      </c>
      <c r="L226" t="s">
        <v>178</v>
      </c>
      <c r="M226" t="s">
        <v>263</v>
      </c>
      <c r="N226" t="s">
        <v>51</v>
      </c>
      <c r="O226" t="s">
        <v>264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263</v>
      </c>
      <c r="AH226" t="s">
        <v>51</v>
      </c>
      <c r="AI226" t="s">
        <v>264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199.39</v>
      </c>
      <c r="AR226">
        <f>$H$226*$X$226</f>
        <v>199.39</v>
      </c>
      <c r="AS226">
        <f>$H$226*$Y$226</f>
        <v>199.39</v>
      </c>
      <c r="AT226">
        <f>$H$226*$Z$226</f>
        <v>199.39</v>
      </c>
      <c r="AU226">
        <f>$H$226*$AA$226</f>
        <v>199.39</v>
      </c>
      <c r="AV226">
        <f>$H$226*$AB$226</f>
        <v>199.39</v>
      </c>
      <c r="AW226">
        <f>$H$226*$AC$226</f>
        <v>199.39</v>
      </c>
      <c r="AX226">
        <f>$H$226*$AD$226</f>
        <v>199.39</v>
      </c>
      <c r="AY226">
        <f>$H$226*$AE$226</f>
        <v>199.39</v>
      </c>
      <c r="AZ226">
        <f>$H$226*$AF$226</f>
        <v>199.39</v>
      </c>
    </row>
    <row r="227" spans="1:52" x14ac:dyDescent="0.25">
      <c r="A227">
        <v>270</v>
      </c>
      <c r="B227" t="s">
        <v>263</v>
      </c>
      <c r="C227" t="s">
        <v>448</v>
      </c>
      <c r="D227">
        <v>1</v>
      </c>
      <c r="E227">
        <v>327.22000000000003</v>
      </c>
      <c r="F227" t="s">
        <v>317</v>
      </c>
      <c r="G227">
        <v>327.22000000000003</v>
      </c>
      <c r="H227">
        <v>392.66</v>
      </c>
      <c r="I227" t="s">
        <v>336</v>
      </c>
      <c r="J227" t="s">
        <v>449</v>
      </c>
      <c r="K227" t="s">
        <v>603</v>
      </c>
      <c r="L227" t="s">
        <v>178</v>
      </c>
      <c r="M227" t="s">
        <v>263</v>
      </c>
      <c r="N227" t="s">
        <v>51</v>
      </c>
      <c r="O227" t="s">
        <v>264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263</v>
      </c>
      <c r="AH227" t="s">
        <v>51</v>
      </c>
      <c r="AI227" t="s">
        <v>264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392.66</v>
      </c>
      <c r="AV227">
        <f>$H$227*$AB$227</f>
        <v>392.66</v>
      </c>
      <c r="AW227">
        <f>$H$227*$AC$227</f>
        <v>392.66</v>
      </c>
      <c r="AX227">
        <f>$H$227*$AD$227</f>
        <v>392.66</v>
      </c>
      <c r="AY227">
        <f>$H$227*$AE$227</f>
        <v>392.66</v>
      </c>
      <c r="AZ227">
        <f>$H$227*$AF$227</f>
        <v>392.66</v>
      </c>
    </row>
    <row r="228" spans="1:52" x14ac:dyDescent="0.25">
      <c r="A228">
        <v>271</v>
      </c>
      <c r="B228" t="s">
        <v>263</v>
      </c>
      <c r="C228" t="s">
        <v>465</v>
      </c>
      <c r="D228">
        <v>1</v>
      </c>
      <c r="E228">
        <v>226.94</v>
      </c>
      <c r="F228" t="s">
        <v>317</v>
      </c>
      <c r="G228">
        <v>226.94</v>
      </c>
      <c r="H228">
        <v>272.32</v>
      </c>
      <c r="I228" t="s">
        <v>336</v>
      </c>
      <c r="J228" t="s">
        <v>466</v>
      </c>
      <c r="K228" t="s">
        <v>611</v>
      </c>
      <c r="L228" t="s">
        <v>178</v>
      </c>
      <c r="M228" t="s">
        <v>263</v>
      </c>
      <c r="N228" t="s">
        <v>51</v>
      </c>
      <c r="O228" t="s">
        <v>264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263</v>
      </c>
      <c r="AH228" t="s">
        <v>51</v>
      </c>
      <c r="AI228" t="s">
        <v>264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272.32</v>
      </c>
      <c r="AV228">
        <f>$H$228*$AB$228</f>
        <v>272.32</v>
      </c>
      <c r="AW228">
        <f>$H$228*$AC$228</f>
        <v>272.32</v>
      </c>
      <c r="AX228">
        <f>$H$228*$AD$228</f>
        <v>272.32</v>
      </c>
      <c r="AY228">
        <f>$H$228*$AE$228</f>
        <v>272.32</v>
      </c>
      <c r="AZ228">
        <f>$H$228*$AF$228</f>
        <v>272.32</v>
      </c>
    </row>
    <row r="229" spans="1:52" x14ac:dyDescent="0.25">
      <c r="A229">
        <v>272</v>
      </c>
      <c r="B229" t="s">
        <v>263</v>
      </c>
      <c r="C229" t="s">
        <v>450</v>
      </c>
      <c r="D229">
        <v>10</v>
      </c>
      <c r="E229">
        <v>65.7</v>
      </c>
      <c r="F229" t="s">
        <v>311</v>
      </c>
      <c r="G229">
        <v>6.57</v>
      </c>
      <c r="H229">
        <v>78.84</v>
      </c>
      <c r="I229" t="s">
        <v>325</v>
      </c>
      <c r="J229" t="s">
        <v>451</v>
      </c>
      <c r="K229" t="s">
        <v>604</v>
      </c>
      <c r="L229" t="s">
        <v>178</v>
      </c>
      <c r="M229" t="s">
        <v>263</v>
      </c>
      <c r="N229" t="s">
        <v>51</v>
      </c>
      <c r="O229" t="s">
        <v>264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1</v>
      </c>
      <c r="AF229">
        <v>1</v>
      </c>
      <c r="AG229" t="s">
        <v>263</v>
      </c>
      <c r="AH229" t="s">
        <v>51</v>
      </c>
      <c r="AI229" t="s">
        <v>264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0</v>
      </c>
      <c r="AN229">
        <f>$H$229*$T$229</f>
        <v>0</v>
      </c>
      <c r="AO229">
        <f>$H$229*$U$229</f>
        <v>0</v>
      </c>
      <c r="AP229">
        <f>$H$229*$V$229</f>
        <v>0</v>
      </c>
      <c r="AQ229">
        <f>$H$229*$W$229</f>
        <v>0</v>
      </c>
      <c r="AR229">
        <f>$H$229*$X$229</f>
        <v>0</v>
      </c>
      <c r="AS229">
        <f>$H$229*$Y$229</f>
        <v>0</v>
      </c>
      <c r="AT229">
        <f>$H$229*$Z$229</f>
        <v>0</v>
      </c>
      <c r="AU229">
        <f>$H$229*$AA$229</f>
        <v>0</v>
      </c>
      <c r="AV229">
        <f>$H$229*$AB$229</f>
        <v>0</v>
      </c>
      <c r="AW229">
        <f>$H$229*$AC$229</f>
        <v>0</v>
      </c>
      <c r="AX229">
        <f>$H$229*$AD$229</f>
        <v>78.84</v>
      </c>
      <c r="AY229">
        <f>$H$229*$AE$229</f>
        <v>78.84</v>
      </c>
      <c r="AZ229">
        <f>$H$229*$AF$229</f>
        <v>78.84</v>
      </c>
    </row>
    <row r="230" spans="1:52" x14ac:dyDescent="0.25">
      <c r="A230">
        <v>273</v>
      </c>
      <c r="B230" t="s">
        <v>263</v>
      </c>
      <c r="C230" t="s">
        <v>452</v>
      </c>
      <c r="D230">
        <v>1</v>
      </c>
      <c r="E230">
        <v>120.98</v>
      </c>
      <c r="F230" t="s">
        <v>317</v>
      </c>
      <c r="G230">
        <v>120.98</v>
      </c>
      <c r="H230">
        <v>145.18</v>
      </c>
      <c r="I230" t="s">
        <v>325</v>
      </c>
      <c r="J230" t="s">
        <v>453</v>
      </c>
      <c r="K230" t="s">
        <v>605</v>
      </c>
      <c r="L230" t="s">
        <v>178</v>
      </c>
      <c r="M230" t="s">
        <v>263</v>
      </c>
      <c r="N230" t="s">
        <v>51</v>
      </c>
      <c r="O230" t="s">
        <v>264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1</v>
      </c>
      <c r="AF230">
        <v>1</v>
      </c>
      <c r="AG230" t="s">
        <v>263</v>
      </c>
      <c r="AH230" t="s">
        <v>51</v>
      </c>
      <c r="AI230" t="s">
        <v>264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0</v>
      </c>
      <c r="AV230">
        <f>$H$230*$AB$230</f>
        <v>0</v>
      </c>
      <c r="AW230">
        <f>$H$230*$AC$230</f>
        <v>0</v>
      </c>
      <c r="AX230">
        <f>$H$230*$AD$230</f>
        <v>145.18</v>
      </c>
      <c r="AY230">
        <f>$H$230*$AE$230</f>
        <v>145.18</v>
      </c>
      <c r="AZ230">
        <f>$H$230*$AF$230</f>
        <v>145.18</v>
      </c>
    </row>
    <row r="231" spans="1:52" x14ac:dyDescent="0.25">
      <c r="A231">
        <v>274</v>
      </c>
      <c r="B231" t="s">
        <v>263</v>
      </c>
      <c r="C231" t="s">
        <v>475</v>
      </c>
      <c r="D231">
        <v>1</v>
      </c>
      <c r="E231">
        <v>155.46</v>
      </c>
      <c r="F231" t="s">
        <v>317</v>
      </c>
      <c r="G231">
        <v>155.46</v>
      </c>
      <c r="H231">
        <v>186.56</v>
      </c>
      <c r="I231" t="s">
        <v>322</v>
      </c>
      <c r="J231" t="s">
        <v>476</v>
      </c>
      <c r="K231" t="s">
        <v>616</v>
      </c>
      <c r="L231" t="s">
        <v>178</v>
      </c>
      <c r="M231" t="s">
        <v>263</v>
      </c>
      <c r="N231" t="s">
        <v>51</v>
      </c>
      <c r="O231" t="s">
        <v>264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1</v>
      </c>
      <c r="AF231">
        <v>1</v>
      </c>
      <c r="AG231" t="s">
        <v>263</v>
      </c>
      <c r="AH231" t="s">
        <v>51</v>
      </c>
      <c r="AI231" t="s">
        <v>264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0</v>
      </c>
      <c r="AO231">
        <f>$H$231*$U$231</f>
        <v>0</v>
      </c>
      <c r="AP231">
        <f>$H$231*$V$231</f>
        <v>0</v>
      </c>
      <c r="AQ231">
        <f>$H$231*$W$231</f>
        <v>0</v>
      </c>
      <c r="AR231">
        <f>$H$231*$X$231</f>
        <v>0</v>
      </c>
      <c r="AS231">
        <f>$H$231*$Y$231</f>
        <v>0</v>
      </c>
      <c r="AT231">
        <f>$H$231*$Z$231</f>
        <v>0</v>
      </c>
      <c r="AU231">
        <f>$H$231*$AA$231</f>
        <v>0</v>
      </c>
      <c r="AV231">
        <f>$H$231*$AB$231</f>
        <v>0</v>
      </c>
      <c r="AW231">
        <f>$H$231*$AC$231</f>
        <v>0</v>
      </c>
      <c r="AX231">
        <f>$H$231*$AD$231</f>
        <v>186.56</v>
      </c>
      <c r="AY231">
        <f>$H$231*$AE$231</f>
        <v>186.56</v>
      </c>
      <c r="AZ231">
        <f>$H$231*$AF$231</f>
        <v>186.56</v>
      </c>
    </row>
    <row r="232" spans="1:52" x14ac:dyDescent="0.25">
      <c r="A232">
        <v>275</v>
      </c>
      <c r="B232" t="s">
        <v>263</v>
      </c>
      <c r="C232" t="s">
        <v>350</v>
      </c>
      <c r="D232">
        <v>1</v>
      </c>
      <c r="E232">
        <v>47.96</v>
      </c>
      <c r="F232" t="s">
        <v>317</v>
      </c>
      <c r="G232">
        <v>47.96</v>
      </c>
      <c r="H232">
        <v>57.56</v>
      </c>
      <c r="I232" t="s">
        <v>351</v>
      </c>
      <c r="J232" t="s">
        <v>352</v>
      </c>
      <c r="K232" t="s">
        <v>554</v>
      </c>
      <c r="L232" t="s">
        <v>178</v>
      </c>
      <c r="M232" t="s">
        <v>263</v>
      </c>
      <c r="N232" t="s">
        <v>51</v>
      </c>
      <c r="O232" t="s">
        <v>264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263</v>
      </c>
      <c r="AH232" t="s">
        <v>51</v>
      </c>
      <c r="AI232" t="s">
        <v>264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0</v>
      </c>
      <c r="AO232">
        <f>$H$232*$U$232</f>
        <v>0</v>
      </c>
      <c r="AP232">
        <f>$H$232*$V$232</f>
        <v>0</v>
      </c>
      <c r="AQ232">
        <f>$H$232*$W$232</f>
        <v>0</v>
      </c>
      <c r="AR232">
        <f>$H$232*$X$232</f>
        <v>0</v>
      </c>
      <c r="AS232">
        <f>$H$232*$Y$232</f>
        <v>0</v>
      </c>
      <c r="AT232">
        <f>$H$232*$Z$232</f>
        <v>0</v>
      </c>
      <c r="AU232">
        <f>$H$232*$AA$232</f>
        <v>57.56</v>
      </c>
      <c r="AV232">
        <f>$H$232*$AB$232</f>
        <v>57.56</v>
      </c>
      <c r="AW232">
        <f>$H$232*$AC$232</f>
        <v>57.56</v>
      </c>
      <c r="AX232">
        <f>$H$232*$AD$232</f>
        <v>57.56</v>
      </c>
      <c r="AY232">
        <f>$H$232*$AE$232</f>
        <v>57.56</v>
      </c>
      <c r="AZ232">
        <f>$H$232*$AF$232</f>
        <v>57.56</v>
      </c>
    </row>
    <row r="233" spans="1:52" x14ac:dyDescent="0.25">
      <c r="A233">
        <v>276</v>
      </c>
      <c r="B233" t="s">
        <v>263</v>
      </c>
      <c r="C233" t="s">
        <v>358</v>
      </c>
      <c r="D233">
        <v>2</v>
      </c>
      <c r="E233">
        <v>77.86</v>
      </c>
      <c r="F233" t="s">
        <v>317</v>
      </c>
      <c r="G233">
        <v>38.93</v>
      </c>
      <c r="H233">
        <v>93.44</v>
      </c>
      <c r="I233" t="s">
        <v>312</v>
      </c>
      <c r="J233" t="s">
        <v>354</v>
      </c>
      <c r="K233" t="s">
        <v>557</v>
      </c>
      <c r="L233" t="s">
        <v>178</v>
      </c>
      <c r="M233" t="s">
        <v>263</v>
      </c>
      <c r="N233" t="s">
        <v>51</v>
      </c>
      <c r="O233" t="s">
        <v>264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263</v>
      </c>
      <c r="AH233" t="s">
        <v>51</v>
      </c>
      <c r="AI233" t="s">
        <v>264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93.44</v>
      </c>
      <c r="AN233">
        <f>$H$233*$T$233</f>
        <v>93.44</v>
      </c>
      <c r="AO233">
        <f>$H$233*$U$233</f>
        <v>93.44</v>
      </c>
      <c r="AP233">
        <f>$H$233*$V$233</f>
        <v>93.44</v>
      </c>
      <c r="AQ233">
        <f>$H$233*$W$233</f>
        <v>93.44</v>
      </c>
      <c r="AR233">
        <f>$H$233*$X$233</f>
        <v>93.44</v>
      </c>
      <c r="AS233">
        <f>$H$233*$Y$233</f>
        <v>93.44</v>
      </c>
      <c r="AT233">
        <f>$H$233*$Z$233</f>
        <v>93.44</v>
      </c>
      <c r="AU233">
        <f>$H$233*$AA$233</f>
        <v>93.44</v>
      </c>
      <c r="AV233">
        <f>$H$233*$AB$233</f>
        <v>93.44</v>
      </c>
      <c r="AW233">
        <f>$H$233*$AC$233</f>
        <v>93.44</v>
      </c>
      <c r="AX233">
        <f>$H$233*$AD$233</f>
        <v>93.44</v>
      </c>
      <c r="AY233">
        <f>$H$233*$AE$233</f>
        <v>93.44</v>
      </c>
      <c r="AZ233">
        <f>$H$233*$AF$233</f>
        <v>93.44</v>
      </c>
    </row>
    <row r="234" spans="1:52" x14ac:dyDescent="0.25">
      <c r="A234">
        <v>277</v>
      </c>
      <c r="B234" t="s">
        <v>263</v>
      </c>
      <c r="C234" t="s">
        <v>356</v>
      </c>
      <c r="D234">
        <v>2</v>
      </c>
      <c r="E234">
        <v>62.72</v>
      </c>
      <c r="F234" t="s">
        <v>317</v>
      </c>
      <c r="G234">
        <v>31.36</v>
      </c>
      <c r="H234">
        <v>75.260000000000005</v>
      </c>
      <c r="I234" t="s">
        <v>312</v>
      </c>
      <c r="J234" t="s">
        <v>357</v>
      </c>
      <c r="K234" t="s">
        <v>556</v>
      </c>
      <c r="L234" t="s">
        <v>178</v>
      </c>
      <c r="M234" t="s">
        <v>263</v>
      </c>
      <c r="N234" t="s">
        <v>51</v>
      </c>
      <c r="O234" t="s">
        <v>264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263</v>
      </c>
      <c r="AH234" t="s">
        <v>51</v>
      </c>
      <c r="AI234" t="s">
        <v>264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75.260000000000005</v>
      </c>
      <c r="AN234">
        <f>$H$234*$T$234</f>
        <v>75.260000000000005</v>
      </c>
      <c r="AO234">
        <f>$H$234*$U$234</f>
        <v>75.260000000000005</v>
      </c>
      <c r="AP234">
        <f>$H$234*$V$234</f>
        <v>75.260000000000005</v>
      </c>
      <c r="AQ234">
        <f>$H$234*$W$234</f>
        <v>75.260000000000005</v>
      </c>
      <c r="AR234">
        <f>$H$234*$X$234</f>
        <v>75.260000000000005</v>
      </c>
      <c r="AS234">
        <f>$H$234*$Y$234</f>
        <v>75.260000000000005</v>
      </c>
      <c r="AT234">
        <f>$H$234*$Z$234</f>
        <v>75.260000000000005</v>
      </c>
      <c r="AU234">
        <f>$H$234*$AA$234</f>
        <v>75.260000000000005</v>
      </c>
      <c r="AV234">
        <f>$H$234*$AB$234</f>
        <v>75.260000000000005</v>
      </c>
      <c r="AW234">
        <f>$H$234*$AC$234</f>
        <v>75.260000000000005</v>
      </c>
      <c r="AX234">
        <f>$H$234*$AD$234</f>
        <v>75.260000000000005</v>
      </c>
      <c r="AY234">
        <f>$H$234*$AE$234</f>
        <v>75.260000000000005</v>
      </c>
      <c r="AZ234">
        <f>$H$234*$AF$234</f>
        <v>75.260000000000005</v>
      </c>
    </row>
    <row r="235" spans="1:52" x14ac:dyDescent="0.25">
      <c r="A235">
        <v>278</v>
      </c>
      <c r="B235" t="s">
        <v>263</v>
      </c>
      <c r="C235" t="s">
        <v>353</v>
      </c>
      <c r="D235">
        <v>1</v>
      </c>
      <c r="E235">
        <v>365.09</v>
      </c>
      <c r="F235" t="s">
        <v>317</v>
      </c>
      <c r="G235">
        <v>365.09</v>
      </c>
      <c r="H235">
        <v>438.11</v>
      </c>
      <c r="I235" t="s">
        <v>354</v>
      </c>
      <c r="J235" t="s">
        <v>355</v>
      </c>
      <c r="K235" t="s">
        <v>555</v>
      </c>
      <c r="L235" t="s">
        <v>178</v>
      </c>
      <c r="M235" t="s">
        <v>263</v>
      </c>
      <c r="N235" t="s">
        <v>51</v>
      </c>
      <c r="O235" t="s">
        <v>264</v>
      </c>
      <c r="P235">
        <v>0</v>
      </c>
      <c r="Q235">
        <v>0</v>
      </c>
      <c r="R235">
        <v>0</v>
      </c>
      <c r="S235">
        <v>0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263</v>
      </c>
      <c r="AH235" t="s">
        <v>51</v>
      </c>
      <c r="AI235" t="s">
        <v>264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438.11</v>
      </c>
      <c r="AO235">
        <f>$H$235*$U$235</f>
        <v>438.11</v>
      </c>
      <c r="AP235">
        <f>$H$235*$V$235</f>
        <v>438.11</v>
      </c>
      <c r="AQ235">
        <f>$H$235*$W$235</f>
        <v>438.11</v>
      </c>
      <c r="AR235">
        <f>$H$235*$X$235</f>
        <v>438.11</v>
      </c>
      <c r="AS235">
        <f>$H$235*$Y$235</f>
        <v>438.11</v>
      </c>
      <c r="AT235">
        <f>$H$235*$Z$235</f>
        <v>438.11</v>
      </c>
      <c r="AU235">
        <f>$H$235*$AA$235</f>
        <v>438.11</v>
      </c>
      <c r="AV235">
        <f>$H$235*$AB$235</f>
        <v>438.11</v>
      </c>
      <c r="AW235">
        <f>$H$235*$AC$235</f>
        <v>438.11</v>
      </c>
      <c r="AX235">
        <f>$H$235*$AD$235</f>
        <v>438.11</v>
      </c>
      <c r="AY235">
        <f>$H$235*$AE$235</f>
        <v>438.11</v>
      </c>
      <c r="AZ235">
        <f>$H$235*$AF$235</f>
        <v>438.11</v>
      </c>
    </row>
    <row r="236" spans="1:52" x14ac:dyDescent="0.25">
      <c r="A236">
        <v>279</v>
      </c>
      <c r="B236" t="s">
        <v>263</v>
      </c>
      <c r="C236" t="s">
        <v>458</v>
      </c>
      <c r="D236">
        <v>4</v>
      </c>
      <c r="E236">
        <v>925.2</v>
      </c>
      <c r="F236" t="s">
        <v>311</v>
      </c>
      <c r="G236">
        <v>231.3</v>
      </c>
      <c r="H236">
        <v>1110.24</v>
      </c>
      <c r="I236" t="s">
        <v>459</v>
      </c>
      <c r="J236" t="s">
        <v>460</v>
      </c>
      <c r="K236" t="s">
        <v>608</v>
      </c>
      <c r="L236" t="s">
        <v>178</v>
      </c>
      <c r="M236" t="s">
        <v>263</v>
      </c>
      <c r="N236" t="s">
        <v>51</v>
      </c>
      <c r="O236" t="s">
        <v>264</v>
      </c>
      <c r="P236">
        <v>0</v>
      </c>
      <c r="Q236">
        <v>0</v>
      </c>
      <c r="R236">
        <v>0</v>
      </c>
      <c r="S236">
        <v>0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263</v>
      </c>
      <c r="AH236" t="s">
        <v>51</v>
      </c>
      <c r="AI236" t="s">
        <v>264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1110.24</v>
      </c>
      <c r="AO236">
        <f>$H$236*$U$236</f>
        <v>1110.24</v>
      </c>
      <c r="AP236">
        <f>$H$236*$V$236</f>
        <v>1110.24</v>
      </c>
      <c r="AQ236">
        <f>$H$236*$W$236</f>
        <v>1110.24</v>
      </c>
      <c r="AR236">
        <f>$H$236*$X$236</f>
        <v>1110.24</v>
      </c>
      <c r="AS236">
        <f>$H$236*$Y$236</f>
        <v>1110.24</v>
      </c>
      <c r="AT236">
        <f>$H$236*$Z$236</f>
        <v>1110.24</v>
      </c>
      <c r="AU236">
        <f>$H$236*$AA$236</f>
        <v>1110.24</v>
      </c>
      <c r="AV236">
        <f>$H$236*$AB$236</f>
        <v>1110.24</v>
      </c>
      <c r="AW236">
        <f>$H$236*$AC$236</f>
        <v>1110.24</v>
      </c>
      <c r="AX236">
        <f>$H$236*$AD$236</f>
        <v>1110.24</v>
      </c>
      <c r="AY236">
        <f>$H$236*$AE$236</f>
        <v>1110.24</v>
      </c>
      <c r="AZ236">
        <f>$H$236*$AF$236</f>
        <v>1110.24</v>
      </c>
    </row>
    <row r="237" spans="1:52" x14ac:dyDescent="0.25">
      <c r="A237">
        <v>280</v>
      </c>
      <c r="B237" t="s">
        <v>263</v>
      </c>
      <c r="C237" t="s">
        <v>461</v>
      </c>
      <c r="D237">
        <v>4</v>
      </c>
      <c r="E237">
        <v>38.56</v>
      </c>
      <c r="F237" t="s">
        <v>311</v>
      </c>
      <c r="G237">
        <v>9.64</v>
      </c>
      <c r="H237">
        <v>46.28</v>
      </c>
      <c r="I237" t="s">
        <v>459</v>
      </c>
      <c r="J237" t="s">
        <v>462</v>
      </c>
      <c r="K237" t="s">
        <v>609</v>
      </c>
      <c r="L237" t="s">
        <v>178</v>
      </c>
      <c r="M237" t="s">
        <v>263</v>
      </c>
      <c r="N237" t="s">
        <v>51</v>
      </c>
      <c r="O237" t="s">
        <v>264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263</v>
      </c>
      <c r="AH237" t="s">
        <v>51</v>
      </c>
      <c r="AI237" t="s">
        <v>264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46.28</v>
      </c>
      <c r="AU237">
        <f>$H$237*$AA$237</f>
        <v>46.28</v>
      </c>
      <c r="AV237">
        <f>$H$237*$AB$237</f>
        <v>46.28</v>
      </c>
      <c r="AW237">
        <f>$H$237*$AC$237</f>
        <v>46.28</v>
      </c>
      <c r="AX237">
        <f>$H$237*$AD$237</f>
        <v>46.28</v>
      </c>
      <c r="AY237">
        <f>$H$237*$AE$237</f>
        <v>46.28</v>
      </c>
      <c r="AZ237">
        <f>$H$237*$AF$237</f>
        <v>46.28</v>
      </c>
    </row>
    <row r="238" spans="1:52" x14ac:dyDescent="0.25">
      <c r="A238">
        <v>281</v>
      </c>
      <c r="B238" t="s">
        <v>263</v>
      </c>
      <c r="C238" t="s">
        <v>463</v>
      </c>
      <c r="D238">
        <v>4</v>
      </c>
      <c r="E238">
        <v>190.76</v>
      </c>
      <c r="F238" t="s">
        <v>311</v>
      </c>
      <c r="G238">
        <v>47.69</v>
      </c>
      <c r="H238">
        <v>228.92</v>
      </c>
      <c r="I238" t="s">
        <v>459</v>
      </c>
      <c r="J238" t="s">
        <v>464</v>
      </c>
      <c r="K238" t="s">
        <v>610</v>
      </c>
      <c r="L238" t="s">
        <v>178</v>
      </c>
      <c r="M238" t="s">
        <v>263</v>
      </c>
      <c r="N238" t="s">
        <v>51</v>
      </c>
      <c r="O238" t="s">
        <v>264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263</v>
      </c>
      <c r="AH238" t="s">
        <v>51</v>
      </c>
      <c r="AI238" t="s">
        <v>264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0</v>
      </c>
      <c r="AN238">
        <f>$H$238*$T$238</f>
        <v>0</v>
      </c>
      <c r="AO238">
        <f>$H$238*$U$238</f>
        <v>0</v>
      </c>
      <c r="AP238">
        <f>$H$238*$V$238</f>
        <v>0</v>
      </c>
      <c r="AQ238">
        <f>$H$238*$W$238</f>
        <v>0</v>
      </c>
      <c r="AR238">
        <f>$H$238*$X$238</f>
        <v>0</v>
      </c>
      <c r="AS238">
        <f>$H$238*$Y$238</f>
        <v>0</v>
      </c>
      <c r="AT238">
        <f>$H$238*$Z$238</f>
        <v>228.92</v>
      </c>
      <c r="AU238">
        <f>$H$238*$AA$238</f>
        <v>228.92</v>
      </c>
      <c r="AV238">
        <f>$H$238*$AB$238</f>
        <v>228.92</v>
      </c>
      <c r="AW238">
        <f>$H$238*$AC$238</f>
        <v>228.92</v>
      </c>
      <c r="AX238">
        <f>$H$238*$AD$238</f>
        <v>228.92</v>
      </c>
      <c r="AY238">
        <f>$H$238*$AE$238</f>
        <v>228.92</v>
      </c>
      <c r="AZ238">
        <f>$H$238*$AF$238</f>
        <v>228.92</v>
      </c>
    </row>
    <row r="239" spans="1:52" x14ac:dyDescent="0.25">
      <c r="A239">
        <v>282</v>
      </c>
      <c r="B239" t="s">
        <v>263</v>
      </c>
      <c r="C239" t="s">
        <v>465</v>
      </c>
      <c r="D239">
        <v>1</v>
      </c>
      <c r="E239">
        <v>226.94</v>
      </c>
      <c r="F239" t="s">
        <v>317</v>
      </c>
      <c r="G239">
        <v>226.94</v>
      </c>
      <c r="H239">
        <v>272.32</v>
      </c>
      <c r="I239" t="s">
        <v>336</v>
      </c>
      <c r="J239" t="s">
        <v>466</v>
      </c>
      <c r="K239" t="s">
        <v>611</v>
      </c>
      <c r="L239" t="s">
        <v>178</v>
      </c>
      <c r="M239" t="s">
        <v>263</v>
      </c>
      <c r="N239" t="s">
        <v>51</v>
      </c>
      <c r="O239" t="s">
        <v>264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263</v>
      </c>
      <c r="AH239" t="s">
        <v>51</v>
      </c>
      <c r="AI239" t="s">
        <v>264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0</v>
      </c>
      <c r="AT239">
        <f>$H$239*$Z$239</f>
        <v>0</v>
      </c>
      <c r="AU239">
        <f>$H$239*$AA$239</f>
        <v>272.32</v>
      </c>
      <c r="AV239">
        <f>$H$239*$AB$239</f>
        <v>272.32</v>
      </c>
      <c r="AW239">
        <f>$H$239*$AC$239</f>
        <v>272.32</v>
      </c>
      <c r="AX239">
        <f>$H$239*$AD$239</f>
        <v>272.32</v>
      </c>
      <c r="AY239">
        <f>$H$239*$AE$239</f>
        <v>272.32</v>
      </c>
      <c r="AZ239">
        <f>$H$239*$AF$239</f>
        <v>272.32</v>
      </c>
    </row>
    <row r="240" spans="1:52" x14ac:dyDescent="0.25">
      <c r="A240">
        <v>283</v>
      </c>
      <c r="B240" t="s">
        <v>263</v>
      </c>
      <c r="C240" t="s">
        <v>439</v>
      </c>
      <c r="D240">
        <v>0.75</v>
      </c>
      <c r="E240">
        <v>432.23</v>
      </c>
      <c r="F240" t="s">
        <v>317</v>
      </c>
      <c r="G240">
        <v>576.30999999999995</v>
      </c>
      <c r="H240">
        <v>518.66999999999996</v>
      </c>
      <c r="I240" t="s">
        <v>336</v>
      </c>
      <c r="J240" t="s">
        <v>440</v>
      </c>
      <c r="K240" t="s">
        <v>598</v>
      </c>
      <c r="L240" t="s">
        <v>178</v>
      </c>
      <c r="M240" t="s">
        <v>263</v>
      </c>
      <c r="N240" t="s">
        <v>51</v>
      </c>
      <c r="O240" t="s">
        <v>264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263</v>
      </c>
      <c r="AH240" t="s">
        <v>51</v>
      </c>
      <c r="AI240" t="s">
        <v>264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518.66999999999996</v>
      </c>
      <c r="AV240">
        <f>$H$240*$AB$240</f>
        <v>518.66999999999996</v>
      </c>
      <c r="AW240">
        <f>$H$240*$AC$240</f>
        <v>518.66999999999996</v>
      </c>
      <c r="AX240">
        <f>$H$240*$AD$240</f>
        <v>518.66999999999996</v>
      </c>
      <c r="AY240">
        <f>$H$240*$AE$240</f>
        <v>518.66999999999996</v>
      </c>
      <c r="AZ240">
        <f>$H$240*$AF$240</f>
        <v>518.66999999999996</v>
      </c>
    </row>
    <row r="241" spans="1:52" x14ac:dyDescent="0.25">
      <c r="A241">
        <v>284</v>
      </c>
      <c r="B241" t="s">
        <v>263</v>
      </c>
      <c r="C241" t="s">
        <v>439</v>
      </c>
      <c r="D241">
        <v>0.25</v>
      </c>
      <c r="E241">
        <v>144.08000000000001</v>
      </c>
      <c r="F241" t="s">
        <v>317</v>
      </c>
      <c r="G241">
        <v>576.30999999999995</v>
      </c>
      <c r="H241">
        <v>172.9</v>
      </c>
      <c r="I241" t="s">
        <v>336</v>
      </c>
      <c r="J241" t="s">
        <v>440</v>
      </c>
      <c r="K241" t="s">
        <v>598</v>
      </c>
      <c r="L241" t="s">
        <v>178</v>
      </c>
      <c r="M241" t="s">
        <v>263</v>
      </c>
      <c r="N241" t="s">
        <v>51</v>
      </c>
      <c r="O241" t="s">
        <v>264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263</v>
      </c>
      <c r="AH241" t="s">
        <v>51</v>
      </c>
      <c r="AI241" t="s">
        <v>264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172.9</v>
      </c>
      <c r="AV241">
        <f>$H$241*$AB$241</f>
        <v>172.9</v>
      </c>
      <c r="AW241">
        <f>$H$241*$AC$241</f>
        <v>172.9</v>
      </c>
      <c r="AX241">
        <f>$H$241*$AD$241</f>
        <v>172.9</v>
      </c>
      <c r="AY241">
        <f>$H$241*$AE$241</f>
        <v>172.9</v>
      </c>
      <c r="AZ241">
        <f>$H$241*$AF$241</f>
        <v>172.9</v>
      </c>
    </row>
    <row r="242" spans="1:52" x14ac:dyDescent="0.25">
      <c r="A242">
        <v>285</v>
      </c>
      <c r="B242" t="s">
        <v>263</v>
      </c>
      <c r="C242" t="s">
        <v>467</v>
      </c>
      <c r="D242">
        <v>1</v>
      </c>
      <c r="E242">
        <v>291.27999999999997</v>
      </c>
      <c r="F242" t="s">
        <v>317</v>
      </c>
      <c r="G242">
        <v>291.27999999999997</v>
      </c>
      <c r="H242">
        <v>349.54</v>
      </c>
      <c r="I242" t="s">
        <v>336</v>
      </c>
      <c r="J242" t="s">
        <v>468</v>
      </c>
      <c r="K242" t="s">
        <v>612</v>
      </c>
      <c r="L242" t="s">
        <v>178</v>
      </c>
      <c r="M242" t="s">
        <v>263</v>
      </c>
      <c r="N242" t="s">
        <v>51</v>
      </c>
      <c r="O242" t="s">
        <v>264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263</v>
      </c>
      <c r="AH242" t="s">
        <v>51</v>
      </c>
      <c r="AI242" t="s">
        <v>264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349.54</v>
      </c>
      <c r="AV242">
        <f>$H$242*$AB$242</f>
        <v>349.54</v>
      </c>
      <c r="AW242">
        <f>$H$242*$AC$242</f>
        <v>349.54</v>
      </c>
      <c r="AX242">
        <f>$H$242*$AD$242</f>
        <v>349.54</v>
      </c>
      <c r="AY242">
        <f>$H$242*$AE$242</f>
        <v>349.54</v>
      </c>
      <c r="AZ242">
        <f>$H$242*$AF$242</f>
        <v>349.54</v>
      </c>
    </row>
    <row r="243" spans="1:52" x14ac:dyDescent="0.25">
      <c r="A243">
        <v>286</v>
      </c>
      <c r="B243" t="s">
        <v>263</v>
      </c>
      <c r="C243" t="s">
        <v>345</v>
      </c>
      <c r="D243">
        <v>285.33</v>
      </c>
      <c r="E243">
        <v>279.62</v>
      </c>
      <c r="F243" t="s">
        <v>335</v>
      </c>
      <c r="G243">
        <v>0.98</v>
      </c>
      <c r="H243">
        <v>335.54</v>
      </c>
      <c r="I243" t="s">
        <v>312</v>
      </c>
      <c r="J243" t="s">
        <v>346</v>
      </c>
      <c r="K243" t="s">
        <v>552</v>
      </c>
      <c r="L243" t="s">
        <v>178</v>
      </c>
      <c r="M243" t="s">
        <v>263</v>
      </c>
      <c r="N243" t="s">
        <v>51</v>
      </c>
      <c r="O243" t="s">
        <v>264</v>
      </c>
      <c r="P243">
        <v>0</v>
      </c>
      <c r="Q243">
        <v>0</v>
      </c>
      <c r="R243">
        <v>0</v>
      </c>
      <c r="S243">
        <v>0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263</v>
      </c>
      <c r="AH243" t="s">
        <v>51</v>
      </c>
      <c r="AI243" t="s">
        <v>264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335.54</v>
      </c>
      <c r="AO243">
        <f>$H$243*$U$243</f>
        <v>335.54</v>
      </c>
      <c r="AP243">
        <f>$H$243*$V$243</f>
        <v>335.54</v>
      </c>
      <c r="AQ243">
        <f>$H$243*$W$243</f>
        <v>335.54</v>
      </c>
      <c r="AR243">
        <f>$H$243*$X$243</f>
        <v>335.54</v>
      </c>
      <c r="AS243">
        <f>$H$243*$Y$243</f>
        <v>335.54</v>
      </c>
      <c r="AT243">
        <f>$H$243*$Z$243</f>
        <v>335.54</v>
      </c>
      <c r="AU243">
        <f>$H$243*$AA$243</f>
        <v>335.54</v>
      </c>
      <c r="AV243">
        <f>$H$243*$AB$243</f>
        <v>335.54</v>
      </c>
      <c r="AW243">
        <f>$H$243*$AC$243</f>
        <v>335.54</v>
      </c>
      <c r="AX243">
        <f>$H$243*$AD$243</f>
        <v>335.54</v>
      </c>
      <c r="AY243">
        <f>$H$243*$AE$243</f>
        <v>335.54</v>
      </c>
      <c r="AZ243">
        <f>$H$243*$AF$243</f>
        <v>335.54</v>
      </c>
    </row>
    <row r="244" spans="1:52" x14ac:dyDescent="0.25">
      <c r="A244">
        <v>287</v>
      </c>
      <c r="B244" t="s">
        <v>263</v>
      </c>
      <c r="C244" t="s">
        <v>400</v>
      </c>
      <c r="D244">
        <v>285.33</v>
      </c>
      <c r="E244">
        <v>958.71</v>
      </c>
      <c r="F244" t="s">
        <v>335</v>
      </c>
      <c r="G244">
        <v>3.36</v>
      </c>
      <c r="H244">
        <v>1150.45</v>
      </c>
      <c r="I244" t="s">
        <v>348</v>
      </c>
      <c r="J244" t="s">
        <v>401</v>
      </c>
      <c r="K244" t="s">
        <v>579</v>
      </c>
      <c r="L244" t="s">
        <v>178</v>
      </c>
      <c r="M244" t="s">
        <v>263</v>
      </c>
      <c r="N244" t="s">
        <v>51</v>
      </c>
      <c r="O244" t="s">
        <v>264</v>
      </c>
      <c r="P244">
        <v>0</v>
      </c>
      <c r="Q244">
        <v>0</v>
      </c>
      <c r="R244">
        <v>0</v>
      </c>
      <c r="S244">
        <v>0.25</v>
      </c>
      <c r="T244">
        <v>0.25</v>
      </c>
      <c r="U244">
        <v>0.25</v>
      </c>
      <c r="V244">
        <v>0.25</v>
      </c>
      <c r="W244">
        <v>0.5</v>
      </c>
      <c r="X244">
        <v>0.5</v>
      </c>
      <c r="Y244">
        <v>0.5</v>
      </c>
      <c r="Z244">
        <v>0.5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263</v>
      </c>
      <c r="AH244" t="s">
        <v>51</v>
      </c>
      <c r="AI244" t="s">
        <v>264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287.61250000000001</v>
      </c>
      <c r="AN244">
        <f>$H$244*$T$244</f>
        <v>287.61250000000001</v>
      </c>
      <c r="AO244">
        <f>$H$244*$U$244</f>
        <v>287.61250000000001</v>
      </c>
      <c r="AP244">
        <f>$H$244*$V$244</f>
        <v>287.61250000000001</v>
      </c>
      <c r="AQ244">
        <f>$H$244*$W$244</f>
        <v>575.22500000000002</v>
      </c>
      <c r="AR244">
        <f>$H$244*$X$244</f>
        <v>575.22500000000002</v>
      </c>
      <c r="AS244">
        <f>$H$244*$Y$244</f>
        <v>575.22500000000002</v>
      </c>
      <c r="AT244">
        <f>$H$244*$Z$244</f>
        <v>575.22500000000002</v>
      </c>
      <c r="AU244">
        <f>$H$244*$AA$244</f>
        <v>1150.45</v>
      </c>
      <c r="AV244">
        <f>$H$244*$AB$244</f>
        <v>1150.45</v>
      </c>
      <c r="AW244">
        <f>$H$244*$AC$244</f>
        <v>1150.45</v>
      </c>
      <c r="AX244">
        <f>$H$244*$AD$244</f>
        <v>1150.45</v>
      </c>
      <c r="AY244">
        <f>$H$244*$AE$244</f>
        <v>1150.45</v>
      </c>
      <c r="AZ244">
        <f>$H$244*$AF$244</f>
        <v>1150.45</v>
      </c>
    </row>
    <row r="245" spans="1:52" x14ac:dyDescent="0.25">
      <c r="A245">
        <v>288</v>
      </c>
      <c r="B245" t="s">
        <v>263</v>
      </c>
      <c r="C245" t="s">
        <v>402</v>
      </c>
      <c r="D245">
        <v>35.67</v>
      </c>
      <c r="E245">
        <v>53.86</v>
      </c>
      <c r="F245" t="s">
        <v>311</v>
      </c>
      <c r="G245">
        <v>1.51</v>
      </c>
      <c r="H245">
        <v>64.64</v>
      </c>
      <c r="I245" t="s">
        <v>312</v>
      </c>
      <c r="J245" t="s">
        <v>403</v>
      </c>
      <c r="K245" t="s">
        <v>580</v>
      </c>
      <c r="L245" t="s">
        <v>178</v>
      </c>
      <c r="M245" t="s">
        <v>263</v>
      </c>
      <c r="N245" t="s">
        <v>51</v>
      </c>
      <c r="O245" t="s">
        <v>264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263</v>
      </c>
      <c r="AH245" t="s">
        <v>51</v>
      </c>
      <c r="AI245" t="s">
        <v>264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64.64</v>
      </c>
      <c r="AN245">
        <f>$H$245*$T$245</f>
        <v>64.64</v>
      </c>
      <c r="AO245">
        <f>$H$245*$U$245</f>
        <v>64.64</v>
      </c>
      <c r="AP245">
        <f>$H$245*$V$245</f>
        <v>64.64</v>
      </c>
      <c r="AQ245">
        <f>$H$245*$W$245</f>
        <v>64.64</v>
      </c>
      <c r="AR245">
        <f>$H$245*$X$245</f>
        <v>64.64</v>
      </c>
      <c r="AS245">
        <f>$H$245*$Y$245</f>
        <v>64.64</v>
      </c>
      <c r="AT245">
        <f>$H$245*$Z$245</f>
        <v>64.64</v>
      </c>
      <c r="AU245">
        <f>$H$245*$AA$245</f>
        <v>64.64</v>
      </c>
      <c r="AV245">
        <f>$H$245*$AB$245</f>
        <v>64.64</v>
      </c>
      <c r="AW245">
        <f>$H$245*$AC$245</f>
        <v>64.64</v>
      </c>
      <c r="AX245">
        <f>$H$245*$AD$245</f>
        <v>64.64</v>
      </c>
      <c r="AY245">
        <f>$H$245*$AE$245</f>
        <v>64.64</v>
      </c>
      <c r="AZ245">
        <f>$H$245*$AF$245</f>
        <v>64.64</v>
      </c>
    </row>
    <row r="246" spans="1:52" x14ac:dyDescent="0.25">
      <c r="A246">
        <v>289</v>
      </c>
      <c r="B246" t="s">
        <v>263</v>
      </c>
      <c r="C246" t="s">
        <v>404</v>
      </c>
      <c r="D246">
        <v>35.67</v>
      </c>
      <c r="E246">
        <v>202.61</v>
      </c>
      <c r="F246" t="s">
        <v>311</v>
      </c>
      <c r="G246">
        <v>5.68</v>
      </c>
      <c r="H246">
        <v>243.13</v>
      </c>
      <c r="I246" t="s">
        <v>315</v>
      </c>
      <c r="J246" t="s">
        <v>405</v>
      </c>
      <c r="K246" t="s">
        <v>581</v>
      </c>
      <c r="L246" t="s">
        <v>178</v>
      </c>
      <c r="M246" t="s">
        <v>263</v>
      </c>
      <c r="N246" t="s">
        <v>51</v>
      </c>
      <c r="O246" t="s">
        <v>264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263</v>
      </c>
      <c r="AH246" t="s">
        <v>51</v>
      </c>
      <c r="AI246" t="s">
        <v>264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243.13</v>
      </c>
      <c r="AN246">
        <f>$H$246*$T$246</f>
        <v>243.13</v>
      </c>
      <c r="AO246">
        <f>$H$246*$U$246</f>
        <v>243.13</v>
      </c>
      <c r="AP246">
        <f>$H$246*$V$246</f>
        <v>243.13</v>
      </c>
      <c r="AQ246">
        <f>$H$246*$W$246</f>
        <v>243.13</v>
      </c>
      <c r="AR246">
        <f>$H$246*$X$246</f>
        <v>243.13</v>
      </c>
      <c r="AS246">
        <f>$H$246*$Y$246</f>
        <v>243.13</v>
      </c>
      <c r="AT246">
        <f>$H$246*$Z$246</f>
        <v>243.13</v>
      </c>
      <c r="AU246">
        <f>$H$246*$AA$246</f>
        <v>243.13</v>
      </c>
      <c r="AV246">
        <f>$H$246*$AB$246</f>
        <v>243.13</v>
      </c>
      <c r="AW246">
        <f>$H$246*$AC$246</f>
        <v>243.13</v>
      </c>
      <c r="AX246">
        <f>$H$246*$AD$246</f>
        <v>243.13</v>
      </c>
      <c r="AY246">
        <f>$H$246*$AE$246</f>
        <v>243.13</v>
      </c>
      <c r="AZ246">
        <f>$H$246*$AF$246</f>
        <v>243.13</v>
      </c>
    </row>
    <row r="247" spans="1:52" x14ac:dyDescent="0.25">
      <c r="A247">
        <v>290</v>
      </c>
      <c r="B247" t="s">
        <v>263</v>
      </c>
      <c r="C247" t="s">
        <v>400</v>
      </c>
      <c r="D247">
        <v>78.510000000000005</v>
      </c>
      <c r="E247">
        <v>263.79000000000002</v>
      </c>
      <c r="F247" t="s">
        <v>335</v>
      </c>
      <c r="G247">
        <v>3.36</v>
      </c>
      <c r="H247">
        <v>316.55</v>
      </c>
      <c r="I247" t="s">
        <v>348</v>
      </c>
      <c r="J247" t="s">
        <v>401</v>
      </c>
      <c r="K247" t="s">
        <v>579</v>
      </c>
      <c r="L247" t="s">
        <v>178</v>
      </c>
      <c r="M247" t="s">
        <v>263</v>
      </c>
      <c r="N247" t="s">
        <v>51</v>
      </c>
      <c r="O247" t="s">
        <v>264</v>
      </c>
      <c r="P247">
        <v>0</v>
      </c>
      <c r="Q247">
        <v>0</v>
      </c>
      <c r="R247">
        <v>0</v>
      </c>
      <c r="S247">
        <v>0.25</v>
      </c>
      <c r="T247">
        <v>0.25</v>
      </c>
      <c r="U247">
        <v>0.25</v>
      </c>
      <c r="V247">
        <v>0.25</v>
      </c>
      <c r="W247">
        <v>0.5</v>
      </c>
      <c r="X247">
        <v>0.5</v>
      </c>
      <c r="Y247">
        <v>0.5</v>
      </c>
      <c r="Z247">
        <v>0.5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263</v>
      </c>
      <c r="AH247" t="s">
        <v>51</v>
      </c>
      <c r="AI247" t="s">
        <v>264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79.137500000000003</v>
      </c>
      <c r="AN247">
        <f>$H$247*$T$247</f>
        <v>79.137500000000003</v>
      </c>
      <c r="AO247">
        <f>$H$247*$U$247</f>
        <v>79.137500000000003</v>
      </c>
      <c r="AP247">
        <f>$H$247*$V$247</f>
        <v>79.137500000000003</v>
      </c>
      <c r="AQ247">
        <f>$H$247*$W$247</f>
        <v>158.27500000000001</v>
      </c>
      <c r="AR247">
        <f>$H$247*$X$247</f>
        <v>158.27500000000001</v>
      </c>
      <c r="AS247">
        <f>$H$247*$Y$247</f>
        <v>158.27500000000001</v>
      </c>
      <c r="AT247">
        <f>$H$247*$Z$247</f>
        <v>158.27500000000001</v>
      </c>
      <c r="AU247">
        <f>$H$247*$AA$247</f>
        <v>316.55</v>
      </c>
      <c r="AV247">
        <f>$H$247*$AB$247</f>
        <v>316.55</v>
      </c>
      <c r="AW247">
        <f>$H$247*$AC$247</f>
        <v>316.55</v>
      </c>
      <c r="AX247">
        <f>$H$247*$AD$247</f>
        <v>316.55</v>
      </c>
      <c r="AY247">
        <f>$H$247*$AE$247</f>
        <v>316.55</v>
      </c>
      <c r="AZ247">
        <f>$H$247*$AF$247</f>
        <v>316.55</v>
      </c>
    </row>
    <row r="248" spans="1:52" x14ac:dyDescent="0.25">
      <c r="A248">
        <v>291</v>
      </c>
      <c r="B248" t="s">
        <v>263</v>
      </c>
      <c r="C248" t="s">
        <v>406</v>
      </c>
      <c r="D248">
        <v>78.510000000000005</v>
      </c>
      <c r="E248">
        <v>49.46</v>
      </c>
      <c r="F248" t="s">
        <v>335</v>
      </c>
      <c r="G248">
        <v>0.63</v>
      </c>
      <c r="H248">
        <v>59.36</v>
      </c>
      <c r="I248" t="s">
        <v>312</v>
      </c>
      <c r="J248" t="s">
        <v>407</v>
      </c>
      <c r="K248" t="s">
        <v>582</v>
      </c>
      <c r="L248" t="s">
        <v>178</v>
      </c>
      <c r="M248" t="s">
        <v>263</v>
      </c>
      <c r="N248" t="s">
        <v>51</v>
      </c>
      <c r="O248" t="s">
        <v>264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263</v>
      </c>
      <c r="AH248" t="s">
        <v>51</v>
      </c>
      <c r="AI248" t="s">
        <v>264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59.36</v>
      </c>
      <c r="AY248">
        <f>$H$248*$AE$248</f>
        <v>59.36</v>
      </c>
      <c r="AZ248">
        <f>$H$248*$AF$248</f>
        <v>59.36</v>
      </c>
    </row>
    <row r="249" spans="1:52" x14ac:dyDescent="0.25">
      <c r="A249">
        <v>292</v>
      </c>
      <c r="B249" t="s">
        <v>263</v>
      </c>
      <c r="C249" t="s">
        <v>408</v>
      </c>
      <c r="D249">
        <v>78.510000000000005</v>
      </c>
      <c r="E249">
        <v>54.17</v>
      </c>
      <c r="F249" t="s">
        <v>335</v>
      </c>
      <c r="G249">
        <v>0.69</v>
      </c>
      <c r="H249">
        <v>65.010000000000005</v>
      </c>
      <c r="I249" t="s">
        <v>312</v>
      </c>
      <c r="J249" t="s">
        <v>409</v>
      </c>
      <c r="K249" t="s">
        <v>583</v>
      </c>
      <c r="L249" t="s">
        <v>178</v>
      </c>
      <c r="M249" t="s">
        <v>263</v>
      </c>
      <c r="N249" t="s">
        <v>51</v>
      </c>
      <c r="O249" t="s">
        <v>264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263</v>
      </c>
      <c r="AH249" t="s">
        <v>51</v>
      </c>
      <c r="AI249" t="s">
        <v>264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65.010000000000005</v>
      </c>
      <c r="AN249">
        <f>$H$249*$T$249</f>
        <v>65.010000000000005</v>
      </c>
      <c r="AO249">
        <f>$H$249*$U$249</f>
        <v>65.010000000000005</v>
      </c>
      <c r="AP249">
        <f>$H$249*$V$249</f>
        <v>65.010000000000005</v>
      </c>
      <c r="AQ249">
        <f>$H$249*$W$249</f>
        <v>65.010000000000005</v>
      </c>
      <c r="AR249">
        <f>$H$249*$X$249</f>
        <v>65.010000000000005</v>
      </c>
      <c r="AS249">
        <f>$H$249*$Y$249</f>
        <v>65.010000000000005</v>
      </c>
      <c r="AT249">
        <f>$H$249*$Z$249</f>
        <v>65.010000000000005</v>
      </c>
      <c r="AU249">
        <f>$H$249*$AA$249</f>
        <v>65.010000000000005</v>
      </c>
      <c r="AV249">
        <f>$H$249*$AB$249</f>
        <v>65.010000000000005</v>
      </c>
      <c r="AW249">
        <f>$H$249*$AC$249</f>
        <v>65.010000000000005</v>
      </c>
      <c r="AX249">
        <f>$H$249*$AD$249</f>
        <v>65.010000000000005</v>
      </c>
      <c r="AY249">
        <f>$H$249*$AE$249</f>
        <v>65.010000000000005</v>
      </c>
      <c r="AZ249">
        <f>$H$249*$AF$249</f>
        <v>65.010000000000005</v>
      </c>
    </row>
    <row r="250" spans="1:52" x14ac:dyDescent="0.25">
      <c r="A250">
        <v>293</v>
      </c>
      <c r="B250" t="s">
        <v>263</v>
      </c>
      <c r="C250" t="s">
        <v>410</v>
      </c>
      <c r="D250">
        <v>16.489999999999998</v>
      </c>
      <c r="E250">
        <v>112.3</v>
      </c>
      <c r="F250" t="s">
        <v>335</v>
      </c>
      <c r="G250">
        <v>6.81</v>
      </c>
      <c r="H250">
        <v>134.76</v>
      </c>
      <c r="I250" t="s">
        <v>411</v>
      </c>
      <c r="J250" t="s">
        <v>412</v>
      </c>
      <c r="K250" t="s">
        <v>584</v>
      </c>
      <c r="L250" t="s">
        <v>178</v>
      </c>
      <c r="M250" t="s">
        <v>263</v>
      </c>
      <c r="N250" t="s">
        <v>51</v>
      </c>
      <c r="O250" t="s">
        <v>264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263</v>
      </c>
      <c r="AH250" t="s">
        <v>51</v>
      </c>
      <c r="AI250" t="s">
        <v>264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134.76</v>
      </c>
      <c r="AN250">
        <f>$H$250*$T$250</f>
        <v>134.76</v>
      </c>
      <c r="AO250">
        <f>$H$250*$U$250</f>
        <v>134.76</v>
      </c>
      <c r="AP250">
        <f>$H$250*$V$250</f>
        <v>134.76</v>
      </c>
      <c r="AQ250">
        <f>$H$250*$W$250</f>
        <v>134.76</v>
      </c>
      <c r="AR250">
        <f>$H$250*$X$250</f>
        <v>134.76</v>
      </c>
      <c r="AS250">
        <f>$H$250*$Y$250</f>
        <v>134.76</v>
      </c>
      <c r="AT250">
        <f>$H$250*$Z$250</f>
        <v>134.76</v>
      </c>
      <c r="AU250">
        <f>$H$250*$AA$250</f>
        <v>134.76</v>
      </c>
      <c r="AV250">
        <f>$H$250*$AB$250</f>
        <v>134.76</v>
      </c>
      <c r="AW250">
        <f>$H$250*$AC$250</f>
        <v>134.76</v>
      </c>
      <c r="AX250">
        <f>$H$250*$AD$250</f>
        <v>134.76</v>
      </c>
      <c r="AY250">
        <f>$H$250*$AE$250</f>
        <v>134.76</v>
      </c>
      <c r="AZ250">
        <f>$H$250*$AF$250</f>
        <v>134.76</v>
      </c>
    </row>
    <row r="251" spans="1:52" x14ac:dyDescent="0.25">
      <c r="A251">
        <v>294</v>
      </c>
      <c r="B251" t="s">
        <v>263</v>
      </c>
      <c r="C251" t="s">
        <v>413</v>
      </c>
      <c r="D251">
        <v>18.059999999999999</v>
      </c>
      <c r="E251">
        <v>133.1</v>
      </c>
      <c r="F251" t="s">
        <v>335</v>
      </c>
      <c r="G251">
        <v>7.37</v>
      </c>
      <c r="H251">
        <v>159.72</v>
      </c>
      <c r="I251" t="s">
        <v>411</v>
      </c>
      <c r="J251" t="s">
        <v>414</v>
      </c>
      <c r="K251" t="s">
        <v>585</v>
      </c>
      <c r="L251" t="s">
        <v>178</v>
      </c>
      <c r="M251" t="s">
        <v>263</v>
      </c>
      <c r="N251" t="s">
        <v>51</v>
      </c>
      <c r="O251" t="s">
        <v>264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263</v>
      </c>
      <c r="AH251" t="s">
        <v>51</v>
      </c>
      <c r="AI251" t="s">
        <v>264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159.72</v>
      </c>
      <c r="AN251">
        <f>$H$251*$T$251</f>
        <v>159.72</v>
      </c>
      <c r="AO251">
        <f>$H$251*$U$251</f>
        <v>159.72</v>
      </c>
      <c r="AP251">
        <f>$H$251*$V$251</f>
        <v>159.72</v>
      </c>
      <c r="AQ251">
        <f>$H$251*$W$251</f>
        <v>159.72</v>
      </c>
      <c r="AR251">
        <f>$H$251*$X$251</f>
        <v>159.72</v>
      </c>
      <c r="AS251">
        <f>$H$251*$Y$251</f>
        <v>159.72</v>
      </c>
      <c r="AT251">
        <f>$H$251*$Z$251</f>
        <v>159.72</v>
      </c>
      <c r="AU251">
        <f>$H$251*$AA$251</f>
        <v>159.72</v>
      </c>
      <c r="AV251">
        <f>$H$251*$AB$251</f>
        <v>159.72</v>
      </c>
      <c r="AW251">
        <f>$H$251*$AC$251</f>
        <v>159.72</v>
      </c>
      <c r="AX251">
        <f>$H$251*$AD$251</f>
        <v>159.72</v>
      </c>
      <c r="AY251">
        <f>$H$251*$AE$251</f>
        <v>159.72</v>
      </c>
      <c r="AZ251">
        <f>$H$251*$AF$251</f>
        <v>159.72</v>
      </c>
    </row>
    <row r="252" spans="1:52" x14ac:dyDescent="0.25">
      <c r="A252">
        <v>295</v>
      </c>
      <c r="B252" t="s">
        <v>263</v>
      </c>
      <c r="C252" t="s">
        <v>415</v>
      </c>
      <c r="D252">
        <v>17.3</v>
      </c>
      <c r="E252">
        <v>94.46</v>
      </c>
      <c r="F252" t="s">
        <v>335</v>
      </c>
      <c r="G252">
        <v>5.46</v>
      </c>
      <c r="H252">
        <v>113.36</v>
      </c>
      <c r="I252" t="s">
        <v>416</v>
      </c>
      <c r="J252" t="s">
        <v>417</v>
      </c>
      <c r="K252" t="s">
        <v>586</v>
      </c>
      <c r="L252" t="s">
        <v>178</v>
      </c>
      <c r="M252" t="s">
        <v>263</v>
      </c>
      <c r="N252" t="s">
        <v>51</v>
      </c>
      <c r="O252" t="s">
        <v>264</v>
      </c>
      <c r="P252">
        <v>0</v>
      </c>
      <c r="Q252">
        <v>0</v>
      </c>
      <c r="R252">
        <v>0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263</v>
      </c>
      <c r="AH252" t="s">
        <v>51</v>
      </c>
      <c r="AI252" t="s">
        <v>264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113.36</v>
      </c>
      <c r="AN252">
        <f>$H$252*$T$252</f>
        <v>113.36</v>
      </c>
      <c r="AO252">
        <f>$H$252*$U$252</f>
        <v>113.36</v>
      </c>
      <c r="AP252">
        <f>$H$252*$V$252</f>
        <v>113.36</v>
      </c>
      <c r="AQ252">
        <f>$H$252*$W$252</f>
        <v>113.36</v>
      </c>
      <c r="AR252">
        <f>$H$252*$X$252</f>
        <v>113.36</v>
      </c>
      <c r="AS252">
        <f>$H$252*$Y$252</f>
        <v>113.36</v>
      </c>
      <c r="AT252">
        <f>$H$252*$Z$252</f>
        <v>113.36</v>
      </c>
      <c r="AU252">
        <f>$H$252*$AA$252</f>
        <v>113.36</v>
      </c>
      <c r="AV252">
        <f>$H$252*$AB$252</f>
        <v>113.36</v>
      </c>
      <c r="AW252">
        <f>$H$252*$AC$252</f>
        <v>113.36</v>
      </c>
      <c r="AX252">
        <f>$H$252*$AD$252</f>
        <v>113.36</v>
      </c>
      <c r="AY252">
        <f>$H$252*$AE$252</f>
        <v>113.36</v>
      </c>
      <c r="AZ252">
        <f>$H$252*$AF$252</f>
        <v>113.36</v>
      </c>
    </row>
    <row r="253" spans="1:52" x14ac:dyDescent="0.25">
      <c r="A253">
        <v>296</v>
      </c>
      <c r="B253" t="s">
        <v>263</v>
      </c>
      <c r="C253" t="s">
        <v>418</v>
      </c>
      <c r="D253">
        <v>17.3</v>
      </c>
      <c r="E253">
        <v>61.93</v>
      </c>
      <c r="F253" t="s">
        <v>335</v>
      </c>
      <c r="G253">
        <v>3.58</v>
      </c>
      <c r="H253">
        <v>74.31</v>
      </c>
      <c r="I253" t="s">
        <v>416</v>
      </c>
      <c r="J253" t="s">
        <v>419</v>
      </c>
      <c r="K253" t="s">
        <v>587</v>
      </c>
      <c r="L253" t="s">
        <v>178</v>
      </c>
      <c r="M253" t="s">
        <v>263</v>
      </c>
      <c r="N253" t="s">
        <v>51</v>
      </c>
      <c r="O253" t="s">
        <v>264</v>
      </c>
      <c r="P253">
        <v>0</v>
      </c>
      <c r="Q253">
        <v>0</v>
      </c>
      <c r="R253">
        <v>0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263</v>
      </c>
      <c r="AH253" t="s">
        <v>51</v>
      </c>
      <c r="AI253" t="s">
        <v>264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74.31</v>
      </c>
      <c r="AN253">
        <f>$H$253*$T$253</f>
        <v>74.31</v>
      </c>
      <c r="AO253">
        <f>$H$253*$U$253</f>
        <v>74.31</v>
      </c>
      <c r="AP253">
        <f>$H$253*$V$253</f>
        <v>74.31</v>
      </c>
      <c r="AQ253">
        <f>$H$253*$W$253</f>
        <v>74.31</v>
      </c>
      <c r="AR253">
        <f>$H$253*$X$253</f>
        <v>74.31</v>
      </c>
      <c r="AS253">
        <f>$H$253*$Y$253</f>
        <v>74.31</v>
      </c>
      <c r="AT253">
        <f>$H$253*$Z$253</f>
        <v>74.31</v>
      </c>
      <c r="AU253">
        <f>$H$253*$AA$253</f>
        <v>74.31</v>
      </c>
      <c r="AV253">
        <f>$H$253*$AB$253</f>
        <v>74.31</v>
      </c>
      <c r="AW253">
        <f>$H$253*$AC$253</f>
        <v>74.31</v>
      </c>
      <c r="AX253">
        <f>$H$253*$AD$253</f>
        <v>74.31</v>
      </c>
      <c r="AY253">
        <f>$H$253*$AE$253</f>
        <v>74.31</v>
      </c>
      <c r="AZ253">
        <f>$H$253*$AF$253</f>
        <v>74.31</v>
      </c>
    </row>
    <row r="254" spans="1:52" x14ac:dyDescent="0.25">
      <c r="A254">
        <v>297</v>
      </c>
      <c r="B254" t="s">
        <v>263</v>
      </c>
      <c r="C254" t="s">
        <v>420</v>
      </c>
      <c r="D254">
        <v>17.3</v>
      </c>
      <c r="E254">
        <v>170.41</v>
      </c>
      <c r="F254" t="s">
        <v>335</v>
      </c>
      <c r="G254">
        <v>9.85</v>
      </c>
      <c r="H254">
        <v>204.49</v>
      </c>
      <c r="I254" t="s">
        <v>416</v>
      </c>
      <c r="J254" t="s">
        <v>414</v>
      </c>
      <c r="K254" t="s">
        <v>588</v>
      </c>
      <c r="L254" t="s">
        <v>178</v>
      </c>
      <c r="M254" t="s">
        <v>263</v>
      </c>
      <c r="N254" t="s">
        <v>51</v>
      </c>
      <c r="O254" t="s">
        <v>264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263</v>
      </c>
      <c r="AH254" t="s">
        <v>51</v>
      </c>
      <c r="AI254" t="s">
        <v>264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204.49</v>
      </c>
      <c r="AN254">
        <f>$H$254*$T$254</f>
        <v>204.49</v>
      </c>
      <c r="AO254">
        <f>$H$254*$U$254</f>
        <v>204.49</v>
      </c>
      <c r="AP254">
        <f>$H$254*$V$254</f>
        <v>204.49</v>
      </c>
      <c r="AQ254">
        <f>$H$254*$W$254</f>
        <v>204.49</v>
      </c>
      <c r="AR254">
        <f>$H$254*$X$254</f>
        <v>204.49</v>
      </c>
      <c r="AS254">
        <f>$H$254*$Y$254</f>
        <v>204.49</v>
      </c>
      <c r="AT254">
        <f>$H$254*$Z$254</f>
        <v>204.49</v>
      </c>
      <c r="AU254">
        <f>$H$254*$AA$254</f>
        <v>204.49</v>
      </c>
      <c r="AV254">
        <f>$H$254*$AB$254</f>
        <v>204.49</v>
      </c>
      <c r="AW254">
        <f>$H$254*$AC$254</f>
        <v>204.49</v>
      </c>
      <c r="AX254">
        <f>$H$254*$AD$254</f>
        <v>204.49</v>
      </c>
      <c r="AY254">
        <f>$H$254*$AE$254</f>
        <v>204.49</v>
      </c>
      <c r="AZ254">
        <f>$H$254*$AF$254</f>
        <v>204.49</v>
      </c>
    </row>
    <row r="255" spans="1:52" x14ac:dyDescent="0.25">
      <c r="A255">
        <v>298</v>
      </c>
      <c r="B255" t="s">
        <v>263</v>
      </c>
      <c r="C255" t="s">
        <v>421</v>
      </c>
      <c r="D255">
        <v>18.059999999999999</v>
      </c>
      <c r="E255">
        <v>17.52</v>
      </c>
      <c r="F255" t="s">
        <v>335</v>
      </c>
      <c r="G255">
        <v>0.97</v>
      </c>
      <c r="H255">
        <v>21.02</v>
      </c>
      <c r="I255" t="s">
        <v>360</v>
      </c>
      <c r="J255" t="s">
        <v>422</v>
      </c>
      <c r="K255" t="s">
        <v>589</v>
      </c>
      <c r="L255" t="s">
        <v>178</v>
      </c>
      <c r="M255" t="s">
        <v>263</v>
      </c>
      <c r="N255" t="s">
        <v>51</v>
      </c>
      <c r="O255" t="s">
        <v>264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263</v>
      </c>
      <c r="AH255" t="s">
        <v>51</v>
      </c>
      <c r="AI255" t="s">
        <v>264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21.02</v>
      </c>
      <c r="AN255">
        <f>$H$255*$T$255</f>
        <v>21.02</v>
      </c>
      <c r="AO255">
        <f>$H$255*$U$255</f>
        <v>21.02</v>
      </c>
      <c r="AP255">
        <f>$H$255*$V$255</f>
        <v>21.02</v>
      </c>
      <c r="AQ255">
        <f>$H$255*$W$255</f>
        <v>21.02</v>
      </c>
      <c r="AR255">
        <f>$H$255*$X$255</f>
        <v>21.02</v>
      </c>
      <c r="AS255">
        <f>$H$255*$Y$255</f>
        <v>21.02</v>
      </c>
      <c r="AT255">
        <f>$H$255*$Z$255</f>
        <v>21.02</v>
      </c>
      <c r="AU255">
        <f>$H$255*$AA$255</f>
        <v>21.02</v>
      </c>
      <c r="AV255">
        <f>$H$255*$AB$255</f>
        <v>21.02</v>
      </c>
      <c r="AW255">
        <f>$H$255*$AC$255</f>
        <v>21.02</v>
      </c>
      <c r="AX255">
        <f>$H$255*$AD$255</f>
        <v>21.02</v>
      </c>
      <c r="AY255">
        <f>$H$255*$AE$255</f>
        <v>21.02</v>
      </c>
      <c r="AZ255">
        <f>$H$255*$AF$255</f>
        <v>21.02</v>
      </c>
    </row>
    <row r="256" spans="1:52" x14ac:dyDescent="0.25">
      <c r="A256">
        <v>299</v>
      </c>
      <c r="B256" t="s">
        <v>263</v>
      </c>
      <c r="C256" t="s">
        <v>423</v>
      </c>
      <c r="D256">
        <v>18.059999999999999</v>
      </c>
      <c r="E256">
        <v>138.34</v>
      </c>
      <c r="F256" t="s">
        <v>335</v>
      </c>
      <c r="G256">
        <v>7.66</v>
      </c>
      <c r="H256">
        <v>166</v>
      </c>
      <c r="I256" t="s">
        <v>360</v>
      </c>
      <c r="J256" t="s">
        <v>414</v>
      </c>
      <c r="K256" t="s">
        <v>590</v>
      </c>
      <c r="L256" t="s">
        <v>178</v>
      </c>
      <c r="M256" t="s">
        <v>263</v>
      </c>
      <c r="N256" t="s">
        <v>51</v>
      </c>
      <c r="O256" t="s">
        <v>264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263</v>
      </c>
      <c r="AH256" t="s">
        <v>51</v>
      </c>
      <c r="AI256" t="s">
        <v>264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166</v>
      </c>
      <c r="AN256">
        <f>$H$256*$T$256</f>
        <v>166</v>
      </c>
      <c r="AO256">
        <f>$H$256*$U$256</f>
        <v>166</v>
      </c>
      <c r="AP256">
        <f>$H$256*$V$256</f>
        <v>166</v>
      </c>
      <c r="AQ256">
        <f>$H$256*$W$256</f>
        <v>166</v>
      </c>
      <c r="AR256">
        <f>$H$256*$X$256</f>
        <v>166</v>
      </c>
      <c r="AS256">
        <f>$H$256*$Y$256</f>
        <v>166</v>
      </c>
      <c r="AT256">
        <f>$H$256*$Z$256</f>
        <v>166</v>
      </c>
      <c r="AU256">
        <f>$H$256*$AA$256</f>
        <v>166</v>
      </c>
      <c r="AV256">
        <f>$H$256*$AB$256</f>
        <v>166</v>
      </c>
      <c r="AW256">
        <f>$H$256*$AC$256</f>
        <v>166</v>
      </c>
      <c r="AX256">
        <f>$H$256*$AD$256</f>
        <v>166</v>
      </c>
      <c r="AY256">
        <f>$H$256*$AE$256</f>
        <v>166</v>
      </c>
      <c r="AZ256">
        <f>$H$256*$AF$256</f>
        <v>166</v>
      </c>
    </row>
    <row r="257" spans="1:52" x14ac:dyDescent="0.25">
      <c r="A257">
        <v>300</v>
      </c>
      <c r="B257" t="s">
        <v>293</v>
      </c>
      <c r="C257" t="s">
        <v>341</v>
      </c>
      <c r="D257">
        <v>165</v>
      </c>
      <c r="E257">
        <v>732.6</v>
      </c>
      <c r="F257" t="s">
        <v>311</v>
      </c>
      <c r="G257">
        <v>4.4400000000000004</v>
      </c>
      <c r="H257">
        <v>879.12</v>
      </c>
      <c r="I257" t="s">
        <v>312</v>
      </c>
      <c r="J257" t="s">
        <v>342</v>
      </c>
      <c r="K257" t="s">
        <v>550</v>
      </c>
      <c r="L257" t="s">
        <v>178</v>
      </c>
      <c r="M257" t="s">
        <v>293</v>
      </c>
      <c r="N257" t="s">
        <v>12</v>
      </c>
      <c r="O257" t="s">
        <v>293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293</v>
      </c>
      <c r="AH257" t="s">
        <v>12</v>
      </c>
      <c r="AI257" t="s">
        <v>293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879.12</v>
      </c>
      <c r="AV257">
        <f>$H$257*$AB$257</f>
        <v>879.12</v>
      </c>
      <c r="AW257">
        <f>$H$257*$AC$257</f>
        <v>879.12</v>
      </c>
      <c r="AX257">
        <f>$H$257*$AD$257</f>
        <v>879.12</v>
      </c>
      <c r="AY257">
        <f>$H$257*$AE$257</f>
        <v>879.12</v>
      </c>
      <c r="AZ257">
        <f>$H$257*$AF$257</f>
        <v>879.12</v>
      </c>
    </row>
    <row r="258" spans="1:52" x14ac:dyDescent="0.25">
      <c r="A258">
        <v>301</v>
      </c>
      <c r="B258" t="s">
        <v>293</v>
      </c>
      <c r="C258" t="s">
        <v>477</v>
      </c>
      <c r="D258">
        <v>205</v>
      </c>
      <c r="E258">
        <v>844.6</v>
      </c>
      <c r="F258" t="s">
        <v>311</v>
      </c>
      <c r="G258">
        <v>4.12</v>
      </c>
      <c r="H258">
        <v>1013.52</v>
      </c>
      <c r="I258" t="s">
        <v>315</v>
      </c>
      <c r="J258" t="s">
        <v>478</v>
      </c>
      <c r="K258" t="s">
        <v>617</v>
      </c>
      <c r="L258" t="s">
        <v>178</v>
      </c>
      <c r="M258" t="s">
        <v>293</v>
      </c>
      <c r="N258" t="s">
        <v>12</v>
      </c>
      <c r="O258" t="s">
        <v>293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293</v>
      </c>
      <c r="AH258" t="s">
        <v>12</v>
      </c>
      <c r="AI258" t="s">
        <v>293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0</v>
      </c>
      <c r="AN258">
        <f>$H$258*$T$258</f>
        <v>0</v>
      </c>
      <c r="AO258">
        <f>$H$258*$U$258</f>
        <v>0</v>
      </c>
      <c r="AP258">
        <f>$H$258*$V$258</f>
        <v>0</v>
      </c>
      <c r="AQ258">
        <f>$H$258*$W$258</f>
        <v>0</v>
      </c>
      <c r="AR258">
        <f>$H$258*$X$258</f>
        <v>0</v>
      </c>
      <c r="AS258">
        <f>$H$258*$Y$258</f>
        <v>0</v>
      </c>
      <c r="AT258">
        <f>$H$258*$Z$258</f>
        <v>1013.52</v>
      </c>
      <c r="AU258">
        <f>$H$258*$AA$258</f>
        <v>1013.52</v>
      </c>
      <c r="AV258">
        <f>$H$258*$AB$258</f>
        <v>1013.52</v>
      </c>
      <c r="AW258">
        <f>$H$258*$AC$258</f>
        <v>1013.52</v>
      </c>
      <c r="AX258">
        <f>$H$258*$AD$258</f>
        <v>1013.52</v>
      </c>
      <c r="AY258">
        <f>$H$258*$AE$258</f>
        <v>1013.52</v>
      </c>
      <c r="AZ258">
        <f>$H$258*$AF$258</f>
        <v>1013.52</v>
      </c>
    </row>
    <row r="259" spans="1:52" x14ac:dyDescent="0.25">
      <c r="A259">
        <v>302</v>
      </c>
      <c r="B259" t="s">
        <v>293</v>
      </c>
      <c r="C259" t="s">
        <v>479</v>
      </c>
      <c r="D259">
        <v>165</v>
      </c>
      <c r="E259">
        <v>2107.0500000000002</v>
      </c>
      <c r="F259" t="s">
        <v>311</v>
      </c>
      <c r="G259">
        <v>12.77</v>
      </c>
      <c r="H259">
        <v>2528.4699999999998</v>
      </c>
      <c r="I259" t="s">
        <v>315</v>
      </c>
      <c r="J259" t="s">
        <v>480</v>
      </c>
      <c r="K259" t="s">
        <v>618</v>
      </c>
      <c r="L259" t="s">
        <v>178</v>
      </c>
      <c r="M259" t="s">
        <v>293</v>
      </c>
      <c r="N259" t="s">
        <v>12</v>
      </c>
      <c r="O259" t="s">
        <v>293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293</v>
      </c>
      <c r="AH259" t="s">
        <v>12</v>
      </c>
      <c r="AI259" t="s">
        <v>293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2528.4699999999998</v>
      </c>
      <c r="AU259">
        <f>$H$259*$AA$259</f>
        <v>2528.4699999999998</v>
      </c>
      <c r="AV259">
        <f>$H$259*$AB$259</f>
        <v>2528.4699999999998</v>
      </c>
      <c r="AW259">
        <f>$H$259*$AC$259</f>
        <v>2528.4699999999998</v>
      </c>
      <c r="AX259">
        <f>$H$259*$AD$259</f>
        <v>2528.4699999999998</v>
      </c>
      <c r="AY259">
        <f>$H$259*$AE$259</f>
        <v>2528.4699999999998</v>
      </c>
      <c r="AZ259">
        <f>$H$259*$AF$259</f>
        <v>2528.4699999999998</v>
      </c>
    </row>
    <row r="260" spans="1:52" x14ac:dyDescent="0.25">
      <c r="A260">
        <v>303</v>
      </c>
      <c r="B260" t="s">
        <v>293</v>
      </c>
      <c r="C260" t="s">
        <v>397</v>
      </c>
      <c r="D260">
        <v>2</v>
      </c>
      <c r="E260">
        <v>26.54</v>
      </c>
      <c r="F260" t="s">
        <v>317</v>
      </c>
      <c r="G260">
        <v>13.27</v>
      </c>
      <c r="H260">
        <v>31.84</v>
      </c>
      <c r="I260" t="s">
        <v>319</v>
      </c>
      <c r="J260" t="s">
        <v>398</v>
      </c>
      <c r="K260" t="s">
        <v>577</v>
      </c>
      <c r="L260" t="s">
        <v>178</v>
      </c>
      <c r="M260" t="s">
        <v>293</v>
      </c>
      <c r="N260" t="s">
        <v>12</v>
      </c>
      <c r="O260" t="s">
        <v>293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293</v>
      </c>
      <c r="AH260" t="s">
        <v>12</v>
      </c>
      <c r="AI260" t="s">
        <v>293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0</v>
      </c>
      <c r="AO260">
        <f>$H$260*$U$260</f>
        <v>0</v>
      </c>
      <c r="AP260">
        <f>$H$260*$V$260</f>
        <v>0</v>
      </c>
      <c r="AQ260">
        <f>$H$260*$W$260</f>
        <v>0</v>
      </c>
      <c r="AR260">
        <f>$H$260*$X$260</f>
        <v>31.84</v>
      </c>
      <c r="AS260">
        <f>$H$260*$Y$260</f>
        <v>31.84</v>
      </c>
      <c r="AT260">
        <f>$H$260*$Z$260</f>
        <v>31.84</v>
      </c>
      <c r="AU260">
        <f>$H$260*$AA$260</f>
        <v>31.84</v>
      </c>
      <c r="AV260">
        <f>$H$260*$AB$260</f>
        <v>31.84</v>
      </c>
      <c r="AW260">
        <f>$H$260*$AC$260</f>
        <v>31.84</v>
      </c>
      <c r="AX260">
        <f>$H$260*$AD$260</f>
        <v>31.84</v>
      </c>
      <c r="AY260">
        <f>$H$260*$AE$260</f>
        <v>31.84</v>
      </c>
      <c r="AZ260">
        <f>$H$260*$AF$260</f>
        <v>31.84</v>
      </c>
    </row>
    <row r="261" spans="1:52" x14ac:dyDescent="0.25">
      <c r="A261">
        <v>304</v>
      </c>
      <c r="B261" t="s">
        <v>293</v>
      </c>
      <c r="C261" t="s">
        <v>481</v>
      </c>
      <c r="D261">
        <v>1</v>
      </c>
      <c r="E261">
        <v>98.82</v>
      </c>
      <c r="F261" t="s">
        <v>317</v>
      </c>
      <c r="G261">
        <v>98.82</v>
      </c>
      <c r="H261">
        <v>118.58</v>
      </c>
      <c r="I261" t="s">
        <v>322</v>
      </c>
      <c r="J261" t="s">
        <v>414</v>
      </c>
      <c r="K261" t="s">
        <v>619</v>
      </c>
      <c r="L261" t="s">
        <v>178</v>
      </c>
      <c r="M261" t="s">
        <v>293</v>
      </c>
      <c r="N261" t="s">
        <v>12</v>
      </c>
      <c r="O261" t="s">
        <v>293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1</v>
      </c>
      <c r="AE261">
        <v>1</v>
      </c>
      <c r="AF261">
        <v>1</v>
      </c>
      <c r="AG261" t="s">
        <v>293</v>
      </c>
      <c r="AH261" t="s">
        <v>12</v>
      </c>
      <c r="AI261" t="s">
        <v>293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0</v>
      </c>
      <c r="AV261">
        <f>$H$261*$AB$261</f>
        <v>0</v>
      </c>
      <c r="AW261">
        <f>$H$261*$AC$261</f>
        <v>0</v>
      </c>
      <c r="AX261">
        <f>$H$261*$AD$261</f>
        <v>118.58</v>
      </c>
      <c r="AY261">
        <f>$H$261*$AE$261</f>
        <v>118.58</v>
      </c>
      <c r="AZ261">
        <f>$H$261*$AF$261</f>
        <v>118.58</v>
      </c>
    </row>
    <row r="262" spans="1:52" x14ac:dyDescent="0.25">
      <c r="A262">
        <v>305</v>
      </c>
      <c r="B262" t="s">
        <v>293</v>
      </c>
      <c r="C262" t="s">
        <v>482</v>
      </c>
      <c r="D262">
        <v>1</v>
      </c>
      <c r="E262">
        <v>62.41</v>
      </c>
      <c r="F262" t="s">
        <v>317</v>
      </c>
      <c r="G262">
        <v>62.41</v>
      </c>
      <c r="H262">
        <v>74.89</v>
      </c>
      <c r="I262" t="s">
        <v>351</v>
      </c>
      <c r="J262" t="s">
        <v>483</v>
      </c>
      <c r="K262" t="s">
        <v>620</v>
      </c>
      <c r="L262" t="s">
        <v>178</v>
      </c>
      <c r="M262" t="s">
        <v>293</v>
      </c>
      <c r="N262" t="s">
        <v>12</v>
      </c>
      <c r="O262" t="s">
        <v>293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293</v>
      </c>
      <c r="AH262" t="s">
        <v>12</v>
      </c>
      <c r="AI262" t="s">
        <v>293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0</v>
      </c>
      <c r="AS262">
        <f>$H$262*$Y$262</f>
        <v>0</v>
      </c>
      <c r="AT262">
        <f>$H$262*$Z$262</f>
        <v>0</v>
      </c>
      <c r="AU262">
        <f>$H$262*$AA$262</f>
        <v>74.89</v>
      </c>
      <c r="AV262">
        <f>$H$262*$AB$262</f>
        <v>74.89</v>
      </c>
      <c r="AW262">
        <f>$H$262*$AC$262</f>
        <v>74.89</v>
      </c>
      <c r="AX262">
        <f>$H$262*$AD$262</f>
        <v>74.89</v>
      </c>
      <c r="AY262">
        <f>$H$262*$AE$262</f>
        <v>74.89</v>
      </c>
      <c r="AZ262">
        <f>$H$262*$AF$262</f>
        <v>74.89</v>
      </c>
    </row>
    <row r="263" spans="1:52" x14ac:dyDescent="0.25">
      <c r="A263">
        <v>306</v>
      </c>
      <c r="B263" t="s">
        <v>293</v>
      </c>
      <c r="C263" t="s">
        <v>358</v>
      </c>
      <c r="D263">
        <v>2</v>
      </c>
      <c r="E263">
        <v>77.86</v>
      </c>
      <c r="F263" t="s">
        <v>317</v>
      </c>
      <c r="G263">
        <v>38.93</v>
      </c>
      <c r="H263">
        <v>93.44</v>
      </c>
      <c r="I263" t="s">
        <v>312</v>
      </c>
      <c r="J263" t="s">
        <v>354</v>
      </c>
      <c r="K263" t="s">
        <v>557</v>
      </c>
      <c r="L263" t="s">
        <v>178</v>
      </c>
      <c r="M263" t="s">
        <v>293</v>
      </c>
      <c r="N263" t="s">
        <v>12</v>
      </c>
      <c r="O263" t="s">
        <v>293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293</v>
      </c>
      <c r="AH263" t="s">
        <v>12</v>
      </c>
      <c r="AI263" t="s">
        <v>293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93.44</v>
      </c>
      <c r="AN263">
        <f>$H$263*$T$263</f>
        <v>93.44</v>
      </c>
      <c r="AO263">
        <f>$H$263*$U$263</f>
        <v>93.44</v>
      </c>
      <c r="AP263">
        <f>$H$263*$V$263</f>
        <v>93.44</v>
      </c>
      <c r="AQ263">
        <f>$H$263*$W$263</f>
        <v>93.44</v>
      </c>
      <c r="AR263">
        <f>$H$263*$X$263</f>
        <v>93.44</v>
      </c>
      <c r="AS263">
        <f>$H$263*$Y$263</f>
        <v>93.44</v>
      </c>
      <c r="AT263">
        <f>$H$263*$Z$263</f>
        <v>93.44</v>
      </c>
      <c r="AU263">
        <f>$H$263*$AA$263</f>
        <v>93.44</v>
      </c>
      <c r="AV263">
        <f>$H$263*$AB$263</f>
        <v>93.44</v>
      </c>
      <c r="AW263">
        <f>$H$263*$AC$263</f>
        <v>93.44</v>
      </c>
      <c r="AX263">
        <f>$H$263*$AD$263</f>
        <v>93.44</v>
      </c>
      <c r="AY263">
        <f>$H$263*$AE$263</f>
        <v>93.44</v>
      </c>
      <c r="AZ263">
        <f>$H$263*$AF$263</f>
        <v>93.44</v>
      </c>
    </row>
    <row r="264" spans="1:52" x14ac:dyDescent="0.25">
      <c r="A264">
        <v>307</v>
      </c>
      <c r="B264" t="s">
        <v>293</v>
      </c>
      <c r="C264" t="s">
        <v>356</v>
      </c>
      <c r="D264">
        <v>2</v>
      </c>
      <c r="E264">
        <v>62.72</v>
      </c>
      <c r="F264" t="s">
        <v>317</v>
      </c>
      <c r="G264">
        <v>31.36</v>
      </c>
      <c r="H264">
        <v>75.260000000000005</v>
      </c>
      <c r="I264" t="s">
        <v>312</v>
      </c>
      <c r="J264" t="s">
        <v>357</v>
      </c>
      <c r="K264" t="s">
        <v>556</v>
      </c>
      <c r="L264" t="s">
        <v>178</v>
      </c>
      <c r="M264" t="s">
        <v>293</v>
      </c>
      <c r="N264" t="s">
        <v>12</v>
      </c>
      <c r="O264" t="s">
        <v>293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293</v>
      </c>
      <c r="AH264" t="s">
        <v>12</v>
      </c>
      <c r="AI264" t="s">
        <v>293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75.260000000000005</v>
      </c>
      <c r="AN264">
        <f>$H$264*$T$264</f>
        <v>75.260000000000005</v>
      </c>
      <c r="AO264">
        <f>$H$264*$U$264</f>
        <v>75.260000000000005</v>
      </c>
      <c r="AP264">
        <f>$H$264*$V$264</f>
        <v>75.260000000000005</v>
      </c>
      <c r="AQ264">
        <f>$H$264*$W$264</f>
        <v>75.260000000000005</v>
      </c>
      <c r="AR264">
        <f>$H$264*$X$264</f>
        <v>75.260000000000005</v>
      </c>
      <c r="AS264">
        <f>$H$264*$Y$264</f>
        <v>75.260000000000005</v>
      </c>
      <c r="AT264">
        <f>$H$264*$Z$264</f>
        <v>75.260000000000005</v>
      </c>
      <c r="AU264">
        <f>$H$264*$AA$264</f>
        <v>75.260000000000005</v>
      </c>
      <c r="AV264">
        <f>$H$264*$AB$264</f>
        <v>75.260000000000005</v>
      </c>
      <c r="AW264">
        <f>$H$264*$AC$264</f>
        <v>75.260000000000005</v>
      </c>
      <c r="AX264">
        <f>$H$264*$AD$264</f>
        <v>75.260000000000005</v>
      </c>
      <c r="AY264">
        <f>$H$264*$AE$264</f>
        <v>75.260000000000005</v>
      </c>
      <c r="AZ264">
        <f>$H$264*$AF$264</f>
        <v>75.260000000000005</v>
      </c>
    </row>
    <row r="265" spans="1:52" x14ac:dyDescent="0.25">
      <c r="A265">
        <v>308</v>
      </c>
      <c r="B265" t="s">
        <v>293</v>
      </c>
      <c r="C265" t="s">
        <v>484</v>
      </c>
      <c r="D265">
        <v>1</v>
      </c>
      <c r="E265">
        <v>366.18</v>
      </c>
      <c r="F265" t="s">
        <v>317</v>
      </c>
      <c r="G265">
        <v>366.18</v>
      </c>
      <c r="H265">
        <v>439.42</v>
      </c>
      <c r="I265" t="s">
        <v>354</v>
      </c>
      <c r="J265" t="s">
        <v>414</v>
      </c>
      <c r="K265" t="s">
        <v>621</v>
      </c>
      <c r="L265" t="s">
        <v>178</v>
      </c>
      <c r="M265" t="s">
        <v>293</v>
      </c>
      <c r="N265" t="s">
        <v>12</v>
      </c>
      <c r="O265" t="s">
        <v>293</v>
      </c>
      <c r="P265">
        <v>0</v>
      </c>
      <c r="Q265">
        <v>0</v>
      </c>
      <c r="R265">
        <v>0</v>
      </c>
      <c r="S265">
        <v>0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293</v>
      </c>
      <c r="AH265" t="s">
        <v>12</v>
      </c>
      <c r="AI265" t="s">
        <v>293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0</v>
      </c>
      <c r="AN265">
        <f>$H$265*$T$265</f>
        <v>439.42</v>
      </c>
      <c r="AO265">
        <f>$H$265*$U$265</f>
        <v>439.42</v>
      </c>
      <c r="AP265">
        <f>$H$265*$V$265</f>
        <v>439.42</v>
      </c>
      <c r="AQ265">
        <f>$H$265*$W$265</f>
        <v>439.42</v>
      </c>
      <c r="AR265">
        <f>$H$265*$X$265</f>
        <v>439.42</v>
      </c>
      <c r="AS265">
        <f>$H$265*$Y$265</f>
        <v>439.42</v>
      </c>
      <c r="AT265">
        <f>$H$265*$Z$265</f>
        <v>439.42</v>
      </c>
      <c r="AU265">
        <f>$H$265*$AA$265</f>
        <v>439.42</v>
      </c>
      <c r="AV265">
        <f>$H$265*$AB$265</f>
        <v>439.42</v>
      </c>
      <c r="AW265">
        <f>$H$265*$AC$265</f>
        <v>439.42</v>
      </c>
      <c r="AX265">
        <f>$H$265*$AD$265</f>
        <v>439.42</v>
      </c>
      <c r="AY265">
        <f>$H$265*$AE$265</f>
        <v>439.42</v>
      </c>
      <c r="AZ265">
        <f>$H$265*$AF$265</f>
        <v>439.42</v>
      </c>
    </row>
    <row r="266" spans="1:52" x14ac:dyDescent="0.25">
      <c r="A266">
        <v>309</v>
      </c>
      <c r="B266" t="s">
        <v>293</v>
      </c>
      <c r="C266" t="s">
        <v>345</v>
      </c>
      <c r="D266">
        <v>285.33</v>
      </c>
      <c r="E266">
        <v>279.62</v>
      </c>
      <c r="F266" t="s">
        <v>335</v>
      </c>
      <c r="G266">
        <v>0.98</v>
      </c>
      <c r="H266">
        <v>335.54</v>
      </c>
      <c r="I266" t="s">
        <v>312</v>
      </c>
      <c r="J266" t="s">
        <v>346</v>
      </c>
      <c r="K266" t="s">
        <v>552</v>
      </c>
      <c r="L266" t="s">
        <v>178</v>
      </c>
      <c r="M266" t="s">
        <v>293</v>
      </c>
      <c r="N266" t="s">
        <v>12</v>
      </c>
      <c r="O266" t="s">
        <v>293</v>
      </c>
      <c r="P266">
        <v>0</v>
      </c>
      <c r="Q266">
        <v>0</v>
      </c>
      <c r="R266">
        <v>0</v>
      </c>
      <c r="S266">
        <v>0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293</v>
      </c>
      <c r="AH266" t="s">
        <v>12</v>
      </c>
      <c r="AI266" t="s">
        <v>293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335.54</v>
      </c>
      <c r="AO266">
        <f>$H$266*$U$266</f>
        <v>335.54</v>
      </c>
      <c r="AP266">
        <f>$H$266*$V$266</f>
        <v>335.54</v>
      </c>
      <c r="AQ266">
        <f>$H$266*$W$266</f>
        <v>335.54</v>
      </c>
      <c r="AR266">
        <f>$H$266*$X$266</f>
        <v>335.54</v>
      </c>
      <c r="AS266">
        <f>$H$266*$Y$266</f>
        <v>335.54</v>
      </c>
      <c r="AT266">
        <f>$H$266*$Z$266</f>
        <v>335.54</v>
      </c>
      <c r="AU266">
        <f>$H$266*$AA$266</f>
        <v>335.54</v>
      </c>
      <c r="AV266">
        <f>$H$266*$AB$266</f>
        <v>335.54</v>
      </c>
      <c r="AW266">
        <f>$H$266*$AC$266</f>
        <v>335.54</v>
      </c>
      <c r="AX266">
        <f>$H$266*$AD$266</f>
        <v>335.54</v>
      </c>
      <c r="AY266">
        <f>$H$266*$AE$266</f>
        <v>335.54</v>
      </c>
      <c r="AZ266">
        <f>$H$266*$AF$266</f>
        <v>335.54</v>
      </c>
    </row>
    <row r="267" spans="1:52" x14ac:dyDescent="0.25">
      <c r="A267">
        <v>310</v>
      </c>
      <c r="B267" t="s">
        <v>293</v>
      </c>
      <c r="C267" t="s">
        <v>400</v>
      </c>
      <c r="D267">
        <v>285.33</v>
      </c>
      <c r="E267">
        <v>958.71</v>
      </c>
      <c r="F267" t="s">
        <v>335</v>
      </c>
      <c r="G267">
        <v>3.36</v>
      </c>
      <c r="H267">
        <v>1150.45</v>
      </c>
      <c r="I267" t="s">
        <v>348</v>
      </c>
      <c r="J267" t="s">
        <v>401</v>
      </c>
      <c r="K267" t="s">
        <v>579</v>
      </c>
      <c r="L267" t="s">
        <v>178</v>
      </c>
      <c r="M267" t="s">
        <v>293</v>
      </c>
      <c r="N267" t="s">
        <v>12</v>
      </c>
      <c r="O267" t="s">
        <v>293</v>
      </c>
      <c r="P267">
        <v>0</v>
      </c>
      <c r="Q267">
        <v>0</v>
      </c>
      <c r="R267">
        <v>0</v>
      </c>
      <c r="S267">
        <v>0.25</v>
      </c>
      <c r="T267">
        <v>0.25</v>
      </c>
      <c r="U267">
        <v>0.25</v>
      </c>
      <c r="V267">
        <v>0.25</v>
      </c>
      <c r="W267">
        <v>0.5</v>
      </c>
      <c r="X267">
        <v>0.5</v>
      </c>
      <c r="Y267">
        <v>0.5</v>
      </c>
      <c r="Z267">
        <v>0.5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293</v>
      </c>
      <c r="AH267" t="s">
        <v>12</v>
      </c>
      <c r="AI267" t="s">
        <v>293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287.61250000000001</v>
      </c>
      <c r="AN267">
        <f>$H$267*$T$267</f>
        <v>287.61250000000001</v>
      </c>
      <c r="AO267">
        <f>$H$267*$U$267</f>
        <v>287.61250000000001</v>
      </c>
      <c r="AP267">
        <f>$H$267*$V$267</f>
        <v>287.61250000000001</v>
      </c>
      <c r="AQ267">
        <f>$H$267*$W$267</f>
        <v>575.22500000000002</v>
      </c>
      <c r="AR267">
        <f>$H$267*$X$267</f>
        <v>575.22500000000002</v>
      </c>
      <c r="AS267">
        <f>$H$267*$Y$267</f>
        <v>575.22500000000002</v>
      </c>
      <c r="AT267">
        <f>$H$267*$Z$267</f>
        <v>575.22500000000002</v>
      </c>
      <c r="AU267">
        <f>$H$267*$AA$267</f>
        <v>1150.45</v>
      </c>
      <c r="AV267">
        <f>$H$267*$AB$267</f>
        <v>1150.45</v>
      </c>
      <c r="AW267">
        <f>$H$267*$AC$267</f>
        <v>1150.45</v>
      </c>
      <c r="AX267">
        <f>$H$267*$AD$267</f>
        <v>1150.45</v>
      </c>
      <c r="AY267">
        <f>$H$267*$AE$267</f>
        <v>1150.45</v>
      </c>
      <c r="AZ267">
        <f>$H$267*$AF$267</f>
        <v>1150.45</v>
      </c>
    </row>
    <row r="268" spans="1:52" x14ac:dyDescent="0.25">
      <c r="A268">
        <v>311</v>
      </c>
      <c r="B268" t="s">
        <v>293</v>
      </c>
      <c r="C268" t="s">
        <v>402</v>
      </c>
      <c r="D268">
        <v>35.67</v>
      </c>
      <c r="E268">
        <v>53.86</v>
      </c>
      <c r="F268" t="s">
        <v>311</v>
      </c>
      <c r="G268">
        <v>1.51</v>
      </c>
      <c r="H268">
        <v>64.64</v>
      </c>
      <c r="I268" t="s">
        <v>312</v>
      </c>
      <c r="J268" t="s">
        <v>403</v>
      </c>
      <c r="K268" t="s">
        <v>580</v>
      </c>
      <c r="L268" t="s">
        <v>178</v>
      </c>
      <c r="M268" t="s">
        <v>293</v>
      </c>
      <c r="N268" t="s">
        <v>12</v>
      </c>
      <c r="O268" t="s">
        <v>293</v>
      </c>
      <c r="P268">
        <v>0</v>
      </c>
      <c r="Q268">
        <v>0</v>
      </c>
      <c r="R268">
        <v>0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293</v>
      </c>
      <c r="AH268" t="s">
        <v>12</v>
      </c>
      <c r="AI268" t="s">
        <v>293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64.64</v>
      </c>
      <c r="AN268">
        <f>$H$268*$T$268</f>
        <v>64.64</v>
      </c>
      <c r="AO268">
        <f>$H$268*$U$268</f>
        <v>64.64</v>
      </c>
      <c r="AP268">
        <f>$H$268*$V$268</f>
        <v>64.64</v>
      </c>
      <c r="AQ268">
        <f>$H$268*$W$268</f>
        <v>64.64</v>
      </c>
      <c r="AR268">
        <f>$H$268*$X$268</f>
        <v>64.64</v>
      </c>
      <c r="AS268">
        <f>$H$268*$Y$268</f>
        <v>64.64</v>
      </c>
      <c r="AT268">
        <f>$H$268*$Z$268</f>
        <v>64.64</v>
      </c>
      <c r="AU268">
        <f>$H$268*$AA$268</f>
        <v>64.64</v>
      </c>
      <c r="AV268">
        <f>$H$268*$AB$268</f>
        <v>64.64</v>
      </c>
      <c r="AW268">
        <f>$H$268*$AC$268</f>
        <v>64.64</v>
      </c>
      <c r="AX268">
        <f>$H$268*$AD$268</f>
        <v>64.64</v>
      </c>
      <c r="AY268">
        <f>$H$268*$AE$268</f>
        <v>64.64</v>
      </c>
      <c r="AZ268">
        <f>$H$268*$AF$268</f>
        <v>64.64</v>
      </c>
    </row>
    <row r="269" spans="1:52" x14ac:dyDescent="0.25">
      <c r="A269">
        <v>312</v>
      </c>
      <c r="B269" t="s">
        <v>293</v>
      </c>
      <c r="C269" t="s">
        <v>404</v>
      </c>
      <c r="D269">
        <v>35.67</v>
      </c>
      <c r="E269">
        <v>202.61</v>
      </c>
      <c r="F269" t="s">
        <v>311</v>
      </c>
      <c r="G269">
        <v>5.68</v>
      </c>
      <c r="H269">
        <v>243.13</v>
      </c>
      <c r="I269" t="s">
        <v>315</v>
      </c>
      <c r="J269" t="s">
        <v>405</v>
      </c>
      <c r="K269" t="s">
        <v>581</v>
      </c>
      <c r="L269" t="s">
        <v>178</v>
      </c>
      <c r="M269" t="s">
        <v>293</v>
      </c>
      <c r="N269" t="s">
        <v>12</v>
      </c>
      <c r="O269" t="s">
        <v>293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293</v>
      </c>
      <c r="AH269" t="s">
        <v>12</v>
      </c>
      <c r="AI269" t="s">
        <v>293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243.13</v>
      </c>
      <c r="AN269">
        <f>$H$269*$T$269</f>
        <v>243.13</v>
      </c>
      <c r="AO269">
        <f>$H$269*$U$269</f>
        <v>243.13</v>
      </c>
      <c r="AP269">
        <f>$H$269*$V$269</f>
        <v>243.13</v>
      </c>
      <c r="AQ269">
        <f>$H$269*$W$269</f>
        <v>243.13</v>
      </c>
      <c r="AR269">
        <f>$H$269*$X$269</f>
        <v>243.13</v>
      </c>
      <c r="AS269">
        <f>$H$269*$Y$269</f>
        <v>243.13</v>
      </c>
      <c r="AT269">
        <f>$H$269*$Z$269</f>
        <v>243.13</v>
      </c>
      <c r="AU269">
        <f>$H$269*$AA$269</f>
        <v>243.13</v>
      </c>
      <c r="AV269">
        <f>$H$269*$AB$269</f>
        <v>243.13</v>
      </c>
      <c r="AW269">
        <f>$H$269*$AC$269</f>
        <v>243.13</v>
      </c>
      <c r="AX269">
        <f>$H$269*$AD$269</f>
        <v>243.13</v>
      </c>
      <c r="AY269">
        <f>$H$269*$AE$269</f>
        <v>243.13</v>
      </c>
      <c r="AZ269">
        <f>$H$269*$AF$269</f>
        <v>243.13</v>
      </c>
    </row>
    <row r="270" spans="1:52" x14ac:dyDescent="0.25">
      <c r="A270">
        <v>313</v>
      </c>
      <c r="B270" t="s">
        <v>293</v>
      </c>
      <c r="C270" t="s">
        <v>400</v>
      </c>
      <c r="D270">
        <v>78.510000000000005</v>
      </c>
      <c r="E270">
        <v>263.79000000000002</v>
      </c>
      <c r="F270" t="s">
        <v>335</v>
      </c>
      <c r="G270">
        <v>3.36</v>
      </c>
      <c r="H270">
        <v>316.55</v>
      </c>
      <c r="I270" t="s">
        <v>348</v>
      </c>
      <c r="J270" t="s">
        <v>401</v>
      </c>
      <c r="K270" t="s">
        <v>579</v>
      </c>
      <c r="L270" t="s">
        <v>178</v>
      </c>
      <c r="M270" t="s">
        <v>293</v>
      </c>
      <c r="N270" t="s">
        <v>12</v>
      </c>
      <c r="O270" t="s">
        <v>293</v>
      </c>
      <c r="P270">
        <v>0</v>
      </c>
      <c r="Q270">
        <v>0</v>
      </c>
      <c r="R270">
        <v>0</v>
      </c>
      <c r="S270">
        <v>0.25</v>
      </c>
      <c r="T270">
        <v>0.25</v>
      </c>
      <c r="U270">
        <v>0.25</v>
      </c>
      <c r="V270">
        <v>0.25</v>
      </c>
      <c r="W270">
        <v>0.5</v>
      </c>
      <c r="X270">
        <v>0.5</v>
      </c>
      <c r="Y270">
        <v>0.5</v>
      </c>
      <c r="Z270">
        <v>0.5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293</v>
      </c>
      <c r="AH270" t="s">
        <v>12</v>
      </c>
      <c r="AI270" t="s">
        <v>293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79.137500000000003</v>
      </c>
      <c r="AN270">
        <f>$H$270*$T$270</f>
        <v>79.137500000000003</v>
      </c>
      <c r="AO270">
        <f>$H$270*$U$270</f>
        <v>79.137500000000003</v>
      </c>
      <c r="AP270">
        <f>$H$270*$V$270</f>
        <v>79.137500000000003</v>
      </c>
      <c r="AQ270">
        <f>$H$270*$W$270</f>
        <v>158.27500000000001</v>
      </c>
      <c r="AR270">
        <f>$H$270*$X$270</f>
        <v>158.27500000000001</v>
      </c>
      <c r="AS270">
        <f>$H$270*$Y$270</f>
        <v>158.27500000000001</v>
      </c>
      <c r="AT270">
        <f>$H$270*$Z$270</f>
        <v>158.27500000000001</v>
      </c>
      <c r="AU270">
        <f>$H$270*$AA$270</f>
        <v>316.55</v>
      </c>
      <c r="AV270">
        <f>$H$270*$AB$270</f>
        <v>316.55</v>
      </c>
      <c r="AW270">
        <f>$H$270*$AC$270</f>
        <v>316.55</v>
      </c>
      <c r="AX270">
        <f>$H$270*$AD$270</f>
        <v>316.55</v>
      </c>
      <c r="AY270">
        <f>$H$270*$AE$270</f>
        <v>316.55</v>
      </c>
      <c r="AZ270">
        <f>$H$270*$AF$270</f>
        <v>316.55</v>
      </c>
    </row>
    <row r="271" spans="1:52" x14ac:dyDescent="0.25">
      <c r="A271">
        <v>314</v>
      </c>
      <c r="B271" t="s">
        <v>293</v>
      </c>
      <c r="C271" t="s">
        <v>406</v>
      </c>
      <c r="D271">
        <v>78.510000000000005</v>
      </c>
      <c r="E271">
        <v>49.46</v>
      </c>
      <c r="F271" t="s">
        <v>335</v>
      </c>
      <c r="G271">
        <v>0.63</v>
      </c>
      <c r="H271">
        <v>59.36</v>
      </c>
      <c r="I271" t="s">
        <v>312</v>
      </c>
      <c r="J271" t="s">
        <v>407</v>
      </c>
      <c r="K271" t="s">
        <v>582</v>
      </c>
      <c r="L271" t="s">
        <v>178</v>
      </c>
      <c r="M271" t="s">
        <v>293</v>
      </c>
      <c r="N271" t="s">
        <v>12</v>
      </c>
      <c r="O271" t="s">
        <v>293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1</v>
      </c>
      <c r="AE271">
        <v>1</v>
      </c>
      <c r="AF271">
        <v>1</v>
      </c>
      <c r="AG271" t="s">
        <v>293</v>
      </c>
      <c r="AH271" t="s">
        <v>12</v>
      </c>
      <c r="AI271" t="s">
        <v>293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0</v>
      </c>
      <c r="AS271">
        <f>$H$271*$Y$271</f>
        <v>0</v>
      </c>
      <c r="AT271">
        <f>$H$271*$Z$271</f>
        <v>0</v>
      </c>
      <c r="AU271">
        <f>$H$271*$AA$271</f>
        <v>0</v>
      </c>
      <c r="AV271">
        <f>$H$271*$AB$271</f>
        <v>0</v>
      </c>
      <c r="AW271">
        <f>$H$271*$AC$271</f>
        <v>0</v>
      </c>
      <c r="AX271">
        <f>$H$271*$AD$271</f>
        <v>59.36</v>
      </c>
      <c r="AY271">
        <f>$H$271*$AE$271</f>
        <v>59.36</v>
      </c>
      <c r="AZ271">
        <f>$H$271*$AF$271</f>
        <v>59.36</v>
      </c>
    </row>
    <row r="272" spans="1:52" x14ac:dyDescent="0.25">
      <c r="A272">
        <v>315</v>
      </c>
      <c r="B272" t="s">
        <v>293</v>
      </c>
      <c r="C272" t="s">
        <v>408</v>
      </c>
      <c r="D272">
        <v>78.510000000000005</v>
      </c>
      <c r="E272">
        <v>54.17</v>
      </c>
      <c r="F272" t="s">
        <v>335</v>
      </c>
      <c r="G272">
        <v>0.69</v>
      </c>
      <c r="H272">
        <v>65.010000000000005</v>
      </c>
      <c r="I272" t="s">
        <v>312</v>
      </c>
      <c r="J272" t="s">
        <v>409</v>
      </c>
      <c r="K272" t="s">
        <v>583</v>
      </c>
      <c r="L272" t="s">
        <v>178</v>
      </c>
      <c r="M272" t="s">
        <v>293</v>
      </c>
      <c r="N272" t="s">
        <v>12</v>
      </c>
      <c r="O272" t="s">
        <v>293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293</v>
      </c>
      <c r="AH272" t="s">
        <v>12</v>
      </c>
      <c r="AI272" t="s">
        <v>293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65.010000000000005</v>
      </c>
      <c r="AN272">
        <f>$H$272*$T$272</f>
        <v>65.010000000000005</v>
      </c>
      <c r="AO272">
        <f>$H$272*$U$272</f>
        <v>65.010000000000005</v>
      </c>
      <c r="AP272">
        <f>$H$272*$V$272</f>
        <v>65.010000000000005</v>
      </c>
      <c r="AQ272">
        <f>$H$272*$W$272</f>
        <v>65.010000000000005</v>
      </c>
      <c r="AR272">
        <f>$H$272*$X$272</f>
        <v>65.010000000000005</v>
      </c>
      <c r="AS272">
        <f>$H$272*$Y$272</f>
        <v>65.010000000000005</v>
      </c>
      <c r="AT272">
        <f>$H$272*$Z$272</f>
        <v>65.010000000000005</v>
      </c>
      <c r="AU272">
        <f>$H$272*$AA$272</f>
        <v>65.010000000000005</v>
      </c>
      <c r="AV272">
        <f>$H$272*$AB$272</f>
        <v>65.010000000000005</v>
      </c>
      <c r="AW272">
        <f>$H$272*$AC$272</f>
        <v>65.010000000000005</v>
      </c>
      <c r="AX272">
        <f>$H$272*$AD$272</f>
        <v>65.010000000000005</v>
      </c>
      <c r="AY272">
        <f>$H$272*$AE$272</f>
        <v>65.010000000000005</v>
      </c>
      <c r="AZ272">
        <f>$H$272*$AF$272</f>
        <v>65.010000000000005</v>
      </c>
    </row>
    <row r="273" spans="1:52" x14ac:dyDescent="0.25">
      <c r="A273">
        <v>316</v>
      </c>
      <c r="B273" t="s">
        <v>293</v>
      </c>
      <c r="C273" t="s">
        <v>410</v>
      </c>
      <c r="D273">
        <v>16.489999999999998</v>
      </c>
      <c r="E273">
        <v>112.3</v>
      </c>
      <c r="F273" t="s">
        <v>335</v>
      </c>
      <c r="G273">
        <v>6.81</v>
      </c>
      <c r="H273">
        <v>134.76</v>
      </c>
      <c r="I273" t="s">
        <v>411</v>
      </c>
      <c r="J273" t="s">
        <v>412</v>
      </c>
      <c r="K273" t="s">
        <v>584</v>
      </c>
      <c r="L273" t="s">
        <v>178</v>
      </c>
      <c r="M273" t="s">
        <v>293</v>
      </c>
      <c r="N273" t="s">
        <v>12</v>
      </c>
      <c r="O273" t="s">
        <v>293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293</v>
      </c>
      <c r="AH273" t="s">
        <v>12</v>
      </c>
      <c r="AI273" t="s">
        <v>293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134.76</v>
      </c>
      <c r="AN273">
        <f>$H$273*$T$273</f>
        <v>134.76</v>
      </c>
      <c r="AO273">
        <f>$H$273*$U$273</f>
        <v>134.76</v>
      </c>
      <c r="AP273">
        <f>$H$273*$V$273</f>
        <v>134.76</v>
      </c>
      <c r="AQ273">
        <f>$H$273*$W$273</f>
        <v>134.76</v>
      </c>
      <c r="AR273">
        <f>$H$273*$X$273</f>
        <v>134.76</v>
      </c>
      <c r="AS273">
        <f>$H$273*$Y$273</f>
        <v>134.76</v>
      </c>
      <c r="AT273">
        <f>$H$273*$Z$273</f>
        <v>134.76</v>
      </c>
      <c r="AU273">
        <f>$H$273*$AA$273</f>
        <v>134.76</v>
      </c>
      <c r="AV273">
        <f>$H$273*$AB$273</f>
        <v>134.76</v>
      </c>
      <c r="AW273">
        <f>$H$273*$AC$273</f>
        <v>134.76</v>
      </c>
      <c r="AX273">
        <f>$H$273*$AD$273</f>
        <v>134.76</v>
      </c>
      <c r="AY273">
        <f>$H$273*$AE$273</f>
        <v>134.76</v>
      </c>
      <c r="AZ273">
        <f>$H$273*$AF$273</f>
        <v>134.76</v>
      </c>
    </row>
    <row r="274" spans="1:52" x14ac:dyDescent="0.25">
      <c r="A274">
        <v>317</v>
      </c>
      <c r="B274" t="s">
        <v>293</v>
      </c>
      <c r="C274" t="s">
        <v>413</v>
      </c>
      <c r="D274">
        <v>18.059999999999999</v>
      </c>
      <c r="E274">
        <v>133.1</v>
      </c>
      <c r="F274" t="s">
        <v>335</v>
      </c>
      <c r="G274">
        <v>7.37</v>
      </c>
      <c r="H274">
        <v>159.72</v>
      </c>
      <c r="I274" t="s">
        <v>411</v>
      </c>
      <c r="J274" t="s">
        <v>414</v>
      </c>
      <c r="K274" t="s">
        <v>585</v>
      </c>
      <c r="L274" t="s">
        <v>178</v>
      </c>
      <c r="M274" t="s">
        <v>293</v>
      </c>
      <c r="N274" t="s">
        <v>12</v>
      </c>
      <c r="O274" t="s">
        <v>293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293</v>
      </c>
      <c r="AH274" t="s">
        <v>12</v>
      </c>
      <c r="AI274" t="s">
        <v>293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159.72</v>
      </c>
      <c r="AN274">
        <f>$H$274*$T$274</f>
        <v>159.72</v>
      </c>
      <c r="AO274">
        <f>$H$274*$U$274</f>
        <v>159.72</v>
      </c>
      <c r="AP274">
        <f>$H$274*$V$274</f>
        <v>159.72</v>
      </c>
      <c r="AQ274">
        <f>$H$274*$W$274</f>
        <v>159.72</v>
      </c>
      <c r="AR274">
        <f>$H$274*$X$274</f>
        <v>159.72</v>
      </c>
      <c r="AS274">
        <f>$H$274*$Y$274</f>
        <v>159.72</v>
      </c>
      <c r="AT274">
        <f>$H$274*$Z$274</f>
        <v>159.72</v>
      </c>
      <c r="AU274">
        <f>$H$274*$AA$274</f>
        <v>159.72</v>
      </c>
      <c r="AV274">
        <f>$H$274*$AB$274</f>
        <v>159.72</v>
      </c>
      <c r="AW274">
        <f>$H$274*$AC$274</f>
        <v>159.72</v>
      </c>
      <c r="AX274">
        <f>$H$274*$AD$274</f>
        <v>159.72</v>
      </c>
      <c r="AY274">
        <f>$H$274*$AE$274</f>
        <v>159.72</v>
      </c>
      <c r="AZ274">
        <f>$H$274*$AF$274</f>
        <v>159.72</v>
      </c>
    </row>
    <row r="275" spans="1:52" x14ac:dyDescent="0.25">
      <c r="A275">
        <v>318</v>
      </c>
      <c r="B275" t="s">
        <v>293</v>
      </c>
      <c r="C275" t="s">
        <v>415</v>
      </c>
      <c r="D275">
        <v>17.3</v>
      </c>
      <c r="E275">
        <v>94.46</v>
      </c>
      <c r="F275" t="s">
        <v>335</v>
      </c>
      <c r="G275">
        <v>5.46</v>
      </c>
      <c r="H275">
        <v>113.36</v>
      </c>
      <c r="I275" t="s">
        <v>416</v>
      </c>
      <c r="J275" t="s">
        <v>417</v>
      </c>
      <c r="K275" t="s">
        <v>586</v>
      </c>
      <c r="L275" t="s">
        <v>178</v>
      </c>
      <c r="M275" t="s">
        <v>293</v>
      </c>
      <c r="N275" t="s">
        <v>12</v>
      </c>
      <c r="O275" t="s">
        <v>293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293</v>
      </c>
      <c r="AH275" t="s">
        <v>12</v>
      </c>
      <c r="AI275" t="s">
        <v>293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113.36</v>
      </c>
      <c r="AN275">
        <f>$H$275*$T$275</f>
        <v>113.36</v>
      </c>
      <c r="AO275">
        <f>$H$275*$U$275</f>
        <v>113.36</v>
      </c>
      <c r="AP275">
        <f>$H$275*$V$275</f>
        <v>113.36</v>
      </c>
      <c r="AQ275">
        <f>$H$275*$W$275</f>
        <v>113.36</v>
      </c>
      <c r="AR275">
        <f>$H$275*$X$275</f>
        <v>113.36</v>
      </c>
      <c r="AS275">
        <f>$H$275*$Y$275</f>
        <v>113.36</v>
      </c>
      <c r="AT275">
        <f>$H$275*$Z$275</f>
        <v>113.36</v>
      </c>
      <c r="AU275">
        <f>$H$275*$AA$275</f>
        <v>113.36</v>
      </c>
      <c r="AV275">
        <f>$H$275*$AB$275</f>
        <v>113.36</v>
      </c>
      <c r="AW275">
        <f>$H$275*$AC$275</f>
        <v>113.36</v>
      </c>
      <c r="AX275">
        <f>$H$275*$AD$275</f>
        <v>113.36</v>
      </c>
      <c r="AY275">
        <f>$H$275*$AE$275</f>
        <v>113.36</v>
      </c>
      <c r="AZ275">
        <f>$H$275*$AF$275</f>
        <v>113.36</v>
      </c>
    </row>
    <row r="276" spans="1:52" x14ac:dyDescent="0.25">
      <c r="A276">
        <v>319</v>
      </c>
      <c r="B276" t="s">
        <v>293</v>
      </c>
      <c r="C276" t="s">
        <v>418</v>
      </c>
      <c r="D276">
        <v>17.3</v>
      </c>
      <c r="E276">
        <v>61.93</v>
      </c>
      <c r="F276" t="s">
        <v>335</v>
      </c>
      <c r="G276">
        <v>3.58</v>
      </c>
      <c r="H276">
        <v>74.31</v>
      </c>
      <c r="I276" t="s">
        <v>416</v>
      </c>
      <c r="J276" t="s">
        <v>419</v>
      </c>
      <c r="K276" t="s">
        <v>587</v>
      </c>
      <c r="L276" t="s">
        <v>178</v>
      </c>
      <c r="M276" t="s">
        <v>293</v>
      </c>
      <c r="N276" t="s">
        <v>12</v>
      </c>
      <c r="O276" t="s">
        <v>293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293</v>
      </c>
      <c r="AH276" t="s">
        <v>12</v>
      </c>
      <c r="AI276" t="s">
        <v>293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74.31</v>
      </c>
      <c r="AN276">
        <f>$H$276*$T$276</f>
        <v>74.31</v>
      </c>
      <c r="AO276">
        <f>$H$276*$U$276</f>
        <v>74.31</v>
      </c>
      <c r="AP276">
        <f>$H$276*$V$276</f>
        <v>74.31</v>
      </c>
      <c r="AQ276">
        <f>$H$276*$W$276</f>
        <v>74.31</v>
      </c>
      <c r="AR276">
        <f>$H$276*$X$276</f>
        <v>74.31</v>
      </c>
      <c r="AS276">
        <f>$H$276*$Y$276</f>
        <v>74.31</v>
      </c>
      <c r="AT276">
        <f>$H$276*$Z$276</f>
        <v>74.31</v>
      </c>
      <c r="AU276">
        <f>$H$276*$AA$276</f>
        <v>74.31</v>
      </c>
      <c r="AV276">
        <f>$H$276*$AB$276</f>
        <v>74.31</v>
      </c>
      <c r="AW276">
        <f>$H$276*$AC$276</f>
        <v>74.31</v>
      </c>
      <c r="AX276">
        <f>$H$276*$AD$276</f>
        <v>74.31</v>
      </c>
      <c r="AY276">
        <f>$H$276*$AE$276</f>
        <v>74.31</v>
      </c>
      <c r="AZ276">
        <f>$H$276*$AF$276</f>
        <v>74.31</v>
      </c>
    </row>
    <row r="277" spans="1:52" x14ac:dyDescent="0.25">
      <c r="A277">
        <v>320</v>
      </c>
      <c r="B277" t="s">
        <v>293</v>
      </c>
      <c r="C277" t="s">
        <v>420</v>
      </c>
      <c r="D277">
        <v>17.3</v>
      </c>
      <c r="E277">
        <v>170.41</v>
      </c>
      <c r="F277" t="s">
        <v>335</v>
      </c>
      <c r="G277">
        <v>9.85</v>
      </c>
      <c r="H277">
        <v>204.49</v>
      </c>
      <c r="I277" t="s">
        <v>416</v>
      </c>
      <c r="J277" t="s">
        <v>414</v>
      </c>
      <c r="K277" t="s">
        <v>588</v>
      </c>
      <c r="L277" t="s">
        <v>178</v>
      </c>
      <c r="M277" t="s">
        <v>293</v>
      </c>
      <c r="N277" t="s">
        <v>12</v>
      </c>
      <c r="O277" t="s">
        <v>293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293</v>
      </c>
      <c r="AH277" t="s">
        <v>12</v>
      </c>
      <c r="AI277" t="s">
        <v>293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204.49</v>
      </c>
      <c r="AN277">
        <f>$H$277*$T$277</f>
        <v>204.49</v>
      </c>
      <c r="AO277">
        <f>$H$277*$U$277</f>
        <v>204.49</v>
      </c>
      <c r="AP277">
        <f>$H$277*$V$277</f>
        <v>204.49</v>
      </c>
      <c r="AQ277">
        <f>$H$277*$W$277</f>
        <v>204.49</v>
      </c>
      <c r="AR277">
        <f>$H$277*$X$277</f>
        <v>204.49</v>
      </c>
      <c r="AS277">
        <f>$H$277*$Y$277</f>
        <v>204.49</v>
      </c>
      <c r="AT277">
        <f>$H$277*$Z$277</f>
        <v>204.49</v>
      </c>
      <c r="AU277">
        <f>$H$277*$AA$277</f>
        <v>204.49</v>
      </c>
      <c r="AV277">
        <f>$H$277*$AB$277</f>
        <v>204.49</v>
      </c>
      <c r="AW277">
        <f>$H$277*$AC$277</f>
        <v>204.49</v>
      </c>
      <c r="AX277">
        <f>$H$277*$AD$277</f>
        <v>204.49</v>
      </c>
      <c r="AY277">
        <f>$H$277*$AE$277</f>
        <v>204.49</v>
      </c>
      <c r="AZ277">
        <f>$H$277*$AF$277</f>
        <v>204.49</v>
      </c>
    </row>
    <row r="278" spans="1:52" x14ac:dyDescent="0.25">
      <c r="A278">
        <v>321</v>
      </c>
      <c r="B278" t="s">
        <v>293</v>
      </c>
      <c r="C278" t="s">
        <v>421</v>
      </c>
      <c r="D278">
        <v>18.059999999999999</v>
      </c>
      <c r="E278">
        <v>17.52</v>
      </c>
      <c r="F278" t="s">
        <v>335</v>
      </c>
      <c r="G278">
        <v>0.97</v>
      </c>
      <c r="H278">
        <v>21.02</v>
      </c>
      <c r="I278" t="s">
        <v>360</v>
      </c>
      <c r="J278" t="s">
        <v>422</v>
      </c>
      <c r="K278" t="s">
        <v>589</v>
      </c>
      <c r="L278" t="s">
        <v>178</v>
      </c>
      <c r="M278" t="s">
        <v>293</v>
      </c>
      <c r="N278" t="s">
        <v>12</v>
      </c>
      <c r="O278" t="s">
        <v>293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293</v>
      </c>
      <c r="AH278" t="s">
        <v>12</v>
      </c>
      <c r="AI278" t="s">
        <v>293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21.02</v>
      </c>
      <c r="AN278">
        <f>$H$278*$T$278</f>
        <v>21.02</v>
      </c>
      <c r="AO278">
        <f>$H$278*$U$278</f>
        <v>21.02</v>
      </c>
      <c r="AP278">
        <f>$H$278*$V$278</f>
        <v>21.02</v>
      </c>
      <c r="AQ278">
        <f>$H$278*$W$278</f>
        <v>21.02</v>
      </c>
      <c r="AR278">
        <f>$H$278*$X$278</f>
        <v>21.02</v>
      </c>
      <c r="AS278">
        <f>$H$278*$Y$278</f>
        <v>21.02</v>
      </c>
      <c r="AT278">
        <f>$H$278*$Z$278</f>
        <v>21.02</v>
      </c>
      <c r="AU278">
        <f>$H$278*$AA$278</f>
        <v>21.02</v>
      </c>
      <c r="AV278">
        <f>$H$278*$AB$278</f>
        <v>21.02</v>
      </c>
      <c r="AW278">
        <f>$H$278*$AC$278</f>
        <v>21.02</v>
      </c>
      <c r="AX278">
        <f>$H$278*$AD$278</f>
        <v>21.02</v>
      </c>
      <c r="AY278">
        <f>$H$278*$AE$278</f>
        <v>21.02</v>
      </c>
      <c r="AZ278">
        <f>$H$278*$AF$278</f>
        <v>21.02</v>
      </c>
    </row>
    <row r="279" spans="1:52" x14ac:dyDescent="0.25">
      <c r="A279">
        <v>322</v>
      </c>
      <c r="B279" t="s">
        <v>293</v>
      </c>
      <c r="C279" t="s">
        <v>423</v>
      </c>
      <c r="D279">
        <v>18.059999999999999</v>
      </c>
      <c r="E279">
        <v>138.34</v>
      </c>
      <c r="F279" t="s">
        <v>335</v>
      </c>
      <c r="G279">
        <v>7.66</v>
      </c>
      <c r="H279">
        <v>166</v>
      </c>
      <c r="I279" t="s">
        <v>360</v>
      </c>
      <c r="J279" t="s">
        <v>414</v>
      </c>
      <c r="K279" t="s">
        <v>590</v>
      </c>
      <c r="L279" t="s">
        <v>178</v>
      </c>
      <c r="M279" t="s">
        <v>293</v>
      </c>
      <c r="N279" t="s">
        <v>12</v>
      </c>
      <c r="O279" t="s">
        <v>293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293</v>
      </c>
      <c r="AH279" t="s">
        <v>12</v>
      </c>
      <c r="AI279" t="s">
        <v>293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166</v>
      </c>
      <c r="AN279">
        <f>$H$279*$T$279</f>
        <v>166</v>
      </c>
      <c r="AO279">
        <f>$H$279*$U$279</f>
        <v>166</v>
      </c>
      <c r="AP279">
        <f>$H$279*$V$279</f>
        <v>166</v>
      </c>
      <c r="AQ279">
        <f>$H$279*$W$279</f>
        <v>166</v>
      </c>
      <c r="AR279">
        <f>$H$279*$X$279</f>
        <v>166</v>
      </c>
      <c r="AS279">
        <f>$H$279*$Y$279</f>
        <v>166</v>
      </c>
      <c r="AT279">
        <f>$H$279*$Z$279</f>
        <v>166</v>
      </c>
      <c r="AU279">
        <f>$H$279*$AA$279</f>
        <v>166</v>
      </c>
      <c r="AV279">
        <f>$H$279*$AB$279</f>
        <v>166</v>
      </c>
      <c r="AW279">
        <f>$H$279*$AC$279</f>
        <v>166</v>
      </c>
      <c r="AX279">
        <f>$H$279*$AD$279</f>
        <v>166</v>
      </c>
      <c r="AY279">
        <f>$H$279*$AE$279</f>
        <v>166</v>
      </c>
      <c r="AZ279">
        <f>$H$279*$AF$279</f>
        <v>166</v>
      </c>
    </row>
    <row r="280" spans="1:52" x14ac:dyDescent="0.25">
      <c r="A280">
        <v>323</v>
      </c>
      <c r="B280" t="s">
        <v>274</v>
      </c>
      <c r="C280" t="s">
        <v>397</v>
      </c>
      <c r="D280">
        <v>8</v>
      </c>
      <c r="E280">
        <v>106.16</v>
      </c>
      <c r="F280" t="s">
        <v>317</v>
      </c>
      <c r="G280">
        <v>13.27</v>
      </c>
      <c r="H280">
        <v>127.4</v>
      </c>
      <c r="I280" t="s">
        <v>319</v>
      </c>
      <c r="J280" t="s">
        <v>398</v>
      </c>
      <c r="K280" t="s">
        <v>577</v>
      </c>
      <c r="L280" t="s">
        <v>178</v>
      </c>
      <c r="M280" t="s">
        <v>274</v>
      </c>
      <c r="N280" t="s">
        <v>12</v>
      </c>
      <c r="O280" t="s">
        <v>14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274</v>
      </c>
      <c r="AH280" t="s">
        <v>12</v>
      </c>
      <c r="AI280" t="s">
        <v>14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127.4</v>
      </c>
      <c r="AS280">
        <f>$H$280*$Y$280</f>
        <v>127.4</v>
      </c>
      <c r="AT280">
        <f>$H$280*$Z$280</f>
        <v>127.4</v>
      </c>
      <c r="AU280">
        <f>$H$280*$AA$280</f>
        <v>127.4</v>
      </c>
      <c r="AV280">
        <f>$H$280*$AB$280</f>
        <v>127.4</v>
      </c>
      <c r="AW280">
        <f>$H$280*$AC$280</f>
        <v>127.4</v>
      </c>
      <c r="AX280">
        <f>$H$280*$AD$280</f>
        <v>127.4</v>
      </c>
      <c r="AY280">
        <f>$H$280*$AE$280</f>
        <v>127.4</v>
      </c>
      <c r="AZ280">
        <f>$H$280*$AF$280</f>
        <v>127.4</v>
      </c>
    </row>
    <row r="281" spans="1:52" x14ac:dyDescent="0.25">
      <c r="A281">
        <v>324</v>
      </c>
      <c r="B281" t="s">
        <v>274</v>
      </c>
      <c r="C281" t="s">
        <v>399</v>
      </c>
      <c r="D281">
        <v>1</v>
      </c>
      <c r="E281">
        <v>63.51</v>
      </c>
      <c r="F281" t="s">
        <v>317</v>
      </c>
      <c r="G281">
        <v>63.51</v>
      </c>
      <c r="H281">
        <v>76.209999999999994</v>
      </c>
      <c r="I281" t="s">
        <v>322</v>
      </c>
      <c r="J281" t="s">
        <v>355</v>
      </c>
      <c r="K281" t="s">
        <v>578</v>
      </c>
      <c r="L281" t="s">
        <v>178</v>
      </c>
      <c r="M281" t="s">
        <v>274</v>
      </c>
      <c r="N281" t="s">
        <v>12</v>
      </c>
      <c r="O281" t="s">
        <v>14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1</v>
      </c>
      <c r="AF281">
        <v>1</v>
      </c>
      <c r="AG281" t="s">
        <v>274</v>
      </c>
      <c r="AH281" t="s">
        <v>12</v>
      </c>
      <c r="AI281" t="s">
        <v>14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0</v>
      </c>
      <c r="AX281">
        <f>$H$281*$AD$281</f>
        <v>76.209999999999994</v>
      </c>
      <c r="AY281">
        <f>$H$281*$AE$281</f>
        <v>76.209999999999994</v>
      </c>
      <c r="AZ281">
        <f>$H$281*$AF$281</f>
        <v>76.209999999999994</v>
      </c>
    </row>
    <row r="282" spans="1:52" x14ac:dyDescent="0.25">
      <c r="A282">
        <v>325</v>
      </c>
      <c r="B282" t="s">
        <v>274</v>
      </c>
      <c r="C282" t="s">
        <v>345</v>
      </c>
      <c r="D282">
        <v>540</v>
      </c>
      <c r="E282">
        <v>529.20000000000005</v>
      </c>
      <c r="F282" t="s">
        <v>335</v>
      </c>
      <c r="G282">
        <v>0.98</v>
      </c>
      <c r="H282">
        <v>635.04</v>
      </c>
      <c r="I282" t="s">
        <v>312</v>
      </c>
      <c r="J282" t="s">
        <v>346</v>
      </c>
      <c r="K282" t="s">
        <v>552</v>
      </c>
      <c r="L282" t="s">
        <v>178</v>
      </c>
      <c r="M282" t="s">
        <v>274</v>
      </c>
      <c r="N282" t="s">
        <v>12</v>
      </c>
      <c r="O282" t="s">
        <v>14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274</v>
      </c>
      <c r="AH282" t="s">
        <v>12</v>
      </c>
      <c r="AI282" t="s">
        <v>14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635.04</v>
      </c>
      <c r="AO282">
        <f>$H$282*$U$282</f>
        <v>635.04</v>
      </c>
      <c r="AP282">
        <f>$H$282*$V$282</f>
        <v>635.04</v>
      </c>
      <c r="AQ282">
        <f>$H$282*$W$282</f>
        <v>635.04</v>
      </c>
      <c r="AR282">
        <f>$H$282*$X$282</f>
        <v>635.04</v>
      </c>
      <c r="AS282">
        <f>$H$282*$Y$282</f>
        <v>635.04</v>
      </c>
      <c r="AT282">
        <f>$H$282*$Z$282</f>
        <v>635.04</v>
      </c>
      <c r="AU282">
        <f>$H$282*$AA$282</f>
        <v>635.04</v>
      </c>
      <c r="AV282">
        <f>$H$282*$AB$282</f>
        <v>635.04</v>
      </c>
      <c r="AW282">
        <f>$H$282*$AC$282</f>
        <v>635.04</v>
      </c>
      <c r="AX282">
        <f>$H$282*$AD$282</f>
        <v>635.04</v>
      </c>
      <c r="AY282">
        <f>$H$282*$AE$282</f>
        <v>635.04</v>
      </c>
      <c r="AZ282">
        <f>$H$282*$AF$282</f>
        <v>635.04</v>
      </c>
    </row>
    <row r="283" spans="1:52" x14ac:dyDescent="0.25">
      <c r="A283">
        <v>326</v>
      </c>
      <c r="B283" t="s">
        <v>274</v>
      </c>
      <c r="C283" t="s">
        <v>400</v>
      </c>
      <c r="D283">
        <v>540</v>
      </c>
      <c r="E283">
        <v>1814.4</v>
      </c>
      <c r="F283" t="s">
        <v>335</v>
      </c>
      <c r="G283">
        <v>3.36</v>
      </c>
      <c r="H283">
        <v>2177.2800000000002</v>
      </c>
      <c r="I283" t="s">
        <v>348</v>
      </c>
      <c r="J283" t="s">
        <v>401</v>
      </c>
      <c r="K283" t="s">
        <v>579</v>
      </c>
      <c r="L283" t="s">
        <v>178</v>
      </c>
      <c r="M283" t="s">
        <v>274</v>
      </c>
      <c r="N283" t="s">
        <v>12</v>
      </c>
      <c r="O283" t="s">
        <v>14</v>
      </c>
      <c r="P283">
        <v>0</v>
      </c>
      <c r="Q283">
        <v>0</v>
      </c>
      <c r="R283">
        <v>0</v>
      </c>
      <c r="S283">
        <v>0.25</v>
      </c>
      <c r="T283">
        <v>0.25</v>
      </c>
      <c r="U283">
        <v>0.25</v>
      </c>
      <c r="V283">
        <v>0.25</v>
      </c>
      <c r="W283">
        <v>0.5</v>
      </c>
      <c r="X283">
        <v>0.5</v>
      </c>
      <c r="Y283">
        <v>0.5</v>
      </c>
      <c r="Z283">
        <v>0.5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274</v>
      </c>
      <c r="AH283" t="s">
        <v>12</v>
      </c>
      <c r="AI283" t="s">
        <v>14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544.32000000000005</v>
      </c>
      <c r="AN283">
        <f>$H$283*$T$283</f>
        <v>544.32000000000005</v>
      </c>
      <c r="AO283">
        <f>$H$283*$U$283</f>
        <v>544.32000000000005</v>
      </c>
      <c r="AP283">
        <f>$H$283*$V$283</f>
        <v>544.32000000000005</v>
      </c>
      <c r="AQ283">
        <f>$H$283*$W$283</f>
        <v>1088.6400000000001</v>
      </c>
      <c r="AR283">
        <f>$H$283*$X$283</f>
        <v>1088.6400000000001</v>
      </c>
      <c r="AS283">
        <f>$H$283*$Y$283</f>
        <v>1088.6400000000001</v>
      </c>
      <c r="AT283">
        <f>$H$283*$Z$283</f>
        <v>1088.6400000000001</v>
      </c>
      <c r="AU283">
        <f>$H$283*$AA$283</f>
        <v>2177.2800000000002</v>
      </c>
      <c r="AV283">
        <f>$H$283*$AB$283</f>
        <v>2177.2800000000002</v>
      </c>
      <c r="AW283">
        <f>$H$283*$AC$283</f>
        <v>2177.2800000000002</v>
      </c>
      <c r="AX283">
        <f>$H$283*$AD$283</f>
        <v>2177.2800000000002</v>
      </c>
      <c r="AY283">
        <f>$H$283*$AE$283</f>
        <v>2177.2800000000002</v>
      </c>
      <c r="AZ283">
        <f>$H$283*$AF$283</f>
        <v>2177.2800000000002</v>
      </c>
    </row>
    <row r="284" spans="1:52" x14ac:dyDescent="0.25">
      <c r="A284">
        <v>327</v>
      </c>
      <c r="B284" t="s">
        <v>274</v>
      </c>
      <c r="C284" t="s">
        <v>402</v>
      </c>
      <c r="D284">
        <v>67.5</v>
      </c>
      <c r="E284">
        <v>101.93</v>
      </c>
      <c r="F284" t="s">
        <v>311</v>
      </c>
      <c r="G284">
        <v>1.51</v>
      </c>
      <c r="H284">
        <v>122.31</v>
      </c>
      <c r="I284" t="s">
        <v>312</v>
      </c>
      <c r="J284" t="s">
        <v>403</v>
      </c>
      <c r="K284" t="s">
        <v>580</v>
      </c>
      <c r="L284" t="s">
        <v>178</v>
      </c>
      <c r="M284" t="s">
        <v>274</v>
      </c>
      <c r="N284" t="s">
        <v>12</v>
      </c>
      <c r="O284" t="s">
        <v>14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274</v>
      </c>
      <c r="AH284" t="s">
        <v>12</v>
      </c>
      <c r="AI284" t="s">
        <v>14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122.31</v>
      </c>
      <c r="AN284">
        <f>$H$284*$T$284</f>
        <v>122.31</v>
      </c>
      <c r="AO284">
        <f>$H$284*$U$284</f>
        <v>122.31</v>
      </c>
      <c r="AP284">
        <f>$H$284*$V$284</f>
        <v>122.31</v>
      </c>
      <c r="AQ284">
        <f>$H$284*$W$284</f>
        <v>122.31</v>
      </c>
      <c r="AR284">
        <f>$H$284*$X$284</f>
        <v>122.31</v>
      </c>
      <c r="AS284">
        <f>$H$284*$Y$284</f>
        <v>122.31</v>
      </c>
      <c r="AT284">
        <f>$H$284*$Z$284</f>
        <v>122.31</v>
      </c>
      <c r="AU284">
        <f>$H$284*$AA$284</f>
        <v>122.31</v>
      </c>
      <c r="AV284">
        <f>$H$284*$AB$284</f>
        <v>122.31</v>
      </c>
      <c r="AW284">
        <f>$H$284*$AC$284</f>
        <v>122.31</v>
      </c>
      <c r="AX284">
        <f>$H$284*$AD$284</f>
        <v>122.31</v>
      </c>
      <c r="AY284">
        <f>$H$284*$AE$284</f>
        <v>122.31</v>
      </c>
      <c r="AZ284">
        <f>$H$284*$AF$284</f>
        <v>122.31</v>
      </c>
    </row>
    <row r="285" spans="1:52" x14ac:dyDescent="0.25">
      <c r="A285">
        <v>328</v>
      </c>
      <c r="B285" t="s">
        <v>274</v>
      </c>
      <c r="C285" t="s">
        <v>404</v>
      </c>
      <c r="D285">
        <v>67.5</v>
      </c>
      <c r="E285">
        <v>383.4</v>
      </c>
      <c r="F285" t="s">
        <v>311</v>
      </c>
      <c r="G285">
        <v>5.68</v>
      </c>
      <c r="H285">
        <v>460.08</v>
      </c>
      <c r="I285" t="s">
        <v>315</v>
      </c>
      <c r="J285" t="s">
        <v>405</v>
      </c>
      <c r="K285" t="s">
        <v>581</v>
      </c>
      <c r="L285" t="s">
        <v>178</v>
      </c>
      <c r="M285" t="s">
        <v>274</v>
      </c>
      <c r="N285" t="s">
        <v>12</v>
      </c>
      <c r="O285" t="s">
        <v>14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274</v>
      </c>
      <c r="AH285" t="s">
        <v>12</v>
      </c>
      <c r="AI285" t="s">
        <v>14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460.08</v>
      </c>
      <c r="AN285">
        <f>$H$285*$T$285</f>
        <v>460.08</v>
      </c>
      <c r="AO285">
        <f>$H$285*$U$285</f>
        <v>460.08</v>
      </c>
      <c r="AP285">
        <f>$H$285*$V$285</f>
        <v>460.08</v>
      </c>
      <c r="AQ285">
        <f>$H$285*$W$285</f>
        <v>460.08</v>
      </c>
      <c r="AR285">
        <f>$H$285*$X$285</f>
        <v>460.08</v>
      </c>
      <c r="AS285">
        <f>$H$285*$Y$285</f>
        <v>460.08</v>
      </c>
      <c r="AT285">
        <f>$H$285*$Z$285</f>
        <v>460.08</v>
      </c>
      <c r="AU285">
        <f>$H$285*$AA$285</f>
        <v>460.08</v>
      </c>
      <c r="AV285">
        <f>$H$285*$AB$285</f>
        <v>460.08</v>
      </c>
      <c r="AW285">
        <f>$H$285*$AC$285</f>
        <v>460.08</v>
      </c>
      <c r="AX285">
        <f>$H$285*$AD$285</f>
        <v>460.08</v>
      </c>
      <c r="AY285">
        <f>$H$285*$AE$285</f>
        <v>460.08</v>
      </c>
      <c r="AZ285">
        <f>$H$285*$AF$285</f>
        <v>460.08</v>
      </c>
    </row>
    <row r="286" spans="1:52" x14ac:dyDescent="0.25">
      <c r="A286">
        <v>329</v>
      </c>
      <c r="B286" t="s">
        <v>274</v>
      </c>
      <c r="C286" t="s">
        <v>400</v>
      </c>
      <c r="D286">
        <v>276.01</v>
      </c>
      <c r="E286">
        <v>927.39</v>
      </c>
      <c r="F286" t="s">
        <v>335</v>
      </c>
      <c r="G286">
        <v>3.36</v>
      </c>
      <c r="H286">
        <v>1112.8699999999999</v>
      </c>
      <c r="I286" t="s">
        <v>348</v>
      </c>
      <c r="J286" t="s">
        <v>401</v>
      </c>
      <c r="K286" t="s">
        <v>579</v>
      </c>
      <c r="L286" t="s">
        <v>178</v>
      </c>
      <c r="M286" t="s">
        <v>274</v>
      </c>
      <c r="N286" t="s">
        <v>12</v>
      </c>
      <c r="O286" t="s">
        <v>14</v>
      </c>
      <c r="P286">
        <v>0</v>
      </c>
      <c r="Q286">
        <v>0</v>
      </c>
      <c r="R286">
        <v>0</v>
      </c>
      <c r="S286">
        <v>0.25</v>
      </c>
      <c r="T286">
        <v>0.25</v>
      </c>
      <c r="U286">
        <v>0.25</v>
      </c>
      <c r="V286">
        <v>0.25</v>
      </c>
      <c r="W286">
        <v>0.5</v>
      </c>
      <c r="X286">
        <v>0.5</v>
      </c>
      <c r="Y286">
        <v>0.5</v>
      </c>
      <c r="Z286">
        <v>0.5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274</v>
      </c>
      <c r="AH286" t="s">
        <v>12</v>
      </c>
      <c r="AI286" t="s">
        <v>14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278.21749999999997</v>
      </c>
      <c r="AN286">
        <f>$H$286*$T$286</f>
        <v>278.21749999999997</v>
      </c>
      <c r="AO286">
        <f>$H$286*$U$286</f>
        <v>278.21749999999997</v>
      </c>
      <c r="AP286">
        <f>$H$286*$V$286</f>
        <v>278.21749999999997</v>
      </c>
      <c r="AQ286">
        <f>$H$286*$W$286</f>
        <v>556.43499999999995</v>
      </c>
      <c r="AR286">
        <f>$H$286*$X$286</f>
        <v>556.43499999999995</v>
      </c>
      <c r="AS286">
        <f>$H$286*$Y$286</f>
        <v>556.43499999999995</v>
      </c>
      <c r="AT286">
        <f>$H$286*$Z$286</f>
        <v>556.43499999999995</v>
      </c>
      <c r="AU286">
        <f>$H$286*$AA$286</f>
        <v>1112.8699999999999</v>
      </c>
      <c r="AV286">
        <f>$H$286*$AB$286</f>
        <v>1112.8699999999999</v>
      </c>
      <c r="AW286">
        <f>$H$286*$AC$286</f>
        <v>1112.8699999999999</v>
      </c>
      <c r="AX286">
        <f>$H$286*$AD$286</f>
        <v>1112.8699999999999</v>
      </c>
      <c r="AY286">
        <f>$H$286*$AE$286</f>
        <v>1112.8699999999999</v>
      </c>
      <c r="AZ286">
        <f>$H$286*$AF$286</f>
        <v>1112.8699999999999</v>
      </c>
    </row>
    <row r="287" spans="1:52" x14ac:dyDescent="0.25">
      <c r="A287">
        <v>330</v>
      </c>
      <c r="B287" t="s">
        <v>274</v>
      </c>
      <c r="C287" t="s">
        <v>406</v>
      </c>
      <c r="D287">
        <v>276.01</v>
      </c>
      <c r="E287">
        <v>173.89</v>
      </c>
      <c r="F287" t="s">
        <v>335</v>
      </c>
      <c r="G287">
        <v>0.63</v>
      </c>
      <c r="H287">
        <v>208.67</v>
      </c>
      <c r="I287" t="s">
        <v>312</v>
      </c>
      <c r="J287" t="s">
        <v>407</v>
      </c>
      <c r="K287" t="s">
        <v>582</v>
      </c>
      <c r="L287" t="s">
        <v>178</v>
      </c>
      <c r="M287" t="s">
        <v>274</v>
      </c>
      <c r="N287" t="s">
        <v>12</v>
      </c>
      <c r="O287" t="s">
        <v>14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1</v>
      </c>
      <c r="AF287">
        <v>1</v>
      </c>
      <c r="AG287" t="s">
        <v>274</v>
      </c>
      <c r="AH287" t="s">
        <v>12</v>
      </c>
      <c r="AI287" t="s">
        <v>14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0</v>
      </c>
      <c r="AV287">
        <f>$H$287*$AB$287</f>
        <v>0</v>
      </c>
      <c r="AW287">
        <f>$H$287*$AC$287</f>
        <v>0</v>
      </c>
      <c r="AX287">
        <f>$H$287*$AD$287</f>
        <v>208.67</v>
      </c>
      <c r="AY287">
        <f>$H$287*$AE$287</f>
        <v>208.67</v>
      </c>
      <c r="AZ287">
        <f>$H$287*$AF$287</f>
        <v>208.67</v>
      </c>
    </row>
    <row r="288" spans="1:52" x14ac:dyDescent="0.25">
      <c r="A288">
        <v>331</v>
      </c>
      <c r="B288" t="s">
        <v>274</v>
      </c>
      <c r="C288" t="s">
        <v>408</v>
      </c>
      <c r="D288">
        <v>276.01</v>
      </c>
      <c r="E288">
        <v>190.45</v>
      </c>
      <c r="F288" t="s">
        <v>335</v>
      </c>
      <c r="G288">
        <v>0.69</v>
      </c>
      <c r="H288">
        <v>228.55</v>
      </c>
      <c r="I288" t="s">
        <v>312</v>
      </c>
      <c r="J288" t="s">
        <v>409</v>
      </c>
      <c r="K288" t="s">
        <v>583</v>
      </c>
      <c r="L288" t="s">
        <v>178</v>
      </c>
      <c r="M288" t="s">
        <v>274</v>
      </c>
      <c r="N288" t="s">
        <v>12</v>
      </c>
      <c r="O288" t="s">
        <v>14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274</v>
      </c>
      <c r="AH288" t="s">
        <v>12</v>
      </c>
      <c r="AI288" t="s">
        <v>14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228.55</v>
      </c>
      <c r="AN288">
        <f>$H$288*$T$288</f>
        <v>228.55</v>
      </c>
      <c r="AO288">
        <f>$H$288*$U$288</f>
        <v>228.55</v>
      </c>
      <c r="AP288">
        <f>$H$288*$V$288</f>
        <v>228.55</v>
      </c>
      <c r="AQ288">
        <f>$H$288*$W$288</f>
        <v>228.55</v>
      </c>
      <c r="AR288">
        <f>$H$288*$X$288</f>
        <v>228.55</v>
      </c>
      <c r="AS288">
        <f>$H$288*$Y$288</f>
        <v>228.55</v>
      </c>
      <c r="AT288">
        <f>$H$288*$Z$288</f>
        <v>228.55</v>
      </c>
      <c r="AU288">
        <f>$H$288*$AA$288</f>
        <v>228.55</v>
      </c>
      <c r="AV288">
        <f>$H$288*$AB$288</f>
        <v>228.55</v>
      </c>
      <c r="AW288">
        <f>$H$288*$AC$288</f>
        <v>228.55</v>
      </c>
      <c r="AX288">
        <f>$H$288*$AD$288</f>
        <v>228.55</v>
      </c>
      <c r="AY288">
        <f>$H$288*$AE$288</f>
        <v>228.55</v>
      </c>
      <c r="AZ288">
        <f>$H$288*$AF$288</f>
        <v>228.55</v>
      </c>
    </row>
    <row r="289" spans="1:52" x14ac:dyDescent="0.25">
      <c r="A289">
        <v>332</v>
      </c>
      <c r="B289" t="s">
        <v>274</v>
      </c>
      <c r="C289" t="s">
        <v>410</v>
      </c>
      <c r="D289">
        <v>57.96</v>
      </c>
      <c r="E289">
        <v>394.71</v>
      </c>
      <c r="F289" t="s">
        <v>335</v>
      </c>
      <c r="G289">
        <v>6.81</v>
      </c>
      <c r="H289">
        <v>473.65</v>
      </c>
      <c r="I289" t="s">
        <v>411</v>
      </c>
      <c r="J289" t="s">
        <v>412</v>
      </c>
      <c r="K289" t="s">
        <v>584</v>
      </c>
      <c r="L289" t="s">
        <v>178</v>
      </c>
      <c r="M289" t="s">
        <v>274</v>
      </c>
      <c r="N289" t="s">
        <v>12</v>
      </c>
      <c r="O289" t="s">
        <v>14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274</v>
      </c>
      <c r="AH289" t="s">
        <v>12</v>
      </c>
      <c r="AI289" t="s">
        <v>14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473.65</v>
      </c>
      <c r="AN289">
        <f>$H$289*$T$289</f>
        <v>473.65</v>
      </c>
      <c r="AO289">
        <f>$H$289*$U$289</f>
        <v>473.65</v>
      </c>
      <c r="AP289">
        <f>$H$289*$V$289</f>
        <v>473.65</v>
      </c>
      <c r="AQ289">
        <f>$H$289*$W$289</f>
        <v>473.65</v>
      </c>
      <c r="AR289">
        <f>$H$289*$X$289</f>
        <v>473.65</v>
      </c>
      <c r="AS289">
        <f>$H$289*$Y$289</f>
        <v>473.65</v>
      </c>
      <c r="AT289">
        <f>$H$289*$Z$289</f>
        <v>473.65</v>
      </c>
      <c r="AU289">
        <f>$H$289*$AA$289</f>
        <v>473.65</v>
      </c>
      <c r="AV289">
        <f>$H$289*$AB$289</f>
        <v>473.65</v>
      </c>
      <c r="AW289">
        <f>$H$289*$AC$289</f>
        <v>473.65</v>
      </c>
      <c r="AX289">
        <f>$H$289*$AD$289</f>
        <v>473.65</v>
      </c>
      <c r="AY289">
        <f>$H$289*$AE$289</f>
        <v>473.65</v>
      </c>
      <c r="AZ289">
        <f>$H$289*$AF$289</f>
        <v>473.65</v>
      </c>
    </row>
    <row r="290" spans="1:52" x14ac:dyDescent="0.25">
      <c r="A290">
        <v>333</v>
      </c>
      <c r="B290" t="s">
        <v>274</v>
      </c>
      <c r="C290" t="s">
        <v>413</v>
      </c>
      <c r="D290">
        <v>63.48</v>
      </c>
      <c r="E290">
        <v>467.85</v>
      </c>
      <c r="F290" t="s">
        <v>335</v>
      </c>
      <c r="G290">
        <v>7.37</v>
      </c>
      <c r="H290">
        <v>561.42999999999995</v>
      </c>
      <c r="I290" t="s">
        <v>411</v>
      </c>
      <c r="J290" t="s">
        <v>414</v>
      </c>
      <c r="K290" t="s">
        <v>585</v>
      </c>
      <c r="L290" t="s">
        <v>178</v>
      </c>
      <c r="M290" t="s">
        <v>274</v>
      </c>
      <c r="N290" t="s">
        <v>12</v>
      </c>
      <c r="O290" t="s">
        <v>14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274</v>
      </c>
      <c r="AH290" t="s">
        <v>12</v>
      </c>
      <c r="AI290" t="s">
        <v>14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561.42999999999995</v>
      </c>
      <c r="AN290">
        <f>$H$290*$T$290</f>
        <v>561.42999999999995</v>
      </c>
      <c r="AO290">
        <f>$H$290*$U$290</f>
        <v>561.42999999999995</v>
      </c>
      <c r="AP290">
        <f>$H$290*$V$290</f>
        <v>561.42999999999995</v>
      </c>
      <c r="AQ290">
        <f>$H$290*$W$290</f>
        <v>561.42999999999995</v>
      </c>
      <c r="AR290">
        <f>$H$290*$X$290</f>
        <v>561.42999999999995</v>
      </c>
      <c r="AS290">
        <f>$H$290*$Y$290</f>
        <v>561.42999999999995</v>
      </c>
      <c r="AT290">
        <f>$H$290*$Z$290</f>
        <v>561.42999999999995</v>
      </c>
      <c r="AU290">
        <f>$H$290*$AA$290</f>
        <v>561.42999999999995</v>
      </c>
      <c r="AV290">
        <f>$H$290*$AB$290</f>
        <v>561.42999999999995</v>
      </c>
      <c r="AW290">
        <f>$H$290*$AC$290</f>
        <v>561.42999999999995</v>
      </c>
      <c r="AX290">
        <f>$H$290*$AD$290</f>
        <v>561.42999999999995</v>
      </c>
      <c r="AY290">
        <f>$H$290*$AE$290</f>
        <v>561.42999999999995</v>
      </c>
      <c r="AZ290">
        <f>$H$290*$AF$290</f>
        <v>561.42999999999995</v>
      </c>
    </row>
    <row r="291" spans="1:52" x14ac:dyDescent="0.25">
      <c r="A291">
        <v>334</v>
      </c>
      <c r="B291" t="s">
        <v>274</v>
      </c>
      <c r="C291" t="s">
        <v>415</v>
      </c>
      <c r="D291">
        <v>56.8</v>
      </c>
      <c r="E291">
        <v>310.13</v>
      </c>
      <c r="F291" t="s">
        <v>335</v>
      </c>
      <c r="G291">
        <v>5.46</v>
      </c>
      <c r="H291">
        <v>372.15</v>
      </c>
      <c r="I291" t="s">
        <v>416</v>
      </c>
      <c r="J291" t="s">
        <v>417</v>
      </c>
      <c r="K291" t="s">
        <v>586</v>
      </c>
      <c r="L291" t="s">
        <v>178</v>
      </c>
      <c r="M291" t="s">
        <v>274</v>
      </c>
      <c r="N291" t="s">
        <v>12</v>
      </c>
      <c r="O291" t="s">
        <v>14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274</v>
      </c>
      <c r="AH291" t="s">
        <v>12</v>
      </c>
      <c r="AI291" t="s">
        <v>14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372.15</v>
      </c>
      <c r="AN291">
        <f>$H$291*$T$291</f>
        <v>372.15</v>
      </c>
      <c r="AO291">
        <f>$H$291*$U$291</f>
        <v>372.15</v>
      </c>
      <c r="AP291">
        <f>$H$291*$V$291</f>
        <v>372.15</v>
      </c>
      <c r="AQ291">
        <f>$H$291*$W$291</f>
        <v>372.15</v>
      </c>
      <c r="AR291">
        <f>$H$291*$X$291</f>
        <v>372.15</v>
      </c>
      <c r="AS291">
        <f>$H$291*$Y$291</f>
        <v>372.15</v>
      </c>
      <c r="AT291">
        <f>$H$291*$Z$291</f>
        <v>372.15</v>
      </c>
      <c r="AU291">
        <f>$H$291*$AA$291</f>
        <v>372.15</v>
      </c>
      <c r="AV291">
        <f>$H$291*$AB$291</f>
        <v>372.15</v>
      </c>
      <c r="AW291">
        <f>$H$291*$AC$291</f>
        <v>372.15</v>
      </c>
      <c r="AX291">
        <f>$H$291*$AD$291</f>
        <v>372.15</v>
      </c>
      <c r="AY291">
        <f>$H$291*$AE$291</f>
        <v>372.15</v>
      </c>
      <c r="AZ291">
        <f>$H$291*$AF$291</f>
        <v>372.15</v>
      </c>
    </row>
    <row r="292" spans="1:52" x14ac:dyDescent="0.25">
      <c r="A292">
        <v>335</v>
      </c>
      <c r="B292" t="s">
        <v>274</v>
      </c>
      <c r="C292" t="s">
        <v>418</v>
      </c>
      <c r="D292">
        <v>56.8</v>
      </c>
      <c r="E292">
        <v>203.34</v>
      </c>
      <c r="F292" t="s">
        <v>335</v>
      </c>
      <c r="G292">
        <v>3.58</v>
      </c>
      <c r="H292">
        <v>244</v>
      </c>
      <c r="I292" t="s">
        <v>416</v>
      </c>
      <c r="J292" t="s">
        <v>419</v>
      </c>
      <c r="K292" t="s">
        <v>587</v>
      </c>
      <c r="L292" t="s">
        <v>178</v>
      </c>
      <c r="M292" t="s">
        <v>274</v>
      </c>
      <c r="N292" t="s">
        <v>12</v>
      </c>
      <c r="O292" t="s">
        <v>14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274</v>
      </c>
      <c r="AH292" t="s">
        <v>12</v>
      </c>
      <c r="AI292" t="s">
        <v>14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244</v>
      </c>
      <c r="AN292">
        <f>$H$292*$T$292</f>
        <v>244</v>
      </c>
      <c r="AO292">
        <f>$H$292*$U$292</f>
        <v>244</v>
      </c>
      <c r="AP292">
        <f>$H$292*$V$292</f>
        <v>244</v>
      </c>
      <c r="AQ292">
        <f>$H$292*$W$292</f>
        <v>244</v>
      </c>
      <c r="AR292">
        <f>$H$292*$X$292</f>
        <v>244</v>
      </c>
      <c r="AS292">
        <f>$H$292*$Y$292</f>
        <v>244</v>
      </c>
      <c r="AT292">
        <f>$H$292*$Z$292</f>
        <v>244</v>
      </c>
      <c r="AU292">
        <f>$H$292*$AA$292</f>
        <v>244</v>
      </c>
      <c r="AV292">
        <f>$H$292*$AB$292</f>
        <v>244</v>
      </c>
      <c r="AW292">
        <f>$H$292*$AC$292</f>
        <v>244</v>
      </c>
      <c r="AX292">
        <f>$H$292*$AD$292</f>
        <v>244</v>
      </c>
      <c r="AY292">
        <f>$H$292*$AE$292</f>
        <v>244</v>
      </c>
      <c r="AZ292">
        <f>$H$292*$AF$292</f>
        <v>244</v>
      </c>
    </row>
    <row r="293" spans="1:52" x14ac:dyDescent="0.25">
      <c r="A293">
        <v>336</v>
      </c>
      <c r="B293" t="s">
        <v>274</v>
      </c>
      <c r="C293" t="s">
        <v>420</v>
      </c>
      <c r="D293">
        <v>56.8</v>
      </c>
      <c r="E293">
        <v>559.48</v>
      </c>
      <c r="F293" t="s">
        <v>335</v>
      </c>
      <c r="G293">
        <v>9.85</v>
      </c>
      <c r="H293">
        <v>671.38</v>
      </c>
      <c r="I293" t="s">
        <v>416</v>
      </c>
      <c r="J293" t="s">
        <v>414</v>
      </c>
      <c r="K293" t="s">
        <v>588</v>
      </c>
      <c r="L293" t="s">
        <v>178</v>
      </c>
      <c r="M293" t="s">
        <v>274</v>
      </c>
      <c r="N293" t="s">
        <v>12</v>
      </c>
      <c r="O293" t="s">
        <v>14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274</v>
      </c>
      <c r="AH293" t="s">
        <v>12</v>
      </c>
      <c r="AI293" t="s">
        <v>14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671.38</v>
      </c>
      <c r="AN293">
        <f>$H$293*$T$293</f>
        <v>671.38</v>
      </c>
      <c r="AO293">
        <f>$H$293*$U$293</f>
        <v>671.38</v>
      </c>
      <c r="AP293">
        <f>$H$293*$V$293</f>
        <v>671.38</v>
      </c>
      <c r="AQ293">
        <f>$H$293*$W$293</f>
        <v>671.38</v>
      </c>
      <c r="AR293">
        <f>$H$293*$X$293</f>
        <v>671.38</v>
      </c>
      <c r="AS293">
        <f>$H$293*$Y$293</f>
        <v>671.38</v>
      </c>
      <c r="AT293">
        <f>$H$293*$Z$293</f>
        <v>671.38</v>
      </c>
      <c r="AU293">
        <f>$H$293*$AA$293</f>
        <v>671.38</v>
      </c>
      <c r="AV293">
        <f>$H$293*$AB$293</f>
        <v>671.38</v>
      </c>
      <c r="AW293">
        <f>$H$293*$AC$293</f>
        <v>671.38</v>
      </c>
      <c r="AX293">
        <f>$H$293*$AD$293</f>
        <v>671.38</v>
      </c>
      <c r="AY293">
        <f>$H$293*$AE$293</f>
        <v>671.38</v>
      </c>
      <c r="AZ293">
        <f>$H$293*$AF$293</f>
        <v>671.38</v>
      </c>
    </row>
    <row r="294" spans="1:52" x14ac:dyDescent="0.25">
      <c r="A294">
        <v>337</v>
      </c>
      <c r="B294" t="s">
        <v>274</v>
      </c>
      <c r="C294" t="s">
        <v>421</v>
      </c>
      <c r="D294">
        <v>63.48</v>
      </c>
      <c r="E294">
        <v>61.58</v>
      </c>
      <c r="F294" t="s">
        <v>335</v>
      </c>
      <c r="G294">
        <v>0.97</v>
      </c>
      <c r="H294">
        <v>73.900000000000006</v>
      </c>
      <c r="I294" t="s">
        <v>360</v>
      </c>
      <c r="J294" t="s">
        <v>422</v>
      </c>
      <c r="K294" t="s">
        <v>589</v>
      </c>
      <c r="L294" t="s">
        <v>178</v>
      </c>
      <c r="M294" t="s">
        <v>274</v>
      </c>
      <c r="N294" t="s">
        <v>12</v>
      </c>
      <c r="O294" t="s">
        <v>14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274</v>
      </c>
      <c r="AH294" t="s">
        <v>12</v>
      </c>
      <c r="AI294" t="s">
        <v>14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73.900000000000006</v>
      </c>
      <c r="AN294">
        <f>$H$294*$T$294</f>
        <v>73.900000000000006</v>
      </c>
      <c r="AO294">
        <f>$H$294*$U$294</f>
        <v>73.900000000000006</v>
      </c>
      <c r="AP294">
        <f>$H$294*$V$294</f>
        <v>73.900000000000006</v>
      </c>
      <c r="AQ294">
        <f>$H$294*$W$294</f>
        <v>73.900000000000006</v>
      </c>
      <c r="AR294">
        <f>$H$294*$X$294</f>
        <v>73.900000000000006</v>
      </c>
      <c r="AS294">
        <f>$H$294*$Y$294</f>
        <v>73.900000000000006</v>
      </c>
      <c r="AT294">
        <f>$H$294*$Z$294</f>
        <v>73.900000000000006</v>
      </c>
      <c r="AU294">
        <f>$H$294*$AA$294</f>
        <v>73.900000000000006</v>
      </c>
      <c r="AV294">
        <f>$H$294*$AB$294</f>
        <v>73.900000000000006</v>
      </c>
      <c r="AW294">
        <f>$H$294*$AC$294</f>
        <v>73.900000000000006</v>
      </c>
      <c r="AX294">
        <f>$H$294*$AD$294</f>
        <v>73.900000000000006</v>
      </c>
      <c r="AY294">
        <f>$H$294*$AE$294</f>
        <v>73.900000000000006</v>
      </c>
      <c r="AZ294">
        <f>$H$294*$AF$294</f>
        <v>73.900000000000006</v>
      </c>
    </row>
    <row r="295" spans="1:52" x14ac:dyDescent="0.25">
      <c r="A295">
        <v>338</v>
      </c>
      <c r="B295" t="s">
        <v>274</v>
      </c>
      <c r="C295" t="s">
        <v>423</v>
      </c>
      <c r="D295">
        <v>63.48</v>
      </c>
      <c r="E295">
        <v>486.26</v>
      </c>
      <c r="F295" t="s">
        <v>335</v>
      </c>
      <c r="G295">
        <v>7.66</v>
      </c>
      <c r="H295">
        <v>583.52</v>
      </c>
      <c r="I295" t="s">
        <v>360</v>
      </c>
      <c r="J295" t="s">
        <v>414</v>
      </c>
      <c r="K295" t="s">
        <v>590</v>
      </c>
      <c r="L295" t="s">
        <v>178</v>
      </c>
      <c r="M295" t="s">
        <v>274</v>
      </c>
      <c r="N295" t="s">
        <v>12</v>
      </c>
      <c r="O295" t="s">
        <v>14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274</v>
      </c>
      <c r="AH295" t="s">
        <v>12</v>
      </c>
      <c r="AI295" t="s">
        <v>14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583.52</v>
      </c>
      <c r="AN295">
        <f>$H$295*$T$295</f>
        <v>583.52</v>
      </c>
      <c r="AO295">
        <f>$H$295*$U$295</f>
        <v>583.52</v>
      </c>
      <c r="AP295">
        <f>$H$295*$V$295</f>
        <v>583.52</v>
      </c>
      <c r="AQ295">
        <f>$H$295*$W$295</f>
        <v>583.52</v>
      </c>
      <c r="AR295">
        <f>$H$295*$X$295</f>
        <v>583.52</v>
      </c>
      <c r="AS295">
        <f>$H$295*$Y$295</f>
        <v>583.52</v>
      </c>
      <c r="AT295">
        <f>$H$295*$Z$295</f>
        <v>583.52</v>
      </c>
      <c r="AU295">
        <f>$H$295*$AA$295</f>
        <v>583.52</v>
      </c>
      <c r="AV295">
        <f>$H$295*$AB$295</f>
        <v>583.52</v>
      </c>
      <c r="AW295">
        <f>$H$295*$AC$295</f>
        <v>583.52</v>
      </c>
      <c r="AX295">
        <f>$H$295*$AD$295</f>
        <v>583.52</v>
      </c>
      <c r="AY295">
        <f>$H$295*$AE$295</f>
        <v>583.52</v>
      </c>
      <c r="AZ295">
        <f>$H$295*$AF$295</f>
        <v>583.52</v>
      </c>
    </row>
    <row r="296" spans="1:52" x14ac:dyDescent="0.25">
      <c r="A296">
        <v>339</v>
      </c>
      <c r="B296" t="s">
        <v>4</v>
      </c>
      <c r="C296" t="s">
        <v>318</v>
      </c>
      <c r="D296">
        <v>1</v>
      </c>
      <c r="E296">
        <v>60.4</v>
      </c>
      <c r="F296" t="s">
        <v>317</v>
      </c>
      <c r="G296">
        <v>60.4</v>
      </c>
      <c r="H296">
        <v>72.48</v>
      </c>
      <c r="I296" t="s">
        <v>319</v>
      </c>
      <c r="J296" t="s">
        <v>320</v>
      </c>
      <c r="K296" t="s">
        <v>540</v>
      </c>
      <c r="L296" t="s">
        <v>178</v>
      </c>
      <c r="M296" t="s">
        <v>4</v>
      </c>
      <c r="N296" t="s">
        <v>51</v>
      </c>
      <c r="O296" t="s">
        <v>4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1</v>
      </c>
      <c r="AE296">
        <v>1</v>
      </c>
      <c r="AF296">
        <v>1</v>
      </c>
      <c r="AG296" t="s">
        <v>4</v>
      </c>
      <c r="AH296" t="s">
        <v>51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0</v>
      </c>
      <c r="AO296">
        <f>$H$296*$U$296</f>
        <v>0</v>
      </c>
      <c r="AP296">
        <f>$H$296*$V$296</f>
        <v>0</v>
      </c>
      <c r="AQ296">
        <f>$H$296*$W$296</f>
        <v>0</v>
      </c>
      <c r="AR296">
        <f>$H$296*$X$296</f>
        <v>0</v>
      </c>
      <c r="AS296">
        <f>$H$296*$Y$296</f>
        <v>0</v>
      </c>
      <c r="AT296">
        <f>$H$296*$Z$296</f>
        <v>0</v>
      </c>
      <c r="AU296">
        <f>$H$296*$AA$296</f>
        <v>0</v>
      </c>
      <c r="AV296">
        <f>$H$296*$AB$296</f>
        <v>0</v>
      </c>
      <c r="AW296">
        <f>$H$296*$AC$296</f>
        <v>0</v>
      </c>
      <c r="AX296">
        <f>$H$296*$AD$296</f>
        <v>72.48</v>
      </c>
      <c r="AY296">
        <f>$H$296*$AE$296</f>
        <v>72.48</v>
      </c>
      <c r="AZ296">
        <f>$H$296*$AF$296</f>
        <v>72.48</v>
      </c>
    </row>
    <row r="297" spans="1:52" x14ac:dyDescent="0.25">
      <c r="A297">
        <v>340</v>
      </c>
      <c r="B297" t="s">
        <v>4</v>
      </c>
      <c r="C297" t="s">
        <v>341</v>
      </c>
      <c r="D297">
        <v>5</v>
      </c>
      <c r="E297">
        <v>22.2</v>
      </c>
      <c r="F297" t="s">
        <v>311</v>
      </c>
      <c r="G297">
        <v>4.4400000000000004</v>
      </c>
      <c r="H297">
        <v>26.64</v>
      </c>
      <c r="I297" t="s">
        <v>312</v>
      </c>
      <c r="J297" t="s">
        <v>342</v>
      </c>
      <c r="K297" t="s">
        <v>550</v>
      </c>
      <c r="L297" t="s">
        <v>178</v>
      </c>
      <c r="M297" t="s">
        <v>4</v>
      </c>
      <c r="N297" t="s">
        <v>51</v>
      </c>
      <c r="O297" t="s">
        <v>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4</v>
      </c>
      <c r="AH297" t="s">
        <v>51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0</v>
      </c>
      <c r="AT297">
        <f>$H$297*$Z$297</f>
        <v>0</v>
      </c>
      <c r="AU297">
        <f>$H$297*$AA$297</f>
        <v>26.64</v>
      </c>
      <c r="AV297">
        <f>$H$297*$AB$297</f>
        <v>26.64</v>
      </c>
      <c r="AW297">
        <f>$H$297*$AC$297</f>
        <v>26.64</v>
      </c>
      <c r="AX297">
        <f>$H$297*$AD$297</f>
        <v>26.64</v>
      </c>
      <c r="AY297">
        <f>$H$297*$AE$297</f>
        <v>26.64</v>
      </c>
      <c r="AZ297">
        <f>$H$297*$AF$297</f>
        <v>26.64</v>
      </c>
    </row>
    <row r="298" spans="1:52" x14ac:dyDescent="0.25">
      <c r="A298">
        <v>341</v>
      </c>
      <c r="B298" t="s">
        <v>4</v>
      </c>
      <c r="C298" t="s">
        <v>343</v>
      </c>
      <c r="D298">
        <v>5</v>
      </c>
      <c r="E298">
        <v>57.75</v>
      </c>
      <c r="F298" t="s">
        <v>311</v>
      </c>
      <c r="G298">
        <v>11.55</v>
      </c>
      <c r="H298">
        <v>69.31</v>
      </c>
      <c r="I298" t="s">
        <v>315</v>
      </c>
      <c r="J298" t="s">
        <v>344</v>
      </c>
      <c r="K298" t="s">
        <v>551</v>
      </c>
      <c r="L298" t="s">
        <v>178</v>
      </c>
      <c r="M298" t="s">
        <v>4</v>
      </c>
      <c r="N298" t="s">
        <v>51</v>
      </c>
      <c r="O298" t="s">
        <v>4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4</v>
      </c>
      <c r="AH298" t="s">
        <v>51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69.31</v>
      </c>
      <c r="AV298">
        <f>$H$298*$AB$298</f>
        <v>69.31</v>
      </c>
      <c r="AW298">
        <f>$H$298*$AC$298</f>
        <v>69.31</v>
      </c>
      <c r="AX298">
        <f>$H$298*$AD$298</f>
        <v>69.31</v>
      </c>
      <c r="AY298">
        <f>$H$298*$AE$298</f>
        <v>69.31</v>
      </c>
      <c r="AZ298">
        <f>$H$298*$AF$298</f>
        <v>69.31</v>
      </c>
    </row>
    <row r="299" spans="1:52" x14ac:dyDescent="0.25">
      <c r="A299">
        <v>342</v>
      </c>
      <c r="B299" t="s">
        <v>4</v>
      </c>
      <c r="C299" t="s">
        <v>395</v>
      </c>
      <c r="D299">
        <v>5</v>
      </c>
      <c r="E299">
        <v>23.75</v>
      </c>
      <c r="F299" t="s">
        <v>311</v>
      </c>
      <c r="G299">
        <v>4.75</v>
      </c>
      <c r="H299">
        <v>28.51</v>
      </c>
      <c r="I299" t="s">
        <v>315</v>
      </c>
      <c r="J299" t="s">
        <v>396</v>
      </c>
      <c r="K299" t="s">
        <v>576</v>
      </c>
      <c r="L299" t="s">
        <v>178</v>
      </c>
      <c r="M299" t="s">
        <v>4</v>
      </c>
      <c r="N299" t="s">
        <v>51</v>
      </c>
      <c r="O299" t="s">
        <v>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1</v>
      </c>
      <c r="AD299">
        <v>1</v>
      </c>
      <c r="AE299">
        <v>1</v>
      </c>
      <c r="AF299">
        <v>1</v>
      </c>
      <c r="AG299" t="s">
        <v>4</v>
      </c>
      <c r="AH299" t="s">
        <v>51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0</v>
      </c>
      <c r="AV299">
        <f>$H$299*$AB$299</f>
        <v>0</v>
      </c>
      <c r="AW299">
        <f>$H$299*$AC$299</f>
        <v>28.51</v>
      </c>
      <c r="AX299">
        <f>$H$299*$AD$299</f>
        <v>28.51</v>
      </c>
      <c r="AY299">
        <f>$H$299*$AE$299</f>
        <v>28.51</v>
      </c>
      <c r="AZ299">
        <f>$H$299*$AF$299</f>
        <v>28.51</v>
      </c>
    </row>
    <row r="300" spans="1:52" x14ac:dyDescent="0.25">
      <c r="A300">
        <v>343</v>
      </c>
      <c r="B300" t="s">
        <v>4</v>
      </c>
      <c r="C300" t="s">
        <v>397</v>
      </c>
      <c r="D300">
        <v>6</v>
      </c>
      <c r="E300">
        <v>79.62</v>
      </c>
      <c r="F300" t="s">
        <v>317</v>
      </c>
      <c r="G300">
        <v>13.27</v>
      </c>
      <c r="H300">
        <v>95.54</v>
      </c>
      <c r="I300" t="s">
        <v>319</v>
      </c>
      <c r="J300" t="s">
        <v>398</v>
      </c>
      <c r="K300" t="s">
        <v>577</v>
      </c>
      <c r="L300" t="s">
        <v>178</v>
      </c>
      <c r="M300" t="s">
        <v>4</v>
      </c>
      <c r="N300" t="s">
        <v>51</v>
      </c>
      <c r="O300" t="s">
        <v>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4</v>
      </c>
      <c r="AH300" t="s">
        <v>51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95.54</v>
      </c>
      <c r="AS300">
        <f>$H$300*$Y$300</f>
        <v>95.54</v>
      </c>
      <c r="AT300">
        <f>$H$300*$Z$300</f>
        <v>95.54</v>
      </c>
      <c r="AU300">
        <f>$H$300*$AA$300</f>
        <v>95.54</v>
      </c>
      <c r="AV300">
        <f>$H$300*$AB$300</f>
        <v>95.54</v>
      </c>
      <c r="AW300">
        <f>$H$300*$AC$300</f>
        <v>95.54</v>
      </c>
      <c r="AX300">
        <f>$H$300*$AD$300</f>
        <v>95.54</v>
      </c>
      <c r="AY300">
        <f>$H$300*$AE$300</f>
        <v>95.54</v>
      </c>
      <c r="AZ300">
        <f>$H$300*$AF$300</f>
        <v>95.54</v>
      </c>
    </row>
    <row r="301" spans="1:52" x14ac:dyDescent="0.25">
      <c r="A301">
        <v>344</v>
      </c>
      <c r="B301" t="s">
        <v>4</v>
      </c>
      <c r="C301" t="s">
        <v>399</v>
      </c>
      <c r="D301">
        <v>1</v>
      </c>
      <c r="E301">
        <v>63.51</v>
      </c>
      <c r="F301" t="s">
        <v>317</v>
      </c>
      <c r="G301">
        <v>63.51</v>
      </c>
      <c r="H301">
        <v>76.209999999999994</v>
      </c>
      <c r="I301" t="s">
        <v>322</v>
      </c>
      <c r="J301" t="s">
        <v>355</v>
      </c>
      <c r="K301" t="s">
        <v>578</v>
      </c>
      <c r="L301" t="s">
        <v>178</v>
      </c>
      <c r="M301" t="s">
        <v>4</v>
      </c>
      <c r="N301" t="s">
        <v>51</v>
      </c>
      <c r="O301" t="s">
        <v>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4</v>
      </c>
      <c r="AH301" t="s">
        <v>51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76.209999999999994</v>
      </c>
      <c r="AY301">
        <f>$H$301*$AE$301</f>
        <v>76.209999999999994</v>
      </c>
      <c r="AZ301">
        <f>$H$301*$AF$301</f>
        <v>76.209999999999994</v>
      </c>
    </row>
    <row r="302" spans="1:52" x14ac:dyDescent="0.25">
      <c r="A302">
        <v>345</v>
      </c>
      <c r="B302" t="s">
        <v>4</v>
      </c>
      <c r="C302" t="s">
        <v>350</v>
      </c>
      <c r="D302">
        <v>1</v>
      </c>
      <c r="E302">
        <v>47.96</v>
      </c>
      <c r="F302" t="s">
        <v>317</v>
      </c>
      <c r="G302">
        <v>47.96</v>
      </c>
      <c r="H302">
        <v>57.56</v>
      </c>
      <c r="I302" t="s">
        <v>351</v>
      </c>
      <c r="J302" t="s">
        <v>352</v>
      </c>
      <c r="K302" t="s">
        <v>554</v>
      </c>
      <c r="L302" t="s">
        <v>178</v>
      </c>
      <c r="M302" t="s">
        <v>4</v>
      </c>
      <c r="N302" t="s">
        <v>51</v>
      </c>
      <c r="O302" t="s">
        <v>4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4</v>
      </c>
      <c r="AH302" t="s">
        <v>51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57.56</v>
      </c>
      <c r="AV302">
        <f>$H$302*$AB$302</f>
        <v>57.56</v>
      </c>
      <c r="AW302">
        <f>$H$302*$AC$302</f>
        <v>57.56</v>
      </c>
      <c r="AX302">
        <f>$H$302*$AD$302</f>
        <v>57.56</v>
      </c>
      <c r="AY302">
        <f>$H$302*$AE$302</f>
        <v>57.56</v>
      </c>
      <c r="AZ302">
        <f>$H$302*$AF$302</f>
        <v>57.56</v>
      </c>
    </row>
    <row r="303" spans="1:52" x14ac:dyDescent="0.25">
      <c r="A303">
        <v>346</v>
      </c>
      <c r="B303" t="s">
        <v>4</v>
      </c>
      <c r="C303" t="s">
        <v>485</v>
      </c>
      <c r="D303">
        <v>2</v>
      </c>
      <c r="E303">
        <v>110.04</v>
      </c>
      <c r="F303" t="s">
        <v>317</v>
      </c>
      <c r="G303">
        <v>55.02</v>
      </c>
      <c r="H303">
        <v>132.04</v>
      </c>
      <c r="I303" t="s">
        <v>312</v>
      </c>
      <c r="J303" t="s">
        <v>486</v>
      </c>
      <c r="K303" t="s">
        <v>622</v>
      </c>
      <c r="L303" t="s">
        <v>178</v>
      </c>
      <c r="M303" t="s">
        <v>4</v>
      </c>
      <c r="N303" t="s">
        <v>51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4</v>
      </c>
      <c r="AH303" t="s">
        <v>51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132.04</v>
      </c>
      <c r="AN303">
        <f>$H$303*$T$303</f>
        <v>132.04</v>
      </c>
      <c r="AO303">
        <f>$H$303*$U$303</f>
        <v>132.04</v>
      </c>
      <c r="AP303">
        <f>$H$303*$V$303</f>
        <v>132.04</v>
      </c>
      <c r="AQ303">
        <f>$H$303*$W$303</f>
        <v>132.04</v>
      </c>
      <c r="AR303">
        <f>$H$303*$X$303</f>
        <v>132.04</v>
      </c>
      <c r="AS303">
        <f>$H$303*$Y$303</f>
        <v>132.04</v>
      </c>
      <c r="AT303">
        <f>$H$303*$Z$303</f>
        <v>132.04</v>
      </c>
      <c r="AU303">
        <f>$H$303*$AA$303</f>
        <v>132.04</v>
      </c>
      <c r="AV303">
        <f>$H$303*$AB$303</f>
        <v>132.04</v>
      </c>
      <c r="AW303">
        <f>$H$303*$AC$303</f>
        <v>132.04</v>
      </c>
      <c r="AX303">
        <f>$H$303*$AD$303</f>
        <v>132.04</v>
      </c>
      <c r="AY303">
        <f>$H$303*$AE$303</f>
        <v>132.04</v>
      </c>
      <c r="AZ303">
        <f>$H$303*$AF$303</f>
        <v>132.04</v>
      </c>
    </row>
    <row r="304" spans="1:52" x14ac:dyDescent="0.25">
      <c r="A304">
        <v>347</v>
      </c>
      <c r="B304" t="s">
        <v>4</v>
      </c>
      <c r="C304" t="s">
        <v>487</v>
      </c>
      <c r="D304">
        <v>1</v>
      </c>
      <c r="E304">
        <v>415.62</v>
      </c>
      <c r="F304" t="s">
        <v>317</v>
      </c>
      <c r="G304">
        <v>415.62</v>
      </c>
      <c r="H304">
        <v>498.74</v>
      </c>
      <c r="I304" t="s">
        <v>354</v>
      </c>
      <c r="J304" t="s">
        <v>486</v>
      </c>
      <c r="K304" t="s">
        <v>623</v>
      </c>
      <c r="L304" t="s">
        <v>178</v>
      </c>
      <c r="M304" t="s">
        <v>4</v>
      </c>
      <c r="N304" t="s">
        <v>51</v>
      </c>
      <c r="O304" t="s">
        <v>4</v>
      </c>
      <c r="P304">
        <v>0</v>
      </c>
      <c r="Q304">
        <v>0</v>
      </c>
      <c r="R304">
        <v>0</v>
      </c>
      <c r="S304">
        <v>0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4</v>
      </c>
      <c r="AH304" t="s">
        <v>51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498.74</v>
      </c>
      <c r="AO304">
        <f>$H$304*$U$304</f>
        <v>498.74</v>
      </c>
      <c r="AP304">
        <f>$H$304*$V$304</f>
        <v>498.74</v>
      </c>
      <c r="AQ304">
        <f>$H$304*$W$304</f>
        <v>498.74</v>
      </c>
      <c r="AR304">
        <f>$H$304*$X$304</f>
        <v>498.74</v>
      </c>
      <c r="AS304">
        <f>$H$304*$Y$304</f>
        <v>498.74</v>
      </c>
      <c r="AT304">
        <f>$H$304*$Z$304</f>
        <v>498.74</v>
      </c>
      <c r="AU304">
        <f>$H$304*$AA$304</f>
        <v>498.74</v>
      </c>
      <c r="AV304">
        <f>$H$304*$AB$304</f>
        <v>498.74</v>
      </c>
      <c r="AW304">
        <f>$H$304*$AC$304</f>
        <v>498.74</v>
      </c>
      <c r="AX304">
        <f>$H$304*$AD$304</f>
        <v>498.74</v>
      </c>
      <c r="AY304">
        <f>$H$304*$AE$304</f>
        <v>498.74</v>
      </c>
      <c r="AZ304">
        <f>$H$304*$AF$304</f>
        <v>498.74</v>
      </c>
    </row>
    <row r="305" spans="1:52" x14ac:dyDescent="0.25">
      <c r="A305">
        <v>348</v>
      </c>
      <c r="B305" t="s">
        <v>4</v>
      </c>
      <c r="C305" t="s">
        <v>358</v>
      </c>
      <c r="D305">
        <v>2</v>
      </c>
      <c r="E305">
        <v>77.86</v>
      </c>
      <c r="F305" t="s">
        <v>317</v>
      </c>
      <c r="G305">
        <v>38.93</v>
      </c>
      <c r="H305">
        <v>93.44</v>
      </c>
      <c r="I305" t="s">
        <v>312</v>
      </c>
      <c r="J305" t="s">
        <v>354</v>
      </c>
      <c r="K305" t="s">
        <v>557</v>
      </c>
      <c r="L305" t="s">
        <v>178</v>
      </c>
      <c r="M305" t="s">
        <v>4</v>
      </c>
      <c r="N305" t="s">
        <v>51</v>
      </c>
      <c r="O305" t="s">
        <v>4</v>
      </c>
      <c r="P305">
        <v>0</v>
      </c>
      <c r="Q305">
        <v>0</v>
      </c>
      <c r="R305">
        <v>0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4</v>
      </c>
      <c r="AH305" t="s">
        <v>51</v>
      </c>
      <c r="AI305" t="s">
        <v>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93.44</v>
      </c>
      <c r="AN305">
        <f>$H$305*$T$305</f>
        <v>93.44</v>
      </c>
      <c r="AO305">
        <f>$H$305*$U$305</f>
        <v>93.44</v>
      </c>
      <c r="AP305">
        <f>$H$305*$V$305</f>
        <v>93.44</v>
      </c>
      <c r="AQ305">
        <f>$H$305*$W$305</f>
        <v>93.44</v>
      </c>
      <c r="AR305">
        <f>$H$305*$X$305</f>
        <v>93.44</v>
      </c>
      <c r="AS305">
        <f>$H$305*$Y$305</f>
        <v>93.44</v>
      </c>
      <c r="AT305">
        <f>$H$305*$Z$305</f>
        <v>93.44</v>
      </c>
      <c r="AU305">
        <f>$H$305*$AA$305</f>
        <v>93.44</v>
      </c>
      <c r="AV305">
        <f>$H$305*$AB$305</f>
        <v>93.44</v>
      </c>
      <c r="AW305">
        <f>$H$305*$AC$305</f>
        <v>93.44</v>
      </c>
      <c r="AX305">
        <f>$H$305*$AD$305</f>
        <v>93.44</v>
      </c>
      <c r="AY305">
        <f>$H$305*$AE$305</f>
        <v>93.44</v>
      </c>
      <c r="AZ305">
        <f>$H$305*$AF$305</f>
        <v>93.44</v>
      </c>
    </row>
    <row r="306" spans="1:52" x14ac:dyDescent="0.25">
      <c r="A306">
        <v>349</v>
      </c>
      <c r="B306" t="s">
        <v>4</v>
      </c>
      <c r="C306" t="s">
        <v>356</v>
      </c>
      <c r="D306">
        <v>2</v>
      </c>
      <c r="E306">
        <v>62.72</v>
      </c>
      <c r="F306" t="s">
        <v>317</v>
      </c>
      <c r="G306">
        <v>31.36</v>
      </c>
      <c r="H306">
        <v>75.260000000000005</v>
      </c>
      <c r="I306" t="s">
        <v>312</v>
      </c>
      <c r="J306" t="s">
        <v>357</v>
      </c>
      <c r="K306" t="s">
        <v>556</v>
      </c>
      <c r="L306" t="s">
        <v>178</v>
      </c>
      <c r="M306" t="s">
        <v>4</v>
      </c>
      <c r="N306" t="s">
        <v>51</v>
      </c>
      <c r="O306" t="s">
        <v>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4</v>
      </c>
      <c r="AH306" t="s">
        <v>51</v>
      </c>
      <c r="AI306" t="s">
        <v>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75.260000000000005</v>
      </c>
      <c r="AN306">
        <f>$H$306*$T$306</f>
        <v>75.260000000000005</v>
      </c>
      <c r="AO306">
        <f>$H$306*$U$306</f>
        <v>75.260000000000005</v>
      </c>
      <c r="AP306">
        <f>$H$306*$V$306</f>
        <v>75.260000000000005</v>
      </c>
      <c r="AQ306">
        <f>$H$306*$W$306</f>
        <v>75.260000000000005</v>
      </c>
      <c r="AR306">
        <f>$H$306*$X$306</f>
        <v>75.260000000000005</v>
      </c>
      <c r="AS306">
        <f>$H$306*$Y$306</f>
        <v>75.260000000000005</v>
      </c>
      <c r="AT306">
        <f>$H$306*$Z$306</f>
        <v>75.260000000000005</v>
      </c>
      <c r="AU306">
        <f>$H$306*$AA$306</f>
        <v>75.260000000000005</v>
      </c>
      <c r="AV306">
        <f>$H$306*$AB$306</f>
        <v>75.260000000000005</v>
      </c>
      <c r="AW306">
        <f>$H$306*$AC$306</f>
        <v>75.260000000000005</v>
      </c>
      <c r="AX306">
        <f>$H$306*$AD$306</f>
        <v>75.260000000000005</v>
      </c>
      <c r="AY306">
        <f>$H$306*$AE$306</f>
        <v>75.260000000000005</v>
      </c>
      <c r="AZ306">
        <f>$H$306*$AF$306</f>
        <v>75.260000000000005</v>
      </c>
    </row>
    <row r="307" spans="1:52" x14ac:dyDescent="0.25">
      <c r="A307">
        <v>350</v>
      </c>
      <c r="B307" t="s">
        <v>4</v>
      </c>
      <c r="C307" t="s">
        <v>353</v>
      </c>
      <c r="D307">
        <v>1</v>
      </c>
      <c r="E307">
        <v>365.09</v>
      </c>
      <c r="F307" t="s">
        <v>317</v>
      </c>
      <c r="G307">
        <v>365.09</v>
      </c>
      <c r="H307">
        <v>438.11</v>
      </c>
      <c r="I307" t="s">
        <v>354</v>
      </c>
      <c r="J307" t="s">
        <v>355</v>
      </c>
      <c r="K307" t="s">
        <v>555</v>
      </c>
      <c r="L307" t="s">
        <v>178</v>
      </c>
      <c r="M307" t="s">
        <v>4</v>
      </c>
      <c r="N307" t="s">
        <v>51</v>
      </c>
      <c r="O307" t="s">
        <v>4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4</v>
      </c>
      <c r="AH307" t="s">
        <v>51</v>
      </c>
      <c r="AI307" t="s">
        <v>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438.11</v>
      </c>
      <c r="AO307">
        <f>$H$307*$U$307</f>
        <v>438.11</v>
      </c>
      <c r="AP307">
        <f>$H$307*$V$307</f>
        <v>438.11</v>
      </c>
      <c r="AQ307">
        <f>$H$307*$W$307</f>
        <v>438.11</v>
      </c>
      <c r="AR307">
        <f>$H$307*$X$307</f>
        <v>438.11</v>
      </c>
      <c r="AS307">
        <f>$H$307*$Y$307</f>
        <v>438.11</v>
      </c>
      <c r="AT307">
        <f>$H$307*$Z$307</f>
        <v>438.11</v>
      </c>
      <c r="AU307">
        <f>$H$307*$AA$307</f>
        <v>438.11</v>
      </c>
      <c r="AV307">
        <f>$H$307*$AB$307</f>
        <v>438.11</v>
      </c>
      <c r="AW307">
        <f>$H$307*$AC$307</f>
        <v>438.11</v>
      </c>
      <c r="AX307">
        <f>$H$307*$AD$307</f>
        <v>438.11</v>
      </c>
      <c r="AY307">
        <f>$H$307*$AE$307</f>
        <v>438.11</v>
      </c>
      <c r="AZ307">
        <f>$H$307*$AF$307</f>
        <v>438.11</v>
      </c>
    </row>
    <row r="308" spans="1:52" x14ac:dyDescent="0.25">
      <c r="A308">
        <v>351</v>
      </c>
      <c r="B308" t="s">
        <v>4</v>
      </c>
      <c r="C308" t="s">
        <v>345</v>
      </c>
      <c r="D308">
        <v>317.33</v>
      </c>
      <c r="E308">
        <v>310.98</v>
      </c>
      <c r="F308" t="s">
        <v>335</v>
      </c>
      <c r="G308">
        <v>0.98</v>
      </c>
      <c r="H308">
        <v>373.18</v>
      </c>
      <c r="I308" t="s">
        <v>312</v>
      </c>
      <c r="J308" t="s">
        <v>346</v>
      </c>
      <c r="K308" t="s">
        <v>552</v>
      </c>
      <c r="L308" t="s">
        <v>178</v>
      </c>
      <c r="M308" t="s">
        <v>4</v>
      </c>
      <c r="N308" t="s">
        <v>51</v>
      </c>
      <c r="O308" t="s">
        <v>4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4</v>
      </c>
      <c r="AH308" t="s">
        <v>51</v>
      </c>
      <c r="AI308" t="s">
        <v>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373.18</v>
      </c>
      <c r="AO308">
        <f>$H$308*$U$308</f>
        <v>373.18</v>
      </c>
      <c r="AP308">
        <f>$H$308*$V$308</f>
        <v>373.18</v>
      </c>
      <c r="AQ308">
        <f>$H$308*$W$308</f>
        <v>373.18</v>
      </c>
      <c r="AR308">
        <f>$H$308*$X$308</f>
        <v>373.18</v>
      </c>
      <c r="AS308">
        <f>$H$308*$Y$308</f>
        <v>373.18</v>
      </c>
      <c r="AT308">
        <f>$H$308*$Z$308</f>
        <v>373.18</v>
      </c>
      <c r="AU308">
        <f>$H$308*$AA$308</f>
        <v>373.18</v>
      </c>
      <c r="AV308">
        <f>$H$308*$AB$308</f>
        <v>373.18</v>
      </c>
      <c r="AW308">
        <f>$H$308*$AC$308</f>
        <v>373.18</v>
      </c>
      <c r="AX308">
        <f>$H$308*$AD$308</f>
        <v>373.18</v>
      </c>
      <c r="AY308">
        <f>$H$308*$AE$308</f>
        <v>373.18</v>
      </c>
      <c r="AZ308">
        <f>$H$308*$AF$308</f>
        <v>373.18</v>
      </c>
    </row>
    <row r="309" spans="1:52" x14ac:dyDescent="0.25">
      <c r="A309">
        <v>352</v>
      </c>
      <c r="B309" t="s">
        <v>4</v>
      </c>
      <c r="C309" t="s">
        <v>400</v>
      </c>
      <c r="D309">
        <v>317.33</v>
      </c>
      <c r="E309">
        <v>1066.23</v>
      </c>
      <c r="F309" t="s">
        <v>335</v>
      </c>
      <c r="G309">
        <v>3.36</v>
      </c>
      <c r="H309">
        <v>1279.47</v>
      </c>
      <c r="I309" t="s">
        <v>348</v>
      </c>
      <c r="J309" t="s">
        <v>401</v>
      </c>
      <c r="K309" t="s">
        <v>579</v>
      </c>
      <c r="L309" t="s">
        <v>178</v>
      </c>
      <c r="M309" t="s">
        <v>4</v>
      </c>
      <c r="N309" t="s">
        <v>51</v>
      </c>
      <c r="O309" t="s">
        <v>4</v>
      </c>
      <c r="P309">
        <v>0</v>
      </c>
      <c r="Q309">
        <v>0</v>
      </c>
      <c r="R309">
        <v>0</v>
      </c>
      <c r="S309">
        <v>0.25</v>
      </c>
      <c r="T309">
        <v>0.25</v>
      </c>
      <c r="U309">
        <v>0.25</v>
      </c>
      <c r="V309">
        <v>0.25</v>
      </c>
      <c r="W309">
        <v>0.5</v>
      </c>
      <c r="X309">
        <v>0.5</v>
      </c>
      <c r="Y309">
        <v>0.5</v>
      </c>
      <c r="Z309">
        <v>0.5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4</v>
      </c>
      <c r="AH309" t="s">
        <v>51</v>
      </c>
      <c r="AI309" t="s">
        <v>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319.86750000000001</v>
      </c>
      <c r="AN309">
        <f>$H$309*$T$309</f>
        <v>319.86750000000001</v>
      </c>
      <c r="AO309">
        <f>$H$309*$U$309</f>
        <v>319.86750000000001</v>
      </c>
      <c r="AP309">
        <f>$H$309*$V$309</f>
        <v>319.86750000000001</v>
      </c>
      <c r="AQ309">
        <f>$H$309*$W$309</f>
        <v>639.73500000000001</v>
      </c>
      <c r="AR309">
        <f>$H$309*$X$309</f>
        <v>639.73500000000001</v>
      </c>
      <c r="AS309">
        <f>$H$309*$Y$309</f>
        <v>639.73500000000001</v>
      </c>
      <c r="AT309">
        <f>$H$309*$Z$309</f>
        <v>639.73500000000001</v>
      </c>
      <c r="AU309">
        <f>$H$309*$AA$309</f>
        <v>1279.47</v>
      </c>
      <c r="AV309">
        <f>$H$309*$AB$309</f>
        <v>1279.47</v>
      </c>
      <c r="AW309">
        <f>$H$309*$AC$309</f>
        <v>1279.47</v>
      </c>
      <c r="AX309">
        <f>$H$309*$AD$309</f>
        <v>1279.47</v>
      </c>
      <c r="AY309">
        <f>$H$309*$AE$309</f>
        <v>1279.47</v>
      </c>
      <c r="AZ309">
        <f>$H$309*$AF$309</f>
        <v>1279.47</v>
      </c>
    </row>
    <row r="310" spans="1:52" x14ac:dyDescent="0.25">
      <c r="A310">
        <v>353</v>
      </c>
      <c r="B310" t="s">
        <v>4</v>
      </c>
      <c r="C310" t="s">
        <v>402</v>
      </c>
      <c r="D310">
        <v>39.67</v>
      </c>
      <c r="E310">
        <v>59.9</v>
      </c>
      <c r="F310" t="s">
        <v>311</v>
      </c>
      <c r="G310">
        <v>1.51</v>
      </c>
      <c r="H310">
        <v>71.88</v>
      </c>
      <c r="I310" t="s">
        <v>312</v>
      </c>
      <c r="J310" t="s">
        <v>403</v>
      </c>
      <c r="K310" t="s">
        <v>580</v>
      </c>
      <c r="L310" t="s">
        <v>178</v>
      </c>
      <c r="M310" t="s">
        <v>4</v>
      </c>
      <c r="N310" t="s">
        <v>51</v>
      </c>
      <c r="O310" t="s">
        <v>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4</v>
      </c>
      <c r="AH310" t="s">
        <v>51</v>
      </c>
      <c r="AI310" t="s">
        <v>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71.88</v>
      </c>
      <c r="AN310">
        <f>$H$310*$T$310</f>
        <v>71.88</v>
      </c>
      <c r="AO310">
        <f>$H$310*$U$310</f>
        <v>71.88</v>
      </c>
      <c r="AP310">
        <f>$H$310*$V$310</f>
        <v>71.88</v>
      </c>
      <c r="AQ310">
        <f>$H$310*$W$310</f>
        <v>71.88</v>
      </c>
      <c r="AR310">
        <f>$H$310*$X$310</f>
        <v>71.88</v>
      </c>
      <c r="AS310">
        <f>$H$310*$Y$310</f>
        <v>71.88</v>
      </c>
      <c r="AT310">
        <f>$H$310*$Z$310</f>
        <v>71.88</v>
      </c>
      <c r="AU310">
        <f>$H$310*$AA$310</f>
        <v>71.88</v>
      </c>
      <c r="AV310">
        <f>$H$310*$AB$310</f>
        <v>71.88</v>
      </c>
      <c r="AW310">
        <f>$H$310*$AC$310</f>
        <v>71.88</v>
      </c>
      <c r="AX310">
        <f>$H$310*$AD$310</f>
        <v>71.88</v>
      </c>
      <c r="AY310">
        <f>$H$310*$AE$310</f>
        <v>71.88</v>
      </c>
      <c r="AZ310">
        <f>$H$310*$AF$310</f>
        <v>71.88</v>
      </c>
    </row>
    <row r="311" spans="1:52" x14ac:dyDescent="0.25">
      <c r="A311">
        <v>354</v>
      </c>
      <c r="B311" t="s">
        <v>4</v>
      </c>
      <c r="C311" t="s">
        <v>404</v>
      </c>
      <c r="D311">
        <v>39.67</v>
      </c>
      <c r="E311">
        <v>225.33</v>
      </c>
      <c r="F311" t="s">
        <v>311</v>
      </c>
      <c r="G311">
        <v>5.68</v>
      </c>
      <c r="H311">
        <v>270.39</v>
      </c>
      <c r="I311" t="s">
        <v>315</v>
      </c>
      <c r="J311" t="s">
        <v>405</v>
      </c>
      <c r="K311" t="s">
        <v>581</v>
      </c>
      <c r="L311" t="s">
        <v>178</v>
      </c>
      <c r="M311" t="s">
        <v>4</v>
      </c>
      <c r="N311" t="s">
        <v>51</v>
      </c>
      <c r="O311" t="s">
        <v>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4</v>
      </c>
      <c r="AH311" t="s">
        <v>51</v>
      </c>
      <c r="AI311" t="s">
        <v>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270.39</v>
      </c>
      <c r="AN311">
        <f>$H$311*$T$311</f>
        <v>270.39</v>
      </c>
      <c r="AO311">
        <f>$H$311*$U$311</f>
        <v>270.39</v>
      </c>
      <c r="AP311">
        <f>$H$311*$V$311</f>
        <v>270.39</v>
      </c>
      <c r="AQ311">
        <f>$H$311*$W$311</f>
        <v>270.39</v>
      </c>
      <c r="AR311">
        <f>$H$311*$X$311</f>
        <v>270.39</v>
      </c>
      <c r="AS311">
        <f>$H$311*$Y$311</f>
        <v>270.39</v>
      </c>
      <c r="AT311">
        <f>$H$311*$Z$311</f>
        <v>270.39</v>
      </c>
      <c r="AU311">
        <f>$H$311*$AA$311</f>
        <v>270.39</v>
      </c>
      <c r="AV311">
        <f>$H$311*$AB$311</f>
        <v>270.39</v>
      </c>
      <c r="AW311">
        <f>$H$311*$AC$311</f>
        <v>270.39</v>
      </c>
      <c r="AX311">
        <f>$H$311*$AD$311</f>
        <v>270.39</v>
      </c>
      <c r="AY311">
        <f>$H$311*$AE$311</f>
        <v>270.39</v>
      </c>
      <c r="AZ311">
        <f>$H$311*$AF$311</f>
        <v>270.39</v>
      </c>
    </row>
    <row r="312" spans="1:52" x14ac:dyDescent="0.25">
      <c r="A312">
        <v>355</v>
      </c>
      <c r="B312" t="s">
        <v>4</v>
      </c>
      <c r="C312" t="s">
        <v>400</v>
      </c>
      <c r="D312">
        <v>98.34</v>
      </c>
      <c r="E312">
        <v>330.42</v>
      </c>
      <c r="F312" t="s">
        <v>335</v>
      </c>
      <c r="G312">
        <v>3.36</v>
      </c>
      <c r="H312">
        <v>396.5</v>
      </c>
      <c r="I312" t="s">
        <v>348</v>
      </c>
      <c r="J312" t="s">
        <v>401</v>
      </c>
      <c r="K312" t="s">
        <v>579</v>
      </c>
      <c r="L312" t="s">
        <v>178</v>
      </c>
      <c r="M312" t="s">
        <v>4</v>
      </c>
      <c r="N312" t="s">
        <v>51</v>
      </c>
      <c r="O312" t="s">
        <v>4</v>
      </c>
      <c r="P312">
        <v>0</v>
      </c>
      <c r="Q312">
        <v>0</v>
      </c>
      <c r="R312">
        <v>0</v>
      </c>
      <c r="S312">
        <v>0.25</v>
      </c>
      <c r="T312">
        <v>0.25</v>
      </c>
      <c r="U312">
        <v>0.25</v>
      </c>
      <c r="V312">
        <v>0.25</v>
      </c>
      <c r="W312">
        <v>0.5</v>
      </c>
      <c r="X312">
        <v>0.5</v>
      </c>
      <c r="Y312">
        <v>0.5</v>
      </c>
      <c r="Z312">
        <v>0.5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4</v>
      </c>
      <c r="AH312" t="s">
        <v>51</v>
      </c>
      <c r="AI312" t="s">
        <v>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99.125</v>
      </c>
      <c r="AN312">
        <f>$H$312*$T$312</f>
        <v>99.125</v>
      </c>
      <c r="AO312">
        <f>$H$312*$U$312</f>
        <v>99.125</v>
      </c>
      <c r="AP312">
        <f>$H$312*$V$312</f>
        <v>99.125</v>
      </c>
      <c r="AQ312">
        <f>$H$312*$W$312</f>
        <v>198.25</v>
      </c>
      <c r="AR312">
        <f>$H$312*$X$312</f>
        <v>198.25</v>
      </c>
      <c r="AS312">
        <f>$H$312*$Y$312</f>
        <v>198.25</v>
      </c>
      <c r="AT312">
        <f>$H$312*$Z$312</f>
        <v>198.25</v>
      </c>
      <c r="AU312">
        <f>$H$312*$AA$312</f>
        <v>396.5</v>
      </c>
      <c r="AV312">
        <f>$H$312*$AB$312</f>
        <v>396.5</v>
      </c>
      <c r="AW312">
        <f>$H$312*$AC$312</f>
        <v>396.5</v>
      </c>
      <c r="AX312">
        <f>$H$312*$AD$312</f>
        <v>396.5</v>
      </c>
      <c r="AY312">
        <f>$H$312*$AE$312</f>
        <v>396.5</v>
      </c>
      <c r="AZ312">
        <f>$H$312*$AF$312</f>
        <v>396.5</v>
      </c>
    </row>
    <row r="313" spans="1:52" x14ac:dyDescent="0.25">
      <c r="A313">
        <v>356</v>
      </c>
      <c r="B313" t="s">
        <v>4</v>
      </c>
      <c r="C313" t="s">
        <v>406</v>
      </c>
      <c r="D313">
        <v>98.34</v>
      </c>
      <c r="E313">
        <v>61.95</v>
      </c>
      <c r="F313" t="s">
        <v>335</v>
      </c>
      <c r="G313">
        <v>0.63</v>
      </c>
      <c r="H313">
        <v>74.349999999999994</v>
      </c>
      <c r="I313" t="s">
        <v>312</v>
      </c>
      <c r="J313" t="s">
        <v>407</v>
      </c>
      <c r="K313" t="s">
        <v>582</v>
      </c>
      <c r="L313" t="s">
        <v>178</v>
      </c>
      <c r="M313" t="s">
        <v>4</v>
      </c>
      <c r="N313" t="s">
        <v>51</v>
      </c>
      <c r="O313" t="s">
        <v>4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1</v>
      </c>
      <c r="AF313">
        <v>1</v>
      </c>
      <c r="AG313" t="s">
        <v>4</v>
      </c>
      <c r="AH313" t="s">
        <v>51</v>
      </c>
      <c r="AI313" t="s">
        <v>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0</v>
      </c>
      <c r="AV313">
        <f>$H$313*$AB$313</f>
        <v>0</v>
      </c>
      <c r="AW313">
        <f>$H$313*$AC$313</f>
        <v>0</v>
      </c>
      <c r="AX313">
        <f>$H$313*$AD$313</f>
        <v>74.349999999999994</v>
      </c>
      <c r="AY313">
        <f>$H$313*$AE$313</f>
        <v>74.349999999999994</v>
      </c>
      <c r="AZ313">
        <f>$H$313*$AF$313</f>
        <v>74.349999999999994</v>
      </c>
    </row>
    <row r="314" spans="1:52" x14ac:dyDescent="0.25">
      <c r="A314">
        <v>357</v>
      </c>
      <c r="B314" t="s">
        <v>4</v>
      </c>
      <c r="C314" t="s">
        <v>408</v>
      </c>
      <c r="D314">
        <v>98.34</v>
      </c>
      <c r="E314">
        <v>67.849999999999994</v>
      </c>
      <c r="F314" t="s">
        <v>335</v>
      </c>
      <c r="G314">
        <v>0.69</v>
      </c>
      <c r="H314">
        <v>81.430000000000007</v>
      </c>
      <c r="I314" t="s">
        <v>312</v>
      </c>
      <c r="J314" t="s">
        <v>409</v>
      </c>
      <c r="K314" t="s">
        <v>583</v>
      </c>
      <c r="L314" t="s">
        <v>178</v>
      </c>
      <c r="M314" t="s">
        <v>4</v>
      </c>
      <c r="N314" t="s">
        <v>51</v>
      </c>
      <c r="O314" t="s">
        <v>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4</v>
      </c>
      <c r="AH314" t="s">
        <v>51</v>
      </c>
      <c r="AI314" t="s">
        <v>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81.430000000000007</v>
      </c>
      <c r="AN314">
        <f>$H$314*$T$314</f>
        <v>81.430000000000007</v>
      </c>
      <c r="AO314">
        <f>$H$314*$U$314</f>
        <v>81.430000000000007</v>
      </c>
      <c r="AP314">
        <f>$H$314*$V$314</f>
        <v>81.430000000000007</v>
      </c>
      <c r="AQ314">
        <f>$H$314*$W$314</f>
        <v>81.430000000000007</v>
      </c>
      <c r="AR314">
        <f>$H$314*$X$314</f>
        <v>81.430000000000007</v>
      </c>
      <c r="AS314">
        <f>$H$314*$Y$314</f>
        <v>81.430000000000007</v>
      </c>
      <c r="AT314">
        <f>$H$314*$Z$314</f>
        <v>81.430000000000007</v>
      </c>
      <c r="AU314">
        <f>$H$314*$AA$314</f>
        <v>81.430000000000007</v>
      </c>
      <c r="AV314">
        <f>$H$314*$AB$314</f>
        <v>81.430000000000007</v>
      </c>
      <c r="AW314">
        <f>$H$314*$AC$314</f>
        <v>81.430000000000007</v>
      </c>
      <c r="AX314">
        <f>$H$314*$AD$314</f>
        <v>81.430000000000007</v>
      </c>
      <c r="AY314">
        <f>$H$314*$AE$314</f>
        <v>81.430000000000007</v>
      </c>
      <c r="AZ314">
        <f>$H$314*$AF$314</f>
        <v>81.430000000000007</v>
      </c>
    </row>
    <row r="315" spans="1:52" x14ac:dyDescent="0.25">
      <c r="A315">
        <v>358</v>
      </c>
      <c r="B315" t="s">
        <v>4</v>
      </c>
      <c r="C315" t="s">
        <v>410</v>
      </c>
      <c r="D315">
        <v>20.65</v>
      </c>
      <c r="E315">
        <v>140.63</v>
      </c>
      <c r="F315" t="s">
        <v>335</v>
      </c>
      <c r="G315">
        <v>6.81</v>
      </c>
      <c r="H315">
        <v>168.75</v>
      </c>
      <c r="I315" t="s">
        <v>411</v>
      </c>
      <c r="J315" t="s">
        <v>412</v>
      </c>
      <c r="K315" t="s">
        <v>584</v>
      </c>
      <c r="L315" t="s">
        <v>178</v>
      </c>
      <c r="M315" t="s">
        <v>4</v>
      </c>
      <c r="N315" t="s">
        <v>51</v>
      </c>
      <c r="O315" t="s">
        <v>4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4</v>
      </c>
      <c r="AH315" t="s">
        <v>51</v>
      </c>
      <c r="AI315" t="s">
        <v>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168.75</v>
      </c>
      <c r="AN315">
        <f>$H$315*$T$315</f>
        <v>168.75</v>
      </c>
      <c r="AO315">
        <f>$H$315*$U$315</f>
        <v>168.75</v>
      </c>
      <c r="AP315">
        <f>$H$315*$V$315</f>
        <v>168.75</v>
      </c>
      <c r="AQ315">
        <f>$H$315*$W$315</f>
        <v>168.75</v>
      </c>
      <c r="AR315">
        <f>$H$315*$X$315</f>
        <v>168.75</v>
      </c>
      <c r="AS315">
        <f>$H$315*$Y$315</f>
        <v>168.75</v>
      </c>
      <c r="AT315">
        <f>$H$315*$Z$315</f>
        <v>168.75</v>
      </c>
      <c r="AU315">
        <f>$H$315*$AA$315</f>
        <v>168.75</v>
      </c>
      <c r="AV315">
        <f>$H$315*$AB$315</f>
        <v>168.75</v>
      </c>
      <c r="AW315">
        <f>$H$315*$AC$315</f>
        <v>168.75</v>
      </c>
      <c r="AX315">
        <f>$H$315*$AD$315</f>
        <v>168.75</v>
      </c>
      <c r="AY315">
        <f>$H$315*$AE$315</f>
        <v>168.75</v>
      </c>
      <c r="AZ315">
        <f>$H$315*$AF$315</f>
        <v>168.75</v>
      </c>
    </row>
    <row r="316" spans="1:52" x14ac:dyDescent="0.25">
      <c r="A316">
        <v>359</v>
      </c>
      <c r="B316" t="s">
        <v>4</v>
      </c>
      <c r="C316" t="s">
        <v>413</v>
      </c>
      <c r="D316">
        <v>22.62</v>
      </c>
      <c r="E316">
        <v>166.71</v>
      </c>
      <c r="F316" t="s">
        <v>335</v>
      </c>
      <c r="G316">
        <v>7.37</v>
      </c>
      <c r="H316">
        <v>200.05</v>
      </c>
      <c r="I316" t="s">
        <v>411</v>
      </c>
      <c r="J316" t="s">
        <v>414</v>
      </c>
      <c r="K316" t="s">
        <v>585</v>
      </c>
      <c r="L316" t="s">
        <v>178</v>
      </c>
      <c r="M316" t="s">
        <v>4</v>
      </c>
      <c r="N316" t="s">
        <v>51</v>
      </c>
      <c r="O316" t="s">
        <v>4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4</v>
      </c>
      <c r="AH316" t="s">
        <v>51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200.05</v>
      </c>
      <c r="AN316">
        <f>$H$316*$T$316</f>
        <v>200.05</v>
      </c>
      <c r="AO316">
        <f>$H$316*$U$316</f>
        <v>200.05</v>
      </c>
      <c r="AP316">
        <f>$H$316*$V$316</f>
        <v>200.05</v>
      </c>
      <c r="AQ316">
        <f>$H$316*$W$316</f>
        <v>200.05</v>
      </c>
      <c r="AR316">
        <f>$H$316*$X$316</f>
        <v>200.05</v>
      </c>
      <c r="AS316">
        <f>$H$316*$Y$316</f>
        <v>200.05</v>
      </c>
      <c r="AT316">
        <f>$H$316*$Z$316</f>
        <v>200.05</v>
      </c>
      <c r="AU316">
        <f>$H$316*$AA$316</f>
        <v>200.05</v>
      </c>
      <c r="AV316">
        <f>$H$316*$AB$316</f>
        <v>200.05</v>
      </c>
      <c r="AW316">
        <f>$H$316*$AC$316</f>
        <v>200.05</v>
      </c>
      <c r="AX316">
        <f>$H$316*$AD$316</f>
        <v>200.05</v>
      </c>
      <c r="AY316">
        <f>$H$316*$AE$316</f>
        <v>200.05</v>
      </c>
      <c r="AZ316">
        <f>$H$316*$AF$316</f>
        <v>200.05</v>
      </c>
    </row>
    <row r="317" spans="1:52" x14ac:dyDescent="0.25">
      <c r="A317">
        <v>360</v>
      </c>
      <c r="B317" t="s">
        <v>4</v>
      </c>
      <c r="C317" t="s">
        <v>415</v>
      </c>
      <c r="D317">
        <v>21.27</v>
      </c>
      <c r="E317">
        <v>116.13</v>
      </c>
      <c r="F317" t="s">
        <v>335</v>
      </c>
      <c r="G317">
        <v>5.46</v>
      </c>
      <c r="H317">
        <v>139.35</v>
      </c>
      <c r="I317" t="s">
        <v>416</v>
      </c>
      <c r="J317" t="s">
        <v>417</v>
      </c>
      <c r="K317" t="s">
        <v>586</v>
      </c>
      <c r="L317" t="s">
        <v>178</v>
      </c>
      <c r="M317" t="s">
        <v>4</v>
      </c>
      <c r="N317" t="s">
        <v>51</v>
      </c>
      <c r="O317" t="s">
        <v>4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4</v>
      </c>
      <c r="AH317" t="s">
        <v>51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139.35</v>
      </c>
      <c r="AN317">
        <f>$H$317*$T$317</f>
        <v>139.35</v>
      </c>
      <c r="AO317">
        <f>$H$317*$U$317</f>
        <v>139.35</v>
      </c>
      <c r="AP317">
        <f>$H$317*$V$317</f>
        <v>139.35</v>
      </c>
      <c r="AQ317">
        <f>$H$317*$W$317</f>
        <v>139.35</v>
      </c>
      <c r="AR317">
        <f>$H$317*$X$317</f>
        <v>139.35</v>
      </c>
      <c r="AS317">
        <f>$H$317*$Y$317</f>
        <v>139.35</v>
      </c>
      <c r="AT317">
        <f>$H$317*$Z$317</f>
        <v>139.35</v>
      </c>
      <c r="AU317">
        <f>$H$317*$AA$317</f>
        <v>139.35</v>
      </c>
      <c r="AV317">
        <f>$H$317*$AB$317</f>
        <v>139.35</v>
      </c>
      <c r="AW317">
        <f>$H$317*$AC$317</f>
        <v>139.35</v>
      </c>
      <c r="AX317">
        <f>$H$317*$AD$317</f>
        <v>139.35</v>
      </c>
      <c r="AY317">
        <f>$H$317*$AE$317</f>
        <v>139.35</v>
      </c>
      <c r="AZ317">
        <f>$H$317*$AF$317</f>
        <v>139.35</v>
      </c>
    </row>
    <row r="318" spans="1:52" x14ac:dyDescent="0.25">
      <c r="A318">
        <v>361</v>
      </c>
      <c r="B318" t="s">
        <v>4</v>
      </c>
      <c r="C318" t="s">
        <v>418</v>
      </c>
      <c r="D318">
        <v>21.27</v>
      </c>
      <c r="E318">
        <v>76.150000000000006</v>
      </c>
      <c r="F318" t="s">
        <v>335</v>
      </c>
      <c r="G318">
        <v>3.58</v>
      </c>
      <c r="H318">
        <v>91.39</v>
      </c>
      <c r="I318" t="s">
        <v>416</v>
      </c>
      <c r="J318" t="s">
        <v>419</v>
      </c>
      <c r="K318" t="s">
        <v>587</v>
      </c>
      <c r="L318" t="s">
        <v>178</v>
      </c>
      <c r="M318" t="s">
        <v>4</v>
      </c>
      <c r="N318" t="s">
        <v>51</v>
      </c>
      <c r="O318" t="s">
        <v>4</v>
      </c>
      <c r="P318">
        <v>0</v>
      </c>
      <c r="Q318">
        <v>0</v>
      </c>
      <c r="R318">
        <v>0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4</v>
      </c>
      <c r="AH318" t="s">
        <v>51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91.39</v>
      </c>
      <c r="AN318">
        <f>$H$318*$T$318</f>
        <v>91.39</v>
      </c>
      <c r="AO318">
        <f>$H$318*$U$318</f>
        <v>91.39</v>
      </c>
      <c r="AP318">
        <f>$H$318*$V$318</f>
        <v>91.39</v>
      </c>
      <c r="AQ318">
        <f>$H$318*$W$318</f>
        <v>91.39</v>
      </c>
      <c r="AR318">
        <f>$H$318*$X$318</f>
        <v>91.39</v>
      </c>
      <c r="AS318">
        <f>$H$318*$Y$318</f>
        <v>91.39</v>
      </c>
      <c r="AT318">
        <f>$H$318*$Z$318</f>
        <v>91.39</v>
      </c>
      <c r="AU318">
        <f>$H$318*$AA$318</f>
        <v>91.39</v>
      </c>
      <c r="AV318">
        <f>$H$318*$AB$318</f>
        <v>91.39</v>
      </c>
      <c r="AW318">
        <f>$H$318*$AC$318</f>
        <v>91.39</v>
      </c>
      <c r="AX318">
        <f>$H$318*$AD$318</f>
        <v>91.39</v>
      </c>
      <c r="AY318">
        <f>$H$318*$AE$318</f>
        <v>91.39</v>
      </c>
      <c r="AZ318">
        <f>$H$318*$AF$318</f>
        <v>91.39</v>
      </c>
    </row>
    <row r="319" spans="1:52" x14ac:dyDescent="0.25">
      <c r="A319">
        <v>362</v>
      </c>
      <c r="B319" t="s">
        <v>4</v>
      </c>
      <c r="C319" t="s">
        <v>420</v>
      </c>
      <c r="D319">
        <v>21.27</v>
      </c>
      <c r="E319">
        <v>209.51</v>
      </c>
      <c r="F319" t="s">
        <v>335</v>
      </c>
      <c r="G319">
        <v>9.85</v>
      </c>
      <c r="H319">
        <v>251.41</v>
      </c>
      <c r="I319" t="s">
        <v>416</v>
      </c>
      <c r="J319" t="s">
        <v>414</v>
      </c>
      <c r="K319" t="s">
        <v>588</v>
      </c>
      <c r="L319" t="s">
        <v>178</v>
      </c>
      <c r="M319" t="s">
        <v>4</v>
      </c>
      <c r="N319" t="s">
        <v>51</v>
      </c>
      <c r="O319" t="s">
        <v>4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4</v>
      </c>
      <c r="AH319" t="s">
        <v>51</v>
      </c>
      <c r="AI319" t="s">
        <v>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251.41</v>
      </c>
      <c r="AN319">
        <f>$H$319*$T$319</f>
        <v>251.41</v>
      </c>
      <c r="AO319">
        <f>$H$319*$U$319</f>
        <v>251.41</v>
      </c>
      <c r="AP319">
        <f>$H$319*$V$319</f>
        <v>251.41</v>
      </c>
      <c r="AQ319">
        <f>$H$319*$W$319</f>
        <v>251.41</v>
      </c>
      <c r="AR319">
        <f>$H$319*$X$319</f>
        <v>251.41</v>
      </c>
      <c r="AS319">
        <f>$H$319*$Y$319</f>
        <v>251.41</v>
      </c>
      <c r="AT319">
        <f>$H$319*$Z$319</f>
        <v>251.41</v>
      </c>
      <c r="AU319">
        <f>$H$319*$AA$319</f>
        <v>251.41</v>
      </c>
      <c r="AV319">
        <f>$H$319*$AB$319</f>
        <v>251.41</v>
      </c>
      <c r="AW319">
        <f>$H$319*$AC$319</f>
        <v>251.41</v>
      </c>
      <c r="AX319">
        <f>$H$319*$AD$319</f>
        <v>251.41</v>
      </c>
      <c r="AY319">
        <f>$H$319*$AE$319</f>
        <v>251.41</v>
      </c>
      <c r="AZ319">
        <f>$H$319*$AF$319</f>
        <v>251.41</v>
      </c>
    </row>
    <row r="320" spans="1:52" x14ac:dyDescent="0.25">
      <c r="A320">
        <v>363</v>
      </c>
      <c r="B320" t="s">
        <v>4</v>
      </c>
      <c r="C320" t="s">
        <v>421</v>
      </c>
      <c r="D320">
        <v>22.62</v>
      </c>
      <c r="E320">
        <v>21.94</v>
      </c>
      <c r="F320" t="s">
        <v>335</v>
      </c>
      <c r="G320">
        <v>0.97</v>
      </c>
      <c r="H320">
        <v>26.32</v>
      </c>
      <c r="I320" t="s">
        <v>360</v>
      </c>
      <c r="J320" t="s">
        <v>422</v>
      </c>
      <c r="K320" t="s">
        <v>589</v>
      </c>
      <c r="L320" t="s">
        <v>178</v>
      </c>
      <c r="M320" t="s">
        <v>4</v>
      </c>
      <c r="N320" t="s">
        <v>51</v>
      </c>
      <c r="O320" t="s">
        <v>4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4</v>
      </c>
      <c r="AH320" t="s">
        <v>51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26.32</v>
      </c>
      <c r="AN320">
        <f>$H$320*$T$320</f>
        <v>26.32</v>
      </c>
      <c r="AO320">
        <f>$H$320*$U$320</f>
        <v>26.32</v>
      </c>
      <c r="AP320">
        <f>$H$320*$V$320</f>
        <v>26.32</v>
      </c>
      <c r="AQ320">
        <f>$H$320*$W$320</f>
        <v>26.32</v>
      </c>
      <c r="AR320">
        <f>$H$320*$X$320</f>
        <v>26.32</v>
      </c>
      <c r="AS320">
        <f>$H$320*$Y$320</f>
        <v>26.32</v>
      </c>
      <c r="AT320">
        <f>$H$320*$Z$320</f>
        <v>26.32</v>
      </c>
      <c r="AU320">
        <f>$H$320*$AA$320</f>
        <v>26.32</v>
      </c>
      <c r="AV320">
        <f>$H$320*$AB$320</f>
        <v>26.32</v>
      </c>
      <c r="AW320">
        <f>$H$320*$AC$320</f>
        <v>26.32</v>
      </c>
      <c r="AX320">
        <f>$H$320*$AD$320</f>
        <v>26.32</v>
      </c>
      <c r="AY320">
        <f>$H$320*$AE$320</f>
        <v>26.32</v>
      </c>
      <c r="AZ320">
        <f>$H$320*$AF$320</f>
        <v>26.32</v>
      </c>
    </row>
    <row r="321" spans="1:52" x14ac:dyDescent="0.25">
      <c r="A321">
        <v>364</v>
      </c>
      <c r="B321" t="s">
        <v>4</v>
      </c>
      <c r="C321" t="s">
        <v>423</v>
      </c>
      <c r="D321">
        <v>22.62</v>
      </c>
      <c r="E321">
        <v>173.27</v>
      </c>
      <c r="F321" t="s">
        <v>335</v>
      </c>
      <c r="G321">
        <v>7.66</v>
      </c>
      <c r="H321">
        <v>207.93</v>
      </c>
      <c r="I321" t="s">
        <v>360</v>
      </c>
      <c r="J321" t="s">
        <v>414</v>
      </c>
      <c r="K321" t="s">
        <v>590</v>
      </c>
      <c r="L321" t="s">
        <v>178</v>
      </c>
      <c r="M321" t="s">
        <v>4</v>
      </c>
      <c r="N321" t="s">
        <v>51</v>
      </c>
      <c r="O321" t="s">
        <v>4</v>
      </c>
      <c r="P321">
        <v>0</v>
      </c>
      <c r="Q321">
        <v>0</v>
      </c>
      <c r="R321">
        <v>0</v>
      </c>
      <c r="S321">
        <v>1</v>
      </c>
      <c r="T321">
        <v>1</v>
      </c>
      <c r="U321">
        <v>1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4</v>
      </c>
      <c r="AH321" t="s">
        <v>51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207.93</v>
      </c>
      <c r="AN321">
        <f>$H$321*$T$321</f>
        <v>207.93</v>
      </c>
      <c r="AO321">
        <f>$H$321*$U$321</f>
        <v>207.93</v>
      </c>
      <c r="AP321">
        <f>$H$321*$V$321</f>
        <v>207.93</v>
      </c>
      <c r="AQ321">
        <f>$H$321*$W$321</f>
        <v>207.93</v>
      </c>
      <c r="AR321">
        <f>$H$321*$X$321</f>
        <v>207.93</v>
      </c>
      <c r="AS321">
        <f>$H$321*$Y$321</f>
        <v>207.93</v>
      </c>
      <c r="AT321">
        <f>$H$321*$Z$321</f>
        <v>207.93</v>
      </c>
      <c r="AU321">
        <f>$H$321*$AA$321</f>
        <v>207.93</v>
      </c>
      <c r="AV321">
        <f>$H$321*$AB$321</f>
        <v>207.93</v>
      </c>
      <c r="AW321">
        <f>$H$321*$AC$321</f>
        <v>207.93</v>
      </c>
      <c r="AX321">
        <f>$H$321*$AD$321</f>
        <v>207.93</v>
      </c>
      <c r="AY321">
        <f>$H$321*$AE$321</f>
        <v>207.93</v>
      </c>
      <c r="AZ321">
        <f>$H$321*$AF$321</f>
        <v>207.93</v>
      </c>
    </row>
    <row r="322" spans="1:52" x14ac:dyDescent="0.25">
      <c r="A322">
        <v>365</v>
      </c>
      <c r="B322" t="s">
        <v>5</v>
      </c>
      <c r="C322" t="s">
        <v>397</v>
      </c>
      <c r="D322">
        <v>4</v>
      </c>
      <c r="E322">
        <v>53.08</v>
      </c>
      <c r="F322" t="s">
        <v>317</v>
      </c>
      <c r="G322">
        <v>13.27</v>
      </c>
      <c r="H322">
        <v>63.7</v>
      </c>
      <c r="I322" t="s">
        <v>319</v>
      </c>
      <c r="J322" t="s">
        <v>398</v>
      </c>
      <c r="K322" t="s">
        <v>577</v>
      </c>
      <c r="L322" t="s">
        <v>178</v>
      </c>
      <c r="M322" t="s">
        <v>5</v>
      </c>
      <c r="N322" t="s">
        <v>12</v>
      </c>
      <c r="O322" t="s">
        <v>5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5</v>
      </c>
      <c r="AH322" t="s">
        <v>12</v>
      </c>
      <c r="AI322" t="s">
        <v>5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63.7</v>
      </c>
      <c r="AS322">
        <f>$H$322*$Y$322</f>
        <v>63.7</v>
      </c>
      <c r="AT322">
        <f>$H$322*$Z$322</f>
        <v>63.7</v>
      </c>
      <c r="AU322">
        <f>$H$322*$AA$322</f>
        <v>63.7</v>
      </c>
      <c r="AV322">
        <f>$H$322*$AB$322</f>
        <v>63.7</v>
      </c>
      <c r="AW322">
        <f>$H$322*$AC$322</f>
        <v>63.7</v>
      </c>
      <c r="AX322">
        <f>$H$322*$AD$322</f>
        <v>63.7</v>
      </c>
      <c r="AY322">
        <f>$H$322*$AE$322</f>
        <v>63.7</v>
      </c>
      <c r="AZ322">
        <f>$H$322*$AF$322</f>
        <v>63.7</v>
      </c>
    </row>
    <row r="323" spans="1:52" x14ac:dyDescent="0.25">
      <c r="A323">
        <v>366</v>
      </c>
      <c r="B323" t="s">
        <v>5</v>
      </c>
      <c r="C323" t="s">
        <v>424</v>
      </c>
      <c r="D323">
        <v>1</v>
      </c>
      <c r="E323">
        <v>48.06</v>
      </c>
      <c r="F323" t="s">
        <v>317</v>
      </c>
      <c r="G323">
        <v>48.06</v>
      </c>
      <c r="H323">
        <v>57.68</v>
      </c>
      <c r="I323" t="s">
        <v>322</v>
      </c>
      <c r="J323" t="s">
        <v>425</v>
      </c>
      <c r="K323" t="s">
        <v>591</v>
      </c>
      <c r="L323" t="s">
        <v>178</v>
      </c>
      <c r="M323" t="s">
        <v>5</v>
      </c>
      <c r="N323" t="s">
        <v>12</v>
      </c>
      <c r="O323" t="s">
        <v>5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1</v>
      </c>
      <c r="AE323">
        <v>1</v>
      </c>
      <c r="AF323">
        <v>1</v>
      </c>
      <c r="AG323" t="s">
        <v>5</v>
      </c>
      <c r="AH323" t="s">
        <v>12</v>
      </c>
      <c r="AI323" t="s">
        <v>5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0</v>
      </c>
      <c r="AQ323">
        <f>$H$323*$W$323</f>
        <v>0</v>
      </c>
      <c r="AR323">
        <f>$H$323*$X$323</f>
        <v>0</v>
      </c>
      <c r="AS323">
        <f>$H$323*$Y$323</f>
        <v>0</v>
      </c>
      <c r="AT323">
        <f>$H$323*$Z$323</f>
        <v>0</v>
      </c>
      <c r="AU323">
        <f>$H$323*$AA$323</f>
        <v>0</v>
      </c>
      <c r="AV323">
        <f>$H$323*$AB$323</f>
        <v>0</v>
      </c>
      <c r="AW323">
        <f>$H$323*$AC$323</f>
        <v>0</v>
      </c>
      <c r="AX323">
        <f>$H$323*$AD$323</f>
        <v>57.68</v>
      </c>
      <c r="AY323">
        <f>$H$323*$AE$323</f>
        <v>57.68</v>
      </c>
      <c r="AZ323">
        <f>$H$323*$AF$323</f>
        <v>57.68</v>
      </c>
    </row>
    <row r="324" spans="1:52" x14ac:dyDescent="0.25">
      <c r="A324">
        <v>367</v>
      </c>
      <c r="B324" t="s">
        <v>5</v>
      </c>
      <c r="C324" t="s">
        <v>345</v>
      </c>
      <c r="D324">
        <v>317.33</v>
      </c>
      <c r="E324">
        <v>310.98</v>
      </c>
      <c r="F324" t="s">
        <v>335</v>
      </c>
      <c r="G324">
        <v>0.98</v>
      </c>
      <c r="H324">
        <v>373.18</v>
      </c>
      <c r="I324" t="s">
        <v>312</v>
      </c>
      <c r="J324" t="s">
        <v>346</v>
      </c>
      <c r="K324" t="s">
        <v>552</v>
      </c>
      <c r="L324" t="s">
        <v>178</v>
      </c>
      <c r="M324" t="s">
        <v>5</v>
      </c>
      <c r="N324" t="s">
        <v>12</v>
      </c>
      <c r="O324" t="s">
        <v>5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5</v>
      </c>
      <c r="AH324" t="s">
        <v>12</v>
      </c>
      <c r="AI324" t="s">
        <v>5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373.18</v>
      </c>
      <c r="AO324">
        <f>$H$324*$U$324</f>
        <v>373.18</v>
      </c>
      <c r="AP324">
        <f>$H$324*$V$324</f>
        <v>373.18</v>
      </c>
      <c r="AQ324">
        <f>$H$324*$W$324</f>
        <v>373.18</v>
      </c>
      <c r="AR324">
        <f>$H$324*$X$324</f>
        <v>373.18</v>
      </c>
      <c r="AS324">
        <f>$H$324*$Y$324</f>
        <v>373.18</v>
      </c>
      <c r="AT324">
        <f>$H$324*$Z$324</f>
        <v>373.18</v>
      </c>
      <c r="AU324">
        <f>$H$324*$AA$324</f>
        <v>373.18</v>
      </c>
      <c r="AV324">
        <f>$H$324*$AB$324</f>
        <v>373.18</v>
      </c>
      <c r="AW324">
        <f>$H$324*$AC$324</f>
        <v>373.18</v>
      </c>
      <c r="AX324">
        <f>$H$324*$AD$324</f>
        <v>373.18</v>
      </c>
      <c r="AY324">
        <f>$H$324*$AE$324</f>
        <v>373.18</v>
      </c>
      <c r="AZ324">
        <f>$H$324*$AF$324</f>
        <v>373.18</v>
      </c>
    </row>
    <row r="325" spans="1:52" x14ac:dyDescent="0.25">
      <c r="A325">
        <v>368</v>
      </c>
      <c r="B325" t="s">
        <v>5</v>
      </c>
      <c r="C325" t="s">
        <v>400</v>
      </c>
      <c r="D325">
        <v>317.33</v>
      </c>
      <c r="E325">
        <v>1066.23</v>
      </c>
      <c r="F325" t="s">
        <v>335</v>
      </c>
      <c r="G325">
        <v>3.36</v>
      </c>
      <c r="H325">
        <v>1279.47</v>
      </c>
      <c r="I325" t="s">
        <v>348</v>
      </c>
      <c r="J325" t="s">
        <v>401</v>
      </c>
      <c r="K325" t="s">
        <v>579</v>
      </c>
      <c r="L325" t="s">
        <v>178</v>
      </c>
      <c r="M325" t="s">
        <v>5</v>
      </c>
      <c r="N325" t="s">
        <v>12</v>
      </c>
      <c r="O325" t="s">
        <v>5</v>
      </c>
      <c r="P325">
        <v>0</v>
      </c>
      <c r="Q325">
        <v>0</v>
      </c>
      <c r="R325">
        <v>0</v>
      </c>
      <c r="S325">
        <v>0.25</v>
      </c>
      <c r="T325">
        <v>0.25</v>
      </c>
      <c r="U325">
        <v>0.25</v>
      </c>
      <c r="V325">
        <v>0.25</v>
      </c>
      <c r="W325">
        <v>0.5</v>
      </c>
      <c r="X325">
        <v>0.5</v>
      </c>
      <c r="Y325">
        <v>0.5</v>
      </c>
      <c r="Z325">
        <v>0.5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5</v>
      </c>
      <c r="AH325" t="s">
        <v>12</v>
      </c>
      <c r="AI325" t="s">
        <v>5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319.86750000000001</v>
      </c>
      <c r="AN325">
        <f>$H$325*$T$325</f>
        <v>319.86750000000001</v>
      </c>
      <c r="AO325">
        <f>$H$325*$U$325</f>
        <v>319.86750000000001</v>
      </c>
      <c r="AP325">
        <f>$H$325*$V$325</f>
        <v>319.86750000000001</v>
      </c>
      <c r="AQ325">
        <f>$H$325*$W$325</f>
        <v>639.73500000000001</v>
      </c>
      <c r="AR325">
        <f>$H$325*$X$325</f>
        <v>639.73500000000001</v>
      </c>
      <c r="AS325">
        <f>$H$325*$Y$325</f>
        <v>639.73500000000001</v>
      </c>
      <c r="AT325">
        <f>$H$325*$Z$325</f>
        <v>639.73500000000001</v>
      </c>
      <c r="AU325">
        <f>$H$325*$AA$325</f>
        <v>1279.47</v>
      </c>
      <c r="AV325">
        <f>$H$325*$AB$325</f>
        <v>1279.47</v>
      </c>
      <c r="AW325">
        <f>$H$325*$AC$325</f>
        <v>1279.47</v>
      </c>
      <c r="AX325">
        <f>$H$325*$AD$325</f>
        <v>1279.47</v>
      </c>
      <c r="AY325">
        <f>$H$325*$AE$325</f>
        <v>1279.47</v>
      </c>
      <c r="AZ325">
        <f>$H$325*$AF$325</f>
        <v>1279.47</v>
      </c>
    </row>
    <row r="326" spans="1:52" x14ac:dyDescent="0.25">
      <c r="A326">
        <v>369</v>
      </c>
      <c r="B326" t="s">
        <v>5</v>
      </c>
      <c r="C326" t="s">
        <v>402</v>
      </c>
      <c r="D326">
        <v>39.67</v>
      </c>
      <c r="E326">
        <v>59.9</v>
      </c>
      <c r="F326" t="s">
        <v>311</v>
      </c>
      <c r="G326">
        <v>1.51</v>
      </c>
      <c r="H326">
        <v>71.88</v>
      </c>
      <c r="I326" t="s">
        <v>312</v>
      </c>
      <c r="J326" t="s">
        <v>403</v>
      </c>
      <c r="K326" t="s">
        <v>580</v>
      </c>
      <c r="L326" t="s">
        <v>178</v>
      </c>
      <c r="M326" t="s">
        <v>5</v>
      </c>
      <c r="N326" t="s">
        <v>12</v>
      </c>
      <c r="O326" t="s">
        <v>5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5</v>
      </c>
      <c r="AH326" t="s">
        <v>12</v>
      </c>
      <c r="AI326" t="s">
        <v>5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71.88</v>
      </c>
      <c r="AN326">
        <f>$H$326*$T$326</f>
        <v>71.88</v>
      </c>
      <c r="AO326">
        <f>$H$326*$U$326</f>
        <v>71.88</v>
      </c>
      <c r="AP326">
        <f>$H$326*$V$326</f>
        <v>71.88</v>
      </c>
      <c r="AQ326">
        <f>$H$326*$W$326</f>
        <v>71.88</v>
      </c>
      <c r="AR326">
        <f>$H$326*$X$326</f>
        <v>71.88</v>
      </c>
      <c r="AS326">
        <f>$H$326*$Y$326</f>
        <v>71.88</v>
      </c>
      <c r="AT326">
        <f>$H$326*$Z$326</f>
        <v>71.88</v>
      </c>
      <c r="AU326">
        <f>$H$326*$AA$326</f>
        <v>71.88</v>
      </c>
      <c r="AV326">
        <f>$H$326*$AB$326</f>
        <v>71.88</v>
      </c>
      <c r="AW326">
        <f>$H$326*$AC$326</f>
        <v>71.88</v>
      </c>
      <c r="AX326">
        <f>$H$326*$AD$326</f>
        <v>71.88</v>
      </c>
      <c r="AY326">
        <f>$H$326*$AE$326</f>
        <v>71.88</v>
      </c>
      <c r="AZ326">
        <f>$H$326*$AF$326</f>
        <v>71.88</v>
      </c>
    </row>
    <row r="327" spans="1:52" x14ac:dyDescent="0.25">
      <c r="A327">
        <v>370</v>
      </c>
      <c r="B327" t="s">
        <v>5</v>
      </c>
      <c r="C327" t="s">
        <v>404</v>
      </c>
      <c r="D327">
        <v>39.67</v>
      </c>
      <c r="E327">
        <v>225.33</v>
      </c>
      <c r="F327" t="s">
        <v>311</v>
      </c>
      <c r="G327">
        <v>5.68</v>
      </c>
      <c r="H327">
        <v>270.39</v>
      </c>
      <c r="I327" t="s">
        <v>315</v>
      </c>
      <c r="J327" t="s">
        <v>405</v>
      </c>
      <c r="K327" t="s">
        <v>581</v>
      </c>
      <c r="L327" t="s">
        <v>178</v>
      </c>
      <c r="M327" t="s">
        <v>5</v>
      </c>
      <c r="N327" t="s">
        <v>12</v>
      </c>
      <c r="O327" t="s">
        <v>5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5</v>
      </c>
      <c r="AH327" t="s">
        <v>12</v>
      </c>
      <c r="AI327" t="s">
        <v>5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270.39</v>
      </c>
      <c r="AN327">
        <f>$H$327*$T$327</f>
        <v>270.39</v>
      </c>
      <c r="AO327">
        <f>$H$327*$U$327</f>
        <v>270.39</v>
      </c>
      <c r="AP327">
        <f>$H$327*$V$327</f>
        <v>270.39</v>
      </c>
      <c r="AQ327">
        <f>$H$327*$W$327</f>
        <v>270.39</v>
      </c>
      <c r="AR327">
        <f>$H$327*$X$327</f>
        <v>270.39</v>
      </c>
      <c r="AS327">
        <f>$H$327*$Y$327</f>
        <v>270.39</v>
      </c>
      <c r="AT327">
        <f>$H$327*$Z$327</f>
        <v>270.39</v>
      </c>
      <c r="AU327">
        <f>$H$327*$AA$327</f>
        <v>270.39</v>
      </c>
      <c r="AV327">
        <f>$H$327*$AB$327</f>
        <v>270.39</v>
      </c>
      <c r="AW327">
        <f>$H$327*$AC$327</f>
        <v>270.39</v>
      </c>
      <c r="AX327">
        <f>$H$327*$AD$327</f>
        <v>270.39</v>
      </c>
      <c r="AY327">
        <f>$H$327*$AE$327</f>
        <v>270.39</v>
      </c>
      <c r="AZ327">
        <f>$H$327*$AF$327</f>
        <v>270.39</v>
      </c>
    </row>
    <row r="328" spans="1:52" x14ac:dyDescent="0.25">
      <c r="A328">
        <v>371</v>
      </c>
      <c r="B328" t="s">
        <v>5</v>
      </c>
      <c r="C328" t="s">
        <v>400</v>
      </c>
      <c r="D328">
        <v>98.34</v>
      </c>
      <c r="E328">
        <v>330.42</v>
      </c>
      <c r="F328" t="s">
        <v>335</v>
      </c>
      <c r="G328">
        <v>3.36</v>
      </c>
      <c r="H328">
        <v>396.5</v>
      </c>
      <c r="I328" t="s">
        <v>348</v>
      </c>
      <c r="J328" t="s">
        <v>401</v>
      </c>
      <c r="K328" t="s">
        <v>579</v>
      </c>
      <c r="L328" t="s">
        <v>178</v>
      </c>
      <c r="M328" t="s">
        <v>5</v>
      </c>
      <c r="N328" t="s">
        <v>12</v>
      </c>
      <c r="O328" t="s">
        <v>5</v>
      </c>
      <c r="P328">
        <v>0</v>
      </c>
      <c r="Q328">
        <v>0</v>
      </c>
      <c r="R328">
        <v>0</v>
      </c>
      <c r="S328">
        <v>0.25</v>
      </c>
      <c r="T328">
        <v>0.25</v>
      </c>
      <c r="U328">
        <v>0.25</v>
      </c>
      <c r="V328">
        <v>0.25</v>
      </c>
      <c r="W328">
        <v>0.5</v>
      </c>
      <c r="X328">
        <v>0.5</v>
      </c>
      <c r="Y328">
        <v>0.5</v>
      </c>
      <c r="Z328">
        <v>0.5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5</v>
      </c>
      <c r="AH328" t="s">
        <v>12</v>
      </c>
      <c r="AI328" t="s">
        <v>5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99.125</v>
      </c>
      <c r="AN328">
        <f>$H$328*$T$328</f>
        <v>99.125</v>
      </c>
      <c r="AO328">
        <f>$H$328*$U$328</f>
        <v>99.125</v>
      </c>
      <c r="AP328">
        <f>$H$328*$V$328</f>
        <v>99.125</v>
      </c>
      <c r="AQ328">
        <f>$H$328*$W$328</f>
        <v>198.25</v>
      </c>
      <c r="AR328">
        <f>$H$328*$X$328</f>
        <v>198.25</v>
      </c>
      <c r="AS328">
        <f>$H$328*$Y$328</f>
        <v>198.25</v>
      </c>
      <c r="AT328">
        <f>$H$328*$Z$328</f>
        <v>198.25</v>
      </c>
      <c r="AU328">
        <f>$H$328*$AA$328</f>
        <v>396.5</v>
      </c>
      <c r="AV328">
        <f>$H$328*$AB$328</f>
        <v>396.5</v>
      </c>
      <c r="AW328">
        <f>$H$328*$AC$328</f>
        <v>396.5</v>
      </c>
      <c r="AX328">
        <f>$H$328*$AD$328</f>
        <v>396.5</v>
      </c>
      <c r="AY328">
        <f>$H$328*$AE$328</f>
        <v>396.5</v>
      </c>
      <c r="AZ328">
        <f>$H$328*$AF$328</f>
        <v>396.5</v>
      </c>
    </row>
    <row r="329" spans="1:52" x14ac:dyDescent="0.25">
      <c r="A329">
        <v>372</v>
      </c>
      <c r="B329" t="s">
        <v>5</v>
      </c>
      <c r="C329" t="s">
        <v>406</v>
      </c>
      <c r="D329">
        <v>98.34</v>
      </c>
      <c r="E329">
        <v>61.95</v>
      </c>
      <c r="F329" t="s">
        <v>335</v>
      </c>
      <c r="G329">
        <v>0.63</v>
      </c>
      <c r="H329">
        <v>74.349999999999994</v>
      </c>
      <c r="I329" t="s">
        <v>312</v>
      </c>
      <c r="J329" t="s">
        <v>407</v>
      </c>
      <c r="K329" t="s">
        <v>582</v>
      </c>
      <c r="L329" t="s">
        <v>178</v>
      </c>
      <c r="M329" t="s">
        <v>5</v>
      </c>
      <c r="N329" t="s">
        <v>12</v>
      </c>
      <c r="O329" t="s">
        <v>5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5</v>
      </c>
      <c r="AH329" t="s">
        <v>12</v>
      </c>
      <c r="AI329" t="s">
        <v>5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74.349999999999994</v>
      </c>
      <c r="AY329">
        <f>$H$329*$AE$329</f>
        <v>74.349999999999994</v>
      </c>
      <c r="AZ329">
        <f>$H$329*$AF$329</f>
        <v>74.349999999999994</v>
      </c>
    </row>
    <row r="330" spans="1:52" x14ac:dyDescent="0.25">
      <c r="A330">
        <v>373</v>
      </c>
      <c r="B330" t="s">
        <v>5</v>
      </c>
      <c r="C330" t="s">
        <v>408</v>
      </c>
      <c r="D330">
        <v>98.34</v>
      </c>
      <c r="E330">
        <v>67.849999999999994</v>
      </c>
      <c r="F330" t="s">
        <v>335</v>
      </c>
      <c r="G330">
        <v>0.69</v>
      </c>
      <c r="H330">
        <v>81.430000000000007</v>
      </c>
      <c r="I330" t="s">
        <v>312</v>
      </c>
      <c r="J330" t="s">
        <v>409</v>
      </c>
      <c r="K330" t="s">
        <v>583</v>
      </c>
      <c r="L330" t="s">
        <v>178</v>
      </c>
      <c r="M330" t="s">
        <v>5</v>
      </c>
      <c r="N330" t="s">
        <v>12</v>
      </c>
      <c r="O330" t="s">
        <v>5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5</v>
      </c>
      <c r="AH330" t="s">
        <v>12</v>
      </c>
      <c r="AI330" t="s">
        <v>5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81.430000000000007</v>
      </c>
      <c r="AN330">
        <f>$H$330*$T$330</f>
        <v>81.430000000000007</v>
      </c>
      <c r="AO330">
        <f>$H$330*$U$330</f>
        <v>81.430000000000007</v>
      </c>
      <c r="AP330">
        <f>$H$330*$V$330</f>
        <v>81.430000000000007</v>
      </c>
      <c r="AQ330">
        <f>$H$330*$W$330</f>
        <v>81.430000000000007</v>
      </c>
      <c r="AR330">
        <f>$H$330*$X$330</f>
        <v>81.430000000000007</v>
      </c>
      <c r="AS330">
        <f>$H$330*$Y$330</f>
        <v>81.430000000000007</v>
      </c>
      <c r="AT330">
        <f>$H$330*$Z$330</f>
        <v>81.430000000000007</v>
      </c>
      <c r="AU330">
        <f>$H$330*$AA$330</f>
        <v>81.430000000000007</v>
      </c>
      <c r="AV330">
        <f>$H$330*$AB$330</f>
        <v>81.430000000000007</v>
      </c>
      <c r="AW330">
        <f>$H$330*$AC$330</f>
        <v>81.430000000000007</v>
      </c>
      <c r="AX330">
        <f>$H$330*$AD$330</f>
        <v>81.430000000000007</v>
      </c>
      <c r="AY330">
        <f>$H$330*$AE$330</f>
        <v>81.430000000000007</v>
      </c>
      <c r="AZ330">
        <f>$H$330*$AF$330</f>
        <v>81.430000000000007</v>
      </c>
    </row>
    <row r="331" spans="1:52" x14ac:dyDescent="0.25">
      <c r="A331">
        <v>374</v>
      </c>
      <c r="B331" t="s">
        <v>5</v>
      </c>
      <c r="C331" t="s">
        <v>410</v>
      </c>
      <c r="D331">
        <v>20.65</v>
      </c>
      <c r="E331">
        <v>140.63</v>
      </c>
      <c r="F331" t="s">
        <v>335</v>
      </c>
      <c r="G331">
        <v>6.81</v>
      </c>
      <c r="H331">
        <v>168.75</v>
      </c>
      <c r="I331" t="s">
        <v>411</v>
      </c>
      <c r="J331" t="s">
        <v>412</v>
      </c>
      <c r="K331" t="s">
        <v>584</v>
      </c>
      <c r="L331" t="s">
        <v>178</v>
      </c>
      <c r="M331" t="s">
        <v>5</v>
      </c>
      <c r="N331" t="s">
        <v>12</v>
      </c>
      <c r="O331" t="s">
        <v>5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5</v>
      </c>
      <c r="AH331" t="s">
        <v>12</v>
      </c>
      <c r="AI331" t="s">
        <v>5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168.75</v>
      </c>
      <c r="AN331">
        <f>$H$331*$T$331</f>
        <v>168.75</v>
      </c>
      <c r="AO331">
        <f>$H$331*$U$331</f>
        <v>168.75</v>
      </c>
      <c r="AP331">
        <f>$H$331*$V$331</f>
        <v>168.75</v>
      </c>
      <c r="AQ331">
        <f>$H$331*$W$331</f>
        <v>168.75</v>
      </c>
      <c r="AR331">
        <f>$H$331*$X$331</f>
        <v>168.75</v>
      </c>
      <c r="AS331">
        <f>$H$331*$Y$331</f>
        <v>168.75</v>
      </c>
      <c r="AT331">
        <f>$H$331*$Z$331</f>
        <v>168.75</v>
      </c>
      <c r="AU331">
        <f>$H$331*$AA$331</f>
        <v>168.75</v>
      </c>
      <c r="AV331">
        <f>$H$331*$AB$331</f>
        <v>168.75</v>
      </c>
      <c r="AW331">
        <f>$H$331*$AC$331</f>
        <v>168.75</v>
      </c>
      <c r="AX331">
        <f>$H$331*$AD$331</f>
        <v>168.75</v>
      </c>
      <c r="AY331">
        <f>$H$331*$AE$331</f>
        <v>168.75</v>
      </c>
      <c r="AZ331">
        <f>$H$331*$AF$331</f>
        <v>168.75</v>
      </c>
    </row>
    <row r="332" spans="1:52" x14ac:dyDescent="0.25">
      <c r="A332">
        <v>375</v>
      </c>
      <c r="B332" t="s">
        <v>5</v>
      </c>
      <c r="C332" t="s">
        <v>413</v>
      </c>
      <c r="D332">
        <v>22.62</v>
      </c>
      <c r="E332">
        <v>166.71</v>
      </c>
      <c r="F332" t="s">
        <v>335</v>
      </c>
      <c r="G332">
        <v>7.37</v>
      </c>
      <c r="H332">
        <v>200.05</v>
      </c>
      <c r="I332" t="s">
        <v>411</v>
      </c>
      <c r="J332" t="s">
        <v>414</v>
      </c>
      <c r="K332" t="s">
        <v>585</v>
      </c>
      <c r="L332" t="s">
        <v>178</v>
      </c>
      <c r="M332" t="s">
        <v>5</v>
      </c>
      <c r="N332" t="s">
        <v>12</v>
      </c>
      <c r="O332" t="s">
        <v>5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5</v>
      </c>
      <c r="AH332" t="s">
        <v>12</v>
      </c>
      <c r="AI332" t="s">
        <v>5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200.05</v>
      </c>
      <c r="AN332">
        <f>$H$332*$T$332</f>
        <v>200.05</v>
      </c>
      <c r="AO332">
        <f>$H$332*$U$332</f>
        <v>200.05</v>
      </c>
      <c r="AP332">
        <f>$H$332*$V$332</f>
        <v>200.05</v>
      </c>
      <c r="AQ332">
        <f>$H$332*$W$332</f>
        <v>200.05</v>
      </c>
      <c r="AR332">
        <f>$H$332*$X$332</f>
        <v>200.05</v>
      </c>
      <c r="AS332">
        <f>$H$332*$Y$332</f>
        <v>200.05</v>
      </c>
      <c r="AT332">
        <f>$H$332*$Z$332</f>
        <v>200.05</v>
      </c>
      <c r="AU332">
        <f>$H$332*$AA$332</f>
        <v>200.05</v>
      </c>
      <c r="AV332">
        <f>$H$332*$AB$332</f>
        <v>200.05</v>
      </c>
      <c r="AW332">
        <f>$H$332*$AC$332</f>
        <v>200.05</v>
      </c>
      <c r="AX332">
        <f>$H$332*$AD$332</f>
        <v>200.05</v>
      </c>
      <c r="AY332">
        <f>$H$332*$AE$332</f>
        <v>200.05</v>
      </c>
      <c r="AZ332">
        <f>$H$332*$AF$332</f>
        <v>200.05</v>
      </c>
    </row>
    <row r="333" spans="1:52" x14ac:dyDescent="0.25">
      <c r="A333">
        <v>376</v>
      </c>
      <c r="B333" t="s">
        <v>5</v>
      </c>
      <c r="C333" t="s">
        <v>415</v>
      </c>
      <c r="D333">
        <v>21.27</v>
      </c>
      <c r="E333">
        <v>116.13</v>
      </c>
      <c r="F333" t="s">
        <v>335</v>
      </c>
      <c r="G333">
        <v>5.46</v>
      </c>
      <c r="H333">
        <v>139.35</v>
      </c>
      <c r="I333" t="s">
        <v>416</v>
      </c>
      <c r="J333" t="s">
        <v>417</v>
      </c>
      <c r="K333" t="s">
        <v>586</v>
      </c>
      <c r="L333" t="s">
        <v>178</v>
      </c>
      <c r="M333" t="s">
        <v>5</v>
      </c>
      <c r="N333" t="s">
        <v>12</v>
      </c>
      <c r="O333" t="s">
        <v>5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5</v>
      </c>
      <c r="AH333" t="s">
        <v>12</v>
      </c>
      <c r="AI333" t="s">
        <v>5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139.35</v>
      </c>
      <c r="AN333">
        <f>$H$333*$T$333</f>
        <v>139.35</v>
      </c>
      <c r="AO333">
        <f>$H$333*$U$333</f>
        <v>139.35</v>
      </c>
      <c r="AP333">
        <f>$H$333*$V$333</f>
        <v>139.35</v>
      </c>
      <c r="AQ333">
        <f>$H$333*$W$333</f>
        <v>139.35</v>
      </c>
      <c r="AR333">
        <f>$H$333*$X$333</f>
        <v>139.35</v>
      </c>
      <c r="AS333">
        <f>$H$333*$Y$333</f>
        <v>139.35</v>
      </c>
      <c r="AT333">
        <f>$H$333*$Z$333</f>
        <v>139.35</v>
      </c>
      <c r="AU333">
        <f>$H$333*$AA$333</f>
        <v>139.35</v>
      </c>
      <c r="AV333">
        <f>$H$333*$AB$333</f>
        <v>139.35</v>
      </c>
      <c r="AW333">
        <f>$H$333*$AC$333</f>
        <v>139.35</v>
      </c>
      <c r="AX333">
        <f>$H$333*$AD$333</f>
        <v>139.35</v>
      </c>
      <c r="AY333">
        <f>$H$333*$AE$333</f>
        <v>139.35</v>
      </c>
      <c r="AZ333">
        <f>$H$333*$AF$333</f>
        <v>139.35</v>
      </c>
    </row>
    <row r="334" spans="1:52" x14ac:dyDescent="0.25">
      <c r="A334">
        <v>377</v>
      </c>
      <c r="B334" t="s">
        <v>5</v>
      </c>
      <c r="C334" t="s">
        <v>418</v>
      </c>
      <c r="D334">
        <v>21.27</v>
      </c>
      <c r="E334">
        <v>76.150000000000006</v>
      </c>
      <c r="F334" t="s">
        <v>335</v>
      </c>
      <c r="G334">
        <v>3.58</v>
      </c>
      <c r="H334">
        <v>91.39</v>
      </c>
      <c r="I334" t="s">
        <v>416</v>
      </c>
      <c r="J334" t="s">
        <v>419</v>
      </c>
      <c r="K334" t="s">
        <v>587</v>
      </c>
      <c r="L334" t="s">
        <v>178</v>
      </c>
      <c r="M334" t="s">
        <v>5</v>
      </c>
      <c r="N334" t="s">
        <v>12</v>
      </c>
      <c r="O334" t="s">
        <v>5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5</v>
      </c>
      <c r="AH334" t="s">
        <v>12</v>
      </c>
      <c r="AI334" t="s">
        <v>5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91.39</v>
      </c>
      <c r="AN334">
        <f>$H$334*$T$334</f>
        <v>91.39</v>
      </c>
      <c r="AO334">
        <f>$H$334*$U$334</f>
        <v>91.39</v>
      </c>
      <c r="AP334">
        <f>$H$334*$V$334</f>
        <v>91.39</v>
      </c>
      <c r="AQ334">
        <f>$H$334*$W$334</f>
        <v>91.39</v>
      </c>
      <c r="AR334">
        <f>$H$334*$X$334</f>
        <v>91.39</v>
      </c>
      <c r="AS334">
        <f>$H$334*$Y$334</f>
        <v>91.39</v>
      </c>
      <c r="AT334">
        <f>$H$334*$Z$334</f>
        <v>91.39</v>
      </c>
      <c r="AU334">
        <f>$H$334*$AA$334</f>
        <v>91.39</v>
      </c>
      <c r="AV334">
        <f>$H$334*$AB$334</f>
        <v>91.39</v>
      </c>
      <c r="AW334">
        <f>$H$334*$AC$334</f>
        <v>91.39</v>
      </c>
      <c r="AX334">
        <f>$H$334*$AD$334</f>
        <v>91.39</v>
      </c>
      <c r="AY334">
        <f>$H$334*$AE$334</f>
        <v>91.39</v>
      </c>
      <c r="AZ334">
        <f>$H$334*$AF$334</f>
        <v>91.39</v>
      </c>
    </row>
    <row r="335" spans="1:52" x14ac:dyDescent="0.25">
      <c r="A335">
        <v>378</v>
      </c>
      <c r="B335" t="s">
        <v>5</v>
      </c>
      <c r="C335" t="s">
        <v>420</v>
      </c>
      <c r="D335">
        <v>21.27</v>
      </c>
      <c r="E335">
        <v>209.51</v>
      </c>
      <c r="F335" t="s">
        <v>335</v>
      </c>
      <c r="G335">
        <v>9.85</v>
      </c>
      <c r="H335">
        <v>251.41</v>
      </c>
      <c r="I335" t="s">
        <v>416</v>
      </c>
      <c r="J335" t="s">
        <v>414</v>
      </c>
      <c r="K335" t="s">
        <v>588</v>
      </c>
      <c r="L335" t="s">
        <v>178</v>
      </c>
      <c r="M335" t="s">
        <v>5</v>
      </c>
      <c r="N335" t="s">
        <v>12</v>
      </c>
      <c r="O335" t="s">
        <v>5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5</v>
      </c>
      <c r="AH335" t="s">
        <v>12</v>
      </c>
      <c r="AI335" t="s">
        <v>5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251.41</v>
      </c>
      <c r="AN335">
        <f>$H$335*$T$335</f>
        <v>251.41</v>
      </c>
      <c r="AO335">
        <f>$H$335*$U$335</f>
        <v>251.41</v>
      </c>
      <c r="AP335">
        <f>$H$335*$V$335</f>
        <v>251.41</v>
      </c>
      <c r="AQ335">
        <f>$H$335*$W$335</f>
        <v>251.41</v>
      </c>
      <c r="AR335">
        <f>$H$335*$X$335</f>
        <v>251.41</v>
      </c>
      <c r="AS335">
        <f>$H$335*$Y$335</f>
        <v>251.41</v>
      </c>
      <c r="AT335">
        <f>$H$335*$Z$335</f>
        <v>251.41</v>
      </c>
      <c r="AU335">
        <f>$H$335*$AA$335</f>
        <v>251.41</v>
      </c>
      <c r="AV335">
        <f>$H$335*$AB$335</f>
        <v>251.41</v>
      </c>
      <c r="AW335">
        <f>$H$335*$AC$335</f>
        <v>251.41</v>
      </c>
      <c r="AX335">
        <f>$H$335*$AD$335</f>
        <v>251.41</v>
      </c>
      <c r="AY335">
        <f>$H$335*$AE$335</f>
        <v>251.41</v>
      </c>
      <c r="AZ335">
        <f>$H$335*$AF$335</f>
        <v>251.41</v>
      </c>
    </row>
    <row r="336" spans="1:52" x14ac:dyDescent="0.25">
      <c r="A336">
        <v>379</v>
      </c>
      <c r="B336" t="s">
        <v>5</v>
      </c>
      <c r="C336" t="s">
        <v>421</v>
      </c>
      <c r="D336">
        <v>22.62</v>
      </c>
      <c r="E336">
        <v>21.94</v>
      </c>
      <c r="F336" t="s">
        <v>335</v>
      </c>
      <c r="G336">
        <v>0.97</v>
      </c>
      <c r="H336">
        <v>26.32</v>
      </c>
      <c r="I336" t="s">
        <v>360</v>
      </c>
      <c r="J336" t="s">
        <v>422</v>
      </c>
      <c r="K336" t="s">
        <v>589</v>
      </c>
      <c r="L336" t="s">
        <v>178</v>
      </c>
      <c r="M336" t="s">
        <v>5</v>
      </c>
      <c r="N336" t="s">
        <v>12</v>
      </c>
      <c r="O336" t="s">
        <v>5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5</v>
      </c>
      <c r="AH336" t="s">
        <v>12</v>
      </c>
      <c r="AI336" t="s">
        <v>5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26.32</v>
      </c>
      <c r="AN336">
        <f>$H$336*$T$336</f>
        <v>26.32</v>
      </c>
      <c r="AO336">
        <f>$H$336*$U$336</f>
        <v>26.32</v>
      </c>
      <c r="AP336">
        <f>$H$336*$V$336</f>
        <v>26.32</v>
      </c>
      <c r="AQ336">
        <f>$H$336*$W$336</f>
        <v>26.32</v>
      </c>
      <c r="AR336">
        <f>$H$336*$X$336</f>
        <v>26.32</v>
      </c>
      <c r="AS336">
        <f>$H$336*$Y$336</f>
        <v>26.32</v>
      </c>
      <c r="AT336">
        <f>$H$336*$Z$336</f>
        <v>26.32</v>
      </c>
      <c r="AU336">
        <f>$H$336*$AA$336</f>
        <v>26.32</v>
      </c>
      <c r="AV336">
        <f>$H$336*$AB$336</f>
        <v>26.32</v>
      </c>
      <c r="AW336">
        <f>$H$336*$AC$336</f>
        <v>26.32</v>
      </c>
      <c r="AX336">
        <f>$H$336*$AD$336</f>
        <v>26.32</v>
      </c>
      <c r="AY336">
        <f>$H$336*$AE$336</f>
        <v>26.32</v>
      </c>
      <c r="AZ336">
        <f>$H$336*$AF$336</f>
        <v>26.32</v>
      </c>
    </row>
    <row r="337" spans="1:52" x14ac:dyDescent="0.25">
      <c r="A337">
        <v>380</v>
      </c>
      <c r="B337" t="s">
        <v>5</v>
      </c>
      <c r="C337" t="s">
        <v>423</v>
      </c>
      <c r="D337">
        <v>22.62</v>
      </c>
      <c r="E337">
        <v>173.27</v>
      </c>
      <c r="F337" t="s">
        <v>335</v>
      </c>
      <c r="G337">
        <v>7.66</v>
      </c>
      <c r="H337">
        <v>207.93</v>
      </c>
      <c r="I337" t="s">
        <v>360</v>
      </c>
      <c r="J337" t="s">
        <v>414</v>
      </c>
      <c r="K337" t="s">
        <v>590</v>
      </c>
      <c r="L337" t="s">
        <v>178</v>
      </c>
      <c r="M337" t="s">
        <v>5</v>
      </c>
      <c r="N337" t="s">
        <v>12</v>
      </c>
      <c r="O337" t="s">
        <v>5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5</v>
      </c>
      <c r="AH337" t="s">
        <v>12</v>
      </c>
      <c r="AI337" t="s">
        <v>5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207.93</v>
      </c>
      <c r="AN337">
        <f>$H$337*$T$337</f>
        <v>207.93</v>
      </c>
      <c r="AO337">
        <f>$H$337*$U$337</f>
        <v>207.93</v>
      </c>
      <c r="AP337">
        <f>$H$337*$V$337</f>
        <v>207.93</v>
      </c>
      <c r="AQ337">
        <f>$H$337*$W$337</f>
        <v>207.93</v>
      </c>
      <c r="AR337">
        <f>$H$337*$X$337</f>
        <v>207.93</v>
      </c>
      <c r="AS337">
        <f>$H$337*$Y$337</f>
        <v>207.93</v>
      </c>
      <c r="AT337">
        <f>$H$337*$Z$337</f>
        <v>207.93</v>
      </c>
      <c r="AU337">
        <f>$H$337*$AA$337</f>
        <v>207.93</v>
      </c>
      <c r="AV337">
        <f>$H$337*$AB$337</f>
        <v>207.93</v>
      </c>
      <c r="AW337">
        <f>$H$337*$AC$337</f>
        <v>207.93</v>
      </c>
      <c r="AX337">
        <f>$H$337*$AD$337</f>
        <v>207.93</v>
      </c>
      <c r="AY337">
        <f>$H$337*$AE$337</f>
        <v>207.93</v>
      </c>
      <c r="AZ337">
        <f>$H$337*$AF$337</f>
        <v>207.93</v>
      </c>
    </row>
    <row r="338" spans="1:52" x14ac:dyDescent="0.25">
      <c r="A338">
        <v>381</v>
      </c>
      <c r="B338" t="s">
        <v>275</v>
      </c>
      <c r="C338" t="s">
        <v>397</v>
      </c>
      <c r="D338">
        <v>8</v>
      </c>
      <c r="E338">
        <v>106.16</v>
      </c>
      <c r="F338" t="s">
        <v>317</v>
      </c>
      <c r="G338">
        <v>13.27</v>
      </c>
      <c r="H338">
        <v>127.4</v>
      </c>
      <c r="I338" t="s">
        <v>319</v>
      </c>
      <c r="J338" t="s">
        <v>398</v>
      </c>
      <c r="K338" t="s">
        <v>577</v>
      </c>
      <c r="L338" t="s">
        <v>178</v>
      </c>
      <c r="M338" t="s">
        <v>275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275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127.4</v>
      </c>
      <c r="AS338">
        <f>$H$338*$Y$338</f>
        <v>127.4</v>
      </c>
      <c r="AT338">
        <f>$H$338*$Z$338</f>
        <v>127.4</v>
      </c>
      <c r="AU338">
        <f>$H$338*$AA$338</f>
        <v>127.4</v>
      </c>
      <c r="AV338">
        <f>$H$338*$AB$338</f>
        <v>127.4</v>
      </c>
      <c r="AW338">
        <f>$H$338*$AC$338</f>
        <v>127.4</v>
      </c>
      <c r="AX338">
        <f>$H$338*$AD$338</f>
        <v>127.4</v>
      </c>
      <c r="AY338">
        <f>$H$338*$AE$338</f>
        <v>127.4</v>
      </c>
      <c r="AZ338">
        <f>$H$338*$AF$338</f>
        <v>127.4</v>
      </c>
    </row>
    <row r="339" spans="1:52" x14ac:dyDescent="0.25">
      <c r="A339">
        <v>382</v>
      </c>
      <c r="B339" t="s">
        <v>275</v>
      </c>
      <c r="C339" t="s">
        <v>399</v>
      </c>
      <c r="D339">
        <v>1</v>
      </c>
      <c r="E339">
        <v>63.51</v>
      </c>
      <c r="F339" t="s">
        <v>317</v>
      </c>
      <c r="G339">
        <v>63.51</v>
      </c>
      <c r="H339">
        <v>76.209999999999994</v>
      </c>
      <c r="I339" t="s">
        <v>322</v>
      </c>
      <c r="J339" t="s">
        <v>355</v>
      </c>
      <c r="K339" t="s">
        <v>578</v>
      </c>
      <c r="L339" t="s">
        <v>178</v>
      </c>
      <c r="M339" t="s">
        <v>275</v>
      </c>
      <c r="N339" t="s">
        <v>12</v>
      </c>
      <c r="O339" t="s">
        <v>14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1</v>
      </c>
      <c r="AF339">
        <v>1</v>
      </c>
      <c r="AG339" t="s">
        <v>275</v>
      </c>
      <c r="AH339" t="s">
        <v>12</v>
      </c>
      <c r="AI339" t="s">
        <v>14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0</v>
      </c>
      <c r="AX339">
        <f>$H$339*$AD$339</f>
        <v>76.209999999999994</v>
      </c>
      <c r="AY339">
        <f>$H$339*$AE$339</f>
        <v>76.209999999999994</v>
      </c>
      <c r="AZ339">
        <f>$H$339*$AF$339</f>
        <v>76.209999999999994</v>
      </c>
    </row>
    <row r="340" spans="1:52" x14ac:dyDescent="0.25">
      <c r="A340">
        <v>383</v>
      </c>
      <c r="B340" t="s">
        <v>275</v>
      </c>
      <c r="C340" t="s">
        <v>345</v>
      </c>
      <c r="D340">
        <v>540</v>
      </c>
      <c r="E340">
        <v>529.20000000000005</v>
      </c>
      <c r="F340" t="s">
        <v>335</v>
      </c>
      <c r="G340">
        <v>0.98</v>
      </c>
      <c r="H340">
        <v>635.04</v>
      </c>
      <c r="I340" t="s">
        <v>312</v>
      </c>
      <c r="J340" t="s">
        <v>346</v>
      </c>
      <c r="K340" t="s">
        <v>552</v>
      </c>
      <c r="L340" t="s">
        <v>178</v>
      </c>
      <c r="M340" t="s">
        <v>275</v>
      </c>
      <c r="N340" t="s">
        <v>12</v>
      </c>
      <c r="O340" t="s">
        <v>14</v>
      </c>
      <c r="P340">
        <v>0</v>
      </c>
      <c r="Q340">
        <v>0</v>
      </c>
      <c r="R340">
        <v>0</v>
      </c>
      <c r="S340">
        <v>0</v>
      </c>
      <c r="T340">
        <v>1</v>
      </c>
      <c r="U340">
        <v>1</v>
      </c>
      <c r="V340">
        <v>1</v>
      </c>
      <c r="W340">
        <v>1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275</v>
      </c>
      <c r="AH340" t="s">
        <v>12</v>
      </c>
      <c r="AI340" t="s">
        <v>14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635.04</v>
      </c>
      <c r="AO340">
        <f>$H$340*$U$340</f>
        <v>635.04</v>
      </c>
      <c r="AP340">
        <f>$H$340*$V$340</f>
        <v>635.04</v>
      </c>
      <c r="AQ340">
        <f>$H$340*$W$340</f>
        <v>635.04</v>
      </c>
      <c r="AR340">
        <f>$H$340*$X$340</f>
        <v>635.04</v>
      </c>
      <c r="AS340">
        <f>$H$340*$Y$340</f>
        <v>635.04</v>
      </c>
      <c r="AT340">
        <f>$H$340*$Z$340</f>
        <v>635.04</v>
      </c>
      <c r="AU340">
        <f>$H$340*$AA$340</f>
        <v>635.04</v>
      </c>
      <c r="AV340">
        <f>$H$340*$AB$340</f>
        <v>635.04</v>
      </c>
      <c r="AW340">
        <f>$H$340*$AC$340</f>
        <v>635.04</v>
      </c>
      <c r="AX340">
        <f>$H$340*$AD$340</f>
        <v>635.04</v>
      </c>
      <c r="AY340">
        <f>$H$340*$AE$340</f>
        <v>635.04</v>
      </c>
      <c r="AZ340">
        <f>$H$340*$AF$340</f>
        <v>635.04</v>
      </c>
    </row>
    <row r="341" spans="1:52" x14ac:dyDescent="0.25">
      <c r="A341">
        <v>384</v>
      </c>
      <c r="B341" t="s">
        <v>275</v>
      </c>
      <c r="C341" t="s">
        <v>400</v>
      </c>
      <c r="D341">
        <v>540</v>
      </c>
      <c r="E341">
        <v>1814.4</v>
      </c>
      <c r="F341" t="s">
        <v>335</v>
      </c>
      <c r="G341">
        <v>3.36</v>
      </c>
      <c r="H341">
        <v>2177.2800000000002</v>
      </c>
      <c r="I341" t="s">
        <v>348</v>
      </c>
      <c r="J341" t="s">
        <v>401</v>
      </c>
      <c r="K341" t="s">
        <v>579</v>
      </c>
      <c r="L341" t="s">
        <v>178</v>
      </c>
      <c r="M341" t="s">
        <v>275</v>
      </c>
      <c r="N341" t="s">
        <v>12</v>
      </c>
      <c r="O341" t="s">
        <v>14</v>
      </c>
      <c r="P341">
        <v>0</v>
      </c>
      <c r="Q341">
        <v>0</v>
      </c>
      <c r="R341">
        <v>0</v>
      </c>
      <c r="S341">
        <v>0.25</v>
      </c>
      <c r="T341">
        <v>0.25</v>
      </c>
      <c r="U341">
        <v>0.25</v>
      </c>
      <c r="V341">
        <v>0.25</v>
      </c>
      <c r="W341">
        <v>0.5</v>
      </c>
      <c r="X341">
        <v>0.5</v>
      </c>
      <c r="Y341">
        <v>0.5</v>
      </c>
      <c r="Z341">
        <v>0.5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275</v>
      </c>
      <c r="AH341" t="s">
        <v>12</v>
      </c>
      <c r="AI341" t="s">
        <v>14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544.32000000000005</v>
      </c>
      <c r="AN341">
        <f>$H$341*$T$341</f>
        <v>544.32000000000005</v>
      </c>
      <c r="AO341">
        <f>$H$341*$U$341</f>
        <v>544.32000000000005</v>
      </c>
      <c r="AP341">
        <f>$H$341*$V$341</f>
        <v>544.32000000000005</v>
      </c>
      <c r="AQ341">
        <f>$H$341*$W$341</f>
        <v>1088.6400000000001</v>
      </c>
      <c r="AR341">
        <f>$H$341*$X$341</f>
        <v>1088.6400000000001</v>
      </c>
      <c r="AS341">
        <f>$H$341*$Y$341</f>
        <v>1088.6400000000001</v>
      </c>
      <c r="AT341">
        <f>$H$341*$Z$341</f>
        <v>1088.6400000000001</v>
      </c>
      <c r="AU341">
        <f>$H$341*$AA$341</f>
        <v>2177.2800000000002</v>
      </c>
      <c r="AV341">
        <f>$H$341*$AB$341</f>
        <v>2177.2800000000002</v>
      </c>
      <c r="AW341">
        <f>$H$341*$AC$341</f>
        <v>2177.2800000000002</v>
      </c>
      <c r="AX341">
        <f>$H$341*$AD$341</f>
        <v>2177.2800000000002</v>
      </c>
      <c r="AY341">
        <f>$H$341*$AE$341</f>
        <v>2177.2800000000002</v>
      </c>
      <c r="AZ341">
        <f>$H$341*$AF$341</f>
        <v>2177.2800000000002</v>
      </c>
    </row>
    <row r="342" spans="1:52" x14ac:dyDescent="0.25">
      <c r="A342">
        <v>385</v>
      </c>
      <c r="B342" t="s">
        <v>275</v>
      </c>
      <c r="C342" t="s">
        <v>402</v>
      </c>
      <c r="D342">
        <v>67.5</v>
      </c>
      <c r="E342">
        <v>101.93</v>
      </c>
      <c r="F342" t="s">
        <v>311</v>
      </c>
      <c r="G342">
        <v>1.51</v>
      </c>
      <c r="H342">
        <v>122.31</v>
      </c>
      <c r="I342" t="s">
        <v>312</v>
      </c>
      <c r="J342" t="s">
        <v>403</v>
      </c>
      <c r="K342" t="s">
        <v>580</v>
      </c>
      <c r="L342" t="s">
        <v>178</v>
      </c>
      <c r="M342" t="s">
        <v>275</v>
      </c>
      <c r="N342" t="s">
        <v>12</v>
      </c>
      <c r="O342" t="s">
        <v>14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275</v>
      </c>
      <c r="AH342" t="s">
        <v>12</v>
      </c>
      <c r="AI342" t="s">
        <v>14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122.31</v>
      </c>
      <c r="AN342">
        <f>$H$342*$T$342</f>
        <v>122.31</v>
      </c>
      <c r="AO342">
        <f>$H$342*$U$342</f>
        <v>122.31</v>
      </c>
      <c r="AP342">
        <f>$H$342*$V$342</f>
        <v>122.31</v>
      </c>
      <c r="AQ342">
        <f>$H$342*$W$342</f>
        <v>122.31</v>
      </c>
      <c r="AR342">
        <f>$H$342*$X$342</f>
        <v>122.31</v>
      </c>
      <c r="AS342">
        <f>$H$342*$Y$342</f>
        <v>122.31</v>
      </c>
      <c r="AT342">
        <f>$H$342*$Z$342</f>
        <v>122.31</v>
      </c>
      <c r="AU342">
        <f>$H$342*$AA$342</f>
        <v>122.31</v>
      </c>
      <c r="AV342">
        <f>$H$342*$AB$342</f>
        <v>122.31</v>
      </c>
      <c r="AW342">
        <f>$H$342*$AC$342</f>
        <v>122.31</v>
      </c>
      <c r="AX342">
        <f>$H$342*$AD$342</f>
        <v>122.31</v>
      </c>
      <c r="AY342">
        <f>$H$342*$AE$342</f>
        <v>122.31</v>
      </c>
      <c r="AZ342">
        <f>$H$342*$AF$342</f>
        <v>122.31</v>
      </c>
    </row>
    <row r="343" spans="1:52" x14ac:dyDescent="0.25">
      <c r="A343">
        <v>386</v>
      </c>
      <c r="B343" t="s">
        <v>275</v>
      </c>
      <c r="C343" t="s">
        <v>404</v>
      </c>
      <c r="D343">
        <v>67.5</v>
      </c>
      <c r="E343">
        <v>383.4</v>
      </c>
      <c r="F343" t="s">
        <v>311</v>
      </c>
      <c r="G343">
        <v>5.68</v>
      </c>
      <c r="H343">
        <v>460.08</v>
      </c>
      <c r="I343" t="s">
        <v>315</v>
      </c>
      <c r="J343" t="s">
        <v>405</v>
      </c>
      <c r="K343" t="s">
        <v>581</v>
      </c>
      <c r="L343" t="s">
        <v>178</v>
      </c>
      <c r="M343" t="s">
        <v>275</v>
      </c>
      <c r="N343" t="s">
        <v>12</v>
      </c>
      <c r="O343" t="s">
        <v>14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275</v>
      </c>
      <c r="AH343" t="s">
        <v>12</v>
      </c>
      <c r="AI343" t="s">
        <v>14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460.08</v>
      </c>
      <c r="AN343">
        <f>$H$343*$T$343</f>
        <v>460.08</v>
      </c>
      <c r="AO343">
        <f>$H$343*$U$343</f>
        <v>460.08</v>
      </c>
      <c r="AP343">
        <f>$H$343*$V$343</f>
        <v>460.08</v>
      </c>
      <c r="AQ343">
        <f>$H$343*$W$343</f>
        <v>460.08</v>
      </c>
      <c r="AR343">
        <f>$H$343*$X$343</f>
        <v>460.08</v>
      </c>
      <c r="AS343">
        <f>$H$343*$Y$343</f>
        <v>460.08</v>
      </c>
      <c r="AT343">
        <f>$H$343*$Z$343</f>
        <v>460.08</v>
      </c>
      <c r="AU343">
        <f>$H$343*$AA$343</f>
        <v>460.08</v>
      </c>
      <c r="AV343">
        <f>$H$343*$AB$343</f>
        <v>460.08</v>
      </c>
      <c r="AW343">
        <f>$H$343*$AC$343</f>
        <v>460.08</v>
      </c>
      <c r="AX343">
        <f>$H$343*$AD$343</f>
        <v>460.08</v>
      </c>
      <c r="AY343">
        <f>$H$343*$AE$343</f>
        <v>460.08</v>
      </c>
      <c r="AZ343">
        <f>$H$343*$AF$343</f>
        <v>460.08</v>
      </c>
    </row>
    <row r="344" spans="1:52" x14ac:dyDescent="0.25">
      <c r="A344">
        <v>387</v>
      </c>
      <c r="B344" t="s">
        <v>275</v>
      </c>
      <c r="C344" t="s">
        <v>400</v>
      </c>
      <c r="D344">
        <v>276.01</v>
      </c>
      <c r="E344">
        <v>927.39</v>
      </c>
      <c r="F344" t="s">
        <v>335</v>
      </c>
      <c r="G344">
        <v>3.36</v>
      </c>
      <c r="H344">
        <v>1112.8699999999999</v>
      </c>
      <c r="I344" t="s">
        <v>348</v>
      </c>
      <c r="J344" t="s">
        <v>401</v>
      </c>
      <c r="K344" t="s">
        <v>579</v>
      </c>
      <c r="L344" t="s">
        <v>178</v>
      </c>
      <c r="M344" t="s">
        <v>275</v>
      </c>
      <c r="N344" t="s">
        <v>12</v>
      </c>
      <c r="O344" t="s">
        <v>14</v>
      </c>
      <c r="P344">
        <v>0</v>
      </c>
      <c r="Q344">
        <v>0</v>
      </c>
      <c r="R344">
        <v>0</v>
      </c>
      <c r="S344">
        <v>0.25</v>
      </c>
      <c r="T344">
        <v>0.25</v>
      </c>
      <c r="U344">
        <v>0.25</v>
      </c>
      <c r="V344">
        <v>0.25</v>
      </c>
      <c r="W344">
        <v>0.5</v>
      </c>
      <c r="X344">
        <v>0.5</v>
      </c>
      <c r="Y344">
        <v>0.5</v>
      </c>
      <c r="Z344">
        <v>0.5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275</v>
      </c>
      <c r="AH344" t="s">
        <v>12</v>
      </c>
      <c r="AI344" t="s">
        <v>14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278.21749999999997</v>
      </c>
      <c r="AN344">
        <f>$H$344*$T$344</f>
        <v>278.21749999999997</v>
      </c>
      <c r="AO344">
        <f>$H$344*$U$344</f>
        <v>278.21749999999997</v>
      </c>
      <c r="AP344">
        <f>$H$344*$V$344</f>
        <v>278.21749999999997</v>
      </c>
      <c r="AQ344">
        <f>$H$344*$W$344</f>
        <v>556.43499999999995</v>
      </c>
      <c r="AR344">
        <f>$H$344*$X$344</f>
        <v>556.43499999999995</v>
      </c>
      <c r="AS344">
        <f>$H$344*$Y$344</f>
        <v>556.43499999999995</v>
      </c>
      <c r="AT344">
        <f>$H$344*$Z$344</f>
        <v>556.43499999999995</v>
      </c>
      <c r="AU344">
        <f>$H$344*$AA$344</f>
        <v>1112.8699999999999</v>
      </c>
      <c r="AV344">
        <f>$H$344*$AB$344</f>
        <v>1112.8699999999999</v>
      </c>
      <c r="AW344">
        <f>$H$344*$AC$344</f>
        <v>1112.8699999999999</v>
      </c>
      <c r="AX344">
        <f>$H$344*$AD$344</f>
        <v>1112.8699999999999</v>
      </c>
      <c r="AY344">
        <f>$H$344*$AE$344</f>
        <v>1112.8699999999999</v>
      </c>
      <c r="AZ344">
        <f>$H$344*$AF$344</f>
        <v>1112.8699999999999</v>
      </c>
    </row>
    <row r="345" spans="1:52" x14ac:dyDescent="0.25">
      <c r="A345">
        <v>388</v>
      </c>
      <c r="B345" t="s">
        <v>275</v>
      </c>
      <c r="C345" t="s">
        <v>406</v>
      </c>
      <c r="D345">
        <v>276.01</v>
      </c>
      <c r="E345">
        <v>173.89</v>
      </c>
      <c r="F345" t="s">
        <v>335</v>
      </c>
      <c r="G345">
        <v>0.63</v>
      </c>
      <c r="H345">
        <v>208.67</v>
      </c>
      <c r="I345" t="s">
        <v>312</v>
      </c>
      <c r="J345" t="s">
        <v>407</v>
      </c>
      <c r="K345" t="s">
        <v>582</v>
      </c>
      <c r="L345" t="s">
        <v>178</v>
      </c>
      <c r="M345" t="s">
        <v>275</v>
      </c>
      <c r="N345" t="s">
        <v>12</v>
      </c>
      <c r="O345" t="s">
        <v>14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</v>
      </c>
      <c r="AE345">
        <v>1</v>
      </c>
      <c r="AF345">
        <v>1</v>
      </c>
      <c r="AG345" t="s">
        <v>275</v>
      </c>
      <c r="AH345" t="s">
        <v>12</v>
      </c>
      <c r="AI345" t="s">
        <v>14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0</v>
      </c>
      <c r="AO345">
        <f>$H$345*$U$345</f>
        <v>0</v>
      </c>
      <c r="AP345">
        <f>$H$345*$V$345</f>
        <v>0</v>
      </c>
      <c r="AQ345">
        <f>$H$345*$W$345</f>
        <v>0</v>
      </c>
      <c r="AR345">
        <f>$H$345*$X$345</f>
        <v>0</v>
      </c>
      <c r="AS345">
        <f>$H$345*$Y$345</f>
        <v>0</v>
      </c>
      <c r="AT345">
        <f>$H$345*$Z$345</f>
        <v>0</v>
      </c>
      <c r="AU345">
        <f>$H$345*$AA$345</f>
        <v>0</v>
      </c>
      <c r="AV345">
        <f>$H$345*$AB$345</f>
        <v>0</v>
      </c>
      <c r="AW345">
        <f>$H$345*$AC$345</f>
        <v>0</v>
      </c>
      <c r="AX345">
        <f>$H$345*$AD$345</f>
        <v>208.67</v>
      </c>
      <c r="AY345">
        <f>$H$345*$AE$345</f>
        <v>208.67</v>
      </c>
      <c r="AZ345">
        <f>$H$345*$AF$345</f>
        <v>208.67</v>
      </c>
    </row>
    <row r="346" spans="1:52" x14ac:dyDescent="0.25">
      <c r="A346">
        <v>389</v>
      </c>
      <c r="B346" t="s">
        <v>275</v>
      </c>
      <c r="C346" t="s">
        <v>408</v>
      </c>
      <c r="D346">
        <v>276.01</v>
      </c>
      <c r="E346">
        <v>190.45</v>
      </c>
      <c r="F346" t="s">
        <v>335</v>
      </c>
      <c r="G346">
        <v>0.69</v>
      </c>
      <c r="H346">
        <v>228.55</v>
      </c>
      <c r="I346" t="s">
        <v>312</v>
      </c>
      <c r="J346" t="s">
        <v>409</v>
      </c>
      <c r="K346" t="s">
        <v>583</v>
      </c>
      <c r="L346" t="s">
        <v>178</v>
      </c>
      <c r="M346" t="s">
        <v>275</v>
      </c>
      <c r="N346" t="s">
        <v>12</v>
      </c>
      <c r="O346" t="s">
        <v>14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275</v>
      </c>
      <c r="AH346" t="s">
        <v>12</v>
      </c>
      <c r="AI346" t="s">
        <v>14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228.55</v>
      </c>
      <c r="AN346">
        <f>$H$346*$T$346</f>
        <v>228.55</v>
      </c>
      <c r="AO346">
        <f>$H$346*$U$346</f>
        <v>228.55</v>
      </c>
      <c r="AP346">
        <f>$H$346*$V$346</f>
        <v>228.55</v>
      </c>
      <c r="AQ346">
        <f>$H$346*$W$346</f>
        <v>228.55</v>
      </c>
      <c r="AR346">
        <f>$H$346*$X$346</f>
        <v>228.55</v>
      </c>
      <c r="AS346">
        <f>$H$346*$Y$346</f>
        <v>228.55</v>
      </c>
      <c r="AT346">
        <f>$H$346*$Z$346</f>
        <v>228.55</v>
      </c>
      <c r="AU346">
        <f>$H$346*$AA$346</f>
        <v>228.55</v>
      </c>
      <c r="AV346">
        <f>$H$346*$AB$346</f>
        <v>228.55</v>
      </c>
      <c r="AW346">
        <f>$H$346*$AC$346</f>
        <v>228.55</v>
      </c>
      <c r="AX346">
        <f>$H$346*$AD$346</f>
        <v>228.55</v>
      </c>
      <c r="AY346">
        <f>$H$346*$AE$346</f>
        <v>228.55</v>
      </c>
      <c r="AZ346">
        <f>$H$346*$AF$346</f>
        <v>228.55</v>
      </c>
    </row>
    <row r="347" spans="1:52" x14ac:dyDescent="0.25">
      <c r="A347">
        <v>390</v>
      </c>
      <c r="B347" t="s">
        <v>275</v>
      </c>
      <c r="C347" t="s">
        <v>410</v>
      </c>
      <c r="D347">
        <v>57.96</v>
      </c>
      <c r="E347">
        <v>394.71</v>
      </c>
      <c r="F347" t="s">
        <v>335</v>
      </c>
      <c r="G347">
        <v>6.81</v>
      </c>
      <c r="H347">
        <v>473.65</v>
      </c>
      <c r="I347" t="s">
        <v>411</v>
      </c>
      <c r="J347" t="s">
        <v>412</v>
      </c>
      <c r="K347" t="s">
        <v>584</v>
      </c>
      <c r="L347" t="s">
        <v>178</v>
      </c>
      <c r="M347" t="s">
        <v>275</v>
      </c>
      <c r="N347" t="s">
        <v>12</v>
      </c>
      <c r="O347" t="s">
        <v>14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275</v>
      </c>
      <c r="AH347" t="s">
        <v>12</v>
      </c>
      <c r="AI347" t="s">
        <v>14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473.65</v>
      </c>
      <c r="AN347">
        <f>$H$347*$T$347</f>
        <v>473.65</v>
      </c>
      <c r="AO347">
        <f>$H$347*$U$347</f>
        <v>473.65</v>
      </c>
      <c r="AP347">
        <f>$H$347*$V$347</f>
        <v>473.65</v>
      </c>
      <c r="AQ347">
        <f>$H$347*$W$347</f>
        <v>473.65</v>
      </c>
      <c r="AR347">
        <f>$H$347*$X$347</f>
        <v>473.65</v>
      </c>
      <c r="AS347">
        <f>$H$347*$Y$347</f>
        <v>473.65</v>
      </c>
      <c r="AT347">
        <f>$H$347*$Z$347</f>
        <v>473.65</v>
      </c>
      <c r="AU347">
        <f>$H$347*$AA$347</f>
        <v>473.65</v>
      </c>
      <c r="AV347">
        <f>$H$347*$AB$347</f>
        <v>473.65</v>
      </c>
      <c r="AW347">
        <f>$H$347*$AC$347</f>
        <v>473.65</v>
      </c>
      <c r="AX347">
        <f>$H$347*$AD$347</f>
        <v>473.65</v>
      </c>
      <c r="AY347">
        <f>$H$347*$AE$347</f>
        <v>473.65</v>
      </c>
      <c r="AZ347">
        <f>$H$347*$AF$347</f>
        <v>473.65</v>
      </c>
    </row>
    <row r="348" spans="1:52" x14ac:dyDescent="0.25">
      <c r="A348">
        <v>391</v>
      </c>
      <c r="B348" t="s">
        <v>275</v>
      </c>
      <c r="C348" t="s">
        <v>413</v>
      </c>
      <c r="D348">
        <v>63.48</v>
      </c>
      <c r="E348">
        <v>467.85</v>
      </c>
      <c r="F348" t="s">
        <v>335</v>
      </c>
      <c r="G348">
        <v>7.37</v>
      </c>
      <c r="H348">
        <v>561.42999999999995</v>
      </c>
      <c r="I348" t="s">
        <v>411</v>
      </c>
      <c r="J348" t="s">
        <v>414</v>
      </c>
      <c r="K348" t="s">
        <v>585</v>
      </c>
      <c r="L348" t="s">
        <v>178</v>
      </c>
      <c r="M348" t="s">
        <v>275</v>
      </c>
      <c r="N348" t="s">
        <v>12</v>
      </c>
      <c r="O348" t="s">
        <v>14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275</v>
      </c>
      <c r="AH348" t="s">
        <v>12</v>
      </c>
      <c r="AI348" t="s">
        <v>14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561.42999999999995</v>
      </c>
      <c r="AN348">
        <f>$H$348*$T$348</f>
        <v>561.42999999999995</v>
      </c>
      <c r="AO348">
        <f>$H$348*$U$348</f>
        <v>561.42999999999995</v>
      </c>
      <c r="AP348">
        <f>$H$348*$V$348</f>
        <v>561.42999999999995</v>
      </c>
      <c r="AQ348">
        <f>$H$348*$W$348</f>
        <v>561.42999999999995</v>
      </c>
      <c r="AR348">
        <f>$H$348*$X$348</f>
        <v>561.42999999999995</v>
      </c>
      <c r="AS348">
        <f>$H$348*$Y$348</f>
        <v>561.42999999999995</v>
      </c>
      <c r="AT348">
        <f>$H$348*$Z$348</f>
        <v>561.42999999999995</v>
      </c>
      <c r="AU348">
        <f>$H$348*$AA$348</f>
        <v>561.42999999999995</v>
      </c>
      <c r="AV348">
        <f>$H$348*$AB$348</f>
        <v>561.42999999999995</v>
      </c>
      <c r="AW348">
        <f>$H$348*$AC$348</f>
        <v>561.42999999999995</v>
      </c>
      <c r="AX348">
        <f>$H$348*$AD$348</f>
        <v>561.42999999999995</v>
      </c>
      <c r="AY348">
        <f>$H$348*$AE$348</f>
        <v>561.42999999999995</v>
      </c>
      <c r="AZ348">
        <f>$H$348*$AF$348</f>
        <v>561.42999999999995</v>
      </c>
    </row>
    <row r="349" spans="1:52" x14ac:dyDescent="0.25">
      <c r="A349">
        <v>392</v>
      </c>
      <c r="B349" t="s">
        <v>275</v>
      </c>
      <c r="C349" t="s">
        <v>415</v>
      </c>
      <c r="D349">
        <v>56.8</v>
      </c>
      <c r="E349">
        <v>310.13</v>
      </c>
      <c r="F349" t="s">
        <v>335</v>
      </c>
      <c r="G349">
        <v>5.46</v>
      </c>
      <c r="H349">
        <v>372.15</v>
      </c>
      <c r="I349" t="s">
        <v>416</v>
      </c>
      <c r="J349" t="s">
        <v>417</v>
      </c>
      <c r="K349" t="s">
        <v>586</v>
      </c>
      <c r="L349" t="s">
        <v>178</v>
      </c>
      <c r="M349" t="s">
        <v>275</v>
      </c>
      <c r="N349" t="s">
        <v>12</v>
      </c>
      <c r="O349" t="s">
        <v>14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275</v>
      </c>
      <c r="AH349" t="s">
        <v>12</v>
      </c>
      <c r="AI349" t="s">
        <v>14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372.15</v>
      </c>
      <c r="AN349">
        <f>$H$349*$T$349</f>
        <v>372.15</v>
      </c>
      <c r="AO349">
        <f>$H$349*$U$349</f>
        <v>372.15</v>
      </c>
      <c r="AP349">
        <f>$H$349*$V$349</f>
        <v>372.15</v>
      </c>
      <c r="AQ349">
        <f>$H$349*$W$349</f>
        <v>372.15</v>
      </c>
      <c r="AR349">
        <f>$H$349*$X$349</f>
        <v>372.15</v>
      </c>
      <c r="AS349">
        <f>$H$349*$Y$349</f>
        <v>372.15</v>
      </c>
      <c r="AT349">
        <f>$H$349*$Z$349</f>
        <v>372.15</v>
      </c>
      <c r="AU349">
        <f>$H$349*$AA$349</f>
        <v>372.15</v>
      </c>
      <c r="AV349">
        <f>$H$349*$AB$349</f>
        <v>372.15</v>
      </c>
      <c r="AW349">
        <f>$H$349*$AC$349</f>
        <v>372.15</v>
      </c>
      <c r="AX349">
        <f>$H$349*$AD$349</f>
        <v>372.15</v>
      </c>
      <c r="AY349">
        <f>$H$349*$AE$349</f>
        <v>372.15</v>
      </c>
      <c r="AZ349">
        <f>$H$349*$AF$349</f>
        <v>372.15</v>
      </c>
    </row>
    <row r="350" spans="1:52" x14ac:dyDescent="0.25">
      <c r="A350">
        <v>393</v>
      </c>
      <c r="B350" t="s">
        <v>275</v>
      </c>
      <c r="C350" t="s">
        <v>418</v>
      </c>
      <c r="D350">
        <v>56.8</v>
      </c>
      <c r="E350">
        <v>203.34</v>
      </c>
      <c r="F350" t="s">
        <v>335</v>
      </c>
      <c r="G350">
        <v>3.58</v>
      </c>
      <c r="H350">
        <v>244</v>
      </c>
      <c r="I350" t="s">
        <v>416</v>
      </c>
      <c r="J350" t="s">
        <v>419</v>
      </c>
      <c r="K350" t="s">
        <v>587</v>
      </c>
      <c r="L350" t="s">
        <v>178</v>
      </c>
      <c r="M350" t="s">
        <v>275</v>
      </c>
      <c r="N350" t="s">
        <v>12</v>
      </c>
      <c r="O350" t="s">
        <v>14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275</v>
      </c>
      <c r="AH350" t="s">
        <v>12</v>
      </c>
      <c r="AI350" t="s">
        <v>14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244</v>
      </c>
      <c r="AN350">
        <f>$H$350*$T$350</f>
        <v>244</v>
      </c>
      <c r="AO350">
        <f>$H$350*$U$350</f>
        <v>244</v>
      </c>
      <c r="AP350">
        <f>$H$350*$V$350</f>
        <v>244</v>
      </c>
      <c r="AQ350">
        <f>$H$350*$W$350</f>
        <v>244</v>
      </c>
      <c r="AR350">
        <f>$H$350*$X$350</f>
        <v>244</v>
      </c>
      <c r="AS350">
        <f>$H$350*$Y$350</f>
        <v>244</v>
      </c>
      <c r="AT350">
        <f>$H$350*$Z$350</f>
        <v>244</v>
      </c>
      <c r="AU350">
        <f>$H$350*$AA$350</f>
        <v>244</v>
      </c>
      <c r="AV350">
        <f>$H$350*$AB$350</f>
        <v>244</v>
      </c>
      <c r="AW350">
        <f>$H$350*$AC$350</f>
        <v>244</v>
      </c>
      <c r="AX350">
        <f>$H$350*$AD$350</f>
        <v>244</v>
      </c>
      <c r="AY350">
        <f>$H$350*$AE$350</f>
        <v>244</v>
      </c>
      <c r="AZ350">
        <f>$H$350*$AF$350</f>
        <v>244</v>
      </c>
    </row>
    <row r="351" spans="1:52" x14ac:dyDescent="0.25">
      <c r="A351">
        <v>394</v>
      </c>
      <c r="B351" t="s">
        <v>275</v>
      </c>
      <c r="C351" t="s">
        <v>420</v>
      </c>
      <c r="D351">
        <v>56.8</v>
      </c>
      <c r="E351">
        <v>559.48</v>
      </c>
      <c r="F351" t="s">
        <v>335</v>
      </c>
      <c r="G351">
        <v>9.85</v>
      </c>
      <c r="H351">
        <v>671.38</v>
      </c>
      <c r="I351" t="s">
        <v>416</v>
      </c>
      <c r="J351" t="s">
        <v>414</v>
      </c>
      <c r="K351" t="s">
        <v>588</v>
      </c>
      <c r="L351" t="s">
        <v>178</v>
      </c>
      <c r="M351" t="s">
        <v>275</v>
      </c>
      <c r="N351" t="s">
        <v>12</v>
      </c>
      <c r="O351" t="s">
        <v>14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275</v>
      </c>
      <c r="AH351" t="s">
        <v>12</v>
      </c>
      <c r="AI351" t="s">
        <v>14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671.38</v>
      </c>
      <c r="AN351">
        <f>$H$351*$T$351</f>
        <v>671.38</v>
      </c>
      <c r="AO351">
        <f>$H$351*$U$351</f>
        <v>671.38</v>
      </c>
      <c r="AP351">
        <f>$H$351*$V$351</f>
        <v>671.38</v>
      </c>
      <c r="AQ351">
        <f>$H$351*$W$351</f>
        <v>671.38</v>
      </c>
      <c r="AR351">
        <f>$H$351*$X$351</f>
        <v>671.38</v>
      </c>
      <c r="AS351">
        <f>$H$351*$Y$351</f>
        <v>671.38</v>
      </c>
      <c r="AT351">
        <f>$H$351*$Z$351</f>
        <v>671.38</v>
      </c>
      <c r="AU351">
        <f>$H$351*$AA$351</f>
        <v>671.38</v>
      </c>
      <c r="AV351">
        <f>$H$351*$AB$351</f>
        <v>671.38</v>
      </c>
      <c r="AW351">
        <f>$H$351*$AC$351</f>
        <v>671.38</v>
      </c>
      <c r="AX351">
        <f>$H$351*$AD$351</f>
        <v>671.38</v>
      </c>
      <c r="AY351">
        <f>$H$351*$AE$351</f>
        <v>671.38</v>
      </c>
      <c r="AZ351">
        <f>$H$351*$AF$351</f>
        <v>671.38</v>
      </c>
    </row>
    <row r="352" spans="1:52" x14ac:dyDescent="0.25">
      <c r="A352">
        <v>395</v>
      </c>
      <c r="B352" t="s">
        <v>275</v>
      </c>
      <c r="C352" t="s">
        <v>421</v>
      </c>
      <c r="D352">
        <v>63.48</v>
      </c>
      <c r="E352">
        <v>61.58</v>
      </c>
      <c r="F352" t="s">
        <v>335</v>
      </c>
      <c r="G352">
        <v>0.97</v>
      </c>
      <c r="H352">
        <v>73.900000000000006</v>
      </c>
      <c r="I352" t="s">
        <v>360</v>
      </c>
      <c r="J352" t="s">
        <v>422</v>
      </c>
      <c r="K352" t="s">
        <v>589</v>
      </c>
      <c r="L352" t="s">
        <v>178</v>
      </c>
      <c r="M352" t="s">
        <v>275</v>
      </c>
      <c r="N352" t="s">
        <v>12</v>
      </c>
      <c r="O352" t="s">
        <v>14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275</v>
      </c>
      <c r="AH352" t="s">
        <v>12</v>
      </c>
      <c r="AI352" t="s">
        <v>14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73.900000000000006</v>
      </c>
      <c r="AN352">
        <f>$H$352*$T$352</f>
        <v>73.900000000000006</v>
      </c>
      <c r="AO352">
        <f>$H$352*$U$352</f>
        <v>73.900000000000006</v>
      </c>
      <c r="AP352">
        <f>$H$352*$V$352</f>
        <v>73.900000000000006</v>
      </c>
      <c r="AQ352">
        <f>$H$352*$W$352</f>
        <v>73.900000000000006</v>
      </c>
      <c r="AR352">
        <f>$H$352*$X$352</f>
        <v>73.900000000000006</v>
      </c>
      <c r="AS352">
        <f>$H$352*$Y$352</f>
        <v>73.900000000000006</v>
      </c>
      <c r="AT352">
        <f>$H$352*$Z$352</f>
        <v>73.900000000000006</v>
      </c>
      <c r="AU352">
        <f>$H$352*$AA$352</f>
        <v>73.900000000000006</v>
      </c>
      <c r="AV352">
        <f>$H$352*$AB$352</f>
        <v>73.900000000000006</v>
      </c>
      <c r="AW352">
        <f>$H$352*$AC$352</f>
        <v>73.900000000000006</v>
      </c>
      <c r="AX352">
        <f>$H$352*$AD$352</f>
        <v>73.900000000000006</v>
      </c>
      <c r="AY352">
        <f>$H$352*$AE$352</f>
        <v>73.900000000000006</v>
      </c>
      <c r="AZ352">
        <f>$H$352*$AF$352</f>
        <v>73.900000000000006</v>
      </c>
    </row>
    <row r="353" spans="1:52" x14ac:dyDescent="0.25">
      <c r="A353">
        <v>396</v>
      </c>
      <c r="B353" t="s">
        <v>275</v>
      </c>
      <c r="C353" t="s">
        <v>423</v>
      </c>
      <c r="D353">
        <v>63.48</v>
      </c>
      <c r="E353">
        <v>486.26</v>
      </c>
      <c r="F353" t="s">
        <v>335</v>
      </c>
      <c r="G353">
        <v>7.66</v>
      </c>
      <c r="H353">
        <v>583.52</v>
      </c>
      <c r="I353" t="s">
        <v>360</v>
      </c>
      <c r="J353" t="s">
        <v>414</v>
      </c>
      <c r="K353" t="s">
        <v>590</v>
      </c>
      <c r="L353" t="s">
        <v>178</v>
      </c>
      <c r="M353" t="s">
        <v>275</v>
      </c>
      <c r="N353" t="s">
        <v>12</v>
      </c>
      <c r="O353" t="s">
        <v>14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275</v>
      </c>
      <c r="AH353" t="s">
        <v>12</v>
      </c>
      <c r="AI353" t="s">
        <v>14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583.52</v>
      </c>
      <c r="AN353">
        <f>$H$353*$T$353</f>
        <v>583.52</v>
      </c>
      <c r="AO353">
        <f>$H$353*$U$353</f>
        <v>583.52</v>
      </c>
      <c r="AP353">
        <f>$H$353*$V$353</f>
        <v>583.52</v>
      </c>
      <c r="AQ353">
        <f>$H$353*$W$353</f>
        <v>583.52</v>
      </c>
      <c r="AR353">
        <f>$H$353*$X$353</f>
        <v>583.52</v>
      </c>
      <c r="AS353">
        <f>$H$353*$Y$353</f>
        <v>583.52</v>
      </c>
      <c r="AT353">
        <f>$H$353*$Z$353</f>
        <v>583.52</v>
      </c>
      <c r="AU353">
        <f>$H$353*$AA$353</f>
        <v>583.52</v>
      </c>
      <c r="AV353">
        <f>$H$353*$AB$353</f>
        <v>583.52</v>
      </c>
      <c r="AW353">
        <f>$H$353*$AC$353</f>
        <v>583.52</v>
      </c>
      <c r="AX353">
        <f>$H$353*$AD$353</f>
        <v>583.52</v>
      </c>
      <c r="AY353">
        <f>$H$353*$AE$353</f>
        <v>583.52</v>
      </c>
      <c r="AZ353">
        <f>$H$353*$AF$353</f>
        <v>583.52</v>
      </c>
    </row>
    <row r="354" spans="1:52" x14ac:dyDescent="0.25">
      <c r="A354">
        <v>397</v>
      </c>
      <c r="B354" t="s">
        <v>6</v>
      </c>
      <c r="C354" t="s">
        <v>318</v>
      </c>
      <c r="D354">
        <v>1</v>
      </c>
      <c r="E354">
        <v>60.4</v>
      </c>
      <c r="F354" t="s">
        <v>317</v>
      </c>
      <c r="G354">
        <v>60.4</v>
      </c>
      <c r="H354">
        <v>72.48</v>
      </c>
      <c r="I354" t="s">
        <v>319</v>
      </c>
      <c r="J354" t="s">
        <v>320</v>
      </c>
      <c r="K354" t="s">
        <v>540</v>
      </c>
      <c r="L354" t="s">
        <v>178</v>
      </c>
      <c r="M354" t="s">
        <v>6</v>
      </c>
      <c r="N354" t="s">
        <v>51</v>
      </c>
      <c r="O354" t="s">
        <v>6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1</v>
      </c>
      <c r="AE354">
        <v>1</v>
      </c>
      <c r="AF354">
        <v>1</v>
      </c>
      <c r="AG354" t="s">
        <v>6</v>
      </c>
      <c r="AH354" t="s">
        <v>51</v>
      </c>
      <c r="AI354" t="s">
        <v>6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0</v>
      </c>
      <c r="AV354">
        <f>$H$354*$AB$354</f>
        <v>0</v>
      </c>
      <c r="AW354">
        <f>$H$354*$AC$354</f>
        <v>0</v>
      </c>
      <c r="AX354">
        <f>$H$354*$AD$354</f>
        <v>72.48</v>
      </c>
      <c r="AY354">
        <f>$H$354*$AE$354</f>
        <v>72.48</v>
      </c>
      <c r="AZ354">
        <f>$H$354*$AF$354</f>
        <v>72.48</v>
      </c>
    </row>
    <row r="355" spans="1:52" x14ac:dyDescent="0.25">
      <c r="A355">
        <v>398</v>
      </c>
      <c r="B355" t="s">
        <v>6</v>
      </c>
      <c r="C355" t="s">
        <v>397</v>
      </c>
      <c r="D355">
        <v>2</v>
      </c>
      <c r="E355">
        <v>26.54</v>
      </c>
      <c r="F355" t="s">
        <v>317</v>
      </c>
      <c r="G355">
        <v>13.27</v>
      </c>
      <c r="H355">
        <v>31.84</v>
      </c>
      <c r="I355" t="s">
        <v>319</v>
      </c>
      <c r="J355" t="s">
        <v>398</v>
      </c>
      <c r="K355" t="s">
        <v>577</v>
      </c>
      <c r="L355" t="s">
        <v>178</v>
      </c>
      <c r="M355" t="s">
        <v>6</v>
      </c>
      <c r="N355" t="s">
        <v>51</v>
      </c>
      <c r="O355" t="s">
        <v>6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6</v>
      </c>
      <c r="AH355" t="s">
        <v>51</v>
      </c>
      <c r="AI355" t="s">
        <v>6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31.84</v>
      </c>
      <c r="AS355">
        <f>$H$355*$Y$355</f>
        <v>31.84</v>
      </c>
      <c r="AT355">
        <f>$H$355*$Z$355</f>
        <v>31.84</v>
      </c>
      <c r="AU355">
        <f>$H$355*$AA$355</f>
        <v>31.84</v>
      </c>
      <c r="AV355">
        <f>$H$355*$AB$355</f>
        <v>31.84</v>
      </c>
      <c r="AW355">
        <f>$H$355*$AC$355</f>
        <v>31.84</v>
      </c>
      <c r="AX355">
        <f>$H$355*$AD$355</f>
        <v>31.84</v>
      </c>
      <c r="AY355">
        <f>$H$355*$AE$355</f>
        <v>31.84</v>
      </c>
      <c r="AZ355">
        <f>$H$355*$AF$355</f>
        <v>31.84</v>
      </c>
    </row>
    <row r="356" spans="1:52" x14ac:dyDescent="0.25">
      <c r="A356">
        <v>399</v>
      </c>
      <c r="B356" t="s">
        <v>6</v>
      </c>
      <c r="C356" t="s">
        <v>399</v>
      </c>
      <c r="D356">
        <v>1</v>
      </c>
      <c r="E356">
        <v>63.51</v>
      </c>
      <c r="F356" t="s">
        <v>317</v>
      </c>
      <c r="G356">
        <v>63.51</v>
      </c>
      <c r="H356">
        <v>76.209999999999994</v>
      </c>
      <c r="I356" t="s">
        <v>322</v>
      </c>
      <c r="J356" t="s">
        <v>355</v>
      </c>
      <c r="K356" t="s">
        <v>578</v>
      </c>
      <c r="L356" t="s">
        <v>178</v>
      </c>
      <c r="M356" t="s">
        <v>6</v>
      </c>
      <c r="N356" t="s">
        <v>51</v>
      </c>
      <c r="O356" t="s">
        <v>6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1</v>
      </c>
      <c r="AE356">
        <v>1</v>
      </c>
      <c r="AF356">
        <v>1</v>
      </c>
      <c r="AG356" t="s">
        <v>6</v>
      </c>
      <c r="AH356" t="s">
        <v>51</v>
      </c>
      <c r="AI356" t="s">
        <v>6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0</v>
      </c>
      <c r="AQ356">
        <f>$H$356*$W$356</f>
        <v>0</v>
      </c>
      <c r="AR356">
        <f>$H$356*$X$356</f>
        <v>0</v>
      </c>
      <c r="AS356">
        <f>$H$356*$Y$356</f>
        <v>0</v>
      </c>
      <c r="AT356">
        <f>$H$356*$Z$356</f>
        <v>0</v>
      </c>
      <c r="AU356">
        <f>$H$356*$AA$356</f>
        <v>0</v>
      </c>
      <c r="AV356">
        <f>$H$356*$AB$356</f>
        <v>0</v>
      </c>
      <c r="AW356">
        <f>$H$356*$AC$356</f>
        <v>0</v>
      </c>
      <c r="AX356">
        <f>$H$356*$AD$356</f>
        <v>76.209999999999994</v>
      </c>
      <c r="AY356">
        <f>$H$356*$AE$356</f>
        <v>76.209999999999994</v>
      </c>
      <c r="AZ356">
        <f>$H$356*$AF$356</f>
        <v>76.209999999999994</v>
      </c>
    </row>
    <row r="357" spans="1:52" x14ac:dyDescent="0.25">
      <c r="A357">
        <v>400</v>
      </c>
      <c r="B357" t="s">
        <v>6</v>
      </c>
      <c r="C357" t="s">
        <v>345</v>
      </c>
      <c r="D357">
        <v>332</v>
      </c>
      <c r="E357">
        <v>325.36</v>
      </c>
      <c r="F357" t="s">
        <v>335</v>
      </c>
      <c r="G357">
        <v>0.98</v>
      </c>
      <c r="H357">
        <v>390.44</v>
      </c>
      <c r="I357" t="s">
        <v>312</v>
      </c>
      <c r="J357" t="s">
        <v>346</v>
      </c>
      <c r="K357" t="s">
        <v>552</v>
      </c>
      <c r="L357" t="s">
        <v>178</v>
      </c>
      <c r="M357" t="s">
        <v>6</v>
      </c>
      <c r="N357" t="s">
        <v>51</v>
      </c>
      <c r="O357" t="s">
        <v>6</v>
      </c>
      <c r="P357">
        <v>0</v>
      </c>
      <c r="Q357">
        <v>0</v>
      </c>
      <c r="R357">
        <v>0</v>
      </c>
      <c r="S357">
        <v>0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6</v>
      </c>
      <c r="AH357" t="s">
        <v>51</v>
      </c>
      <c r="AI357" t="s">
        <v>6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390.44</v>
      </c>
      <c r="AO357">
        <f>$H$357*$U$357</f>
        <v>390.44</v>
      </c>
      <c r="AP357">
        <f>$H$357*$V$357</f>
        <v>390.44</v>
      </c>
      <c r="AQ357">
        <f>$H$357*$W$357</f>
        <v>390.44</v>
      </c>
      <c r="AR357">
        <f>$H$357*$X$357</f>
        <v>390.44</v>
      </c>
      <c r="AS357">
        <f>$H$357*$Y$357</f>
        <v>390.44</v>
      </c>
      <c r="AT357">
        <f>$H$357*$Z$357</f>
        <v>390.44</v>
      </c>
      <c r="AU357">
        <f>$H$357*$AA$357</f>
        <v>390.44</v>
      </c>
      <c r="AV357">
        <f>$H$357*$AB$357</f>
        <v>390.44</v>
      </c>
      <c r="AW357">
        <f>$H$357*$AC$357</f>
        <v>390.44</v>
      </c>
      <c r="AX357">
        <f>$H$357*$AD$357</f>
        <v>390.44</v>
      </c>
      <c r="AY357">
        <f>$H$357*$AE$357</f>
        <v>390.44</v>
      </c>
      <c r="AZ357">
        <f>$H$357*$AF$357</f>
        <v>390.44</v>
      </c>
    </row>
    <row r="358" spans="1:52" x14ac:dyDescent="0.25">
      <c r="A358">
        <v>401</v>
      </c>
      <c r="B358" t="s">
        <v>6</v>
      </c>
      <c r="C358" t="s">
        <v>400</v>
      </c>
      <c r="D358">
        <v>332</v>
      </c>
      <c r="E358">
        <v>1115.52</v>
      </c>
      <c r="F358" t="s">
        <v>335</v>
      </c>
      <c r="G358">
        <v>3.36</v>
      </c>
      <c r="H358">
        <v>1338.62</v>
      </c>
      <c r="I358" t="s">
        <v>348</v>
      </c>
      <c r="J358" t="s">
        <v>401</v>
      </c>
      <c r="K358" t="s">
        <v>579</v>
      </c>
      <c r="L358" t="s">
        <v>178</v>
      </c>
      <c r="M358" t="s">
        <v>6</v>
      </c>
      <c r="N358" t="s">
        <v>51</v>
      </c>
      <c r="O358" t="s">
        <v>6</v>
      </c>
      <c r="P358">
        <v>0</v>
      </c>
      <c r="Q358">
        <v>0</v>
      </c>
      <c r="R358">
        <v>0</v>
      </c>
      <c r="S358">
        <v>0.25</v>
      </c>
      <c r="T358">
        <v>0.25</v>
      </c>
      <c r="U358">
        <v>0.25</v>
      </c>
      <c r="V358">
        <v>0.25</v>
      </c>
      <c r="W358">
        <v>0.5</v>
      </c>
      <c r="X358">
        <v>0.5</v>
      </c>
      <c r="Y358">
        <v>0.5</v>
      </c>
      <c r="Z358">
        <v>0.5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6</v>
      </c>
      <c r="AH358" t="s">
        <v>51</v>
      </c>
      <c r="AI358" t="s">
        <v>6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334.65499999999997</v>
      </c>
      <c r="AN358">
        <f>$H$358*$T$358</f>
        <v>334.65499999999997</v>
      </c>
      <c r="AO358">
        <f>$H$358*$U$358</f>
        <v>334.65499999999997</v>
      </c>
      <c r="AP358">
        <f>$H$358*$V$358</f>
        <v>334.65499999999997</v>
      </c>
      <c r="AQ358">
        <f>$H$358*$W$358</f>
        <v>669.31</v>
      </c>
      <c r="AR358">
        <f>$H$358*$X$358</f>
        <v>669.31</v>
      </c>
      <c r="AS358">
        <f>$H$358*$Y$358</f>
        <v>669.31</v>
      </c>
      <c r="AT358">
        <f>$H$358*$Z$358</f>
        <v>669.31</v>
      </c>
      <c r="AU358">
        <f>$H$358*$AA$358</f>
        <v>1338.62</v>
      </c>
      <c r="AV358">
        <f>$H$358*$AB$358</f>
        <v>1338.62</v>
      </c>
      <c r="AW358">
        <f>$H$358*$AC$358</f>
        <v>1338.62</v>
      </c>
      <c r="AX358">
        <f>$H$358*$AD$358</f>
        <v>1338.62</v>
      </c>
      <c r="AY358">
        <f>$H$358*$AE$358</f>
        <v>1338.62</v>
      </c>
      <c r="AZ358">
        <f>$H$358*$AF$358</f>
        <v>1338.62</v>
      </c>
    </row>
    <row r="359" spans="1:52" x14ac:dyDescent="0.25">
      <c r="A359">
        <v>402</v>
      </c>
      <c r="B359" t="s">
        <v>6</v>
      </c>
      <c r="C359" t="s">
        <v>402</v>
      </c>
      <c r="D359">
        <v>41.5</v>
      </c>
      <c r="E359">
        <v>62.67</v>
      </c>
      <c r="F359" t="s">
        <v>311</v>
      </c>
      <c r="G359">
        <v>1.51</v>
      </c>
      <c r="H359">
        <v>75.209999999999994</v>
      </c>
      <c r="I359" t="s">
        <v>312</v>
      </c>
      <c r="J359" t="s">
        <v>403</v>
      </c>
      <c r="K359" t="s">
        <v>580</v>
      </c>
      <c r="L359" t="s">
        <v>178</v>
      </c>
      <c r="M359" t="s">
        <v>6</v>
      </c>
      <c r="N359" t="s">
        <v>51</v>
      </c>
      <c r="O359" t="s">
        <v>6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6</v>
      </c>
      <c r="AH359" t="s">
        <v>51</v>
      </c>
      <c r="AI359" t="s">
        <v>6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75.209999999999994</v>
      </c>
      <c r="AN359">
        <f>$H$359*$T$359</f>
        <v>75.209999999999994</v>
      </c>
      <c r="AO359">
        <f>$H$359*$U$359</f>
        <v>75.209999999999994</v>
      </c>
      <c r="AP359">
        <f>$H$359*$V$359</f>
        <v>75.209999999999994</v>
      </c>
      <c r="AQ359">
        <f>$H$359*$W$359</f>
        <v>75.209999999999994</v>
      </c>
      <c r="AR359">
        <f>$H$359*$X$359</f>
        <v>75.209999999999994</v>
      </c>
      <c r="AS359">
        <f>$H$359*$Y$359</f>
        <v>75.209999999999994</v>
      </c>
      <c r="AT359">
        <f>$H$359*$Z$359</f>
        <v>75.209999999999994</v>
      </c>
      <c r="AU359">
        <f>$H$359*$AA$359</f>
        <v>75.209999999999994</v>
      </c>
      <c r="AV359">
        <f>$H$359*$AB$359</f>
        <v>75.209999999999994</v>
      </c>
      <c r="AW359">
        <f>$H$359*$AC$359</f>
        <v>75.209999999999994</v>
      </c>
      <c r="AX359">
        <f>$H$359*$AD$359</f>
        <v>75.209999999999994</v>
      </c>
      <c r="AY359">
        <f>$H$359*$AE$359</f>
        <v>75.209999999999994</v>
      </c>
      <c r="AZ359">
        <f>$H$359*$AF$359</f>
        <v>75.209999999999994</v>
      </c>
    </row>
    <row r="360" spans="1:52" x14ac:dyDescent="0.25">
      <c r="A360">
        <v>403</v>
      </c>
      <c r="B360" t="s">
        <v>6</v>
      </c>
      <c r="C360" t="s">
        <v>404</v>
      </c>
      <c r="D360">
        <v>41.5</v>
      </c>
      <c r="E360">
        <v>235.72</v>
      </c>
      <c r="F360" t="s">
        <v>311</v>
      </c>
      <c r="G360">
        <v>5.68</v>
      </c>
      <c r="H360">
        <v>282.86</v>
      </c>
      <c r="I360" t="s">
        <v>315</v>
      </c>
      <c r="J360" t="s">
        <v>405</v>
      </c>
      <c r="K360" t="s">
        <v>581</v>
      </c>
      <c r="L360" t="s">
        <v>178</v>
      </c>
      <c r="M360" t="s">
        <v>6</v>
      </c>
      <c r="N360" t="s">
        <v>51</v>
      </c>
      <c r="O360" t="s">
        <v>6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6</v>
      </c>
      <c r="AH360" t="s">
        <v>51</v>
      </c>
      <c r="AI360" t="s">
        <v>6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282.86</v>
      </c>
      <c r="AN360">
        <f>$H$360*$T$360</f>
        <v>282.86</v>
      </c>
      <c r="AO360">
        <f>$H$360*$U$360</f>
        <v>282.86</v>
      </c>
      <c r="AP360">
        <f>$H$360*$V$360</f>
        <v>282.86</v>
      </c>
      <c r="AQ360">
        <f>$H$360*$W$360</f>
        <v>282.86</v>
      </c>
      <c r="AR360">
        <f>$H$360*$X$360</f>
        <v>282.86</v>
      </c>
      <c r="AS360">
        <f>$H$360*$Y$360</f>
        <v>282.86</v>
      </c>
      <c r="AT360">
        <f>$H$360*$Z$360</f>
        <v>282.86</v>
      </c>
      <c r="AU360">
        <f>$H$360*$AA$360</f>
        <v>282.86</v>
      </c>
      <c r="AV360">
        <f>$H$360*$AB$360</f>
        <v>282.86</v>
      </c>
      <c r="AW360">
        <f>$H$360*$AC$360</f>
        <v>282.86</v>
      </c>
      <c r="AX360">
        <f>$H$360*$AD$360</f>
        <v>282.86</v>
      </c>
      <c r="AY360">
        <f>$H$360*$AE$360</f>
        <v>282.86</v>
      </c>
      <c r="AZ360">
        <f>$H$360*$AF$360</f>
        <v>282.86</v>
      </c>
    </row>
    <row r="361" spans="1:52" x14ac:dyDescent="0.25">
      <c r="A361">
        <v>404</v>
      </c>
      <c r="B361" t="s">
        <v>6</v>
      </c>
      <c r="C361" t="s">
        <v>400</v>
      </c>
      <c r="D361">
        <v>87.76</v>
      </c>
      <c r="E361">
        <v>294.87</v>
      </c>
      <c r="F361" t="s">
        <v>335</v>
      </c>
      <c r="G361">
        <v>3.36</v>
      </c>
      <c r="H361">
        <v>353.85</v>
      </c>
      <c r="I361" t="s">
        <v>348</v>
      </c>
      <c r="J361" t="s">
        <v>401</v>
      </c>
      <c r="K361" t="s">
        <v>579</v>
      </c>
      <c r="L361" t="s">
        <v>178</v>
      </c>
      <c r="M361" t="s">
        <v>6</v>
      </c>
      <c r="N361" t="s">
        <v>51</v>
      </c>
      <c r="O361" t="s">
        <v>6</v>
      </c>
      <c r="P361">
        <v>0</v>
      </c>
      <c r="Q361">
        <v>0</v>
      </c>
      <c r="R361">
        <v>0</v>
      </c>
      <c r="S361">
        <v>0.25</v>
      </c>
      <c r="T361">
        <v>0.25</v>
      </c>
      <c r="U361">
        <v>0.25</v>
      </c>
      <c r="V361">
        <v>0.25</v>
      </c>
      <c r="W361">
        <v>0.5</v>
      </c>
      <c r="X361">
        <v>0.5</v>
      </c>
      <c r="Y361">
        <v>0.5</v>
      </c>
      <c r="Z361">
        <v>0.5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6</v>
      </c>
      <c r="AH361" t="s">
        <v>51</v>
      </c>
      <c r="AI361" t="s">
        <v>6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88.462500000000006</v>
      </c>
      <c r="AN361">
        <f>$H$361*$T$361</f>
        <v>88.462500000000006</v>
      </c>
      <c r="AO361">
        <f>$H$361*$U$361</f>
        <v>88.462500000000006</v>
      </c>
      <c r="AP361">
        <f>$H$361*$V$361</f>
        <v>88.462500000000006</v>
      </c>
      <c r="AQ361">
        <f>$H$361*$W$361</f>
        <v>176.92500000000001</v>
      </c>
      <c r="AR361">
        <f>$H$361*$X$361</f>
        <v>176.92500000000001</v>
      </c>
      <c r="AS361">
        <f>$H$361*$Y$361</f>
        <v>176.92500000000001</v>
      </c>
      <c r="AT361">
        <f>$H$361*$Z$361</f>
        <v>176.92500000000001</v>
      </c>
      <c r="AU361">
        <f>$H$361*$AA$361</f>
        <v>353.85</v>
      </c>
      <c r="AV361">
        <f>$H$361*$AB$361</f>
        <v>353.85</v>
      </c>
      <c r="AW361">
        <f>$H$361*$AC$361</f>
        <v>353.85</v>
      </c>
      <c r="AX361">
        <f>$H$361*$AD$361</f>
        <v>353.85</v>
      </c>
      <c r="AY361">
        <f>$H$361*$AE$361</f>
        <v>353.85</v>
      </c>
      <c r="AZ361">
        <f>$H$361*$AF$361</f>
        <v>353.85</v>
      </c>
    </row>
    <row r="362" spans="1:52" x14ac:dyDescent="0.25">
      <c r="A362">
        <v>405</v>
      </c>
      <c r="B362" t="s">
        <v>6</v>
      </c>
      <c r="C362" t="s">
        <v>406</v>
      </c>
      <c r="D362">
        <v>87.76</v>
      </c>
      <c r="E362">
        <v>55.29</v>
      </c>
      <c r="F362" t="s">
        <v>335</v>
      </c>
      <c r="G362">
        <v>0.63</v>
      </c>
      <c r="H362">
        <v>66.349999999999994</v>
      </c>
      <c r="I362" t="s">
        <v>312</v>
      </c>
      <c r="J362" t="s">
        <v>407</v>
      </c>
      <c r="K362" t="s">
        <v>582</v>
      </c>
      <c r="L362" t="s">
        <v>178</v>
      </c>
      <c r="M362" t="s">
        <v>6</v>
      </c>
      <c r="N362" t="s">
        <v>51</v>
      </c>
      <c r="O362" t="s">
        <v>6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1</v>
      </c>
      <c r="AE362">
        <v>1</v>
      </c>
      <c r="AF362">
        <v>1</v>
      </c>
      <c r="AG362" t="s">
        <v>6</v>
      </c>
      <c r="AH362" t="s">
        <v>51</v>
      </c>
      <c r="AI362" t="s">
        <v>6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0</v>
      </c>
      <c r="AV362">
        <f>$H$362*$AB$362</f>
        <v>0</v>
      </c>
      <c r="AW362">
        <f>$H$362*$AC$362</f>
        <v>0</v>
      </c>
      <c r="AX362">
        <f>$H$362*$AD$362</f>
        <v>66.349999999999994</v>
      </c>
      <c r="AY362">
        <f>$H$362*$AE$362</f>
        <v>66.349999999999994</v>
      </c>
      <c r="AZ362">
        <f>$H$362*$AF$362</f>
        <v>66.349999999999994</v>
      </c>
    </row>
    <row r="363" spans="1:52" x14ac:dyDescent="0.25">
      <c r="A363">
        <v>406</v>
      </c>
      <c r="B363" t="s">
        <v>6</v>
      </c>
      <c r="C363" t="s">
        <v>408</v>
      </c>
      <c r="D363">
        <v>87.76</v>
      </c>
      <c r="E363">
        <v>60.55</v>
      </c>
      <c r="F363" t="s">
        <v>335</v>
      </c>
      <c r="G363">
        <v>0.69</v>
      </c>
      <c r="H363">
        <v>72.67</v>
      </c>
      <c r="I363" t="s">
        <v>312</v>
      </c>
      <c r="J363" t="s">
        <v>409</v>
      </c>
      <c r="K363" t="s">
        <v>583</v>
      </c>
      <c r="L363" t="s">
        <v>178</v>
      </c>
      <c r="M363" t="s">
        <v>6</v>
      </c>
      <c r="N363" t="s">
        <v>51</v>
      </c>
      <c r="O363" t="s">
        <v>6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6</v>
      </c>
      <c r="AH363" t="s">
        <v>51</v>
      </c>
      <c r="AI363" t="s">
        <v>6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72.67</v>
      </c>
      <c r="AN363">
        <f>$H$363*$T$363</f>
        <v>72.67</v>
      </c>
      <c r="AO363">
        <f>$H$363*$U$363</f>
        <v>72.67</v>
      </c>
      <c r="AP363">
        <f>$H$363*$V$363</f>
        <v>72.67</v>
      </c>
      <c r="AQ363">
        <f>$H$363*$W$363</f>
        <v>72.67</v>
      </c>
      <c r="AR363">
        <f>$H$363*$X$363</f>
        <v>72.67</v>
      </c>
      <c r="AS363">
        <f>$H$363*$Y$363</f>
        <v>72.67</v>
      </c>
      <c r="AT363">
        <f>$H$363*$Z$363</f>
        <v>72.67</v>
      </c>
      <c r="AU363">
        <f>$H$363*$AA$363</f>
        <v>72.67</v>
      </c>
      <c r="AV363">
        <f>$H$363*$AB$363</f>
        <v>72.67</v>
      </c>
      <c r="AW363">
        <f>$H$363*$AC$363</f>
        <v>72.67</v>
      </c>
      <c r="AX363">
        <f>$H$363*$AD$363</f>
        <v>72.67</v>
      </c>
      <c r="AY363">
        <f>$H$363*$AE$363</f>
        <v>72.67</v>
      </c>
      <c r="AZ363">
        <f>$H$363*$AF$363</f>
        <v>72.67</v>
      </c>
    </row>
    <row r="364" spans="1:52" x14ac:dyDescent="0.25">
      <c r="A364">
        <v>407</v>
      </c>
      <c r="B364" t="s">
        <v>6</v>
      </c>
      <c r="C364" t="s">
        <v>410</v>
      </c>
      <c r="D364">
        <v>18.43</v>
      </c>
      <c r="E364">
        <v>125.51</v>
      </c>
      <c r="F364" t="s">
        <v>335</v>
      </c>
      <c r="G364">
        <v>6.81</v>
      </c>
      <c r="H364">
        <v>150.61000000000001</v>
      </c>
      <c r="I364" t="s">
        <v>411</v>
      </c>
      <c r="J364" t="s">
        <v>412</v>
      </c>
      <c r="K364" t="s">
        <v>584</v>
      </c>
      <c r="L364" t="s">
        <v>178</v>
      </c>
      <c r="M364" t="s">
        <v>6</v>
      </c>
      <c r="N364" t="s">
        <v>51</v>
      </c>
      <c r="O364" t="s">
        <v>6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6</v>
      </c>
      <c r="AH364" t="s">
        <v>51</v>
      </c>
      <c r="AI364" t="s">
        <v>6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150.61000000000001</v>
      </c>
      <c r="AN364">
        <f>$H$364*$T$364</f>
        <v>150.61000000000001</v>
      </c>
      <c r="AO364">
        <f>$H$364*$U$364</f>
        <v>150.61000000000001</v>
      </c>
      <c r="AP364">
        <f>$H$364*$V$364</f>
        <v>150.61000000000001</v>
      </c>
      <c r="AQ364">
        <f>$H$364*$W$364</f>
        <v>150.61000000000001</v>
      </c>
      <c r="AR364">
        <f>$H$364*$X$364</f>
        <v>150.61000000000001</v>
      </c>
      <c r="AS364">
        <f>$H$364*$Y$364</f>
        <v>150.61000000000001</v>
      </c>
      <c r="AT364">
        <f>$H$364*$Z$364</f>
        <v>150.61000000000001</v>
      </c>
      <c r="AU364">
        <f>$H$364*$AA$364</f>
        <v>150.61000000000001</v>
      </c>
      <c r="AV364">
        <f>$H$364*$AB$364</f>
        <v>150.61000000000001</v>
      </c>
      <c r="AW364">
        <f>$H$364*$AC$364</f>
        <v>150.61000000000001</v>
      </c>
      <c r="AX364">
        <f>$H$364*$AD$364</f>
        <v>150.61000000000001</v>
      </c>
      <c r="AY364">
        <f>$H$364*$AE$364</f>
        <v>150.61000000000001</v>
      </c>
      <c r="AZ364">
        <f>$H$364*$AF$364</f>
        <v>150.61000000000001</v>
      </c>
    </row>
    <row r="365" spans="1:52" x14ac:dyDescent="0.25">
      <c r="A365">
        <v>408</v>
      </c>
      <c r="B365" t="s">
        <v>6</v>
      </c>
      <c r="C365" t="s">
        <v>413</v>
      </c>
      <c r="D365">
        <v>20.190000000000001</v>
      </c>
      <c r="E365">
        <v>148.80000000000001</v>
      </c>
      <c r="F365" t="s">
        <v>335</v>
      </c>
      <c r="G365">
        <v>7.37</v>
      </c>
      <c r="H365">
        <v>178.56</v>
      </c>
      <c r="I365" t="s">
        <v>411</v>
      </c>
      <c r="J365" t="s">
        <v>414</v>
      </c>
      <c r="K365" t="s">
        <v>585</v>
      </c>
      <c r="L365" t="s">
        <v>178</v>
      </c>
      <c r="M365" t="s">
        <v>6</v>
      </c>
      <c r="N365" t="s">
        <v>51</v>
      </c>
      <c r="O365" t="s">
        <v>6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6</v>
      </c>
      <c r="AH365" t="s">
        <v>51</v>
      </c>
      <c r="AI365" t="s">
        <v>6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178.56</v>
      </c>
      <c r="AN365">
        <f>$H$365*$T$365</f>
        <v>178.56</v>
      </c>
      <c r="AO365">
        <f>$H$365*$U$365</f>
        <v>178.56</v>
      </c>
      <c r="AP365">
        <f>$H$365*$V$365</f>
        <v>178.56</v>
      </c>
      <c r="AQ365">
        <f>$H$365*$W$365</f>
        <v>178.56</v>
      </c>
      <c r="AR365">
        <f>$H$365*$X$365</f>
        <v>178.56</v>
      </c>
      <c r="AS365">
        <f>$H$365*$Y$365</f>
        <v>178.56</v>
      </c>
      <c r="AT365">
        <f>$H$365*$Z$365</f>
        <v>178.56</v>
      </c>
      <c r="AU365">
        <f>$H$365*$AA$365</f>
        <v>178.56</v>
      </c>
      <c r="AV365">
        <f>$H$365*$AB$365</f>
        <v>178.56</v>
      </c>
      <c r="AW365">
        <f>$H$365*$AC$365</f>
        <v>178.56</v>
      </c>
      <c r="AX365">
        <f>$H$365*$AD$365</f>
        <v>178.56</v>
      </c>
      <c r="AY365">
        <f>$H$365*$AE$365</f>
        <v>178.56</v>
      </c>
      <c r="AZ365">
        <f>$H$365*$AF$365</f>
        <v>178.56</v>
      </c>
    </row>
    <row r="366" spans="1:52" x14ac:dyDescent="0.25">
      <c r="A366">
        <v>409</v>
      </c>
      <c r="B366" t="s">
        <v>6</v>
      </c>
      <c r="C366" t="s">
        <v>415</v>
      </c>
      <c r="D366">
        <v>19.149999999999999</v>
      </c>
      <c r="E366">
        <v>104.56</v>
      </c>
      <c r="F366" t="s">
        <v>335</v>
      </c>
      <c r="G366">
        <v>5.46</v>
      </c>
      <c r="H366">
        <v>125.48</v>
      </c>
      <c r="I366" t="s">
        <v>416</v>
      </c>
      <c r="J366" t="s">
        <v>417</v>
      </c>
      <c r="K366" t="s">
        <v>586</v>
      </c>
      <c r="L366" t="s">
        <v>178</v>
      </c>
      <c r="M366" t="s">
        <v>6</v>
      </c>
      <c r="N366" t="s">
        <v>51</v>
      </c>
      <c r="O366" t="s">
        <v>6</v>
      </c>
      <c r="P366">
        <v>0</v>
      </c>
      <c r="Q366">
        <v>0</v>
      </c>
      <c r="R366">
        <v>0</v>
      </c>
      <c r="S366">
        <v>1</v>
      </c>
      <c r="T366">
        <v>1</v>
      </c>
      <c r="U366">
        <v>1</v>
      </c>
      <c r="V366">
        <v>1</v>
      </c>
      <c r="W366">
        <v>1</v>
      </c>
      <c r="X366">
        <v>1</v>
      </c>
      <c r="Y366">
        <v>1</v>
      </c>
      <c r="Z366">
        <v>1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6</v>
      </c>
      <c r="AH366" t="s">
        <v>51</v>
      </c>
      <c r="AI366" t="s">
        <v>6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125.48</v>
      </c>
      <c r="AN366">
        <f>$H$366*$T$366</f>
        <v>125.48</v>
      </c>
      <c r="AO366">
        <f>$H$366*$U$366</f>
        <v>125.48</v>
      </c>
      <c r="AP366">
        <f>$H$366*$V$366</f>
        <v>125.48</v>
      </c>
      <c r="AQ366">
        <f>$H$366*$W$366</f>
        <v>125.48</v>
      </c>
      <c r="AR366">
        <f>$H$366*$X$366</f>
        <v>125.48</v>
      </c>
      <c r="AS366">
        <f>$H$366*$Y$366</f>
        <v>125.48</v>
      </c>
      <c r="AT366">
        <f>$H$366*$Z$366</f>
        <v>125.48</v>
      </c>
      <c r="AU366">
        <f>$H$366*$AA$366</f>
        <v>125.48</v>
      </c>
      <c r="AV366">
        <f>$H$366*$AB$366</f>
        <v>125.48</v>
      </c>
      <c r="AW366">
        <f>$H$366*$AC$366</f>
        <v>125.48</v>
      </c>
      <c r="AX366">
        <f>$H$366*$AD$366</f>
        <v>125.48</v>
      </c>
      <c r="AY366">
        <f>$H$366*$AE$366</f>
        <v>125.48</v>
      </c>
      <c r="AZ366">
        <f>$H$366*$AF$366</f>
        <v>125.48</v>
      </c>
    </row>
    <row r="367" spans="1:52" x14ac:dyDescent="0.25">
      <c r="A367">
        <v>410</v>
      </c>
      <c r="B367" t="s">
        <v>6</v>
      </c>
      <c r="C367" t="s">
        <v>418</v>
      </c>
      <c r="D367">
        <v>19.149999999999999</v>
      </c>
      <c r="E367">
        <v>68.56</v>
      </c>
      <c r="F367" t="s">
        <v>335</v>
      </c>
      <c r="G367">
        <v>3.58</v>
      </c>
      <c r="H367">
        <v>82.28</v>
      </c>
      <c r="I367" t="s">
        <v>416</v>
      </c>
      <c r="J367" t="s">
        <v>419</v>
      </c>
      <c r="K367" t="s">
        <v>587</v>
      </c>
      <c r="L367" t="s">
        <v>178</v>
      </c>
      <c r="M367" t="s">
        <v>6</v>
      </c>
      <c r="N367" t="s">
        <v>51</v>
      </c>
      <c r="O367" t="s">
        <v>6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6</v>
      </c>
      <c r="AH367" t="s">
        <v>51</v>
      </c>
      <c r="AI367" t="s">
        <v>6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82.28</v>
      </c>
      <c r="AN367">
        <f>$H$367*$T$367</f>
        <v>82.28</v>
      </c>
      <c r="AO367">
        <f>$H$367*$U$367</f>
        <v>82.28</v>
      </c>
      <c r="AP367">
        <f>$H$367*$V$367</f>
        <v>82.28</v>
      </c>
      <c r="AQ367">
        <f>$H$367*$W$367</f>
        <v>82.28</v>
      </c>
      <c r="AR367">
        <f>$H$367*$X$367</f>
        <v>82.28</v>
      </c>
      <c r="AS367">
        <f>$H$367*$Y$367</f>
        <v>82.28</v>
      </c>
      <c r="AT367">
        <f>$H$367*$Z$367</f>
        <v>82.28</v>
      </c>
      <c r="AU367">
        <f>$H$367*$AA$367</f>
        <v>82.28</v>
      </c>
      <c r="AV367">
        <f>$H$367*$AB$367</f>
        <v>82.28</v>
      </c>
      <c r="AW367">
        <f>$H$367*$AC$367</f>
        <v>82.28</v>
      </c>
      <c r="AX367">
        <f>$H$367*$AD$367</f>
        <v>82.28</v>
      </c>
      <c r="AY367">
        <f>$H$367*$AE$367</f>
        <v>82.28</v>
      </c>
      <c r="AZ367">
        <f>$H$367*$AF$367</f>
        <v>82.28</v>
      </c>
    </row>
    <row r="368" spans="1:52" x14ac:dyDescent="0.25">
      <c r="A368">
        <v>411</v>
      </c>
      <c r="B368" t="s">
        <v>6</v>
      </c>
      <c r="C368" t="s">
        <v>420</v>
      </c>
      <c r="D368">
        <v>19.149999999999999</v>
      </c>
      <c r="E368">
        <v>188.63</v>
      </c>
      <c r="F368" t="s">
        <v>335</v>
      </c>
      <c r="G368">
        <v>9.85</v>
      </c>
      <c r="H368">
        <v>226.35</v>
      </c>
      <c r="I368" t="s">
        <v>416</v>
      </c>
      <c r="J368" t="s">
        <v>414</v>
      </c>
      <c r="K368" t="s">
        <v>588</v>
      </c>
      <c r="L368" t="s">
        <v>178</v>
      </c>
      <c r="M368" t="s">
        <v>6</v>
      </c>
      <c r="N368" t="s">
        <v>51</v>
      </c>
      <c r="O368" t="s">
        <v>6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6</v>
      </c>
      <c r="AH368" t="s">
        <v>51</v>
      </c>
      <c r="AI368" t="s">
        <v>6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226.35</v>
      </c>
      <c r="AN368">
        <f>$H$368*$T$368</f>
        <v>226.35</v>
      </c>
      <c r="AO368">
        <f>$H$368*$U$368</f>
        <v>226.35</v>
      </c>
      <c r="AP368">
        <f>$H$368*$V$368</f>
        <v>226.35</v>
      </c>
      <c r="AQ368">
        <f>$H$368*$W$368</f>
        <v>226.35</v>
      </c>
      <c r="AR368">
        <f>$H$368*$X$368</f>
        <v>226.35</v>
      </c>
      <c r="AS368">
        <f>$H$368*$Y$368</f>
        <v>226.35</v>
      </c>
      <c r="AT368">
        <f>$H$368*$Z$368</f>
        <v>226.35</v>
      </c>
      <c r="AU368">
        <f>$H$368*$AA$368</f>
        <v>226.35</v>
      </c>
      <c r="AV368">
        <f>$H$368*$AB$368</f>
        <v>226.35</v>
      </c>
      <c r="AW368">
        <f>$H$368*$AC$368</f>
        <v>226.35</v>
      </c>
      <c r="AX368">
        <f>$H$368*$AD$368</f>
        <v>226.35</v>
      </c>
      <c r="AY368">
        <f>$H$368*$AE$368</f>
        <v>226.35</v>
      </c>
      <c r="AZ368">
        <f>$H$368*$AF$368</f>
        <v>226.35</v>
      </c>
    </row>
    <row r="369" spans="1:52" x14ac:dyDescent="0.25">
      <c r="A369">
        <v>412</v>
      </c>
      <c r="B369" t="s">
        <v>6</v>
      </c>
      <c r="C369" t="s">
        <v>421</v>
      </c>
      <c r="D369">
        <v>20.190000000000001</v>
      </c>
      <c r="E369">
        <v>19.579999999999998</v>
      </c>
      <c r="F369" t="s">
        <v>335</v>
      </c>
      <c r="G369">
        <v>0.97</v>
      </c>
      <c r="H369">
        <v>23.5</v>
      </c>
      <c r="I369" t="s">
        <v>360</v>
      </c>
      <c r="J369" t="s">
        <v>422</v>
      </c>
      <c r="K369" t="s">
        <v>589</v>
      </c>
      <c r="L369" t="s">
        <v>178</v>
      </c>
      <c r="M369" t="s">
        <v>6</v>
      </c>
      <c r="N369" t="s">
        <v>51</v>
      </c>
      <c r="O369" t="s">
        <v>6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6</v>
      </c>
      <c r="AH369" t="s">
        <v>51</v>
      </c>
      <c r="AI369" t="s">
        <v>6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23.5</v>
      </c>
      <c r="AN369">
        <f>$H$369*$T$369</f>
        <v>23.5</v>
      </c>
      <c r="AO369">
        <f>$H$369*$U$369</f>
        <v>23.5</v>
      </c>
      <c r="AP369">
        <f>$H$369*$V$369</f>
        <v>23.5</v>
      </c>
      <c r="AQ369">
        <f>$H$369*$W$369</f>
        <v>23.5</v>
      </c>
      <c r="AR369">
        <f>$H$369*$X$369</f>
        <v>23.5</v>
      </c>
      <c r="AS369">
        <f>$H$369*$Y$369</f>
        <v>23.5</v>
      </c>
      <c r="AT369">
        <f>$H$369*$Z$369</f>
        <v>23.5</v>
      </c>
      <c r="AU369">
        <f>$H$369*$AA$369</f>
        <v>23.5</v>
      </c>
      <c r="AV369">
        <f>$H$369*$AB$369</f>
        <v>23.5</v>
      </c>
      <c r="AW369">
        <f>$H$369*$AC$369</f>
        <v>23.5</v>
      </c>
      <c r="AX369">
        <f>$H$369*$AD$369</f>
        <v>23.5</v>
      </c>
      <c r="AY369">
        <f>$H$369*$AE$369</f>
        <v>23.5</v>
      </c>
      <c r="AZ369">
        <f>$H$369*$AF$369</f>
        <v>23.5</v>
      </c>
    </row>
    <row r="370" spans="1:52" x14ac:dyDescent="0.25">
      <c r="A370">
        <v>413</v>
      </c>
      <c r="B370" t="s">
        <v>6</v>
      </c>
      <c r="C370" t="s">
        <v>423</v>
      </c>
      <c r="D370">
        <v>20.190000000000001</v>
      </c>
      <c r="E370">
        <v>154.66</v>
      </c>
      <c r="F370" t="s">
        <v>335</v>
      </c>
      <c r="G370">
        <v>7.66</v>
      </c>
      <c r="H370">
        <v>185.6</v>
      </c>
      <c r="I370" t="s">
        <v>360</v>
      </c>
      <c r="J370" t="s">
        <v>414</v>
      </c>
      <c r="K370" t="s">
        <v>590</v>
      </c>
      <c r="L370" t="s">
        <v>178</v>
      </c>
      <c r="M370" t="s">
        <v>6</v>
      </c>
      <c r="N370" t="s">
        <v>51</v>
      </c>
      <c r="O370" t="s">
        <v>6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6</v>
      </c>
      <c r="AH370" t="s">
        <v>51</v>
      </c>
      <c r="AI370" t="s">
        <v>6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185.6</v>
      </c>
      <c r="AN370">
        <f>$H$370*$T$370</f>
        <v>185.6</v>
      </c>
      <c r="AO370">
        <f>$H$370*$U$370</f>
        <v>185.6</v>
      </c>
      <c r="AP370">
        <f>$H$370*$V$370</f>
        <v>185.6</v>
      </c>
      <c r="AQ370">
        <f>$H$370*$W$370</f>
        <v>185.6</v>
      </c>
      <c r="AR370">
        <f>$H$370*$X$370</f>
        <v>185.6</v>
      </c>
      <c r="AS370">
        <f>$H$370*$Y$370</f>
        <v>185.6</v>
      </c>
      <c r="AT370">
        <f>$H$370*$Z$370</f>
        <v>185.6</v>
      </c>
      <c r="AU370">
        <f>$H$370*$AA$370</f>
        <v>185.6</v>
      </c>
      <c r="AV370">
        <f>$H$370*$AB$370</f>
        <v>185.6</v>
      </c>
      <c r="AW370">
        <f>$H$370*$AC$370</f>
        <v>185.6</v>
      </c>
      <c r="AX370">
        <f>$H$370*$AD$370</f>
        <v>185.6</v>
      </c>
      <c r="AY370">
        <f>$H$370*$AE$370</f>
        <v>185.6</v>
      </c>
      <c r="AZ370">
        <f>$H$370*$AF$370</f>
        <v>185.6</v>
      </c>
    </row>
    <row r="371" spans="1:52" x14ac:dyDescent="0.25">
      <c r="A371">
        <v>414</v>
      </c>
      <c r="B371" t="s">
        <v>278</v>
      </c>
      <c r="C371" t="s">
        <v>397</v>
      </c>
      <c r="D371">
        <v>6</v>
      </c>
      <c r="E371">
        <v>79.62</v>
      </c>
      <c r="F371" t="s">
        <v>317</v>
      </c>
      <c r="G371">
        <v>13.27</v>
      </c>
      <c r="H371">
        <v>95.54</v>
      </c>
      <c r="I371" t="s">
        <v>319</v>
      </c>
      <c r="J371" t="s">
        <v>398</v>
      </c>
      <c r="K371" t="s">
        <v>577</v>
      </c>
      <c r="L371" t="s">
        <v>178</v>
      </c>
      <c r="M371" t="s">
        <v>278</v>
      </c>
      <c r="N371" t="s">
        <v>12</v>
      </c>
      <c r="O371" t="s">
        <v>279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278</v>
      </c>
      <c r="AH371" t="s">
        <v>12</v>
      </c>
      <c r="AI371" t="s">
        <v>279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0</v>
      </c>
      <c r="AN371">
        <f>$H$371*$T$371</f>
        <v>0</v>
      </c>
      <c r="AO371">
        <f>$H$371*$U$371</f>
        <v>0</v>
      </c>
      <c r="AP371">
        <f>$H$371*$V$371</f>
        <v>0</v>
      </c>
      <c r="AQ371">
        <f>$H$371*$W$371</f>
        <v>0</v>
      </c>
      <c r="AR371">
        <f>$H$371*$X$371</f>
        <v>95.54</v>
      </c>
      <c r="AS371">
        <f>$H$371*$Y$371</f>
        <v>95.54</v>
      </c>
      <c r="AT371">
        <f>$H$371*$Z$371</f>
        <v>95.54</v>
      </c>
      <c r="AU371">
        <f>$H$371*$AA$371</f>
        <v>95.54</v>
      </c>
      <c r="AV371">
        <f>$H$371*$AB$371</f>
        <v>95.54</v>
      </c>
      <c r="AW371">
        <f>$H$371*$AC$371</f>
        <v>95.54</v>
      </c>
      <c r="AX371">
        <f>$H$371*$AD$371</f>
        <v>95.54</v>
      </c>
      <c r="AY371">
        <f>$H$371*$AE$371</f>
        <v>95.54</v>
      </c>
      <c r="AZ371">
        <f>$H$371*$AF$371</f>
        <v>95.54</v>
      </c>
    </row>
    <row r="372" spans="1:52" x14ac:dyDescent="0.25">
      <c r="A372">
        <v>415</v>
      </c>
      <c r="B372" t="s">
        <v>278</v>
      </c>
      <c r="C372" t="s">
        <v>399</v>
      </c>
      <c r="D372">
        <v>1</v>
      </c>
      <c r="E372">
        <v>63.51</v>
      </c>
      <c r="F372" t="s">
        <v>317</v>
      </c>
      <c r="G372">
        <v>63.51</v>
      </c>
      <c r="H372">
        <v>76.209999999999994</v>
      </c>
      <c r="I372" t="s">
        <v>322</v>
      </c>
      <c r="J372" t="s">
        <v>355</v>
      </c>
      <c r="K372" t="s">
        <v>578</v>
      </c>
      <c r="L372" t="s">
        <v>178</v>
      </c>
      <c r="M372" t="s">
        <v>278</v>
      </c>
      <c r="N372" t="s">
        <v>12</v>
      </c>
      <c r="O372" t="s">
        <v>279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1</v>
      </c>
      <c r="AE372">
        <v>1</v>
      </c>
      <c r="AF372">
        <v>1</v>
      </c>
      <c r="AG372" t="s">
        <v>278</v>
      </c>
      <c r="AH372" t="s">
        <v>12</v>
      </c>
      <c r="AI372" t="s">
        <v>279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0</v>
      </c>
      <c r="AO372">
        <f>$H$372*$U$372</f>
        <v>0</v>
      </c>
      <c r="AP372">
        <f>$H$372*$V$372</f>
        <v>0</v>
      </c>
      <c r="AQ372">
        <f>$H$372*$W$372</f>
        <v>0</v>
      </c>
      <c r="AR372">
        <f>$H$372*$X$372</f>
        <v>0</v>
      </c>
      <c r="AS372">
        <f>$H$372*$Y$372</f>
        <v>0</v>
      </c>
      <c r="AT372">
        <f>$H$372*$Z$372</f>
        <v>0</v>
      </c>
      <c r="AU372">
        <f>$H$372*$AA$372</f>
        <v>0</v>
      </c>
      <c r="AV372">
        <f>$H$372*$AB$372</f>
        <v>0</v>
      </c>
      <c r="AW372">
        <f>$H$372*$AC$372</f>
        <v>0</v>
      </c>
      <c r="AX372">
        <f>$H$372*$AD$372</f>
        <v>76.209999999999994</v>
      </c>
      <c r="AY372">
        <f>$H$372*$AE$372</f>
        <v>76.209999999999994</v>
      </c>
      <c r="AZ372">
        <f>$H$372*$AF$372</f>
        <v>76.209999999999994</v>
      </c>
    </row>
    <row r="373" spans="1:52" x14ac:dyDescent="0.25">
      <c r="A373">
        <v>416</v>
      </c>
      <c r="B373" t="s">
        <v>278</v>
      </c>
      <c r="C373" t="s">
        <v>345</v>
      </c>
      <c r="D373">
        <v>540</v>
      </c>
      <c r="E373">
        <v>529.20000000000005</v>
      </c>
      <c r="F373" t="s">
        <v>335</v>
      </c>
      <c r="G373">
        <v>0.98</v>
      </c>
      <c r="H373">
        <v>635.04</v>
      </c>
      <c r="I373" t="s">
        <v>312</v>
      </c>
      <c r="J373" t="s">
        <v>346</v>
      </c>
      <c r="K373" t="s">
        <v>552</v>
      </c>
      <c r="L373" t="s">
        <v>178</v>
      </c>
      <c r="M373" t="s">
        <v>278</v>
      </c>
      <c r="N373" t="s">
        <v>12</v>
      </c>
      <c r="O373" t="s">
        <v>279</v>
      </c>
      <c r="P373">
        <v>0</v>
      </c>
      <c r="Q373">
        <v>0</v>
      </c>
      <c r="R373">
        <v>0</v>
      </c>
      <c r="S373">
        <v>0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278</v>
      </c>
      <c r="AH373" t="s">
        <v>12</v>
      </c>
      <c r="AI373" t="s">
        <v>279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635.04</v>
      </c>
      <c r="AO373">
        <f>$H$373*$U$373</f>
        <v>635.04</v>
      </c>
      <c r="AP373">
        <f>$H$373*$V$373</f>
        <v>635.04</v>
      </c>
      <c r="AQ373">
        <f>$H$373*$W$373</f>
        <v>635.04</v>
      </c>
      <c r="AR373">
        <f>$H$373*$X$373</f>
        <v>635.04</v>
      </c>
      <c r="AS373">
        <f>$H$373*$Y$373</f>
        <v>635.04</v>
      </c>
      <c r="AT373">
        <f>$H$373*$Z$373</f>
        <v>635.04</v>
      </c>
      <c r="AU373">
        <f>$H$373*$AA$373</f>
        <v>635.04</v>
      </c>
      <c r="AV373">
        <f>$H$373*$AB$373</f>
        <v>635.04</v>
      </c>
      <c r="AW373">
        <f>$H$373*$AC$373</f>
        <v>635.04</v>
      </c>
      <c r="AX373">
        <f>$H$373*$AD$373</f>
        <v>635.04</v>
      </c>
      <c r="AY373">
        <f>$H$373*$AE$373</f>
        <v>635.04</v>
      </c>
      <c r="AZ373">
        <f>$H$373*$AF$373</f>
        <v>635.04</v>
      </c>
    </row>
    <row r="374" spans="1:52" x14ac:dyDescent="0.25">
      <c r="A374">
        <v>417</v>
      </c>
      <c r="B374" t="s">
        <v>278</v>
      </c>
      <c r="C374" t="s">
        <v>400</v>
      </c>
      <c r="D374">
        <v>540</v>
      </c>
      <c r="E374">
        <v>1814.4</v>
      </c>
      <c r="F374" t="s">
        <v>335</v>
      </c>
      <c r="G374">
        <v>3.36</v>
      </c>
      <c r="H374">
        <v>2177.2800000000002</v>
      </c>
      <c r="I374" t="s">
        <v>348</v>
      </c>
      <c r="J374" t="s">
        <v>401</v>
      </c>
      <c r="K374" t="s">
        <v>579</v>
      </c>
      <c r="L374" t="s">
        <v>178</v>
      </c>
      <c r="M374" t="s">
        <v>278</v>
      </c>
      <c r="N374" t="s">
        <v>12</v>
      </c>
      <c r="O374" t="s">
        <v>279</v>
      </c>
      <c r="P374">
        <v>0</v>
      </c>
      <c r="Q374">
        <v>0</v>
      </c>
      <c r="R374">
        <v>0</v>
      </c>
      <c r="S374">
        <v>0.25</v>
      </c>
      <c r="T374">
        <v>0.25</v>
      </c>
      <c r="U374">
        <v>0.25</v>
      </c>
      <c r="V374">
        <v>0.25</v>
      </c>
      <c r="W374">
        <v>0.5</v>
      </c>
      <c r="X374">
        <v>0.5</v>
      </c>
      <c r="Y374">
        <v>0.5</v>
      </c>
      <c r="Z374">
        <v>0.5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278</v>
      </c>
      <c r="AH374" t="s">
        <v>12</v>
      </c>
      <c r="AI374" t="s">
        <v>279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544.32000000000005</v>
      </c>
      <c r="AN374">
        <f>$H$374*$T$374</f>
        <v>544.32000000000005</v>
      </c>
      <c r="AO374">
        <f>$H$374*$U$374</f>
        <v>544.32000000000005</v>
      </c>
      <c r="AP374">
        <f>$H$374*$V$374</f>
        <v>544.32000000000005</v>
      </c>
      <c r="AQ374">
        <f>$H$374*$W$374</f>
        <v>1088.6400000000001</v>
      </c>
      <c r="AR374">
        <f>$H$374*$X$374</f>
        <v>1088.6400000000001</v>
      </c>
      <c r="AS374">
        <f>$H$374*$Y$374</f>
        <v>1088.6400000000001</v>
      </c>
      <c r="AT374">
        <f>$H$374*$Z$374</f>
        <v>1088.6400000000001</v>
      </c>
      <c r="AU374">
        <f>$H$374*$AA$374</f>
        <v>2177.2800000000002</v>
      </c>
      <c r="AV374">
        <f>$H$374*$AB$374</f>
        <v>2177.2800000000002</v>
      </c>
      <c r="AW374">
        <f>$H$374*$AC$374</f>
        <v>2177.2800000000002</v>
      </c>
      <c r="AX374">
        <f>$H$374*$AD$374</f>
        <v>2177.2800000000002</v>
      </c>
      <c r="AY374">
        <f>$H$374*$AE$374</f>
        <v>2177.2800000000002</v>
      </c>
      <c r="AZ374">
        <f>$H$374*$AF$374</f>
        <v>2177.2800000000002</v>
      </c>
    </row>
    <row r="375" spans="1:52" x14ac:dyDescent="0.25">
      <c r="A375">
        <v>418</v>
      </c>
      <c r="B375" t="s">
        <v>278</v>
      </c>
      <c r="C375" t="s">
        <v>402</v>
      </c>
      <c r="D375">
        <v>67.5</v>
      </c>
      <c r="E375">
        <v>101.93</v>
      </c>
      <c r="F375" t="s">
        <v>311</v>
      </c>
      <c r="G375">
        <v>1.51</v>
      </c>
      <c r="H375">
        <v>122.31</v>
      </c>
      <c r="I375" t="s">
        <v>312</v>
      </c>
      <c r="J375" t="s">
        <v>403</v>
      </c>
      <c r="K375" t="s">
        <v>580</v>
      </c>
      <c r="L375" t="s">
        <v>178</v>
      </c>
      <c r="M375" t="s">
        <v>278</v>
      </c>
      <c r="N375" t="s">
        <v>12</v>
      </c>
      <c r="O375" t="s">
        <v>279</v>
      </c>
      <c r="P375">
        <v>0</v>
      </c>
      <c r="Q375">
        <v>0</v>
      </c>
      <c r="R375">
        <v>0</v>
      </c>
      <c r="S375">
        <v>1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278</v>
      </c>
      <c r="AH375" t="s">
        <v>12</v>
      </c>
      <c r="AI375" t="s">
        <v>279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122.31</v>
      </c>
      <c r="AN375">
        <f>$H$375*$T$375</f>
        <v>122.31</v>
      </c>
      <c r="AO375">
        <f>$H$375*$U$375</f>
        <v>122.31</v>
      </c>
      <c r="AP375">
        <f>$H$375*$V$375</f>
        <v>122.31</v>
      </c>
      <c r="AQ375">
        <f>$H$375*$W$375</f>
        <v>122.31</v>
      </c>
      <c r="AR375">
        <f>$H$375*$X$375</f>
        <v>122.31</v>
      </c>
      <c r="AS375">
        <f>$H$375*$Y$375</f>
        <v>122.31</v>
      </c>
      <c r="AT375">
        <f>$H$375*$Z$375</f>
        <v>122.31</v>
      </c>
      <c r="AU375">
        <f>$H$375*$AA$375</f>
        <v>122.31</v>
      </c>
      <c r="AV375">
        <f>$H$375*$AB$375</f>
        <v>122.31</v>
      </c>
      <c r="AW375">
        <f>$H$375*$AC$375</f>
        <v>122.31</v>
      </c>
      <c r="AX375">
        <f>$H$375*$AD$375</f>
        <v>122.31</v>
      </c>
      <c r="AY375">
        <f>$H$375*$AE$375</f>
        <v>122.31</v>
      </c>
      <c r="AZ375">
        <f>$H$375*$AF$375</f>
        <v>122.31</v>
      </c>
    </row>
    <row r="376" spans="1:52" x14ac:dyDescent="0.25">
      <c r="A376">
        <v>419</v>
      </c>
      <c r="B376" t="s">
        <v>278</v>
      </c>
      <c r="C376" t="s">
        <v>404</v>
      </c>
      <c r="D376">
        <v>67.5</v>
      </c>
      <c r="E376">
        <v>383.4</v>
      </c>
      <c r="F376" t="s">
        <v>311</v>
      </c>
      <c r="G376">
        <v>5.68</v>
      </c>
      <c r="H376">
        <v>460.08</v>
      </c>
      <c r="I376" t="s">
        <v>315</v>
      </c>
      <c r="J376" t="s">
        <v>405</v>
      </c>
      <c r="K376" t="s">
        <v>581</v>
      </c>
      <c r="L376" t="s">
        <v>178</v>
      </c>
      <c r="M376" t="s">
        <v>278</v>
      </c>
      <c r="N376" t="s">
        <v>12</v>
      </c>
      <c r="O376" t="s">
        <v>279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278</v>
      </c>
      <c r="AH376" t="s">
        <v>12</v>
      </c>
      <c r="AI376" t="s">
        <v>279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460.08</v>
      </c>
      <c r="AN376">
        <f>$H$376*$T$376</f>
        <v>460.08</v>
      </c>
      <c r="AO376">
        <f>$H$376*$U$376</f>
        <v>460.08</v>
      </c>
      <c r="AP376">
        <f>$H$376*$V$376</f>
        <v>460.08</v>
      </c>
      <c r="AQ376">
        <f>$H$376*$W$376</f>
        <v>460.08</v>
      </c>
      <c r="AR376">
        <f>$H$376*$X$376</f>
        <v>460.08</v>
      </c>
      <c r="AS376">
        <f>$H$376*$Y$376</f>
        <v>460.08</v>
      </c>
      <c r="AT376">
        <f>$H$376*$Z$376</f>
        <v>460.08</v>
      </c>
      <c r="AU376">
        <f>$H$376*$AA$376</f>
        <v>460.08</v>
      </c>
      <c r="AV376">
        <f>$H$376*$AB$376</f>
        <v>460.08</v>
      </c>
      <c r="AW376">
        <f>$H$376*$AC$376</f>
        <v>460.08</v>
      </c>
      <c r="AX376">
        <f>$H$376*$AD$376</f>
        <v>460.08</v>
      </c>
      <c r="AY376">
        <f>$H$376*$AE$376</f>
        <v>460.08</v>
      </c>
      <c r="AZ376">
        <f>$H$376*$AF$376</f>
        <v>460.08</v>
      </c>
    </row>
    <row r="377" spans="1:52" x14ac:dyDescent="0.25">
      <c r="A377">
        <v>420</v>
      </c>
      <c r="B377" t="s">
        <v>278</v>
      </c>
      <c r="C377" t="s">
        <v>400</v>
      </c>
      <c r="D377">
        <v>276.01</v>
      </c>
      <c r="E377">
        <v>927.39</v>
      </c>
      <c r="F377" t="s">
        <v>335</v>
      </c>
      <c r="G377">
        <v>3.36</v>
      </c>
      <c r="H377">
        <v>1112.8699999999999</v>
      </c>
      <c r="I377" t="s">
        <v>348</v>
      </c>
      <c r="J377" t="s">
        <v>401</v>
      </c>
      <c r="K377" t="s">
        <v>579</v>
      </c>
      <c r="L377" t="s">
        <v>178</v>
      </c>
      <c r="M377" t="s">
        <v>278</v>
      </c>
      <c r="N377" t="s">
        <v>12</v>
      </c>
      <c r="O377" t="s">
        <v>279</v>
      </c>
      <c r="P377">
        <v>0</v>
      </c>
      <c r="Q377">
        <v>0</v>
      </c>
      <c r="R377">
        <v>0</v>
      </c>
      <c r="S377">
        <v>0.25</v>
      </c>
      <c r="T377">
        <v>0.25</v>
      </c>
      <c r="U377">
        <v>0.25</v>
      </c>
      <c r="V377">
        <v>0.25</v>
      </c>
      <c r="W377">
        <v>0.5</v>
      </c>
      <c r="X377">
        <v>0.5</v>
      </c>
      <c r="Y377">
        <v>0.5</v>
      </c>
      <c r="Z377">
        <v>0.5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278</v>
      </c>
      <c r="AH377" t="s">
        <v>12</v>
      </c>
      <c r="AI377" t="s">
        <v>279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278.21749999999997</v>
      </c>
      <c r="AN377">
        <f>$H$377*$T$377</f>
        <v>278.21749999999997</v>
      </c>
      <c r="AO377">
        <f>$H$377*$U$377</f>
        <v>278.21749999999997</v>
      </c>
      <c r="AP377">
        <f>$H$377*$V$377</f>
        <v>278.21749999999997</v>
      </c>
      <c r="AQ377">
        <f>$H$377*$W$377</f>
        <v>556.43499999999995</v>
      </c>
      <c r="AR377">
        <f>$H$377*$X$377</f>
        <v>556.43499999999995</v>
      </c>
      <c r="AS377">
        <f>$H$377*$Y$377</f>
        <v>556.43499999999995</v>
      </c>
      <c r="AT377">
        <f>$H$377*$Z$377</f>
        <v>556.43499999999995</v>
      </c>
      <c r="AU377">
        <f>$H$377*$AA$377</f>
        <v>1112.8699999999999</v>
      </c>
      <c r="AV377">
        <f>$H$377*$AB$377</f>
        <v>1112.8699999999999</v>
      </c>
      <c r="AW377">
        <f>$H$377*$AC$377</f>
        <v>1112.8699999999999</v>
      </c>
      <c r="AX377">
        <f>$H$377*$AD$377</f>
        <v>1112.8699999999999</v>
      </c>
      <c r="AY377">
        <f>$H$377*$AE$377</f>
        <v>1112.8699999999999</v>
      </c>
      <c r="AZ377">
        <f>$H$377*$AF$377</f>
        <v>1112.8699999999999</v>
      </c>
    </row>
    <row r="378" spans="1:52" x14ac:dyDescent="0.25">
      <c r="A378">
        <v>421</v>
      </c>
      <c r="B378" t="s">
        <v>278</v>
      </c>
      <c r="C378" t="s">
        <v>406</v>
      </c>
      <c r="D378">
        <v>276.01</v>
      </c>
      <c r="E378">
        <v>173.89</v>
      </c>
      <c r="F378" t="s">
        <v>335</v>
      </c>
      <c r="G378">
        <v>0.63</v>
      </c>
      <c r="H378">
        <v>208.67</v>
      </c>
      <c r="I378" t="s">
        <v>312</v>
      </c>
      <c r="J378" t="s">
        <v>407</v>
      </c>
      <c r="K378" t="s">
        <v>582</v>
      </c>
      <c r="L378" t="s">
        <v>178</v>
      </c>
      <c r="M378" t="s">
        <v>278</v>
      </c>
      <c r="N378" t="s">
        <v>12</v>
      </c>
      <c r="O378" t="s">
        <v>279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1</v>
      </c>
      <c r="AE378">
        <v>1</v>
      </c>
      <c r="AF378">
        <v>1</v>
      </c>
      <c r="AG378" t="s">
        <v>278</v>
      </c>
      <c r="AH378" t="s">
        <v>12</v>
      </c>
      <c r="AI378" t="s">
        <v>279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0</v>
      </c>
      <c r="AS378">
        <f>$H$378*$Y$378</f>
        <v>0</v>
      </c>
      <c r="AT378">
        <f>$H$378*$Z$378</f>
        <v>0</v>
      </c>
      <c r="AU378">
        <f>$H$378*$AA$378</f>
        <v>0</v>
      </c>
      <c r="AV378">
        <f>$H$378*$AB$378</f>
        <v>0</v>
      </c>
      <c r="AW378">
        <f>$H$378*$AC$378</f>
        <v>0</v>
      </c>
      <c r="AX378">
        <f>$H$378*$AD$378</f>
        <v>208.67</v>
      </c>
      <c r="AY378">
        <f>$H$378*$AE$378</f>
        <v>208.67</v>
      </c>
      <c r="AZ378">
        <f>$H$378*$AF$378</f>
        <v>208.67</v>
      </c>
    </row>
    <row r="379" spans="1:52" x14ac:dyDescent="0.25">
      <c r="A379">
        <v>422</v>
      </c>
      <c r="B379" t="s">
        <v>278</v>
      </c>
      <c r="C379" t="s">
        <v>408</v>
      </c>
      <c r="D379">
        <v>276.01</v>
      </c>
      <c r="E379">
        <v>190.45</v>
      </c>
      <c r="F379" t="s">
        <v>335</v>
      </c>
      <c r="G379">
        <v>0.69</v>
      </c>
      <c r="H379">
        <v>228.55</v>
      </c>
      <c r="I379" t="s">
        <v>312</v>
      </c>
      <c r="J379" t="s">
        <v>409</v>
      </c>
      <c r="K379" t="s">
        <v>583</v>
      </c>
      <c r="L379" t="s">
        <v>178</v>
      </c>
      <c r="M379" t="s">
        <v>278</v>
      </c>
      <c r="N379" t="s">
        <v>12</v>
      </c>
      <c r="O379" t="s">
        <v>279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278</v>
      </c>
      <c r="AH379" t="s">
        <v>12</v>
      </c>
      <c r="AI379" t="s">
        <v>279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228.55</v>
      </c>
      <c r="AN379">
        <f>$H$379*$T$379</f>
        <v>228.55</v>
      </c>
      <c r="AO379">
        <f>$H$379*$U$379</f>
        <v>228.55</v>
      </c>
      <c r="AP379">
        <f>$H$379*$V$379</f>
        <v>228.55</v>
      </c>
      <c r="AQ379">
        <f>$H$379*$W$379</f>
        <v>228.55</v>
      </c>
      <c r="AR379">
        <f>$H$379*$X$379</f>
        <v>228.55</v>
      </c>
      <c r="AS379">
        <f>$H$379*$Y$379</f>
        <v>228.55</v>
      </c>
      <c r="AT379">
        <f>$H$379*$Z$379</f>
        <v>228.55</v>
      </c>
      <c r="AU379">
        <f>$H$379*$AA$379</f>
        <v>228.55</v>
      </c>
      <c r="AV379">
        <f>$H$379*$AB$379</f>
        <v>228.55</v>
      </c>
      <c r="AW379">
        <f>$H$379*$AC$379</f>
        <v>228.55</v>
      </c>
      <c r="AX379">
        <f>$H$379*$AD$379</f>
        <v>228.55</v>
      </c>
      <c r="AY379">
        <f>$H$379*$AE$379</f>
        <v>228.55</v>
      </c>
      <c r="AZ379">
        <f>$H$379*$AF$379</f>
        <v>228.55</v>
      </c>
    </row>
    <row r="380" spans="1:52" x14ac:dyDescent="0.25">
      <c r="A380">
        <v>423</v>
      </c>
      <c r="B380" t="s">
        <v>278</v>
      </c>
      <c r="C380" t="s">
        <v>410</v>
      </c>
      <c r="D380">
        <v>57.96</v>
      </c>
      <c r="E380">
        <v>394.71</v>
      </c>
      <c r="F380" t="s">
        <v>335</v>
      </c>
      <c r="G380">
        <v>6.81</v>
      </c>
      <c r="H380">
        <v>473.65</v>
      </c>
      <c r="I380" t="s">
        <v>411</v>
      </c>
      <c r="J380" t="s">
        <v>412</v>
      </c>
      <c r="K380" t="s">
        <v>584</v>
      </c>
      <c r="L380" t="s">
        <v>178</v>
      </c>
      <c r="M380" t="s">
        <v>278</v>
      </c>
      <c r="N380" t="s">
        <v>12</v>
      </c>
      <c r="O380" t="s">
        <v>279</v>
      </c>
      <c r="P380">
        <v>0</v>
      </c>
      <c r="Q380">
        <v>0</v>
      </c>
      <c r="R380">
        <v>0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278</v>
      </c>
      <c r="AH380" t="s">
        <v>12</v>
      </c>
      <c r="AI380" t="s">
        <v>279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473.65</v>
      </c>
      <c r="AN380">
        <f>$H$380*$T$380</f>
        <v>473.65</v>
      </c>
      <c r="AO380">
        <f>$H$380*$U$380</f>
        <v>473.65</v>
      </c>
      <c r="AP380">
        <f>$H$380*$V$380</f>
        <v>473.65</v>
      </c>
      <c r="AQ380">
        <f>$H$380*$W$380</f>
        <v>473.65</v>
      </c>
      <c r="AR380">
        <f>$H$380*$X$380</f>
        <v>473.65</v>
      </c>
      <c r="AS380">
        <f>$H$380*$Y$380</f>
        <v>473.65</v>
      </c>
      <c r="AT380">
        <f>$H$380*$Z$380</f>
        <v>473.65</v>
      </c>
      <c r="AU380">
        <f>$H$380*$AA$380</f>
        <v>473.65</v>
      </c>
      <c r="AV380">
        <f>$H$380*$AB$380</f>
        <v>473.65</v>
      </c>
      <c r="AW380">
        <f>$H$380*$AC$380</f>
        <v>473.65</v>
      </c>
      <c r="AX380">
        <f>$H$380*$AD$380</f>
        <v>473.65</v>
      </c>
      <c r="AY380">
        <f>$H$380*$AE$380</f>
        <v>473.65</v>
      </c>
      <c r="AZ380">
        <f>$H$380*$AF$380</f>
        <v>473.65</v>
      </c>
    </row>
    <row r="381" spans="1:52" x14ac:dyDescent="0.25">
      <c r="A381">
        <v>424</v>
      </c>
      <c r="B381" t="s">
        <v>278</v>
      </c>
      <c r="C381" t="s">
        <v>413</v>
      </c>
      <c r="D381">
        <v>63.48</v>
      </c>
      <c r="E381">
        <v>467.85</v>
      </c>
      <c r="F381" t="s">
        <v>335</v>
      </c>
      <c r="G381">
        <v>7.37</v>
      </c>
      <c r="H381">
        <v>561.42999999999995</v>
      </c>
      <c r="I381" t="s">
        <v>411</v>
      </c>
      <c r="J381" t="s">
        <v>414</v>
      </c>
      <c r="K381" t="s">
        <v>585</v>
      </c>
      <c r="L381" t="s">
        <v>178</v>
      </c>
      <c r="M381" t="s">
        <v>278</v>
      </c>
      <c r="N381" t="s">
        <v>12</v>
      </c>
      <c r="O381" t="s">
        <v>279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278</v>
      </c>
      <c r="AH381" t="s">
        <v>12</v>
      </c>
      <c r="AI381" t="s">
        <v>279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561.42999999999995</v>
      </c>
      <c r="AN381">
        <f>$H$381*$T$381</f>
        <v>561.42999999999995</v>
      </c>
      <c r="AO381">
        <f>$H$381*$U$381</f>
        <v>561.42999999999995</v>
      </c>
      <c r="AP381">
        <f>$H$381*$V$381</f>
        <v>561.42999999999995</v>
      </c>
      <c r="AQ381">
        <f>$H$381*$W$381</f>
        <v>561.42999999999995</v>
      </c>
      <c r="AR381">
        <f>$H$381*$X$381</f>
        <v>561.42999999999995</v>
      </c>
      <c r="AS381">
        <f>$H$381*$Y$381</f>
        <v>561.42999999999995</v>
      </c>
      <c r="AT381">
        <f>$H$381*$Z$381</f>
        <v>561.42999999999995</v>
      </c>
      <c r="AU381">
        <f>$H$381*$AA$381</f>
        <v>561.42999999999995</v>
      </c>
      <c r="AV381">
        <f>$H$381*$AB$381</f>
        <v>561.42999999999995</v>
      </c>
      <c r="AW381">
        <f>$H$381*$AC$381</f>
        <v>561.42999999999995</v>
      </c>
      <c r="AX381">
        <f>$H$381*$AD$381</f>
        <v>561.42999999999995</v>
      </c>
      <c r="AY381">
        <f>$H$381*$AE$381</f>
        <v>561.42999999999995</v>
      </c>
      <c r="AZ381">
        <f>$H$381*$AF$381</f>
        <v>561.42999999999995</v>
      </c>
    </row>
    <row r="382" spans="1:52" x14ac:dyDescent="0.25">
      <c r="A382">
        <v>425</v>
      </c>
      <c r="B382" t="s">
        <v>278</v>
      </c>
      <c r="C382" t="s">
        <v>415</v>
      </c>
      <c r="D382">
        <v>56.8</v>
      </c>
      <c r="E382">
        <v>310.13</v>
      </c>
      <c r="F382" t="s">
        <v>335</v>
      </c>
      <c r="G382">
        <v>5.46</v>
      </c>
      <c r="H382">
        <v>372.15</v>
      </c>
      <c r="I382" t="s">
        <v>416</v>
      </c>
      <c r="J382" t="s">
        <v>417</v>
      </c>
      <c r="K382" t="s">
        <v>586</v>
      </c>
      <c r="L382" t="s">
        <v>178</v>
      </c>
      <c r="M382" t="s">
        <v>278</v>
      </c>
      <c r="N382" t="s">
        <v>12</v>
      </c>
      <c r="O382" t="s">
        <v>279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278</v>
      </c>
      <c r="AH382" t="s">
        <v>12</v>
      </c>
      <c r="AI382" t="s">
        <v>279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372.15</v>
      </c>
      <c r="AN382">
        <f>$H$382*$T$382</f>
        <v>372.15</v>
      </c>
      <c r="AO382">
        <f>$H$382*$U$382</f>
        <v>372.15</v>
      </c>
      <c r="AP382">
        <f>$H$382*$V$382</f>
        <v>372.15</v>
      </c>
      <c r="AQ382">
        <f>$H$382*$W$382</f>
        <v>372.15</v>
      </c>
      <c r="AR382">
        <f>$H$382*$X$382</f>
        <v>372.15</v>
      </c>
      <c r="AS382">
        <f>$H$382*$Y$382</f>
        <v>372.15</v>
      </c>
      <c r="AT382">
        <f>$H$382*$Z$382</f>
        <v>372.15</v>
      </c>
      <c r="AU382">
        <f>$H$382*$AA$382</f>
        <v>372.15</v>
      </c>
      <c r="AV382">
        <f>$H$382*$AB$382</f>
        <v>372.15</v>
      </c>
      <c r="AW382">
        <f>$H$382*$AC$382</f>
        <v>372.15</v>
      </c>
      <c r="AX382">
        <f>$H$382*$AD$382</f>
        <v>372.15</v>
      </c>
      <c r="AY382">
        <f>$H$382*$AE$382</f>
        <v>372.15</v>
      </c>
      <c r="AZ382">
        <f>$H$382*$AF$382</f>
        <v>372.15</v>
      </c>
    </row>
    <row r="383" spans="1:52" x14ac:dyDescent="0.25">
      <c r="A383">
        <v>426</v>
      </c>
      <c r="B383" t="s">
        <v>278</v>
      </c>
      <c r="C383" t="s">
        <v>418</v>
      </c>
      <c r="D383">
        <v>56.8</v>
      </c>
      <c r="E383">
        <v>203.34</v>
      </c>
      <c r="F383" t="s">
        <v>335</v>
      </c>
      <c r="G383">
        <v>3.58</v>
      </c>
      <c r="H383">
        <v>244</v>
      </c>
      <c r="I383" t="s">
        <v>416</v>
      </c>
      <c r="J383" t="s">
        <v>419</v>
      </c>
      <c r="K383" t="s">
        <v>587</v>
      </c>
      <c r="L383" t="s">
        <v>178</v>
      </c>
      <c r="M383" t="s">
        <v>278</v>
      </c>
      <c r="N383" t="s">
        <v>12</v>
      </c>
      <c r="O383" t="s">
        <v>279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278</v>
      </c>
      <c r="AH383" t="s">
        <v>12</v>
      </c>
      <c r="AI383" t="s">
        <v>279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244</v>
      </c>
      <c r="AN383">
        <f>$H$383*$T$383</f>
        <v>244</v>
      </c>
      <c r="AO383">
        <f>$H$383*$U$383</f>
        <v>244</v>
      </c>
      <c r="AP383">
        <f>$H$383*$V$383</f>
        <v>244</v>
      </c>
      <c r="AQ383">
        <f>$H$383*$W$383</f>
        <v>244</v>
      </c>
      <c r="AR383">
        <f>$H$383*$X$383</f>
        <v>244</v>
      </c>
      <c r="AS383">
        <f>$H$383*$Y$383</f>
        <v>244</v>
      </c>
      <c r="AT383">
        <f>$H$383*$Z$383</f>
        <v>244</v>
      </c>
      <c r="AU383">
        <f>$H$383*$AA$383</f>
        <v>244</v>
      </c>
      <c r="AV383">
        <f>$H$383*$AB$383</f>
        <v>244</v>
      </c>
      <c r="AW383">
        <f>$H$383*$AC$383</f>
        <v>244</v>
      </c>
      <c r="AX383">
        <f>$H$383*$AD$383</f>
        <v>244</v>
      </c>
      <c r="AY383">
        <f>$H$383*$AE$383</f>
        <v>244</v>
      </c>
      <c r="AZ383">
        <f>$H$383*$AF$383</f>
        <v>244</v>
      </c>
    </row>
    <row r="384" spans="1:52" x14ac:dyDescent="0.25">
      <c r="A384">
        <v>427</v>
      </c>
      <c r="B384" t="s">
        <v>278</v>
      </c>
      <c r="C384" t="s">
        <v>420</v>
      </c>
      <c r="D384">
        <v>56.8</v>
      </c>
      <c r="E384">
        <v>559.48</v>
      </c>
      <c r="F384" t="s">
        <v>335</v>
      </c>
      <c r="G384">
        <v>9.85</v>
      </c>
      <c r="H384">
        <v>671.38</v>
      </c>
      <c r="I384" t="s">
        <v>416</v>
      </c>
      <c r="J384" t="s">
        <v>414</v>
      </c>
      <c r="K384" t="s">
        <v>588</v>
      </c>
      <c r="L384" t="s">
        <v>178</v>
      </c>
      <c r="M384" t="s">
        <v>278</v>
      </c>
      <c r="N384" t="s">
        <v>12</v>
      </c>
      <c r="O384" t="s">
        <v>279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278</v>
      </c>
      <c r="AH384" t="s">
        <v>12</v>
      </c>
      <c r="AI384" t="s">
        <v>279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671.38</v>
      </c>
      <c r="AN384">
        <f>$H$384*$T$384</f>
        <v>671.38</v>
      </c>
      <c r="AO384">
        <f>$H$384*$U$384</f>
        <v>671.38</v>
      </c>
      <c r="AP384">
        <f>$H$384*$V$384</f>
        <v>671.38</v>
      </c>
      <c r="AQ384">
        <f>$H$384*$W$384</f>
        <v>671.38</v>
      </c>
      <c r="AR384">
        <f>$H$384*$X$384</f>
        <v>671.38</v>
      </c>
      <c r="AS384">
        <f>$H$384*$Y$384</f>
        <v>671.38</v>
      </c>
      <c r="AT384">
        <f>$H$384*$Z$384</f>
        <v>671.38</v>
      </c>
      <c r="AU384">
        <f>$H$384*$AA$384</f>
        <v>671.38</v>
      </c>
      <c r="AV384">
        <f>$H$384*$AB$384</f>
        <v>671.38</v>
      </c>
      <c r="AW384">
        <f>$H$384*$AC$384</f>
        <v>671.38</v>
      </c>
      <c r="AX384">
        <f>$H$384*$AD$384</f>
        <v>671.38</v>
      </c>
      <c r="AY384">
        <f>$H$384*$AE$384</f>
        <v>671.38</v>
      </c>
      <c r="AZ384">
        <f>$H$384*$AF$384</f>
        <v>671.38</v>
      </c>
    </row>
    <row r="385" spans="1:52" x14ac:dyDescent="0.25">
      <c r="A385">
        <v>428</v>
      </c>
      <c r="B385" t="s">
        <v>278</v>
      </c>
      <c r="C385" t="s">
        <v>421</v>
      </c>
      <c r="D385">
        <v>63.48</v>
      </c>
      <c r="E385">
        <v>61.58</v>
      </c>
      <c r="F385" t="s">
        <v>335</v>
      </c>
      <c r="G385">
        <v>0.97</v>
      </c>
      <c r="H385">
        <v>73.900000000000006</v>
      </c>
      <c r="I385" t="s">
        <v>360</v>
      </c>
      <c r="J385" t="s">
        <v>422</v>
      </c>
      <c r="K385" t="s">
        <v>589</v>
      </c>
      <c r="L385" t="s">
        <v>178</v>
      </c>
      <c r="M385" t="s">
        <v>278</v>
      </c>
      <c r="N385" t="s">
        <v>12</v>
      </c>
      <c r="O385" t="s">
        <v>279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278</v>
      </c>
      <c r="AH385" t="s">
        <v>12</v>
      </c>
      <c r="AI385" t="s">
        <v>279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73.900000000000006</v>
      </c>
      <c r="AN385">
        <f>$H$385*$T$385</f>
        <v>73.900000000000006</v>
      </c>
      <c r="AO385">
        <f>$H$385*$U$385</f>
        <v>73.900000000000006</v>
      </c>
      <c r="AP385">
        <f>$H$385*$V$385</f>
        <v>73.900000000000006</v>
      </c>
      <c r="AQ385">
        <f>$H$385*$W$385</f>
        <v>73.900000000000006</v>
      </c>
      <c r="AR385">
        <f>$H$385*$X$385</f>
        <v>73.900000000000006</v>
      </c>
      <c r="AS385">
        <f>$H$385*$Y$385</f>
        <v>73.900000000000006</v>
      </c>
      <c r="AT385">
        <f>$H$385*$Z$385</f>
        <v>73.900000000000006</v>
      </c>
      <c r="AU385">
        <f>$H$385*$AA$385</f>
        <v>73.900000000000006</v>
      </c>
      <c r="AV385">
        <f>$H$385*$AB$385</f>
        <v>73.900000000000006</v>
      </c>
      <c r="AW385">
        <f>$H$385*$AC$385</f>
        <v>73.900000000000006</v>
      </c>
      <c r="AX385">
        <f>$H$385*$AD$385</f>
        <v>73.900000000000006</v>
      </c>
      <c r="AY385">
        <f>$H$385*$AE$385</f>
        <v>73.900000000000006</v>
      </c>
      <c r="AZ385">
        <f>$H$385*$AF$385</f>
        <v>73.900000000000006</v>
      </c>
    </row>
    <row r="386" spans="1:52" x14ac:dyDescent="0.25">
      <c r="A386">
        <v>429</v>
      </c>
      <c r="B386" t="s">
        <v>278</v>
      </c>
      <c r="C386" t="s">
        <v>423</v>
      </c>
      <c r="D386">
        <v>63.48</v>
      </c>
      <c r="E386">
        <v>486.26</v>
      </c>
      <c r="F386" t="s">
        <v>335</v>
      </c>
      <c r="G386">
        <v>7.66</v>
      </c>
      <c r="H386">
        <v>583.52</v>
      </c>
      <c r="I386" t="s">
        <v>360</v>
      </c>
      <c r="J386" t="s">
        <v>414</v>
      </c>
      <c r="K386" t="s">
        <v>590</v>
      </c>
      <c r="L386" t="s">
        <v>178</v>
      </c>
      <c r="M386" t="s">
        <v>278</v>
      </c>
      <c r="N386" t="s">
        <v>12</v>
      </c>
      <c r="O386" t="s">
        <v>279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278</v>
      </c>
      <c r="AH386" t="s">
        <v>12</v>
      </c>
      <c r="AI386" t="s">
        <v>279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583.52</v>
      </c>
      <c r="AN386">
        <f>$H$386*$T$386</f>
        <v>583.52</v>
      </c>
      <c r="AO386">
        <f>$H$386*$U$386</f>
        <v>583.52</v>
      </c>
      <c r="AP386">
        <f>$H$386*$V$386</f>
        <v>583.52</v>
      </c>
      <c r="AQ386">
        <f>$H$386*$W$386</f>
        <v>583.52</v>
      </c>
      <c r="AR386">
        <f>$H$386*$X$386</f>
        <v>583.52</v>
      </c>
      <c r="AS386">
        <f>$H$386*$Y$386</f>
        <v>583.52</v>
      </c>
      <c r="AT386">
        <f>$H$386*$Z$386</f>
        <v>583.52</v>
      </c>
      <c r="AU386">
        <f>$H$386*$AA$386</f>
        <v>583.52</v>
      </c>
      <c r="AV386">
        <f>$H$386*$AB$386</f>
        <v>583.52</v>
      </c>
      <c r="AW386">
        <f>$H$386*$AC$386</f>
        <v>583.52</v>
      </c>
      <c r="AX386">
        <f>$H$386*$AD$386</f>
        <v>583.52</v>
      </c>
      <c r="AY386">
        <f>$H$386*$AE$386</f>
        <v>583.52</v>
      </c>
      <c r="AZ386">
        <f>$H$386*$AF$386</f>
        <v>583.52</v>
      </c>
    </row>
    <row r="387" spans="1:52" x14ac:dyDescent="0.25">
      <c r="A387">
        <v>430</v>
      </c>
      <c r="B387" t="s">
        <v>488</v>
      </c>
      <c r="C387" t="s">
        <v>489</v>
      </c>
      <c r="D387">
        <v>1</v>
      </c>
      <c r="E387">
        <v>65.650000000000006</v>
      </c>
      <c r="F387" t="s">
        <v>317</v>
      </c>
      <c r="G387">
        <v>65.650000000000006</v>
      </c>
      <c r="H387">
        <v>78.790000000000006</v>
      </c>
      <c r="I387" t="s">
        <v>322</v>
      </c>
      <c r="J387" t="s">
        <v>490</v>
      </c>
      <c r="K387" t="s">
        <v>624</v>
      </c>
      <c r="L387" t="s">
        <v>178</v>
      </c>
      <c r="M387" t="s">
        <v>567</v>
      </c>
      <c r="N387" t="s">
        <v>12</v>
      </c>
      <c r="O387" t="s">
        <v>68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1</v>
      </c>
      <c r="AE387">
        <v>1</v>
      </c>
      <c r="AF387">
        <v>1</v>
      </c>
      <c r="AG387" t="s">
        <v>567</v>
      </c>
      <c r="AH387" t="s">
        <v>12</v>
      </c>
      <c r="AI387" t="s">
        <v>68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0</v>
      </c>
      <c r="AQ387">
        <f>$H$387*$W$387</f>
        <v>0</v>
      </c>
      <c r="AR387">
        <f>$H$387*$X$387</f>
        <v>0</v>
      </c>
      <c r="AS387">
        <f>$H$387*$Y$387</f>
        <v>0</v>
      </c>
      <c r="AT387">
        <f>$H$387*$Z$387</f>
        <v>0</v>
      </c>
      <c r="AU387">
        <f>$H$387*$AA$387</f>
        <v>0</v>
      </c>
      <c r="AV387">
        <f>$H$387*$AB$387</f>
        <v>0</v>
      </c>
      <c r="AW387">
        <f>$H$387*$AC$387</f>
        <v>0</v>
      </c>
      <c r="AX387">
        <f>$H$387*$AD$387</f>
        <v>78.790000000000006</v>
      </c>
      <c r="AY387">
        <f>$H$387*$AE$387</f>
        <v>78.790000000000006</v>
      </c>
      <c r="AZ387">
        <f>$H$387*$AF$387</f>
        <v>78.790000000000006</v>
      </c>
    </row>
    <row r="388" spans="1:52" x14ac:dyDescent="0.25">
      <c r="A388">
        <v>431</v>
      </c>
      <c r="B388" t="s">
        <v>488</v>
      </c>
      <c r="C388" t="s">
        <v>397</v>
      </c>
      <c r="D388">
        <v>1</v>
      </c>
      <c r="E388">
        <v>13.27</v>
      </c>
      <c r="F388" t="s">
        <v>317</v>
      </c>
      <c r="G388">
        <v>13.27</v>
      </c>
      <c r="H388">
        <v>15.93</v>
      </c>
      <c r="I388" t="s">
        <v>319</v>
      </c>
      <c r="J388" t="s">
        <v>398</v>
      </c>
      <c r="K388" t="s">
        <v>577</v>
      </c>
      <c r="L388" t="s">
        <v>178</v>
      </c>
      <c r="M388" t="s">
        <v>567</v>
      </c>
      <c r="N388" t="s">
        <v>12</v>
      </c>
      <c r="O388" t="s">
        <v>68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567</v>
      </c>
      <c r="AH388" t="s">
        <v>12</v>
      </c>
      <c r="AI388" t="s">
        <v>68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0</v>
      </c>
      <c r="AQ388">
        <f>$H$388*$W$388</f>
        <v>0</v>
      </c>
      <c r="AR388">
        <f>$H$388*$X$388</f>
        <v>15.93</v>
      </c>
      <c r="AS388">
        <f>$H$388*$Y$388</f>
        <v>15.93</v>
      </c>
      <c r="AT388">
        <f>$H$388*$Z$388</f>
        <v>15.93</v>
      </c>
      <c r="AU388">
        <f>$H$388*$AA$388</f>
        <v>15.93</v>
      </c>
      <c r="AV388">
        <f>$H$388*$AB$388</f>
        <v>15.93</v>
      </c>
      <c r="AW388">
        <f>$H$388*$AC$388</f>
        <v>15.93</v>
      </c>
      <c r="AX388">
        <f>$H$388*$AD$388</f>
        <v>15.93</v>
      </c>
      <c r="AY388">
        <f>$H$388*$AE$388</f>
        <v>15.93</v>
      </c>
      <c r="AZ388">
        <f>$H$388*$AF$388</f>
        <v>15.93</v>
      </c>
    </row>
    <row r="389" spans="1:52" x14ac:dyDescent="0.25">
      <c r="A389">
        <v>432</v>
      </c>
      <c r="B389" t="s">
        <v>488</v>
      </c>
      <c r="C389" t="s">
        <v>456</v>
      </c>
      <c r="D389">
        <v>1</v>
      </c>
      <c r="E389">
        <v>37</v>
      </c>
      <c r="F389" t="s">
        <v>317</v>
      </c>
      <c r="G389">
        <v>37</v>
      </c>
      <c r="H389">
        <v>44.4</v>
      </c>
      <c r="I389" t="s">
        <v>319</v>
      </c>
      <c r="J389" t="s">
        <v>457</v>
      </c>
      <c r="K389" t="s">
        <v>607</v>
      </c>
      <c r="L389" t="s">
        <v>178</v>
      </c>
      <c r="M389" t="s">
        <v>567</v>
      </c>
      <c r="N389" t="s">
        <v>12</v>
      </c>
      <c r="O389" t="s">
        <v>68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0.6</v>
      </c>
      <c r="Y389">
        <v>0.6</v>
      </c>
      <c r="Z389">
        <v>0.6</v>
      </c>
      <c r="AA389">
        <v>0.6</v>
      </c>
      <c r="AB389">
        <v>0.6</v>
      </c>
      <c r="AC389">
        <v>0.6</v>
      </c>
      <c r="AD389">
        <v>1</v>
      </c>
      <c r="AE389">
        <v>1</v>
      </c>
      <c r="AF389">
        <v>1</v>
      </c>
      <c r="AG389" t="s">
        <v>567</v>
      </c>
      <c r="AH389" t="s">
        <v>12</v>
      </c>
      <c r="AI389" t="s">
        <v>68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26.639999999999997</v>
      </c>
      <c r="AS389">
        <f>$H$389*$Y$389</f>
        <v>26.639999999999997</v>
      </c>
      <c r="AT389">
        <f>$H$389*$Z$389</f>
        <v>26.639999999999997</v>
      </c>
      <c r="AU389">
        <f>$H$389*$AA$389</f>
        <v>26.639999999999997</v>
      </c>
      <c r="AV389">
        <f>$H$389*$AB$389</f>
        <v>26.639999999999997</v>
      </c>
      <c r="AW389">
        <f>$H$389*$AC$389</f>
        <v>26.639999999999997</v>
      </c>
      <c r="AX389">
        <f>$H$389*$AD$389</f>
        <v>44.4</v>
      </c>
      <c r="AY389">
        <f>$H$389*$AE$389</f>
        <v>44.4</v>
      </c>
      <c r="AZ389">
        <f>$H$389*$AF$389</f>
        <v>44.4</v>
      </c>
    </row>
    <row r="390" spans="1:52" x14ac:dyDescent="0.25">
      <c r="A390">
        <v>441</v>
      </c>
      <c r="B390" t="s">
        <v>261</v>
      </c>
      <c r="C390" t="s">
        <v>397</v>
      </c>
      <c r="D390">
        <v>2</v>
      </c>
      <c r="E390">
        <v>26.54</v>
      </c>
      <c r="F390" t="s">
        <v>317</v>
      </c>
      <c r="G390">
        <v>13.27</v>
      </c>
      <c r="H390">
        <v>31.84</v>
      </c>
      <c r="I390" t="s">
        <v>319</v>
      </c>
      <c r="J390" t="s">
        <v>398</v>
      </c>
      <c r="K390" t="s">
        <v>577</v>
      </c>
      <c r="L390" t="s">
        <v>178</v>
      </c>
      <c r="M390" t="s">
        <v>261</v>
      </c>
      <c r="N390" t="s">
        <v>12</v>
      </c>
      <c r="O390" t="s">
        <v>262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261</v>
      </c>
      <c r="AH390" t="s">
        <v>12</v>
      </c>
      <c r="AI390" t="s">
        <v>262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31.84</v>
      </c>
      <c r="AS390">
        <f>$H$390*$Y$390</f>
        <v>31.84</v>
      </c>
      <c r="AT390">
        <f>$H$390*$Z$390</f>
        <v>31.84</v>
      </c>
      <c r="AU390">
        <f>$H$390*$AA$390</f>
        <v>31.84</v>
      </c>
      <c r="AV390">
        <f>$H$390*$AB$390</f>
        <v>31.84</v>
      </c>
      <c r="AW390">
        <f>$H$390*$AC$390</f>
        <v>31.84</v>
      </c>
      <c r="AX390">
        <f>$H$390*$AD$390</f>
        <v>31.84</v>
      </c>
      <c r="AY390">
        <f>$H$390*$AE$390</f>
        <v>31.84</v>
      </c>
      <c r="AZ390">
        <f>$H$390*$AF$390</f>
        <v>31.84</v>
      </c>
    </row>
    <row r="391" spans="1:52" x14ac:dyDescent="0.25">
      <c r="A391">
        <v>442</v>
      </c>
      <c r="B391" t="s">
        <v>261</v>
      </c>
      <c r="C391" t="s">
        <v>456</v>
      </c>
      <c r="D391">
        <v>1</v>
      </c>
      <c r="E391">
        <v>37</v>
      </c>
      <c r="F391" t="s">
        <v>317</v>
      </c>
      <c r="G391">
        <v>37</v>
      </c>
      <c r="H391">
        <v>44.4</v>
      </c>
      <c r="I391" t="s">
        <v>319</v>
      </c>
      <c r="J391" t="s">
        <v>457</v>
      </c>
      <c r="K391" t="s">
        <v>607</v>
      </c>
      <c r="L391" t="s">
        <v>178</v>
      </c>
      <c r="M391" t="s">
        <v>261</v>
      </c>
      <c r="N391" t="s">
        <v>12</v>
      </c>
      <c r="O391" t="s">
        <v>262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0.6</v>
      </c>
      <c r="Y391">
        <v>0.6</v>
      </c>
      <c r="Z391">
        <v>0.6</v>
      </c>
      <c r="AA391">
        <v>0.6</v>
      </c>
      <c r="AB391">
        <v>0.6</v>
      </c>
      <c r="AC391">
        <v>0.6</v>
      </c>
      <c r="AD391">
        <v>1</v>
      </c>
      <c r="AE391">
        <v>1</v>
      </c>
      <c r="AF391">
        <v>1</v>
      </c>
      <c r="AG391" t="s">
        <v>261</v>
      </c>
      <c r="AH391" t="s">
        <v>12</v>
      </c>
      <c r="AI391" t="s">
        <v>262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26.639999999999997</v>
      </c>
      <c r="AS391">
        <f>$H$391*$Y$391</f>
        <v>26.639999999999997</v>
      </c>
      <c r="AT391">
        <f>$H$391*$Z$391</f>
        <v>26.639999999999997</v>
      </c>
      <c r="AU391">
        <f>$H$391*$AA$391</f>
        <v>26.639999999999997</v>
      </c>
      <c r="AV391">
        <f>$H$391*$AB$391</f>
        <v>26.639999999999997</v>
      </c>
      <c r="AW391">
        <f>$H$391*$AC$391</f>
        <v>26.639999999999997</v>
      </c>
      <c r="AX391">
        <f>$H$391*$AD$391</f>
        <v>44.4</v>
      </c>
      <c r="AY391">
        <f>$H$391*$AE$391</f>
        <v>44.4</v>
      </c>
      <c r="AZ391">
        <f>$H$391*$AF$391</f>
        <v>44.4</v>
      </c>
    </row>
    <row r="392" spans="1:52" x14ac:dyDescent="0.25">
      <c r="A392">
        <v>443</v>
      </c>
      <c r="B392" t="s">
        <v>261</v>
      </c>
      <c r="C392" t="s">
        <v>431</v>
      </c>
      <c r="D392">
        <v>1</v>
      </c>
      <c r="E392">
        <v>36.590000000000003</v>
      </c>
      <c r="F392" t="s">
        <v>317</v>
      </c>
      <c r="G392">
        <v>36.590000000000003</v>
      </c>
      <c r="H392">
        <v>43.91</v>
      </c>
      <c r="I392" t="s">
        <v>351</v>
      </c>
      <c r="J392" t="s">
        <v>432</v>
      </c>
      <c r="K392" t="s">
        <v>594</v>
      </c>
      <c r="L392" t="s">
        <v>178</v>
      </c>
      <c r="M392" t="s">
        <v>261</v>
      </c>
      <c r="N392" t="s">
        <v>12</v>
      </c>
      <c r="O392" t="s">
        <v>262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261</v>
      </c>
      <c r="AH392" t="s">
        <v>12</v>
      </c>
      <c r="AI392" t="s">
        <v>262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0</v>
      </c>
      <c r="AT392">
        <f>$H$392*$Z$392</f>
        <v>0</v>
      </c>
      <c r="AU392">
        <f>$H$392*$AA$392</f>
        <v>43.91</v>
      </c>
      <c r="AV392">
        <f>$H$392*$AB$392</f>
        <v>43.91</v>
      </c>
      <c r="AW392">
        <f>$H$392*$AC$392</f>
        <v>43.91</v>
      </c>
      <c r="AX392">
        <f>$H$392*$AD$392</f>
        <v>43.91</v>
      </c>
      <c r="AY392">
        <f>$H$392*$AE$392</f>
        <v>43.91</v>
      </c>
      <c r="AZ392">
        <f>$H$392*$AF$392</f>
        <v>43.91</v>
      </c>
    </row>
    <row r="393" spans="1:52" x14ac:dyDescent="0.25">
      <c r="A393">
        <v>444</v>
      </c>
      <c r="B393" t="s">
        <v>261</v>
      </c>
      <c r="C393" t="s">
        <v>341</v>
      </c>
      <c r="D393">
        <v>12</v>
      </c>
      <c r="E393">
        <v>53.28</v>
      </c>
      <c r="F393" t="s">
        <v>311</v>
      </c>
      <c r="G393">
        <v>4.4400000000000004</v>
      </c>
      <c r="H393">
        <v>63.94</v>
      </c>
      <c r="I393" t="s">
        <v>312</v>
      </c>
      <c r="J393" t="s">
        <v>342</v>
      </c>
      <c r="K393" t="s">
        <v>550</v>
      </c>
      <c r="L393" t="s">
        <v>178</v>
      </c>
      <c r="M393" t="s">
        <v>261</v>
      </c>
      <c r="N393" t="s">
        <v>12</v>
      </c>
      <c r="O393" t="s">
        <v>262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261</v>
      </c>
      <c r="AH393" t="s">
        <v>12</v>
      </c>
      <c r="AI393" t="s">
        <v>262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0</v>
      </c>
      <c r="AT393">
        <f>$H$393*$Z$393</f>
        <v>0</v>
      </c>
      <c r="AU393">
        <f>$H$393*$AA$393</f>
        <v>63.94</v>
      </c>
      <c r="AV393">
        <f>$H$393*$AB$393</f>
        <v>63.94</v>
      </c>
      <c r="AW393">
        <f>$H$393*$AC$393</f>
        <v>63.94</v>
      </c>
      <c r="AX393">
        <f>$H$393*$AD$393</f>
        <v>63.94</v>
      </c>
      <c r="AY393">
        <f>$H$393*$AE$393</f>
        <v>63.94</v>
      </c>
      <c r="AZ393">
        <f>$H$393*$AF$393</f>
        <v>63.94</v>
      </c>
    </row>
    <row r="394" spans="1:52" x14ac:dyDescent="0.25">
      <c r="A394">
        <v>445</v>
      </c>
      <c r="B394" t="s">
        <v>261</v>
      </c>
      <c r="C394" t="s">
        <v>343</v>
      </c>
      <c r="D394">
        <v>12</v>
      </c>
      <c r="E394">
        <v>138.6</v>
      </c>
      <c r="F394" t="s">
        <v>311</v>
      </c>
      <c r="G394">
        <v>11.55</v>
      </c>
      <c r="H394">
        <v>166.32</v>
      </c>
      <c r="I394" t="s">
        <v>315</v>
      </c>
      <c r="J394" t="s">
        <v>344</v>
      </c>
      <c r="K394" t="s">
        <v>551</v>
      </c>
      <c r="L394" t="s">
        <v>178</v>
      </c>
      <c r="M394" t="s">
        <v>261</v>
      </c>
      <c r="N394" t="s">
        <v>12</v>
      </c>
      <c r="O394" t="s">
        <v>262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261</v>
      </c>
      <c r="AH394" t="s">
        <v>12</v>
      </c>
      <c r="AI394" t="s">
        <v>262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0</v>
      </c>
      <c r="AS394">
        <f>$H$394*$Y$394</f>
        <v>0</v>
      </c>
      <c r="AT394">
        <f>$H$394*$Z$394</f>
        <v>0</v>
      </c>
      <c r="AU394">
        <f>$H$394*$AA$394</f>
        <v>166.32</v>
      </c>
      <c r="AV394">
        <f>$H$394*$AB$394</f>
        <v>166.32</v>
      </c>
      <c r="AW394">
        <f>$H$394*$AC$394</f>
        <v>166.32</v>
      </c>
      <c r="AX394">
        <f>$H$394*$AD$394</f>
        <v>166.32</v>
      </c>
      <c r="AY394">
        <f>$H$394*$AE$394</f>
        <v>166.32</v>
      </c>
      <c r="AZ394">
        <f>$H$394*$AF$394</f>
        <v>166.32</v>
      </c>
    </row>
    <row r="395" spans="1:52" x14ac:dyDescent="0.25">
      <c r="A395">
        <v>446</v>
      </c>
      <c r="B395" t="s">
        <v>261</v>
      </c>
      <c r="C395" t="s">
        <v>433</v>
      </c>
      <c r="D395">
        <v>1</v>
      </c>
      <c r="E395">
        <v>36.64</v>
      </c>
      <c r="F395" t="s">
        <v>317</v>
      </c>
      <c r="G395">
        <v>36.64</v>
      </c>
      <c r="H395">
        <v>43.96</v>
      </c>
      <c r="I395" t="s">
        <v>351</v>
      </c>
      <c r="J395" t="s">
        <v>434</v>
      </c>
      <c r="K395" t="s">
        <v>595</v>
      </c>
      <c r="L395" t="s">
        <v>178</v>
      </c>
      <c r="M395" t="s">
        <v>261</v>
      </c>
      <c r="N395" t="s">
        <v>12</v>
      </c>
      <c r="O395" t="s">
        <v>262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261</v>
      </c>
      <c r="AH395" t="s">
        <v>12</v>
      </c>
      <c r="AI395" t="s">
        <v>262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0</v>
      </c>
      <c r="AT395">
        <f>$H$395*$Z$395</f>
        <v>0</v>
      </c>
      <c r="AU395">
        <f>$H$395*$AA$395</f>
        <v>43.96</v>
      </c>
      <c r="AV395">
        <f>$H$395*$AB$395</f>
        <v>43.96</v>
      </c>
      <c r="AW395">
        <f>$H$395*$AC$395</f>
        <v>43.96</v>
      </c>
      <c r="AX395">
        <f>$H$395*$AD$395</f>
        <v>43.96</v>
      </c>
      <c r="AY395">
        <f>$H$395*$AE$395</f>
        <v>43.96</v>
      </c>
      <c r="AZ395">
        <f>$H$395*$AF$395</f>
        <v>43.96</v>
      </c>
    </row>
    <row r="396" spans="1:52" x14ac:dyDescent="0.25">
      <c r="A396">
        <v>447</v>
      </c>
      <c r="B396" t="s">
        <v>261</v>
      </c>
      <c r="C396" t="s">
        <v>435</v>
      </c>
      <c r="D396">
        <v>1</v>
      </c>
      <c r="E396">
        <v>33.18</v>
      </c>
      <c r="F396" t="s">
        <v>317</v>
      </c>
      <c r="G396">
        <v>33.18</v>
      </c>
      <c r="H396">
        <v>39.82</v>
      </c>
      <c r="I396" t="s">
        <v>351</v>
      </c>
      <c r="J396" t="s">
        <v>436</v>
      </c>
      <c r="K396" t="s">
        <v>596</v>
      </c>
      <c r="L396" t="s">
        <v>178</v>
      </c>
      <c r="M396" t="s">
        <v>261</v>
      </c>
      <c r="N396" t="s">
        <v>12</v>
      </c>
      <c r="O396" t="s">
        <v>262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261</v>
      </c>
      <c r="AH396" t="s">
        <v>12</v>
      </c>
      <c r="AI396" t="s">
        <v>262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0</v>
      </c>
      <c r="AO396">
        <f>$H$396*$U$396</f>
        <v>0</v>
      </c>
      <c r="AP396">
        <f>$H$396*$V$396</f>
        <v>0</v>
      </c>
      <c r="AQ396">
        <f>$H$396*$W$396</f>
        <v>0</v>
      </c>
      <c r="AR396">
        <f>$H$396*$X$396</f>
        <v>0</v>
      </c>
      <c r="AS396">
        <f>$H$396*$Y$396</f>
        <v>39.82</v>
      </c>
      <c r="AT396">
        <f>$H$396*$Z$396</f>
        <v>39.82</v>
      </c>
      <c r="AU396">
        <f>$H$396*$AA$396</f>
        <v>39.82</v>
      </c>
      <c r="AV396">
        <f>$H$396*$AB$396</f>
        <v>39.82</v>
      </c>
      <c r="AW396">
        <f>$H$396*$AC$396</f>
        <v>39.82</v>
      </c>
      <c r="AX396">
        <f>$H$396*$AD$396</f>
        <v>39.82</v>
      </c>
      <c r="AY396">
        <f>$H$396*$AE$396</f>
        <v>39.82</v>
      </c>
      <c r="AZ396">
        <f>$H$396*$AF$396</f>
        <v>39.82</v>
      </c>
    </row>
    <row r="397" spans="1:52" x14ac:dyDescent="0.25">
      <c r="A397">
        <v>448</v>
      </c>
      <c r="B397" t="s">
        <v>261</v>
      </c>
      <c r="C397" t="s">
        <v>437</v>
      </c>
      <c r="D397">
        <v>6</v>
      </c>
      <c r="E397">
        <v>112.38</v>
      </c>
      <c r="F397" t="s">
        <v>335</v>
      </c>
      <c r="G397">
        <v>18.73</v>
      </c>
      <c r="H397">
        <v>134.86000000000001</v>
      </c>
      <c r="I397" t="s">
        <v>438</v>
      </c>
      <c r="J397" t="s">
        <v>355</v>
      </c>
      <c r="K397" t="s">
        <v>597</v>
      </c>
      <c r="L397" t="s">
        <v>178</v>
      </c>
      <c r="M397" t="s">
        <v>261</v>
      </c>
      <c r="N397" t="s">
        <v>12</v>
      </c>
      <c r="O397" t="s">
        <v>262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261</v>
      </c>
      <c r="AH397" t="s">
        <v>12</v>
      </c>
      <c r="AI397" t="s">
        <v>262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0</v>
      </c>
      <c r="AT397">
        <f>$H$397*$Z$397</f>
        <v>0</v>
      </c>
      <c r="AU397">
        <f>$H$397*$AA$397</f>
        <v>134.86000000000001</v>
      </c>
      <c r="AV397">
        <f>$H$397*$AB$397</f>
        <v>134.86000000000001</v>
      </c>
      <c r="AW397">
        <f>$H$397*$AC$397</f>
        <v>134.86000000000001</v>
      </c>
      <c r="AX397">
        <f>$H$397*$AD$397</f>
        <v>134.86000000000001</v>
      </c>
      <c r="AY397">
        <f>$H$397*$AE$397</f>
        <v>134.86000000000001</v>
      </c>
      <c r="AZ397">
        <f>$H$397*$AF$397</f>
        <v>134.86000000000001</v>
      </c>
    </row>
    <row r="398" spans="1:52" x14ac:dyDescent="0.25">
      <c r="A398">
        <v>449</v>
      </c>
      <c r="B398" t="s">
        <v>261</v>
      </c>
      <c r="C398" t="s">
        <v>439</v>
      </c>
      <c r="D398">
        <v>0.75</v>
      </c>
      <c r="E398">
        <v>432.23</v>
      </c>
      <c r="F398" t="s">
        <v>317</v>
      </c>
      <c r="G398">
        <v>576.30999999999995</v>
      </c>
      <c r="H398">
        <v>518.66999999999996</v>
      </c>
      <c r="I398" t="s">
        <v>336</v>
      </c>
      <c r="J398" t="s">
        <v>440</v>
      </c>
      <c r="K398" t="s">
        <v>598</v>
      </c>
      <c r="L398" t="s">
        <v>178</v>
      </c>
      <c r="M398" t="s">
        <v>261</v>
      </c>
      <c r="N398" t="s">
        <v>12</v>
      </c>
      <c r="O398" t="s">
        <v>262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261</v>
      </c>
      <c r="AH398" t="s">
        <v>12</v>
      </c>
      <c r="AI398" t="s">
        <v>262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518.66999999999996</v>
      </c>
      <c r="AV398">
        <f>$H$398*$AB$398</f>
        <v>518.66999999999996</v>
      </c>
      <c r="AW398">
        <f>$H$398*$AC$398</f>
        <v>518.66999999999996</v>
      </c>
      <c r="AX398">
        <f>$H$398*$AD$398</f>
        <v>518.66999999999996</v>
      </c>
      <c r="AY398">
        <f>$H$398*$AE$398</f>
        <v>518.66999999999996</v>
      </c>
      <c r="AZ398">
        <f>$H$398*$AF$398</f>
        <v>518.66999999999996</v>
      </c>
    </row>
    <row r="399" spans="1:52" x14ac:dyDescent="0.25">
      <c r="A399">
        <v>450</v>
      </c>
      <c r="B399" t="s">
        <v>261</v>
      </c>
      <c r="C399" t="s">
        <v>439</v>
      </c>
      <c r="D399">
        <v>0.25</v>
      </c>
      <c r="E399">
        <v>144.08000000000001</v>
      </c>
      <c r="F399" t="s">
        <v>317</v>
      </c>
      <c r="G399">
        <v>576.30999999999995</v>
      </c>
      <c r="H399">
        <v>172.9</v>
      </c>
      <c r="I399" t="s">
        <v>336</v>
      </c>
      <c r="J399" t="s">
        <v>440</v>
      </c>
      <c r="K399" t="s">
        <v>598</v>
      </c>
      <c r="L399" t="s">
        <v>178</v>
      </c>
      <c r="M399" t="s">
        <v>261</v>
      </c>
      <c r="N399" t="s">
        <v>12</v>
      </c>
      <c r="O399" t="s">
        <v>262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261</v>
      </c>
      <c r="AH399" t="s">
        <v>12</v>
      </c>
      <c r="AI399" t="s">
        <v>262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0</v>
      </c>
      <c r="AU399">
        <f>$H$399*$AA$399</f>
        <v>172.9</v>
      </c>
      <c r="AV399">
        <f>$H$399*$AB$399</f>
        <v>172.9</v>
      </c>
      <c r="AW399">
        <f>$H$399*$AC$399</f>
        <v>172.9</v>
      </c>
      <c r="AX399">
        <f>$H$399*$AD$399</f>
        <v>172.9</v>
      </c>
      <c r="AY399">
        <f>$H$399*$AE$399</f>
        <v>172.9</v>
      </c>
      <c r="AZ399">
        <f>$H$399*$AF$399</f>
        <v>172.9</v>
      </c>
    </row>
    <row r="400" spans="1:52" x14ac:dyDescent="0.25">
      <c r="A400">
        <v>451</v>
      </c>
      <c r="B400" t="s">
        <v>261</v>
      </c>
      <c r="C400" t="s">
        <v>441</v>
      </c>
      <c r="D400">
        <v>1</v>
      </c>
      <c r="E400">
        <v>55.84</v>
      </c>
      <c r="F400" t="s">
        <v>317</v>
      </c>
      <c r="G400">
        <v>55.84</v>
      </c>
      <c r="H400">
        <v>67</v>
      </c>
      <c r="I400" t="s">
        <v>336</v>
      </c>
      <c r="J400" t="s">
        <v>442</v>
      </c>
      <c r="K400" t="s">
        <v>599</v>
      </c>
      <c r="L400" t="s">
        <v>178</v>
      </c>
      <c r="M400" t="s">
        <v>261</v>
      </c>
      <c r="N400" t="s">
        <v>12</v>
      </c>
      <c r="O400" t="s">
        <v>262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261</v>
      </c>
      <c r="AH400" t="s">
        <v>12</v>
      </c>
      <c r="AI400" t="s">
        <v>262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67</v>
      </c>
      <c r="AT400">
        <f>$H$400*$Z$400</f>
        <v>67</v>
      </c>
      <c r="AU400">
        <f>$H$400*$AA$400</f>
        <v>67</v>
      </c>
      <c r="AV400">
        <f>$H$400*$AB$400</f>
        <v>67</v>
      </c>
      <c r="AW400">
        <f>$H$400*$AC$400</f>
        <v>67</v>
      </c>
      <c r="AX400">
        <f>$H$400*$AD$400</f>
        <v>67</v>
      </c>
      <c r="AY400">
        <f>$H$400*$AE$400</f>
        <v>67</v>
      </c>
      <c r="AZ400">
        <f>$H$400*$AF$400</f>
        <v>67</v>
      </c>
    </row>
    <row r="401" spans="1:52" x14ac:dyDescent="0.25">
      <c r="A401">
        <v>452</v>
      </c>
      <c r="B401" t="s">
        <v>261</v>
      </c>
      <c r="C401" t="s">
        <v>443</v>
      </c>
      <c r="D401">
        <v>1</v>
      </c>
      <c r="E401">
        <v>519.16999999999996</v>
      </c>
      <c r="F401" t="s">
        <v>317</v>
      </c>
      <c r="G401">
        <v>519.16999999999996</v>
      </c>
      <c r="H401">
        <v>623.01</v>
      </c>
      <c r="I401" t="s">
        <v>336</v>
      </c>
      <c r="J401" t="s">
        <v>444</v>
      </c>
      <c r="K401" t="s">
        <v>600</v>
      </c>
      <c r="L401" t="s">
        <v>178</v>
      </c>
      <c r="M401" t="s">
        <v>261</v>
      </c>
      <c r="N401" t="s">
        <v>12</v>
      </c>
      <c r="O401" t="s">
        <v>262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261</v>
      </c>
      <c r="AH401" t="s">
        <v>12</v>
      </c>
      <c r="AI401" t="s">
        <v>262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623.01</v>
      </c>
      <c r="AT401">
        <f>$H$401*$Z$401</f>
        <v>623.01</v>
      </c>
      <c r="AU401">
        <f>$H$401*$AA$401</f>
        <v>623.01</v>
      </c>
      <c r="AV401">
        <f>$H$401*$AB$401</f>
        <v>623.01</v>
      </c>
      <c r="AW401">
        <f>$H$401*$AC$401</f>
        <v>623.01</v>
      </c>
      <c r="AX401">
        <f>$H$401*$AD$401</f>
        <v>623.01</v>
      </c>
      <c r="AY401">
        <f>$H$401*$AE$401</f>
        <v>623.01</v>
      </c>
      <c r="AZ401">
        <f>$H$401*$AF$401</f>
        <v>623.01</v>
      </c>
    </row>
    <row r="402" spans="1:52" x14ac:dyDescent="0.25">
      <c r="A402">
        <v>453</v>
      </c>
      <c r="B402" t="s">
        <v>261</v>
      </c>
      <c r="C402" t="s">
        <v>450</v>
      </c>
      <c r="D402">
        <v>10</v>
      </c>
      <c r="E402">
        <v>65.7</v>
      </c>
      <c r="F402" t="s">
        <v>311</v>
      </c>
      <c r="G402">
        <v>6.57</v>
      </c>
      <c r="H402">
        <v>78.84</v>
      </c>
      <c r="I402" t="s">
        <v>325</v>
      </c>
      <c r="J402" t="s">
        <v>451</v>
      </c>
      <c r="K402" t="s">
        <v>604</v>
      </c>
      <c r="L402" t="s">
        <v>178</v>
      </c>
      <c r="M402" t="s">
        <v>261</v>
      </c>
      <c r="N402" t="s">
        <v>12</v>
      </c>
      <c r="O402" t="s">
        <v>262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1</v>
      </c>
      <c r="AF402">
        <v>1</v>
      </c>
      <c r="AG402" t="s">
        <v>261</v>
      </c>
      <c r="AH402" t="s">
        <v>12</v>
      </c>
      <c r="AI402" t="s">
        <v>262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0</v>
      </c>
      <c r="AV402">
        <f>$H$402*$AB$402</f>
        <v>0</v>
      </c>
      <c r="AW402">
        <f>$H$402*$AC$402</f>
        <v>0</v>
      </c>
      <c r="AX402">
        <f>$H$402*$AD$402</f>
        <v>78.84</v>
      </c>
      <c r="AY402">
        <f>$H$402*$AE$402</f>
        <v>78.84</v>
      </c>
      <c r="AZ402">
        <f>$H$402*$AF$402</f>
        <v>78.84</v>
      </c>
    </row>
    <row r="403" spans="1:52" x14ac:dyDescent="0.25">
      <c r="A403">
        <v>454</v>
      </c>
      <c r="B403" t="s">
        <v>261</v>
      </c>
      <c r="C403" t="s">
        <v>452</v>
      </c>
      <c r="D403">
        <v>1</v>
      </c>
      <c r="E403">
        <v>120.98</v>
      </c>
      <c r="F403" t="s">
        <v>317</v>
      </c>
      <c r="G403">
        <v>120.98</v>
      </c>
      <c r="H403">
        <v>145.18</v>
      </c>
      <c r="I403" t="s">
        <v>325</v>
      </c>
      <c r="J403" t="s">
        <v>453</v>
      </c>
      <c r="K403" t="s">
        <v>605</v>
      </c>
      <c r="L403" t="s">
        <v>178</v>
      </c>
      <c r="M403" t="s">
        <v>261</v>
      </c>
      <c r="N403" t="s">
        <v>12</v>
      </c>
      <c r="O403" t="s">
        <v>262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1</v>
      </c>
      <c r="AE403">
        <v>1</v>
      </c>
      <c r="AF403">
        <v>1</v>
      </c>
      <c r="AG403" t="s">
        <v>261</v>
      </c>
      <c r="AH403" t="s">
        <v>12</v>
      </c>
      <c r="AI403" t="s">
        <v>262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0</v>
      </c>
      <c r="AV403">
        <f>$H$403*$AB$403</f>
        <v>0</v>
      </c>
      <c r="AW403">
        <f>$H$403*$AC$403</f>
        <v>0</v>
      </c>
      <c r="AX403">
        <f>$H$403*$AD$403</f>
        <v>145.18</v>
      </c>
      <c r="AY403">
        <f>$H$403*$AE$403</f>
        <v>145.18</v>
      </c>
      <c r="AZ403">
        <f>$H$403*$AF$403</f>
        <v>145.18</v>
      </c>
    </row>
    <row r="404" spans="1:52" x14ac:dyDescent="0.25">
      <c r="A404">
        <v>455</v>
      </c>
      <c r="B404" t="s">
        <v>261</v>
      </c>
      <c r="C404" t="s">
        <v>491</v>
      </c>
      <c r="D404">
        <v>1</v>
      </c>
      <c r="E404">
        <v>89.45</v>
      </c>
      <c r="F404" t="s">
        <v>317</v>
      </c>
      <c r="G404">
        <v>89.45</v>
      </c>
      <c r="H404">
        <v>107.35</v>
      </c>
      <c r="I404" t="s">
        <v>322</v>
      </c>
      <c r="J404" t="s">
        <v>492</v>
      </c>
      <c r="K404" t="s">
        <v>625</v>
      </c>
      <c r="L404" t="s">
        <v>178</v>
      </c>
      <c r="M404" t="s">
        <v>261</v>
      </c>
      <c r="N404" t="s">
        <v>12</v>
      </c>
      <c r="O404" t="s">
        <v>262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1</v>
      </c>
      <c r="AF404">
        <v>1</v>
      </c>
      <c r="AG404" t="s">
        <v>261</v>
      </c>
      <c r="AH404" t="s">
        <v>12</v>
      </c>
      <c r="AI404" t="s">
        <v>262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0</v>
      </c>
      <c r="AV404">
        <f>$H$404*$AB$404</f>
        <v>0</v>
      </c>
      <c r="AW404">
        <f>$H$404*$AC$404</f>
        <v>0</v>
      </c>
      <c r="AX404">
        <f>$H$404*$AD$404</f>
        <v>107.35</v>
      </c>
      <c r="AY404">
        <f>$H$404*$AE$404</f>
        <v>107.35</v>
      </c>
      <c r="AZ404">
        <f>$H$404*$AF$404</f>
        <v>107.35</v>
      </c>
    </row>
    <row r="405" spans="1:52" x14ac:dyDescent="0.25">
      <c r="A405">
        <v>456</v>
      </c>
      <c r="B405" t="s">
        <v>261</v>
      </c>
      <c r="C405" t="s">
        <v>350</v>
      </c>
      <c r="D405">
        <v>1</v>
      </c>
      <c r="E405">
        <v>47.96</v>
      </c>
      <c r="F405" t="s">
        <v>317</v>
      </c>
      <c r="G405">
        <v>47.96</v>
      </c>
      <c r="H405">
        <v>57.56</v>
      </c>
      <c r="I405" t="s">
        <v>351</v>
      </c>
      <c r="J405" t="s">
        <v>352</v>
      </c>
      <c r="K405" t="s">
        <v>554</v>
      </c>
      <c r="L405" t="s">
        <v>178</v>
      </c>
      <c r="M405" t="s">
        <v>261</v>
      </c>
      <c r="N405" t="s">
        <v>12</v>
      </c>
      <c r="O405" t="s">
        <v>262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261</v>
      </c>
      <c r="AH405" t="s">
        <v>12</v>
      </c>
      <c r="AI405" t="s">
        <v>262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57.56</v>
      </c>
      <c r="AV405">
        <f>$H$405*$AB$405</f>
        <v>57.56</v>
      </c>
      <c r="AW405">
        <f>$H$405*$AC$405</f>
        <v>57.56</v>
      </c>
      <c r="AX405">
        <f>$H$405*$AD$405</f>
        <v>57.56</v>
      </c>
      <c r="AY405">
        <f>$H$405*$AE$405</f>
        <v>57.56</v>
      </c>
      <c r="AZ405">
        <f>$H$405*$AF$405</f>
        <v>57.56</v>
      </c>
    </row>
    <row r="406" spans="1:52" x14ac:dyDescent="0.25">
      <c r="A406">
        <v>457</v>
      </c>
      <c r="B406" t="s">
        <v>261</v>
      </c>
      <c r="C406" t="s">
        <v>358</v>
      </c>
      <c r="D406">
        <v>2</v>
      </c>
      <c r="E406">
        <v>77.86</v>
      </c>
      <c r="F406" t="s">
        <v>317</v>
      </c>
      <c r="G406">
        <v>38.93</v>
      </c>
      <c r="H406">
        <v>93.44</v>
      </c>
      <c r="I406" t="s">
        <v>312</v>
      </c>
      <c r="J406" t="s">
        <v>354</v>
      </c>
      <c r="K406" t="s">
        <v>557</v>
      </c>
      <c r="L406" t="s">
        <v>178</v>
      </c>
      <c r="M406" t="s">
        <v>261</v>
      </c>
      <c r="N406" t="s">
        <v>12</v>
      </c>
      <c r="O406" t="s">
        <v>262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261</v>
      </c>
      <c r="AH406" t="s">
        <v>12</v>
      </c>
      <c r="AI406" t="s">
        <v>262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93.44</v>
      </c>
      <c r="AN406">
        <f>$H$406*$T$406</f>
        <v>93.44</v>
      </c>
      <c r="AO406">
        <f>$H$406*$U$406</f>
        <v>93.44</v>
      </c>
      <c r="AP406">
        <f>$H$406*$V$406</f>
        <v>93.44</v>
      </c>
      <c r="AQ406">
        <f>$H$406*$W$406</f>
        <v>93.44</v>
      </c>
      <c r="AR406">
        <f>$H$406*$X$406</f>
        <v>93.44</v>
      </c>
      <c r="AS406">
        <f>$H$406*$Y$406</f>
        <v>93.44</v>
      </c>
      <c r="AT406">
        <f>$H$406*$Z$406</f>
        <v>93.44</v>
      </c>
      <c r="AU406">
        <f>$H$406*$AA$406</f>
        <v>93.44</v>
      </c>
      <c r="AV406">
        <f>$H$406*$AB$406</f>
        <v>93.44</v>
      </c>
      <c r="AW406">
        <f>$H$406*$AC$406</f>
        <v>93.44</v>
      </c>
      <c r="AX406">
        <f>$H$406*$AD$406</f>
        <v>93.44</v>
      </c>
      <c r="AY406">
        <f>$H$406*$AE$406</f>
        <v>93.44</v>
      </c>
      <c r="AZ406">
        <f>$H$406*$AF$406</f>
        <v>93.44</v>
      </c>
    </row>
    <row r="407" spans="1:52" x14ac:dyDescent="0.25">
      <c r="A407">
        <v>458</v>
      </c>
      <c r="B407" t="s">
        <v>261</v>
      </c>
      <c r="C407" t="s">
        <v>356</v>
      </c>
      <c r="D407">
        <v>2</v>
      </c>
      <c r="E407">
        <v>62.72</v>
      </c>
      <c r="F407" t="s">
        <v>317</v>
      </c>
      <c r="G407">
        <v>31.36</v>
      </c>
      <c r="H407">
        <v>75.260000000000005</v>
      </c>
      <c r="I407" t="s">
        <v>312</v>
      </c>
      <c r="J407" t="s">
        <v>357</v>
      </c>
      <c r="K407" t="s">
        <v>556</v>
      </c>
      <c r="L407" t="s">
        <v>178</v>
      </c>
      <c r="M407" t="s">
        <v>261</v>
      </c>
      <c r="N407" t="s">
        <v>12</v>
      </c>
      <c r="O407" t="s">
        <v>262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261</v>
      </c>
      <c r="AH407" t="s">
        <v>12</v>
      </c>
      <c r="AI407" t="s">
        <v>262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75.260000000000005</v>
      </c>
      <c r="AN407">
        <f>$H$407*$T$407</f>
        <v>75.260000000000005</v>
      </c>
      <c r="AO407">
        <f>$H$407*$U$407</f>
        <v>75.260000000000005</v>
      </c>
      <c r="AP407">
        <f>$H$407*$V$407</f>
        <v>75.260000000000005</v>
      </c>
      <c r="AQ407">
        <f>$H$407*$W$407</f>
        <v>75.260000000000005</v>
      </c>
      <c r="AR407">
        <f>$H$407*$X$407</f>
        <v>75.260000000000005</v>
      </c>
      <c r="AS407">
        <f>$H$407*$Y$407</f>
        <v>75.260000000000005</v>
      </c>
      <c r="AT407">
        <f>$H$407*$Z$407</f>
        <v>75.260000000000005</v>
      </c>
      <c r="AU407">
        <f>$H$407*$AA$407</f>
        <v>75.260000000000005</v>
      </c>
      <c r="AV407">
        <f>$H$407*$AB$407</f>
        <v>75.260000000000005</v>
      </c>
      <c r="AW407">
        <f>$H$407*$AC$407</f>
        <v>75.260000000000005</v>
      </c>
      <c r="AX407">
        <f>$H$407*$AD$407</f>
        <v>75.260000000000005</v>
      </c>
      <c r="AY407">
        <f>$H$407*$AE$407</f>
        <v>75.260000000000005</v>
      </c>
      <c r="AZ407">
        <f>$H$407*$AF$407</f>
        <v>75.260000000000005</v>
      </c>
    </row>
    <row r="408" spans="1:52" x14ac:dyDescent="0.25">
      <c r="A408">
        <v>459</v>
      </c>
      <c r="B408" t="s">
        <v>261</v>
      </c>
      <c r="C408" t="s">
        <v>353</v>
      </c>
      <c r="D408">
        <v>1</v>
      </c>
      <c r="E408">
        <v>365.09</v>
      </c>
      <c r="F408" t="s">
        <v>317</v>
      </c>
      <c r="G408">
        <v>365.09</v>
      </c>
      <c r="H408">
        <v>438.11</v>
      </c>
      <c r="I408" t="s">
        <v>354</v>
      </c>
      <c r="J408" t="s">
        <v>355</v>
      </c>
      <c r="K408" t="s">
        <v>555</v>
      </c>
      <c r="L408" t="s">
        <v>178</v>
      </c>
      <c r="M408" t="s">
        <v>261</v>
      </c>
      <c r="N408" t="s">
        <v>12</v>
      </c>
      <c r="O408" t="s">
        <v>262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261</v>
      </c>
      <c r="AH408" t="s">
        <v>12</v>
      </c>
      <c r="AI408" t="s">
        <v>262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438.11</v>
      </c>
      <c r="AO408">
        <f>$H$408*$U$408</f>
        <v>438.11</v>
      </c>
      <c r="AP408">
        <f>$H$408*$V$408</f>
        <v>438.11</v>
      </c>
      <c r="AQ408">
        <f>$H$408*$W$408</f>
        <v>438.11</v>
      </c>
      <c r="AR408">
        <f>$H$408*$X$408</f>
        <v>438.11</v>
      </c>
      <c r="AS408">
        <f>$H$408*$Y$408</f>
        <v>438.11</v>
      </c>
      <c r="AT408">
        <f>$H$408*$Z$408</f>
        <v>438.11</v>
      </c>
      <c r="AU408">
        <f>$H$408*$AA$408</f>
        <v>438.11</v>
      </c>
      <c r="AV408">
        <f>$H$408*$AB$408</f>
        <v>438.11</v>
      </c>
      <c r="AW408">
        <f>$H$408*$AC$408</f>
        <v>438.11</v>
      </c>
      <c r="AX408">
        <f>$H$408*$AD$408</f>
        <v>438.11</v>
      </c>
      <c r="AY408">
        <f>$H$408*$AE$408</f>
        <v>438.11</v>
      </c>
      <c r="AZ408">
        <f>$H$408*$AF$408</f>
        <v>438.11</v>
      </c>
    </row>
    <row r="409" spans="1:52" x14ac:dyDescent="0.25">
      <c r="A409">
        <v>460</v>
      </c>
      <c r="B409" t="s">
        <v>261</v>
      </c>
      <c r="C409" t="s">
        <v>458</v>
      </c>
      <c r="D409">
        <v>3</v>
      </c>
      <c r="E409">
        <v>693.9</v>
      </c>
      <c r="F409" t="s">
        <v>311</v>
      </c>
      <c r="G409">
        <v>231.3</v>
      </c>
      <c r="H409">
        <v>832.68</v>
      </c>
      <c r="I409" t="s">
        <v>459</v>
      </c>
      <c r="J409" t="s">
        <v>460</v>
      </c>
      <c r="K409" t="s">
        <v>608</v>
      </c>
      <c r="L409" t="s">
        <v>178</v>
      </c>
      <c r="M409" t="s">
        <v>261</v>
      </c>
      <c r="N409" t="s">
        <v>12</v>
      </c>
      <c r="O409" t="s">
        <v>262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261</v>
      </c>
      <c r="AH409" t="s">
        <v>12</v>
      </c>
      <c r="AI409" t="s">
        <v>262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832.68</v>
      </c>
      <c r="AO409">
        <f>$H$409*$U$409</f>
        <v>832.68</v>
      </c>
      <c r="AP409">
        <f>$H$409*$V$409</f>
        <v>832.68</v>
      </c>
      <c r="AQ409">
        <f>$H$409*$W$409</f>
        <v>832.68</v>
      </c>
      <c r="AR409">
        <f>$H$409*$X$409</f>
        <v>832.68</v>
      </c>
      <c r="AS409">
        <f>$H$409*$Y$409</f>
        <v>832.68</v>
      </c>
      <c r="AT409">
        <f>$H$409*$Z$409</f>
        <v>832.68</v>
      </c>
      <c r="AU409">
        <f>$H$409*$AA$409</f>
        <v>832.68</v>
      </c>
      <c r="AV409">
        <f>$H$409*$AB$409</f>
        <v>832.68</v>
      </c>
      <c r="AW409">
        <f>$H$409*$AC$409</f>
        <v>832.68</v>
      </c>
      <c r="AX409">
        <f>$H$409*$AD$409</f>
        <v>832.68</v>
      </c>
      <c r="AY409">
        <f>$H$409*$AE$409</f>
        <v>832.68</v>
      </c>
      <c r="AZ409">
        <f>$H$409*$AF$409</f>
        <v>832.68</v>
      </c>
    </row>
    <row r="410" spans="1:52" x14ac:dyDescent="0.25">
      <c r="A410">
        <v>461</v>
      </c>
      <c r="B410" t="s">
        <v>261</v>
      </c>
      <c r="C410" t="s">
        <v>461</v>
      </c>
      <c r="D410">
        <v>3</v>
      </c>
      <c r="E410">
        <v>28.92</v>
      </c>
      <c r="F410" t="s">
        <v>311</v>
      </c>
      <c r="G410">
        <v>9.64</v>
      </c>
      <c r="H410">
        <v>34.700000000000003</v>
      </c>
      <c r="I410" t="s">
        <v>459</v>
      </c>
      <c r="J410" t="s">
        <v>462</v>
      </c>
      <c r="K410" t="s">
        <v>609</v>
      </c>
      <c r="L410" t="s">
        <v>178</v>
      </c>
      <c r="M410" t="s">
        <v>261</v>
      </c>
      <c r="N410" t="s">
        <v>12</v>
      </c>
      <c r="O410" t="s">
        <v>262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261</v>
      </c>
      <c r="AH410" t="s">
        <v>12</v>
      </c>
      <c r="AI410" t="s">
        <v>262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0</v>
      </c>
      <c r="AS410">
        <f>$H$410*$Y$410</f>
        <v>0</v>
      </c>
      <c r="AT410">
        <f>$H$410*$Z$410</f>
        <v>34.700000000000003</v>
      </c>
      <c r="AU410">
        <f>$H$410*$AA$410</f>
        <v>34.700000000000003</v>
      </c>
      <c r="AV410">
        <f>$H$410*$AB$410</f>
        <v>34.700000000000003</v>
      </c>
      <c r="AW410">
        <f>$H$410*$AC$410</f>
        <v>34.700000000000003</v>
      </c>
      <c r="AX410">
        <f>$H$410*$AD$410</f>
        <v>34.700000000000003</v>
      </c>
      <c r="AY410">
        <f>$H$410*$AE$410</f>
        <v>34.700000000000003</v>
      </c>
      <c r="AZ410">
        <f>$H$410*$AF$410</f>
        <v>34.700000000000003</v>
      </c>
    </row>
    <row r="411" spans="1:52" x14ac:dyDescent="0.25">
      <c r="A411">
        <v>462</v>
      </c>
      <c r="B411" t="s">
        <v>261</v>
      </c>
      <c r="C411" t="s">
        <v>463</v>
      </c>
      <c r="D411">
        <v>3</v>
      </c>
      <c r="E411">
        <v>143.07</v>
      </c>
      <c r="F411" t="s">
        <v>311</v>
      </c>
      <c r="G411">
        <v>47.69</v>
      </c>
      <c r="H411">
        <v>171.69</v>
      </c>
      <c r="I411" t="s">
        <v>459</v>
      </c>
      <c r="J411" t="s">
        <v>464</v>
      </c>
      <c r="K411" t="s">
        <v>610</v>
      </c>
      <c r="L411" t="s">
        <v>178</v>
      </c>
      <c r="M411" t="s">
        <v>261</v>
      </c>
      <c r="N411" t="s">
        <v>12</v>
      </c>
      <c r="O411" t="s">
        <v>262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261</v>
      </c>
      <c r="AH411" t="s">
        <v>12</v>
      </c>
      <c r="AI411" t="s">
        <v>262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0</v>
      </c>
      <c r="AT411">
        <f>$H$411*$Z$411</f>
        <v>171.69</v>
      </c>
      <c r="AU411">
        <f>$H$411*$AA$411</f>
        <v>171.69</v>
      </c>
      <c r="AV411">
        <f>$H$411*$AB$411</f>
        <v>171.69</v>
      </c>
      <c r="AW411">
        <f>$H$411*$AC$411</f>
        <v>171.69</v>
      </c>
      <c r="AX411">
        <f>$H$411*$AD$411</f>
        <v>171.69</v>
      </c>
      <c r="AY411">
        <f>$H$411*$AE$411</f>
        <v>171.69</v>
      </c>
      <c r="AZ411">
        <f>$H$411*$AF$411</f>
        <v>171.69</v>
      </c>
    </row>
    <row r="412" spans="1:52" x14ac:dyDescent="0.25">
      <c r="A412">
        <v>463</v>
      </c>
      <c r="B412" t="s">
        <v>261</v>
      </c>
      <c r="C412" t="s">
        <v>465</v>
      </c>
      <c r="D412">
        <v>1</v>
      </c>
      <c r="E412">
        <v>226.94</v>
      </c>
      <c r="F412" t="s">
        <v>317</v>
      </c>
      <c r="G412">
        <v>226.94</v>
      </c>
      <c r="H412">
        <v>272.32</v>
      </c>
      <c r="I412" t="s">
        <v>336</v>
      </c>
      <c r="J412" t="s">
        <v>466</v>
      </c>
      <c r="K412" t="s">
        <v>611</v>
      </c>
      <c r="L412" t="s">
        <v>178</v>
      </c>
      <c r="M412" t="s">
        <v>261</v>
      </c>
      <c r="N412" t="s">
        <v>12</v>
      </c>
      <c r="O412" t="s">
        <v>262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261</v>
      </c>
      <c r="AH412" t="s">
        <v>12</v>
      </c>
      <c r="AI412" t="s">
        <v>262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0</v>
      </c>
      <c r="AO412">
        <f>$H$412*$U$412</f>
        <v>0</v>
      </c>
      <c r="AP412">
        <f>$H$412*$V$412</f>
        <v>0</v>
      </c>
      <c r="AQ412">
        <f>$H$412*$W$412</f>
        <v>0</v>
      </c>
      <c r="AR412">
        <f>$H$412*$X$412</f>
        <v>0</v>
      </c>
      <c r="AS412">
        <f>$H$412*$Y$412</f>
        <v>0</v>
      </c>
      <c r="AT412">
        <f>$H$412*$Z$412</f>
        <v>0</v>
      </c>
      <c r="AU412">
        <f>$H$412*$AA$412</f>
        <v>272.32</v>
      </c>
      <c r="AV412">
        <f>$H$412*$AB$412</f>
        <v>272.32</v>
      </c>
      <c r="AW412">
        <f>$H$412*$AC$412</f>
        <v>272.32</v>
      </c>
      <c r="AX412">
        <f>$H$412*$AD$412</f>
        <v>272.32</v>
      </c>
      <c r="AY412">
        <f>$H$412*$AE$412</f>
        <v>272.32</v>
      </c>
      <c r="AZ412">
        <f>$H$412*$AF$412</f>
        <v>272.32</v>
      </c>
    </row>
    <row r="413" spans="1:52" x14ac:dyDescent="0.25">
      <c r="A413">
        <v>464</v>
      </c>
      <c r="B413" t="s">
        <v>261</v>
      </c>
      <c r="C413" t="s">
        <v>439</v>
      </c>
      <c r="D413">
        <v>0.75</v>
      </c>
      <c r="E413">
        <v>432.23</v>
      </c>
      <c r="F413" t="s">
        <v>317</v>
      </c>
      <c r="G413">
        <v>576.30999999999995</v>
      </c>
      <c r="H413">
        <v>518.66999999999996</v>
      </c>
      <c r="I413" t="s">
        <v>336</v>
      </c>
      <c r="J413" t="s">
        <v>440</v>
      </c>
      <c r="K413" t="s">
        <v>598</v>
      </c>
      <c r="L413" t="s">
        <v>178</v>
      </c>
      <c r="M413" t="s">
        <v>261</v>
      </c>
      <c r="N413" t="s">
        <v>12</v>
      </c>
      <c r="O413" t="s">
        <v>262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261</v>
      </c>
      <c r="AH413" t="s">
        <v>12</v>
      </c>
      <c r="AI413" t="s">
        <v>262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0</v>
      </c>
      <c r="AT413">
        <f>$H$413*$Z$413</f>
        <v>0</v>
      </c>
      <c r="AU413">
        <f>$H$413*$AA$413</f>
        <v>518.66999999999996</v>
      </c>
      <c r="AV413">
        <f>$H$413*$AB$413</f>
        <v>518.66999999999996</v>
      </c>
      <c r="AW413">
        <f>$H$413*$AC$413</f>
        <v>518.66999999999996</v>
      </c>
      <c r="AX413">
        <f>$H$413*$AD$413</f>
        <v>518.66999999999996</v>
      </c>
      <c r="AY413">
        <f>$H$413*$AE$413</f>
        <v>518.66999999999996</v>
      </c>
      <c r="AZ413">
        <f>$H$413*$AF$413</f>
        <v>518.66999999999996</v>
      </c>
    </row>
    <row r="414" spans="1:52" x14ac:dyDescent="0.25">
      <c r="A414">
        <v>465</v>
      </c>
      <c r="B414" t="s">
        <v>261</v>
      </c>
      <c r="C414" t="s">
        <v>439</v>
      </c>
      <c r="D414">
        <v>0.25</v>
      </c>
      <c r="E414">
        <v>144.08000000000001</v>
      </c>
      <c r="F414" t="s">
        <v>317</v>
      </c>
      <c r="G414">
        <v>576.30999999999995</v>
      </c>
      <c r="H414">
        <v>172.9</v>
      </c>
      <c r="I414" t="s">
        <v>336</v>
      </c>
      <c r="J414" t="s">
        <v>440</v>
      </c>
      <c r="K414" t="s">
        <v>598</v>
      </c>
      <c r="L414" t="s">
        <v>178</v>
      </c>
      <c r="M414" t="s">
        <v>261</v>
      </c>
      <c r="N414" t="s">
        <v>12</v>
      </c>
      <c r="O414" t="s">
        <v>262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261</v>
      </c>
      <c r="AH414" t="s">
        <v>12</v>
      </c>
      <c r="AI414" t="s">
        <v>262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0</v>
      </c>
      <c r="AO414">
        <f>$H$414*$U$414</f>
        <v>0</v>
      </c>
      <c r="AP414">
        <f>$H$414*$V$414</f>
        <v>0</v>
      </c>
      <c r="AQ414">
        <f>$H$414*$W$414</f>
        <v>0</v>
      </c>
      <c r="AR414">
        <f>$H$414*$X$414</f>
        <v>0</v>
      </c>
      <c r="AS414">
        <f>$H$414*$Y$414</f>
        <v>0</v>
      </c>
      <c r="AT414">
        <f>$H$414*$Z$414</f>
        <v>0</v>
      </c>
      <c r="AU414">
        <f>$H$414*$AA$414</f>
        <v>172.9</v>
      </c>
      <c r="AV414">
        <f>$H$414*$AB$414</f>
        <v>172.9</v>
      </c>
      <c r="AW414">
        <f>$H$414*$AC$414</f>
        <v>172.9</v>
      </c>
      <c r="AX414">
        <f>$H$414*$AD$414</f>
        <v>172.9</v>
      </c>
      <c r="AY414">
        <f>$H$414*$AE$414</f>
        <v>172.9</v>
      </c>
      <c r="AZ414">
        <f>$H$414*$AF$414</f>
        <v>172.9</v>
      </c>
    </row>
    <row r="415" spans="1:52" x14ac:dyDescent="0.25">
      <c r="A415">
        <v>466</v>
      </c>
      <c r="B415" t="s">
        <v>261</v>
      </c>
      <c r="C415" t="s">
        <v>467</v>
      </c>
      <c r="D415">
        <v>1</v>
      </c>
      <c r="E415">
        <v>291.27999999999997</v>
      </c>
      <c r="F415" t="s">
        <v>317</v>
      </c>
      <c r="G415">
        <v>291.27999999999997</v>
      </c>
      <c r="H415">
        <v>349.54</v>
      </c>
      <c r="I415" t="s">
        <v>336</v>
      </c>
      <c r="J415" t="s">
        <v>468</v>
      </c>
      <c r="K415" t="s">
        <v>612</v>
      </c>
      <c r="L415" t="s">
        <v>178</v>
      </c>
      <c r="M415" t="s">
        <v>261</v>
      </c>
      <c r="N415" t="s">
        <v>12</v>
      </c>
      <c r="O415" t="s">
        <v>262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261</v>
      </c>
      <c r="AH415" t="s">
        <v>12</v>
      </c>
      <c r="AI415" t="s">
        <v>262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349.54</v>
      </c>
      <c r="AV415">
        <f>$H$415*$AB$415</f>
        <v>349.54</v>
      </c>
      <c r="AW415">
        <f>$H$415*$AC$415</f>
        <v>349.54</v>
      </c>
      <c r="AX415">
        <f>$H$415*$AD$415</f>
        <v>349.54</v>
      </c>
      <c r="AY415">
        <f>$H$415*$AE$415</f>
        <v>349.54</v>
      </c>
      <c r="AZ415">
        <f>$H$415*$AF$415</f>
        <v>349.54</v>
      </c>
    </row>
    <row r="416" spans="1:52" x14ac:dyDescent="0.25">
      <c r="A416">
        <v>467</v>
      </c>
      <c r="B416" t="s">
        <v>261</v>
      </c>
      <c r="C416" t="s">
        <v>345</v>
      </c>
      <c r="D416">
        <v>205.33</v>
      </c>
      <c r="E416">
        <v>201.22</v>
      </c>
      <c r="F416" t="s">
        <v>335</v>
      </c>
      <c r="G416">
        <v>0.98</v>
      </c>
      <c r="H416">
        <v>241.46</v>
      </c>
      <c r="I416" t="s">
        <v>312</v>
      </c>
      <c r="J416" t="s">
        <v>346</v>
      </c>
      <c r="K416" t="s">
        <v>552</v>
      </c>
      <c r="L416" t="s">
        <v>178</v>
      </c>
      <c r="M416" t="s">
        <v>261</v>
      </c>
      <c r="N416" t="s">
        <v>12</v>
      </c>
      <c r="O416" t="s">
        <v>262</v>
      </c>
      <c r="P416">
        <v>0</v>
      </c>
      <c r="Q416">
        <v>0</v>
      </c>
      <c r="R416">
        <v>0</v>
      </c>
      <c r="S416">
        <v>0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261</v>
      </c>
      <c r="AH416" t="s">
        <v>12</v>
      </c>
      <c r="AI416" t="s">
        <v>262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241.46</v>
      </c>
      <c r="AO416">
        <f>$H$416*$U$416</f>
        <v>241.46</v>
      </c>
      <c r="AP416">
        <f>$H$416*$V$416</f>
        <v>241.46</v>
      </c>
      <c r="AQ416">
        <f>$H$416*$W$416</f>
        <v>241.46</v>
      </c>
      <c r="AR416">
        <f>$H$416*$X$416</f>
        <v>241.46</v>
      </c>
      <c r="AS416">
        <f>$H$416*$Y$416</f>
        <v>241.46</v>
      </c>
      <c r="AT416">
        <f>$H$416*$Z$416</f>
        <v>241.46</v>
      </c>
      <c r="AU416">
        <f>$H$416*$AA$416</f>
        <v>241.46</v>
      </c>
      <c r="AV416">
        <f>$H$416*$AB$416</f>
        <v>241.46</v>
      </c>
      <c r="AW416">
        <f>$H$416*$AC$416</f>
        <v>241.46</v>
      </c>
      <c r="AX416">
        <f>$H$416*$AD$416</f>
        <v>241.46</v>
      </c>
      <c r="AY416">
        <f>$H$416*$AE$416</f>
        <v>241.46</v>
      </c>
      <c r="AZ416">
        <f>$H$416*$AF$416</f>
        <v>241.46</v>
      </c>
    </row>
    <row r="417" spans="1:52" x14ac:dyDescent="0.25">
      <c r="A417">
        <v>468</v>
      </c>
      <c r="B417" t="s">
        <v>261</v>
      </c>
      <c r="C417" t="s">
        <v>400</v>
      </c>
      <c r="D417">
        <v>205.33</v>
      </c>
      <c r="E417">
        <v>689.91</v>
      </c>
      <c r="F417" t="s">
        <v>335</v>
      </c>
      <c r="G417">
        <v>3.36</v>
      </c>
      <c r="H417">
        <v>827.89</v>
      </c>
      <c r="I417" t="s">
        <v>348</v>
      </c>
      <c r="J417" t="s">
        <v>401</v>
      </c>
      <c r="K417" t="s">
        <v>579</v>
      </c>
      <c r="L417" t="s">
        <v>178</v>
      </c>
      <c r="M417" t="s">
        <v>261</v>
      </c>
      <c r="N417" t="s">
        <v>12</v>
      </c>
      <c r="O417" t="s">
        <v>262</v>
      </c>
      <c r="P417">
        <v>0</v>
      </c>
      <c r="Q417">
        <v>0</v>
      </c>
      <c r="R417">
        <v>0</v>
      </c>
      <c r="S417">
        <v>0.25</v>
      </c>
      <c r="T417">
        <v>0.25</v>
      </c>
      <c r="U417">
        <v>0.25</v>
      </c>
      <c r="V417">
        <v>0.25</v>
      </c>
      <c r="W417">
        <v>0.5</v>
      </c>
      <c r="X417">
        <v>0.5</v>
      </c>
      <c r="Y417">
        <v>0.5</v>
      </c>
      <c r="Z417">
        <v>0.5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261</v>
      </c>
      <c r="AH417" t="s">
        <v>12</v>
      </c>
      <c r="AI417" t="s">
        <v>262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206.9725</v>
      </c>
      <c r="AN417">
        <f>$H$417*$T$417</f>
        <v>206.9725</v>
      </c>
      <c r="AO417">
        <f>$H$417*$U$417</f>
        <v>206.9725</v>
      </c>
      <c r="AP417">
        <f>$H$417*$V$417</f>
        <v>206.9725</v>
      </c>
      <c r="AQ417">
        <f>$H$417*$W$417</f>
        <v>413.94499999999999</v>
      </c>
      <c r="AR417">
        <f>$H$417*$X$417</f>
        <v>413.94499999999999</v>
      </c>
      <c r="AS417">
        <f>$H$417*$Y$417</f>
        <v>413.94499999999999</v>
      </c>
      <c r="AT417">
        <f>$H$417*$Z$417</f>
        <v>413.94499999999999</v>
      </c>
      <c r="AU417">
        <f>$H$417*$AA$417</f>
        <v>827.89</v>
      </c>
      <c r="AV417">
        <f>$H$417*$AB$417</f>
        <v>827.89</v>
      </c>
      <c r="AW417">
        <f>$H$417*$AC$417</f>
        <v>827.89</v>
      </c>
      <c r="AX417">
        <f>$H$417*$AD$417</f>
        <v>827.89</v>
      </c>
      <c r="AY417">
        <f>$H$417*$AE$417</f>
        <v>827.89</v>
      </c>
      <c r="AZ417">
        <f>$H$417*$AF$417</f>
        <v>827.89</v>
      </c>
    </row>
    <row r="418" spans="1:52" x14ac:dyDescent="0.25">
      <c r="A418">
        <v>469</v>
      </c>
      <c r="B418" t="s">
        <v>261</v>
      </c>
      <c r="C418" t="s">
        <v>402</v>
      </c>
      <c r="D418">
        <v>25.67</v>
      </c>
      <c r="E418">
        <v>38.76</v>
      </c>
      <c r="F418" t="s">
        <v>311</v>
      </c>
      <c r="G418">
        <v>1.51</v>
      </c>
      <c r="H418">
        <v>46.52</v>
      </c>
      <c r="I418" t="s">
        <v>312</v>
      </c>
      <c r="J418" t="s">
        <v>403</v>
      </c>
      <c r="K418" t="s">
        <v>580</v>
      </c>
      <c r="L418" t="s">
        <v>178</v>
      </c>
      <c r="M418" t="s">
        <v>261</v>
      </c>
      <c r="N418" t="s">
        <v>12</v>
      </c>
      <c r="O418" t="s">
        <v>262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261</v>
      </c>
      <c r="AH418" t="s">
        <v>12</v>
      </c>
      <c r="AI418" t="s">
        <v>262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46.52</v>
      </c>
      <c r="AN418">
        <f>$H$418*$T$418</f>
        <v>46.52</v>
      </c>
      <c r="AO418">
        <f>$H$418*$U$418</f>
        <v>46.52</v>
      </c>
      <c r="AP418">
        <f>$H$418*$V$418</f>
        <v>46.52</v>
      </c>
      <c r="AQ418">
        <f>$H$418*$W$418</f>
        <v>46.52</v>
      </c>
      <c r="AR418">
        <f>$H$418*$X$418</f>
        <v>46.52</v>
      </c>
      <c r="AS418">
        <f>$H$418*$Y$418</f>
        <v>46.52</v>
      </c>
      <c r="AT418">
        <f>$H$418*$Z$418</f>
        <v>46.52</v>
      </c>
      <c r="AU418">
        <f>$H$418*$AA$418</f>
        <v>46.52</v>
      </c>
      <c r="AV418">
        <f>$H$418*$AB$418</f>
        <v>46.52</v>
      </c>
      <c r="AW418">
        <f>$H$418*$AC$418</f>
        <v>46.52</v>
      </c>
      <c r="AX418">
        <f>$H$418*$AD$418</f>
        <v>46.52</v>
      </c>
      <c r="AY418">
        <f>$H$418*$AE$418</f>
        <v>46.52</v>
      </c>
      <c r="AZ418">
        <f>$H$418*$AF$418</f>
        <v>46.52</v>
      </c>
    </row>
    <row r="419" spans="1:52" x14ac:dyDescent="0.25">
      <c r="A419">
        <v>470</v>
      </c>
      <c r="B419" t="s">
        <v>261</v>
      </c>
      <c r="C419" t="s">
        <v>404</v>
      </c>
      <c r="D419">
        <v>25.67</v>
      </c>
      <c r="E419">
        <v>145.81</v>
      </c>
      <c r="F419" t="s">
        <v>311</v>
      </c>
      <c r="G419">
        <v>5.68</v>
      </c>
      <c r="H419">
        <v>174.97</v>
      </c>
      <c r="I419" t="s">
        <v>315</v>
      </c>
      <c r="J419" t="s">
        <v>405</v>
      </c>
      <c r="K419" t="s">
        <v>581</v>
      </c>
      <c r="L419" t="s">
        <v>178</v>
      </c>
      <c r="M419" t="s">
        <v>261</v>
      </c>
      <c r="N419" t="s">
        <v>12</v>
      </c>
      <c r="O419" t="s">
        <v>262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261</v>
      </c>
      <c r="AH419" t="s">
        <v>12</v>
      </c>
      <c r="AI419" t="s">
        <v>262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174.97</v>
      </c>
      <c r="AN419">
        <f>$H$419*$T$419</f>
        <v>174.97</v>
      </c>
      <c r="AO419">
        <f>$H$419*$U$419</f>
        <v>174.97</v>
      </c>
      <c r="AP419">
        <f>$H$419*$V$419</f>
        <v>174.97</v>
      </c>
      <c r="AQ419">
        <f>$H$419*$W$419</f>
        <v>174.97</v>
      </c>
      <c r="AR419">
        <f>$H$419*$X$419</f>
        <v>174.97</v>
      </c>
      <c r="AS419">
        <f>$H$419*$Y$419</f>
        <v>174.97</v>
      </c>
      <c r="AT419">
        <f>$H$419*$Z$419</f>
        <v>174.97</v>
      </c>
      <c r="AU419">
        <f>$H$419*$AA$419</f>
        <v>174.97</v>
      </c>
      <c r="AV419">
        <f>$H$419*$AB$419</f>
        <v>174.97</v>
      </c>
      <c r="AW419">
        <f>$H$419*$AC$419</f>
        <v>174.97</v>
      </c>
      <c r="AX419">
        <f>$H$419*$AD$419</f>
        <v>174.97</v>
      </c>
      <c r="AY419">
        <f>$H$419*$AE$419</f>
        <v>174.97</v>
      </c>
      <c r="AZ419">
        <f>$H$419*$AF$419</f>
        <v>174.97</v>
      </c>
    </row>
    <row r="420" spans="1:52" x14ac:dyDescent="0.25">
      <c r="A420">
        <v>471</v>
      </c>
      <c r="B420" t="s">
        <v>261</v>
      </c>
      <c r="C420" t="s">
        <v>400</v>
      </c>
      <c r="D420">
        <v>38.92</v>
      </c>
      <c r="E420">
        <v>130.77000000000001</v>
      </c>
      <c r="F420" t="s">
        <v>335</v>
      </c>
      <c r="G420">
        <v>3.36</v>
      </c>
      <c r="H420">
        <v>156.93</v>
      </c>
      <c r="I420" t="s">
        <v>348</v>
      </c>
      <c r="J420" t="s">
        <v>401</v>
      </c>
      <c r="K420" t="s">
        <v>579</v>
      </c>
      <c r="L420" t="s">
        <v>178</v>
      </c>
      <c r="M420" t="s">
        <v>261</v>
      </c>
      <c r="N420" t="s">
        <v>12</v>
      </c>
      <c r="O420" t="s">
        <v>262</v>
      </c>
      <c r="P420">
        <v>0</v>
      </c>
      <c r="Q420">
        <v>0</v>
      </c>
      <c r="R420">
        <v>0</v>
      </c>
      <c r="S420">
        <v>0.25</v>
      </c>
      <c r="T420">
        <v>0.25</v>
      </c>
      <c r="U420">
        <v>0.25</v>
      </c>
      <c r="V420">
        <v>0.25</v>
      </c>
      <c r="W420">
        <v>0.5</v>
      </c>
      <c r="X420">
        <v>0.5</v>
      </c>
      <c r="Y420">
        <v>0.5</v>
      </c>
      <c r="Z420">
        <v>0.5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261</v>
      </c>
      <c r="AH420" t="s">
        <v>12</v>
      </c>
      <c r="AI420" t="s">
        <v>262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39.232500000000002</v>
      </c>
      <c r="AN420">
        <f>$H$420*$T$420</f>
        <v>39.232500000000002</v>
      </c>
      <c r="AO420">
        <f>$H$420*$U$420</f>
        <v>39.232500000000002</v>
      </c>
      <c r="AP420">
        <f>$H$420*$V$420</f>
        <v>39.232500000000002</v>
      </c>
      <c r="AQ420">
        <f>$H$420*$W$420</f>
        <v>78.465000000000003</v>
      </c>
      <c r="AR420">
        <f>$H$420*$X$420</f>
        <v>78.465000000000003</v>
      </c>
      <c r="AS420">
        <f>$H$420*$Y$420</f>
        <v>78.465000000000003</v>
      </c>
      <c r="AT420">
        <f>$H$420*$Z$420</f>
        <v>78.465000000000003</v>
      </c>
      <c r="AU420">
        <f>$H$420*$AA$420</f>
        <v>156.93</v>
      </c>
      <c r="AV420">
        <f>$H$420*$AB$420</f>
        <v>156.93</v>
      </c>
      <c r="AW420">
        <f>$H$420*$AC$420</f>
        <v>156.93</v>
      </c>
      <c r="AX420">
        <f>$H$420*$AD$420</f>
        <v>156.93</v>
      </c>
      <c r="AY420">
        <f>$H$420*$AE$420</f>
        <v>156.93</v>
      </c>
      <c r="AZ420">
        <f>$H$420*$AF$420</f>
        <v>156.93</v>
      </c>
    </row>
    <row r="421" spans="1:52" x14ac:dyDescent="0.25">
      <c r="A421">
        <v>472</v>
      </c>
      <c r="B421" t="s">
        <v>261</v>
      </c>
      <c r="C421" t="s">
        <v>406</v>
      </c>
      <c r="D421">
        <v>38.92</v>
      </c>
      <c r="E421">
        <v>24.52</v>
      </c>
      <c r="F421" t="s">
        <v>335</v>
      </c>
      <c r="G421">
        <v>0.63</v>
      </c>
      <c r="H421">
        <v>29.42</v>
      </c>
      <c r="I421" t="s">
        <v>312</v>
      </c>
      <c r="J421" t="s">
        <v>407</v>
      </c>
      <c r="K421" t="s">
        <v>582</v>
      </c>
      <c r="L421" t="s">
        <v>178</v>
      </c>
      <c r="M421" t="s">
        <v>261</v>
      </c>
      <c r="N421" t="s">
        <v>12</v>
      </c>
      <c r="O421" t="s">
        <v>262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1</v>
      </c>
      <c r="AE421">
        <v>1</v>
      </c>
      <c r="AF421">
        <v>1</v>
      </c>
      <c r="AG421" t="s">
        <v>261</v>
      </c>
      <c r="AH421" t="s">
        <v>12</v>
      </c>
      <c r="AI421" t="s">
        <v>262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0</v>
      </c>
      <c r="AN421">
        <f>$H$421*$T$421</f>
        <v>0</v>
      </c>
      <c r="AO421">
        <f>$H$421*$U$421</f>
        <v>0</v>
      </c>
      <c r="AP421">
        <f>$H$421*$V$421</f>
        <v>0</v>
      </c>
      <c r="AQ421">
        <f>$H$421*$W$421</f>
        <v>0</v>
      </c>
      <c r="AR421">
        <f>$H$421*$X$421</f>
        <v>0</v>
      </c>
      <c r="AS421">
        <f>$H$421*$Y$421</f>
        <v>0</v>
      </c>
      <c r="AT421">
        <f>$H$421*$Z$421</f>
        <v>0</v>
      </c>
      <c r="AU421">
        <f>$H$421*$AA$421</f>
        <v>0</v>
      </c>
      <c r="AV421">
        <f>$H$421*$AB$421</f>
        <v>0</v>
      </c>
      <c r="AW421">
        <f>$H$421*$AC$421</f>
        <v>0</v>
      </c>
      <c r="AX421">
        <f>$H$421*$AD$421</f>
        <v>29.42</v>
      </c>
      <c r="AY421">
        <f>$H$421*$AE$421</f>
        <v>29.42</v>
      </c>
      <c r="AZ421">
        <f>$H$421*$AF$421</f>
        <v>29.42</v>
      </c>
    </row>
    <row r="422" spans="1:52" x14ac:dyDescent="0.25">
      <c r="A422">
        <v>473</v>
      </c>
      <c r="B422" t="s">
        <v>261</v>
      </c>
      <c r="C422" t="s">
        <v>408</v>
      </c>
      <c r="D422">
        <v>38.92</v>
      </c>
      <c r="E422">
        <v>26.85</v>
      </c>
      <c r="F422" t="s">
        <v>335</v>
      </c>
      <c r="G422">
        <v>0.69</v>
      </c>
      <c r="H422">
        <v>32.229999999999997</v>
      </c>
      <c r="I422" t="s">
        <v>312</v>
      </c>
      <c r="J422" t="s">
        <v>409</v>
      </c>
      <c r="K422" t="s">
        <v>583</v>
      </c>
      <c r="L422" t="s">
        <v>178</v>
      </c>
      <c r="M422" t="s">
        <v>261</v>
      </c>
      <c r="N422" t="s">
        <v>12</v>
      </c>
      <c r="O422" t="s">
        <v>262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261</v>
      </c>
      <c r="AH422" t="s">
        <v>12</v>
      </c>
      <c r="AI422" t="s">
        <v>262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32.229999999999997</v>
      </c>
      <c r="AN422">
        <f>$H$422*$T$422</f>
        <v>32.229999999999997</v>
      </c>
      <c r="AO422">
        <f>$H$422*$U$422</f>
        <v>32.229999999999997</v>
      </c>
      <c r="AP422">
        <f>$H$422*$V$422</f>
        <v>32.229999999999997</v>
      </c>
      <c r="AQ422">
        <f>$H$422*$W$422</f>
        <v>32.229999999999997</v>
      </c>
      <c r="AR422">
        <f>$H$422*$X$422</f>
        <v>32.229999999999997</v>
      </c>
      <c r="AS422">
        <f>$H$422*$Y$422</f>
        <v>32.229999999999997</v>
      </c>
      <c r="AT422">
        <f>$H$422*$Z$422</f>
        <v>32.229999999999997</v>
      </c>
      <c r="AU422">
        <f>$H$422*$AA$422</f>
        <v>32.229999999999997</v>
      </c>
      <c r="AV422">
        <f>$H$422*$AB$422</f>
        <v>32.229999999999997</v>
      </c>
      <c r="AW422">
        <f>$H$422*$AC$422</f>
        <v>32.229999999999997</v>
      </c>
      <c r="AX422">
        <f>$H$422*$AD$422</f>
        <v>32.229999999999997</v>
      </c>
      <c r="AY422">
        <f>$H$422*$AE$422</f>
        <v>32.229999999999997</v>
      </c>
      <c r="AZ422">
        <f>$H$422*$AF$422</f>
        <v>32.229999999999997</v>
      </c>
    </row>
    <row r="423" spans="1:52" x14ac:dyDescent="0.25">
      <c r="A423">
        <v>474</v>
      </c>
      <c r="B423" t="s">
        <v>261</v>
      </c>
      <c r="C423" t="s">
        <v>410</v>
      </c>
      <c r="D423">
        <v>8.17</v>
      </c>
      <c r="E423">
        <v>55.64</v>
      </c>
      <c r="F423" t="s">
        <v>335</v>
      </c>
      <c r="G423">
        <v>6.81</v>
      </c>
      <c r="H423">
        <v>66.760000000000005</v>
      </c>
      <c r="I423" t="s">
        <v>411</v>
      </c>
      <c r="J423" t="s">
        <v>412</v>
      </c>
      <c r="K423" t="s">
        <v>584</v>
      </c>
      <c r="L423" t="s">
        <v>178</v>
      </c>
      <c r="M423" t="s">
        <v>261</v>
      </c>
      <c r="N423" t="s">
        <v>12</v>
      </c>
      <c r="O423" t="s">
        <v>262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261</v>
      </c>
      <c r="AH423" t="s">
        <v>12</v>
      </c>
      <c r="AI423" t="s">
        <v>262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66.760000000000005</v>
      </c>
      <c r="AN423">
        <f>$H$423*$T$423</f>
        <v>66.760000000000005</v>
      </c>
      <c r="AO423">
        <f>$H$423*$U$423</f>
        <v>66.760000000000005</v>
      </c>
      <c r="AP423">
        <f>$H$423*$V$423</f>
        <v>66.760000000000005</v>
      </c>
      <c r="AQ423">
        <f>$H$423*$W$423</f>
        <v>66.760000000000005</v>
      </c>
      <c r="AR423">
        <f>$H$423*$X$423</f>
        <v>66.760000000000005</v>
      </c>
      <c r="AS423">
        <f>$H$423*$Y$423</f>
        <v>66.760000000000005</v>
      </c>
      <c r="AT423">
        <f>$H$423*$Z$423</f>
        <v>66.760000000000005</v>
      </c>
      <c r="AU423">
        <f>$H$423*$AA$423</f>
        <v>66.760000000000005</v>
      </c>
      <c r="AV423">
        <f>$H$423*$AB$423</f>
        <v>66.760000000000005</v>
      </c>
      <c r="AW423">
        <f>$H$423*$AC$423</f>
        <v>66.760000000000005</v>
      </c>
      <c r="AX423">
        <f>$H$423*$AD$423</f>
        <v>66.760000000000005</v>
      </c>
      <c r="AY423">
        <f>$H$423*$AE$423</f>
        <v>66.760000000000005</v>
      </c>
      <c r="AZ423">
        <f>$H$423*$AF$423</f>
        <v>66.760000000000005</v>
      </c>
    </row>
    <row r="424" spans="1:52" x14ac:dyDescent="0.25">
      <c r="A424">
        <v>475</v>
      </c>
      <c r="B424" t="s">
        <v>261</v>
      </c>
      <c r="C424" t="s">
        <v>413</v>
      </c>
      <c r="D424">
        <v>8.9499999999999993</v>
      </c>
      <c r="E424">
        <v>65.959999999999994</v>
      </c>
      <c r="F424" t="s">
        <v>335</v>
      </c>
      <c r="G424">
        <v>7.37</v>
      </c>
      <c r="H424">
        <v>79.16</v>
      </c>
      <c r="I424" t="s">
        <v>411</v>
      </c>
      <c r="J424" t="s">
        <v>414</v>
      </c>
      <c r="K424" t="s">
        <v>585</v>
      </c>
      <c r="L424" t="s">
        <v>178</v>
      </c>
      <c r="M424" t="s">
        <v>261</v>
      </c>
      <c r="N424" t="s">
        <v>12</v>
      </c>
      <c r="O424" t="s">
        <v>262</v>
      </c>
      <c r="P424">
        <v>0</v>
      </c>
      <c r="Q424">
        <v>0</v>
      </c>
      <c r="R424">
        <v>0</v>
      </c>
      <c r="S424">
        <v>1</v>
      </c>
      <c r="T424">
        <v>1</v>
      </c>
      <c r="U424">
        <v>1</v>
      </c>
      <c r="V424">
        <v>1</v>
      </c>
      <c r="W424">
        <v>1</v>
      </c>
      <c r="X424">
        <v>1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261</v>
      </c>
      <c r="AH424" t="s">
        <v>12</v>
      </c>
      <c r="AI424" t="s">
        <v>262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79.16</v>
      </c>
      <c r="AN424">
        <f>$H$424*$T$424</f>
        <v>79.16</v>
      </c>
      <c r="AO424">
        <f>$H$424*$U$424</f>
        <v>79.16</v>
      </c>
      <c r="AP424">
        <f>$H$424*$V$424</f>
        <v>79.16</v>
      </c>
      <c r="AQ424">
        <f>$H$424*$W$424</f>
        <v>79.16</v>
      </c>
      <c r="AR424">
        <f>$H$424*$X$424</f>
        <v>79.16</v>
      </c>
      <c r="AS424">
        <f>$H$424*$Y$424</f>
        <v>79.16</v>
      </c>
      <c r="AT424">
        <f>$H$424*$Z$424</f>
        <v>79.16</v>
      </c>
      <c r="AU424">
        <f>$H$424*$AA$424</f>
        <v>79.16</v>
      </c>
      <c r="AV424">
        <f>$H$424*$AB$424</f>
        <v>79.16</v>
      </c>
      <c r="AW424">
        <f>$H$424*$AC$424</f>
        <v>79.16</v>
      </c>
      <c r="AX424">
        <f>$H$424*$AD$424</f>
        <v>79.16</v>
      </c>
      <c r="AY424">
        <f>$H$424*$AE$424</f>
        <v>79.16</v>
      </c>
      <c r="AZ424">
        <f>$H$424*$AF$424</f>
        <v>79.16</v>
      </c>
    </row>
    <row r="425" spans="1:52" x14ac:dyDescent="0.25">
      <c r="A425">
        <v>476</v>
      </c>
      <c r="B425" t="s">
        <v>261</v>
      </c>
      <c r="C425" t="s">
        <v>415</v>
      </c>
      <c r="D425">
        <v>9.3800000000000008</v>
      </c>
      <c r="E425">
        <v>51.21</v>
      </c>
      <c r="F425" t="s">
        <v>335</v>
      </c>
      <c r="G425">
        <v>5.46</v>
      </c>
      <c r="H425">
        <v>61.45</v>
      </c>
      <c r="I425" t="s">
        <v>416</v>
      </c>
      <c r="J425" t="s">
        <v>417</v>
      </c>
      <c r="K425" t="s">
        <v>586</v>
      </c>
      <c r="L425" t="s">
        <v>178</v>
      </c>
      <c r="M425" t="s">
        <v>261</v>
      </c>
      <c r="N425" t="s">
        <v>12</v>
      </c>
      <c r="O425" t="s">
        <v>262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261</v>
      </c>
      <c r="AH425" t="s">
        <v>12</v>
      </c>
      <c r="AI425" t="s">
        <v>262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61.45</v>
      </c>
      <c r="AN425">
        <f>$H$425*$T$425</f>
        <v>61.45</v>
      </c>
      <c r="AO425">
        <f>$H$425*$U$425</f>
        <v>61.45</v>
      </c>
      <c r="AP425">
        <f>$H$425*$V$425</f>
        <v>61.45</v>
      </c>
      <c r="AQ425">
        <f>$H$425*$W$425</f>
        <v>61.45</v>
      </c>
      <c r="AR425">
        <f>$H$425*$X$425</f>
        <v>61.45</v>
      </c>
      <c r="AS425">
        <f>$H$425*$Y$425</f>
        <v>61.45</v>
      </c>
      <c r="AT425">
        <f>$H$425*$Z$425</f>
        <v>61.45</v>
      </c>
      <c r="AU425">
        <f>$H$425*$AA$425</f>
        <v>61.45</v>
      </c>
      <c r="AV425">
        <f>$H$425*$AB$425</f>
        <v>61.45</v>
      </c>
      <c r="AW425">
        <f>$H$425*$AC$425</f>
        <v>61.45</v>
      </c>
      <c r="AX425">
        <f>$H$425*$AD$425</f>
        <v>61.45</v>
      </c>
      <c r="AY425">
        <f>$H$425*$AE$425</f>
        <v>61.45</v>
      </c>
      <c r="AZ425">
        <f>$H$425*$AF$425</f>
        <v>61.45</v>
      </c>
    </row>
    <row r="426" spans="1:52" x14ac:dyDescent="0.25">
      <c r="A426">
        <v>477</v>
      </c>
      <c r="B426" t="s">
        <v>261</v>
      </c>
      <c r="C426" t="s">
        <v>418</v>
      </c>
      <c r="D426">
        <v>9.3800000000000008</v>
      </c>
      <c r="E426">
        <v>33.58</v>
      </c>
      <c r="F426" t="s">
        <v>335</v>
      </c>
      <c r="G426">
        <v>3.58</v>
      </c>
      <c r="H426">
        <v>40.299999999999997</v>
      </c>
      <c r="I426" t="s">
        <v>416</v>
      </c>
      <c r="J426" t="s">
        <v>419</v>
      </c>
      <c r="K426" t="s">
        <v>587</v>
      </c>
      <c r="L426" t="s">
        <v>178</v>
      </c>
      <c r="M426" t="s">
        <v>261</v>
      </c>
      <c r="N426" t="s">
        <v>12</v>
      </c>
      <c r="O426" t="s">
        <v>262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261</v>
      </c>
      <c r="AH426" t="s">
        <v>12</v>
      </c>
      <c r="AI426" t="s">
        <v>262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40.299999999999997</v>
      </c>
      <c r="AN426">
        <f>$H$426*$T$426</f>
        <v>40.299999999999997</v>
      </c>
      <c r="AO426">
        <f>$H$426*$U$426</f>
        <v>40.299999999999997</v>
      </c>
      <c r="AP426">
        <f>$H$426*$V$426</f>
        <v>40.299999999999997</v>
      </c>
      <c r="AQ426">
        <f>$H$426*$W$426</f>
        <v>40.299999999999997</v>
      </c>
      <c r="AR426">
        <f>$H$426*$X$426</f>
        <v>40.299999999999997</v>
      </c>
      <c r="AS426">
        <f>$H$426*$Y$426</f>
        <v>40.299999999999997</v>
      </c>
      <c r="AT426">
        <f>$H$426*$Z$426</f>
        <v>40.299999999999997</v>
      </c>
      <c r="AU426">
        <f>$H$426*$AA$426</f>
        <v>40.299999999999997</v>
      </c>
      <c r="AV426">
        <f>$H$426*$AB$426</f>
        <v>40.299999999999997</v>
      </c>
      <c r="AW426">
        <f>$H$426*$AC$426</f>
        <v>40.299999999999997</v>
      </c>
      <c r="AX426">
        <f>$H$426*$AD$426</f>
        <v>40.299999999999997</v>
      </c>
      <c r="AY426">
        <f>$H$426*$AE$426</f>
        <v>40.299999999999997</v>
      </c>
      <c r="AZ426">
        <f>$H$426*$AF$426</f>
        <v>40.299999999999997</v>
      </c>
    </row>
    <row r="427" spans="1:52" x14ac:dyDescent="0.25">
      <c r="A427">
        <v>478</v>
      </c>
      <c r="B427" t="s">
        <v>261</v>
      </c>
      <c r="C427" t="s">
        <v>420</v>
      </c>
      <c r="D427">
        <v>9.3800000000000008</v>
      </c>
      <c r="E427">
        <v>92.39</v>
      </c>
      <c r="F427" t="s">
        <v>335</v>
      </c>
      <c r="G427">
        <v>9.85</v>
      </c>
      <c r="H427">
        <v>110.87</v>
      </c>
      <c r="I427" t="s">
        <v>416</v>
      </c>
      <c r="J427" t="s">
        <v>414</v>
      </c>
      <c r="K427" t="s">
        <v>588</v>
      </c>
      <c r="L427" t="s">
        <v>178</v>
      </c>
      <c r="M427" t="s">
        <v>261</v>
      </c>
      <c r="N427" t="s">
        <v>12</v>
      </c>
      <c r="O427" t="s">
        <v>262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261</v>
      </c>
      <c r="AH427" t="s">
        <v>12</v>
      </c>
      <c r="AI427" t="s">
        <v>262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110.87</v>
      </c>
      <c r="AN427">
        <f>$H$427*$T$427</f>
        <v>110.87</v>
      </c>
      <c r="AO427">
        <f>$H$427*$U$427</f>
        <v>110.87</v>
      </c>
      <c r="AP427">
        <f>$H$427*$V$427</f>
        <v>110.87</v>
      </c>
      <c r="AQ427">
        <f>$H$427*$W$427</f>
        <v>110.87</v>
      </c>
      <c r="AR427">
        <f>$H$427*$X$427</f>
        <v>110.87</v>
      </c>
      <c r="AS427">
        <f>$H$427*$Y$427</f>
        <v>110.87</v>
      </c>
      <c r="AT427">
        <f>$H$427*$Z$427</f>
        <v>110.87</v>
      </c>
      <c r="AU427">
        <f>$H$427*$AA$427</f>
        <v>110.87</v>
      </c>
      <c r="AV427">
        <f>$H$427*$AB$427</f>
        <v>110.87</v>
      </c>
      <c r="AW427">
        <f>$H$427*$AC$427</f>
        <v>110.87</v>
      </c>
      <c r="AX427">
        <f>$H$427*$AD$427</f>
        <v>110.87</v>
      </c>
      <c r="AY427">
        <f>$H$427*$AE$427</f>
        <v>110.87</v>
      </c>
      <c r="AZ427">
        <f>$H$427*$AF$427</f>
        <v>110.87</v>
      </c>
    </row>
    <row r="428" spans="1:52" x14ac:dyDescent="0.25">
      <c r="A428">
        <v>479</v>
      </c>
      <c r="B428" t="s">
        <v>261</v>
      </c>
      <c r="C428" t="s">
        <v>421</v>
      </c>
      <c r="D428">
        <v>8.9499999999999993</v>
      </c>
      <c r="E428">
        <v>8.68</v>
      </c>
      <c r="F428" t="s">
        <v>335</v>
      </c>
      <c r="G428">
        <v>0.97</v>
      </c>
      <c r="H428">
        <v>10.42</v>
      </c>
      <c r="I428" t="s">
        <v>360</v>
      </c>
      <c r="J428" t="s">
        <v>422</v>
      </c>
      <c r="K428" t="s">
        <v>589</v>
      </c>
      <c r="L428" t="s">
        <v>178</v>
      </c>
      <c r="M428" t="s">
        <v>261</v>
      </c>
      <c r="N428" t="s">
        <v>12</v>
      </c>
      <c r="O428" t="s">
        <v>262</v>
      </c>
      <c r="P428">
        <v>0</v>
      </c>
      <c r="Q428">
        <v>0</v>
      </c>
      <c r="R428">
        <v>0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261</v>
      </c>
      <c r="AH428" t="s">
        <v>12</v>
      </c>
      <c r="AI428" t="s">
        <v>262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10.42</v>
      </c>
      <c r="AN428">
        <f>$H$428*$T$428</f>
        <v>10.42</v>
      </c>
      <c r="AO428">
        <f>$H$428*$U$428</f>
        <v>10.42</v>
      </c>
      <c r="AP428">
        <f>$H$428*$V$428</f>
        <v>10.42</v>
      </c>
      <c r="AQ428">
        <f>$H$428*$W$428</f>
        <v>10.42</v>
      </c>
      <c r="AR428">
        <f>$H$428*$X$428</f>
        <v>10.42</v>
      </c>
      <c r="AS428">
        <f>$H$428*$Y$428</f>
        <v>10.42</v>
      </c>
      <c r="AT428">
        <f>$H$428*$Z$428</f>
        <v>10.42</v>
      </c>
      <c r="AU428">
        <f>$H$428*$AA$428</f>
        <v>10.42</v>
      </c>
      <c r="AV428">
        <f>$H$428*$AB$428</f>
        <v>10.42</v>
      </c>
      <c r="AW428">
        <f>$H$428*$AC$428</f>
        <v>10.42</v>
      </c>
      <c r="AX428">
        <f>$H$428*$AD$428</f>
        <v>10.42</v>
      </c>
      <c r="AY428">
        <f>$H$428*$AE$428</f>
        <v>10.42</v>
      </c>
      <c r="AZ428">
        <f>$H$428*$AF$428</f>
        <v>10.42</v>
      </c>
    </row>
    <row r="429" spans="1:52" x14ac:dyDescent="0.25">
      <c r="A429">
        <v>480</v>
      </c>
      <c r="B429" t="s">
        <v>261</v>
      </c>
      <c r="C429" t="s">
        <v>423</v>
      </c>
      <c r="D429">
        <v>8.9499999999999993</v>
      </c>
      <c r="E429">
        <v>68.56</v>
      </c>
      <c r="F429" t="s">
        <v>335</v>
      </c>
      <c r="G429">
        <v>7.66</v>
      </c>
      <c r="H429">
        <v>82.28</v>
      </c>
      <c r="I429" t="s">
        <v>360</v>
      </c>
      <c r="J429" t="s">
        <v>414</v>
      </c>
      <c r="K429" t="s">
        <v>590</v>
      </c>
      <c r="L429" t="s">
        <v>178</v>
      </c>
      <c r="M429" t="s">
        <v>261</v>
      </c>
      <c r="N429" t="s">
        <v>12</v>
      </c>
      <c r="O429" t="s">
        <v>262</v>
      </c>
      <c r="P429">
        <v>0</v>
      </c>
      <c r="Q429">
        <v>0</v>
      </c>
      <c r="R429">
        <v>0</v>
      </c>
      <c r="S429">
        <v>1</v>
      </c>
      <c r="T429">
        <v>1</v>
      </c>
      <c r="U429">
        <v>1</v>
      </c>
      <c r="V429">
        <v>1</v>
      </c>
      <c r="W429">
        <v>1</v>
      </c>
      <c r="X429">
        <v>1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261</v>
      </c>
      <c r="AH429" t="s">
        <v>12</v>
      </c>
      <c r="AI429" t="s">
        <v>262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82.28</v>
      </c>
      <c r="AN429">
        <f>$H$429*$T$429</f>
        <v>82.28</v>
      </c>
      <c r="AO429">
        <f>$H$429*$U$429</f>
        <v>82.28</v>
      </c>
      <c r="AP429">
        <f>$H$429*$V$429</f>
        <v>82.28</v>
      </c>
      <c r="AQ429">
        <f>$H$429*$W$429</f>
        <v>82.28</v>
      </c>
      <c r="AR429">
        <f>$H$429*$X$429</f>
        <v>82.28</v>
      </c>
      <c r="AS429">
        <f>$H$429*$Y$429</f>
        <v>82.28</v>
      </c>
      <c r="AT429">
        <f>$H$429*$Z$429</f>
        <v>82.28</v>
      </c>
      <c r="AU429">
        <f>$H$429*$AA$429</f>
        <v>82.28</v>
      </c>
      <c r="AV429">
        <f>$H$429*$AB$429</f>
        <v>82.28</v>
      </c>
      <c r="AW429">
        <f>$H$429*$AC$429</f>
        <v>82.28</v>
      </c>
      <c r="AX429">
        <f>$H$429*$AD$429</f>
        <v>82.28</v>
      </c>
      <c r="AY429">
        <f>$H$429*$AE$429</f>
        <v>82.28</v>
      </c>
      <c r="AZ429">
        <f>$H$429*$AF$429</f>
        <v>82.28</v>
      </c>
    </row>
    <row r="430" spans="1:52" x14ac:dyDescent="0.25">
      <c r="A430">
        <v>481</v>
      </c>
      <c r="B430" t="s">
        <v>282</v>
      </c>
      <c r="C430" t="s">
        <v>493</v>
      </c>
      <c r="D430">
        <v>1</v>
      </c>
      <c r="E430">
        <v>212.06</v>
      </c>
      <c r="F430" t="s">
        <v>317</v>
      </c>
      <c r="G430">
        <v>212.06</v>
      </c>
      <c r="H430">
        <v>254.48</v>
      </c>
      <c r="I430" t="s">
        <v>336</v>
      </c>
      <c r="J430" t="s">
        <v>494</v>
      </c>
      <c r="K430" t="s">
        <v>626</v>
      </c>
      <c r="L430" t="s">
        <v>178</v>
      </c>
      <c r="M430" t="s">
        <v>282</v>
      </c>
      <c r="N430" t="s">
        <v>51</v>
      </c>
      <c r="O430" t="s">
        <v>283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282</v>
      </c>
      <c r="AH430" t="s">
        <v>51</v>
      </c>
      <c r="AI430" t="s">
        <v>283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0</v>
      </c>
      <c r="AQ430">
        <f>$H$430*$W$430</f>
        <v>0</v>
      </c>
      <c r="AR430">
        <f>$H$430*$X$430</f>
        <v>0</v>
      </c>
      <c r="AS430">
        <f>$H$430*$Y$430</f>
        <v>254.48</v>
      </c>
      <c r="AT430">
        <f>$H$430*$Z$430</f>
        <v>254.48</v>
      </c>
      <c r="AU430">
        <f>$H$430*$AA$430</f>
        <v>254.48</v>
      </c>
      <c r="AV430">
        <f>$H$430*$AB$430</f>
        <v>254.48</v>
      </c>
      <c r="AW430">
        <f>$H$430*$AC$430</f>
        <v>254.48</v>
      </c>
      <c r="AX430">
        <f>$H$430*$AD$430</f>
        <v>254.48</v>
      </c>
      <c r="AY430">
        <f>$H$430*$AE$430</f>
        <v>254.48</v>
      </c>
      <c r="AZ430">
        <f>$H$430*$AF$430</f>
        <v>254.48</v>
      </c>
    </row>
    <row r="431" spans="1:52" x14ac:dyDescent="0.25">
      <c r="A431">
        <v>482</v>
      </c>
      <c r="B431" t="s">
        <v>282</v>
      </c>
      <c r="C431" t="s">
        <v>495</v>
      </c>
      <c r="D431">
        <v>1</v>
      </c>
      <c r="E431">
        <v>33.1</v>
      </c>
      <c r="F431" t="s">
        <v>317</v>
      </c>
      <c r="G431">
        <v>33.1</v>
      </c>
      <c r="H431">
        <v>39.72</v>
      </c>
      <c r="I431" t="s">
        <v>319</v>
      </c>
      <c r="J431" t="s">
        <v>496</v>
      </c>
      <c r="K431" t="s">
        <v>627</v>
      </c>
      <c r="L431" t="s">
        <v>178</v>
      </c>
      <c r="M431" t="s">
        <v>282</v>
      </c>
      <c r="N431" t="s">
        <v>51</v>
      </c>
      <c r="O431" t="s">
        <v>283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282</v>
      </c>
      <c r="AH431" t="s">
        <v>51</v>
      </c>
      <c r="AI431" t="s">
        <v>283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39.72</v>
      </c>
      <c r="AQ431">
        <f>$H$431*$W$431</f>
        <v>39.72</v>
      </c>
      <c r="AR431">
        <f>$H$431*$X$431</f>
        <v>39.72</v>
      </c>
      <c r="AS431">
        <f>$H$431*$Y$431</f>
        <v>39.72</v>
      </c>
      <c r="AT431">
        <f>$H$431*$Z$431</f>
        <v>39.72</v>
      </c>
      <c r="AU431">
        <f>$H$431*$AA$431</f>
        <v>39.72</v>
      </c>
      <c r="AV431">
        <f>$H$431*$AB$431</f>
        <v>39.72</v>
      </c>
      <c r="AW431">
        <f>$H$431*$AC$431</f>
        <v>39.72</v>
      </c>
      <c r="AX431">
        <f>$H$431*$AD$431</f>
        <v>39.72</v>
      </c>
      <c r="AY431">
        <f>$H$431*$AE$431</f>
        <v>39.72</v>
      </c>
      <c r="AZ431">
        <f>$H$431*$AF$431</f>
        <v>39.72</v>
      </c>
    </row>
    <row r="432" spans="1:52" x14ac:dyDescent="0.25">
      <c r="A432">
        <v>483</v>
      </c>
      <c r="B432" t="s">
        <v>282</v>
      </c>
      <c r="C432" t="s">
        <v>456</v>
      </c>
      <c r="D432">
        <v>1</v>
      </c>
      <c r="E432">
        <v>37</v>
      </c>
      <c r="F432" t="s">
        <v>317</v>
      </c>
      <c r="G432">
        <v>37</v>
      </c>
      <c r="H432">
        <v>44.4</v>
      </c>
      <c r="I432" t="s">
        <v>319</v>
      </c>
      <c r="J432" t="s">
        <v>457</v>
      </c>
      <c r="K432" t="s">
        <v>607</v>
      </c>
      <c r="L432" t="s">
        <v>178</v>
      </c>
      <c r="M432" t="s">
        <v>282</v>
      </c>
      <c r="N432" t="s">
        <v>51</v>
      </c>
      <c r="O432" t="s">
        <v>283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0.6</v>
      </c>
      <c r="Y432">
        <v>0.6</v>
      </c>
      <c r="Z432">
        <v>0.6</v>
      </c>
      <c r="AA432">
        <v>0.6</v>
      </c>
      <c r="AB432">
        <v>0.6</v>
      </c>
      <c r="AC432">
        <v>0.6</v>
      </c>
      <c r="AD432">
        <v>1</v>
      </c>
      <c r="AE432">
        <v>1</v>
      </c>
      <c r="AF432">
        <v>1</v>
      </c>
      <c r="AG432" t="s">
        <v>282</v>
      </c>
      <c r="AH432" t="s">
        <v>51</v>
      </c>
      <c r="AI432" t="s">
        <v>283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26.639999999999997</v>
      </c>
      <c r="AS432">
        <f>$H$432*$Y$432</f>
        <v>26.639999999999997</v>
      </c>
      <c r="AT432">
        <f>$H$432*$Z$432</f>
        <v>26.639999999999997</v>
      </c>
      <c r="AU432">
        <f>$H$432*$AA$432</f>
        <v>26.639999999999997</v>
      </c>
      <c r="AV432">
        <f>$H$432*$AB$432</f>
        <v>26.639999999999997</v>
      </c>
      <c r="AW432">
        <f>$H$432*$AC$432</f>
        <v>26.639999999999997</v>
      </c>
      <c r="AX432">
        <f>$H$432*$AD$432</f>
        <v>44.4</v>
      </c>
      <c r="AY432">
        <f>$H$432*$AE$432</f>
        <v>44.4</v>
      </c>
      <c r="AZ432">
        <f>$H$432*$AF$432</f>
        <v>44.4</v>
      </c>
    </row>
    <row r="433" spans="1:52" x14ac:dyDescent="0.25">
      <c r="A433">
        <v>484</v>
      </c>
      <c r="B433" t="s">
        <v>282</v>
      </c>
      <c r="C433" t="s">
        <v>397</v>
      </c>
      <c r="D433">
        <v>1</v>
      </c>
      <c r="E433">
        <v>13.27</v>
      </c>
      <c r="F433" t="s">
        <v>317</v>
      </c>
      <c r="G433">
        <v>13.27</v>
      </c>
      <c r="H433">
        <v>15.93</v>
      </c>
      <c r="I433" t="s">
        <v>319</v>
      </c>
      <c r="J433" t="s">
        <v>398</v>
      </c>
      <c r="K433" t="s">
        <v>577</v>
      </c>
      <c r="L433" t="s">
        <v>178</v>
      </c>
      <c r="M433" t="s">
        <v>282</v>
      </c>
      <c r="N433" t="s">
        <v>51</v>
      </c>
      <c r="O433" t="s">
        <v>283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282</v>
      </c>
      <c r="AH433" t="s">
        <v>51</v>
      </c>
      <c r="AI433" t="s">
        <v>283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15.93</v>
      </c>
      <c r="AS433">
        <f>$H$433*$Y$433</f>
        <v>15.93</v>
      </c>
      <c r="AT433">
        <f>$H$433*$Z$433</f>
        <v>15.93</v>
      </c>
      <c r="AU433">
        <f>$H$433*$AA$433</f>
        <v>15.93</v>
      </c>
      <c r="AV433">
        <f>$H$433*$AB$433</f>
        <v>15.93</v>
      </c>
      <c r="AW433">
        <f>$H$433*$AC$433</f>
        <v>15.93</v>
      </c>
      <c r="AX433">
        <f>$H$433*$AD$433</f>
        <v>15.93</v>
      </c>
      <c r="AY433">
        <f>$H$433*$AE$433</f>
        <v>15.93</v>
      </c>
      <c r="AZ433">
        <f>$H$433*$AF$433</f>
        <v>15.93</v>
      </c>
    </row>
    <row r="434" spans="1:52" x14ac:dyDescent="0.25">
      <c r="A434">
        <v>485</v>
      </c>
      <c r="B434" t="s">
        <v>282</v>
      </c>
      <c r="C434" t="s">
        <v>337</v>
      </c>
      <c r="D434">
        <v>1</v>
      </c>
      <c r="E434">
        <v>655.73</v>
      </c>
      <c r="F434" t="s">
        <v>317</v>
      </c>
      <c r="G434">
        <v>655.73</v>
      </c>
      <c r="H434">
        <v>786.87</v>
      </c>
      <c r="I434" t="s">
        <v>336</v>
      </c>
      <c r="J434" t="s">
        <v>338</v>
      </c>
      <c r="K434" t="s">
        <v>547</v>
      </c>
      <c r="L434" t="s">
        <v>178</v>
      </c>
      <c r="M434" t="s">
        <v>282</v>
      </c>
      <c r="N434" t="s">
        <v>51</v>
      </c>
      <c r="O434" t="s">
        <v>283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282</v>
      </c>
      <c r="AH434" t="s">
        <v>51</v>
      </c>
      <c r="AI434" t="s">
        <v>283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786.87</v>
      </c>
      <c r="AT434">
        <f>$H$434*$Z$434</f>
        <v>786.87</v>
      </c>
      <c r="AU434">
        <f>$H$434*$AA$434</f>
        <v>786.87</v>
      </c>
      <c r="AV434">
        <f>$H$434*$AB$434</f>
        <v>786.87</v>
      </c>
      <c r="AW434">
        <f>$H$434*$AC$434</f>
        <v>786.87</v>
      </c>
      <c r="AX434">
        <f>$H$434*$AD$434</f>
        <v>786.87</v>
      </c>
      <c r="AY434">
        <f>$H$434*$AE$434</f>
        <v>786.87</v>
      </c>
      <c r="AZ434">
        <f>$H$434*$AF$434</f>
        <v>786.87</v>
      </c>
    </row>
    <row r="435" spans="1:52" x14ac:dyDescent="0.25">
      <c r="A435">
        <v>486</v>
      </c>
      <c r="B435" t="s">
        <v>282</v>
      </c>
      <c r="C435" t="s">
        <v>424</v>
      </c>
      <c r="D435">
        <v>1</v>
      </c>
      <c r="E435">
        <v>48.06</v>
      </c>
      <c r="F435" t="s">
        <v>317</v>
      </c>
      <c r="G435">
        <v>48.06</v>
      </c>
      <c r="H435">
        <v>57.68</v>
      </c>
      <c r="I435" t="s">
        <v>322</v>
      </c>
      <c r="J435" t="s">
        <v>425</v>
      </c>
      <c r="K435" t="s">
        <v>591</v>
      </c>
      <c r="L435" t="s">
        <v>178</v>
      </c>
      <c r="M435" t="s">
        <v>282</v>
      </c>
      <c r="N435" t="s">
        <v>51</v>
      </c>
      <c r="O435" t="s">
        <v>283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1</v>
      </c>
      <c r="AE435">
        <v>1</v>
      </c>
      <c r="AF435">
        <v>1</v>
      </c>
      <c r="AG435" t="s">
        <v>282</v>
      </c>
      <c r="AH435" t="s">
        <v>51</v>
      </c>
      <c r="AI435" t="s">
        <v>283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0</v>
      </c>
      <c r="AV435">
        <f>$H$435*$AB$435</f>
        <v>0</v>
      </c>
      <c r="AW435">
        <f>$H$435*$AC$435</f>
        <v>0</v>
      </c>
      <c r="AX435">
        <f>$H$435*$AD$435</f>
        <v>57.68</v>
      </c>
      <c r="AY435">
        <f>$H$435*$AE$435</f>
        <v>57.68</v>
      </c>
      <c r="AZ435">
        <f>$H$435*$AF$435</f>
        <v>57.68</v>
      </c>
    </row>
    <row r="436" spans="1:52" x14ac:dyDescent="0.25">
      <c r="A436">
        <v>487</v>
      </c>
      <c r="B436" t="s">
        <v>282</v>
      </c>
      <c r="C436" t="s">
        <v>350</v>
      </c>
      <c r="D436">
        <v>1</v>
      </c>
      <c r="E436">
        <v>47.96</v>
      </c>
      <c r="F436" t="s">
        <v>317</v>
      </c>
      <c r="G436">
        <v>47.96</v>
      </c>
      <c r="H436">
        <v>57.56</v>
      </c>
      <c r="I436" t="s">
        <v>351</v>
      </c>
      <c r="J436" t="s">
        <v>352</v>
      </c>
      <c r="K436" t="s">
        <v>554</v>
      </c>
      <c r="L436" t="s">
        <v>178</v>
      </c>
      <c r="M436" t="s">
        <v>282</v>
      </c>
      <c r="N436" t="s">
        <v>51</v>
      </c>
      <c r="O436" t="s">
        <v>283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282</v>
      </c>
      <c r="AH436" t="s">
        <v>51</v>
      </c>
      <c r="AI436" t="s">
        <v>283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0</v>
      </c>
      <c r="AN436">
        <f>$H$436*$T$436</f>
        <v>0</v>
      </c>
      <c r="AO436">
        <f>$H$436*$U$436</f>
        <v>0</v>
      </c>
      <c r="AP436">
        <f>$H$436*$V$436</f>
        <v>0</v>
      </c>
      <c r="AQ436">
        <f>$H$436*$W$436</f>
        <v>0</v>
      </c>
      <c r="AR436">
        <f>$H$436*$X$436</f>
        <v>0</v>
      </c>
      <c r="AS436">
        <f>$H$436*$Y$436</f>
        <v>0</v>
      </c>
      <c r="AT436">
        <f>$H$436*$Z$436</f>
        <v>0</v>
      </c>
      <c r="AU436">
        <f>$H$436*$AA$436</f>
        <v>57.56</v>
      </c>
      <c r="AV436">
        <f>$H$436*$AB$436</f>
        <v>57.56</v>
      </c>
      <c r="AW436">
        <f>$H$436*$AC$436</f>
        <v>57.56</v>
      </c>
      <c r="AX436">
        <f>$H$436*$AD$436</f>
        <v>57.56</v>
      </c>
      <c r="AY436">
        <f>$H$436*$AE$436</f>
        <v>57.56</v>
      </c>
      <c r="AZ436">
        <f>$H$436*$AF$436</f>
        <v>57.56</v>
      </c>
    </row>
    <row r="437" spans="1:52" x14ac:dyDescent="0.25">
      <c r="A437">
        <v>488</v>
      </c>
      <c r="B437" t="s">
        <v>282</v>
      </c>
      <c r="C437" t="s">
        <v>358</v>
      </c>
      <c r="D437">
        <v>2</v>
      </c>
      <c r="E437">
        <v>77.86</v>
      </c>
      <c r="F437" t="s">
        <v>317</v>
      </c>
      <c r="G437">
        <v>38.93</v>
      </c>
      <c r="H437">
        <v>93.44</v>
      </c>
      <c r="I437" t="s">
        <v>312</v>
      </c>
      <c r="J437" t="s">
        <v>354</v>
      </c>
      <c r="K437" t="s">
        <v>557</v>
      </c>
      <c r="L437" t="s">
        <v>178</v>
      </c>
      <c r="M437" t="s">
        <v>282</v>
      </c>
      <c r="N437" t="s">
        <v>51</v>
      </c>
      <c r="O437" t="s">
        <v>283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282</v>
      </c>
      <c r="AH437" t="s">
        <v>51</v>
      </c>
      <c r="AI437" t="s">
        <v>283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93.44</v>
      </c>
      <c r="AN437">
        <f>$H$437*$T$437</f>
        <v>93.44</v>
      </c>
      <c r="AO437">
        <f>$H$437*$U$437</f>
        <v>93.44</v>
      </c>
      <c r="AP437">
        <f>$H$437*$V$437</f>
        <v>93.44</v>
      </c>
      <c r="AQ437">
        <f>$H$437*$W$437</f>
        <v>93.44</v>
      </c>
      <c r="AR437">
        <f>$H$437*$X$437</f>
        <v>93.44</v>
      </c>
      <c r="AS437">
        <f>$H$437*$Y$437</f>
        <v>93.44</v>
      </c>
      <c r="AT437">
        <f>$H$437*$Z$437</f>
        <v>93.44</v>
      </c>
      <c r="AU437">
        <f>$H$437*$AA$437</f>
        <v>93.44</v>
      </c>
      <c r="AV437">
        <f>$H$437*$AB$437</f>
        <v>93.44</v>
      </c>
      <c r="AW437">
        <f>$H$437*$AC$437</f>
        <v>93.44</v>
      </c>
      <c r="AX437">
        <f>$H$437*$AD$437</f>
        <v>93.44</v>
      </c>
      <c r="AY437">
        <f>$H$437*$AE$437</f>
        <v>93.44</v>
      </c>
      <c r="AZ437">
        <f>$H$437*$AF$437</f>
        <v>93.44</v>
      </c>
    </row>
    <row r="438" spans="1:52" x14ac:dyDescent="0.25">
      <c r="A438">
        <v>489</v>
      </c>
      <c r="B438" t="s">
        <v>282</v>
      </c>
      <c r="C438" t="s">
        <v>356</v>
      </c>
      <c r="D438">
        <v>2</v>
      </c>
      <c r="E438">
        <v>62.72</v>
      </c>
      <c r="F438" t="s">
        <v>317</v>
      </c>
      <c r="G438">
        <v>31.36</v>
      </c>
      <c r="H438">
        <v>75.260000000000005</v>
      </c>
      <c r="I438" t="s">
        <v>312</v>
      </c>
      <c r="J438" t="s">
        <v>357</v>
      </c>
      <c r="K438" t="s">
        <v>556</v>
      </c>
      <c r="L438" t="s">
        <v>178</v>
      </c>
      <c r="M438" t="s">
        <v>282</v>
      </c>
      <c r="N438" t="s">
        <v>51</v>
      </c>
      <c r="O438" t="s">
        <v>283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282</v>
      </c>
      <c r="AH438" t="s">
        <v>51</v>
      </c>
      <c r="AI438" t="s">
        <v>283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75.260000000000005</v>
      </c>
      <c r="AN438">
        <f>$H$438*$T$438</f>
        <v>75.260000000000005</v>
      </c>
      <c r="AO438">
        <f>$H$438*$U$438</f>
        <v>75.260000000000005</v>
      </c>
      <c r="AP438">
        <f>$H$438*$V$438</f>
        <v>75.260000000000005</v>
      </c>
      <c r="AQ438">
        <f>$H$438*$W$438</f>
        <v>75.260000000000005</v>
      </c>
      <c r="AR438">
        <f>$H$438*$X$438</f>
        <v>75.260000000000005</v>
      </c>
      <c r="AS438">
        <f>$H$438*$Y$438</f>
        <v>75.260000000000005</v>
      </c>
      <c r="AT438">
        <f>$H$438*$Z$438</f>
        <v>75.260000000000005</v>
      </c>
      <c r="AU438">
        <f>$H$438*$AA$438</f>
        <v>75.260000000000005</v>
      </c>
      <c r="AV438">
        <f>$H$438*$AB$438</f>
        <v>75.260000000000005</v>
      </c>
      <c r="AW438">
        <f>$H$438*$AC$438</f>
        <v>75.260000000000005</v>
      </c>
      <c r="AX438">
        <f>$H$438*$AD$438</f>
        <v>75.260000000000005</v>
      </c>
      <c r="AY438">
        <f>$H$438*$AE$438</f>
        <v>75.260000000000005</v>
      </c>
      <c r="AZ438">
        <f>$H$438*$AF$438</f>
        <v>75.260000000000005</v>
      </c>
    </row>
    <row r="439" spans="1:52" x14ac:dyDescent="0.25">
      <c r="A439">
        <v>490</v>
      </c>
      <c r="B439" t="s">
        <v>282</v>
      </c>
      <c r="C439" t="s">
        <v>353</v>
      </c>
      <c r="D439">
        <v>1</v>
      </c>
      <c r="E439">
        <v>365.09</v>
      </c>
      <c r="F439" t="s">
        <v>317</v>
      </c>
      <c r="G439">
        <v>365.09</v>
      </c>
      <c r="H439">
        <v>438.11</v>
      </c>
      <c r="I439" t="s">
        <v>354</v>
      </c>
      <c r="J439" t="s">
        <v>355</v>
      </c>
      <c r="K439" t="s">
        <v>555</v>
      </c>
      <c r="L439" t="s">
        <v>178</v>
      </c>
      <c r="M439" t="s">
        <v>282</v>
      </c>
      <c r="N439" t="s">
        <v>51</v>
      </c>
      <c r="O439" t="s">
        <v>283</v>
      </c>
      <c r="P439">
        <v>0</v>
      </c>
      <c r="Q439">
        <v>0</v>
      </c>
      <c r="R439">
        <v>0</v>
      </c>
      <c r="S439">
        <v>0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282</v>
      </c>
      <c r="AH439" t="s">
        <v>51</v>
      </c>
      <c r="AI439" t="s">
        <v>283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438.11</v>
      </c>
      <c r="AO439">
        <f>$H$439*$U$439</f>
        <v>438.11</v>
      </c>
      <c r="AP439">
        <f>$H$439*$V$439</f>
        <v>438.11</v>
      </c>
      <c r="AQ439">
        <f>$H$439*$W$439</f>
        <v>438.11</v>
      </c>
      <c r="AR439">
        <f>$H$439*$X$439</f>
        <v>438.11</v>
      </c>
      <c r="AS439">
        <f>$H$439*$Y$439</f>
        <v>438.11</v>
      </c>
      <c r="AT439">
        <f>$H$439*$Z$439</f>
        <v>438.11</v>
      </c>
      <c r="AU439">
        <f>$H$439*$AA$439</f>
        <v>438.11</v>
      </c>
      <c r="AV439">
        <f>$H$439*$AB$439</f>
        <v>438.11</v>
      </c>
      <c r="AW439">
        <f>$H$439*$AC$439</f>
        <v>438.11</v>
      </c>
      <c r="AX439">
        <f>$H$439*$AD$439</f>
        <v>438.11</v>
      </c>
      <c r="AY439">
        <f>$H$439*$AE$439</f>
        <v>438.11</v>
      </c>
      <c r="AZ439">
        <f>$H$439*$AF$439</f>
        <v>438.11</v>
      </c>
    </row>
    <row r="440" spans="1:52" x14ac:dyDescent="0.25">
      <c r="A440">
        <v>491</v>
      </c>
      <c r="B440" t="s">
        <v>282</v>
      </c>
      <c r="C440" t="s">
        <v>497</v>
      </c>
      <c r="D440">
        <v>5</v>
      </c>
      <c r="E440">
        <v>800.65</v>
      </c>
      <c r="F440" t="s">
        <v>311</v>
      </c>
      <c r="G440">
        <v>160.13</v>
      </c>
      <c r="H440">
        <v>960.79</v>
      </c>
      <c r="I440" t="s">
        <v>459</v>
      </c>
      <c r="J440" t="s">
        <v>498</v>
      </c>
      <c r="K440" t="s">
        <v>628</v>
      </c>
      <c r="L440" t="s">
        <v>178</v>
      </c>
      <c r="M440" t="s">
        <v>282</v>
      </c>
      <c r="N440" t="s">
        <v>51</v>
      </c>
      <c r="O440" t="s">
        <v>283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282</v>
      </c>
      <c r="AH440" t="s">
        <v>51</v>
      </c>
      <c r="AI440" t="s">
        <v>283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0</v>
      </c>
      <c r="AV440">
        <f>$H$440*$AB$440</f>
        <v>960.79</v>
      </c>
      <c r="AW440">
        <f>$H$440*$AC$440</f>
        <v>960.79</v>
      </c>
      <c r="AX440">
        <f>$H$440*$AD$440</f>
        <v>960.79</v>
      </c>
      <c r="AY440">
        <f>$H$440*$AE$440</f>
        <v>960.79</v>
      </c>
      <c r="AZ440">
        <f>$H$440*$AF$440</f>
        <v>960.79</v>
      </c>
    </row>
    <row r="441" spans="1:52" x14ac:dyDescent="0.25">
      <c r="A441">
        <v>492</v>
      </c>
      <c r="B441" t="s">
        <v>282</v>
      </c>
      <c r="C441" t="s">
        <v>345</v>
      </c>
      <c r="D441">
        <v>285.33</v>
      </c>
      <c r="E441">
        <v>279.62</v>
      </c>
      <c r="F441" t="s">
        <v>335</v>
      </c>
      <c r="G441">
        <v>0.98</v>
      </c>
      <c r="H441">
        <v>335.54</v>
      </c>
      <c r="I441" t="s">
        <v>312</v>
      </c>
      <c r="J441" t="s">
        <v>346</v>
      </c>
      <c r="K441" t="s">
        <v>552</v>
      </c>
      <c r="L441" t="s">
        <v>178</v>
      </c>
      <c r="M441" t="s">
        <v>282</v>
      </c>
      <c r="N441" t="s">
        <v>51</v>
      </c>
      <c r="O441" t="s">
        <v>283</v>
      </c>
      <c r="P441">
        <v>0</v>
      </c>
      <c r="Q441">
        <v>0</v>
      </c>
      <c r="R441">
        <v>0</v>
      </c>
      <c r="S441">
        <v>0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282</v>
      </c>
      <c r="AH441" t="s">
        <v>51</v>
      </c>
      <c r="AI441" t="s">
        <v>283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0</v>
      </c>
      <c r="AN441">
        <f>$H$441*$T$441</f>
        <v>335.54</v>
      </c>
      <c r="AO441">
        <f>$H$441*$U$441</f>
        <v>335.54</v>
      </c>
      <c r="AP441">
        <f>$H$441*$V$441</f>
        <v>335.54</v>
      </c>
      <c r="AQ441">
        <f>$H$441*$W$441</f>
        <v>335.54</v>
      </c>
      <c r="AR441">
        <f>$H$441*$X$441</f>
        <v>335.54</v>
      </c>
      <c r="AS441">
        <f>$H$441*$Y$441</f>
        <v>335.54</v>
      </c>
      <c r="AT441">
        <f>$H$441*$Z$441</f>
        <v>335.54</v>
      </c>
      <c r="AU441">
        <f>$H$441*$AA$441</f>
        <v>335.54</v>
      </c>
      <c r="AV441">
        <f>$H$441*$AB$441</f>
        <v>335.54</v>
      </c>
      <c r="AW441">
        <f>$H$441*$AC$441</f>
        <v>335.54</v>
      </c>
      <c r="AX441">
        <f>$H$441*$AD$441</f>
        <v>335.54</v>
      </c>
      <c r="AY441">
        <f>$H$441*$AE$441</f>
        <v>335.54</v>
      </c>
      <c r="AZ441">
        <f>$H$441*$AF$441</f>
        <v>335.54</v>
      </c>
    </row>
    <row r="442" spans="1:52" x14ac:dyDescent="0.25">
      <c r="A442">
        <v>493</v>
      </c>
      <c r="B442" t="s">
        <v>282</v>
      </c>
      <c r="C442" t="s">
        <v>400</v>
      </c>
      <c r="D442">
        <v>285.33</v>
      </c>
      <c r="E442">
        <v>958.71</v>
      </c>
      <c r="F442" t="s">
        <v>335</v>
      </c>
      <c r="G442">
        <v>3.36</v>
      </c>
      <c r="H442">
        <v>1150.45</v>
      </c>
      <c r="I442" t="s">
        <v>348</v>
      </c>
      <c r="J442" t="s">
        <v>401</v>
      </c>
      <c r="K442" t="s">
        <v>579</v>
      </c>
      <c r="L442" t="s">
        <v>178</v>
      </c>
      <c r="M442" t="s">
        <v>282</v>
      </c>
      <c r="N442" t="s">
        <v>51</v>
      </c>
      <c r="O442" t="s">
        <v>283</v>
      </c>
      <c r="P442">
        <v>0</v>
      </c>
      <c r="Q442">
        <v>0</v>
      </c>
      <c r="R442">
        <v>0</v>
      </c>
      <c r="S442">
        <v>0.25</v>
      </c>
      <c r="T442">
        <v>0.25</v>
      </c>
      <c r="U442">
        <v>0.25</v>
      </c>
      <c r="V442">
        <v>0.25</v>
      </c>
      <c r="W442">
        <v>0.5</v>
      </c>
      <c r="X442">
        <v>0.5</v>
      </c>
      <c r="Y442">
        <v>0.5</v>
      </c>
      <c r="Z442">
        <v>0.5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282</v>
      </c>
      <c r="AH442" t="s">
        <v>51</v>
      </c>
      <c r="AI442" t="s">
        <v>283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287.61250000000001</v>
      </c>
      <c r="AN442">
        <f>$H$442*$T$442</f>
        <v>287.61250000000001</v>
      </c>
      <c r="AO442">
        <f>$H$442*$U$442</f>
        <v>287.61250000000001</v>
      </c>
      <c r="AP442">
        <f>$H$442*$V$442</f>
        <v>287.61250000000001</v>
      </c>
      <c r="AQ442">
        <f>$H$442*$W$442</f>
        <v>575.22500000000002</v>
      </c>
      <c r="AR442">
        <f>$H$442*$X$442</f>
        <v>575.22500000000002</v>
      </c>
      <c r="AS442">
        <f>$H$442*$Y$442</f>
        <v>575.22500000000002</v>
      </c>
      <c r="AT442">
        <f>$H$442*$Z$442</f>
        <v>575.22500000000002</v>
      </c>
      <c r="AU442">
        <f>$H$442*$AA$442</f>
        <v>1150.45</v>
      </c>
      <c r="AV442">
        <f>$H$442*$AB$442</f>
        <v>1150.45</v>
      </c>
      <c r="AW442">
        <f>$H$442*$AC$442</f>
        <v>1150.45</v>
      </c>
      <c r="AX442">
        <f>$H$442*$AD$442</f>
        <v>1150.45</v>
      </c>
      <c r="AY442">
        <f>$H$442*$AE$442</f>
        <v>1150.45</v>
      </c>
      <c r="AZ442">
        <f>$H$442*$AF$442</f>
        <v>1150.45</v>
      </c>
    </row>
    <row r="443" spans="1:52" x14ac:dyDescent="0.25">
      <c r="A443">
        <v>494</v>
      </c>
      <c r="B443" t="s">
        <v>282</v>
      </c>
      <c r="C443" t="s">
        <v>402</v>
      </c>
      <c r="D443">
        <v>35.67</v>
      </c>
      <c r="E443">
        <v>53.86</v>
      </c>
      <c r="F443" t="s">
        <v>311</v>
      </c>
      <c r="G443">
        <v>1.51</v>
      </c>
      <c r="H443">
        <v>64.64</v>
      </c>
      <c r="I443" t="s">
        <v>312</v>
      </c>
      <c r="J443" t="s">
        <v>403</v>
      </c>
      <c r="K443" t="s">
        <v>580</v>
      </c>
      <c r="L443" t="s">
        <v>178</v>
      </c>
      <c r="M443" t="s">
        <v>282</v>
      </c>
      <c r="N443" t="s">
        <v>51</v>
      </c>
      <c r="O443" t="s">
        <v>283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282</v>
      </c>
      <c r="AH443" t="s">
        <v>51</v>
      </c>
      <c r="AI443" t="s">
        <v>283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64.64</v>
      </c>
      <c r="AN443">
        <f>$H$443*$T$443</f>
        <v>64.64</v>
      </c>
      <c r="AO443">
        <f>$H$443*$U$443</f>
        <v>64.64</v>
      </c>
      <c r="AP443">
        <f>$H$443*$V$443</f>
        <v>64.64</v>
      </c>
      <c r="AQ443">
        <f>$H$443*$W$443</f>
        <v>64.64</v>
      </c>
      <c r="AR443">
        <f>$H$443*$X$443</f>
        <v>64.64</v>
      </c>
      <c r="AS443">
        <f>$H$443*$Y$443</f>
        <v>64.64</v>
      </c>
      <c r="AT443">
        <f>$H$443*$Z$443</f>
        <v>64.64</v>
      </c>
      <c r="AU443">
        <f>$H$443*$AA$443</f>
        <v>64.64</v>
      </c>
      <c r="AV443">
        <f>$H$443*$AB$443</f>
        <v>64.64</v>
      </c>
      <c r="AW443">
        <f>$H$443*$AC$443</f>
        <v>64.64</v>
      </c>
      <c r="AX443">
        <f>$H$443*$AD$443</f>
        <v>64.64</v>
      </c>
      <c r="AY443">
        <f>$H$443*$AE$443</f>
        <v>64.64</v>
      </c>
      <c r="AZ443">
        <f>$H$443*$AF$443</f>
        <v>64.64</v>
      </c>
    </row>
    <row r="444" spans="1:52" x14ac:dyDescent="0.25">
      <c r="A444">
        <v>495</v>
      </c>
      <c r="B444" t="s">
        <v>282</v>
      </c>
      <c r="C444" t="s">
        <v>404</v>
      </c>
      <c r="D444">
        <v>35.67</v>
      </c>
      <c r="E444">
        <v>202.61</v>
      </c>
      <c r="F444" t="s">
        <v>311</v>
      </c>
      <c r="G444">
        <v>5.68</v>
      </c>
      <c r="H444">
        <v>243.13</v>
      </c>
      <c r="I444" t="s">
        <v>315</v>
      </c>
      <c r="J444" t="s">
        <v>405</v>
      </c>
      <c r="K444" t="s">
        <v>581</v>
      </c>
      <c r="L444" t="s">
        <v>178</v>
      </c>
      <c r="M444" t="s">
        <v>282</v>
      </c>
      <c r="N444" t="s">
        <v>51</v>
      </c>
      <c r="O444" t="s">
        <v>283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282</v>
      </c>
      <c r="AH444" t="s">
        <v>51</v>
      </c>
      <c r="AI444" t="s">
        <v>283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243.13</v>
      </c>
      <c r="AN444">
        <f>$H$444*$T$444</f>
        <v>243.13</v>
      </c>
      <c r="AO444">
        <f>$H$444*$U$444</f>
        <v>243.13</v>
      </c>
      <c r="AP444">
        <f>$H$444*$V$444</f>
        <v>243.13</v>
      </c>
      <c r="AQ444">
        <f>$H$444*$W$444</f>
        <v>243.13</v>
      </c>
      <c r="AR444">
        <f>$H$444*$X$444</f>
        <v>243.13</v>
      </c>
      <c r="AS444">
        <f>$H$444*$Y$444</f>
        <v>243.13</v>
      </c>
      <c r="AT444">
        <f>$H$444*$Z$444</f>
        <v>243.13</v>
      </c>
      <c r="AU444">
        <f>$H$444*$AA$444</f>
        <v>243.13</v>
      </c>
      <c r="AV444">
        <f>$H$444*$AB$444</f>
        <v>243.13</v>
      </c>
      <c r="AW444">
        <f>$H$444*$AC$444</f>
        <v>243.13</v>
      </c>
      <c r="AX444">
        <f>$H$444*$AD$444</f>
        <v>243.13</v>
      </c>
      <c r="AY444">
        <f>$H$444*$AE$444</f>
        <v>243.13</v>
      </c>
      <c r="AZ444">
        <f>$H$444*$AF$444</f>
        <v>243.13</v>
      </c>
    </row>
    <row r="445" spans="1:52" x14ac:dyDescent="0.25">
      <c r="A445">
        <v>496</v>
      </c>
      <c r="B445" t="s">
        <v>282</v>
      </c>
      <c r="C445" t="s">
        <v>400</v>
      </c>
      <c r="D445">
        <v>78.510000000000005</v>
      </c>
      <c r="E445">
        <v>263.79000000000002</v>
      </c>
      <c r="F445" t="s">
        <v>335</v>
      </c>
      <c r="G445">
        <v>3.36</v>
      </c>
      <c r="H445">
        <v>316.55</v>
      </c>
      <c r="I445" t="s">
        <v>348</v>
      </c>
      <c r="J445" t="s">
        <v>401</v>
      </c>
      <c r="K445" t="s">
        <v>579</v>
      </c>
      <c r="L445" t="s">
        <v>178</v>
      </c>
      <c r="M445" t="s">
        <v>282</v>
      </c>
      <c r="N445" t="s">
        <v>51</v>
      </c>
      <c r="O445" t="s">
        <v>283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282</v>
      </c>
      <c r="AH445" t="s">
        <v>51</v>
      </c>
      <c r="AI445" t="s">
        <v>283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79.137500000000003</v>
      </c>
      <c r="AN445">
        <f>$H$445*$T$445</f>
        <v>79.137500000000003</v>
      </c>
      <c r="AO445">
        <f>$H$445*$U$445</f>
        <v>79.137500000000003</v>
      </c>
      <c r="AP445">
        <f>$H$445*$V$445</f>
        <v>79.137500000000003</v>
      </c>
      <c r="AQ445">
        <f>$H$445*$W$445</f>
        <v>158.27500000000001</v>
      </c>
      <c r="AR445">
        <f>$H$445*$X$445</f>
        <v>158.27500000000001</v>
      </c>
      <c r="AS445">
        <f>$H$445*$Y$445</f>
        <v>158.27500000000001</v>
      </c>
      <c r="AT445">
        <f>$H$445*$Z$445</f>
        <v>158.27500000000001</v>
      </c>
      <c r="AU445">
        <f>$H$445*$AA$445</f>
        <v>316.55</v>
      </c>
      <c r="AV445">
        <f>$H$445*$AB$445</f>
        <v>316.55</v>
      </c>
      <c r="AW445">
        <f>$H$445*$AC$445</f>
        <v>316.55</v>
      </c>
      <c r="AX445">
        <f>$H$445*$AD$445</f>
        <v>316.55</v>
      </c>
      <c r="AY445">
        <f>$H$445*$AE$445</f>
        <v>316.55</v>
      </c>
      <c r="AZ445">
        <f>$H$445*$AF$445</f>
        <v>316.55</v>
      </c>
    </row>
    <row r="446" spans="1:52" x14ac:dyDescent="0.25">
      <c r="A446">
        <v>497</v>
      </c>
      <c r="B446" t="s">
        <v>282</v>
      </c>
      <c r="C446" t="s">
        <v>406</v>
      </c>
      <c r="D446">
        <v>78.510000000000005</v>
      </c>
      <c r="E446">
        <v>49.46</v>
      </c>
      <c r="F446" t="s">
        <v>335</v>
      </c>
      <c r="G446">
        <v>0.63</v>
      </c>
      <c r="H446">
        <v>59.36</v>
      </c>
      <c r="I446" t="s">
        <v>312</v>
      </c>
      <c r="J446" t="s">
        <v>407</v>
      </c>
      <c r="K446" t="s">
        <v>582</v>
      </c>
      <c r="L446" t="s">
        <v>178</v>
      </c>
      <c r="M446" t="s">
        <v>282</v>
      </c>
      <c r="N446" t="s">
        <v>51</v>
      </c>
      <c r="O446" t="s">
        <v>283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</v>
      </c>
      <c r="AE446">
        <v>1</v>
      </c>
      <c r="AF446">
        <v>1</v>
      </c>
      <c r="AG446" t="s">
        <v>282</v>
      </c>
      <c r="AH446" t="s">
        <v>51</v>
      </c>
      <c r="AI446" t="s">
        <v>283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0</v>
      </c>
      <c r="AN446">
        <f>$H$446*$T$446</f>
        <v>0</v>
      </c>
      <c r="AO446">
        <f>$H$446*$U$446</f>
        <v>0</v>
      </c>
      <c r="AP446">
        <f>$H$446*$V$446</f>
        <v>0</v>
      </c>
      <c r="AQ446">
        <f>$H$446*$W$446</f>
        <v>0</v>
      </c>
      <c r="AR446">
        <f>$H$446*$X$446</f>
        <v>0</v>
      </c>
      <c r="AS446">
        <f>$H$446*$Y$446</f>
        <v>0</v>
      </c>
      <c r="AT446">
        <f>$H$446*$Z$446</f>
        <v>0</v>
      </c>
      <c r="AU446">
        <f>$H$446*$AA$446</f>
        <v>0</v>
      </c>
      <c r="AV446">
        <f>$H$446*$AB$446</f>
        <v>0</v>
      </c>
      <c r="AW446">
        <f>$H$446*$AC$446</f>
        <v>0</v>
      </c>
      <c r="AX446">
        <f>$H$446*$AD$446</f>
        <v>59.36</v>
      </c>
      <c r="AY446">
        <f>$H$446*$AE$446</f>
        <v>59.36</v>
      </c>
      <c r="AZ446">
        <f>$H$446*$AF$446</f>
        <v>59.36</v>
      </c>
    </row>
    <row r="447" spans="1:52" x14ac:dyDescent="0.25">
      <c r="A447">
        <v>498</v>
      </c>
      <c r="B447" t="s">
        <v>282</v>
      </c>
      <c r="C447" t="s">
        <v>408</v>
      </c>
      <c r="D447">
        <v>78.510000000000005</v>
      </c>
      <c r="E447">
        <v>54.17</v>
      </c>
      <c r="F447" t="s">
        <v>335</v>
      </c>
      <c r="G447">
        <v>0.69</v>
      </c>
      <c r="H447">
        <v>65.010000000000005</v>
      </c>
      <c r="I447" t="s">
        <v>312</v>
      </c>
      <c r="J447" t="s">
        <v>409</v>
      </c>
      <c r="K447" t="s">
        <v>583</v>
      </c>
      <c r="L447" t="s">
        <v>178</v>
      </c>
      <c r="M447" t="s">
        <v>282</v>
      </c>
      <c r="N447" t="s">
        <v>51</v>
      </c>
      <c r="O447" t="s">
        <v>283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282</v>
      </c>
      <c r="AH447" t="s">
        <v>51</v>
      </c>
      <c r="AI447" t="s">
        <v>283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65.010000000000005</v>
      </c>
      <c r="AN447">
        <f>$H$447*$T$447</f>
        <v>65.010000000000005</v>
      </c>
      <c r="AO447">
        <f>$H$447*$U$447</f>
        <v>65.010000000000005</v>
      </c>
      <c r="AP447">
        <f>$H$447*$V$447</f>
        <v>65.010000000000005</v>
      </c>
      <c r="AQ447">
        <f>$H$447*$W$447</f>
        <v>65.010000000000005</v>
      </c>
      <c r="AR447">
        <f>$H$447*$X$447</f>
        <v>65.010000000000005</v>
      </c>
      <c r="AS447">
        <f>$H$447*$Y$447</f>
        <v>65.010000000000005</v>
      </c>
      <c r="AT447">
        <f>$H$447*$Z$447</f>
        <v>65.010000000000005</v>
      </c>
      <c r="AU447">
        <f>$H$447*$AA$447</f>
        <v>65.010000000000005</v>
      </c>
      <c r="AV447">
        <f>$H$447*$AB$447</f>
        <v>65.010000000000005</v>
      </c>
      <c r="AW447">
        <f>$H$447*$AC$447</f>
        <v>65.010000000000005</v>
      </c>
      <c r="AX447">
        <f>$H$447*$AD$447</f>
        <v>65.010000000000005</v>
      </c>
      <c r="AY447">
        <f>$H$447*$AE$447</f>
        <v>65.010000000000005</v>
      </c>
      <c r="AZ447">
        <f>$H$447*$AF$447</f>
        <v>65.010000000000005</v>
      </c>
    </row>
    <row r="448" spans="1:52" x14ac:dyDescent="0.25">
      <c r="A448">
        <v>499</v>
      </c>
      <c r="B448" t="s">
        <v>282</v>
      </c>
      <c r="C448" t="s">
        <v>410</v>
      </c>
      <c r="D448">
        <v>16.489999999999998</v>
      </c>
      <c r="E448">
        <v>112.3</v>
      </c>
      <c r="F448" t="s">
        <v>335</v>
      </c>
      <c r="G448">
        <v>6.81</v>
      </c>
      <c r="H448">
        <v>134.76</v>
      </c>
      <c r="I448" t="s">
        <v>411</v>
      </c>
      <c r="J448" t="s">
        <v>412</v>
      </c>
      <c r="K448" t="s">
        <v>584</v>
      </c>
      <c r="L448" t="s">
        <v>178</v>
      </c>
      <c r="M448" t="s">
        <v>282</v>
      </c>
      <c r="N448" t="s">
        <v>51</v>
      </c>
      <c r="O448" t="s">
        <v>283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282</v>
      </c>
      <c r="AH448" t="s">
        <v>51</v>
      </c>
      <c r="AI448" t="s">
        <v>283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134.76</v>
      </c>
      <c r="AN448">
        <f>$H$448*$T$448</f>
        <v>134.76</v>
      </c>
      <c r="AO448">
        <f>$H$448*$U$448</f>
        <v>134.76</v>
      </c>
      <c r="AP448">
        <f>$H$448*$V$448</f>
        <v>134.76</v>
      </c>
      <c r="AQ448">
        <f>$H$448*$W$448</f>
        <v>134.76</v>
      </c>
      <c r="AR448">
        <f>$H$448*$X$448</f>
        <v>134.76</v>
      </c>
      <c r="AS448">
        <f>$H$448*$Y$448</f>
        <v>134.76</v>
      </c>
      <c r="AT448">
        <f>$H$448*$Z$448</f>
        <v>134.76</v>
      </c>
      <c r="AU448">
        <f>$H$448*$AA$448</f>
        <v>134.76</v>
      </c>
      <c r="AV448">
        <f>$H$448*$AB$448</f>
        <v>134.76</v>
      </c>
      <c r="AW448">
        <f>$H$448*$AC$448</f>
        <v>134.76</v>
      </c>
      <c r="AX448">
        <f>$H$448*$AD$448</f>
        <v>134.76</v>
      </c>
      <c r="AY448">
        <f>$H$448*$AE$448</f>
        <v>134.76</v>
      </c>
      <c r="AZ448">
        <f>$H$448*$AF$448</f>
        <v>134.76</v>
      </c>
    </row>
    <row r="449" spans="1:52" x14ac:dyDescent="0.25">
      <c r="A449">
        <v>500</v>
      </c>
      <c r="B449" t="s">
        <v>282</v>
      </c>
      <c r="C449" t="s">
        <v>413</v>
      </c>
      <c r="D449">
        <v>18.059999999999999</v>
      </c>
      <c r="E449">
        <v>133.1</v>
      </c>
      <c r="F449" t="s">
        <v>335</v>
      </c>
      <c r="G449">
        <v>7.37</v>
      </c>
      <c r="H449">
        <v>159.72</v>
      </c>
      <c r="I449" t="s">
        <v>411</v>
      </c>
      <c r="J449" t="s">
        <v>414</v>
      </c>
      <c r="K449" t="s">
        <v>585</v>
      </c>
      <c r="L449" t="s">
        <v>178</v>
      </c>
      <c r="M449" t="s">
        <v>282</v>
      </c>
      <c r="N449" t="s">
        <v>51</v>
      </c>
      <c r="O449" t="s">
        <v>283</v>
      </c>
      <c r="P449">
        <v>0</v>
      </c>
      <c r="Q449">
        <v>0</v>
      </c>
      <c r="R449">
        <v>0</v>
      </c>
      <c r="S449">
        <v>1</v>
      </c>
      <c r="T449">
        <v>1</v>
      </c>
      <c r="U449">
        <v>1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282</v>
      </c>
      <c r="AH449" t="s">
        <v>51</v>
      </c>
      <c r="AI449" t="s">
        <v>283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159.72</v>
      </c>
      <c r="AN449">
        <f>$H$449*$T$449</f>
        <v>159.72</v>
      </c>
      <c r="AO449">
        <f>$H$449*$U$449</f>
        <v>159.72</v>
      </c>
      <c r="AP449">
        <f>$H$449*$V$449</f>
        <v>159.72</v>
      </c>
      <c r="AQ449">
        <f>$H$449*$W$449</f>
        <v>159.72</v>
      </c>
      <c r="AR449">
        <f>$H$449*$X$449</f>
        <v>159.72</v>
      </c>
      <c r="AS449">
        <f>$H$449*$Y$449</f>
        <v>159.72</v>
      </c>
      <c r="AT449">
        <f>$H$449*$Z$449</f>
        <v>159.72</v>
      </c>
      <c r="AU449">
        <f>$H$449*$AA$449</f>
        <v>159.72</v>
      </c>
      <c r="AV449">
        <f>$H$449*$AB$449</f>
        <v>159.72</v>
      </c>
      <c r="AW449">
        <f>$H$449*$AC$449</f>
        <v>159.72</v>
      </c>
      <c r="AX449">
        <f>$H$449*$AD$449</f>
        <v>159.72</v>
      </c>
      <c r="AY449">
        <f>$H$449*$AE$449</f>
        <v>159.72</v>
      </c>
      <c r="AZ449">
        <f>$H$449*$AF$449</f>
        <v>159.72</v>
      </c>
    </row>
    <row r="450" spans="1:52" x14ac:dyDescent="0.25">
      <c r="A450">
        <v>501</v>
      </c>
      <c r="B450" t="s">
        <v>282</v>
      </c>
      <c r="C450" t="s">
        <v>415</v>
      </c>
      <c r="D450">
        <v>17.3</v>
      </c>
      <c r="E450">
        <v>94.46</v>
      </c>
      <c r="F450" t="s">
        <v>335</v>
      </c>
      <c r="G450">
        <v>5.46</v>
      </c>
      <c r="H450">
        <v>113.36</v>
      </c>
      <c r="I450" t="s">
        <v>416</v>
      </c>
      <c r="J450" t="s">
        <v>417</v>
      </c>
      <c r="K450" t="s">
        <v>586</v>
      </c>
      <c r="L450" t="s">
        <v>178</v>
      </c>
      <c r="M450" t="s">
        <v>282</v>
      </c>
      <c r="N450" t="s">
        <v>51</v>
      </c>
      <c r="O450" t="s">
        <v>283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282</v>
      </c>
      <c r="AH450" t="s">
        <v>51</v>
      </c>
      <c r="AI450" t="s">
        <v>283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113.36</v>
      </c>
      <c r="AN450">
        <f>$H$450*$T$450</f>
        <v>113.36</v>
      </c>
      <c r="AO450">
        <f>$H$450*$U$450</f>
        <v>113.36</v>
      </c>
      <c r="AP450">
        <f>$H$450*$V$450</f>
        <v>113.36</v>
      </c>
      <c r="AQ450">
        <f>$H$450*$W$450</f>
        <v>113.36</v>
      </c>
      <c r="AR450">
        <f>$H$450*$X$450</f>
        <v>113.36</v>
      </c>
      <c r="AS450">
        <f>$H$450*$Y$450</f>
        <v>113.36</v>
      </c>
      <c r="AT450">
        <f>$H$450*$Z$450</f>
        <v>113.36</v>
      </c>
      <c r="AU450">
        <f>$H$450*$AA$450</f>
        <v>113.36</v>
      </c>
      <c r="AV450">
        <f>$H$450*$AB$450</f>
        <v>113.36</v>
      </c>
      <c r="AW450">
        <f>$H$450*$AC$450</f>
        <v>113.36</v>
      </c>
      <c r="AX450">
        <f>$H$450*$AD$450</f>
        <v>113.36</v>
      </c>
      <c r="AY450">
        <f>$H$450*$AE$450</f>
        <v>113.36</v>
      </c>
      <c r="AZ450">
        <f>$H$450*$AF$450</f>
        <v>113.36</v>
      </c>
    </row>
    <row r="451" spans="1:52" x14ac:dyDescent="0.25">
      <c r="A451">
        <v>502</v>
      </c>
      <c r="B451" t="s">
        <v>282</v>
      </c>
      <c r="C451" t="s">
        <v>418</v>
      </c>
      <c r="D451">
        <v>17.3</v>
      </c>
      <c r="E451">
        <v>61.93</v>
      </c>
      <c r="F451" t="s">
        <v>335</v>
      </c>
      <c r="G451">
        <v>3.58</v>
      </c>
      <c r="H451">
        <v>74.31</v>
      </c>
      <c r="I451" t="s">
        <v>416</v>
      </c>
      <c r="J451" t="s">
        <v>419</v>
      </c>
      <c r="K451" t="s">
        <v>587</v>
      </c>
      <c r="L451" t="s">
        <v>178</v>
      </c>
      <c r="M451" t="s">
        <v>282</v>
      </c>
      <c r="N451" t="s">
        <v>51</v>
      </c>
      <c r="O451" t="s">
        <v>283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282</v>
      </c>
      <c r="AH451" t="s">
        <v>51</v>
      </c>
      <c r="AI451" t="s">
        <v>283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74.31</v>
      </c>
      <c r="AN451">
        <f>$H$451*$T$451</f>
        <v>74.31</v>
      </c>
      <c r="AO451">
        <f>$H$451*$U$451</f>
        <v>74.31</v>
      </c>
      <c r="AP451">
        <f>$H$451*$V$451</f>
        <v>74.31</v>
      </c>
      <c r="AQ451">
        <f>$H$451*$W$451</f>
        <v>74.31</v>
      </c>
      <c r="AR451">
        <f>$H$451*$X$451</f>
        <v>74.31</v>
      </c>
      <c r="AS451">
        <f>$H$451*$Y$451</f>
        <v>74.31</v>
      </c>
      <c r="AT451">
        <f>$H$451*$Z$451</f>
        <v>74.31</v>
      </c>
      <c r="AU451">
        <f>$H$451*$AA$451</f>
        <v>74.31</v>
      </c>
      <c r="AV451">
        <f>$H$451*$AB$451</f>
        <v>74.31</v>
      </c>
      <c r="AW451">
        <f>$H$451*$AC$451</f>
        <v>74.31</v>
      </c>
      <c r="AX451">
        <f>$H$451*$AD$451</f>
        <v>74.31</v>
      </c>
      <c r="AY451">
        <f>$H$451*$AE$451</f>
        <v>74.31</v>
      </c>
      <c r="AZ451">
        <f>$H$451*$AF$451</f>
        <v>74.31</v>
      </c>
    </row>
    <row r="452" spans="1:52" x14ac:dyDescent="0.25">
      <c r="A452">
        <v>503</v>
      </c>
      <c r="B452" t="s">
        <v>282</v>
      </c>
      <c r="C452" t="s">
        <v>420</v>
      </c>
      <c r="D452">
        <v>17.3</v>
      </c>
      <c r="E452">
        <v>170.41</v>
      </c>
      <c r="F452" t="s">
        <v>335</v>
      </c>
      <c r="G452">
        <v>9.85</v>
      </c>
      <c r="H452">
        <v>204.49</v>
      </c>
      <c r="I452" t="s">
        <v>416</v>
      </c>
      <c r="J452" t="s">
        <v>414</v>
      </c>
      <c r="K452" t="s">
        <v>588</v>
      </c>
      <c r="L452" t="s">
        <v>178</v>
      </c>
      <c r="M452" t="s">
        <v>282</v>
      </c>
      <c r="N452" t="s">
        <v>51</v>
      </c>
      <c r="O452" t="s">
        <v>283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282</v>
      </c>
      <c r="AH452" t="s">
        <v>51</v>
      </c>
      <c r="AI452" t="s">
        <v>283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204.49</v>
      </c>
      <c r="AN452">
        <f>$H$452*$T$452</f>
        <v>204.49</v>
      </c>
      <c r="AO452">
        <f>$H$452*$U$452</f>
        <v>204.49</v>
      </c>
      <c r="AP452">
        <f>$H$452*$V$452</f>
        <v>204.49</v>
      </c>
      <c r="AQ452">
        <f>$H$452*$W$452</f>
        <v>204.49</v>
      </c>
      <c r="AR452">
        <f>$H$452*$X$452</f>
        <v>204.49</v>
      </c>
      <c r="AS452">
        <f>$H$452*$Y$452</f>
        <v>204.49</v>
      </c>
      <c r="AT452">
        <f>$H$452*$Z$452</f>
        <v>204.49</v>
      </c>
      <c r="AU452">
        <f>$H$452*$AA$452</f>
        <v>204.49</v>
      </c>
      <c r="AV452">
        <f>$H$452*$AB$452</f>
        <v>204.49</v>
      </c>
      <c r="AW452">
        <f>$H$452*$AC$452</f>
        <v>204.49</v>
      </c>
      <c r="AX452">
        <f>$H$452*$AD$452</f>
        <v>204.49</v>
      </c>
      <c r="AY452">
        <f>$H$452*$AE$452</f>
        <v>204.49</v>
      </c>
      <c r="AZ452">
        <f>$H$452*$AF$452</f>
        <v>204.49</v>
      </c>
    </row>
    <row r="453" spans="1:52" x14ac:dyDescent="0.25">
      <c r="A453">
        <v>504</v>
      </c>
      <c r="B453" t="s">
        <v>282</v>
      </c>
      <c r="C453" t="s">
        <v>421</v>
      </c>
      <c r="D453">
        <v>18.059999999999999</v>
      </c>
      <c r="E453">
        <v>17.52</v>
      </c>
      <c r="F453" t="s">
        <v>335</v>
      </c>
      <c r="G453">
        <v>0.97</v>
      </c>
      <c r="H453">
        <v>21.02</v>
      </c>
      <c r="I453" t="s">
        <v>360</v>
      </c>
      <c r="J453" t="s">
        <v>422</v>
      </c>
      <c r="K453" t="s">
        <v>589</v>
      </c>
      <c r="L453" t="s">
        <v>178</v>
      </c>
      <c r="M453" t="s">
        <v>282</v>
      </c>
      <c r="N453" t="s">
        <v>51</v>
      </c>
      <c r="O453" t="s">
        <v>283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282</v>
      </c>
      <c r="AH453" t="s">
        <v>51</v>
      </c>
      <c r="AI453" t="s">
        <v>283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21.02</v>
      </c>
      <c r="AN453">
        <f>$H$453*$T$453</f>
        <v>21.02</v>
      </c>
      <c r="AO453">
        <f>$H$453*$U$453</f>
        <v>21.02</v>
      </c>
      <c r="AP453">
        <f>$H$453*$V$453</f>
        <v>21.02</v>
      </c>
      <c r="AQ453">
        <f>$H$453*$W$453</f>
        <v>21.02</v>
      </c>
      <c r="AR453">
        <f>$H$453*$X$453</f>
        <v>21.02</v>
      </c>
      <c r="AS453">
        <f>$H$453*$Y$453</f>
        <v>21.02</v>
      </c>
      <c r="AT453">
        <f>$H$453*$Z$453</f>
        <v>21.02</v>
      </c>
      <c r="AU453">
        <f>$H$453*$AA$453</f>
        <v>21.02</v>
      </c>
      <c r="AV453">
        <f>$H$453*$AB$453</f>
        <v>21.02</v>
      </c>
      <c r="AW453">
        <f>$H$453*$AC$453</f>
        <v>21.02</v>
      </c>
      <c r="AX453">
        <f>$H$453*$AD$453</f>
        <v>21.02</v>
      </c>
      <c r="AY453">
        <f>$H$453*$AE$453</f>
        <v>21.02</v>
      </c>
      <c r="AZ453">
        <f>$H$453*$AF$453</f>
        <v>21.02</v>
      </c>
    </row>
    <row r="454" spans="1:52" x14ac:dyDescent="0.25">
      <c r="A454">
        <v>505</v>
      </c>
      <c r="B454" t="s">
        <v>282</v>
      </c>
      <c r="C454" t="s">
        <v>423</v>
      </c>
      <c r="D454">
        <v>18.059999999999999</v>
      </c>
      <c r="E454">
        <v>138.34</v>
      </c>
      <c r="F454" t="s">
        <v>335</v>
      </c>
      <c r="G454">
        <v>7.66</v>
      </c>
      <c r="H454">
        <v>166</v>
      </c>
      <c r="I454" t="s">
        <v>360</v>
      </c>
      <c r="J454" t="s">
        <v>414</v>
      </c>
      <c r="K454" t="s">
        <v>590</v>
      </c>
      <c r="L454" t="s">
        <v>178</v>
      </c>
      <c r="M454" t="s">
        <v>282</v>
      </c>
      <c r="N454" t="s">
        <v>51</v>
      </c>
      <c r="O454" t="s">
        <v>283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282</v>
      </c>
      <c r="AH454" t="s">
        <v>51</v>
      </c>
      <c r="AI454" t="s">
        <v>283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166</v>
      </c>
      <c r="AN454">
        <f>$H$454*$T$454</f>
        <v>166</v>
      </c>
      <c r="AO454">
        <f>$H$454*$U$454</f>
        <v>166</v>
      </c>
      <c r="AP454">
        <f>$H$454*$V$454</f>
        <v>166</v>
      </c>
      <c r="AQ454">
        <f>$H$454*$W$454</f>
        <v>166</v>
      </c>
      <c r="AR454">
        <f>$H$454*$X$454</f>
        <v>166</v>
      </c>
      <c r="AS454">
        <f>$H$454*$Y$454</f>
        <v>166</v>
      </c>
      <c r="AT454">
        <f>$H$454*$Z$454</f>
        <v>166</v>
      </c>
      <c r="AU454">
        <f>$H$454*$AA$454</f>
        <v>166</v>
      </c>
      <c r="AV454">
        <f>$H$454*$AB$454</f>
        <v>166</v>
      </c>
      <c r="AW454">
        <f>$H$454*$AC$454</f>
        <v>166</v>
      </c>
      <c r="AX454">
        <f>$H$454*$AD$454</f>
        <v>166</v>
      </c>
      <c r="AY454">
        <f>$H$454*$AE$454</f>
        <v>166</v>
      </c>
      <c r="AZ454">
        <f>$H$454*$AF$454</f>
        <v>166</v>
      </c>
    </row>
    <row r="455" spans="1:52" x14ac:dyDescent="0.25">
      <c r="A455">
        <v>506</v>
      </c>
      <c r="B455" t="s">
        <v>286</v>
      </c>
      <c r="C455" t="s">
        <v>397</v>
      </c>
      <c r="D455">
        <v>6</v>
      </c>
      <c r="E455">
        <v>79.62</v>
      </c>
      <c r="F455" t="s">
        <v>317</v>
      </c>
      <c r="G455">
        <v>13.27</v>
      </c>
      <c r="H455">
        <v>95.54</v>
      </c>
      <c r="I455" t="s">
        <v>319</v>
      </c>
      <c r="J455" t="s">
        <v>398</v>
      </c>
      <c r="K455" t="s">
        <v>577</v>
      </c>
      <c r="L455" t="s">
        <v>178</v>
      </c>
      <c r="M455" t="s">
        <v>286</v>
      </c>
      <c r="N455" t="s">
        <v>51</v>
      </c>
      <c r="O455" t="s">
        <v>15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286</v>
      </c>
      <c r="AH455" t="s">
        <v>51</v>
      </c>
      <c r="AI455" t="s">
        <v>15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95.54</v>
      </c>
      <c r="AS455">
        <f>$H$455*$Y$455</f>
        <v>95.54</v>
      </c>
      <c r="AT455">
        <f>$H$455*$Z$455</f>
        <v>95.54</v>
      </c>
      <c r="AU455">
        <f>$H$455*$AA$455</f>
        <v>95.54</v>
      </c>
      <c r="AV455">
        <f>$H$455*$AB$455</f>
        <v>95.54</v>
      </c>
      <c r="AW455">
        <f>$H$455*$AC$455</f>
        <v>95.54</v>
      </c>
      <c r="AX455">
        <f>$H$455*$AD$455</f>
        <v>95.54</v>
      </c>
      <c r="AY455">
        <f>$H$455*$AE$455</f>
        <v>95.54</v>
      </c>
      <c r="AZ455">
        <f>$H$455*$AF$455</f>
        <v>95.54</v>
      </c>
    </row>
    <row r="456" spans="1:52" x14ac:dyDescent="0.25">
      <c r="A456">
        <v>507</v>
      </c>
      <c r="B456" t="s">
        <v>286</v>
      </c>
      <c r="C456" t="s">
        <v>341</v>
      </c>
      <c r="D456">
        <v>21</v>
      </c>
      <c r="E456">
        <v>93.24</v>
      </c>
      <c r="F456" t="s">
        <v>311</v>
      </c>
      <c r="G456">
        <v>4.4400000000000004</v>
      </c>
      <c r="H456">
        <v>111.88</v>
      </c>
      <c r="I456" t="s">
        <v>312</v>
      </c>
      <c r="J456" t="s">
        <v>342</v>
      </c>
      <c r="K456" t="s">
        <v>550</v>
      </c>
      <c r="L456" t="s">
        <v>178</v>
      </c>
      <c r="M456" t="s">
        <v>286</v>
      </c>
      <c r="N456" t="s">
        <v>51</v>
      </c>
      <c r="O456" t="s">
        <v>15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286</v>
      </c>
      <c r="AH456" t="s">
        <v>51</v>
      </c>
      <c r="AI456" t="s">
        <v>15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0</v>
      </c>
      <c r="AS456">
        <f>$H$456*$Y$456</f>
        <v>0</v>
      </c>
      <c r="AT456">
        <f>$H$456*$Z$456</f>
        <v>0</v>
      </c>
      <c r="AU456">
        <f>$H$456*$AA$456</f>
        <v>111.88</v>
      </c>
      <c r="AV456">
        <f>$H$456*$AB$456</f>
        <v>111.88</v>
      </c>
      <c r="AW456">
        <f>$H$456*$AC$456</f>
        <v>111.88</v>
      </c>
      <c r="AX456">
        <f>$H$456*$AD$456</f>
        <v>111.88</v>
      </c>
      <c r="AY456">
        <f>$H$456*$AE$456</f>
        <v>111.88</v>
      </c>
      <c r="AZ456">
        <f>$H$456*$AF$456</f>
        <v>111.88</v>
      </c>
    </row>
    <row r="457" spans="1:52" x14ac:dyDescent="0.25">
      <c r="A457">
        <v>508</v>
      </c>
      <c r="B457" t="s">
        <v>286</v>
      </c>
      <c r="C457" t="s">
        <v>343</v>
      </c>
      <c r="D457">
        <v>21</v>
      </c>
      <c r="E457">
        <v>242.55</v>
      </c>
      <c r="F457" t="s">
        <v>311</v>
      </c>
      <c r="G457">
        <v>11.55</v>
      </c>
      <c r="H457">
        <v>291.07</v>
      </c>
      <c r="I457" t="s">
        <v>315</v>
      </c>
      <c r="J457" t="s">
        <v>344</v>
      </c>
      <c r="K457" t="s">
        <v>551</v>
      </c>
      <c r="L457" t="s">
        <v>178</v>
      </c>
      <c r="M457" t="s">
        <v>286</v>
      </c>
      <c r="N457" t="s">
        <v>51</v>
      </c>
      <c r="O457" t="s">
        <v>15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286</v>
      </c>
      <c r="AH457" t="s">
        <v>51</v>
      </c>
      <c r="AI457" t="s">
        <v>15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291.07</v>
      </c>
      <c r="AV457">
        <f>$H$457*$AB$457</f>
        <v>291.07</v>
      </c>
      <c r="AW457">
        <f>$H$457*$AC$457</f>
        <v>291.07</v>
      </c>
      <c r="AX457">
        <f>$H$457*$AD$457</f>
        <v>291.07</v>
      </c>
      <c r="AY457">
        <f>$H$457*$AE$457</f>
        <v>291.07</v>
      </c>
      <c r="AZ457">
        <f>$H$457*$AF$457</f>
        <v>291.07</v>
      </c>
    </row>
    <row r="458" spans="1:52" x14ac:dyDescent="0.25">
      <c r="A458">
        <v>509</v>
      </c>
      <c r="B458" t="s">
        <v>286</v>
      </c>
      <c r="C458" t="s">
        <v>424</v>
      </c>
      <c r="D458">
        <v>1</v>
      </c>
      <c r="E458">
        <v>48.06</v>
      </c>
      <c r="F458" t="s">
        <v>317</v>
      </c>
      <c r="G458">
        <v>48.06</v>
      </c>
      <c r="H458">
        <v>57.68</v>
      </c>
      <c r="I458" t="s">
        <v>322</v>
      </c>
      <c r="J458" t="s">
        <v>425</v>
      </c>
      <c r="K458" t="s">
        <v>591</v>
      </c>
      <c r="L458" t="s">
        <v>178</v>
      </c>
      <c r="M458" t="s">
        <v>286</v>
      </c>
      <c r="N458" t="s">
        <v>51</v>
      </c>
      <c r="O458" t="s">
        <v>15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1</v>
      </c>
      <c r="AE458">
        <v>1</v>
      </c>
      <c r="AF458">
        <v>1</v>
      </c>
      <c r="AG458" t="s">
        <v>286</v>
      </c>
      <c r="AH458" t="s">
        <v>51</v>
      </c>
      <c r="AI458" t="s">
        <v>15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0</v>
      </c>
      <c r="AS458">
        <f>$H$458*$Y$458</f>
        <v>0</v>
      </c>
      <c r="AT458">
        <f>$H$458*$Z$458</f>
        <v>0</v>
      </c>
      <c r="AU458">
        <f>$H$458*$AA$458</f>
        <v>0</v>
      </c>
      <c r="AV458">
        <f>$H$458*$AB$458</f>
        <v>0</v>
      </c>
      <c r="AW458">
        <f>$H$458*$AC$458</f>
        <v>0</v>
      </c>
      <c r="AX458">
        <f>$H$458*$AD$458</f>
        <v>57.68</v>
      </c>
      <c r="AY458">
        <f>$H$458*$AE$458</f>
        <v>57.68</v>
      </c>
      <c r="AZ458">
        <f>$H$458*$AF$458</f>
        <v>57.68</v>
      </c>
    </row>
    <row r="459" spans="1:52" x14ac:dyDescent="0.25">
      <c r="A459">
        <v>510</v>
      </c>
      <c r="B459" t="s">
        <v>286</v>
      </c>
      <c r="C459" t="s">
        <v>350</v>
      </c>
      <c r="D459">
        <v>1</v>
      </c>
      <c r="E459">
        <v>47.96</v>
      </c>
      <c r="F459" t="s">
        <v>317</v>
      </c>
      <c r="G459">
        <v>47.96</v>
      </c>
      <c r="H459">
        <v>57.56</v>
      </c>
      <c r="I459" t="s">
        <v>351</v>
      </c>
      <c r="J459" t="s">
        <v>352</v>
      </c>
      <c r="K459" t="s">
        <v>554</v>
      </c>
      <c r="L459" t="s">
        <v>178</v>
      </c>
      <c r="M459" t="s">
        <v>286</v>
      </c>
      <c r="N459" t="s">
        <v>51</v>
      </c>
      <c r="O459" t="s">
        <v>15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286</v>
      </c>
      <c r="AH459" t="s">
        <v>51</v>
      </c>
      <c r="AI459" t="s">
        <v>15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0</v>
      </c>
      <c r="AU459">
        <f>$H$459*$AA$459</f>
        <v>57.56</v>
      </c>
      <c r="AV459">
        <f>$H$459*$AB$459</f>
        <v>57.56</v>
      </c>
      <c r="AW459">
        <f>$H$459*$AC$459</f>
        <v>57.56</v>
      </c>
      <c r="AX459">
        <f>$H$459*$AD$459</f>
        <v>57.56</v>
      </c>
      <c r="AY459">
        <f>$H$459*$AE$459</f>
        <v>57.56</v>
      </c>
      <c r="AZ459">
        <f>$H$459*$AF$459</f>
        <v>57.56</v>
      </c>
    </row>
    <row r="460" spans="1:52" x14ac:dyDescent="0.25">
      <c r="A460">
        <v>511</v>
      </c>
      <c r="B460" t="s">
        <v>286</v>
      </c>
      <c r="C460" t="s">
        <v>358</v>
      </c>
      <c r="D460">
        <v>2</v>
      </c>
      <c r="E460">
        <v>77.86</v>
      </c>
      <c r="F460" t="s">
        <v>317</v>
      </c>
      <c r="G460">
        <v>38.93</v>
      </c>
      <c r="H460">
        <v>93.44</v>
      </c>
      <c r="I460" t="s">
        <v>312</v>
      </c>
      <c r="J460" t="s">
        <v>354</v>
      </c>
      <c r="K460" t="s">
        <v>557</v>
      </c>
      <c r="L460" t="s">
        <v>178</v>
      </c>
      <c r="M460" t="s">
        <v>286</v>
      </c>
      <c r="N460" t="s">
        <v>51</v>
      </c>
      <c r="O460" t="s">
        <v>15</v>
      </c>
      <c r="P460">
        <v>0</v>
      </c>
      <c r="Q460">
        <v>0</v>
      </c>
      <c r="R460">
        <v>0</v>
      </c>
      <c r="S460">
        <v>1</v>
      </c>
      <c r="T460">
        <v>1</v>
      </c>
      <c r="U460">
        <v>1</v>
      </c>
      <c r="V460">
        <v>1</v>
      </c>
      <c r="W460">
        <v>1</v>
      </c>
      <c r="X460">
        <v>1</v>
      </c>
      <c r="Y460">
        <v>1</v>
      </c>
      <c r="Z460">
        <v>1</v>
      </c>
      <c r="AA460">
        <v>1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286</v>
      </c>
      <c r="AH460" t="s">
        <v>51</v>
      </c>
      <c r="AI460" t="s">
        <v>15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93.44</v>
      </c>
      <c r="AN460">
        <f>$H$460*$T$460</f>
        <v>93.44</v>
      </c>
      <c r="AO460">
        <f>$H$460*$U$460</f>
        <v>93.44</v>
      </c>
      <c r="AP460">
        <f>$H$460*$V$460</f>
        <v>93.44</v>
      </c>
      <c r="AQ460">
        <f>$H$460*$W$460</f>
        <v>93.44</v>
      </c>
      <c r="AR460">
        <f>$H$460*$X$460</f>
        <v>93.44</v>
      </c>
      <c r="AS460">
        <f>$H$460*$Y$460</f>
        <v>93.44</v>
      </c>
      <c r="AT460">
        <f>$H$460*$Z$460</f>
        <v>93.44</v>
      </c>
      <c r="AU460">
        <f>$H$460*$AA$460</f>
        <v>93.44</v>
      </c>
      <c r="AV460">
        <f>$H$460*$AB$460</f>
        <v>93.44</v>
      </c>
      <c r="AW460">
        <f>$H$460*$AC$460</f>
        <v>93.44</v>
      </c>
      <c r="AX460">
        <f>$H$460*$AD$460</f>
        <v>93.44</v>
      </c>
      <c r="AY460">
        <f>$H$460*$AE$460</f>
        <v>93.44</v>
      </c>
      <c r="AZ460">
        <f>$H$460*$AF$460</f>
        <v>93.44</v>
      </c>
    </row>
    <row r="461" spans="1:52" x14ac:dyDescent="0.25">
      <c r="A461">
        <v>512</v>
      </c>
      <c r="B461" t="s">
        <v>286</v>
      </c>
      <c r="C461" t="s">
        <v>356</v>
      </c>
      <c r="D461">
        <v>2</v>
      </c>
      <c r="E461">
        <v>62.72</v>
      </c>
      <c r="F461" t="s">
        <v>317</v>
      </c>
      <c r="G461">
        <v>31.36</v>
      </c>
      <c r="H461">
        <v>75.260000000000005</v>
      </c>
      <c r="I461" t="s">
        <v>312</v>
      </c>
      <c r="J461" t="s">
        <v>357</v>
      </c>
      <c r="K461" t="s">
        <v>556</v>
      </c>
      <c r="L461" t="s">
        <v>178</v>
      </c>
      <c r="M461" t="s">
        <v>286</v>
      </c>
      <c r="N461" t="s">
        <v>51</v>
      </c>
      <c r="O461" t="s">
        <v>15</v>
      </c>
      <c r="P461">
        <v>0</v>
      </c>
      <c r="Q461">
        <v>0</v>
      </c>
      <c r="R461">
        <v>0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286</v>
      </c>
      <c r="AH461" t="s">
        <v>51</v>
      </c>
      <c r="AI461" t="s">
        <v>15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75.260000000000005</v>
      </c>
      <c r="AN461">
        <f>$H$461*$T$461</f>
        <v>75.260000000000005</v>
      </c>
      <c r="AO461">
        <f>$H$461*$U$461</f>
        <v>75.260000000000005</v>
      </c>
      <c r="AP461">
        <f>$H$461*$V$461</f>
        <v>75.260000000000005</v>
      </c>
      <c r="AQ461">
        <f>$H$461*$W$461</f>
        <v>75.260000000000005</v>
      </c>
      <c r="AR461">
        <f>$H$461*$X$461</f>
        <v>75.260000000000005</v>
      </c>
      <c r="AS461">
        <f>$H$461*$Y$461</f>
        <v>75.260000000000005</v>
      </c>
      <c r="AT461">
        <f>$H$461*$Z$461</f>
        <v>75.260000000000005</v>
      </c>
      <c r="AU461">
        <f>$H$461*$AA$461</f>
        <v>75.260000000000005</v>
      </c>
      <c r="AV461">
        <f>$H$461*$AB$461</f>
        <v>75.260000000000005</v>
      </c>
      <c r="AW461">
        <f>$H$461*$AC$461</f>
        <v>75.260000000000005</v>
      </c>
      <c r="AX461">
        <f>$H$461*$AD$461</f>
        <v>75.260000000000005</v>
      </c>
      <c r="AY461">
        <f>$H$461*$AE$461</f>
        <v>75.260000000000005</v>
      </c>
      <c r="AZ461">
        <f>$H$461*$AF$461</f>
        <v>75.260000000000005</v>
      </c>
    </row>
    <row r="462" spans="1:52" x14ac:dyDescent="0.25">
      <c r="A462">
        <v>513</v>
      </c>
      <c r="B462" t="s">
        <v>286</v>
      </c>
      <c r="C462" t="s">
        <v>353</v>
      </c>
      <c r="D462">
        <v>1</v>
      </c>
      <c r="E462">
        <v>365.09</v>
      </c>
      <c r="F462" t="s">
        <v>317</v>
      </c>
      <c r="G462">
        <v>365.09</v>
      </c>
      <c r="H462">
        <v>438.11</v>
      </c>
      <c r="I462" t="s">
        <v>354</v>
      </c>
      <c r="J462" t="s">
        <v>355</v>
      </c>
      <c r="K462" t="s">
        <v>555</v>
      </c>
      <c r="L462" t="s">
        <v>178</v>
      </c>
      <c r="M462" t="s">
        <v>286</v>
      </c>
      <c r="N462" t="s">
        <v>51</v>
      </c>
      <c r="O462" t="s">
        <v>15</v>
      </c>
      <c r="P462">
        <v>0</v>
      </c>
      <c r="Q462">
        <v>0</v>
      </c>
      <c r="R462">
        <v>0</v>
      </c>
      <c r="S462">
        <v>0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286</v>
      </c>
      <c r="AH462" t="s">
        <v>51</v>
      </c>
      <c r="AI462" t="s">
        <v>15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438.11</v>
      </c>
      <c r="AO462">
        <f>$H$462*$U$462</f>
        <v>438.11</v>
      </c>
      <c r="AP462">
        <f>$H$462*$V$462</f>
        <v>438.11</v>
      </c>
      <c r="AQ462">
        <f>$H$462*$W$462</f>
        <v>438.11</v>
      </c>
      <c r="AR462">
        <f>$H$462*$X$462</f>
        <v>438.11</v>
      </c>
      <c r="AS462">
        <f>$H$462*$Y$462</f>
        <v>438.11</v>
      </c>
      <c r="AT462">
        <f>$H$462*$Z$462</f>
        <v>438.11</v>
      </c>
      <c r="AU462">
        <f>$H$462*$AA$462</f>
        <v>438.11</v>
      </c>
      <c r="AV462">
        <f>$H$462*$AB$462</f>
        <v>438.11</v>
      </c>
      <c r="AW462">
        <f>$H$462*$AC$462</f>
        <v>438.11</v>
      </c>
      <c r="AX462">
        <f>$H$462*$AD$462</f>
        <v>438.11</v>
      </c>
      <c r="AY462">
        <f>$H$462*$AE$462</f>
        <v>438.11</v>
      </c>
      <c r="AZ462">
        <f>$H$462*$AF$462</f>
        <v>438.11</v>
      </c>
    </row>
    <row r="463" spans="1:52" x14ac:dyDescent="0.25">
      <c r="A463">
        <v>514</v>
      </c>
      <c r="B463" t="s">
        <v>286</v>
      </c>
      <c r="C463" t="s">
        <v>345</v>
      </c>
      <c r="D463">
        <v>349.33</v>
      </c>
      <c r="E463">
        <v>342.34</v>
      </c>
      <c r="F463" t="s">
        <v>335</v>
      </c>
      <c r="G463">
        <v>0.98</v>
      </c>
      <c r="H463">
        <v>410.8</v>
      </c>
      <c r="I463" t="s">
        <v>312</v>
      </c>
      <c r="J463" t="s">
        <v>346</v>
      </c>
      <c r="K463" t="s">
        <v>552</v>
      </c>
      <c r="L463" t="s">
        <v>178</v>
      </c>
      <c r="M463" t="s">
        <v>286</v>
      </c>
      <c r="N463" t="s">
        <v>51</v>
      </c>
      <c r="O463" t="s">
        <v>15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286</v>
      </c>
      <c r="AH463" t="s">
        <v>51</v>
      </c>
      <c r="AI463" t="s">
        <v>15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410.8</v>
      </c>
      <c r="AO463">
        <f>$H$463*$U$463</f>
        <v>410.8</v>
      </c>
      <c r="AP463">
        <f>$H$463*$V$463</f>
        <v>410.8</v>
      </c>
      <c r="AQ463">
        <f>$H$463*$W$463</f>
        <v>410.8</v>
      </c>
      <c r="AR463">
        <f>$H$463*$X$463</f>
        <v>410.8</v>
      </c>
      <c r="AS463">
        <f>$H$463*$Y$463</f>
        <v>410.8</v>
      </c>
      <c r="AT463">
        <f>$H$463*$Z$463</f>
        <v>410.8</v>
      </c>
      <c r="AU463">
        <f>$H$463*$AA$463</f>
        <v>410.8</v>
      </c>
      <c r="AV463">
        <f>$H$463*$AB$463</f>
        <v>410.8</v>
      </c>
      <c r="AW463">
        <f>$H$463*$AC$463</f>
        <v>410.8</v>
      </c>
      <c r="AX463">
        <f>$H$463*$AD$463</f>
        <v>410.8</v>
      </c>
      <c r="AY463">
        <f>$H$463*$AE$463</f>
        <v>410.8</v>
      </c>
      <c r="AZ463">
        <f>$H$463*$AF$463</f>
        <v>410.8</v>
      </c>
    </row>
    <row r="464" spans="1:52" x14ac:dyDescent="0.25">
      <c r="A464">
        <v>515</v>
      </c>
      <c r="B464" t="s">
        <v>286</v>
      </c>
      <c r="C464" t="s">
        <v>400</v>
      </c>
      <c r="D464">
        <v>349.33</v>
      </c>
      <c r="E464">
        <v>1173.75</v>
      </c>
      <c r="F464" t="s">
        <v>335</v>
      </c>
      <c r="G464">
        <v>3.36</v>
      </c>
      <c r="H464">
        <v>1408.51</v>
      </c>
      <c r="I464" t="s">
        <v>348</v>
      </c>
      <c r="J464" t="s">
        <v>401</v>
      </c>
      <c r="K464" t="s">
        <v>579</v>
      </c>
      <c r="L464" t="s">
        <v>178</v>
      </c>
      <c r="M464" t="s">
        <v>286</v>
      </c>
      <c r="N464" t="s">
        <v>51</v>
      </c>
      <c r="O464" t="s">
        <v>15</v>
      </c>
      <c r="P464">
        <v>0</v>
      </c>
      <c r="Q464">
        <v>0</v>
      </c>
      <c r="R464">
        <v>0</v>
      </c>
      <c r="S464">
        <v>0.25</v>
      </c>
      <c r="T464">
        <v>0.25</v>
      </c>
      <c r="U464">
        <v>0.25</v>
      </c>
      <c r="V464">
        <v>0.25</v>
      </c>
      <c r="W464">
        <v>0.5</v>
      </c>
      <c r="X464">
        <v>0.5</v>
      </c>
      <c r="Y464">
        <v>0.5</v>
      </c>
      <c r="Z464">
        <v>0.5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286</v>
      </c>
      <c r="AH464" t="s">
        <v>51</v>
      </c>
      <c r="AI464" t="s">
        <v>15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352.1275</v>
      </c>
      <c r="AN464">
        <f>$H$464*$T$464</f>
        <v>352.1275</v>
      </c>
      <c r="AO464">
        <f>$H$464*$U$464</f>
        <v>352.1275</v>
      </c>
      <c r="AP464">
        <f>$H$464*$V$464</f>
        <v>352.1275</v>
      </c>
      <c r="AQ464">
        <f>$H$464*$W$464</f>
        <v>704.255</v>
      </c>
      <c r="AR464">
        <f>$H$464*$X$464</f>
        <v>704.255</v>
      </c>
      <c r="AS464">
        <f>$H$464*$Y$464</f>
        <v>704.255</v>
      </c>
      <c r="AT464">
        <f>$H$464*$Z$464</f>
        <v>704.255</v>
      </c>
      <c r="AU464">
        <f>$H$464*$AA$464</f>
        <v>1408.51</v>
      </c>
      <c r="AV464">
        <f>$H$464*$AB$464</f>
        <v>1408.51</v>
      </c>
      <c r="AW464">
        <f>$H$464*$AC$464</f>
        <v>1408.51</v>
      </c>
      <c r="AX464">
        <f>$H$464*$AD$464</f>
        <v>1408.51</v>
      </c>
      <c r="AY464">
        <f>$H$464*$AE$464</f>
        <v>1408.51</v>
      </c>
      <c r="AZ464">
        <f>$H$464*$AF$464</f>
        <v>1408.51</v>
      </c>
    </row>
    <row r="465" spans="1:52" x14ac:dyDescent="0.25">
      <c r="A465">
        <v>516</v>
      </c>
      <c r="B465" t="s">
        <v>286</v>
      </c>
      <c r="C465" t="s">
        <v>402</v>
      </c>
      <c r="D465">
        <v>43.67</v>
      </c>
      <c r="E465">
        <v>65.94</v>
      </c>
      <c r="F465" t="s">
        <v>311</v>
      </c>
      <c r="G465">
        <v>1.51</v>
      </c>
      <c r="H465">
        <v>79.12</v>
      </c>
      <c r="I465" t="s">
        <v>312</v>
      </c>
      <c r="J465" t="s">
        <v>403</v>
      </c>
      <c r="K465" t="s">
        <v>580</v>
      </c>
      <c r="L465" t="s">
        <v>178</v>
      </c>
      <c r="M465" t="s">
        <v>286</v>
      </c>
      <c r="N465" t="s">
        <v>51</v>
      </c>
      <c r="O465" t="s">
        <v>15</v>
      </c>
      <c r="P465">
        <v>0</v>
      </c>
      <c r="Q465">
        <v>0</v>
      </c>
      <c r="R465">
        <v>0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286</v>
      </c>
      <c r="AH465" t="s">
        <v>51</v>
      </c>
      <c r="AI465" t="s">
        <v>15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79.12</v>
      </c>
      <c r="AN465">
        <f>$H$465*$T$465</f>
        <v>79.12</v>
      </c>
      <c r="AO465">
        <f>$H$465*$U$465</f>
        <v>79.12</v>
      </c>
      <c r="AP465">
        <f>$H$465*$V$465</f>
        <v>79.12</v>
      </c>
      <c r="AQ465">
        <f>$H$465*$W$465</f>
        <v>79.12</v>
      </c>
      <c r="AR465">
        <f>$H$465*$X$465</f>
        <v>79.12</v>
      </c>
      <c r="AS465">
        <f>$H$465*$Y$465</f>
        <v>79.12</v>
      </c>
      <c r="AT465">
        <f>$H$465*$Z$465</f>
        <v>79.12</v>
      </c>
      <c r="AU465">
        <f>$H$465*$AA$465</f>
        <v>79.12</v>
      </c>
      <c r="AV465">
        <f>$H$465*$AB$465</f>
        <v>79.12</v>
      </c>
      <c r="AW465">
        <f>$H$465*$AC$465</f>
        <v>79.12</v>
      </c>
      <c r="AX465">
        <f>$H$465*$AD$465</f>
        <v>79.12</v>
      </c>
      <c r="AY465">
        <f>$H$465*$AE$465</f>
        <v>79.12</v>
      </c>
      <c r="AZ465">
        <f>$H$465*$AF$465</f>
        <v>79.12</v>
      </c>
    </row>
    <row r="466" spans="1:52" x14ac:dyDescent="0.25">
      <c r="A466">
        <v>517</v>
      </c>
      <c r="B466" t="s">
        <v>286</v>
      </c>
      <c r="C466" t="s">
        <v>404</v>
      </c>
      <c r="D466">
        <v>43.67</v>
      </c>
      <c r="E466">
        <v>248.05</v>
      </c>
      <c r="F466" t="s">
        <v>311</v>
      </c>
      <c r="G466">
        <v>5.68</v>
      </c>
      <c r="H466">
        <v>297.67</v>
      </c>
      <c r="I466" t="s">
        <v>315</v>
      </c>
      <c r="J466" t="s">
        <v>405</v>
      </c>
      <c r="K466" t="s">
        <v>581</v>
      </c>
      <c r="L466" t="s">
        <v>178</v>
      </c>
      <c r="M466" t="s">
        <v>286</v>
      </c>
      <c r="N466" t="s">
        <v>51</v>
      </c>
      <c r="O466" t="s">
        <v>15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286</v>
      </c>
      <c r="AH466" t="s">
        <v>51</v>
      </c>
      <c r="AI466" t="s">
        <v>15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297.67</v>
      </c>
      <c r="AN466">
        <f>$H$466*$T$466</f>
        <v>297.67</v>
      </c>
      <c r="AO466">
        <f>$H$466*$U$466</f>
        <v>297.67</v>
      </c>
      <c r="AP466">
        <f>$H$466*$V$466</f>
        <v>297.67</v>
      </c>
      <c r="AQ466">
        <f>$H$466*$W$466</f>
        <v>297.67</v>
      </c>
      <c r="AR466">
        <f>$H$466*$X$466</f>
        <v>297.67</v>
      </c>
      <c r="AS466">
        <f>$H$466*$Y$466</f>
        <v>297.67</v>
      </c>
      <c r="AT466">
        <f>$H$466*$Z$466</f>
        <v>297.67</v>
      </c>
      <c r="AU466">
        <f>$H$466*$AA$466</f>
        <v>297.67</v>
      </c>
      <c r="AV466">
        <f>$H$466*$AB$466</f>
        <v>297.67</v>
      </c>
      <c r="AW466">
        <f>$H$466*$AC$466</f>
        <v>297.67</v>
      </c>
      <c r="AX466">
        <f>$H$466*$AD$466</f>
        <v>297.67</v>
      </c>
      <c r="AY466">
        <f>$H$466*$AE$466</f>
        <v>297.67</v>
      </c>
      <c r="AZ466">
        <f>$H$466*$AF$466</f>
        <v>297.67</v>
      </c>
    </row>
    <row r="467" spans="1:52" x14ac:dyDescent="0.25">
      <c r="A467">
        <v>518</v>
      </c>
      <c r="B467" t="s">
        <v>286</v>
      </c>
      <c r="C467" t="s">
        <v>400</v>
      </c>
      <c r="D467">
        <v>118.17</v>
      </c>
      <c r="E467">
        <v>397.05</v>
      </c>
      <c r="F467" t="s">
        <v>335</v>
      </c>
      <c r="G467">
        <v>3.36</v>
      </c>
      <c r="H467">
        <v>476.47</v>
      </c>
      <c r="I467" t="s">
        <v>348</v>
      </c>
      <c r="J467" t="s">
        <v>401</v>
      </c>
      <c r="K467" t="s">
        <v>579</v>
      </c>
      <c r="L467" t="s">
        <v>178</v>
      </c>
      <c r="M467" t="s">
        <v>286</v>
      </c>
      <c r="N467" t="s">
        <v>51</v>
      </c>
      <c r="O467" t="s">
        <v>15</v>
      </c>
      <c r="P467">
        <v>0</v>
      </c>
      <c r="Q467">
        <v>0</v>
      </c>
      <c r="R467">
        <v>0</v>
      </c>
      <c r="S467">
        <v>0.25</v>
      </c>
      <c r="T467">
        <v>0.25</v>
      </c>
      <c r="U467">
        <v>0.25</v>
      </c>
      <c r="V467">
        <v>0.25</v>
      </c>
      <c r="W467">
        <v>0.5</v>
      </c>
      <c r="X467">
        <v>0.5</v>
      </c>
      <c r="Y467">
        <v>0.5</v>
      </c>
      <c r="Z467">
        <v>0.5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286</v>
      </c>
      <c r="AH467" t="s">
        <v>51</v>
      </c>
      <c r="AI467" t="s">
        <v>15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119.11750000000001</v>
      </c>
      <c r="AN467">
        <f>$H$467*$T$467</f>
        <v>119.11750000000001</v>
      </c>
      <c r="AO467">
        <f>$H$467*$U$467</f>
        <v>119.11750000000001</v>
      </c>
      <c r="AP467">
        <f>$H$467*$V$467</f>
        <v>119.11750000000001</v>
      </c>
      <c r="AQ467">
        <f>$H$467*$W$467</f>
        <v>238.23500000000001</v>
      </c>
      <c r="AR467">
        <f>$H$467*$X$467</f>
        <v>238.23500000000001</v>
      </c>
      <c r="AS467">
        <f>$H$467*$Y$467</f>
        <v>238.23500000000001</v>
      </c>
      <c r="AT467">
        <f>$H$467*$Z$467</f>
        <v>238.23500000000001</v>
      </c>
      <c r="AU467">
        <f>$H$467*$AA$467</f>
        <v>476.47</v>
      </c>
      <c r="AV467">
        <f>$H$467*$AB$467</f>
        <v>476.47</v>
      </c>
      <c r="AW467">
        <f>$H$467*$AC$467</f>
        <v>476.47</v>
      </c>
      <c r="AX467">
        <f>$H$467*$AD$467</f>
        <v>476.47</v>
      </c>
      <c r="AY467">
        <f>$H$467*$AE$467</f>
        <v>476.47</v>
      </c>
      <c r="AZ467">
        <f>$H$467*$AF$467</f>
        <v>476.47</v>
      </c>
    </row>
    <row r="468" spans="1:52" x14ac:dyDescent="0.25">
      <c r="A468">
        <v>519</v>
      </c>
      <c r="B468" t="s">
        <v>286</v>
      </c>
      <c r="C468" t="s">
        <v>406</v>
      </c>
      <c r="D468">
        <v>118.17</v>
      </c>
      <c r="E468">
        <v>74.45</v>
      </c>
      <c r="F468" t="s">
        <v>335</v>
      </c>
      <c r="G468">
        <v>0.63</v>
      </c>
      <c r="H468">
        <v>89.35</v>
      </c>
      <c r="I468" t="s">
        <v>312</v>
      </c>
      <c r="J468" t="s">
        <v>407</v>
      </c>
      <c r="K468" t="s">
        <v>582</v>
      </c>
      <c r="L468" t="s">
        <v>178</v>
      </c>
      <c r="M468" t="s">
        <v>286</v>
      </c>
      <c r="N468" t="s">
        <v>51</v>
      </c>
      <c r="O468" t="s">
        <v>15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1</v>
      </c>
      <c r="AE468">
        <v>1</v>
      </c>
      <c r="AF468">
        <v>1</v>
      </c>
      <c r="AG468" t="s">
        <v>286</v>
      </c>
      <c r="AH468" t="s">
        <v>51</v>
      </c>
      <c r="AI468" t="s">
        <v>15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0</v>
      </c>
      <c r="AQ468">
        <f>$H$468*$W$468</f>
        <v>0</v>
      </c>
      <c r="AR468">
        <f>$H$468*$X$468</f>
        <v>0</v>
      </c>
      <c r="AS468">
        <f>$H$468*$Y$468</f>
        <v>0</v>
      </c>
      <c r="AT468">
        <f>$H$468*$Z$468</f>
        <v>0</v>
      </c>
      <c r="AU468">
        <f>$H$468*$AA$468</f>
        <v>0</v>
      </c>
      <c r="AV468">
        <f>$H$468*$AB$468</f>
        <v>0</v>
      </c>
      <c r="AW468">
        <f>$H$468*$AC$468</f>
        <v>0</v>
      </c>
      <c r="AX468">
        <f>$H$468*$AD$468</f>
        <v>89.35</v>
      </c>
      <c r="AY468">
        <f>$H$468*$AE$468</f>
        <v>89.35</v>
      </c>
      <c r="AZ468">
        <f>$H$468*$AF$468</f>
        <v>89.35</v>
      </c>
    </row>
    <row r="469" spans="1:52" x14ac:dyDescent="0.25">
      <c r="A469">
        <v>520</v>
      </c>
      <c r="B469" t="s">
        <v>286</v>
      </c>
      <c r="C469" t="s">
        <v>408</v>
      </c>
      <c r="D469">
        <v>118.17</v>
      </c>
      <c r="E469">
        <v>81.540000000000006</v>
      </c>
      <c r="F469" t="s">
        <v>335</v>
      </c>
      <c r="G469">
        <v>0.69</v>
      </c>
      <c r="H469">
        <v>97.84</v>
      </c>
      <c r="I469" t="s">
        <v>312</v>
      </c>
      <c r="J469" t="s">
        <v>409</v>
      </c>
      <c r="K469" t="s">
        <v>583</v>
      </c>
      <c r="L469" t="s">
        <v>178</v>
      </c>
      <c r="M469" t="s">
        <v>286</v>
      </c>
      <c r="N469" t="s">
        <v>51</v>
      </c>
      <c r="O469" t="s">
        <v>15</v>
      </c>
      <c r="P469">
        <v>0</v>
      </c>
      <c r="Q469">
        <v>0</v>
      </c>
      <c r="R469">
        <v>0</v>
      </c>
      <c r="S469">
        <v>1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286</v>
      </c>
      <c r="AH469" t="s">
        <v>51</v>
      </c>
      <c r="AI469" t="s">
        <v>15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97.84</v>
      </c>
      <c r="AN469">
        <f>$H$469*$T$469</f>
        <v>97.84</v>
      </c>
      <c r="AO469">
        <f>$H$469*$U$469</f>
        <v>97.84</v>
      </c>
      <c r="AP469">
        <f>$H$469*$V$469</f>
        <v>97.84</v>
      </c>
      <c r="AQ469">
        <f>$H$469*$W$469</f>
        <v>97.84</v>
      </c>
      <c r="AR469">
        <f>$H$469*$X$469</f>
        <v>97.84</v>
      </c>
      <c r="AS469">
        <f>$H$469*$Y$469</f>
        <v>97.84</v>
      </c>
      <c r="AT469">
        <f>$H$469*$Z$469</f>
        <v>97.84</v>
      </c>
      <c r="AU469">
        <f>$H$469*$AA$469</f>
        <v>97.84</v>
      </c>
      <c r="AV469">
        <f>$H$469*$AB$469</f>
        <v>97.84</v>
      </c>
      <c r="AW469">
        <f>$H$469*$AC$469</f>
        <v>97.84</v>
      </c>
      <c r="AX469">
        <f>$H$469*$AD$469</f>
        <v>97.84</v>
      </c>
      <c r="AY469">
        <f>$H$469*$AE$469</f>
        <v>97.84</v>
      </c>
      <c r="AZ469">
        <f>$H$469*$AF$469</f>
        <v>97.84</v>
      </c>
    </row>
    <row r="470" spans="1:52" x14ac:dyDescent="0.25">
      <c r="A470">
        <v>521</v>
      </c>
      <c r="B470" t="s">
        <v>286</v>
      </c>
      <c r="C470" t="s">
        <v>410</v>
      </c>
      <c r="D470">
        <v>24.82</v>
      </c>
      <c r="E470">
        <v>169.02</v>
      </c>
      <c r="F470" t="s">
        <v>335</v>
      </c>
      <c r="G470">
        <v>6.81</v>
      </c>
      <c r="H470">
        <v>202.82</v>
      </c>
      <c r="I470" t="s">
        <v>411</v>
      </c>
      <c r="J470" t="s">
        <v>412</v>
      </c>
      <c r="K470" t="s">
        <v>584</v>
      </c>
      <c r="L470" t="s">
        <v>178</v>
      </c>
      <c r="M470" t="s">
        <v>286</v>
      </c>
      <c r="N470" t="s">
        <v>51</v>
      </c>
      <c r="O470" t="s">
        <v>15</v>
      </c>
      <c r="P470">
        <v>0</v>
      </c>
      <c r="Q470">
        <v>0</v>
      </c>
      <c r="R470">
        <v>0</v>
      </c>
      <c r="S470">
        <v>1</v>
      </c>
      <c r="T470">
        <v>1</v>
      </c>
      <c r="U470">
        <v>1</v>
      </c>
      <c r="V470">
        <v>1</v>
      </c>
      <c r="W470">
        <v>1</v>
      </c>
      <c r="X470">
        <v>1</v>
      </c>
      <c r="Y470">
        <v>1</v>
      </c>
      <c r="Z470">
        <v>1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286</v>
      </c>
      <c r="AH470" t="s">
        <v>51</v>
      </c>
      <c r="AI470" t="s">
        <v>15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202.82</v>
      </c>
      <c r="AN470">
        <f>$H$470*$T$470</f>
        <v>202.82</v>
      </c>
      <c r="AO470">
        <f>$H$470*$U$470</f>
        <v>202.82</v>
      </c>
      <c r="AP470">
        <f>$H$470*$V$470</f>
        <v>202.82</v>
      </c>
      <c r="AQ470">
        <f>$H$470*$W$470</f>
        <v>202.82</v>
      </c>
      <c r="AR470">
        <f>$H$470*$X$470</f>
        <v>202.82</v>
      </c>
      <c r="AS470">
        <f>$H$470*$Y$470</f>
        <v>202.82</v>
      </c>
      <c r="AT470">
        <f>$H$470*$Z$470</f>
        <v>202.82</v>
      </c>
      <c r="AU470">
        <f>$H$470*$AA$470</f>
        <v>202.82</v>
      </c>
      <c r="AV470">
        <f>$H$470*$AB$470</f>
        <v>202.82</v>
      </c>
      <c r="AW470">
        <f>$H$470*$AC$470</f>
        <v>202.82</v>
      </c>
      <c r="AX470">
        <f>$H$470*$AD$470</f>
        <v>202.82</v>
      </c>
      <c r="AY470">
        <f>$H$470*$AE$470</f>
        <v>202.82</v>
      </c>
      <c r="AZ470">
        <f>$H$470*$AF$470</f>
        <v>202.82</v>
      </c>
    </row>
    <row r="471" spans="1:52" x14ac:dyDescent="0.25">
      <c r="A471">
        <v>522</v>
      </c>
      <c r="B471" t="s">
        <v>286</v>
      </c>
      <c r="C471" t="s">
        <v>413</v>
      </c>
      <c r="D471">
        <v>27.18</v>
      </c>
      <c r="E471">
        <v>200.32</v>
      </c>
      <c r="F471" t="s">
        <v>335</v>
      </c>
      <c r="G471">
        <v>7.37</v>
      </c>
      <c r="H471">
        <v>240.38</v>
      </c>
      <c r="I471" t="s">
        <v>411</v>
      </c>
      <c r="J471" t="s">
        <v>414</v>
      </c>
      <c r="K471" t="s">
        <v>585</v>
      </c>
      <c r="L471" t="s">
        <v>178</v>
      </c>
      <c r="M471" t="s">
        <v>286</v>
      </c>
      <c r="N471" t="s">
        <v>51</v>
      </c>
      <c r="O471" t="s">
        <v>15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286</v>
      </c>
      <c r="AH471" t="s">
        <v>51</v>
      </c>
      <c r="AI471" t="s">
        <v>15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240.38</v>
      </c>
      <c r="AN471">
        <f>$H$471*$T$471</f>
        <v>240.38</v>
      </c>
      <c r="AO471">
        <f>$H$471*$U$471</f>
        <v>240.38</v>
      </c>
      <c r="AP471">
        <f>$H$471*$V$471</f>
        <v>240.38</v>
      </c>
      <c r="AQ471">
        <f>$H$471*$W$471</f>
        <v>240.38</v>
      </c>
      <c r="AR471">
        <f>$H$471*$X$471</f>
        <v>240.38</v>
      </c>
      <c r="AS471">
        <f>$H$471*$Y$471</f>
        <v>240.38</v>
      </c>
      <c r="AT471">
        <f>$H$471*$Z$471</f>
        <v>240.38</v>
      </c>
      <c r="AU471">
        <f>$H$471*$AA$471</f>
        <v>240.38</v>
      </c>
      <c r="AV471">
        <f>$H$471*$AB$471</f>
        <v>240.38</v>
      </c>
      <c r="AW471">
        <f>$H$471*$AC$471</f>
        <v>240.38</v>
      </c>
      <c r="AX471">
        <f>$H$471*$AD$471</f>
        <v>240.38</v>
      </c>
      <c r="AY471">
        <f>$H$471*$AE$471</f>
        <v>240.38</v>
      </c>
      <c r="AZ471">
        <f>$H$471*$AF$471</f>
        <v>240.38</v>
      </c>
    </row>
    <row r="472" spans="1:52" x14ac:dyDescent="0.25">
      <c r="A472">
        <v>523</v>
      </c>
      <c r="B472" t="s">
        <v>286</v>
      </c>
      <c r="C472" t="s">
        <v>415</v>
      </c>
      <c r="D472">
        <v>25.23</v>
      </c>
      <c r="E472">
        <v>137.76</v>
      </c>
      <c r="F472" t="s">
        <v>335</v>
      </c>
      <c r="G472">
        <v>5.46</v>
      </c>
      <c r="H472">
        <v>165.32</v>
      </c>
      <c r="I472" t="s">
        <v>416</v>
      </c>
      <c r="J472" t="s">
        <v>417</v>
      </c>
      <c r="K472" t="s">
        <v>586</v>
      </c>
      <c r="L472" t="s">
        <v>178</v>
      </c>
      <c r="M472" t="s">
        <v>286</v>
      </c>
      <c r="N472" t="s">
        <v>51</v>
      </c>
      <c r="O472" t="s">
        <v>15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286</v>
      </c>
      <c r="AH472" t="s">
        <v>51</v>
      </c>
      <c r="AI472" t="s">
        <v>15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165.32</v>
      </c>
      <c r="AN472">
        <f>$H$472*$T$472</f>
        <v>165.32</v>
      </c>
      <c r="AO472">
        <f>$H$472*$U$472</f>
        <v>165.32</v>
      </c>
      <c r="AP472">
        <f>$H$472*$V$472</f>
        <v>165.32</v>
      </c>
      <c r="AQ472">
        <f>$H$472*$W$472</f>
        <v>165.32</v>
      </c>
      <c r="AR472">
        <f>$H$472*$X$472</f>
        <v>165.32</v>
      </c>
      <c r="AS472">
        <f>$H$472*$Y$472</f>
        <v>165.32</v>
      </c>
      <c r="AT472">
        <f>$H$472*$Z$472</f>
        <v>165.32</v>
      </c>
      <c r="AU472">
        <f>$H$472*$AA$472</f>
        <v>165.32</v>
      </c>
      <c r="AV472">
        <f>$H$472*$AB$472</f>
        <v>165.32</v>
      </c>
      <c r="AW472">
        <f>$H$472*$AC$472</f>
        <v>165.32</v>
      </c>
      <c r="AX472">
        <f>$H$472*$AD$472</f>
        <v>165.32</v>
      </c>
      <c r="AY472">
        <f>$H$472*$AE$472</f>
        <v>165.32</v>
      </c>
      <c r="AZ472">
        <f>$H$472*$AF$472</f>
        <v>165.32</v>
      </c>
    </row>
    <row r="473" spans="1:52" x14ac:dyDescent="0.25">
      <c r="A473">
        <v>524</v>
      </c>
      <c r="B473" t="s">
        <v>286</v>
      </c>
      <c r="C473" t="s">
        <v>418</v>
      </c>
      <c r="D473">
        <v>25.23</v>
      </c>
      <c r="E473">
        <v>90.32</v>
      </c>
      <c r="F473" t="s">
        <v>335</v>
      </c>
      <c r="G473">
        <v>3.58</v>
      </c>
      <c r="H473">
        <v>108.38</v>
      </c>
      <c r="I473" t="s">
        <v>416</v>
      </c>
      <c r="J473" t="s">
        <v>419</v>
      </c>
      <c r="K473" t="s">
        <v>587</v>
      </c>
      <c r="L473" t="s">
        <v>178</v>
      </c>
      <c r="M473" t="s">
        <v>286</v>
      </c>
      <c r="N473" t="s">
        <v>51</v>
      </c>
      <c r="O473" t="s">
        <v>15</v>
      </c>
      <c r="P473">
        <v>0</v>
      </c>
      <c r="Q473">
        <v>0</v>
      </c>
      <c r="R473">
        <v>0</v>
      </c>
      <c r="S473">
        <v>1</v>
      </c>
      <c r="T473">
        <v>1</v>
      </c>
      <c r="U473">
        <v>1</v>
      </c>
      <c r="V473">
        <v>1</v>
      </c>
      <c r="W473">
        <v>1</v>
      </c>
      <c r="X473">
        <v>1</v>
      </c>
      <c r="Y473">
        <v>1</v>
      </c>
      <c r="Z473">
        <v>1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286</v>
      </c>
      <c r="AH473" t="s">
        <v>51</v>
      </c>
      <c r="AI473" t="s">
        <v>15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108.38</v>
      </c>
      <c r="AN473">
        <f>$H$473*$T$473</f>
        <v>108.38</v>
      </c>
      <c r="AO473">
        <f>$H$473*$U$473</f>
        <v>108.38</v>
      </c>
      <c r="AP473">
        <f>$H$473*$V$473</f>
        <v>108.38</v>
      </c>
      <c r="AQ473">
        <f>$H$473*$W$473</f>
        <v>108.38</v>
      </c>
      <c r="AR473">
        <f>$H$473*$X$473</f>
        <v>108.38</v>
      </c>
      <c r="AS473">
        <f>$H$473*$Y$473</f>
        <v>108.38</v>
      </c>
      <c r="AT473">
        <f>$H$473*$Z$473</f>
        <v>108.38</v>
      </c>
      <c r="AU473">
        <f>$H$473*$AA$473</f>
        <v>108.38</v>
      </c>
      <c r="AV473">
        <f>$H$473*$AB$473</f>
        <v>108.38</v>
      </c>
      <c r="AW473">
        <f>$H$473*$AC$473</f>
        <v>108.38</v>
      </c>
      <c r="AX473">
        <f>$H$473*$AD$473</f>
        <v>108.38</v>
      </c>
      <c r="AY473">
        <f>$H$473*$AE$473</f>
        <v>108.38</v>
      </c>
      <c r="AZ473">
        <f>$H$473*$AF$473</f>
        <v>108.38</v>
      </c>
    </row>
    <row r="474" spans="1:52" x14ac:dyDescent="0.25">
      <c r="A474">
        <v>525</v>
      </c>
      <c r="B474" t="s">
        <v>286</v>
      </c>
      <c r="C474" t="s">
        <v>420</v>
      </c>
      <c r="D474">
        <v>25.23</v>
      </c>
      <c r="E474">
        <v>248.52</v>
      </c>
      <c r="F474" t="s">
        <v>335</v>
      </c>
      <c r="G474">
        <v>9.85</v>
      </c>
      <c r="H474">
        <v>298.22000000000003</v>
      </c>
      <c r="I474" t="s">
        <v>416</v>
      </c>
      <c r="J474" t="s">
        <v>414</v>
      </c>
      <c r="K474" t="s">
        <v>588</v>
      </c>
      <c r="L474" t="s">
        <v>178</v>
      </c>
      <c r="M474" t="s">
        <v>286</v>
      </c>
      <c r="N474" t="s">
        <v>51</v>
      </c>
      <c r="O474" t="s">
        <v>15</v>
      </c>
      <c r="P474">
        <v>0</v>
      </c>
      <c r="Q474">
        <v>0</v>
      </c>
      <c r="R474">
        <v>0</v>
      </c>
      <c r="S474">
        <v>1</v>
      </c>
      <c r="T474">
        <v>1</v>
      </c>
      <c r="U474">
        <v>1</v>
      </c>
      <c r="V474">
        <v>1</v>
      </c>
      <c r="W474">
        <v>1</v>
      </c>
      <c r="X474">
        <v>1</v>
      </c>
      <c r="Y474">
        <v>1</v>
      </c>
      <c r="Z474">
        <v>1</v>
      </c>
      <c r="AA474">
        <v>1</v>
      </c>
      <c r="AB474">
        <v>1</v>
      </c>
      <c r="AC474">
        <v>1</v>
      </c>
      <c r="AD474">
        <v>1</v>
      </c>
      <c r="AE474">
        <v>1</v>
      </c>
      <c r="AF474">
        <v>1</v>
      </c>
      <c r="AG474" t="s">
        <v>286</v>
      </c>
      <c r="AH474" t="s">
        <v>51</v>
      </c>
      <c r="AI474" t="s">
        <v>15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298.22000000000003</v>
      </c>
      <c r="AN474">
        <f>$H$474*$T$474</f>
        <v>298.22000000000003</v>
      </c>
      <c r="AO474">
        <f>$H$474*$U$474</f>
        <v>298.22000000000003</v>
      </c>
      <c r="AP474">
        <f>$H$474*$V$474</f>
        <v>298.22000000000003</v>
      </c>
      <c r="AQ474">
        <f>$H$474*$W$474</f>
        <v>298.22000000000003</v>
      </c>
      <c r="AR474">
        <f>$H$474*$X$474</f>
        <v>298.22000000000003</v>
      </c>
      <c r="AS474">
        <f>$H$474*$Y$474</f>
        <v>298.22000000000003</v>
      </c>
      <c r="AT474">
        <f>$H$474*$Z$474</f>
        <v>298.22000000000003</v>
      </c>
      <c r="AU474">
        <f>$H$474*$AA$474</f>
        <v>298.22000000000003</v>
      </c>
      <c r="AV474">
        <f>$H$474*$AB$474</f>
        <v>298.22000000000003</v>
      </c>
      <c r="AW474">
        <f>$H$474*$AC$474</f>
        <v>298.22000000000003</v>
      </c>
      <c r="AX474">
        <f>$H$474*$AD$474</f>
        <v>298.22000000000003</v>
      </c>
      <c r="AY474">
        <f>$H$474*$AE$474</f>
        <v>298.22000000000003</v>
      </c>
      <c r="AZ474">
        <f>$H$474*$AF$474</f>
        <v>298.22000000000003</v>
      </c>
    </row>
    <row r="475" spans="1:52" x14ac:dyDescent="0.25">
      <c r="A475">
        <v>526</v>
      </c>
      <c r="B475" t="s">
        <v>286</v>
      </c>
      <c r="C475" t="s">
        <v>421</v>
      </c>
      <c r="D475">
        <v>27.18</v>
      </c>
      <c r="E475">
        <v>26.36</v>
      </c>
      <c r="F475" t="s">
        <v>335</v>
      </c>
      <c r="G475">
        <v>0.97</v>
      </c>
      <c r="H475">
        <v>31.64</v>
      </c>
      <c r="I475" t="s">
        <v>360</v>
      </c>
      <c r="J475" t="s">
        <v>422</v>
      </c>
      <c r="K475" t="s">
        <v>589</v>
      </c>
      <c r="L475" t="s">
        <v>178</v>
      </c>
      <c r="M475" t="s">
        <v>286</v>
      </c>
      <c r="N475" t="s">
        <v>51</v>
      </c>
      <c r="O475" t="s">
        <v>15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286</v>
      </c>
      <c r="AH475" t="s">
        <v>51</v>
      </c>
      <c r="AI475" t="s">
        <v>15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31.64</v>
      </c>
      <c r="AN475">
        <f>$H$475*$T$475</f>
        <v>31.64</v>
      </c>
      <c r="AO475">
        <f>$H$475*$U$475</f>
        <v>31.64</v>
      </c>
      <c r="AP475">
        <f>$H$475*$V$475</f>
        <v>31.64</v>
      </c>
      <c r="AQ475">
        <f>$H$475*$W$475</f>
        <v>31.64</v>
      </c>
      <c r="AR475">
        <f>$H$475*$X$475</f>
        <v>31.64</v>
      </c>
      <c r="AS475">
        <f>$H$475*$Y$475</f>
        <v>31.64</v>
      </c>
      <c r="AT475">
        <f>$H$475*$Z$475</f>
        <v>31.64</v>
      </c>
      <c r="AU475">
        <f>$H$475*$AA$475</f>
        <v>31.64</v>
      </c>
      <c r="AV475">
        <f>$H$475*$AB$475</f>
        <v>31.64</v>
      </c>
      <c r="AW475">
        <f>$H$475*$AC$475</f>
        <v>31.64</v>
      </c>
      <c r="AX475">
        <f>$H$475*$AD$475</f>
        <v>31.64</v>
      </c>
      <c r="AY475">
        <f>$H$475*$AE$475</f>
        <v>31.64</v>
      </c>
      <c r="AZ475">
        <f>$H$475*$AF$475</f>
        <v>31.64</v>
      </c>
    </row>
    <row r="476" spans="1:52" x14ac:dyDescent="0.25">
      <c r="A476">
        <v>527</v>
      </c>
      <c r="B476" t="s">
        <v>286</v>
      </c>
      <c r="C476" t="s">
        <v>423</v>
      </c>
      <c r="D476">
        <v>27.18</v>
      </c>
      <c r="E476">
        <v>208.2</v>
      </c>
      <c r="F476" t="s">
        <v>335</v>
      </c>
      <c r="G476">
        <v>7.66</v>
      </c>
      <c r="H476">
        <v>249.84</v>
      </c>
      <c r="I476" t="s">
        <v>360</v>
      </c>
      <c r="J476" t="s">
        <v>414</v>
      </c>
      <c r="K476" t="s">
        <v>590</v>
      </c>
      <c r="L476" t="s">
        <v>178</v>
      </c>
      <c r="M476" t="s">
        <v>286</v>
      </c>
      <c r="N476" t="s">
        <v>51</v>
      </c>
      <c r="O476" t="s">
        <v>15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286</v>
      </c>
      <c r="AH476" t="s">
        <v>51</v>
      </c>
      <c r="AI476" t="s">
        <v>15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249.84</v>
      </c>
      <c r="AN476">
        <f>$H$476*$T$476</f>
        <v>249.84</v>
      </c>
      <c r="AO476">
        <f>$H$476*$U$476</f>
        <v>249.84</v>
      </c>
      <c r="AP476">
        <f>$H$476*$V$476</f>
        <v>249.84</v>
      </c>
      <c r="AQ476">
        <f>$H$476*$W$476</f>
        <v>249.84</v>
      </c>
      <c r="AR476">
        <f>$H$476*$X$476</f>
        <v>249.84</v>
      </c>
      <c r="AS476">
        <f>$H$476*$Y$476</f>
        <v>249.84</v>
      </c>
      <c r="AT476">
        <f>$H$476*$Z$476</f>
        <v>249.84</v>
      </c>
      <c r="AU476">
        <f>$H$476*$AA$476</f>
        <v>249.84</v>
      </c>
      <c r="AV476">
        <f>$H$476*$AB$476</f>
        <v>249.84</v>
      </c>
      <c r="AW476">
        <f>$H$476*$AC$476</f>
        <v>249.84</v>
      </c>
      <c r="AX476">
        <f>$H$476*$AD$476</f>
        <v>249.84</v>
      </c>
      <c r="AY476">
        <f>$H$476*$AE$476</f>
        <v>249.84</v>
      </c>
      <c r="AZ476">
        <f>$H$476*$AF$476</f>
        <v>249.84</v>
      </c>
    </row>
    <row r="477" spans="1:52" x14ac:dyDescent="0.25">
      <c r="A477">
        <v>528</v>
      </c>
      <c r="B477" t="s">
        <v>288</v>
      </c>
      <c r="C477" t="s">
        <v>397</v>
      </c>
      <c r="D477">
        <v>6</v>
      </c>
      <c r="E477">
        <v>79.62</v>
      </c>
      <c r="F477" t="s">
        <v>317</v>
      </c>
      <c r="G477">
        <v>13.27</v>
      </c>
      <c r="H477">
        <v>95.54</v>
      </c>
      <c r="I477" t="s">
        <v>319</v>
      </c>
      <c r="J477" t="s">
        <v>398</v>
      </c>
      <c r="K477" t="s">
        <v>577</v>
      </c>
      <c r="L477" t="s">
        <v>178</v>
      </c>
      <c r="M477" t="s">
        <v>288</v>
      </c>
      <c r="N477" t="s">
        <v>11</v>
      </c>
      <c r="O477" t="s">
        <v>15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288</v>
      </c>
      <c r="AH477" t="s">
        <v>11</v>
      </c>
      <c r="AI477" t="s">
        <v>15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0</v>
      </c>
      <c r="AN477">
        <f>$H$477*$T$477</f>
        <v>0</v>
      </c>
      <c r="AO477">
        <f>$H$477*$U$477</f>
        <v>0</v>
      </c>
      <c r="AP477">
        <f>$H$477*$V$477</f>
        <v>0</v>
      </c>
      <c r="AQ477">
        <f>$H$477*$W$477</f>
        <v>0</v>
      </c>
      <c r="AR477">
        <f>$H$477*$X$477</f>
        <v>95.54</v>
      </c>
      <c r="AS477">
        <f>$H$477*$Y$477</f>
        <v>95.54</v>
      </c>
      <c r="AT477">
        <f>$H$477*$Z$477</f>
        <v>95.54</v>
      </c>
      <c r="AU477">
        <f>$H$477*$AA$477</f>
        <v>95.54</v>
      </c>
      <c r="AV477">
        <f>$H$477*$AB$477</f>
        <v>95.54</v>
      </c>
      <c r="AW477">
        <f>$H$477*$AC$477</f>
        <v>95.54</v>
      </c>
      <c r="AX477">
        <f>$H$477*$AD$477</f>
        <v>95.54</v>
      </c>
      <c r="AY477">
        <f>$H$477*$AE$477</f>
        <v>95.54</v>
      </c>
      <c r="AZ477">
        <f>$H$477*$AF$477</f>
        <v>95.54</v>
      </c>
    </row>
    <row r="478" spans="1:52" x14ac:dyDescent="0.25">
      <c r="A478">
        <v>529</v>
      </c>
      <c r="B478" t="s">
        <v>288</v>
      </c>
      <c r="C478" t="s">
        <v>341</v>
      </c>
      <c r="D478">
        <v>11</v>
      </c>
      <c r="E478">
        <v>48.84</v>
      </c>
      <c r="F478" t="s">
        <v>311</v>
      </c>
      <c r="G478">
        <v>4.4400000000000004</v>
      </c>
      <c r="H478">
        <v>58.6</v>
      </c>
      <c r="I478" t="s">
        <v>312</v>
      </c>
      <c r="J478" t="s">
        <v>342</v>
      </c>
      <c r="K478" t="s">
        <v>550</v>
      </c>
      <c r="L478" t="s">
        <v>178</v>
      </c>
      <c r="M478" t="s">
        <v>288</v>
      </c>
      <c r="N478" t="s">
        <v>11</v>
      </c>
      <c r="O478" t="s">
        <v>15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288</v>
      </c>
      <c r="AH478" t="s">
        <v>11</v>
      </c>
      <c r="AI478" t="s">
        <v>15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0</v>
      </c>
      <c r="AN478">
        <f>$H$478*$T$478</f>
        <v>0</v>
      </c>
      <c r="AO478">
        <f>$H$478*$U$478</f>
        <v>0</v>
      </c>
      <c r="AP478">
        <f>$H$478*$V$478</f>
        <v>0</v>
      </c>
      <c r="AQ478">
        <f>$H$478*$W$478</f>
        <v>0</v>
      </c>
      <c r="AR478">
        <f>$H$478*$X$478</f>
        <v>0</v>
      </c>
      <c r="AS478">
        <f>$H$478*$Y$478</f>
        <v>0</v>
      </c>
      <c r="AT478">
        <f>$H$478*$Z$478</f>
        <v>0</v>
      </c>
      <c r="AU478">
        <f>$H$478*$AA$478</f>
        <v>58.6</v>
      </c>
      <c r="AV478">
        <f>$H$478*$AB$478</f>
        <v>58.6</v>
      </c>
      <c r="AW478">
        <f>$H$478*$AC$478</f>
        <v>58.6</v>
      </c>
      <c r="AX478">
        <f>$H$478*$AD$478</f>
        <v>58.6</v>
      </c>
      <c r="AY478">
        <f>$H$478*$AE$478</f>
        <v>58.6</v>
      </c>
      <c r="AZ478">
        <f>$H$478*$AF$478</f>
        <v>58.6</v>
      </c>
    </row>
    <row r="479" spans="1:52" x14ac:dyDescent="0.25">
      <c r="A479">
        <v>530</v>
      </c>
      <c r="B479" t="s">
        <v>288</v>
      </c>
      <c r="C479" t="s">
        <v>343</v>
      </c>
      <c r="D479">
        <v>11</v>
      </c>
      <c r="E479">
        <v>127.05</v>
      </c>
      <c r="F479" t="s">
        <v>311</v>
      </c>
      <c r="G479">
        <v>11.55</v>
      </c>
      <c r="H479">
        <v>152.47</v>
      </c>
      <c r="I479" t="s">
        <v>315</v>
      </c>
      <c r="J479" t="s">
        <v>344</v>
      </c>
      <c r="K479" t="s">
        <v>551</v>
      </c>
      <c r="L479" t="s">
        <v>178</v>
      </c>
      <c r="M479" t="s">
        <v>288</v>
      </c>
      <c r="N479" t="s">
        <v>11</v>
      </c>
      <c r="O479" t="s">
        <v>15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288</v>
      </c>
      <c r="AH479" t="s">
        <v>11</v>
      </c>
      <c r="AI479" t="s">
        <v>15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0</v>
      </c>
      <c r="AN479">
        <f>$H$479*$T$479</f>
        <v>0</v>
      </c>
      <c r="AO479">
        <f>$H$479*$U$479</f>
        <v>0</v>
      </c>
      <c r="AP479">
        <f>$H$479*$V$479</f>
        <v>0</v>
      </c>
      <c r="AQ479">
        <f>$H$479*$W$479</f>
        <v>0</v>
      </c>
      <c r="AR479">
        <f>$H$479*$X$479</f>
        <v>0</v>
      </c>
      <c r="AS479">
        <f>$H$479*$Y$479</f>
        <v>0</v>
      </c>
      <c r="AT479">
        <f>$H$479*$Z$479</f>
        <v>0</v>
      </c>
      <c r="AU479">
        <f>$H$479*$AA$479</f>
        <v>152.47</v>
      </c>
      <c r="AV479">
        <f>$H$479*$AB$479</f>
        <v>152.47</v>
      </c>
      <c r="AW479">
        <f>$H$479*$AC$479</f>
        <v>152.47</v>
      </c>
      <c r="AX479">
        <f>$H$479*$AD$479</f>
        <v>152.47</v>
      </c>
      <c r="AY479">
        <f>$H$479*$AE$479</f>
        <v>152.47</v>
      </c>
      <c r="AZ479">
        <f>$H$479*$AF$479</f>
        <v>152.47</v>
      </c>
    </row>
    <row r="480" spans="1:52" x14ac:dyDescent="0.25">
      <c r="A480">
        <v>531</v>
      </c>
      <c r="B480" t="s">
        <v>288</v>
      </c>
      <c r="C480" t="s">
        <v>424</v>
      </c>
      <c r="D480">
        <v>1</v>
      </c>
      <c r="E480">
        <v>48.06</v>
      </c>
      <c r="F480" t="s">
        <v>317</v>
      </c>
      <c r="G480">
        <v>48.06</v>
      </c>
      <c r="H480">
        <v>57.68</v>
      </c>
      <c r="I480" t="s">
        <v>322</v>
      </c>
      <c r="J480" t="s">
        <v>425</v>
      </c>
      <c r="K480" t="s">
        <v>591</v>
      </c>
      <c r="L480" t="s">
        <v>178</v>
      </c>
      <c r="M480" t="s">
        <v>288</v>
      </c>
      <c r="N480" t="s">
        <v>11</v>
      </c>
      <c r="O480" t="s">
        <v>15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1</v>
      </c>
      <c r="AE480">
        <v>1</v>
      </c>
      <c r="AF480">
        <v>1</v>
      </c>
      <c r="AG480" t="s">
        <v>288</v>
      </c>
      <c r="AH480" t="s">
        <v>11</v>
      </c>
      <c r="AI480" t="s">
        <v>15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0</v>
      </c>
      <c r="AN480">
        <f>$H$480*$T$480</f>
        <v>0</v>
      </c>
      <c r="AO480">
        <f>$H$480*$U$480</f>
        <v>0</v>
      </c>
      <c r="AP480">
        <f>$H$480*$V$480</f>
        <v>0</v>
      </c>
      <c r="AQ480">
        <f>$H$480*$W$480</f>
        <v>0</v>
      </c>
      <c r="AR480">
        <f>$H$480*$X$480</f>
        <v>0</v>
      </c>
      <c r="AS480">
        <f>$H$480*$Y$480</f>
        <v>0</v>
      </c>
      <c r="AT480">
        <f>$H$480*$Z$480</f>
        <v>0</v>
      </c>
      <c r="AU480">
        <f>$H$480*$AA$480</f>
        <v>0</v>
      </c>
      <c r="AV480">
        <f>$H$480*$AB$480</f>
        <v>0</v>
      </c>
      <c r="AW480">
        <f>$H$480*$AC$480</f>
        <v>0</v>
      </c>
      <c r="AX480">
        <f>$H$480*$AD$480</f>
        <v>57.68</v>
      </c>
      <c r="AY480">
        <f>$H$480*$AE$480</f>
        <v>57.68</v>
      </c>
      <c r="AZ480">
        <f>$H$480*$AF$480</f>
        <v>57.68</v>
      </c>
    </row>
    <row r="481" spans="1:52" x14ac:dyDescent="0.25">
      <c r="A481">
        <v>532</v>
      </c>
      <c r="B481" t="s">
        <v>288</v>
      </c>
      <c r="C481" t="s">
        <v>350</v>
      </c>
      <c r="D481">
        <v>1</v>
      </c>
      <c r="E481">
        <v>47.96</v>
      </c>
      <c r="F481" t="s">
        <v>317</v>
      </c>
      <c r="G481">
        <v>47.96</v>
      </c>
      <c r="H481">
        <v>57.56</v>
      </c>
      <c r="I481" t="s">
        <v>351</v>
      </c>
      <c r="J481" t="s">
        <v>352</v>
      </c>
      <c r="K481" t="s">
        <v>554</v>
      </c>
      <c r="L481" t="s">
        <v>178</v>
      </c>
      <c r="M481" t="s">
        <v>288</v>
      </c>
      <c r="N481" t="s">
        <v>11</v>
      </c>
      <c r="O481" t="s">
        <v>15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288</v>
      </c>
      <c r="AH481" t="s">
        <v>11</v>
      </c>
      <c r="AI481" t="s">
        <v>15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0</v>
      </c>
      <c r="AS481">
        <f>$H$481*$Y$481</f>
        <v>0</v>
      </c>
      <c r="AT481">
        <f>$H$481*$Z$481</f>
        <v>0</v>
      </c>
      <c r="AU481">
        <f>$H$481*$AA$481</f>
        <v>57.56</v>
      </c>
      <c r="AV481">
        <f>$H$481*$AB$481</f>
        <v>57.56</v>
      </c>
      <c r="AW481">
        <f>$H$481*$AC$481</f>
        <v>57.56</v>
      </c>
      <c r="AX481">
        <f>$H$481*$AD$481</f>
        <v>57.56</v>
      </c>
      <c r="AY481">
        <f>$H$481*$AE$481</f>
        <v>57.56</v>
      </c>
      <c r="AZ481">
        <f>$H$481*$AF$481</f>
        <v>57.56</v>
      </c>
    </row>
    <row r="482" spans="1:52" x14ac:dyDescent="0.25">
      <c r="A482">
        <v>533</v>
      </c>
      <c r="B482" t="s">
        <v>288</v>
      </c>
      <c r="C482" t="s">
        <v>358</v>
      </c>
      <c r="D482">
        <v>2</v>
      </c>
      <c r="E482">
        <v>77.86</v>
      </c>
      <c r="F482" t="s">
        <v>317</v>
      </c>
      <c r="G482">
        <v>38.93</v>
      </c>
      <c r="H482">
        <v>93.44</v>
      </c>
      <c r="I482" t="s">
        <v>312</v>
      </c>
      <c r="J482" t="s">
        <v>354</v>
      </c>
      <c r="K482" t="s">
        <v>557</v>
      </c>
      <c r="L482" t="s">
        <v>178</v>
      </c>
      <c r="M482" t="s">
        <v>288</v>
      </c>
      <c r="N482" t="s">
        <v>11</v>
      </c>
      <c r="O482" t="s">
        <v>15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288</v>
      </c>
      <c r="AH482" t="s">
        <v>11</v>
      </c>
      <c r="AI482" t="s">
        <v>15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93.44</v>
      </c>
      <c r="AN482">
        <f>$H$482*$T$482</f>
        <v>93.44</v>
      </c>
      <c r="AO482">
        <f>$H$482*$U$482</f>
        <v>93.44</v>
      </c>
      <c r="AP482">
        <f>$H$482*$V$482</f>
        <v>93.44</v>
      </c>
      <c r="AQ482">
        <f>$H$482*$W$482</f>
        <v>93.44</v>
      </c>
      <c r="AR482">
        <f>$H$482*$X$482</f>
        <v>93.44</v>
      </c>
      <c r="AS482">
        <f>$H$482*$Y$482</f>
        <v>93.44</v>
      </c>
      <c r="AT482">
        <f>$H$482*$Z$482</f>
        <v>93.44</v>
      </c>
      <c r="AU482">
        <f>$H$482*$AA$482</f>
        <v>93.44</v>
      </c>
      <c r="AV482">
        <f>$H$482*$AB$482</f>
        <v>93.44</v>
      </c>
      <c r="AW482">
        <f>$H$482*$AC$482</f>
        <v>93.44</v>
      </c>
      <c r="AX482">
        <f>$H$482*$AD$482</f>
        <v>93.44</v>
      </c>
      <c r="AY482">
        <f>$H$482*$AE$482</f>
        <v>93.44</v>
      </c>
      <c r="AZ482">
        <f>$H$482*$AF$482</f>
        <v>93.44</v>
      </c>
    </row>
    <row r="483" spans="1:52" x14ac:dyDescent="0.25">
      <c r="A483">
        <v>534</v>
      </c>
      <c r="B483" t="s">
        <v>288</v>
      </c>
      <c r="C483" t="s">
        <v>356</v>
      </c>
      <c r="D483">
        <v>2</v>
      </c>
      <c r="E483">
        <v>62.72</v>
      </c>
      <c r="F483" t="s">
        <v>317</v>
      </c>
      <c r="G483">
        <v>31.36</v>
      </c>
      <c r="H483">
        <v>75.260000000000005</v>
      </c>
      <c r="I483" t="s">
        <v>312</v>
      </c>
      <c r="J483" t="s">
        <v>357</v>
      </c>
      <c r="K483" t="s">
        <v>556</v>
      </c>
      <c r="L483" t="s">
        <v>178</v>
      </c>
      <c r="M483" t="s">
        <v>288</v>
      </c>
      <c r="N483" t="s">
        <v>11</v>
      </c>
      <c r="O483" t="s">
        <v>15</v>
      </c>
      <c r="P483">
        <v>0</v>
      </c>
      <c r="Q483">
        <v>0</v>
      </c>
      <c r="R483">
        <v>0</v>
      </c>
      <c r="S483">
        <v>1</v>
      </c>
      <c r="T483">
        <v>1</v>
      </c>
      <c r="U483">
        <v>1</v>
      </c>
      <c r="V483">
        <v>1</v>
      </c>
      <c r="W483">
        <v>1</v>
      </c>
      <c r="X483">
        <v>1</v>
      </c>
      <c r="Y483">
        <v>1</v>
      </c>
      <c r="Z483">
        <v>1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288</v>
      </c>
      <c r="AH483" t="s">
        <v>11</v>
      </c>
      <c r="AI483" t="s">
        <v>15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75.260000000000005</v>
      </c>
      <c r="AN483">
        <f>$H$483*$T$483</f>
        <v>75.260000000000005</v>
      </c>
      <c r="AO483">
        <f>$H$483*$U$483</f>
        <v>75.260000000000005</v>
      </c>
      <c r="AP483">
        <f>$H$483*$V$483</f>
        <v>75.260000000000005</v>
      </c>
      <c r="AQ483">
        <f>$H$483*$W$483</f>
        <v>75.260000000000005</v>
      </c>
      <c r="AR483">
        <f>$H$483*$X$483</f>
        <v>75.260000000000005</v>
      </c>
      <c r="AS483">
        <f>$H$483*$Y$483</f>
        <v>75.260000000000005</v>
      </c>
      <c r="AT483">
        <f>$H$483*$Z$483</f>
        <v>75.260000000000005</v>
      </c>
      <c r="AU483">
        <f>$H$483*$AA$483</f>
        <v>75.260000000000005</v>
      </c>
      <c r="AV483">
        <f>$H$483*$AB$483</f>
        <v>75.260000000000005</v>
      </c>
      <c r="AW483">
        <f>$H$483*$AC$483</f>
        <v>75.260000000000005</v>
      </c>
      <c r="AX483">
        <f>$H$483*$AD$483</f>
        <v>75.260000000000005</v>
      </c>
      <c r="AY483">
        <f>$H$483*$AE$483</f>
        <v>75.260000000000005</v>
      </c>
      <c r="AZ483">
        <f>$H$483*$AF$483</f>
        <v>75.260000000000005</v>
      </c>
    </row>
    <row r="484" spans="1:52" x14ac:dyDescent="0.25">
      <c r="A484">
        <v>535</v>
      </c>
      <c r="B484" t="s">
        <v>288</v>
      </c>
      <c r="C484" t="s">
        <v>353</v>
      </c>
      <c r="D484">
        <v>1</v>
      </c>
      <c r="E484">
        <v>365.09</v>
      </c>
      <c r="F484" t="s">
        <v>317</v>
      </c>
      <c r="G484">
        <v>365.09</v>
      </c>
      <c r="H484">
        <v>438.11</v>
      </c>
      <c r="I484" t="s">
        <v>354</v>
      </c>
      <c r="J484" t="s">
        <v>355</v>
      </c>
      <c r="K484" t="s">
        <v>555</v>
      </c>
      <c r="L484" t="s">
        <v>178</v>
      </c>
      <c r="M484" t="s">
        <v>288</v>
      </c>
      <c r="N484" t="s">
        <v>11</v>
      </c>
      <c r="O484" t="s">
        <v>15</v>
      </c>
      <c r="P484">
        <v>0</v>
      </c>
      <c r="Q484">
        <v>0</v>
      </c>
      <c r="R484">
        <v>0</v>
      </c>
      <c r="S484">
        <v>0</v>
      </c>
      <c r="T484">
        <v>1</v>
      </c>
      <c r="U484">
        <v>1</v>
      </c>
      <c r="V484">
        <v>1</v>
      </c>
      <c r="W484">
        <v>1</v>
      </c>
      <c r="X484">
        <v>1</v>
      </c>
      <c r="Y484">
        <v>1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288</v>
      </c>
      <c r="AH484" t="s">
        <v>11</v>
      </c>
      <c r="AI484" t="s">
        <v>15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438.11</v>
      </c>
      <c r="AO484">
        <f>$H$484*$U$484</f>
        <v>438.11</v>
      </c>
      <c r="AP484">
        <f>$H$484*$V$484</f>
        <v>438.11</v>
      </c>
      <c r="AQ484">
        <f>$H$484*$W$484</f>
        <v>438.11</v>
      </c>
      <c r="AR484">
        <f>$H$484*$X$484</f>
        <v>438.11</v>
      </c>
      <c r="AS484">
        <f>$H$484*$Y$484</f>
        <v>438.11</v>
      </c>
      <c r="AT484">
        <f>$H$484*$Z$484</f>
        <v>438.11</v>
      </c>
      <c r="AU484">
        <f>$H$484*$AA$484</f>
        <v>438.11</v>
      </c>
      <c r="AV484">
        <f>$H$484*$AB$484</f>
        <v>438.11</v>
      </c>
      <c r="AW484">
        <f>$H$484*$AC$484</f>
        <v>438.11</v>
      </c>
      <c r="AX484">
        <f>$H$484*$AD$484</f>
        <v>438.11</v>
      </c>
      <c r="AY484">
        <f>$H$484*$AE$484</f>
        <v>438.11</v>
      </c>
      <c r="AZ484">
        <f>$H$484*$AF$484</f>
        <v>438.11</v>
      </c>
    </row>
    <row r="485" spans="1:52" x14ac:dyDescent="0.25">
      <c r="A485">
        <v>536</v>
      </c>
      <c r="B485" t="s">
        <v>288</v>
      </c>
      <c r="C485" t="s">
        <v>345</v>
      </c>
      <c r="D485">
        <v>189.33</v>
      </c>
      <c r="E485">
        <v>185.54</v>
      </c>
      <c r="F485" t="s">
        <v>335</v>
      </c>
      <c r="G485">
        <v>0.98</v>
      </c>
      <c r="H485">
        <v>222.64</v>
      </c>
      <c r="I485" t="s">
        <v>312</v>
      </c>
      <c r="J485" t="s">
        <v>346</v>
      </c>
      <c r="K485" t="s">
        <v>552</v>
      </c>
      <c r="L485" t="s">
        <v>178</v>
      </c>
      <c r="M485" t="s">
        <v>288</v>
      </c>
      <c r="N485" t="s">
        <v>11</v>
      </c>
      <c r="O485" t="s">
        <v>15</v>
      </c>
      <c r="P485">
        <v>0</v>
      </c>
      <c r="Q485">
        <v>0</v>
      </c>
      <c r="R485">
        <v>0</v>
      </c>
      <c r="S485">
        <v>0</v>
      </c>
      <c r="T485">
        <v>1</v>
      </c>
      <c r="U485">
        <v>1</v>
      </c>
      <c r="V485">
        <v>1</v>
      </c>
      <c r="W485">
        <v>1</v>
      </c>
      <c r="X485">
        <v>1</v>
      </c>
      <c r="Y485">
        <v>1</v>
      </c>
      <c r="Z485">
        <v>1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288</v>
      </c>
      <c r="AH485" t="s">
        <v>11</v>
      </c>
      <c r="AI485" t="s">
        <v>15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222.64</v>
      </c>
      <c r="AO485">
        <f>$H$485*$U$485</f>
        <v>222.64</v>
      </c>
      <c r="AP485">
        <f>$H$485*$V$485</f>
        <v>222.64</v>
      </c>
      <c r="AQ485">
        <f>$H$485*$W$485</f>
        <v>222.64</v>
      </c>
      <c r="AR485">
        <f>$H$485*$X$485</f>
        <v>222.64</v>
      </c>
      <c r="AS485">
        <f>$H$485*$Y$485</f>
        <v>222.64</v>
      </c>
      <c r="AT485">
        <f>$H$485*$Z$485</f>
        <v>222.64</v>
      </c>
      <c r="AU485">
        <f>$H$485*$AA$485</f>
        <v>222.64</v>
      </c>
      <c r="AV485">
        <f>$H$485*$AB$485</f>
        <v>222.64</v>
      </c>
      <c r="AW485">
        <f>$H$485*$AC$485</f>
        <v>222.64</v>
      </c>
      <c r="AX485">
        <f>$H$485*$AD$485</f>
        <v>222.64</v>
      </c>
      <c r="AY485">
        <f>$H$485*$AE$485</f>
        <v>222.64</v>
      </c>
      <c r="AZ485">
        <f>$H$485*$AF$485</f>
        <v>222.64</v>
      </c>
    </row>
    <row r="486" spans="1:52" x14ac:dyDescent="0.25">
      <c r="A486">
        <v>537</v>
      </c>
      <c r="B486" t="s">
        <v>288</v>
      </c>
      <c r="C486" t="s">
        <v>400</v>
      </c>
      <c r="D486">
        <v>189.33</v>
      </c>
      <c r="E486">
        <v>636.15</v>
      </c>
      <c r="F486" t="s">
        <v>335</v>
      </c>
      <c r="G486">
        <v>3.36</v>
      </c>
      <c r="H486">
        <v>763.39</v>
      </c>
      <c r="I486" t="s">
        <v>348</v>
      </c>
      <c r="J486" t="s">
        <v>401</v>
      </c>
      <c r="K486" t="s">
        <v>579</v>
      </c>
      <c r="L486" t="s">
        <v>178</v>
      </c>
      <c r="M486" t="s">
        <v>288</v>
      </c>
      <c r="N486" t="s">
        <v>11</v>
      </c>
      <c r="O486" t="s">
        <v>15</v>
      </c>
      <c r="P486">
        <v>0</v>
      </c>
      <c r="Q486">
        <v>0</v>
      </c>
      <c r="R486">
        <v>0</v>
      </c>
      <c r="S486">
        <v>0.25</v>
      </c>
      <c r="T486">
        <v>0.25</v>
      </c>
      <c r="U486">
        <v>0.25</v>
      </c>
      <c r="V486">
        <v>0.25</v>
      </c>
      <c r="W486">
        <v>0.5</v>
      </c>
      <c r="X486">
        <v>0.5</v>
      </c>
      <c r="Y486">
        <v>0.5</v>
      </c>
      <c r="Z486">
        <v>0.5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288</v>
      </c>
      <c r="AH486" t="s">
        <v>11</v>
      </c>
      <c r="AI486" t="s">
        <v>15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190.8475</v>
      </c>
      <c r="AN486">
        <f>$H$486*$T$486</f>
        <v>190.8475</v>
      </c>
      <c r="AO486">
        <f>$H$486*$U$486</f>
        <v>190.8475</v>
      </c>
      <c r="AP486">
        <f>$H$486*$V$486</f>
        <v>190.8475</v>
      </c>
      <c r="AQ486">
        <f>$H$486*$W$486</f>
        <v>381.69499999999999</v>
      </c>
      <c r="AR486">
        <f>$H$486*$X$486</f>
        <v>381.69499999999999</v>
      </c>
      <c r="AS486">
        <f>$H$486*$Y$486</f>
        <v>381.69499999999999</v>
      </c>
      <c r="AT486">
        <f>$H$486*$Z$486</f>
        <v>381.69499999999999</v>
      </c>
      <c r="AU486">
        <f>$H$486*$AA$486</f>
        <v>763.39</v>
      </c>
      <c r="AV486">
        <f>$H$486*$AB$486</f>
        <v>763.39</v>
      </c>
      <c r="AW486">
        <f>$H$486*$AC$486</f>
        <v>763.39</v>
      </c>
      <c r="AX486">
        <f>$H$486*$AD$486</f>
        <v>763.39</v>
      </c>
      <c r="AY486">
        <f>$H$486*$AE$486</f>
        <v>763.39</v>
      </c>
      <c r="AZ486">
        <f>$H$486*$AF$486</f>
        <v>763.39</v>
      </c>
    </row>
    <row r="487" spans="1:52" x14ac:dyDescent="0.25">
      <c r="A487">
        <v>538</v>
      </c>
      <c r="B487" t="s">
        <v>288</v>
      </c>
      <c r="C487" t="s">
        <v>402</v>
      </c>
      <c r="D487">
        <v>23.67</v>
      </c>
      <c r="E487">
        <v>35.74</v>
      </c>
      <c r="F487" t="s">
        <v>311</v>
      </c>
      <c r="G487">
        <v>1.51</v>
      </c>
      <c r="H487">
        <v>42.88</v>
      </c>
      <c r="I487" t="s">
        <v>312</v>
      </c>
      <c r="J487" t="s">
        <v>403</v>
      </c>
      <c r="K487" t="s">
        <v>580</v>
      </c>
      <c r="L487" t="s">
        <v>178</v>
      </c>
      <c r="M487" t="s">
        <v>288</v>
      </c>
      <c r="N487" t="s">
        <v>11</v>
      </c>
      <c r="O487" t="s">
        <v>15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288</v>
      </c>
      <c r="AH487" t="s">
        <v>11</v>
      </c>
      <c r="AI487" t="s">
        <v>15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42.88</v>
      </c>
      <c r="AN487">
        <f>$H$487*$T$487</f>
        <v>42.88</v>
      </c>
      <c r="AO487">
        <f>$H$487*$U$487</f>
        <v>42.88</v>
      </c>
      <c r="AP487">
        <f>$H$487*$V$487</f>
        <v>42.88</v>
      </c>
      <c r="AQ487">
        <f>$H$487*$W$487</f>
        <v>42.88</v>
      </c>
      <c r="AR487">
        <f>$H$487*$X$487</f>
        <v>42.88</v>
      </c>
      <c r="AS487">
        <f>$H$487*$Y$487</f>
        <v>42.88</v>
      </c>
      <c r="AT487">
        <f>$H$487*$Z$487</f>
        <v>42.88</v>
      </c>
      <c r="AU487">
        <f>$H$487*$AA$487</f>
        <v>42.88</v>
      </c>
      <c r="AV487">
        <f>$H$487*$AB$487</f>
        <v>42.88</v>
      </c>
      <c r="AW487">
        <f>$H$487*$AC$487</f>
        <v>42.88</v>
      </c>
      <c r="AX487">
        <f>$H$487*$AD$487</f>
        <v>42.88</v>
      </c>
      <c r="AY487">
        <f>$H$487*$AE$487</f>
        <v>42.88</v>
      </c>
      <c r="AZ487">
        <f>$H$487*$AF$487</f>
        <v>42.88</v>
      </c>
    </row>
    <row r="488" spans="1:52" x14ac:dyDescent="0.25">
      <c r="A488">
        <v>539</v>
      </c>
      <c r="B488" t="s">
        <v>288</v>
      </c>
      <c r="C488" t="s">
        <v>404</v>
      </c>
      <c r="D488">
        <v>23.67</v>
      </c>
      <c r="E488">
        <v>134.44999999999999</v>
      </c>
      <c r="F488" t="s">
        <v>311</v>
      </c>
      <c r="G488">
        <v>5.68</v>
      </c>
      <c r="H488">
        <v>161.35</v>
      </c>
      <c r="I488" t="s">
        <v>315</v>
      </c>
      <c r="J488" t="s">
        <v>405</v>
      </c>
      <c r="K488" t="s">
        <v>581</v>
      </c>
      <c r="L488" t="s">
        <v>178</v>
      </c>
      <c r="M488" t="s">
        <v>288</v>
      </c>
      <c r="N488" t="s">
        <v>11</v>
      </c>
      <c r="O488" t="s">
        <v>15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288</v>
      </c>
      <c r="AH488" t="s">
        <v>11</v>
      </c>
      <c r="AI488" t="s">
        <v>15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161.35</v>
      </c>
      <c r="AN488">
        <f>$H$488*$T$488</f>
        <v>161.35</v>
      </c>
      <c r="AO488">
        <f>$H$488*$U$488</f>
        <v>161.35</v>
      </c>
      <c r="AP488">
        <f>$H$488*$V$488</f>
        <v>161.35</v>
      </c>
      <c r="AQ488">
        <f>$H$488*$W$488</f>
        <v>161.35</v>
      </c>
      <c r="AR488">
        <f>$H$488*$X$488</f>
        <v>161.35</v>
      </c>
      <c r="AS488">
        <f>$H$488*$Y$488</f>
        <v>161.35</v>
      </c>
      <c r="AT488">
        <f>$H$488*$Z$488</f>
        <v>161.35</v>
      </c>
      <c r="AU488">
        <f>$H$488*$AA$488</f>
        <v>161.35</v>
      </c>
      <c r="AV488">
        <f>$H$488*$AB$488</f>
        <v>161.35</v>
      </c>
      <c r="AW488">
        <f>$H$488*$AC$488</f>
        <v>161.35</v>
      </c>
      <c r="AX488">
        <f>$H$488*$AD$488</f>
        <v>161.35</v>
      </c>
      <c r="AY488">
        <f>$H$488*$AE$488</f>
        <v>161.35</v>
      </c>
      <c r="AZ488">
        <f>$H$488*$AF$488</f>
        <v>161.35</v>
      </c>
    </row>
    <row r="489" spans="1:52" x14ac:dyDescent="0.25">
      <c r="A489">
        <v>540</v>
      </c>
      <c r="B489" t="s">
        <v>288</v>
      </c>
      <c r="C489" t="s">
        <v>400</v>
      </c>
      <c r="D489">
        <v>34.01</v>
      </c>
      <c r="E489">
        <v>114.27</v>
      </c>
      <c r="F489" t="s">
        <v>335</v>
      </c>
      <c r="G489">
        <v>3.36</v>
      </c>
      <c r="H489">
        <v>137.13</v>
      </c>
      <c r="I489" t="s">
        <v>348</v>
      </c>
      <c r="J489" t="s">
        <v>401</v>
      </c>
      <c r="K489" t="s">
        <v>579</v>
      </c>
      <c r="L489" t="s">
        <v>178</v>
      </c>
      <c r="M489" t="s">
        <v>288</v>
      </c>
      <c r="N489" t="s">
        <v>11</v>
      </c>
      <c r="O489" t="s">
        <v>15</v>
      </c>
      <c r="P489">
        <v>0</v>
      </c>
      <c r="Q489">
        <v>0</v>
      </c>
      <c r="R489">
        <v>0</v>
      </c>
      <c r="S489">
        <v>0.25</v>
      </c>
      <c r="T489">
        <v>0.25</v>
      </c>
      <c r="U489">
        <v>0.25</v>
      </c>
      <c r="V489">
        <v>0.25</v>
      </c>
      <c r="W489">
        <v>0.5</v>
      </c>
      <c r="X489">
        <v>0.5</v>
      </c>
      <c r="Y489">
        <v>0.5</v>
      </c>
      <c r="Z489">
        <v>0.5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288</v>
      </c>
      <c r="AH489" t="s">
        <v>11</v>
      </c>
      <c r="AI489" t="s">
        <v>15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34.282499999999999</v>
      </c>
      <c r="AN489">
        <f>$H$489*$T$489</f>
        <v>34.282499999999999</v>
      </c>
      <c r="AO489">
        <f>$H$489*$U$489</f>
        <v>34.282499999999999</v>
      </c>
      <c r="AP489">
        <f>$H$489*$V$489</f>
        <v>34.282499999999999</v>
      </c>
      <c r="AQ489">
        <f>$H$489*$W$489</f>
        <v>68.564999999999998</v>
      </c>
      <c r="AR489">
        <f>$H$489*$X$489</f>
        <v>68.564999999999998</v>
      </c>
      <c r="AS489">
        <f>$H$489*$Y$489</f>
        <v>68.564999999999998</v>
      </c>
      <c r="AT489">
        <f>$H$489*$Z$489</f>
        <v>68.564999999999998</v>
      </c>
      <c r="AU489">
        <f>$H$489*$AA$489</f>
        <v>137.13</v>
      </c>
      <c r="AV489">
        <f>$H$489*$AB$489</f>
        <v>137.13</v>
      </c>
      <c r="AW489">
        <f>$H$489*$AC$489</f>
        <v>137.13</v>
      </c>
      <c r="AX489">
        <f>$H$489*$AD$489</f>
        <v>137.13</v>
      </c>
      <c r="AY489">
        <f>$H$489*$AE$489</f>
        <v>137.13</v>
      </c>
      <c r="AZ489">
        <f>$H$489*$AF$489</f>
        <v>137.13</v>
      </c>
    </row>
    <row r="490" spans="1:52" x14ac:dyDescent="0.25">
      <c r="A490">
        <v>541</v>
      </c>
      <c r="B490" t="s">
        <v>288</v>
      </c>
      <c r="C490" t="s">
        <v>406</v>
      </c>
      <c r="D490">
        <v>34.01</v>
      </c>
      <c r="E490">
        <v>21.43</v>
      </c>
      <c r="F490" t="s">
        <v>335</v>
      </c>
      <c r="G490">
        <v>0.63</v>
      </c>
      <c r="H490">
        <v>25.71</v>
      </c>
      <c r="I490" t="s">
        <v>312</v>
      </c>
      <c r="J490" t="s">
        <v>407</v>
      </c>
      <c r="K490" t="s">
        <v>582</v>
      </c>
      <c r="L490" t="s">
        <v>178</v>
      </c>
      <c r="M490" t="s">
        <v>288</v>
      </c>
      <c r="N490" t="s">
        <v>11</v>
      </c>
      <c r="O490" t="s">
        <v>15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1</v>
      </c>
      <c r="AE490">
        <v>1</v>
      </c>
      <c r="AF490">
        <v>1</v>
      </c>
      <c r="AG490" t="s">
        <v>288</v>
      </c>
      <c r="AH490" t="s">
        <v>11</v>
      </c>
      <c r="AI490" t="s">
        <v>15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0</v>
      </c>
      <c r="AV490">
        <f>$H$490*$AB$490</f>
        <v>0</v>
      </c>
      <c r="AW490">
        <f>$H$490*$AC$490</f>
        <v>0</v>
      </c>
      <c r="AX490">
        <f>$H$490*$AD$490</f>
        <v>25.71</v>
      </c>
      <c r="AY490">
        <f>$H$490*$AE$490</f>
        <v>25.71</v>
      </c>
      <c r="AZ490">
        <f>$H$490*$AF$490</f>
        <v>25.71</v>
      </c>
    </row>
    <row r="491" spans="1:52" x14ac:dyDescent="0.25">
      <c r="A491">
        <v>542</v>
      </c>
      <c r="B491" t="s">
        <v>288</v>
      </c>
      <c r="C491" t="s">
        <v>408</v>
      </c>
      <c r="D491">
        <v>34.01</v>
      </c>
      <c r="E491">
        <v>23.47</v>
      </c>
      <c r="F491" t="s">
        <v>335</v>
      </c>
      <c r="G491">
        <v>0.69</v>
      </c>
      <c r="H491">
        <v>28.17</v>
      </c>
      <c r="I491" t="s">
        <v>312</v>
      </c>
      <c r="J491" t="s">
        <v>409</v>
      </c>
      <c r="K491" t="s">
        <v>583</v>
      </c>
      <c r="L491" t="s">
        <v>178</v>
      </c>
      <c r="M491" t="s">
        <v>288</v>
      </c>
      <c r="N491" t="s">
        <v>11</v>
      </c>
      <c r="O491" t="s">
        <v>15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288</v>
      </c>
      <c r="AH491" t="s">
        <v>11</v>
      </c>
      <c r="AI491" t="s">
        <v>15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28.17</v>
      </c>
      <c r="AN491">
        <f>$H$491*$T$491</f>
        <v>28.17</v>
      </c>
      <c r="AO491">
        <f>$H$491*$U$491</f>
        <v>28.17</v>
      </c>
      <c r="AP491">
        <f>$H$491*$V$491</f>
        <v>28.17</v>
      </c>
      <c r="AQ491">
        <f>$H$491*$W$491</f>
        <v>28.17</v>
      </c>
      <c r="AR491">
        <f>$H$491*$X$491</f>
        <v>28.17</v>
      </c>
      <c r="AS491">
        <f>$H$491*$Y$491</f>
        <v>28.17</v>
      </c>
      <c r="AT491">
        <f>$H$491*$Z$491</f>
        <v>28.17</v>
      </c>
      <c r="AU491">
        <f>$H$491*$AA$491</f>
        <v>28.17</v>
      </c>
      <c r="AV491">
        <f>$H$491*$AB$491</f>
        <v>28.17</v>
      </c>
      <c r="AW491">
        <f>$H$491*$AC$491</f>
        <v>28.17</v>
      </c>
      <c r="AX491">
        <f>$H$491*$AD$491</f>
        <v>28.17</v>
      </c>
      <c r="AY491">
        <f>$H$491*$AE$491</f>
        <v>28.17</v>
      </c>
      <c r="AZ491">
        <f>$H$491*$AF$491</f>
        <v>28.17</v>
      </c>
    </row>
    <row r="492" spans="1:52" x14ac:dyDescent="0.25">
      <c r="A492">
        <v>543</v>
      </c>
      <c r="B492" t="s">
        <v>288</v>
      </c>
      <c r="C492" t="s">
        <v>410</v>
      </c>
      <c r="D492">
        <v>7.14</v>
      </c>
      <c r="E492">
        <v>48.62</v>
      </c>
      <c r="F492" t="s">
        <v>335</v>
      </c>
      <c r="G492">
        <v>6.81</v>
      </c>
      <c r="H492">
        <v>58.34</v>
      </c>
      <c r="I492" t="s">
        <v>411</v>
      </c>
      <c r="J492" t="s">
        <v>412</v>
      </c>
      <c r="K492" t="s">
        <v>584</v>
      </c>
      <c r="L492" t="s">
        <v>178</v>
      </c>
      <c r="M492" t="s">
        <v>288</v>
      </c>
      <c r="N492" t="s">
        <v>11</v>
      </c>
      <c r="O492" t="s">
        <v>15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288</v>
      </c>
      <c r="AH492" t="s">
        <v>11</v>
      </c>
      <c r="AI492" t="s">
        <v>15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58.34</v>
      </c>
      <c r="AN492">
        <f>$H$492*$T$492</f>
        <v>58.34</v>
      </c>
      <c r="AO492">
        <f>$H$492*$U$492</f>
        <v>58.34</v>
      </c>
      <c r="AP492">
        <f>$H$492*$V$492</f>
        <v>58.34</v>
      </c>
      <c r="AQ492">
        <f>$H$492*$W$492</f>
        <v>58.34</v>
      </c>
      <c r="AR492">
        <f>$H$492*$X$492</f>
        <v>58.34</v>
      </c>
      <c r="AS492">
        <f>$H$492*$Y$492</f>
        <v>58.34</v>
      </c>
      <c r="AT492">
        <f>$H$492*$Z$492</f>
        <v>58.34</v>
      </c>
      <c r="AU492">
        <f>$H$492*$AA$492</f>
        <v>58.34</v>
      </c>
      <c r="AV492">
        <f>$H$492*$AB$492</f>
        <v>58.34</v>
      </c>
      <c r="AW492">
        <f>$H$492*$AC$492</f>
        <v>58.34</v>
      </c>
      <c r="AX492">
        <f>$H$492*$AD$492</f>
        <v>58.34</v>
      </c>
      <c r="AY492">
        <f>$H$492*$AE$492</f>
        <v>58.34</v>
      </c>
      <c r="AZ492">
        <f>$H$492*$AF$492</f>
        <v>58.34</v>
      </c>
    </row>
    <row r="493" spans="1:52" x14ac:dyDescent="0.25">
      <c r="A493">
        <v>544</v>
      </c>
      <c r="B493" t="s">
        <v>288</v>
      </c>
      <c r="C493" t="s">
        <v>413</v>
      </c>
      <c r="D493">
        <v>7.82</v>
      </c>
      <c r="E493">
        <v>57.63</v>
      </c>
      <c r="F493" t="s">
        <v>335</v>
      </c>
      <c r="G493">
        <v>7.37</v>
      </c>
      <c r="H493">
        <v>69.150000000000006</v>
      </c>
      <c r="I493" t="s">
        <v>411</v>
      </c>
      <c r="J493" t="s">
        <v>414</v>
      </c>
      <c r="K493" t="s">
        <v>585</v>
      </c>
      <c r="L493" t="s">
        <v>178</v>
      </c>
      <c r="M493" t="s">
        <v>288</v>
      </c>
      <c r="N493" t="s">
        <v>11</v>
      </c>
      <c r="O493" t="s">
        <v>15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288</v>
      </c>
      <c r="AH493" t="s">
        <v>11</v>
      </c>
      <c r="AI493" t="s">
        <v>15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69.150000000000006</v>
      </c>
      <c r="AN493">
        <f>$H$493*$T$493</f>
        <v>69.150000000000006</v>
      </c>
      <c r="AO493">
        <f>$H$493*$U$493</f>
        <v>69.150000000000006</v>
      </c>
      <c r="AP493">
        <f>$H$493*$V$493</f>
        <v>69.150000000000006</v>
      </c>
      <c r="AQ493">
        <f>$H$493*$W$493</f>
        <v>69.150000000000006</v>
      </c>
      <c r="AR493">
        <f>$H$493*$X$493</f>
        <v>69.150000000000006</v>
      </c>
      <c r="AS493">
        <f>$H$493*$Y$493</f>
        <v>69.150000000000006</v>
      </c>
      <c r="AT493">
        <f>$H$493*$Z$493</f>
        <v>69.150000000000006</v>
      </c>
      <c r="AU493">
        <f>$H$493*$AA$493</f>
        <v>69.150000000000006</v>
      </c>
      <c r="AV493">
        <f>$H$493*$AB$493</f>
        <v>69.150000000000006</v>
      </c>
      <c r="AW493">
        <f>$H$493*$AC$493</f>
        <v>69.150000000000006</v>
      </c>
      <c r="AX493">
        <f>$H$493*$AD$493</f>
        <v>69.150000000000006</v>
      </c>
      <c r="AY493">
        <f>$H$493*$AE$493</f>
        <v>69.150000000000006</v>
      </c>
      <c r="AZ493">
        <f>$H$493*$AF$493</f>
        <v>69.150000000000006</v>
      </c>
    </row>
    <row r="494" spans="1:52" x14ac:dyDescent="0.25">
      <c r="A494">
        <v>545</v>
      </c>
      <c r="B494" t="s">
        <v>288</v>
      </c>
      <c r="C494" t="s">
        <v>415</v>
      </c>
      <c r="D494">
        <v>8.4</v>
      </c>
      <c r="E494">
        <v>45.86</v>
      </c>
      <c r="F494" t="s">
        <v>335</v>
      </c>
      <c r="G494">
        <v>5.46</v>
      </c>
      <c r="H494">
        <v>55.04</v>
      </c>
      <c r="I494" t="s">
        <v>416</v>
      </c>
      <c r="J494" t="s">
        <v>417</v>
      </c>
      <c r="K494" t="s">
        <v>586</v>
      </c>
      <c r="L494" t="s">
        <v>178</v>
      </c>
      <c r="M494" t="s">
        <v>288</v>
      </c>
      <c r="N494" t="s">
        <v>11</v>
      </c>
      <c r="O494" t="s">
        <v>15</v>
      </c>
      <c r="P494">
        <v>0</v>
      </c>
      <c r="Q494">
        <v>0</v>
      </c>
      <c r="R494">
        <v>0</v>
      </c>
      <c r="S494">
        <v>1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288</v>
      </c>
      <c r="AH494" t="s">
        <v>11</v>
      </c>
      <c r="AI494" t="s">
        <v>15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55.04</v>
      </c>
      <c r="AN494">
        <f>$H$494*$T$494</f>
        <v>55.04</v>
      </c>
      <c r="AO494">
        <f>$H$494*$U$494</f>
        <v>55.04</v>
      </c>
      <c r="AP494">
        <f>$H$494*$V$494</f>
        <v>55.04</v>
      </c>
      <c r="AQ494">
        <f>$H$494*$W$494</f>
        <v>55.04</v>
      </c>
      <c r="AR494">
        <f>$H$494*$X$494</f>
        <v>55.04</v>
      </c>
      <c r="AS494">
        <f>$H$494*$Y$494</f>
        <v>55.04</v>
      </c>
      <c r="AT494">
        <f>$H$494*$Z$494</f>
        <v>55.04</v>
      </c>
      <c r="AU494">
        <f>$H$494*$AA$494</f>
        <v>55.04</v>
      </c>
      <c r="AV494">
        <f>$H$494*$AB$494</f>
        <v>55.04</v>
      </c>
      <c r="AW494">
        <f>$H$494*$AC$494</f>
        <v>55.04</v>
      </c>
      <c r="AX494">
        <f>$H$494*$AD$494</f>
        <v>55.04</v>
      </c>
      <c r="AY494">
        <f>$H$494*$AE$494</f>
        <v>55.04</v>
      </c>
      <c r="AZ494">
        <f>$H$494*$AF$494</f>
        <v>55.04</v>
      </c>
    </row>
    <row r="495" spans="1:52" x14ac:dyDescent="0.25">
      <c r="A495">
        <v>546</v>
      </c>
      <c r="B495" t="s">
        <v>288</v>
      </c>
      <c r="C495" t="s">
        <v>418</v>
      </c>
      <c r="D495">
        <v>8.4</v>
      </c>
      <c r="E495">
        <v>30.07</v>
      </c>
      <c r="F495" t="s">
        <v>335</v>
      </c>
      <c r="G495">
        <v>3.58</v>
      </c>
      <c r="H495">
        <v>36.090000000000003</v>
      </c>
      <c r="I495" t="s">
        <v>416</v>
      </c>
      <c r="J495" t="s">
        <v>419</v>
      </c>
      <c r="K495" t="s">
        <v>587</v>
      </c>
      <c r="L495" t="s">
        <v>178</v>
      </c>
      <c r="M495" t="s">
        <v>288</v>
      </c>
      <c r="N495" t="s">
        <v>11</v>
      </c>
      <c r="O495" t="s">
        <v>15</v>
      </c>
      <c r="P495">
        <v>0</v>
      </c>
      <c r="Q495">
        <v>0</v>
      </c>
      <c r="R495">
        <v>0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288</v>
      </c>
      <c r="AH495" t="s">
        <v>11</v>
      </c>
      <c r="AI495" t="s">
        <v>15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36.090000000000003</v>
      </c>
      <c r="AN495">
        <f>$H$495*$T$495</f>
        <v>36.090000000000003</v>
      </c>
      <c r="AO495">
        <f>$H$495*$U$495</f>
        <v>36.090000000000003</v>
      </c>
      <c r="AP495">
        <f>$H$495*$V$495</f>
        <v>36.090000000000003</v>
      </c>
      <c r="AQ495">
        <f>$H$495*$W$495</f>
        <v>36.090000000000003</v>
      </c>
      <c r="AR495">
        <f>$H$495*$X$495</f>
        <v>36.090000000000003</v>
      </c>
      <c r="AS495">
        <f>$H$495*$Y$495</f>
        <v>36.090000000000003</v>
      </c>
      <c r="AT495">
        <f>$H$495*$Z$495</f>
        <v>36.090000000000003</v>
      </c>
      <c r="AU495">
        <f>$H$495*$AA$495</f>
        <v>36.090000000000003</v>
      </c>
      <c r="AV495">
        <f>$H$495*$AB$495</f>
        <v>36.090000000000003</v>
      </c>
      <c r="AW495">
        <f>$H$495*$AC$495</f>
        <v>36.090000000000003</v>
      </c>
      <c r="AX495">
        <f>$H$495*$AD$495</f>
        <v>36.090000000000003</v>
      </c>
      <c r="AY495">
        <f>$H$495*$AE$495</f>
        <v>36.090000000000003</v>
      </c>
      <c r="AZ495">
        <f>$H$495*$AF$495</f>
        <v>36.090000000000003</v>
      </c>
    </row>
    <row r="496" spans="1:52" x14ac:dyDescent="0.25">
      <c r="A496">
        <v>547</v>
      </c>
      <c r="B496" t="s">
        <v>288</v>
      </c>
      <c r="C496" t="s">
        <v>420</v>
      </c>
      <c r="D496">
        <v>8.4</v>
      </c>
      <c r="E496">
        <v>82.74</v>
      </c>
      <c r="F496" t="s">
        <v>335</v>
      </c>
      <c r="G496">
        <v>9.85</v>
      </c>
      <c r="H496">
        <v>99.28</v>
      </c>
      <c r="I496" t="s">
        <v>416</v>
      </c>
      <c r="J496" t="s">
        <v>414</v>
      </c>
      <c r="K496" t="s">
        <v>588</v>
      </c>
      <c r="L496" t="s">
        <v>178</v>
      </c>
      <c r="M496" t="s">
        <v>288</v>
      </c>
      <c r="N496" t="s">
        <v>11</v>
      </c>
      <c r="O496" t="s">
        <v>15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288</v>
      </c>
      <c r="AH496" t="s">
        <v>11</v>
      </c>
      <c r="AI496" t="s">
        <v>15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99.28</v>
      </c>
      <c r="AN496">
        <f>$H$496*$T$496</f>
        <v>99.28</v>
      </c>
      <c r="AO496">
        <f>$H$496*$U$496</f>
        <v>99.28</v>
      </c>
      <c r="AP496">
        <f>$H$496*$V$496</f>
        <v>99.28</v>
      </c>
      <c r="AQ496">
        <f>$H$496*$W$496</f>
        <v>99.28</v>
      </c>
      <c r="AR496">
        <f>$H$496*$X$496</f>
        <v>99.28</v>
      </c>
      <c r="AS496">
        <f>$H$496*$Y$496</f>
        <v>99.28</v>
      </c>
      <c r="AT496">
        <f>$H$496*$Z$496</f>
        <v>99.28</v>
      </c>
      <c r="AU496">
        <f>$H$496*$AA$496</f>
        <v>99.28</v>
      </c>
      <c r="AV496">
        <f>$H$496*$AB$496</f>
        <v>99.28</v>
      </c>
      <c r="AW496">
        <f>$H$496*$AC$496</f>
        <v>99.28</v>
      </c>
      <c r="AX496">
        <f>$H$496*$AD$496</f>
        <v>99.28</v>
      </c>
      <c r="AY496">
        <f>$H$496*$AE$496</f>
        <v>99.28</v>
      </c>
      <c r="AZ496">
        <f>$H$496*$AF$496</f>
        <v>99.28</v>
      </c>
    </row>
    <row r="497" spans="1:52" x14ac:dyDescent="0.25">
      <c r="A497">
        <v>548</v>
      </c>
      <c r="B497" t="s">
        <v>288</v>
      </c>
      <c r="C497" t="s">
        <v>421</v>
      </c>
      <c r="D497">
        <v>7.82</v>
      </c>
      <c r="E497">
        <v>7.59</v>
      </c>
      <c r="F497" t="s">
        <v>335</v>
      </c>
      <c r="G497">
        <v>0.97</v>
      </c>
      <c r="H497">
        <v>9.11</v>
      </c>
      <c r="I497" t="s">
        <v>360</v>
      </c>
      <c r="J497" t="s">
        <v>422</v>
      </c>
      <c r="K497" t="s">
        <v>589</v>
      </c>
      <c r="L497" t="s">
        <v>178</v>
      </c>
      <c r="M497" t="s">
        <v>288</v>
      </c>
      <c r="N497" t="s">
        <v>11</v>
      </c>
      <c r="O497" t="s">
        <v>15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288</v>
      </c>
      <c r="AH497" t="s">
        <v>11</v>
      </c>
      <c r="AI497" t="s">
        <v>15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9.11</v>
      </c>
      <c r="AN497">
        <f>$H$497*$T$497</f>
        <v>9.11</v>
      </c>
      <c r="AO497">
        <f>$H$497*$U$497</f>
        <v>9.11</v>
      </c>
      <c r="AP497">
        <f>$H$497*$V$497</f>
        <v>9.11</v>
      </c>
      <c r="AQ497">
        <f>$H$497*$W$497</f>
        <v>9.11</v>
      </c>
      <c r="AR497">
        <f>$H$497*$X$497</f>
        <v>9.11</v>
      </c>
      <c r="AS497">
        <f>$H$497*$Y$497</f>
        <v>9.11</v>
      </c>
      <c r="AT497">
        <f>$H$497*$Z$497</f>
        <v>9.11</v>
      </c>
      <c r="AU497">
        <f>$H$497*$AA$497</f>
        <v>9.11</v>
      </c>
      <c r="AV497">
        <f>$H$497*$AB$497</f>
        <v>9.11</v>
      </c>
      <c r="AW497">
        <f>$H$497*$AC$497</f>
        <v>9.11</v>
      </c>
      <c r="AX497">
        <f>$H$497*$AD$497</f>
        <v>9.11</v>
      </c>
      <c r="AY497">
        <f>$H$497*$AE$497</f>
        <v>9.11</v>
      </c>
      <c r="AZ497">
        <f>$H$497*$AF$497</f>
        <v>9.11</v>
      </c>
    </row>
    <row r="498" spans="1:52" x14ac:dyDescent="0.25">
      <c r="A498">
        <v>549</v>
      </c>
      <c r="B498" t="s">
        <v>288</v>
      </c>
      <c r="C498" t="s">
        <v>423</v>
      </c>
      <c r="D498">
        <v>7.82</v>
      </c>
      <c r="E498">
        <v>59.9</v>
      </c>
      <c r="F498" t="s">
        <v>335</v>
      </c>
      <c r="G498">
        <v>7.66</v>
      </c>
      <c r="H498">
        <v>71.88</v>
      </c>
      <c r="I498" t="s">
        <v>360</v>
      </c>
      <c r="J498" t="s">
        <v>414</v>
      </c>
      <c r="K498" t="s">
        <v>590</v>
      </c>
      <c r="L498" t="s">
        <v>178</v>
      </c>
      <c r="M498" t="s">
        <v>288</v>
      </c>
      <c r="N498" t="s">
        <v>11</v>
      </c>
      <c r="O498" t="s">
        <v>15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288</v>
      </c>
      <c r="AH498" t="s">
        <v>11</v>
      </c>
      <c r="AI498" t="s">
        <v>15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71.88</v>
      </c>
      <c r="AN498">
        <f>$H$498*$T$498</f>
        <v>71.88</v>
      </c>
      <c r="AO498">
        <f>$H$498*$U$498</f>
        <v>71.88</v>
      </c>
      <c r="AP498">
        <f>$H$498*$V$498</f>
        <v>71.88</v>
      </c>
      <c r="AQ498">
        <f>$H$498*$W$498</f>
        <v>71.88</v>
      </c>
      <c r="AR498">
        <f>$H$498*$X$498</f>
        <v>71.88</v>
      </c>
      <c r="AS498">
        <f>$H$498*$Y$498</f>
        <v>71.88</v>
      </c>
      <c r="AT498">
        <f>$H$498*$Z$498</f>
        <v>71.88</v>
      </c>
      <c r="AU498">
        <f>$H$498*$AA$498</f>
        <v>71.88</v>
      </c>
      <c r="AV498">
        <f>$H$498*$AB$498</f>
        <v>71.88</v>
      </c>
      <c r="AW498">
        <f>$H$498*$AC$498</f>
        <v>71.88</v>
      </c>
      <c r="AX498">
        <f>$H$498*$AD$498</f>
        <v>71.88</v>
      </c>
      <c r="AY498">
        <f>$H$498*$AE$498</f>
        <v>71.88</v>
      </c>
      <c r="AZ498">
        <f>$H$498*$AF$498</f>
        <v>71.88</v>
      </c>
    </row>
    <row r="499" spans="1:52" x14ac:dyDescent="0.25">
      <c r="A499">
        <v>550</v>
      </c>
      <c r="B499" t="s">
        <v>289</v>
      </c>
      <c r="C499" t="s">
        <v>397</v>
      </c>
      <c r="D499">
        <v>2</v>
      </c>
      <c r="E499">
        <v>26.54</v>
      </c>
      <c r="F499" t="s">
        <v>317</v>
      </c>
      <c r="G499">
        <v>13.27</v>
      </c>
      <c r="H499">
        <v>31.84</v>
      </c>
      <c r="I499" t="s">
        <v>319</v>
      </c>
      <c r="J499" t="s">
        <v>398</v>
      </c>
      <c r="K499" t="s">
        <v>577</v>
      </c>
      <c r="L499" t="s">
        <v>178</v>
      </c>
      <c r="M499" t="s">
        <v>289</v>
      </c>
      <c r="N499" t="s">
        <v>51</v>
      </c>
      <c r="O499" t="s">
        <v>290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1</v>
      </c>
      <c r="Y499">
        <v>1</v>
      </c>
      <c r="Z499">
        <v>1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289</v>
      </c>
      <c r="AH499" t="s">
        <v>51</v>
      </c>
      <c r="AI499" t="s">
        <v>290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0</v>
      </c>
      <c r="AN499">
        <f>$H$499*$T$499</f>
        <v>0</v>
      </c>
      <c r="AO499">
        <f>$H$499*$U$499</f>
        <v>0</v>
      </c>
      <c r="AP499">
        <f>$H$499*$V$499</f>
        <v>0</v>
      </c>
      <c r="AQ499">
        <f>$H$499*$W$499</f>
        <v>0</v>
      </c>
      <c r="AR499">
        <f>$H$499*$X$499</f>
        <v>31.84</v>
      </c>
      <c r="AS499">
        <f>$H$499*$Y$499</f>
        <v>31.84</v>
      </c>
      <c r="AT499">
        <f>$H$499*$Z$499</f>
        <v>31.84</v>
      </c>
      <c r="AU499">
        <f>$H$499*$AA$499</f>
        <v>31.84</v>
      </c>
      <c r="AV499">
        <f>$H$499*$AB$499</f>
        <v>31.84</v>
      </c>
      <c r="AW499">
        <f>$H$499*$AC$499</f>
        <v>31.84</v>
      </c>
      <c r="AX499">
        <f>$H$499*$AD$499</f>
        <v>31.84</v>
      </c>
      <c r="AY499">
        <f>$H$499*$AE$499</f>
        <v>31.84</v>
      </c>
      <c r="AZ499">
        <f>$H$499*$AF$499</f>
        <v>31.84</v>
      </c>
    </row>
    <row r="500" spans="1:52" x14ac:dyDescent="0.25">
      <c r="A500">
        <v>551</v>
      </c>
      <c r="B500" t="s">
        <v>289</v>
      </c>
      <c r="C500" t="s">
        <v>341</v>
      </c>
      <c r="D500">
        <v>21</v>
      </c>
      <c r="E500">
        <v>93.24</v>
      </c>
      <c r="F500" t="s">
        <v>311</v>
      </c>
      <c r="G500">
        <v>4.4400000000000004</v>
      </c>
      <c r="H500">
        <v>111.88</v>
      </c>
      <c r="I500" t="s">
        <v>312</v>
      </c>
      <c r="J500" t="s">
        <v>342</v>
      </c>
      <c r="K500" t="s">
        <v>550</v>
      </c>
      <c r="L500" t="s">
        <v>178</v>
      </c>
      <c r="M500" t="s">
        <v>289</v>
      </c>
      <c r="N500" t="s">
        <v>51</v>
      </c>
      <c r="O500" t="s">
        <v>290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289</v>
      </c>
      <c r="AH500" t="s">
        <v>51</v>
      </c>
      <c r="AI500" t="s">
        <v>290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0</v>
      </c>
      <c r="AO500">
        <f>$H$500*$U$500</f>
        <v>0</v>
      </c>
      <c r="AP500">
        <f>$H$500*$V$500</f>
        <v>0</v>
      </c>
      <c r="AQ500">
        <f>$H$500*$W$500</f>
        <v>0</v>
      </c>
      <c r="AR500">
        <f>$H$500*$X$500</f>
        <v>0</v>
      </c>
      <c r="AS500">
        <f>$H$500*$Y$500</f>
        <v>0</v>
      </c>
      <c r="AT500">
        <f>$H$500*$Z$500</f>
        <v>0</v>
      </c>
      <c r="AU500">
        <f>$H$500*$AA$500</f>
        <v>111.88</v>
      </c>
      <c r="AV500">
        <f>$H$500*$AB$500</f>
        <v>111.88</v>
      </c>
      <c r="AW500">
        <f>$H$500*$AC$500</f>
        <v>111.88</v>
      </c>
      <c r="AX500">
        <f>$H$500*$AD$500</f>
        <v>111.88</v>
      </c>
      <c r="AY500">
        <f>$H$500*$AE$500</f>
        <v>111.88</v>
      </c>
      <c r="AZ500">
        <f>$H$500*$AF$500</f>
        <v>111.88</v>
      </c>
    </row>
    <row r="501" spans="1:52" x14ac:dyDescent="0.25">
      <c r="A501">
        <v>552</v>
      </c>
      <c r="B501" t="s">
        <v>289</v>
      </c>
      <c r="C501" t="s">
        <v>343</v>
      </c>
      <c r="D501">
        <v>21</v>
      </c>
      <c r="E501">
        <v>242.55</v>
      </c>
      <c r="F501" t="s">
        <v>311</v>
      </c>
      <c r="G501">
        <v>11.55</v>
      </c>
      <c r="H501">
        <v>291.07</v>
      </c>
      <c r="I501" t="s">
        <v>315</v>
      </c>
      <c r="J501" t="s">
        <v>344</v>
      </c>
      <c r="K501" t="s">
        <v>551</v>
      </c>
      <c r="L501" t="s">
        <v>178</v>
      </c>
      <c r="M501" t="s">
        <v>289</v>
      </c>
      <c r="N501" t="s">
        <v>51</v>
      </c>
      <c r="O501" t="s">
        <v>290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289</v>
      </c>
      <c r="AH501" t="s">
        <v>51</v>
      </c>
      <c r="AI501" t="s">
        <v>290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0</v>
      </c>
      <c r="AO501">
        <f>$H$501*$U$501</f>
        <v>0</v>
      </c>
      <c r="AP501">
        <f>$H$501*$V$501</f>
        <v>0</v>
      </c>
      <c r="AQ501">
        <f>$H$501*$W$501</f>
        <v>0</v>
      </c>
      <c r="AR501">
        <f>$H$501*$X$501</f>
        <v>0</v>
      </c>
      <c r="AS501">
        <f>$H$501*$Y$501</f>
        <v>0</v>
      </c>
      <c r="AT501">
        <f>$H$501*$Z$501</f>
        <v>0</v>
      </c>
      <c r="AU501">
        <f>$H$501*$AA$501</f>
        <v>291.07</v>
      </c>
      <c r="AV501">
        <f>$H$501*$AB$501</f>
        <v>291.07</v>
      </c>
      <c r="AW501">
        <f>$H$501*$AC$501</f>
        <v>291.07</v>
      </c>
      <c r="AX501">
        <f>$H$501*$AD$501</f>
        <v>291.07</v>
      </c>
      <c r="AY501">
        <f>$H$501*$AE$501</f>
        <v>291.07</v>
      </c>
      <c r="AZ501">
        <f>$H$501*$AF$501</f>
        <v>291.07</v>
      </c>
    </row>
    <row r="502" spans="1:52" x14ac:dyDescent="0.25">
      <c r="A502">
        <v>553</v>
      </c>
      <c r="B502" t="s">
        <v>289</v>
      </c>
      <c r="C502" t="s">
        <v>395</v>
      </c>
      <c r="D502">
        <v>21</v>
      </c>
      <c r="E502">
        <v>99.75</v>
      </c>
      <c r="F502" t="s">
        <v>311</v>
      </c>
      <c r="G502">
        <v>4.75</v>
      </c>
      <c r="H502">
        <v>119.71</v>
      </c>
      <c r="I502" t="s">
        <v>315</v>
      </c>
      <c r="J502" t="s">
        <v>396</v>
      </c>
      <c r="K502" t="s">
        <v>576</v>
      </c>
      <c r="L502" t="s">
        <v>178</v>
      </c>
      <c r="M502" t="s">
        <v>289</v>
      </c>
      <c r="N502" t="s">
        <v>51</v>
      </c>
      <c r="O502" t="s">
        <v>290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1</v>
      </c>
      <c r="AD502">
        <v>1</v>
      </c>
      <c r="AE502">
        <v>1</v>
      </c>
      <c r="AF502">
        <v>1</v>
      </c>
      <c r="AG502" t="s">
        <v>289</v>
      </c>
      <c r="AH502" t="s">
        <v>51</v>
      </c>
      <c r="AI502" t="s">
        <v>290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0</v>
      </c>
      <c r="AN502">
        <f>$H$502*$T$502</f>
        <v>0</v>
      </c>
      <c r="AO502">
        <f>$H$502*$U$502</f>
        <v>0</v>
      </c>
      <c r="AP502">
        <f>$H$502*$V$502</f>
        <v>0</v>
      </c>
      <c r="AQ502">
        <f>$H$502*$W$502</f>
        <v>0</v>
      </c>
      <c r="AR502">
        <f>$H$502*$X$502</f>
        <v>0</v>
      </c>
      <c r="AS502">
        <f>$H$502*$Y$502</f>
        <v>0</v>
      </c>
      <c r="AT502">
        <f>$H$502*$Z$502</f>
        <v>0</v>
      </c>
      <c r="AU502">
        <f>$H$502*$AA$502</f>
        <v>0</v>
      </c>
      <c r="AV502">
        <f>$H$502*$AB$502</f>
        <v>0</v>
      </c>
      <c r="AW502">
        <f>$H$502*$AC$502</f>
        <v>119.71</v>
      </c>
      <c r="AX502">
        <f>$H$502*$AD$502</f>
        <v>119.71</v>
      </c>
      <c r="AY502">
        <f>$H$502*$AE$502</f>
        <v>119.71</v>
      </c>
      <c r="AZ502">
        <f>$H$502*$AF$502</f>
        <v>119.71</v>
      </c>
    </row>
    <row r="503" spans="1:52" x14ac:dyDescent="0.25">
      <c r="A503">
        <v>554</v>
      </c>
      <c r="B503" t="s">
        <v>289</v>
      </c>
      <c r="C503" t="s">
        <v>424</v>
      </c>
      <c r="D503">
        <v>1</v>
      </c>
      <c r="E503">
        <v>48.06</v>
      </c>
      <c r="F503" t="s">
        <v>317</v>
      </c>
      <c r="G503">
        <v>48.06</v>
      </c>
      <c r="H503">
        <v>57.68</v>
      </c>
      <c r="I503" t="s">
        <v>322</v>
      </c>
      <c r="J503" t="s">
        <v>425</v>
      </c>
      <c r="K503" t="s">
        <v>591</v>
      </c>
      <c r="L503" t="s">
        <v>178</v>
      </c>
      <c r="M503" t="s">
        <v>289</v>
      </c>
      <c r="N503" t="s">
        <v>51</v>
      </c>
      <c r="O503" t="s">
        <v>290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1</v>
      </c>
      <c r="AF503">
        <v>1</v>
      </c>
      <c r="AG503" t="s">
        <v>289</v>
      </c>
      <c r="AH503" t="s">
        <v>51</v>
      </c>
      <c r="AI503" t="s">
        <v>290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0</v>
      </c>
      <c r="AN503">
        <f>$H$503*$T$503</f>
        <v>0</v>
      </c>
      <c r="AO503">
        <f>$H$503*$U$503</f>
        <v>0</v>
      </c>
      <c r="AP503">
        <f>$H$503*$V$503</f>
        <v>0</v>
      </c>
      <c r="AQ503">
        <f>$H$503*$W$503</f>
        <v>0</v>
      </c>
      <c r="AR503">
        <f>$H$503*$X$503</f>
        <v>0</v>
      </c>
      <c r="AS503">
        <f>$H$503*$Y$503</f>
        <v>0</v>
      </c>
      <c r="AT503">
        <f>$H$503*$Z$503</f>
        <v>0</v>
      </c>
      <c r="AU503">
        <f>$H$503*$AA$503</f>
        <v>0</v>
      </c>
      <c r="AV503">
        <f>$H$503*$AB$503</f>
        <v>0</v>
      </c>
      <c r="AW503">
        <f>$H$503*$AC$503</f>
        <v>0</v>
      </c>
      <c r="AX503">
        <f>$H$503*$AD$503</f>
        <v>57.68</v>
      </c>
      <c r="AY503">
        <f>$H$503*$AE$503</f>
        <v>57.68</v>
      </c>
      <c r="AZ503">
        <f>$H$503*$AF$503</f>
        <v>57.68</v>
      </c>
    </row>
    <row r="504" spans="1:52" x14ac:dyDescent="0.25">
      <c r="A504">
        <v>555</v>
      </c>
      <c r="B504" t="s">
        <v>289</v>
      </c>
      <c r="C504" t="s">
        <v>350</v>
      </c>
      <c r="D504">
        <v>1</v>
      </c>
      <c r="E504">
        <v>47.96</v>
      </c>
      <c r="F504" t="s">
        <v>317</v>
      </c>
      <c r="G504">
        <v>47.96</v>
      </c>
      <c r="H504">
        <v>57.56</v>
      </c>
      <c r="I504" t="s">
        <v>351</v>
      </c>
      <c r="J504" t="s">
        <v>352</v>
      </c>
      <c r="K504" t="s">
        <v>554</v>
      </c>
      <c r="L504" t="s">
        <v>178</v>
      </c>
      <c r="M504" t="s">
        <v>289</v>
      </c>
      <c r="N504" t="s">
        <v>51</v>
      </c>
      <c r="O504" t="s">
        <v>290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289</v>
      </c>
      <c r="AH504" t="s">
        <v>51</v>
      </c>
      <c r="AI504" t="s">
        <v>290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0</v>
      </c>
      <c r="AN504">
        <f>$H$504*$T$504</f>
        <v>0</v>
      </c>
      <c r="AO504">
        <f>$H$504*$U$504</f>
        <v>0</v>
      </c>
      <c r="AP504">
        <f>$H$504*$V$504</f>
        <v>0</v>
      </c>
      <c r="AQ504">
        <f>$H$504*$W$504</f>
        <v>0</v>
      </c>
      <c r="AR504">
        <f>$H$504*$X$504</f>
        <v>0</v>
      </c>
      <c r="AS504">
        <f>$H$504*$Y$504</f>
        <v>0</v>
      </c>
      <c r="AT504">
        <f>$H$504*$Z$504</f>
        <v>0</v>
      </c>
      <c r="AU504">
        <f>$H$504*$AA$504</f>
        <v>57.56</v>
      </c>
      <c r="AV504">
        <f>$H$504*$AB$504</f>
        <v>57.56</v>
      </c>
      <c r="AW504">
        <f>$H$504*$AC$504</f>
        <v>57.56</v>
      </c>
      <c r="AX504">
        <f>$H$504*$AD$504</f>
        <v>57.56</v>
      </c>
      <c r="AY504">
        <f>$H$504*$AE$504</f>
        <v>57.56</v>
      </c>
      <c r="AZ504">
        <f>$H$504*$AF$504</f>
        <v>57.56</v>
      </c>
    </row>
    <row r="505" spans="1:52" x14ac:dyDescent="0.25">
      <c r="A505">
        <v>556</v>
      </c>
      <c r="B505" t="s">
        <v>289</v>
      </c>
      <c r="C505" t="s">
        <v>358</v>
      </c>
      <c r="D505">
        <v>2</v>
      </c>
      <c r="E505">
        <v>77.86</v>
      </c>
      <c r="F505" t="s">
        <v>317</v>
      </c>
      <c r="G505">
        <v>38.93</v>
      </c>
      <c r="H505">
        <v>93.44</v>
      </c>
      <c r="I505" t="s">
        <v>312</v>
      </c>
      <c r="J505" t="s">
        <v>354</v>
      </c>
      <c r="K505" t="s">
        <v>557</v>
      </c>
      <c r="L505" t="s">
        <v>178</v>
      </c>
      <c r="M505" t="s">
        <v>289</v>
      </c>
      <c r="N505" t="s">
        <v>51</v>
      </c>
      <c r="O505" t="s">
        <v>290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289</v>
      </c>
      <c r="AH505" t="s">
        <v>51</v>
      </c>
      <c r="AI505" t="s">
        <v>290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93.44</v>
      </c>
      <c r="AN505">
        <f>$H$505*$T$505</f>
        <v>93.44</v>
      </c>
      <c r="AO505">
        <f>$H$505*$U$505</f>
        <v>93.44</v>
      </c>
      <c r="AP505">
        <f>$H$505*$V$505</f>
        <v>93.44</v>
      </c>
      <c r="AQ505">
        <f>$H$505*$W$505</f>
        <v>93.44</v>
      </c>
      <c r="AR505">
        <f>$H$505*$X$505</f>
        <v>93.44</v>
      </c>
      <c r="AS505">
        <f>$H$505*$Y$505</f>
        <v>93.44</v>
      </c>
      <c r="AT505">
        <f>$H$505*$Z$505</f>
        <v>93.44</v>
      </c>
      <c r="AU505">
        <f>$H$505*$AA$505</f>
        <v>93.44</v>
      </c>
      <c r="AV505">
        <f>$H$505*$AB$505</f>
        <v>93.44</v>
      </c>
      <c r="AW505">
        <f>$H$505*$AC$505</f>
        <v>93.44</v>
      </c>
      <c r="AX505">
        <f>$H$505*$AD$505</f>
        <v>93.44</v>
      </c>
      <c r="AY505">
        <f>$H$505*$AE$505</f>
        <v>93.44</v>
      </c>
      <c r="AZ505">
        <f>$H$505*$AF$505</f>
        <v>93.44</v>
      </c>
    </row>
    <row r="506" spans="1:52" x14ac:dyDescent="0.25">
      <c r="A506">
        <v>557</v>
      </c>
      <c r="B506" t="s">
        <v>289</v>
      </c>
      <c r="C506" t="s">
        <v>356</v>
      </c>
      <c r="D506">
        <v>2</v>
      </c>
      <c r="E506">
        <v>62.72</v>
      </c>
      <c r="F506" t="s">
        <v>317</v>
      </c>
      <c r="G506">
        <v>31.36</v>
      </c>
      <c r="H506">
        <v>75.260000000000005</v>
      </c>
      <c r="I506" t="s">
        <v>312</v>
      </c>
      <c r="J506" t="s">
        <v>357</v>
      </c>
      <c r="K506" t="s">
        <v>556</v>
      </c>
      <c r="L506" t="s">
        <v>178</v>
      </c>
      <c r="M506" t="s">
        <v>289</v>
      </c>
      <c r="N506" t="s">
        <v>51</v>
      </c>
      <c r="O506" t="s">
        <v>290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289</v>
      </c>
      <c r="AH506" t="s">
        <v>51</v>
      </c>
      <c r="AI506" t="s">
        <v>290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75.260000000000005</v>
      </c>
      <c r="AN506">
        <f>$H$506*$T$506</f>
        <v>75.260000000000005</v>
      </c>
      <c r="AO506">
        <f>$H$506*$U$506</f>
        <v>75.260000000000005</v>
      </c>
      <c r="AP506">
        <f>$H$506*$V$506</f>
        <v>75.260000000000005</v>
      </c>
      <c r="AQ506">
        <f>$H$506*$W$506</f>
        <v>75.260000000000005</v>
      </c>
      <c r="AR506">
        <f>$H$506*$X$506</f>
        <v>75.260000000000005</v>
      </c>
      <c r="AS506">
        <f>$H$506*$Y$506</f>
        <v>75.260000000000005</v>
      </c>
      <c r="AT506">
        <f>$H$506*$Z$506</f>
        <v>75.260000000000005</v>
      </c>
      <c r="AU506">
        <f>$H$506*$AA$506</f>
        <v>75.260000000000005</v>
      </c>
      <c r="AV506">
        <f>$H$506*$AB$506</f>
        <v>75.260000000000005</v>
      </c>
      <c r="AW506">
        <f>$H$506*$AC$506</f>
        <v>75.260000000000005</v>
      </c>
      <c r="AX506">
        <f>$H$506*$AD$506</f>
        <v>75.260000000000005</v>
      </c>
      <c r="AY506">
        <f>$H$506*$AE$506</f>
        <v>75.260000000000005</v>
      </c>
      <c r="AZ506">
        <f>$H$506*$AF$506</f>
        <v>75.260000000000005</v>
      </c>
    </row>
    <row r="507" spans="1:52" x14ac:dyDescent="0.25">
      <c r="A507">
        <v>558</v>
      </c>
      <c r="B507" t="s">
        <v>289</v>
      </c>
      <c r="C507" t="s">
        <v>353</v>
      </c>
      <c r="D507">
        <v>1</v>
      </c>
      <c r="E507">
        <v>365.09</v>
      </c>
      <c r="F507" t="s">
        <v>317</v>
      </c>
      <c r="G507">
        <v>365.09</v>
      </c>
      <c r="H507">
        <v>438.11</v>
      </c>
      <c r="I507" t="s">
        <v>354</v>
      </c>
      <c r="J507" t="s">
        <v>355</v>
      </c>
      <c r="K507" t="s">
        <v>555</v>
      </c>
      <c r="L507" t="s">
        <v>178</v>
      </c>
      <c r="M507" t="s">
        <v>289</v>
      </c>
      <c r="N507" t="s">
        <v>51</v>
      </c>
      <c r="O507" t="s">
        <v>290</v>
      </c>
      <c r="P507">
        <v>0</v>
      </c>
      <c r="Q507">
        <v>0</v>
      </c>
      <c r="R507">
        <v>0</v>
      </c>
      <c r="S507">
        <v>0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289</v>
      </c>
      <c r="AH507" t="s">
        <v>51</v>
      </c>
      <c r="AI507" t="s">
        <v>290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438.11</v>
      </c>
      <c r="AO507">
        <f>$H$507*$U$507</f>
        <v>438.11</v>
      </c>
      <c r="AP507">
        <f>$H$507*$V$507</f>
        <v>438.11</v>
      </c>
      <c r="AQ507">
        <f>$H$507*$W$507</f>
        <v>438.11</v>
      </c>
      <c r="AR507">
        <f>$H$507*$X$507</f>
        <v>438.11</v>
      </c>
      <c r="AS507">
        <f>$H$507*$Y$507</f>
        <v>438.11</v>
      </c>
      <c r="AT507">
        <f>$H$507*$Z$507</f>
        <v>438.11</v>
      </c>
      <c r="AU507">
        <f>$H$507*$AA$507</f>
        <v>438.11</v>
      </c>
      <c r="AV507">
        <f>$H$507*$AB$507</f>
        <v>438.11</v>
      </c>
      <c r="AW507">
        <f>$H$507*$AC$507</f>
        <v>438.11</v>
      </c>
      <c r="AX507">
        <f>$H$507*$AD$507</f>
        <v>438.11</v>
      </c>
      <c r="AY507">
        <f>$H$507*$AE$507</f>
        <v>438.11</v>
      </c>
      <c r="AZ507">
        <f>$H$507*$AF$507</f>
        <v>438.11</v>
      </c>
    </row>
    <row r="508" spans="1:52" x14ac:dyDescent="0.25">
      <c r="A508">
        <v>559</v>
      </c>
      <c r="B508" t="s">
        <v>289</v>
      </c>
      <c r="C508" t="s">
        <v>345</v>
      </c>
      <c r="D508">
        <v>349.33</v>
      </c>
      <c r="E508">
        <v>342.34</v>
      </c>
      <c r="F508" t="s">
        <v>335</v>
      </c>
      <c r="G508">
        <v>0.98</v>
      </c>
      <c r="H508">
        <v>410.8</v>
      </c>
      <c r="I508" t="s">
        <v>312</v>
      </c>
      <c r="J508" t="s">
        <v>346</v>
      </c>
      <c r="K508" t="s">
        <v>552</v>
      </c>
      <c r="L508" t="s">
        <v>178</v>
      </c>
      <c r="M508" t="s">
        <v>289</v>
      </c>
      <c r="N508" t="s">
        <v>51</v>
      </c>
      <c r="O508" t="s">
        <v>290</v>
      </c>
      <c r="P508">
        <v>0</v>
      </c>
      <c r="Q508">
        <v>0</v>
      </c>
      <c r="R508">
        <v>0</v>
      </c>
      <c r="S508">
        <v>0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289</v>
      </c>
      <c r="AH508" t="s">
        <v>51</v>
      </c>
      <c r="AI508" t="s">
        <v>290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410.8</v>
      </c>
      <c r="AO508">
        <f>$H$508*$U$508</f>
        <v>410.8</v>
      </c>
      <c r="AP508">
        <f>$H$508*$V$508</f>
        <v>410.8</v>
      </c>
      <c r="AQ508">
        <f>$H$508*$W$508</f>
        <v>410.8</v>
      </c>
      <c r="AR508">
        <f>$H$508*$X$508</f>
        <v>410.8</v>
      </c>
      <c r="AS508">
        <f>$H$508*$Y$508</f>
        <v>410.8</v>
      </c>
      <c r="AT508">
        <f>$H$508*$Z$508</f>
        <v>410.8</v>
      </c>
      <c r="AU508">
        <f>$H$508*$AA$508</f>
        <v>410.8</v>
      </c>
      <c r="AV508">
        <f>$H$508*$AB$508</f>
        <v>410.8</v>
      </c>
      <c r="AW508">
        <f>$H$508*$AC$508</f>
        <v>410.8</v>
      </c>
      <c r="AX508">
        <f>$H$508*$AD$508</f>
        <v>410.8</v>
      </c>
      <c r="AY508">
        <f>$H$508*$AE$508</f>
        <v>410.8</v>
      </c>
      <c r="AZ508">
        <f>$H$508*$AF$508</f>
        <v>410.8</v>
      </c>
    </row>
    <row r="509" spans="1:52" x14ac:dyDescent="0.25">
      <c r="A509">
        <v>560</v>
      </c>
      <c r="B509" t="s">
        <v>289</v>
      </c>
      <c r="C509" t="s">
        <v>400</v>
      </c>
      <c r="D509">
        <v>349.33</v>
      </c>
      <c r="E509">
        <v>1173.75</v>
      </c>
      <c r="F509" t="s">
        <v>335</v>
      </c>
      <c r="G509">
        <v>3.36</v>
      </c>
      <c r="H509">
        <v>1408.51</v>
      </c>
      <c r="I509" t="s">
        <v>348</v>
      </c>
      <c r="J509" t="s">
        <v>401</v>
      </c>
      <c r="K509" t="s">
        <v>579</v>
      </c>
      <c r="L509" t="s">
        <v>178</v>
      </c>
      <c r="M509" t="s">
        <v>289</v>
      </c>
      <c r="N509" t="s">
        <v>51</v>
      </c>
      <c r="O509" t="s">
        <v>290</v>
      </c>
      <c r="P509">
        <v>0</v>
      </c>
      <c r="Q509">
        <v>0</v>
      </c>
      <c r="R509">
        <v>0</v>
      </c>
      <c r="S509">
        <v>0.25</v>
      </c>
      <c r="T509">
        <v>0.25</v>
      </c>
      <c r="U509">
        <v>0.25</v>
      </c>
      <c r="V509">
        <v>0.25</v>
      </c>
      <c r="W509">
        <v>0.5</v>
      </c>
      <c r="X509">
        <v>0.5</v>
      </c>
      <c r="Y509">
        <v>0.5</v>
      </c>
      <c r="Z509">
        <v>0.5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289</v>
      </c>
      <c r="AH509" t="s">
        <v>51</v>
      </c>
      <c r="AI509" t="s">
        <v>290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352.1275</v>
      </c>
      <c r="AN509">
        <f>$H$509*$T$509</f>
        <v>352.1275</v>
      </c>
      <c r="AO509">
        <f>$H$509*$U$509</f>
        <v>352.1275</v>
      </c>
      <c r="AP509">
        <f>$H$509*$V$509</f>
        <v>352.1275</v>
      </c>
      <c r="AQ509">
        <f>$H$509*$W$509</f>
        <v>704.255</v>
      </c>
      <c r="AR509">
        <f>$H$509*$X$509</f>
        <v>704.255</v>
      </c>
      <c r="AS509">
        <f>$H$509*$Y$509</f>
        <v>704.255</v>
      </c>
      <c r="AT509">
        <f>$H$509*$Z$509</f>
        <v>704.255</v>
      </c>
      <c r="AU509">
        <f>$H$509*$AA$509</f>
        <v>1408.51</v>
      </c>
      <c r="AV509">
        <f>$H$509*$AB$509</f>
        <v>1408.51</v>
      </c>
      <c r="AW509">
        <f>$H$509*$AC$509</f>
        <v>1408.51</v>
      </c>
      <c r="AX509">
        <f>$H$509*$AD$509</f>
        <v>1408.51</v>
      </c>
      <c r="AY509">
        <f>$H$509*$AE$509</f>
        <v>1408.51</v>
      </c>
      <c r="AZ509">
        <f>$H$509*$AF$509</f>
        <v>1408.51</v>
      </c>
    </row>
    <row r="510" spans="1:52" x14ac:dyDescent="0.25">
      <c r="A510">
        <v>561</v>
      </c>
      <c r="B510" t="s">
        <v>289</v>
      </c>
      <c r="C510" t="s">
        <v>402</v>
      </c>
      <c r="D510">
        <v>43.67</v>
      </c>
      <c r="E510">
        <v>65.94</v>
      </c>
      <c r="F510" t="s">
        <v>311</v>
      </c>
      <c r="G510">
        <v>1.51</v>
      </c>
      <c r="H510">
        <v>79.12</v>
      </c>
      <c r="I510" t="s">
        <v>312</v>
      </c>
      <c r="J510" t="s">
        <v>403</v>
      </c>
      <c r="K510" t="s">
        <v>580</v>
      </c>
      <c r="L510" t="s">
        <v>178</v>
      </c>
      <c r="M510" t="s">
        <v>289</v>
      </c>
      <c r="N510" t="s">
        <v>51</v>
      </c>
      <c r="O510" t="s">
        <v>290</v>
      </c>
      <c r="P510">
        <v>0</v>
      </c>
      <c r="Q510">
        <v>0</v>
      </c>
      <c r="R510">
        <v>0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289</v>
      </c>
      <c r="AH510" t="s">
        <v>51</v>
      </c>
      <c r="AI510" t="s">
        <v>290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79.12</v>
      </c>
      <c r="AN510">
        <f>$H$510*$T$510</f>
        <v>79.12</v>
      </c>
      <c r="AO510">
        <f>$H$510*$U$510</f>
        <v>79.12</v>
      </c>
      <c r="AP510">
        <f>$H$510*$V$510</f>
        <v>79.12</v>
      </c>
      <c r="AQ510">
        <f>$H$510*$W$510</f>
        <v>79.12</v>
      </c>
      <c r="AR510">
        <f>$H$510*$X$510</f>
        <v>79.12</v>
      </c>
      <c r="AS510">
        <f>$H$510*$Y$510</f>
        <v>79.12</v>
      </c>
      <c r="AT510">
        <f>$H$510*$Z$510</f>
        <v>79.12</v>
      </c>
      <c r="AU510">
        <f>$H$510*$AA$510</f>
        <v>79.12</v>
      </c>
      <c r="AV510">
        <f>$H$510*$AB$510</f>
        <v>79.12</v>
      </c>
      <c r="AW510">
        <f>$H$510*$AC$510</f>
        <v>79.12</v>
      </c>
      <c r="AX510">
        <f>$H$510*$AD$510</f>
        <v>79.12</v>
      </c>
      <c r="AY510">
        <f>$H$510*$AE$510</f>
        <v>79.12</v>
      </c>
      <c r="AZ510">
        <f>$H$510*$AF$510</f>
        <v>79.12</v>
      </c>
    </row>
    <row r="511" spans="1:52" x14ac:dyDescent="0.25">
      <c r="A511">
        <v>562</v>
      </c>
      <c r="B511" t="s">
        <v>289</v>
      </c>
      <c r="C511" t="s">
        <v>404</v>
      </c>
      <c r="D511">
        <v>43.67</v>
      </c>
      <c r="E511">
        <v>248.05</v>
      </c>
      <c r="F511" t="s">
        <v>311</v>
      </c>
      <c r="G511">
        <v>5.68</v>
      </c>
      <c r="H511">
        <v>297.67</v>
      </c>
      <c r="I511" t="s">
        <v>315</v>
      </c>
      <c r="J511" t="s">
        <v>405</v>
      </c>
      <c r="K511" t="s">
        <v>581</v>
      </c>
      <c r="L511" t="s">
        <v>178</v>
      </c>
      <c r="M511" t="s">
        <v>289</v>
      </c>
      <c r="N511" t="s">
        <v>51</v>
      </c>
      <c r="O511" t="s">
        <v>290</v>
      </c>
      <c r="P511">
        <v>0</v>
      </c>
      <c r="Q511">
        <v>0</v>
      </c>
      <c r="R511">
        <v>0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289</v>
      </c>
      <c r="AH511" t="s">
        <v>51</v>
      </c>
      <c r="AI511" t="s">
        <v>290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297.67</v>
      </c>
      <c r="AN511">
        <f>$H$511*$T$511</f>
        <v>297.67</v>
      </c>
      <c r="AO511">
        <f>$H$511*$U$511</f>
        <v>297.67</v>
      </c>
      <c r="AP511">
        <f>$H$511*$V$511</f>
        <v>297.67</v>
      </c>
      <c r="AQ511">
        <f>$H$511*$W$511</f>
        <v>297.67</v>
      </c>
      <c r="AR511">
        <f>$H$511*$X$511</f>
        <v>297.67</v>
      </c>
      <c r="AS511">
        <f>$H$511*$Y$511</f>
        <v>297.67</v>
      </c>
      <c r="AT511">
        <f>$H$511*$Z$511</f>
        <v>297.67</v>
      </c>
      <c r="AU511">
        <f>$H$511*$AA$511</f>
        <v>297.67</v>
      </c>
      <c r="AV511">
        <f>$H$511*$AB$511</f>
        <v>297.67</v>
      </c>
      <c r="AW511">
        <f>$H$511*$AC$511</f>
        <v>297.67</v>
      </c>
      <c r="AX511">
        <f>$H$511*$AD$511</f>
        <v>297.67</v>
      </c>
      <c r="AY511">
        <f>$H$511*$AE$511</f>
        <v>297.67</v>
      </c>
      <c r="AZ511">
        <f>$H$511*$AF$511</f>
        <v>297.67</v>
      </c>
    </row>
    <row r="512" spans="1:52" x14ac:dyDescent="0.25">
      <c r="A512">
        <v>563</v>
      </c>
      <c r="B512" t="s">
        <v>289</v>
      </c>
      <c r="C512" t="s">
        <v>400</v>
      </c>
      <c r="D512">
        <v>118.17</v>
      </c>
      <c r="E512">
        <v>397.05</v>
      </c>
      <c r="F512" t="s">
        <v>335</v>
      </c>
      <c r="G512">
        <v>3.36</v>
      </c>
      <c r="H512">
        <v>476.47</v>
      </c>
      <c r="I512" t="s">
        <v>348</v>
      </c>
      <c r="J512" t="s">
        <v>401</v>
      </c>
      <c r="K512" t="s">
        <v>579</v>
      </c>
      <c r="L512" t="s">
        <v>178</v>
      </c>
      <c r="M512" t="s">
        <v>289</v>
      </c>
      <c r="N512" t="s">
        <v>51</v>
      </c>
      <c r="O512" t="s">
        <v>290</v>
      </c>
      <c r="P512">
        <v>0</v>
      </c>
      <c r="Q512">
        <v>0</v>
      </c>
      <c r="R512">
        <v>0</v>
      </c>
      <c r="S512">
        <v>0.25</v>
      </c>
      <c r="T512">
        <v>0.25</v>
      </c>
      <c r="U512">
        <v>0.25</v>
      </c>
      <c r="V512">
        <v>0.25</v>
      </c>
      <c r="W512">
        <v>0.5</v>
      </c>
      <c r="X512">
        <v>0.5</v>
      </c>
      <c r="Y512">
        <v>0.5</v>
      </c>
      <c r="Z512">
        <v>0.5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289</v>
      </c>
      <c r="AH512" t="s">
        <v>51</v>
      </c>
      <c r="AI512" t="s">
        <v>290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119.11750000000001</v>
      </c>
      <c r="AN512">
        <f>$H$512*$T$512</f>
        <v>119.11750000000001</v>
      </c>
      <c r="AO512">
        <f>$H$512*$U$512</f>
        <v>119.11750000000001</v>
      </c>
      <c r="AP512">
        <f>$H$512*$V$512</f>
        <v>119.11750000000001</v>
      </c>
      <c r="AQ512">
        <f>$H$512*$W$512</f>
        <v>238.23500000000001</v>
      </c>
      <c r="AR512">
        <f>$H$512*$X$512</f>
        <v>238.23500000000001</v>
      </c>
      <c r="AS512">
        <f>$H$512*$Y$512</f>
        <v>238.23500000000001</v>
      </c>
      <c r="AT512">
        <f>$H$512*$Z$512</f>
        <v>238.23500000000001</v>
      </c>
      <c r="AU512">
        <f>$H$512*$AA$512</f>
        <v>476.47</v>
      </c>
      <c r="AV512">
        <f>$H$512*$AB$512</f>
        <v>476.47</v>
      </c>
      <c r="AW512">
        <f>$H$512*$AC$512</f>
        <v>476.47</v>
      </c>
      <c r="AX512">
        <f>$H$512*$AD$512</f>
        <v>476.47</v>
      </c>
      <c r="AY512">
        <f>$H$512*$AE$512</f>
        <v>476.47</v>
      </c>
      <c r="AZ512">
        <f>$H$512*$AF$512</f>
        <v>476.47</v>
      </c>
    </row>
    <row r="513" spans="1:52" x14ac:dyDescent="0.25">
      <c r="A513">
        <v>564</v>
      </c>
      <c r="B513" t="s">
        <v>289</v>
      </c>
      <c r="C513" t="s">
        <v>406</v>
      </c>
      <c r="D513">
        <v>118.17</v>
      </c>
      <c r="E513">
        <v>74.45</v>
      </c>
      <c r="F513" t="s">
        <v>335</v>
      </c>
      <c r="G513">
        <v>0.63</v>
      </c>
      <c r="H513">
        <v>89.35</v>
      </c>
      <c r="I513" t="s">
        <v>312</v>
      </c>
      <c r="J513" t="s">
        <v>407</v>
      </c>
      <c r="K513" t="s">
        <v>582</v>
      </c>
      <c r="L513" t="s">
        <v>178</v>
      </c>
      <c r="M513" t="s">
        <v>289</v>
      </c>
      <c r="N513" t="s">
        <v>51</v>
      </c>
      <c r="O513" t="s">
        <v>290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1</v>
      </c>
      <c r="AE513">
        <v>1</v>
      </c>
      <c r="AF513">
        <v>1</v>
      </c>
      <c r="AG513" t="s">
        <v>289</v>
      </c>
      <c r="AH513" t="s">
        <v>51</v>
      </c>
      <c r="AI513" t="s">
        <v>290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0</v>
      </c>
      <c r="AS513">
        <f>$H$513*$Y$513</f>
        <v>0</v>
      </c>
      <c r="AT513">
        <f>$H$513*$Z$513</f>
        <v>0</v>
      </c>
      <c r="AU513">
        <f>$H$513*$AA$513</f>
        <v>0</v>
      </c>
      <c r="AV513">
        <f>$H$513*$AB$513</f>
        <v>0</v>
      </c>
      <c r="AW513">
        <f>$H$513*$AC$513</f>
        <v>0</v>
      </c>
      <c r="AX513">
        <f>$H$513*$AD$513</f>
        <v>89.35</v>
      </c>
      <c r="AY513">
        <f>$H$513*$AE$513</f>
        <v>89.35</v>
      </c>
      <c r="AZ513">
        <f>$H$513*$AF$513</f>
        <v>89.35</v>
      </c>
    </row>
    <row r="514" spans="1:52" x14ac:dyDescent="0.25">
      <c r="A514">
        <v>565</v>
      </c>
      <c r="B514" t="s">
        <v>289</v>
      </c>
      <c r="C514" t="s">
        <v>408</v>
      </c>
      <c r="D514">
        <v>118.17</v>
      </c>
      <c r="E514">
        <v>81.540000000000006</v>
      </c>
      <c r="F514" t="s">
        <v>335</v>
      </c>
      <c r="G514">
        <v>0.69</v>
      </c>
      <c r="H514">
        <v>97.84</v>
      </c>
      <c r="I514" t="s">
        <v>312</v>
      </c>
      <c r="J514" t="s">
        <v>409</v>
      </c>
      <c r="K514" t="s">
        <v>583</v>
      </c>
      <c r="L514" t="s">
        <v>178</v>
      </c>
      <c r="M514" t="s">
        <v>289</v>
      </c>
      <c r="N514" t="s">
        <v>51</v>
      </c>
      <c r="O514" t="s">
        <v>290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289</v>
      </c>
      <c r="AH514" t="s">
        <v>51</v>
      </c>
      <c r="AI514" t="s">
        <v>290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97.84</v>
      </c>
      <c r="AN514">
        <f>$H$514*$T$514</f>
        <v>97.84</v>
      </c>
      <c r="AO514">
        <f>$H$514*$U$514</f>
        <v>97.84</v>
      </c>
      <c r="AP514">
        <f>$H$514*$V$514</f>
        <v>97.84</v>
      </c>
      <c r="AQ514">
        <f>$H$514*$W$514</f>
        <v>97.84</v>
      </c>
      <c r="AR514">
        <f>$H$514*$X$514</f>
        <v>97.84</v>
      </c>
      <c r="AS514">
        <f>$H$514*$Y$514</f>
        <v>97.84</v>
      </c>
      <c r="AT514">
        <f>$H$514*$Z$514</f>
        <v>97.84</v>
      </c>
      <c r="AU514">
        <f>$H$514*$AA$514</f>
        <v>97.84</v>
      </c>
      <c r="AV514">
        <f>$H$514*$AB$514</f>
        <v>97.84</v>
      </c>
      <c r="AW514">
        <f>$H$514*$AC$514</f>
        <v>97.84</v>
      </c>
      <c r="AX514">
        <f>$H$514*$AD$514</f>
        <v>97.84</v>
      </c>
      <c r="AY514">
        <f>$H$514*$AE$514</f>
        <v>97.84</v>
      </c>
      <c r="AZ514">
        <f>$H$514*$AF$514</f>
        <v>97.84</v>
      </c>
    </row>
    <row r="515" spans="1:52" x14ac:dyDescent="0.25">
      <c r="A515">
        <v>566</v>
      </c>
      <c r="B515" t="s">
        <v>289</v>
      </c>
      <c r="C515" t="s">
        <v>410</v>
      </c>
      <c r="D515">
        <v>24.82</v>
      </c>
      <c r="E515">
        <v>169.02</v>
      </c>
      <c r="F515" t="s">
        <v>335</v>
      </c>
      <c r="G515">
        <v>6.81</v>
      </c>
      <c r="H515">
        <v>202.82</v>
      </c>
      <c r="I515" t="s">
        <v>411</v>
      </c>
      <c r="J515" t="s">
        <v>412</v>
      </c>
      <c r="K515" t="s">
        <v>584</v>
      </c>
      <c r="L515" t="s">
        <v>178</v>
      </c>
      <c r="M515" t="s">
        <v>289</v>
      </c>
      <c r="N515" t="s">
        <v>51</v>
      </c>
      <c r="O515" t="s">
        <v>290</v>
      </c>
      <c r="P515">
        <v>0</v>
      </c>
      <c r="Q515">
        <v>0</v>
      </c>
      <c r="R515">
        <v>0</v>
      </c>
      <c r="S515">
        <v>1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289</v>
      </c>
      <c r="AH515" t="s">
        <v>51</v>
      </c>
      <c r="AI515" t="s">
        <v>290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202.82</v>
      </c>
      <c r="AN515">
        <f>$H$515*$T$515</f>
        <v>202.82</v>
      </c>
      <c r="AO515">
        <f>$H$515*$U$515</f>
        <v>202.82</v>
      </c>
      <c r="AP515">
        <f>$H$515*$V$515</f>
        <v>202.82</v>
      </c>
      <c r="AQ515">
        <f>$H$515*$W$515</f>
        <v>202.82</v>
      </c>
      <c r="AR515">
        <f>$H$515*$X$515</f>
        <v>202.82</v>
      </c>
      <c r="AS515">
        <f>$H$515*$Y$515</f>
        <v>202.82</v>
      </c>
      <c r="AT515">
        <f>$H$515*$Z$515</f>
        <v>202.82</v>
      </c>
      <c r="AU515">
        <f>$H$515*$AA$515</f>
        <v>202.82</v>
      </c>
      <c r="AV515">
        <f>$H$515*$AB$515</f>
        <v>202.82</v>
      </c>
      <c r="AW515">
        <f>$H$515*$AC$515</f>
        <v>202.82</v>
      </c>
      <c r="AX515">
        <f>$H$515*$AD$515</f>
        <v>202.82</v>
      </c>
      <c r="AY515">
        <f>$H$515*$AE$515</f>
        <v>202.82</v>
      </c>
      <c r="AZ515">
        <f>$H$515*$AF$515</f>
        <v>202.82</v>
      </c>
    </row>
    <row r="516" spans="1:52" x14ac:dyDescent="0.25">
      <c r="A516">
        <v>567</v>
      </c>
      <c r="B516" t="s">
        <v>289</v>
      </c>
      <c r="C516" t="s">
        <v>413</v>
      </c>
      <c r="D516">
        <v>27.18</v>
      </c>
      <c r="E516">
        <v>200.32</v>
      </c>
      <c r="F516" t="s">
        <v>335</v>
      </c>
      <c r="G516">
        <v>7.37</v>
      </c>
      <c r="H516">
        <v>240.38</v>
      </c>
      <c r="I516" t="s">
        <v>411</v>
      </c>
      <c r="J516" t="s">
        <v>414</v>
      </c>
      <c r="K516" t="s">
        <v>585</v>
      </c>
      <c r="L516" t="s">
        <v>178</v>
      </c>
      <c r="M516" t="s">
        <v>289</v>
      </c>
      <c r="N516" t="s">
        <v>51</v>
      </c>
      <c r="O516" t="s">
        <v>290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289</v>
      </c>
      <c r="AH516" t="s">
        <v>51</v>
      </c>
      <c r="AI516" t="s">
        <v>290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240.38</v>
      </c>
      <c r="AN516">
        <f>$H$516*$T$516</f>
        <v>240.38</v>
      </c>
      <c r="AO516">
        <f>$H$516*$U$516</f>
        <v>240.38</v>
      </c>
      <c r="AP516">
        <f>$H$516*$V$516</f>
        <v>240.38</v>
      </c>
      <c r="AQ516">
        <f>$H$516*$W$516</f>
        <v>240.38</v>
      </c>
      <c r="AR516">
        <f>$H$516*$X$516</f>
        <v>240.38</v>
      </c>
      <c r="AS516">
        <f>$H$516*$Y$516</f>
        <v>240.38</v>
      </c>
      <c r="AT516">
        <f>$H$516*$Z$516</f>
        <v>240.38</v>
      </c>
      <c r="AU516">
        <f>$H$516*$AA$516</f>
        <v>240.38</v>
      </c>
      <c r="AV516">
        <f>$H$516*$AB$516</f>
        <v>240.38</v>
      </c>
      <c r="AW516">
        <f>$H$516*$AC$516</f>
        <v>240.38</v>
      </c>
      <c r="AX516">
        <f>$H$516*$AD$516</f>
        <v>240.38</v>
      </c>
      <c r="AY516">
        <f>$H$516*$AE$516</f>
        <v>240.38</v>
      </c>
      <c r="AZ516">
        <f>$H$516*$AF$516</f>
        <v>240.38</v>
      </c>
    </row>
    <row r="517" spans="1:52" x14ac:dyDescent="0.25">
      <c r="A517">
        <v>568</v>
      </c>
      <c r="B517" t="s">
        <v>289</v>
      </c>
      <c r="C517" t="s">
        <v>415</v>
      </c>
      <c r="D517">
        <v>25.23</v>
      </c>
      <c r="E517">
        <v>137.76</v>
      </c>
      <c r="F517" t="s">
        <v>335</v>
      </c>
      <c r="G517">
        <v>5.46</v>
      </c>
      <c r="H517">
        <v>165.32</v>
      </c>
      <c r="I517" t="s">
        <v>416</v>
      </c>
      <c r="J517" t="s">
        <v>417</v>
      </c>
      <c r="K517" t="s">
        <v>586</v>
      </c>
      <c r="L517" t="s">
        <v>178</v>
      </c>
      <c r="M517" t="s">
        <v>289</v>
      </c>
      <c r="N517" t="s">
        <v>51</v>
      </c>
      <c r="O517" t="s">
        <v>290</v>
      </c>
      <c r="P517">
        <v>0</v>
      </c>
      <c r="Q517">
        <v>0</v>
      </c>
      <c r="R517">
        <v>0</v>
      </c>
      <c r="S517">
        <v>1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289</v>
      </c>
      <c r="AH517" t="s">
        <v>51</v>
      </c>
      <c r="AI517" t="s">
        <v>290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165.32</v>
      </c>
      <c r="AN517">
        <f>$H$517*$T$517</f>
        <v>165.32</v>
      </c>
      <c r="AO517">
        <f>$H$517*$U$517</f>
        <v>165.32</v>
      </c>
      <c r="AP517">
        <f>$H$517*$V$517</f>
        <v>165.32</v>
      </c>
      <c r="AQ517">
        <f>$H$517*$W$517</f>
        <v>165.32</v>
      </c>
      <c r="AR517">
        <f>$H$517*$X$517</f>
        <v>165.32</v>
      </c>
      <c r="AS517">
        <f>$H$517*$Y$517</f>
        <v>165.32</v>
      </c>
      <c r="AT517">
        <f>$H$517*$Z$517</f>
        <v>165.32</v>
      </c>
      <c r="AU517">
        <f>$H$517*$AA$517</f>
        <v>165.32</v>
      </c>
      <c r="AV517">
        <f>$H$517*$AB$517</f>
        <v>165.32</v>
      </c>
      <c r="AW517">
        <f>$H$517*$AC$517</f>
        <v>165.32</v>
      </c>
      <c r="AX517">
        <f>$H$517*$AD$517</f>
        <v>165.32</v>
      </c>
      <c r="AY517">
        <f>$H$517*$AE$517</f>
        <v>165.32</v>
      </c>
      <c r="AZ517">
        <f>$H$517*$AF$517</f>
        <v>165.32</v>
      </c>
    </row>
    <row r="518" spans="1:52" x14ac:dyDescent="0.25">
      <c r="A518">
        <v>569</v>
      </c>
      <c r="B518" t="s">
        <v>289</v>
      </c>
      <c r="C518" t="s">
        <v>418</v>
      </c>
      <c r="D518">
        <v>25.23</v>
      </c>
      <c r="E518">
        <v>90.32</v>
      </c>
      <c r="F518" t="s">
        <v>335</v>
      </c>
      <c r="G518">
        <v>3.58</v>
      </c>
      <c r="H518">
        <v>108.38</v>
      </c>
      <c r="I518" t="s">
        <v>416</v>
      </c>
      <c r="J518" t="s">
        <v>419</v>
      </c>
      <c r="K518" t="s">
        <v>587</v>
      </c>
      <c r="L518" t="s">
        <v>178</v>
      </c>
      <c r="M518" t="s">
        <v>289</v>
      </c>
      <c r="N518" t="s">
        <v>51</v>
      </c>
      <c r="O518" t="s">
        <v>290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289</v>
      </c>
      <c r="AH518" t="s">
        <v>51</v>
      </c>
      <c r="AI518" t="s">
        <v>290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108.38</v>
      </c>
      <c r="AN518">
        <f>$H$518*$T$518</f>
        <v>108.38</v>
      </c>
      <c r="AO518">
        <f>$H$518*$U$518</f>
        <v>108.38</v>
      </c>
      <c r="AP518">
        <f>$H$518*$V$518</f>
        <v>108.38</v>
      </c>
      <c r="AQ518">
        <f>$H$518*$W$518</f>
        <v>108.38</v>
      </c>
      <c r="AR518">
        <f>$H$518*$X$518</f>
        <v>108.38</v>
      </c>
      <c r="AS518">
        <f>$H$518*$Y$518</f>
        <v>108.38</v>
      </c>
      <c r="AT518">
        <f>$H$518*$Z$518</f>
        <v>108.38</v>
      </c>
      <c r="AU518">
        <f>$H$518*$AA$518</f>
        <v>108.38</v>
      </c>
      <c r="AV518">
        <f>$H$518*$AB$518</f>
        <v>108.38</v>
      </c>
      <c r="AW518">
        <f>$H$518*$AC$518</f>
        <v>108.38</v>
      </c>
      <c r="AX518">
        <f>$H$518*$AD$518</f>
        <v>108.38</v>
      </c>
      <c r="AY518">
        <f>$H$518*$AE$518</f>
        <v>108.38</v>
      </c>
      <c r="AZ518">
        <f>$H$518*$AF$518</f>
        <v>108.38</v>
      </c>
    </row>
    <row r="519" spans="1:52" x14ac:dyDescent="0.25">
      <c r="A519">
        <v>570</v>
      </c>
      <c r="B519" t="s">
        <v>289</v>
      </c>
      <c r="C519" t="s">
        <v>420</v>
      </c>
      <c r="D519">
        <v>25.23</v>
      </c>
      <c r="E519">
        <v>248.52</v>
      </c>
      <c r="F519" t="s">
        <v>335</v>
      </c>
      <c r="G519">
        <v>9.85</v>
      </c>
      <c r="H519">
        <v>298.22000000000003</v>
      </c>
      <c r="I519" t="s">
        <v>416</v>
      </c>
      <c r="J519" t="s">
        <v>414</v>
      </c>
      <c r="K519" t="s">
        <v>588</v>
      </c>
      <c r="L519" t="s">
        <v>178</v>
      </c>
      <c r="M519" t="s">
        <v>289</v>
      </c>
      <c r="N519" t="s">
        <v>51</v>
      </c>
      <c r="O519" t="s">
        <v>290</v>
      </c>
      <c r="P519">
        <v>0</v>
      </c>
      <c r="Q519">
        <v>0</v>
      </c>
      <c r="R519">
        <v>0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289</v>
      </c>
      <c r="AH519" t="s">
        <v>51</v>
      </c>
      <c r="AI519" t="s">
        <v>290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298.22000000000003</v>
      </c>
      <c r="AN519">
        <f>$H$519*$T$519</f>
        <v>298.22000000000003</v>
      </c>
      <c r="AO519">
        <f>$H$519*$U$519</f>
        <v>298.22000000000003</v>
      </c>
      <c r="AP519">
        <f>$H$519*$V$519</f>
        <v>298.22000000000003</v>
      </c>
      <c r="AQ519">
        <f>$H$519*$W$519</f>
        <v>298.22000000000003</v>
      </c>
      <c r="AR519">
        <f>$H$519*$X$519</f>
        <v>298.22000000000003</v>
      </c>
      <c r="AS519">
        <f>$H$519*$Y$519</f>
        <v>298.22000000000003</v>
      </c>
      <c r="AT519">
        <f>$H$519*$Z$519</f>
        <v>298.22000000000003</v>
      </c>
      <c r="AU519">
        <f>$H$519*$AA$519</f>
        <v>298.22000000000003</v>
      </c>
      <c r="AV519">
        <f>$H$519*$AB$519</f>
        <v>298.22000000000003</v>
      </c>
      <c r="AW519">
        <f>$H$519*$AC$519</f>
        <v>298.22000000000003</v>
      </c>
      <c r="AX519">
        <f>$H$519*$AD$519</f>
        <v>298.22000000000003</v>
      </c>
      <c r="AY519">
        <f>$H$519*$AE$519</f>
        <v>298.22000000000003</v>
      </c>
      <c r="AZ519">
        <f>$H$519*$AF$519</f>
        <v>298.22000000000003</v>
      </c>
    </row>
    <row r="520" spans="1:52" x14ac:dyDescent="0.25">
      <c r="A520">
        <v>571</v>
      </c>
      <c r="B520" t="s">
        <v>289</v>
      </c>
      <c r="C520" t="s">
        <v>421</v>
      </c>
      <c r="D520">
        <v>27.18</v>
      </c>
      <c r="E520">
        <v>26.36</v>
      </c>
      <c r="F520" t="s">
        <v>335</v>
      </c>
      <c r="G520">
        <v>0.97</v>
      </c>
      <c r="H520">
        <v>31.64</v>
      </c>
      <c r="I520" t="s">
        <v>360</v>
      </c>
      <c r="J520" t="s">
        <v>422</v>
      </c>
      <c r="K520" t="s">
        <v>589</v>
      </c>
      <c r="L520" t="s">
        <v>178</v>
      </c>
      <c r="M520" t="s">
        <v>289</v>
      </c>
      <c r="N520" t="s">
        <v>51</v>
      </c>
      <c r="O520" t="s">
        <v>290</v>
      </c>
      <c r="P520">
        <v>0</v>
      </c>
      <c r="Q520">
        <v>0</v>
      </c>
      <c r="R520">
        <v>0</v>
      </c>
      <c r="S520">
        <v>1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289</v>
      </c>
      <c r="AH520" t="s">
        <v>51</v>
      </c>
      <c r="AI520" t="s">
        <v>290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31.64</v>
      </c>
      <c r="AN520">
        <f>$H$520*$T$520</f>
        <v>31.64</v>
      </c>
      <c r="AO520">
        <f>$H$520*$U$520</f>
        <v>31.64</v>
      </c>
      <c r="AP520">
        <f>$H$520*$V$520</f>
        <v>31.64</v>
      </c>
      <c r="AQ520">
        <f>$H$520*$W$520</f>
        <v>31.64</v>
      </c>
      <c r="AR520">
        <f>$H$520*$X$520</f>
        <v>31.64</v>
      </c>
      <c r="AS520">
        <f>$H$520*$Y$520</f>
        <v>31.64</v>
      </c>
      <c r="AT520">
        <f>$H$520*$Z$520</f>
        <v>31.64</v>
      </c>
      <c r="AU520">
        <f>$H$520*$AA$520</f>
        <v>31.64</v>
      </c>
      <c r="AV520">
        <f>$H$520*$AB$520</f>
        <v>31.64</v>
      </c>
      <c r="AW520">
        <f>$H$520*$AC$520</f>
        <v>31.64</v>
      </c>
      <c r="AX520">
        <f>$H$520*$AD$520</f>
        <v>31.64</v>
      </c>
      <c r="AY520">
        <f>$H$520*$AE$520</f>
        <v>31.64</v>
      </c>
      <c r="AZ520">
        <f>$H$520*$AF$520</f>
        <v>31.64</v>
      </c>
    </row>
    <row r="521" spans="1:52" x14ac:dyDescent="0.25">
      <c r="A521">
        <v>572</v>
      </c>
      <c r="B521" t="s">
        <v>289</v>
      </c>
      <c r="C521" t="s">
        <v>423</v>
      </c>
      <c r="D521">
        <v>27.18</v>
      </c>
      <c r="E521">
        <v>208.2</v>
      </c>
      <c r="F521" t="s">
        <v>335</v>
      </c>
      <c r="G521">
        <v>7.66</v>
      </c>
      <c r="H521">
        <v>249.84</v>
      </c>
      <c r="I521" t="s">
        <v>360</v>
      </c>
      <c r="J521" t="s">
        <v>414</v>
      </c>
      <c r="K521" t="s">
        <v>590</v>
      </c>
      <c r="L521" t="s">
        <v>178</v>
      </c>
      <c r="M521" t="s">
        <v>289</v>
      </c>
      <c r="N521" t="s">
        <v>51</v>
      </c>
      <c r="O521" t="s">
        <v>290</v>
      </c>
      <c r="P521">
        <v>0</v>
      </c>
      <c r="Q521">
        <v>0</v>
      </c>
      <c r="R521">
        <v>0</v>
      </c>
      <c r="S521">
        <v>1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289</v>
      </c>
      <c r="AH521" t="s">
        <v>51</v>
      </c>
      <c r="AI521" t="s">
        <v>290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249.84</v>
      </c>
      <c r="AN521">
        <f>$H$521*$T$521</f>
        <v>249.84</v>
      </c>
      <c r="AO521">
        <f>$H$521*$U$521</f>
        <v>249.84</v>
      </c>
      <c r="AP521">
        <f>$H$521*$V$521</f>
        <v>249.84</v>
      </c>
      <c r="AQ521">
        <f>$H$521*$W$521</f>
        <v>249.84</v>
      </c>
      <c r="AR521">
        <f>$H$521*$X$521</f>
        <v>249.84</v>
      </c>
      <c r="AS521">
        <f>$H$521*$Y$521</f>
        <v>249.84</v>
      </c>
      <c r="AT521">
        <f>$H$521*$Z$521</f>
        <v>249.84</v>
      </c>
      <c r="AU521">
        <f>$H$521*$AA$521</f>
        <v>249.84</v>
      </c>
      <c r="AV521">
        <f>$H$521*$AB$521</f>
        <v>249.84</v>
      </c>
      <c r="AW521">
        <f>$H$521*$AC$521</f>
        <v>249.84</v>
      </c>
      <c r="AX521">
        <f>$H$521*$AD$521</f>
        <v>249.84</v>
      </c>
      <c r="AY521">
        <f>$H$521*$AE$521</f>
        <v>249.84</v>
      </c>
      <c r="AZ521">
        <f>$H$521*$AF$521</f>
        <v>249.84</v>
      </c>
    </row>
    <row r="522" spans="1:52" x14ac:dyDescent="0.25">
      <c r="A522">
        <v>573</v>
      </c>
      <c r="B522" t="s">
        <v>267</v>
      </c>
      <c r="C522" t="s">
        <v>318</v>
      </c>
      <c r="D522">
        <v>1</v>
      </c>
      <c r="E522">
        <v>60.4</v>
      </c>
      <c r="F522" t="s">
        <v>317</v>
      </c>
      <c r="G522">
        <v>60.4</v>
      </c>
      <c r="H522">
        <v>72.48</v>
      </c>
      <c r="I522" t="s">
        <v>319</v>
      </c>
      <c r="J522" t="s">
        <v>320</v>
      </c>
      <c r="K522" t="s">
        <v>540</v>
      </c>
      <c r="L522" t="s">
        <v>178</v>
      </c>
      <c r="M522" t="s">
        <v>267</v>
      </c>
      <c r="N522" t="s">
        <v>51</v>
      </c>
      <c r="O522" t="s">
        <v>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1</v>
      </c>
      <c r="AE522">
        <v>1</v>
      </c>
      <c r="AF522">
        <v>1</v>
      </c>
      <c r="AG522" t="s">
        <v>267</v>
      </c>
      <c r="AH522" t="s">
        <v>51</v>
      </c>
      <c r="AI522" t="s">
        <v>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0</v>
      </c>
      <c r="AN522">
        <f>$H$522*$T$522</f>
        <v>0</v>
      </c>
      <c r="AO522">
        <f>$H$522*$U$522</f>
        <v>0</v>
      </c>
      <c r="AP522">
        <f>$H$522*$V$522</f>
        <v>0</v>
      </c>
      <c r="AQ522">
        <f>$H$522*$W$522</f>
        <v>0</v>
      </c>
      <c r="AR522">
        <f>$H$522*$X$522</f>
        <v>0</v>
      </c>
      <c r="AS522">
        <f>$H$522*$Y$522</f>
        <v>0</v>
      </c>
      <c r="AT522">
        <f>$H$522*$Z$522</f>
        <v>0</v>
      </c>
      <c r="AU522">
        <f>$H$522*$AA$522</f>
        <v>0</v>
      </c>
      <c r="AV522">
        <f>$H$522*$AB$522</f>
        <v>0</v>
      </c>
      <c r="AW522">
        <f>$H$522*$AC$522</f>
        <v>0</v>
      </c>
      <c r="AX522">
        <f>$H$522*$AD$522</f>
        <v>72.48</v>
      </c>
      <c r="AY522">
        <f>$H$522*$AE$522</f>
        <v>72.48</v>
      </c>
      <c r="AZ522">
        <f>$H$522*$AF$522</f>
        <v>72.48</v>
      </c>
    </row>
    <row r="523" spans="1:52" x14ac:dyDescent="0.25">
      <c r="A523">
        <v>574</v>
      </c>
      <c r="B523" t="s">
        <v>267</v>
      </c>
      <c r="C523" t="s">
        <v>341</v>
      </c>
      <c r="D523">
        <v>5</v>
      </c>
      <c r="E523">
        <v>22.2</v>
      </c>
      <c r="F523" t="s">
        <v>311</v>
      </c>
      <c r="G523">
        <v>4.4400000000000004</v>
      </c>
      <c r="H523">
        <v>26.64</v>
      </c>
      <c r="I523" t="s">
        <v>312</v>
      </c>
      <c r="J523" t="s">
        <v>342</v>
      </c>
      <c r="K523" t="s">
        <v>550</v>
      </c>
      <c r="L523" t="s">
        <v>178</v>
      </c>
      <c r="M523" t="s">
        <v>267</v>
      </c>
      <c r="N523" t="s">
        <v>51</v>
      </c>
      <c r="O523" t="s">
        <v>4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267</v>
      </c>
      <c r="AH523" t="s">
        <v>51</v>
      </c>
      <c r="AI523" t="s">
        <v>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0</v>
      </c>
      <c r="AN523">
        <f>$H$523*$T$523</f>
        <v>0</v>
      </c>
      <c r="AO523">
        <f>$H$523*$U$523</f>
        <v>0</v>
      </c>
      <c r="AP523">
        <f>$H$523*$V$523</f>
        <v>0</v>
      </c>
      <c r="AQ523">
        <f>$H$523*$W$523</f>
        <v>0</v>
      </c>
      <c r="AR523">
        <f>$H$523*$X$523</f>
        <v>0</v>
      </c>
      <c r="AS523">
        <f>$H$523*$Y$523</f>
        <v>0</v>
      </c>
      <c r="AT523">
        <f>$H$523*$Z$523</f>
        <v>0</v>
      </c>
      <c r="AU523">
        <f>$H$523*$AA$523</f>
        <v>26.64</v>
      </c>
      <c r="AV523">
        <f>$H$523*$AB$523</f>
        <v>26.64</v>
      </c>
      <c r="AW523">
        <f>$H$523*$AC$523</f>
        <v>26.64</v>
      </c>
      <c r="AX523">
        <f>$H$523*$AD$523</f>
        <v>26.64</v>
      </c>
      <c r="AY523">
        <f>$H$523*$AE$523</f>
        <v>26.64</v>
      </c>
      <c r="AZ523">
        <f>$H$523*$AF$523</f>
        <v>26.64</v>
      </c>
    </row>
    <row r="524" spans="1:52" x14ac:dyDescent="0.25">
      <c r="A524">
        <v>575</v>
      </c>
      <c r="B524" t="s">
        <v>267</v>
      </c>
      <c r="C524" t="s">
        <v>343</v>
      </c>
      <c r="D524">
        <v>5</v>
      </c>
      <c r="E524">
        <v>57.75</v>
      </c>
      <c r="F524" t="s">
        <v>311</v>
      </c>
      <c r="G524">
        <v>11.55</v>
      </c>
      <c r="H524">
        <v>69.31</v>
      </c>
      <c r="I524" t="s">
        <v>315</v>
      </c>
      <c r="J524" t="s">
        <v>344</v>
      </c>
      <c r="K524" t="s">
        <v>551</v>
      </c>
      <c r="L524" t="s">
        <v>178</v>
      </c>
      <c r="M524" t="s">
        <v>267</v>
      </c>
      <c r="N524" t="s">
        <v>51</v>
      </c>
      <c r="O524" t="s">
        <v>4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267</v>
      </c>
      <c r="AH524" t="s">
        <v>51</v>
      </c>
      <c r="AI524" t="s">
        <v>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0</v>
      </c>
      <c r="AN524">
        <f>$H$524*$T$524</f>
        <v>0</v>
      </c>
      <c r="AO524">
        <f>$H$524*$U$524</f>
        <v>0</v>
      </c>
      <c r="AP524">
        <f>$H$524*$V$524</f>
        <v>0</v>
      </c>
      <c r="AQ524">
        <f>$H$524*$W$524</f>
        <v>0</v>
      </c>
      <c r="AR524">
        <f>$H$524*$X$524</f>
        <v>0</v>
      </c>
      <c r="AS524">
        <f>$H$524*$Y$524</f>
        <v>0</v>
      </c>
      <c r="AT524">
        <f>$H$524*$Z$524</f>
        <v>0</v>
      </c>
      <c r="AU524">
        <f>$H$524*$AA$524</f>
        <v>69.31</v>
      </c>
      <c r="AV524">
        <f>$H$524*$AB$524</f>
        <v>69.31</v>
      </c>
      <c r="AW524">
        <f>$H$524*$AC$524</f>
        <v>69.31</v>
      </c>
      <c r="AX524">
        <f>$H$524*$AD$524</f>
        <v>69.31</v>
      </c>
      <c r="AY524">
        <f>$H$524*$AE$524</f>
        <v>69.31</v>
      </c>
      <c r="AZ524">
        <f>$H$524*$AF$524</f>
        <v>69.31</v>
      </c>
    </row>
    <row r="525" spans="1:52" x14ac:dyDescent="0.25">
      <c r="A525">
        <v>576</v>
      </c>
      <c r="B525" t="s">
        <v>267</v>
      </c>
      <c r="C525" t="s">
        <v>395</v>
      </c>
      <c r="D525">
        <v>5</v>
      </c>
      <c r="E525">
        <v>23.75</v>
      </c>
      <c r="F525" t="s">
        <v>311</v>
      </c>
      <c r="G525">
        <v>4.75</v>
      </c>
      <c r="H525">
        <v>28.51</v>
      </c>
      <c r="I525" t="s">
        <v>315</v>
      </c>
      <c r="J525" t="s">
        <v>396</v>
      </c>
      <c r="K525" t="s">
        <v>576</v>
      </c>
      <c r="L525" t="s">
        <v>178</v>
      </c>
      <c r="M525" t="s">
        <v>267</v>
      </c>
      <c r="N525" t="s">
        <v>51</v>
      </c>
      <c r="O525" t="s">
        <v>4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</v>
      </c>
      <c r="AF525">
        <v>1</v>
      </c>
      <c r="AG525" t="s">
        <v>267</v>
      </c>
      <c r="AH525" t="s">
        <v>51</v>
      </c>
      <c r="AI525" t="s">
        <v>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0</v>
      </c>
      <c r="AN525">
        <f>$H$525*$T$525</f>
        <v>0</v>
      </c>
      <c r="AO525">
        <f>$H$525*$U$525</f>
        <v>0</v>
      </c>
      <c r="AP525">
        <f>$H$525*$V$525</f>
        <v>0</v>
      </c>
      <c r="AQ525">
        <f>$H$525*$W$525</f>
        <v>0</v>
      </c>
      <c r="AR525">
        <f>$H$525*$X$525</f>
        <v>0</v>
      </c>
      <c r="AS525">
        <f>$H$525*$Y$525</f>
        <v>0</v>
      </c>
      <c r="AT525">
        <f>$H$525*$Z$525</f>
        <v>0</v>
      </c>
      <c r="AU525">
        <f>$H$525*$AA$525</f>
        <v>0</v>
      </c>
      <c r="AV525">
        <f>$H$525*$AB$525</f>
        <v>0</v>
      </c>
      <c r="AW525">
        <f>$H$525*$AC$525</f>
        <v>28.51</v>
      </c>
      <c r="AX525">
        <f>$H$525*$AD$525</f>
        <v>28.51</v>
      </c>
      <c r="AY525">
        <f>$H$525*$AE$525</f>
        <v>28.51</v>
      </c>
      <c r="AZ525">
        <f>$H$525*$AF$525</f>
        <v>28.51</v>
      </c>
    </row>
    <row r="526" spans="1:52" x14ac:dyDescent="0.25">
      <c r="A526">
        <v>577</v>
      </c>
      <c r="B526" t="s">
        <v>267</v>
      </c>
      <c r="C526" t="s">
        <v>397</v>
      </c>
      <c r="D526">
        <v>6</v>
      </c>
      <c r="E526">
        <v>79.62</v>
      </c>
      <c r="F526" t="s">
        <v>317</v>
      </c>
      <c r="G526">
        <v>13.27</v>
      </c>
      <c r="H526">
        <v>95.54</v>
      </c>
      <c r="I526" t="s">
        <v>319</v>
      </c>
      <c r="J526" t="s">
        <v>398</v>
      </c>
      <c r="K526" t="s">
        <v>577</v>
      </c>
      <c r="L526" t="s">
        <v>178</v>
      </c>
      <c r="M526" t="s">
        <v>267</v>
      </c>
      <c r="N526" t="s">
        <v>51</v>
      </c>
      <c r="O526" t="s">
        <v>4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1</v>
      </c>
      <c r="Y526">
        <v>1</v>
      </c>
      <c r="Z526">
        <v>1</v>
      </c>
      <c r="AA526">
        <v>1</v>
      </c>
      <c r="AB526">
        <v>1</v>
      </c>
      <c r="AC526">
        <v>1</v>
      </c>
      <c r="AD526">
        <v>1</v>
      </c>
      <c r="AE526">
        <v>1</v>
      </c>
      <c r="AF526">
        <v>1</v>
      </c>
      <c r="AG526" t="s">
        <v>267</v>
      </c>
      <c r="AH526" t="s">
        <v>51</v>
      </c>
      <c r="AI526" t="s">
        <v>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95.54</v>
      </c>
      <c r="AS526">
        <f>$H$526*$Y$526</f>
        <v>95.54</v>
      </c>
      <c r="AT526">
        <f>$H$526*$Z$526</f>
        <v>95.54</v>
      </c>
      <c r="AU526">
        <f>$H$526*$AA$526</f>
        <v>95.54</v>
      </c>
      <c r="AV526">
        <f>$H$526*$AB$526</f>
        <v>95.54</v>
      </c>
      <c r="AW526">
        <f>$H$526*$AC$526</f>
        <v>95.54</v>
      </c>
      <c r="AX526">
        <f>$H$526*$AD$526</f>
        <v>95.54</v>
      </c>
      <c r="AY526">
        <f>$H$526*$AE$526</f>
        <v>95.54</v>
      </c>
      <c r="AZ526">
        <f>$H$526*$AF$526</f>
        <v>95.54</v>
      </c>
    </row>
    <row r="527" spans="1:52" x14ac:dyDescent="0.25">
      <c r="A527">
        <v>578</v>
      </c>
      <c r="B527" t="s">
        <v>267</v>
      </c>
      <c r="C527" t="s">
        <v>399</v>
      </c>
      <c r="D527">
        <v>1</v>
      </c>
      <c r="E527">
        <v>63.51</v>
      </c>
      <c r="F527" t="s">
        <v>317</v>
      </c>
      <c r="G527">
        <v>63.51</v>
      </c>
      <c r="H527">
        <v>76.209999999999994</v>
      </c>
      <c r="I527" t="s">
        <v>322</v>
      </c>
      <c r="J527" t="s">
        <v>355</v>
      </c>
      <c r="K527" t="s">
        <v>578</v>
      </c>
      <c r="L527" t="s">
        <v>178</v>
      </c>
      <c r="M527" t="s">
        <v>267</v>
      </c>
      <c r="N527" t="s">
        <v>51</v>
      </c>
      <c r="O527" t="s">
        <v>4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1</v>
      </c>
      <c r="AE527">
        <v>1</v>
      </c>
      <c r="AF527">
        <v>1</v>
      </c>
      <c r="AG527" t="s">
        <v>267</v>
      </c>
      <c r="AH527" t="s">
        <v>51</v>
      </c>
      <c r="AI527" t="s">
        <v>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0</v>
      </c>
      <c r="AN527">
        <f>$H$527*$T$527</f>
        <v>0</v>
      </c>
      <c r="AO527">
        <f>$H$527*$U$527</f>
        <v>0</v>
      </c>
      <c r="AP527">
        <f>$H$527*$V$527</f>
        <v>0</v>
      </c>
      <c r="AQ527">
        <f>$H$527*$W$527</f>
        <v>0</v>
      </c>
      <c r="AR527">
        <f>$H$527*$X$527</f>
        <v>0</v>
      </c>
      <c r="AS527">
        <f>$H$527*$Y$527</f>
        <v>0</v>
      </c>
      <c r="AT527">
        <f>$H$527*$Z$527</f>
        <v>0</v>
      </c>
      <c r="AU527">
        <f>$H$527*$AA$527</f>
        <v>0</v>
      </c>
      <c r="AV527">
        <f>$H$527*$AB$527</f>
        <v>0</v>
      </c>
      <c r="AW527">
        <f>$H$527*$AC$527</f>
        <v>0</v>
      </c>
      <c r="AX527">
        <f>$H$527*$AD$527</f>
        <v>76.209999999999994</v>
      </c>
      <c r="AY527">
        <f>$H$527*$AE$527</f>
        <v>76.209999999999994</v>
      </c>
      <c r="AZ527">
        <f>$H$527*$AF$527</f>
        <v>76.209999999999994</v>
      </c>
    </row>
    <row r="528" spans="1:52" x14ac:dyDescent="0.25">
      <c r="A528">
        <v>579</v>
      </c>
      <c r="B528" t="s">
        <v>267</v>
      </c>
      <c r="C528" t="s">
        <v>350</v>
      </c>
      <c r="D528">
        <v>1</v>
      </c>
      <c r="E528">
        <v>47.96</v>
      </c>
      <c r="F528" t="s">
        <v>317</v>
      </c>
      <c r="G528">
        <v>47.96</v>
      </c>
      <c r="H528">
        <v>57.56</v>
      </c>
      <c r="I528" t="s">
        <v>351</v>
      </c>
      <c r="J528" t="s">
        <v>352</v>
      </c>
      <c r="K528" t="s">
        <v>554</v>
      </c>
      <c r="L528" t="s">
        <v>178</v>
      </c>
      <c r="M528" t="s">
        <v>267</v>
      </c>
      <c r="N528" t="s">
        <v>51</v>
      </c>
      <c r="O528" t="s">
        <v>4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267</v>
      </c>
      <c r="AH528" t="s">
        <v>51</v>
      </c>
      <c r="AI528" t="s">
        <v>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0</v>
      </c>
      <c r="AT528">
        <f>$H$528*$Z$528</f>
        <v>0</v>
      </c>
      <c r="AU528">
        <f>$H$528*$AA$528</f>
        <v>57.56</v>
      </c>
      <c r="AV528">
        <f>$H$528*$AB$528</f>
        <v>57.56</v>
      </c>
      <c r="AW528">
        <f>$H$528*$AC$528</f>
        <v>57.56</v>
      </c>
      <c r="AX528">
        <f>$H$528*$AD$528</f>
        <v>57.56</v>
      </c>
      <c r="AY528">
        <f>$H$528*$AE$528</f>
        <v>57.56</v>
      </c>
      <c r="AZ528">
        <f>$H$528*$AF$528</f>
        <v>57.56</v>
      </c>
    </row>
    <row r="529" spans="1:52" x14ac:dyDescent="0.25">
      <c r="A529">
        <v>580</v>
      </c>
      <c r="B529" t="s">
        <v>267</v>
      </c>
      <c r="C529" t="s">
        <v>485</v>
      </c>
      <c r="D529">
        <v>2</v>
      </c>
      <c r="E529">
        <v>110.04</v>
      </c>
      <c r="F529" t="s">
        <v>317</v>
      </c>
      <c r="G529">
        <v>55.02</v>
      </c>
      <c r="H529">
        <v>132.04</v>
      </c>
      <c r="I529" t="s">
        <v>312</v>
      </c>
      <c r="J529" t="s">
        <v>486</v>
      </c>
      <c r="K529" t="s">
        <v>622</v>
      </c>
      <c r="L529" t="s">
        <v>178</v>
      </c>
      <c r="M529" t="s">
        <v>267</v>
      </c>
      <c r="N529" t="s">
        <v>51</v>
      </c>
      <c r="O529" t="s">
        <v>4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267</v>
      </c>
      <c r="AH529" t="s">
        <v>51</v>
      </c>
      <c r="AI529" t="s">
        <v>4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132.04</v>
      </c>
      <c r="AN529">
        <f>$H$529*$T$529</f>
        <v>132.04</v>
      </c>
      <c r="AO529">
        <f>$H$529*$U$529</f>
        <v>132.04</v>
      </c>
      <c r="AP529">
        <f>$H$529*$V$529</f>
        <v>132.04</v>
      </c>
      <c r="AQ529">
        <f>$H$529*$W$529</f>
        <v>132.04</v>
      </c>
      <c r="AR529">
        <f>$H$529*$X$529</f>
        <v>132.04</v>
      </c>
      <c r="AS529">
        <f>$H$529*$Y$529</f>
        <v>132.04</v>
      </c>
      <c r="AT529">
        <f>$H$529*$Z$529</f>
        <v>132.04</v>
      </c>
      <c r="AU529">
        <f>$H$529*$AA$529</f>
        <v>132.04</v>
      </c>
      <c r="AV529">
        <f>$H$529*$AB$529</f>
        <v>132.04</v>
      </c>
      <c r="AW529">
        <f>$H$529*$AC$529</f>
        <v>132.04</v>
      </c>
      <c r="AX529">
        <f>$H$529*$AD$529</f>
        <v>132.04</v>
      </c>
      <c r="AY529">
        <f>$H$529*$AE$529</f>
        <v>132.04</v>
      </c>
      <c r="AZ529">
        <f>$H$529*$AF$529</f>
        <v>132.04</v>
      </c>
    </row>
    <row r="530" spans="1:52" x14ac:dyDescent="0.25">
      <c r="A530">
        <v>581</v>
      </c>
      <c r="B530" t="s">
        <v>267</v>
      </c>
      <c r="C530" t="s">
        <v>487</v>
      </c>
      <c r="D530">
        <v>1</v>
      </c>
      <c r="E530">
        <v>415.62</v>
      </c>
      <c r="F530" t="s">
        <v>317</v>
      </c>
      <c r="G530">
        <v>415.62</v>
      </c>
      <c r="H530">
        <v>498.74</v>
      </c>
      <c r="I530" t="s">
        <v>354</v>
      </c>
      <c r="J530" t="s">
        <v>486</v>
      </c>
      <c r="K530" t="s">
        <v>623</v>
      </c>
      <c r="L530" t="s">
        <v>178</v>
      </c>
      <c r="M530" t="s">
        <v>267</v>
      </c>
      <c r="N530" t="s">
        <v>51</v>
      </c>
      <c r="O530" t="s">
        <v>4</v>
      </c>
      <c r="P530">
        <v>0</v>
      </c>
      <c r="Q530">
        <v>0</v>
      </c>
      <c r="R530">
        <v>0</v>
      </c>
      <c r="S530">
        <v>0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267</v>
      </c>
      <c r="AH530" t="s">
        <v>51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0</v>
      </c>
      <c r="AN530">
        <f>$H$530*$T$530</f>
        <v>498.74</v>
      </c>
      <c r="AO530">
        <f>$H$530*$U$530</f>
        <v>498.74</v>
      </c>
      <c r="AP530">
        <f>$H$530*$V$530</f>
        <v>498.74</v>
      </c>
      <c r="AQ530">
        <f>$H$530*$W$530</f>
        <v>498.74</v>
      </c>
      <c r="AR530">
        <f>$H$530*$X$530</f>
        <v>498.74</v>
      </c>
      <c r="AS530">
        <f>$H$530*$Y$530</f>
        <v>498.74</v>
      </c>
      <c r="AT530">
        <f>$H$530*$Z$530</f>
        <v>498.74</v>
      </c>
      <c r="AU530">
        <f>$H$530*$AA$530</f>
        <v>498.74</v>
      </c>
      <c r="AV530">
        <f>$H$530*$AB$530</f>
        <v>498.74</v>
      </c>
      <c r="AW530">
        <f>$H$530*$AC$530</f>
        <v>498.74</v>
      </c>
      <c r="AX530">
        <f>$H$530*$AD$530</f>
        <v>498.74</v>
      </c>
      <c r="AY530">
        <f>$H$530*$AE$530</f>
        <v>498.74</v>
      </c>
      <c r="AZ530">
        <f>$H$530*$AF$530</f>
        <v>498.74</v>
      </c>
    </row>
    <row r="531" spans="1:52" x14ac:dyDescent="0.25">
      <c r="A531">
        <v>582</v>
      </c>
      <c r="B531" t="s">
        <v>267</v>
      </c>
      <c r="C531" t="s">
        <v>358</v>
      </c>
      <c r="D531">
        <v>2</v>
      </c>
      <c r="E531">
        <v>77.86</v>
      </c>
      <c r="F531" t="s">
        <v>317</v>
      </c>
      <c r="G531">
        <v>38.93</v>
      </c>
      <c r="H531">
        <v>93.44</v>
      </c>
      <c r="I531" t="s">
        <v>312</v>
      </c>
      <c r="J531" t="s">
        <v>354</v>
      </c>
      <c r="K531" t="s">
        <v>557</v>
      </c>
      <c r="L531" t="s">
        <v>178</v>
      </c>
      <c r="M531" t="s">
        <v>267</v>
      </c>
      <c r="N531" t="s">
        <v>51</v>
      </c>
      <c r="O531" t="s">
        <v>4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267</v>
      </c>
      <c r="AH531" t="s">
        <v>51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93.44</v>
      </c>
      <c r="AN531">
        <f>$H$531*$T$531</f>
        <v>93.44</v>
      </c>
      <c r="AO531">
        <f>$H$531*$U$531</f>
        <v>93.44</v>
      </c>
      <c r="AP531">
        <f>$H$531*$V$531</f>
        <v>93.44</v>
      </c>
      <c r="AQ531">
        <f>$H$531*$W$531</f>
        <v>93.44</v>
      </c>
      <c r="AR531">
        <f>$H$531*$X$531</f>
        <v>93.44</v>
      </c>
      <c r="AS531">
        <f>$H$531*$Y$531</f>
        <v>93.44</v>
      </c>
      <c r="AT531">
        <f>$H$531*$Z$531</f>
        <v>93.44</v>
      </c>
      <c r="AU531">
        <f>$H$531*$AA$531</f>
        <v>93.44</v>
      </c>
      <c r="AV531">
        <f>$H$531*$AB$531</f>
        <v>93.44</v>
      </c>
      <c r="AW531">
        <f>$H$531*$AC$531</f>
        <v>93.44</v>
      </c>
      <c r="AX531">
        <f>$H$531*$AD$531</f>
        <v>93.44</v>
      </c>
      <c r="AY531">
        <f>$H$531*$AE$531</f>
        <v>93.44</v>
      </c>
      <c r="AZ531">
        <f>$H$531*$AF$531</f>
        <v>93.44</v>
      </c>
    </row>
    <row r="532" spans="1:52" x14ac:dyDescent="0.25">
      <c r="A532">
        <v>583</v>
      </c>
      <c r="B532" t="s">
        <v>267</v>
      </c>
      <c r="C532" t="s">
        <v>356</v>
      </c>
      <c r="D532">
        <v>2</v>
      </c>
      <c r="E532">
        <v>62.72</v>
      </c>
      <c r="F532" t="s">
        <v>317</v>
      </c>
      <c r="G532">
        <v>31.36</v>
      </c>
      <c r="H532">
        <v>75.260000000000005</v>
      </c>
      <c r="I532" t="s">
        <v>312</v>
      </c>
      <c r="J532" t="s">
        <v>357</v>
      </c>
      <c r="K532" t="s">
        <v>556</v>
      </c>
      <c r="L532" t="s">
        <v>178</v>
      </c>
      <c r="M532" t="s">
        <v>267</v>
      </c>
      <c r="N532" t="s">
        <v>51</v>
      </c>
      <c r="O532" t="s">
        <v>4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267</v>
      </c>
      <c r="AH532" t="s">
        <v>51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75.260000000000005</v>
      </c>
      <c r="AN532">
        <f>$H$532*$T$532</f>
        <v>75.260000000000005</v>
      </c>
      <c r="AO532">
        <f>$H$532*$U$532</f>
        <v>75.260000000000005</v>
      </c>
      <c r="AP532">
        <f>$H$532*$V$532</f>
        <v>75.260000000000005</v>
      </c>
      <c r="AQ532">
        <f>$H$532*$W$532</f>
        <v>75.260000000000005</v>
      </c>
      <c r="AR532">
        <f>$H$532*$X$532</f>
        <v>75.260000000000005</v>
      </c>
      <c r="AS532">
        <f>$H$532*$Y$532</f>
        <v>75.260000000000005</v>
      </c>
      <c r="AT532">
        <f>$H$532*$Z$532</f>
        <v>75.260000000000005</v>
      </c>
      <c r="AU532">
        <f>$H$532*$AA$532</f>
        <v>75.260000000000005</v>
      </c>
      <c r="AV532">
        <f>$H$532*$AB$532</f>
        <v>75.260000000000005</v>
      </c>
      <c r="AW532">
        <f>$H$532*$AC$532</f>
        <v>75.260000000000005</v>
      </c>
      <c r="AX532">
        <f>$H$532*$AD$532</f>
        <v>75.260000000000005</v>
      </c>
      <c r="AY532">
        <f>$H$532*$AE$532</f>
        <v>75.260000000000005</v>
      </c>
      <c r="AZ532">
        <f>$H$532*$AF$532</f>
        <v>75.260000000000005</v>
      </c>
    </row>
    <row r="533" spans="1:52" x14ac:dyDescent="0.25">
      <c r="A533">
        <v>584</v>
      </c>
      <c r="B533" t="s">
        <v>267</v>
      </c>
      <c r="C533" t="s">
        <v>353</v>
      </c>
      <c r="D533">
        <v>1</v>
      </c>
      <c r="E533">
        <v>365.09</v>
      </c>
      <c r="F533" t="s">
        <v>317</v>
      </c>
      <c r="G533">
        <v>365.09</v>
      </c>
      <c r="H533">
        <v>438.11</v>
      </c>
      <c r="I533" t="s">
        <v>354</v>
      </c>
      <c r="J533" t="s">
        <v>355</v>
      </c>
      <c r="K533" t="s">
        <v>555</v>
      </c>
      <c r="L533" t="s">
        <v>178</v>
      </c>
      <c r="M533" t="s">
        <v>267</v>
      </c>
      <c r="N533" t="s">
        <v>51</v>
      </c>
      <c r="O533" t="s">
        <v>4</v>
      </c>
      <c r="P533">
        <v>0</v>
      </c>
      <c r="Q533">
        <v>0</v>
      </c>
      <c r="R533">
        <v>0</v>
      </c>
      <c r="S533">
        <v>0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267</v>
      </c>
      <c r="AH533" t="s">
        <v>51</v>
      </c>
      <c r="AI533" t="s">
        <v>4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438.11</v>
      </c>
      <c r="AO533">
        <f>$H$533*$U$533</f>
        <v>438.11</v>
      </c>
      <c r="AP533">
        <f>$H$533*$V$533</f>
        <v>438.11</v>
      </c>
      <c r="AQ533">
        <f>$H$533*$W$533</f>
        <v>438.11</v>
      </c>
      <c r="AR533">
        <f>$H$533*$X$533</f>
        <v>438.11</v>
      </c>
      <c r="AS533">
        <f>$H$533*$Y$533</f>
        <v>438.11</v>
      </c>
      <c r="AT533">
        <f>$H$533*$Z$533</f>
        <v>438.11</v>
      </c>
      <c r="AU533">
        <f>$H$533*$AA$533</f>
        <v>438.11</v>
      </c>
      <c r="AV533">
        <f>$H$533*$AB$533</f>
        <v>438.11</v>
      </c>
      <c r="AW533">
        <f>$H$533*$AC$533</f>
        <v>438.11</v>
      </c>
      <c r="AX533">
        <f>$H$533*$AD$533</f>
        <v>438.11</v>
      </c>
      <c r="AY533">
        <f>$H$533*$AE$533</f>
        <v>438.11</v>
      </c>
      <c r="AZ533">
        <f>$H$533*$AF$533</f>
        <v>438.11</v>
      </c>
    </row>
    <row r="534" spans="1:52" x14ac:dyDescent="0.25">
      <c r="A534">
        <v>585</v>
      </c>
      <c r="B534" t="s">
        <v>267</v>
      </c>
      <c r="C534" t="s">
        <v>345</v>
      </c>
      <c r="D534">
        <v>413.33</v>
      </c>
      <c r="E534">
        <v>405.06</v>
      </c>
      <c r="F534" t="s">
        <v>335</v>
      </c>
      <c r="G534">
        <v>0.98</v>
      </c>
      <c r="H534">
        <v>486.08</v>
      </c>
      <c r="I534" t="s">
        <v>312</v>
      </c>
      <c r="J534" t="s">
        <v>346</v>
      </c>
      <c r="K534" t="s">
        <v>552</v>
      </c>
      <c r="L534" t="s">
        <v>178</v>
      </c>
      <c r="M534" t="s">
        <v>267</v>
      </c>
      <c r="N534" t="s">
        <v>51</v>
      </c>
      <c r="O534" t="s">
        <v>4</v>
      </c>
      <c r="P534">
        <v>0</v>
      </c>
      <c r="Q534">
        <v>0</v>
      </c>
      <c r="R534">
        <v>0</v>
      </c>
      <c r="S534">
        <v>0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267</v>
      </c>
      <c r="AH534" t="s">
        <v>51</v>
      </c>
      <c r="AI534" t="s">
        <v>4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486.08</v>
      </c>
      <c r="AO534">
        <f>$H$534*$U$534</f>
        <v>486.08</v>
      </c>
      <c r="AP534">
        <f>$H$534*$V$534</f>
        <v>486.08</v>
      </c>
      <c r="AQ534">
        <f>$H$534*$W$534</f>
        <v>486.08</v>
      </c>
      <c r="AR534">
        <f>$H$534*$X$534</f>
        <v>486.08</v>
      </c>
      <c r="AS534">
        <f>$H$534*$Y$534</f>
        <v>486.08</v>
      </c>
      <c r="AT534">
        <f>$H$534*$Z$534</f>
        <v>486.08</v>
      </c>
      <c r="AU534">
        <f>$H$534*$AA$534</f>
        <v>486.08</v>
      </c>
      <c r="AV534">
        <f>$H$534*$AB$534</f>
        <v>486.08</v>
      </c>
      <c r="AW534">
        <f>$H$534*$AC$534</f>
        <v>486.08</v>
      </c>
      <c r="AX534">
        <f>$H$534*$AD$534</f>
        <v>486.08</v>
      </c>
      <c r="AY534">
        <f>$H$534*$AE$534</f>
        <v>486.08</v>
      </c>
      <c r="AZ534">
        <f>$H$534*$AF$534</f>
        <v>486.08</v>
      </c>
    </row>
    <row r="535" spans="1:52" x14ac:dyDescent="0.25">
      <c r="A535">
        <v>586</v>
      </c>
      <c r="B535" t="s">
        <v>267</v>
      </c>
      <c r="C535" t="s">
        <v>400</v>
      </c>
      <c r="D535">
        <v>413.33</v>
      </c>
      <c r="E535">
        <v>1388.79</v>
      </c>
      <c r="F535" t="s">
        <v>335</v>
      </c>
      <c r="G535">
        <v>3.36</v>
      </c>
      <c r="H535">
        <v>1666.55</v>
      </c>
      <c r="I535" t="s">
        <v>348</v>
      </c>
      <c r="J535" t="s">
        <v>401</v>
      </c>
      <c r="K535" t="s">
        <v>579</v>
      </c>
      <c r="L535" t="s">
        <v>178</v>
      </c>
      <c r="M535" t="s">
        <v>267</v>
      </c>
      <c r="N535" t="s">
        <v>51</v>
      </c>
      <c r="O535" t="s">
        <v>4</v>
      </c>
      <c r="P535">
        <v>0</v>
      </c>
      <c r="Q535">
        <v>0</v>
      </c>
      <c r="R535">
        <v>0</v>
      </c>
      <c r="S535">
        <v>0.25</v>
      </c>
      <c r="T535">
        <v>0.25</v>
      </c>
      <c r="U535">
        <v>0.25</v>
      </c>
      <c r="V535">
        <v>0.25</v>
      </c>
      <c r="W535">
        <v>0.5</v>
      </c>
      <c r="X535">
        <v>0.5</v>
      </c>
      <c r="Y535">
        <v>0.5</v>
      </c>
      <c r="Z535">
        <v>0.5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267</v>
      </c>
      <c r="AH535" t="s">
        <v>51</v>
      </c>
      <c r="AI535" t="s">
        <v>4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416.63749999999999</v>
      </c>
      <c r="AN535">
        <f>$H$535*$T$535</f>
        <v>416.63749999999999</v>
      </c>
      <c r="AO535">
        <f>$H$535*$U$535</f>
        <v>416.63749999999999</v>
      </c>
      <c r="AP535">
        <f>$H$535*$V$535</f>
        <v>416.63749999999999</v>
      </c>
      <c r="AQ535">
        <f>$H$535*$W$535</f>
        <v>833.27499999999998</v>
      </c>
      <c r="AR535">
        <f>$H$535*$X$535</f>
        <v>833.27499999999998</v>
      </c>
      <c r="AS535">
        <f>$H$535*$Y$535</f>
        <v>833.27499999999998</v>
      </c>
      <c r="AT535">
        <f>$H$535*$Z$535</f>
        <v>833.27499999999998</v>
      </c>
      <c r="AU535">
        <f>$H$535*$AA$535</f>
        <v>1666.55</v>
      </c>
      <c r="AV535">
        <f>$H$535*$AB$535</f>
        <v>1666.55</v>
      </c>
      <c r="AW535">
        <f>$H$535*$AC$535</f>
        <v>1666.55</v>
      </c>
      <c r="AX535">
        <f>$H$535*$AD$535</f>
        <v>1666.55</v>
      </c>
      <c r="AY535">
        <f>$H$535*$AE$535</f>
        <v>1666.55</v>
      </c>
      <c r="AZ535">
        <f>$H$535*$AF$535</f>
        <v>1666.55</v>
      </c>
    </row>
    <row r="536" spans="1:52" x14ac:dyDescent="0.25">
      <c r="A536">
        <v>587</v>
      </c>
      <c r="B536" t="s">
        <v>267</v>
      </c>
      <c r="C536" t="s">
        <v>402</v>
      </c>
      <c r="D536">
        <v>51.67</v>
      </c>
      <c r="E536">
        <v>78.02</v>
      </c>
      <c r="F536" t="s">
        <v>311</v>
      </c>
      <c r="G536">
        <v>1.51</v>
      </c>
      <c r="H536">
        <v>93.62</v>
      </c>
      <c r="I536" t="s">
        <v>312</v>
      </c>
      <c r="J536" t="s">
        <v>403</v>
      </c>
      <c r="K536" t="s">
        <v>580</v>
      </c>
      <c r="L536" t="s">
        <v>178</v>
      </c>
      <c r="M536" t="s">
        <v>267</v>
      </c>
      <c r="N536" t="s">
        <v>51</v>
      </c>
      <c r="O536" t="s">
        <v>4</v>
      </c>
      <c r="P536">
        <v>0</v>
      </c>
      <c r="Q536">
        <v>0</v>
      </c>
      <c r="R536">
        <v>0</v>
      </c>
      <c r="S536">
        <v>1</v>
      </c>
      <c r="T536">
        <v>1</v>
      </c>
      <c r="U536">
        <v>1</v>
      </c>
      <c r="V536">
        <v>1</v>
      </c>
      <c r="W536">
        <v>1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267</v>
      </c>
      <c r="AH536" t="s">
        <v>51</v>
      </c>
      <c r="AI536" t="s">
        <v>4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93.62</v>
      </c>
      <c r="AN536">
        <f>$H$536*$T$536</f>
        <v>93.62</v>
      </c>
      <c r="AO536">
        <f>$H$536*$U$536</f>
        <v>93.62</v>
      </c>
      <c r="AP536">
        <f>$H$536*$V$536</f>
        <v>93.62</v>
      </c>
      <c r="AQ536">
        <f>$H$536*$W$536</f>
        <v>93.62</v>
      </c>
      <c r="AR536">
        <f>$H$536*$X$536</f>
        <v>93.62</v>
      </c>
      <c r="AS536">
        <f>$H$536*$Y$536</f>
        <v>93.62</v>
      </c>
      <c r="AT536">
        <f>$H$536*$Z$536</f>
        <v>93.62</v>
      </c>
      <c r="AU536">
        <f>$H$536*$AA$536</f>
        <v>93.62</v>
      </c>
      <c r="AV536">
        <f>$H$536*$AB$536</f>
        <v>93.62</v>
      </c>
      <c r="AW536">
        <f>$H$536*$AC$536</f>
        <v>93.62</v>
      </c>
      <c r="AX536">
        <f>$H$536*$AD$536</f>
        <v>93.62</v>
      </c>
      <c r="AY536">
        <f>$H$536*$AE$536</f>
        <v>93.62</v>
      </c>
      <c r="AZ536">
        <f>$H$536*$AF$536</f>
        <v>93.62</v>
      </c>
    </row>
    <row r="537" spans="1:52" x14ac:dyDescent="0.25">
      <c r="A537">
        <v>588</v>
      </c>
      <c r="B537" t="s">
        <v>267</v>
      </c>
      <c r="C537" t="s">
        <v>404</v>
      </c>
      <c r="D537">
        <v>51.67</v>
      </c>
      <c r="E537">
        <v>293.49</v>
      </c>
      <c r="F537" t="s">
        <v>311</v>
      </c>
      <c r="G537">
        <v>5.68</v>
      </c>
      <c r="H537">
        <v>352.19</v>
      </c>
      <c r="I537" t="s">
        <v>315</v>
      </c>
      <c r="J537" t="s">
        <v>405</v>
      </c>
      <c r="K537" t="s">
        <v>581</v>
      </c>
      <c r="L537" t="s">
        <v>178</v>
      </c>
      <c r="M537" t="s">
        <v>267</v>
      </c>
      <c r="N537" t="s">
        <v>51</v>
      </c>
      <c r="O537" t="s">
        <v>4</v>
      </c>
      <c r="P537">
        <v>0</v>
      </c>
      <c r="Q537">
        <v>0</v>
      </c>
      <c r="R537">
        <v>0</v>
      </c>
      <c r="S537">
        <v>1</v>
      </c>
      <c r="T537">
        <v>1</v>
      </c>
      <c r="U537">
        <v>1</v>
      </c>
      <c r="V537">
        <v>1</v>
      </c>
      <c r="W537">
        <v>1</v>
      </c>
      <c r="X537">
        <v>1</v>
      </c>
      <c r="Y537">
        <v>1</v>
      </c>
      <c r="Z537">
        <v>1</v>
      </c>
      <c r="AA537">
        <v>1</v>
      </c>
      <c r="AB537">
        <v>1</v>
      </c>
      <c r="AC537">
        <v>1</v>
      </c>
      <c r="AD537">
        <v>1</v>
      </c>
      <c r="AE537">
        <v>1</v>
      </c>
      <c r="AF537">
        <v>1</v>
      </c>
      <c r="AG537" t="s">
        <v>267</v>
      </c>
      <c r="AH537" t="s">
        <v>51</v>
      </c>
      <c r="AI537" t="s">
        <v>4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352.19</v>
      </c>
      <c r="AN537">
        <f>$H$537*$T$537</f>
        <v>352.19</v>
      </c>
      <c r="AO537">
        <f>$H$537*$U$537</f>
        <v>352.19</v>
      </c>
      <c r="AP537">
        <f>$H$537*$V$537</f>
        <v>352.19</v>
      </c>
      <c r="AQ537">
        <f>$H$537*$W$537</f>
        <v>352.19</v>
      </c>
      <c r="AR537">
        <f>$H$537*$X$537</f>
        <v>352.19</v>
      </c>
      <c r="AS537">
        <f>$H$537*$Y$537</f>
        <v>352.19</v>
      </c>
      <c r="AT537">
        <f>$H$537*$Z$537</f>
        <v>352.19</v>
      </c>
      <c r="AU537">
        <f>$H$537*$AA$537</f>
        <v>352.19</v>
      </c>
      <c r="AV537">
        <f>$H$537*$AB$537</f>
        <v>352.19</v>
      </c>
      <c r="AW537">
        <f>$H$537*$AC$537</f>
        <v>352.19</v>
      </c>
      <c r="AX537">
        <f>$H$537*$AD$537</f>
        <v>352.19</v>
      </c>
      <c r="AY537">
        <f>$H$537*$AE$537</f>
        <v>352.19</v>
      </c>
      <c r="AZ537">
        <f>$H$537*$AF$537</f>
        <v>352.19</v>
      </c>
    </row>
    <row r="538" spans="1:52" x14ac:dyDescent="0.25">
      <c r="A538">
        <v>589</v>
      </c>
      <c r="B538" t="s">
        <v>267</v>
      </c>
      <c r="C538" t="s">
        <v>400</v>
      </c>
      <c r="D538">
        <v>165.84</v>
      </c>
      <c r="E538">
        <v>557.22</v>
      </c>
      <c r="F538" t="s">
        <v>335</v>
      </c>
      <c r="G538">
        <v>3.36</v>
      </c>
      <c r="H538">
        <v>668.66</v>
      </c>
      <c r="I538" t="s">
        <v>348</v>
      </c>
      <c r="J538" t="s">
        <v>401</v>
      </c>
      <c r="K538" t="s">
        <v>579</v>
      </c>
      <c r="L538" t="s">
        <v>178</v>
      </c>
      <c r="M538" t="s">
        <v>267</v>
      </c>
      <c r="N538" t="s">
        <v>51</v>
      </c>
      <c r="O538" t="s">
        <v>4</v>
      </c>
      <c r="P538">
        <v>0</v>
      </c>
      <c r="Q538">
        <v>0</v>
      </c>
      <c r="R538">
        <v>0</v>
      </c>
      <c r="S538">
        <v>0.25</v>
      </c>
      <c r="T538">
        <v>0.25</v>
      </c>
      <c r="U538">
        <v>0.25</v>
      </c>
      <c r="V538">
        <v>0.25</v>
      </c>
      <c r="W538">
        <v>0.5</v>
      </c>
      <c r="X538">
        <v>0.5</v>
      </c>
      <c r="Y538">
        <v>0.5</v>
      </c>
      <c r="Z538">
        <v>0.5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267</v>
      </c>
      <c r="AH538" t="s">
        <v>51</v>
      </c>
      <c r="AI538" t="s">
        <v>4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167.16499999999999</v>
      </c>
      <c r="AN538">
        <f>$H$538*$T$538</f>
        <v>167.16499999999999</v>
      </c>
      <c r="AO538">
        <f>$H$538*$U$538</f>
        <v>167.16499999999999</v>
      </c>
      <c r="AP538">
        <f>$H$538*$V$538</f>
        <v>167.16499999999999</v>
      </c>
      <c r="AQ538">
        <f>$H$538*$W$538</f>
        <v>334.33</v>
      </c>
      <c r="AR538">
        <f>$H$538*$X$538</f>
        <v>334.33</v>
      </c>
      <c r="AS538">
        <f>$H$538*$Y$538</f>
        <v>334.33</v>
      </c>
      <c r="AT538">
        <f>$H$538*$Z$538</f>
        <v>334.33</v>
      </c>
      <c r="AU538">
        <f>$H$538*$AA$538</f>
        <v>668.66</v>
      </c>
      <c r="AV538">
        <f>$H$538*$AB$538</f>
        <v>668.66</v>
      </c>
      <c r="AW538">
        <f>$H$538*$AC$538</f>
        <v>668.66</v>
      </c>
      <c r="AX538">
        <f>$H$538*$AD$538</f>
        <v>668.66</v>
      </c>
      <c r="AY538">
        <f>$H$538*$AE$538</f>
        <v>668.66</v>
      </c>
      <c r="AZ538">
        <f>$H$538*$AF$538</f>
        <v>668.66</v>
      </c>
    </row>
    <row r="539" spans="1:52" x14ac:dyDescent="0.25">
      <c r="A539">
        <v>590</v>
      </c>
      <c r="B539" t="s">
        <v>267</v>
      </c>
      <c r="C539" t="s">
        <v>406</v>
      </c>
      <c r="D539">
        <v>165.84</v>
      </c>
      <c r="E539">
        <v>104.48</v>
      </c>
      <c r="F539" t="s">
        <v>335</v>
      </c>
      <c r="G539">
        <v>0.63</v>
      </c>
      <c r="H539">
        <v>125.38</v>
      </c>
      <c r="I539" t="s">
        <v>312</v>
      </c>
      <c r="J539" t="s">
        <v>407</v>
      </c>
      <c r="K539" t="s">
        <v>582</v>
      </c>
      <c r="L539" t="s">
        <v>178</v>
      </c>
      <c r="M539" t="s">
        <v>267</v>
      </c>
      <c r="N539" t="s">
        <v>51</v>
      </c>
      <c r="O539" t="s">
        <v>4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1</v>
      </c>
      <c r="AE539">
        <v>1</v>
      </c>
      <c r="AF539">
        <v>1</v>
      </c>
      <c r="AG539" t="s">
        <v>267</v>
      </c>
      <c r="AH539" t="s">
        <v>51</v>
      </c>
      <c r="AI539" t="s">
        <v>4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0</v>
      </c>
      <c r="AU539">
        <f>$H$539*$AA$539</f>
        <v>0</v>
      </c>
      <c r="AV539">
        <f>$H$539*$AB$539</f>
        <v>0</v>
      </c>
      <c r="AW539">
        <f>$H$539*$AC$539</f>
        <v>0</v>
      </c>
      <c r="AX539">
        <f>$H$539*$AD$539</f>
        <v>125.38</v>
      </c>
      <c r="AY539">
        <f>$H$539*$AE$539</f>
        <v>125.38</v>
      </c>
      <c r="AZ539">
        <f>$H$539*$AF$539</f>
        <v>125.38</v>
      </c>
    </row>
    <row r="540" spans="1:52" x14ac:dyDescent="0.25">
      <c r="A540">
        <v>591</v>
      </c>
      <c r="B540" t="s">
        <v>267</v>
      </c>
      <c r="C540" t="s">
        <v>408</v>
      </c>
      <c r="D540">
        <v>165.84</v>
      </c>
      <c r="E540">
        <v>114.43</v>
      </c>
      <c r="F540" t="s">
        <v>335</v>
      </c>
      <c r="G540">
        <v>0.69</v>
      </c>
      <c r="H540">
        <v>137.31</v>
      </c>
      <c r="I540" t="s">
        <v>312</v>
      </c>
      <c r="J540" t="s">
        <v>409</v>
      </c>
      <c r="K540" t="s">
        <v>583</v>
      </c>
      <c r="L540" t="s">
        <v>178</v>
      </c>
      <c r="M540" t="s">
        <v>267</v>
      </c>
      <c r="N540" t="s">
        <v>51</v>
      </c>
      <c r="O540" t="s">
        <v>4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267</v>
      </c>
      <c r="AH540" t="s">
        <v>51</v>
      </c>
      <c r="AI540" t="s">
        <v>4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137.31</v>
      </c>
      <c r="AN540">
        <f>$H$540*$T$540</f>
        <v>137.31</v>
      </c>
      <c r="AO540">
        <f>$H$540*$U$540</f>
        <v>137.31</v>
      </c>
      <c r="AP540">
        <f>$H$540*$V$540</f>
        <v>137.31</v>
      </c>
      <c r="AQ540">
        <f>$H$540*$W$540</f>
        <v>137.31</v>
      </c>
      <c r="AR540">
        <f>$H$540*$X$540</f>
        <v>137.31</v>
      </c>
      <c r="AS540">
        <f>$H$540*$Y$540</f>
        <v>137.31</v>
      </c>
      <c r="AT540">
        <f>$H$540*$Z$540</f>
        <v>137.31</v>
      </c>
      <c r="AU540">
        <f>$H$540*$AA$540</f>
        <v>137.31</v>
      </c>
      <c r="AV540">
        <f>$H$540*$AB$540</f>
        <v>137.31</v>
      </c>
      <c r="AW540">
        <f>$H$540*$AC$540</f>
        <v>137.31</v>
      </c>
      <c r="AX540">
        <f>$H$540*$AD$540</f>
        <v>137.31</v>
      </c>
      <c r="AY540">
        <f>$H$540*$AE$540</f>
        <v>137.31</v>
      </c>
      <c r="AZ540">
        <f>$H$540*$AF$540</f>
        <v>137.31</v>
      </c>
    </row>
    <row r="541" spans="1:52" x14ac:dyDescent="0.25">
      <c r="A541">
        <v>592</v>
      </c>
      <c r="B541" t="s">
        <v>267</v>
      </c>
      <c r="C541" t="s">
        <v>410</v>
      </c>
      <c r="D541">
        <v>34.83</v>
      </c>
      <c r="E541">
        <v>237.19</v>
      </c>
      <c r="F541" t="s">
        <v>335</v>
      </c>
      <c r="G541">
        <v>6.81</v>
      </c>
      <c r="H541">
        <v>284.63</v>
      </c>
      <c r="I541" t="s">
        <v>411</v>
      </c>
      <c r="J541" t="s">
        <v>412</v>
      </c>
      <c r="K541" t="s">
        <v>584</v>
      </c>
      <c r="L541" t="s">
        <v>178</v>
      </c>
      <c r="M541" t="s">
        <v>267</v>
      </c>
      <c r="N541" t="s">
        <v>51</v>
      </c>
      <c r="O541" t="s">
        <v>4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267</v>
      </c>
      <c r="AH541" t="s">
        <v>51</v>
      </c>
      <c r="AI541" t="s">
        <v>4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284.63</v>
      </c>
      <c r="AN541">
        <f>$H$541*$T$541</f>
        <v>284.63</v>
      </c>
      <c r="AO541">
        <f>$H$541*$U$541</f>
        <v>284.63</v>
      </c>
      <c r="AP541">
        <f>$H$541*$V$541</f>
        <v>284.63</v>
      </c>
      <c r="AQ541">
        <f>$H$541*$W$541</f>
        <v>284.63</v>
      </c>
      <c r="AR541">
        <f>$H$541*$X$541</f>
        <v>284.63</v>
      </c>
      <c r="AS541">
        <f>$H$541*$Y$541</f>
        <v>284.63</v>
      </c>
      <c r="AT541">
        <f>$H$541*$Z$541</f>
        <v>284.63</v>
      </c>
      <c r="AU541">
        <f>$H$541*$AA$541</f>
        <v>284.63</v>
      </c>
      <c r="AV541">
        <f>$H$541*$AB$541</f>
        <v>284.63</v>
      </c>
      <c r="AW541">
        <f>$H$541*$AC$541</f>
        <v>284.63</v>
      </c>
      <c r="AX541">
        <f>$H$541*$AD$541</f>
        <v>284.63</v>
      </c>
      <c r="AY541">
        <f>$H$541*$AE$541</f>
        <v>284.63</v>
      </c>
      <c r="AZ541">
        <f>$H$541*$AF$541</f>
        <v>284.63</v>
      </c>
    </row>
    <row r="542" spans="1:52" x14ac:dyDescent="0.25">
      <c r="A542">
        <v>593</v>
      </c>
      <c r="B542" t="s">
        <v>267</v>
      </c>
      <c r="C542" t="s">
        <v>413</v>
      </c>
      <c r="D542">
        <v>38.14</v>
      </c>
      <c r="E542">
        <v>281.08999999999997</v>
      </c>
      <c r="F542" t="s">
        <v>335</v>
      </c>
      <c r="G542">
        <v>7.37</v>
      </c>
      <c r="H542">
        <v>337.31</v>
      </c>
      <c r="I542" t="s">
        <v>411</v>
      </c>
      <c r="J542" t="s">
        <v>414</v>
      </c>
      <c r="K542" t="s">
        <v>585</v>
      </c>
      <c r="L542" t="s">
        <v>178</v>
      </c>
      <c r="M542" t="s">
        <v>267</v>
      </c>
      <c r="N542" t="s">
        <v>51</v>
      </c>
      <c r="O542" t="s">
        <v>4</v>
      </c>
      <c r="P542">
        <v>0</v>
      </c>
      <c r="Q542">
        <v>0</v>
      </c>
      <c r="R542">
        <v>0</v>
      </c>
      <c r="S542">
        <v>1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267</v>
      </c>
      <c r="AH542" t="s">
        <v>51</v>
      </c>
      <c r="AI542" t="s">
        <v>4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337.31</v>
      </c>
      <c r="AN542">
        <f>$H$542*$T$542</f>
        <v>337.31</v>
      </c>
      <c r="AO542">
        <f>$H$542*$U$542</f>
        <v>337.31</v>
      </c>
      <c r="AP542">
        <f>$H$542*$V$542</f>
        <v>337.31</v>
      </c>
      <c r="AQ542">
        <f>$H$542*$W$542</f>
        <v>337.31</v>
      </c>
      <c r="AR542">
        <f>$H$542*$X$542</f>
        <v>337.31</v>
      </c>
      <c r="AS542">
        <f>$H$542*$Y$542</f>
        <v>337.31</v>
      </c>
      <c r="AT542">
        <f>$H$542*$Z$542</f>
        <v>337.31</v>
      </c>
      <c r="AU542">
        <f>$H$542*$AA$542</f>
        <v>337.31</v>
      </c>
      <c r="AV542">
        <f>$H$542*$AB$542</f>
        <v>337.31</v>
      </c>
      <c r="AW542">
        <f>$H$542*$AC$542</f>
        <v>337.31</v>
      </c>
      <c r="AX542">
        <f>$H$542*$AD$542</f>
        <v>337.31</v>
      </c>
      <c r="AY542">
        <f>$H$542*$AE$542</f>
        <v>337.31</v>
      </c>
      <c r="AZ542">
        <f>$H$542*$AF$542</f>
        <v>337.31</v>
      </c>
    </row>
    <row r="543" spans="1:52" x14ac:dyDescent="0.25">
      <c r="A543">
        <v>594</v>
      </c>
      <c r="B543" t="s">
        <v>267</v>
      </c>
      <c r="C543" t="s">
        <v>415</v>
      </c>
      <c r="D543">
        <v>34.770000000000003</v>
      </c>
      <c r="E543">
        <v>189.84</v>
      </c>
      <c r="F543" t="s">
        <v>335</v>
      </c>
      <c r="G543">
        <v>5.46</v>
      </c>
      <c r="H543">
        <v>227.8</v>
      </c>
      <c r="I543" t="s">
        <v>416</v>
      </c>
      <c r="J543" t="s">
        <v>417</v>
      </c>
      <c r="K543" t="s">
        <v>586</v>
      </c>
      <c r="L543" t="s">
        <v>178</v>
      </c>
      <c r="M543" t="s">
        <v>267</v>
      </c>
      <c r="N543" t="s">
        <v>51</v>
      </c>
      <c r="O543" t="s">
        <v>4</v>
      </c>
      <c r="P543">
        <v>0</v>
      </c>
      <c r="Q543">
        <v>0</v>
      </c>
      <c r="R543">
        <v>0</v>
      </c>
      <c r="S543">
        <v>1</v>
      </c>
      <c r="T543">
        <v>1</v>
      </c>
      <c r="U543">
        <v>1</v>
      </c>
      <c r="V543">
        <v>1</v>
      </c>
      <c r="W543">
        <v>1</v>
      </c>
      <c r="X543">
        <v>1</v>
      </c>
      <c r="Y543">
        <v>1</v>
      </c>
      <c r="Z543">
        <v>1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267</v>
      </c>
      <c r="AH543" t="s">
        <v>51</v>
      </c>
      <c r="AI543" t="s">
        <v>4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227.8</v>
      </c>
      <c r="AN543">
        <f>$H$543*$T$543</f>
        <v>227.8</v>
      </c>
      <c r="AO543">
        <f>$H$543*$U$543</f>
        <v>227.8</v>
      </c>
      <c r="AP543">
        <f>$H$543*$V$543</f>
        <v>227.8</v>
      </c>
      <c r="AQ543">
        <f>$H$543*$W$543</f>
        <v>227.8</v>
      </c>
      <c r="AR543">
        <f>$H$543*$X$543</f>
        <v>227.8</v>
      </c>
      <c r="AS543">
        <f>$H$543*$Y$543</f>
        <v>227.8</v>
      </c>
      <c r="AT543">
        <f>$H$543*$Z$543</f>
        <v>227.8</v>
      </c>
      <c r="AU543">
        <f>$H$543*$AA$543</f>
        <v>227.8</v>
      </c>
      <c r="AV543">
        <f>$H$543*$AB$543</f>
        <v>227.8</v>
      </c>
      <c r="AW543">
        <f>$H$543*$AC$543</f>
        <v>227.8</v>
      </c>
      <c r="AX543">
        <f>$H$543*$AD$543</f>
        <v>227.8</v>
      </c>
      <c r="AY543">
        <f>$H$543*$AE$543</f>
        <v>227.8</v>
      </c>
      <c r="AZ543">
        <f>$H$543*$AF$543</f>
        <v>227.8</v>
      </c>
    </row>
    <row r="544" spans="1:52" x14ac:dyDescent="0.25">
      <c r="A544">
        <v>595</v>
      </c>
      <c r="B544" t="s">
        <v>267</v>
      </c>
      <c r="C544" t="s">
        <v>418</v>
      </c>
      <c r="D544">
        <v>34.770000000000003</v>
      </c>
      <c r="E544">
        <v>124.48</v>
      </c>
      <c r="F544" t="s">
        <v>335</v>
      </c>
      <c r="G544">
        <v>3.58</v>
      </c>
      <c r="H544">
        <v>149.38</v>
      </c>
      <c r="I544" t="s">
        <v>416</v>
      </c>
      <c r="J544" t="s">
        <v>419</v>
      </c>
      <c r="K544" t="s">
        <v>587</v>
      </c>
      <c r="L544" t="s">
        <v>178</v>
      </c>
      <c r="M544" t="s">
        <v>267</v>
      </c>
      <c r="N544" t="s">
        <v>51</v>
      </c>
      <c r="O544" t="s">
        <v>4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267</v>
      </c>
      <c r="AH544" t="s">
        <v>51</v>
      </c>
      <c r="AI544" t="s">
        <v>4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149.38</v>
      </c>
      <c r="AN544">
        <f>$H$544*$T$544</f>
        <v>149.38</v>
      </c>
      <c r="AO544">
        <f>$H$544*$U$544</f>
        <v>149.38</v>
      </c>
      <c r="AP544">
        <f>$H$544*$V$544</f>
        <v>149.38</v>
      </c>
      <c r="AQ544">
        <f>$H$544*$W$544</f>
        <v>149.38</v>
      </c>
      <c r="AR544">
        <f>$H$544*$X$544</f>
        <v>149.38</v>
      </c>
      <c r="AS544">
        <f>$H$544*$Y$544</f>
        <v>149.38</v>
      </c>
      <c r="AT544">
        <f>$H$544*$Z$544</f>
        <v>149.38</v>
      </c>
      <c r="AU544">
        <f>$H$544*$AA$544</f>
        <v>149.38</v>
      </c>
      <c r="AV544">
        <f>$H$544*$AB$544</f>
        <v>149.38</v>
      </c>
      <c r="AW544">
        <f>$H$544*$AC$544</f>
        <v>149.38</v>
      </c>
      <c r="AX544">
        <f>$H$544*$AD$544</f>
        <v>149.38</v>
      </c>
      <c r="AY544">
        <f>$H$544*$AE$544</f>
        <v>149.38</v>
      </c>
      <c r="AZ544">
        <f>$H$544*$AF$544</f>
        <v>149.38</v>
      </c>
    </row>
    <row r="545" spans="1:52" x14ac:dyDescent="0.25">
      <c r="A545">
        <v>596</v>
      </c>
      <c r="B545" t="s">
        <v>267</v>
      </c>
      <c r="C545" t="s">
        <v>420</v>
      </c>
      <c r="D545">
        <v>34.770000000000003</v>
      </c>
      <c r="E545">
        <v>342.48</v>
      </c>
      <c r="F545" t="s">
        <v>335</v>
      </c>
      <c r="G545">
        <v>9.85</v>
      </c>
      <c r="H545">
        <v>410.98</v>
      </c>
      <c r="I545" t="s">
        <v>416</v>
      </c>
      <c r="J545" t="s">
        <v>414</v>
      </c>
      <c r="K545" t="s">
        <v>588</v>
      </c>
      <c r="L545" t="s">
        <v>178</v>
      </c>
      <c r="M545" t="s">
        <v>267</v>
      </c>
      <c r="N545" t="s">
        <v>51</v>
      </c>
      <c r="O545" t="s">
        <v>4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267</v>
      </c>
      <c r="AH545" t="s">
        <v>51</v>
      </c>
      <c r="AI545" t="s">
        <v>4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410.98</v>
      </c>
      <c r="AN545">
        <f>$H$545*$T$545</f>
        <v>410.98</v>
      </c>
      <c r="AO545">
        <f>$H$545*$U$545</f>
        <v>410.98</v>
      </c>
      <c r="AP545">
        <f>$H$545*$V$545</f>
        <v>410.98</v>
      </c>
      <c r="AQ545">
        <f>$H$545*$W$545</f>
        <v>410.98</v>
      </c>
      <c r="AR545">
        <f>$H$545*$X$545</f>
        <v>410.98</v>
      </c>
      <c r="AS545">
        <f>$H$545*$Y$545</f>
        <v>410.98</v>
      </c>
      <c r="AT545">
        <f>$H$545*$Z$545</f>
        <v>410.98</v>
      </c>
      <c r="AU545">
        <f>$H$545*$AA$545</f>
        <v>410.98</v>
      </c>
      <c r="AV545">
        <f>$H$545*$AB$545</f>
        <v>410.98</v>
      </c>
      <c r="AW545">
        <f>$H$545*$AC$545</f>
        <v>410.98</v>
      </c>
      <c r="AX545">
        <f>$H$545*$AD$545</f>
        <v>410.98</v>
      </c>
      <c r="AY545">
        <f>$H$545*$AE$545</f>
        <v>410.98</v>
      </c>
      <c r="AZ545">
        <f>$H$545*$AF$545</f>
        <v>410.98</v>
      </c>
    </row>
    <row r="546" spans="1:52" x14ac:dyDescent="0.25">
      <c r="A546">
        <v>597</v>
      </c>
      <c r="B546" t="s">
        <v>267</v>
      </c>
      <c r="C546" t="s">
        <v>421</v>
      </c>
      <c r="D546">
        <v>38.14</v>
      </c>
      <c r="E546">
        <v>37</v>
      </c>
      <c r="F546" t="s">
        <v>335</v>
      </c>
      <c r="G546">
        <v>0.97</v>
      </c>
      <c r="H546">
        <v>44.4</v>
      </c>
      <c r="I546" t="s">
        <v>360</v>
      </c>
      <c r="J546" t="s">
        <v>422</v>
      </c>
      <c r="K546" t="s">
        <v>589</v>
      </c>
      <c r="L546" t="s">
        <v>178</v>
      </c>
      <c r="M546" t="s">
        <v>267</v>
      </c>
      <c r="N546" t="s">
        <v>51</v>
      </c>
      <c r="O546" t="s">
        <v>4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267</v>
      </c>
      <c r="AH546" t="s">
        <v>51</v>
      </c>
      <c r="AI546" t="s">
        <v>4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44.4</v>
      </c>
      <c r="AN546">
        <f>$H$546*$T$546</f>
        <v>44.4</v>
      </c>
      <c r="AO546">
        <f>$H$546*$U$546</f>
        <v>44.4</v>
      </c>
      <c r="AP546">
        <f>$H$546*$V$546</f>
        <v>44.4</v>
      </c>
      <c r="AQ546">
        <f>$H$546*$W$546</f>
        <v>44.4</v>
      </c>
      <c r="AR546">
        <f>$H$546*$X$546</f>
        <v>44.4</v>
      </c>
      <c r="AS546">
        <f>$H$546*$Y$546</f>
        <v>44.4</v>
      </c>
      <c r="AT546">
        <f>$H$546*$Z$546</f>
        <v>44.4</v>
      </c>
      <c r="AU546">
        <f>$H$546*$AA$546</f>
        <v>44.4</v>
      </c>
      <c r="AV546">
        <f>$H$546*$AB$546</f>
        <v>44.4</v>
      </c>
      <c r="AW546">
        <f>$H$546*$AC$546</f>
        <v>44.4</v>
      </c>
      <c r="AX546">
        <f>$H$546*$AD$546</f>
        <v>44.4</v>
      </c>
      <c r="AY546">
        <f>$H$546*$AE$546</f>
        <v>44.4</v>
      </c>
      <c r="AZ546">
        <f>$H$546*$AF$546</f>
        <v>44.4</v>
      </c>
    </row>
    <row r="547" spans="1:52" x14ac:dyDescent="0.25">
      <c r="A547">
        <v>598</v>
      </c>
      <c r="B547" t="s">
        <v>267</v>
      </c>
      <c r="C547" t="s">
        <v>423</v>
      </c>
      <c r="D547">
        <v>38.14</v>
      </c>
      <c r="E547">
        <v>292.14999999999998</v>
      </c>
      <c r="F547" t="s">
        <v>335</v>
      </c>
      <c r="G547">
        <v>7.66</v>
      </c>
      <c r="H547">
        <v>350.59</v>
      </c>
      <c r="I547" t="s">
        <v>360</v>
      </c>
      <c r="J547" t="s">
        <v>414</v>
      </c>
      <c r="K547" t="s">
        <v>590</v>
      </c>
      <c r="L547" t="s">
        <v>178</v>
      </c>
      <c r="M547" t="s">
        <v>267</v>
      </c>
      <c r="N547" t="s">
        <v>51</v>
      </c>
      <c r="O547" t="s">
        <v>4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267</v>
      </c>
      <c r="AH547" t="s">
        <v>51</v>
      </c>
      <c r="AI547" t="s">
        <v>4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350.59</v>
      </c>
      <c r="AN547">
        <f>$H$547*$T$547</f>
        <v>350.59</v>
      </c>
      <c r="AO547">
        <f>$H$547*$U$547</f>
        <v>350.59</v>
      </c>
      <c r="AP547">
        <f>$H$547*$V$547</f>
        <v>350.59</v>
      </c>
      <c r="AQ547">
        <f>$H$547*$W$547</f>
        <v>350.59</v>
      </c>
      <c r="AR547">
        <f>$H$547*$X$547</f>
        <v>350.59</v>
      </c>
      <c r="AS547">
        <f>$H$547*$Y$547</f>
        <v>350.59</v>
      </c>
      <c r="AT547">
        <f>$H$547*$Z$547</f>
        <v>350.59</v>
      </c>
      <c r="AU547">
        <f>$H$547*$AA$547</f>
        <v>350.59</v>
      </c>
      <c r="AV547">
        <f>$H$547*$AB$547</f>
        <v>350.59</v>
      </c>
      <c r="AW547">
        <f>$H$547*$AC$547</f>
        <v>350.59</v>
      </c>
      <c r="AX547">
        <f>$H$547*$AD$547</f>
        <v>350.59</v>
      </c>
      <c r="AY547">
        <f>$H$547*$AE$547</f>
        <v>350.59</v>
      </c>
      <c r="AZ547">
        <f>$H$547*$AF$547</f>
        <v>350.59</v>
      </c>
    </row>
    <row r="548" spans="1:52" x14ac:dyDescent="0.25">
      <c r="A548">
        <v>599</v>
      </c>
      <c r="B548" t="s">
        <v>7</v>
      </c>
      <c r="C548" t="s">
        <v>495</v>
      </c>
      <c r="D548">
        <v>1</v>
      </c>
      <c r="E548">
        <v>33.1</v>
      </c>
      <c r="F548" t="s">
        <v>317</v>
      </c>
      <c r="G548">
        <v>33.1</v>
      </c>
      <c r="H548">
        <v>39.72</v>
      </c>
      <c r="I548" t="s">
        <v>319</v>
      </c>
      <c r="J548" t="s">
        <v>496</v>
      </c>
      <c r="K548" t="s">
        <v>627</v>
      </c>
      <c r="L548" t="s">
        <v>178</v>
      </c>
      <c r="M548" t="s">
        <v>7</v>
      </c>
      <c r="N548" t="s">
        <v>12</v>
      </c>
      <c r="O548" t="s">
        <v>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7</v>
      </c>
      <c r="AH548" t="s">
        <v>12</v>
      </c>
      <c r="AI548" t="s">
        <v>7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0</v>
      </c>
      <c r="AN548">
        <f>$H$548*$T$548</f>
        <v>0</v>
      </c>
      <c r="AO548">
        <f>$H$548*$U$548</f>
        <v>0</v>
      </c>
      <c r="AP548">
        <f>$H$548*$V$548</f>
        <v>39.72</v>
      </c>
      <c r="AQ548">
        <f>$H$548*$W$548</f>
        <v>39.72</v>
      </c>
      <c r="AR548">
        <f>$H$548*$X$548</f>
        <v>39.72</v>
      </c>
      <c r="AS548">
        <f>$H$548*$Y$548</f>
        <v>39.72</v>
      </c>
      <c r="AT548">
        <f>$H$548*$Z$548</f>
        <v>39.72</v>
      </c>
      <c r="AU548">
        <f>$H$548*$AA$548</f>
        <v>39.72</v>
      </c>
      <c r="AV548">
        <f>$H$548*$AB$548</f>
        <v>39.72</v>
      </c>
      <c r="AW548">
        <f>$H$548*$AC$548</f>
        <v>39.72</v>
      </c>
      <c r="AX548">
        <f>$H$548*$AD$548</f>
        <v>39.72</v>
      </c>
      <c r="AY548">
        <f>$H$548*$AE$548</f>
        <v>39.72</v>
      </c>
      <c r="AZ548">
        <f>$H$548*$AF$548</f>
        <v>39.72</v>
      </c>
    </row>
    <row r="549" spans="1:52" x14ac:dyDescent="0.25">
      <c r="A549">
        <v>600</v>
      </c>
      <c r="B549" t="s">
        <v>7</v>
      </c>
      <c r="C549" t="s">
        <v>456</v>
      </c>
      <c r="D549">
        <v>2</v>
      </c>
      <c r="E549">
        <v>74</v>
      </c>
      <c r="F549" t="s">
        <v>317</v>
      </c>
      <c r="G549">
        <v>37</v>
      </c>
      <c r="H549">
        <v>88.8</v>
      </c>
      <c r="I549" t="s">
        <v>319</v>
      </c>
      <c r="J549" t="s">
        <v>457</v>
      </c>
      <c r="K549" t="s">
        <v>607</v>
      </c>
      <c r="L549" t="s">
        <v>178</v>
      </c>
      <c r="M549" t="s">
        <v>7</v>
      </c>
      <c r="N549" t="s">
        <v>12</v>
      </c>
      <c r="O549" t="s">
        <v>7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0.6</v>
      </c>
      <c r="Y549">
        <v>0.6</v>
      </c>
      <c r="Z549">
        <v>0.6</v>
      </c>
      <c r="AA549">
        <v>0.6</v>
      </c>
      <c r="AB549">
        <v>0.6</v>
      </c>
      <c r="AC549">
        <v>0.6</v>
      </c>
      <c r="AD549">
        <v>1</v>
      </c>
      <c r="AE549">
        <v>1</v>
      </c>
      <c r="AF549">
        <v>1</v>
      </c>
      <c r="AG549" t="s">
        <v>7</v>
      </c>
      <c r="AH549" t="s">
        <v>12</v>
      </c>
      <c r="AI549" t="s">
        <v>7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0</v>
      </c>
      <c r="AN549">
        <f>$H$549*$T$549</f>
        <v>0</v>
      </c>
      <c r="AO549">
        <f>$H$549*$U$549</f>
        <v>0</v>
      </c>
      <c r="AP549">
        <f>$H$549*$V$549</f>
        <v>0</v>
      </c>
      <c r="AQ549">
        <f>$H$549*$W$549</f>
        <v>0</v>
      </c>
      <c r="AR549">
        <f>$H$549*$X$549</f>
        <v>53.279999999999994</v>
      </c>
      <c r="AS549">
        <f>$H$549*$Y$549</f>
        <v>53.279999999999994</v>
      </c>
      <c r="AT549">
        <f>$H$549*$Z$549</f>
        <v>53.279999999999994</v>
      </c>
      <c r="AU549">
        <f>$H$549*$AA$549</f>
        <v>53.279999999999994</v>
      </c>
      <c r="AV549">
        <f>$H$549*$AB$549</f>
        <v>53.279999999999994</v>
      </c>
      <c r="AW549">
        <f>$H$549*$AC$549</f>
        <v>53.279999999999994</v>
      </c>
      <c r="AX549">
        <f>$H$549*$AD$549</f>
        <v>88.8</v>
      </c>
      <c r="AY549">
        <f>$H$549*$AE$549</f>
        <v>88.8</v>
      </c>
      <c r="AZ549">
        <f>$H$549*$AF$549</f>
        <v>88.8</v>
      </c>
    </row>
    <row r="550" spans="1:52" x14ac:dyDescent="0.25">
      <c r="A550">
        <v>601</v>
      </c>
      <c r="B550" t="s">
        <v>7</v>
      </c>
      <c r="C550" t="s">
        <v>397</v>
      </c>
      <c r="D550">
        <v>4</v>
      </c>
      <c r="E550">
        <v>53.08</v>
      </c>
      <c r="F550" t="s">
        <v>317</v>
      </c>
      <c r="G550">
        <v>13.27</v>
      </c>
      <c r="H550">
        <v>63.7</v>
      </c>
      <c r="I550" t="s">
        <v>319</v>
      </c>
      <c r="J550" t="s">
        <v>398</v>
      </c>
      <c r="K550" t="s">
        <v>577</v>
      </c>
      <c r="L550" t="s">
        <v>178</v>
      </c>
      <c r="M550" t="s">
        <v>7</v>
      </c>
      <c r="N550" t="s">
        <v>12</v>
      </c>
      <c r="O550" t="s">
        <v>7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7</v>
      </c>
      <c r="AH550" t="s">
        <v>12</v>
      </c>
      <c r="AI550" t="s">
        <v>7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0</v>
      </c>
      <c r="AN550">
        <f>$H$550*$T$550</f>
        <v>0</v>
      </c>
      <c r="AO550">
        <f>$H$550*$U$550</f>
        <v>0</v>
      </c>
      <c r="AP550">
        <f>$H$550*$V$550</f>
        <v>0</v>
      </c>
      <c r="AQ550">
        <f>$H$550*$W$550</f>
        <v>0</v>
      </c>
      <c r="AR550">
        <f>$H$550*$X$550</f>
        <v>63.7</v>
      </c>
      <c r="AS550">
        <f>$H$550*$Y$550</f>
        <v>63.7</v>
      </c>
      <c r="AT550">
        <f>$H$550*$Z$550</f>
        <v>63.7</v>
      </c>
      <c r="AU550">
        <f>$H$550*$AA$550</f>
        <v>63.7</v>
      </c>
      <c r="AV550">
        <f>$H$550*$AB$550</f>
        <v>63.7</v>
      </c>
      <c r="AW550">
        <f>$H$550*$AC$550</f>
        <v>63.7</v>
      </c>
      <c r="AX550">
        <f>$H$550*$AD$550</f>
        <v>63.7</v>
      </c>
      <c r="AY550">
        <f>$H$550*$AE$550</f>
        <v>63.7</v>
      </c>
      <c r="AZ550">
        <f>$H$550*$AF$550</f>
        <v>63.7</v>
      </c>
    </row>
    <row r="551" spans="1:52" x14ac:dyDescent="0.25">
      <c r="A551">
        <v>602</v>
      </c>
      <c r="B551" t="s">
        <v>7</v>
      </c>
      <c r="C551" t="s">
        <v>397</v>
      </c>
      <c r="D551">
        <v>2</v>
      </c>
      <c r="E551">
        <v>26.54</v>
      </c>
      <c r="F551" t="s">
        <v>317</v>
      </c>
      <c r="G551">
        <v>13.27</v>
      </c>
      <c r="H551">
        <v>31.84</v>
      </c>
      <c r="I551" t="s">
        <v>319</v>
      </c>
      <c r="J551" t="s">
        <v>398</v>
      </c>
      <c r="K551" t="s">
        <v>577</v>
      </c>
      <c r="L551" t="s">
        <v>178</v>
      </c>
      <c r="M551" t="s">
        <v>7</v>
      </c>
      <c r="N551" t="s">
        <v>12</v>
      </c>
      <c r="O551" t="s">
        <v>7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7</v>
      </c>
      <c r="AH551" t="s">
        <v>12</v>
      </c>
      <c r="AI551" t="s">
        <v>7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0</v>
      </c>
      <c r="AN551">
        <f>$H$551*$T$551</f>
        <v>0</v>
      </c>
      <c r="AO551">
        <f>$H$551*$U$551</f>
        <v>0</v>
      </c>
      <c r="AP551">
        <f>$H$551*$V$551</f>
        <v>0</v>
      </c>
      <c r="AQ551">
        <f>$H$551*$W$551</f>
        <v>0</v>
      </c>
      <c r="AR551">
        <f>$H$551*$X$551</f>
        <v>31.84</v>
      </c>
      <c r="AS551">
        <f>$H$551*$Y$551</f>
        <v>31.84</v>
      </c>
      <c r="AT551">
        <f>$H$551*$Z$551</f>
        <v>31.84</v>
      </c>
      <c r="AU551">
        <f>$H$551*$AA$551</f>
        <v>31.84</v>
      </c>
      <c r="AV551">
        <f>$H$551*$AB$551</f>
        <v>31.84</v>
      </c>
      <c r="AW551">
        <f>$H$551*$AC$551</f>
        <v>31.84</v>
      </c>
      <c r="AX551">
        <f>$H$551*$AD$551</f>
        <v>31.84</v>
      </c>
      <c r="AY551">
        <f>$H$551*$AE$551</f>
        <v>31.84</v>
      </c>
      <c r="AZ551">
        <f>$H$551*$AF$551</f>
        <v>31.84</v>
      </c>
    </row>
    <row r="552" spans="1:52" x14ac:dyDescent="0.25">
      <c r="A552">
        <v>603</v>
      </c>
      <c r="B552" t="s">
        <v>7</v>
      </c>
      <c r="C552" t="s">
        <v>439</v>
      </c>
      <c r="D552">
        <v>1</v>
      </c>
      <c r="E552">
        <v>576.30999999999995</v>
      </c>
      <c r="F552" t="s">
        <v>317</v>
      </c>
      <c r="G552">
        <v>576.30999999999995</v>
      </c>
      <c r="H552">
        <v>691.57</v>
      </c>
      <c r="I552" t="s">
        <v>336</v>
      </c>
      <c r="J552" t="s">
        <v>440</v>
      </c>
      <c r="K552" t="s">
        <v>598</v>
      </c>
      <c r="L552" t="s">
        <v>178</v>
      </c>
      <c r="M552" t="s">
        <v>7</v>
      </c>
      <c r="N552" t="s">
        <v>12</v>
      </c>
      <c r="O552" t="s">
        <v>7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1</v>
      </c>
      <c r="AB552">
        <v>1</v>
      </c>
      <c r="AC552">
        <v>1</v>
      </c>
      <c r="AD552">
        <v>1</v>
      </c>
      <c r="AE552">
        <v>1</v>
      </c>
      <c r="AF552">
        <v>1</v>
      </c>
      <c r="AG552" t="s">
        <v>7</v>
      </c>
      <c r="AH552" t="s">
        <v>12</v>
      </c>
      <c r="AI552" t="s">
        <v>7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0</v>
      </c>
      <c r="AN552">
        <f>$H$552*$T$552</f>
        <v>0</v>
      </c>
      <c r="AO552">
        <f>$H$552*$U$552</f>
        <v>0</v>
      </c>
      <c r="AP552">
        <f>$H$552*$V$552</f>
        <v>0</v>
      </c>
      <c r="AQ552">
        <f>$H$552*$W$552</f>
        <v>0</v>
      </c>
      <c r="AR552">
        <f>$H$552*$X$552</f>
        <v>0</v>
      </c>
      <c r="AS552">
        <f>$H$552*$Y$552</f>
        <v>0</v>
      </c>
      <c r="AT552">
        <f>$H$552*$Z$552</f>
        <v>0</v>
      </c>
      <c r="AU552">
        <f>$H$552*$AA$552</f>
        <v>691.57</v>
      </c>
      <c r="AV552">
        <f>$H$552*$AB$552</f>
        <v>691.57</v>
      </c>
      <c r="AW552">
        <f>$H$552*$AC$552</f>
        <v>691.57</v>
      </c>
      <c r="AX552">
        <f>$H$552*$AD$552</f>
        <v>691.57</v>
      </c>
      <c r="AY552">
        <f>$H$552*$AE$552</f>
        <v>691.57</v>
      </c>
      <c r="AZ552">
        <f>$H$552*$AF$552</f>
        <v>691.57</v>
      </c>
    </row>
    <row r="553" spans="1:52" x14ac:dyDescent="0.25">
      <c r="A553">
        <v>604</v>
      </c>
      <c r="B553" t="s">
        <v>7</v>
      </c>
      <c r="C553" t="s">
        <v>499</v>
      </c>
      <c r="D553">
        <v>1</v>
      </c>
      <c r="E553">
        <v>267.94</v>
      </c>
      <c r="F553" t="s">
        <v>317</v>
      </c>
      <c r="G553">
        <v>267.94</v>
      </c>
      <c r="H553">
        <v>321.52</v>
      </c>
      <c r="I553" t="s">
        <v>336</v>
      </c>
      <c r="J553" t="s">
        <v>500</v>
      </c>
      <c r="K553" t="s">
        <v>629</v>
      </c>
      <c r="L553" t="s">
        <v>178</v>
      </c>
      <c r="M553" t="s">
        <v>7</v>
      </c>
      <c r="N553" t="s">
        <v>12</v>
      </c>
      <c r="O553" t="s">
        <v>7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7</v>
      </c>
      <c r="AH553" t="s">
        <v>12</v>
      </c>
      <c r="AI553" t="s">
        <v>7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321.52</v>
      </c>
      <c r="AV553">
        <f>$H$553*$AB$553</f>
        <v>321.52</v>
      </c>
      <c r="AW553">
        <f>$H$553*$AC$553</f>
        <v>321.52</v>
      </c>
      <c r="AX553">
        <f>$H$553*$AD$553</f>
        <v>321.52</v>
      </c>
      <c r="AY553">
        <f>$H$553*$AE$553</f>
        <v>321.52</v>
      </c>
      <c r="AZ553">
        <f>$H$553*$AF$553</f>
        <v>321.52</v>
      </c>
    </row>
    <row r="554" spans="1:52" x14ac:dyDescent="0.25">
      <c r="A554">
        <v>605</v>
      </c>
      <c r="B554" t="s">
        <v>7</v>
      </c>
      <c r="C554" t="s">
        <v>501</v>
      </c>
      <c r="D554">
        <v>1</v>
      </c>
      <c r="E554">
        <v>403.31</v>
      </c>
      <c r="F554" t="s">
        <v>317</v>
      </c>
      <c r="G554">
        <v>403.31</v>
      </c>
      <c r="H554">
        <v>483.97</v>
      </c>
      <c r="I554" t="s">
        <v>336</v>
      </c>
      <c r="J554" t="s">
        <v>502</v>
      </c>
      <c r="K554" t="s">
        <v>630</v>
      </c>
      <c r="L554" t="s">
        <v>178</v>
      </c>
      <c r="M554" t="s">
        <v>7</v>
      </c>
      <c r="N554" t="s">
        <v>12</v>
      </c>
      <c r="O554" t="s">
        <v>7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7</v>
      </c>
      <c r="AH554" t="s">
        <v>12</v>
      </c>
      <c r="AI554" t="s">
        <v>7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483.97</v>
      </c>
      <c r="AV554">
        <f>$H$554*$AB$554</f>
        <v>483.97</v>
      </c>
      <c r="AW554">
        <f>$H$554*$AC$554</f>
        <v>483.97</v>
      </c>
      <c r="AX554">
        <f>$H$554*$AD$554</f>
        <v>483.97</v>
      </c>
      <c r="AY554">
        <f>$H$554*$AE$554</f>
        <v>483.97</v>
      </c>
      <c r="AZ554">
        <f>$H$554*$AF$554</f>
        <v>483.97</v>
      </c>
    </row>
    <row r="555" spans="1:52" x14ac:dyDescent="0.25">
      <c r="A555">
        <v>606</v>
      </c>
      <c r="B555" t="s">
        <v>7</v>
      </c>
      <c r="C555" t="s">
        <v>321</v>
      </c>
      <c r="D555">
        <v>1</v>
      </c>
      <c r="E555">
        <v>115.87</v>
      </c>
      <c r="F555" t="s">
        <v>317</v>
      </c>
      <c r="G555">
        <v>115.87</v>
      </c>
      <c r="H555">
        <v>139.05000000000001</v>
      </c>
      <c r="I555" t="s">
        <v>322</v>
      </c>
      <c r="J555" t="s">
        <v>323</v>
      </c>
      <c r="K555" t="s">
        <v>541</v>
      </c>
      <c r="L555" t="s">
        <v>178</v>
      </c>
      <c r="M555" t="s">
        <v>7</v>
      </c>
      <c r="N555" t="s">
        <v>12</v>
      </c>
      <c r="O555" t="s">
        <v>7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1</v>
      </c>
      <c r="AE555">
        <v>1</v>
      </c>
      <c r="AF555">
        <v>1</v>
      </c>
      <c r="AG555" t="s">
        <v>7</v>
      </c>
      <c r="AH555" t="s">
        <v>12</v>
      </c>
      <c r="AI555" t="s">
        <v>7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0</v>
      </c>
      <c r="AN555">
        <f>$H$555*$T$555</f>
        <v>0</v>
      </c>
      <c r="AO555">
        <f>$H$555*$U$555</f>
        <v>0</v>
      </c>
      <c r="AP555">
        <f>$H$555*$V$555</f>
        <v>0</v>
      </c>
      <c r="AQ555">
        <f>$H$555*$W$555</f>
        <v>0</v>
      </c>
      <c r="AR555">
        <f>$H$555*$X$555</f>
        <v>0</v>
      </c>
      <c r="AS555">
        <f>$H$555*$Y$555</f>
        <v>0</v>
      </c>
      <c r="AT555">
        <f>$H$555*$Z$555</f>
        <v>0</v>
      </c>
      <c r="AU555">
        <f>$H$555*$AA$555</f>
        <v>0</v>
      </c>
      <c r="AV555">
        <f>$H$555*$AB$555</f>
        <v>0</v>
      </c>
      <c r="AW555">
        <f>$H$555*$AC$555</f>
        <v>0</v>
      </c>
      <c r="AX555">
        <f>$H$555*$AD$555</f>
        <v>139.05000000000001</v>
      </c>
      <c r="AY555">
        <f>$H$555*$AE$555</f>
        <v>139.05000000000001</v>
      </c>
      <c r="AZ555">
        <f>$H$555*$AF$555</f>
        <v>139.05000000000001</v>
      </c>
    </row>
    <row r="556" spans="1:52" x14ac:dyDescent="0.25">
      <c r="A556">
        <v>607</v>
      </c>
      <c r="B556" t="s">
        <v>7</v>
      </c>
      <c r="C556" t="s">
        <v>503</v>
      </c>
      <c r="D556">
        <v>8</v>
      </c>
      <c r="E556">
        <v>1964.48</v>
      </c>
      <c r="F556" t="s">
        <v>311</v>
      </c>
      <c r="G556">
        <v>245.56</v>
      </c>
      <c r="H556">
        <v>2357.38</v>
      </c>
      <c r="I556" t="s">
        <v>459</v>
      </c>
      <c r="J556" t="s">
        <v>504</v>
      </c>
      <c r="K556" t="s">
        <v>631</v>
      </c>
      <c r="L556" t="s">
        <v>178</v>
      </c>
      <c r="M556" t="s">
        <v>7</v>
      </c>
      <c r="N556" t="s">
        <v>12</v>
      </c>
      <c r="O556" t="s">
        <v>7</v>
      </c>
      <c r="P556">
        <v>0</v>
      </c>
      <c r="Q556">
        <v>0</v>
      </c>
      <c r="R556">
        <v>0</v>
      </c>
      <c r="S556">
        <v>0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7</v>
      </c>
      <c r="AH556" t="s">
        <v>12</v>
      </c>
      <c r="AI556" t="s">
        <v>7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2357.38</v>
      </c>
      <c r="AO556">
        <f>$H$556*$U$556</f>
        <v>2357.38</v>
      </c>
      <c r="AP556">
        <f>$H$556*$V$556</f>
        <v>2357.38</v>
      </c>
      <c r="AQ556">
        <f>$H$556*$W$556</f>
        <v>2357.38</v>
      </c>
      <c r="AR556">
        <f>$H$556*$X$556</f>
        <v>2357.38</v>
      </c>
      <c r="AS556">
        <f>$H$556*$Y$556</f>
        <v>2357.38</v>
      </c>
      <c r="AT556">
        <f>$H$556*$Z$556</f>
        <v>2357.38</v>
      </c>
      <c r="AU556">
        <f>$H$556*$AA$556</f>
        <v>2357.38</v>
      </c>
      <c r="AV556">
        <f>$H$556*$AB$556</f>
        <v>2357.38</v>
      </c>
      <c r="AW556">
        <f>$H$556*$AC$556</f>
        <v>2357.38</v>
      </c>
      <c r="AX556">
        <f>$H$556*$AD$556</f>
        <v>2357.38</v>
      </c>
      <c r="AY556">
        <f>$H$556*$AE$556</f>
        <v>2357.38</v>
      </c>
      <c r="AZ556">
        <f>$H$556*$AF$556</f>
        <v>2357.38</v>
      </c>
    </row>
    <row r="557" spans="1:52" x14ac:dyDescent="0.25">
      <c r="A557">
        <v>608</v>
      </c>
      <c r="B557" t="s">
        <v>7</v>
      </c>
      <c r="C557" t="s">
        <v>505</v>
      </c>
      <c r="D557">
        <v>1</v>
      </c>
      <c r="E557">
        <v>65.8</v>
      </c>
      <c r="F557" t="s">
        <v>317</v>
      </c>
      <c r="G557">
        <v>65.8</v>
      </c>
      <c r="H557">
        <v>78.959999999999994</v>
      </c>
      <c r="I557" t="s">
        <v>506</v>
      </c>
      <c r="J557" t="s">
        <v>507</v>
      </c>
      <c r="K557" t="s">
        <v>632</v>
      </c>
      <c r="L557" t="s">
        <v>178</v>
      </c>
      <c r="M557" t="s">
        <v>7</v>
      </c>
      <c r="N557" t="s">
        <v>12</v>
      </c>
      <c r="O557" t="s">
        <v>7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7</v>
      </c>
      <c r="AH557" t="s">
        <v>12</v>
      </c>
      <c r="AI557" t="s">
        <v>7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0</v>
      </c>
      <c r="AN557">
        <f>$H$557*$T$557</f>
        <v>0</v>
      </c>
      <c r="AO557">
        <f>$H$557*$U$557</f>
        <v>0</v>
      </c>
      <c r="AP557">
        <f>$H$557*$V$557</f>
        <v>78.959999999999994</v>
      </c>
      <c r="AQ557">
        <f>$H$557*$W$557</f>
        <v>78.959999999999994</v>
      </c>
      <c r="AR557">
        <f>$H$557*$X$557</f>
        <v>78.959999999999994</v>
      </c>
      <c r="AS557">
        <f>$H$557*$Y$557</f>
        <v>78.959999999999994</v>
      </c>
      <c r="AT557">
        <f>$H$557*$Z$557</f>
        <v>78.959999999999994</v>
      </c>
      <c r="AU557">
        <f>$H$557*$AA$557</f>
        <v>78.959999999999994</v>
      </c>
      <c r="AV557">
        <f>$H$557*$AB$557</f>
        <v>78.959999999999994</v>
      </c>
      <c r="AW557">
        <f>$H$557*$AC$557</f>
        <v>78.959999999999994</v>
      </c>
      <c r="AX557">
        <f>$H$557*$AD$557</f>
        <v>78.959999999999994</v>
      </c>
      <c r="AY557">
        <f>$H$557*$AE$557</f>
        <v>78.959999999999994</v>
      </c>
      <c r="AZ557">
        <f>$H$557*$AF$557</f>
        <v>78.959999999999994</v>
      </c>
    </row>
    <row r="558" spans="1:52" x14ac:dyDescent="0.25">
      <c r="A558">
        <v>609</v>
      </c>
      <c r="B558" t="s">
        <v>7</v>
      </c>
      <c r="C558" t="s">
        <v>508</v>
      </c>
      <c r="D558">
        <v>34</v>
      </c>
      <c r="E558">
        <v>325.38</v>
      </c>
      <c r="F558" t="s">
        <v>317</v>
      </c>
      <c r="G558">
        <v>9.57</v>
      </c>
      <c r="H558">
        <v>390.46</v>
      </c>
      <c r="I558" t="s">
        <v>459</v>
      </c>
      <c r="J558" t="s">
        <v>509</v>
      </c>
      <c r="K558" t="s">
        <v>633</v>
      </c>
      <c r="L558" t="s">
        <v>178</v>
      </c>
      <c r="M558" t="s">
        <v>7</v>
      </c>
      <c r="N558" t="s">
        <v>12</v>
      </c>
      <c r="O558" t="s">
        <v>7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7</v>
      </c>
      <c r="AH558" t="s">
        <v>12</v>
      </c>
      <c r="AI558" t="s">
        <v>7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0</v>
      </c>
      <c r="AN558">
        <f>$H$558*$T$558</f>
        <v>0</v>
      </c>
      <c r="AO558">
        <f>$H$558*$U$558</f>
        <v>0</v>
      </c>
      <c r="AP558">
        <f>$H$558*$V$558</f>
        <v>0</v>
      </c>
      <c r="AQ558">
        <f>$H$558*$W$558</f>
        <v>0</v>
      </c>
      <c r="AR558">
        <f>$H$558*$X$558</f>
        <v>0</v>
      </c>
      <c r="AS558">
        <f>$H$558*$Y$558</f>
        <v>0</v>
      </c>
      <c r="AT558">
        <f>$H$558*$Z$558</f>
        <v>390.46</v>
      </c>
      <c r="AU558">
        <f>$H$558*$AA$558</f>
        <v>390.46</v>
      </c>
      <c r="AV558">
        <f>$H$558*$AB$558</f>
        <v>390.46</v>
      </c>
      <c r="AW558">
        <f>$H$558*$AC$558</f>
        <v>390.46</v>
      </c>
      <c r="AX558">
        <f>$H$558*$AD$558</f>
        <v>390.46</v>
      </c>
      <c r="AY558">
        <f>$H$558*$AE$558</f>
        <v>390.46</v>
      </c>
      <c r="AZ558">
        <f>$H$558*$AF$558</f>
        <v>390.46</v>
      </c>
    </row>
    <row r="559" spans="1:52" x14ac:dyDescent="0.25">
      <c r="A559">
        <v>610</v>
      </c>
      <c r="B559" t="s">
        <v>7</v>
      </c>
      <c r="C559" t="s">
        <v>510</v>
      </c>
      <c r="D559">
        <v>16</v>
      </c>
      <c r="E559">
        <v>3359.84</v>
      </c>
      <c r="F559" t="s">
        <v>311</v>
      </c>
      <c r="G559">
        <v>209.99</v>
      </c>
      <c r="H559">
        <v>4031.8</v>
      </c>
      <c r="I559" t="s">
        <v>459</v>
      </c>
      <c r="J559" t="s">
        <v>511</v>
      </c>
      <c r="K559" t="s">
        <v>634</v>
      </c>
      <c r="L559" t="s">
        <v>178</v>
      </c>
      <c r="M559" t="s">
        <v>7</v>
      </c>
      <c r="N559" t="s">
        <v>12</v>
      </c>
      <c r="O559" t="s">
        <v>7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7</v>
      </c>
      <c r="AH559" t="s">
        <v>12</v>
      </c>
      <c r="AI559" t="s">
        <v>7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0</v>
      </c>
      <c r="AN559">
        <f>$H$559*$T$559</f>
        <v>0</v>
      </c>
      <c r="AO559">
        <f>$H$559*$U$559</f>
        <v>0</v>
      </c>
      <c r="AP559">
        <f>$H$559*$V$559</f>
        <v>0</v>
      </c>
      <c r="AQ559">
        <f>$H$559*$W$559</f>
        <v>0</v>
      </c>
      <c r="AR559">
        <f>$H$559*$X$559</f>
        <v>0</v>
      </c>
      <c r="AS559">
        <f>$H$559*$Y$559</f>
        <v>0</v>
      </c>
      <c r="AT559">
        <f>$H$559*$Z$559</f>
        <v>0</v>
      </c>
      <c r="AU559">
        <f>$H$559*$AA$559</f>
        <v>0</v>
      </c>
      <c r="AV559">
        <f>$H$559*$AB$559</f>
        <v>4031.8</v>
      </c>
      <c r="AW559">
        <f>$H$559*$AC$559</f>
        <v>4031.8</v>
      </c>
      <c r="AX559">
        <f>$H$559*$AD$559</f>
        <v>4031.8</v>
      </c>
      <c r="AY559">
        <f>$H$559*$AE$559</f>
        <v>4031.8</v>
      </c>
      <c r="AZ559">
        <f>$H$559*$AF$559</f>
        <v>4031.8</v>
      </c>
    </row>
    <row r="560" spans="1:52" x14ac:dyDescent="0.25">
      <c r="A560">
        <v>611</v>
      </c>
      <c r="B560" t="s">
        <v>7</v>
      </c>
      <c r="C560" t="s">
        <v>512</v>
      </c>
      <c r="D560">
        <v>20</v>
      </c>
      <c r="E560">
        <v>5007.8</v>
      </c>
      <c r="F560" t="s">
        <v>311</v>
      </c>
      <c r="G560">
        <v>250.39</v>
      </c>
      <c r="H560">
        <v>6009.36</v>
      </c>
      <c r="I560" t="s">
        <v>459</v>
      </c>
      <c r="J560" t="s">
        <v>513</v>
      </c>
      <c r="K560" t="s">
        <v>635</v>
      </c>
      <c r="L560" t="s">
        <v>178</v>
      </c>
      <c r="M560" t="s">
        <v>7</v>
      </c>
      <c r="N560" t="s">
        <v>12</v>
      </c>
      <c r="O560" t="s">
        <v>7</v>
      </c>
      <c r="P560">
        <v>0</v>
      </c>
      <c r="Q560">
        <v>0</v>
      </c>
      <c r="R560">
        <v>0</v>
      </c>
      <c r="S560">
        <v>0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7</v>
      </c>
      <c r="AH560" t="s">
        <v>12</v>
      </c>
      <c r="AI560" t="s">
        <v>7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6009.36</v>
      </c>
      <c r="AO560">
        <f>$H$560*$U$560</f>
        <v>6009.36</v>
      </c>
      <c r="AP560">
        <f>$H$560*$V$560</f>
        <v>6009.36</v>
      </c>
      <c r="AQ560">
        <f>$H$560*$W$560</f>
        <v>6009.36</v>
      </c>
      <c r="AR560">
        <f>$H$560*$X$560</f>
        <v>6009.36</v>
      </c>
      <c r="AS560">
        <f>$H$560*$Y$560</f>
        <v>6009.36</v>
      </c>
      <c r="AT560">
        <f>$H$560*$Z$560</f>
        <v>6009.36</v>
      </c>
      <c r="AU560">
        <f>$H$560*$AA$560</f>
        <v>6009.36</v>
      </c>
      <c r="AV560">
        <f>$H$560*$AB$560</f>
        <v>6009.36</v>
      </c>
      <c r="AW560">
        <f>$H$560*$AC$560</f>
        <v>6009.36</v>
      </c>
      <c r="AX560">
        <f>$H$560*$AD$560</f>
        <v>6009.36</v>
      </c>
      <c r="AY560">
        <f>$H$560*$AE$560</f>
        <v>6009.36</v>
      </c>
      <c r="AZ560">
        <f>$H$560*$AF$560</f>
        <v>6009.36</v>
      </c>
    </row>
    <row r="561" spans="1:52" x14ac:dyDescent="0.25">
      <c r="A561">
        <v>612</v>
      </c>
      <c r="B561" t="s">
        <v>7</v>
      </c>
      <c r="C561" t="s">
        <v>514</v>
      </c>
      <c r="D561">
        <v>22</v>
      </c>
      <c r="E561">
        <v>1835.46</v>
      </c>
      <c r="F561" t="s">
        <v>311</v>
      </c>
      <c r="G561">
        <v>83.43</v>
      </c>
      <c r="H561">
        <v>2202.56</v>
      </c>
      <c r="I561" t="s">
        <v>459</v>
      </c>
      <c r="J561" t="s">
        <v>515</v>
      </c>
      <c r="K561" t="s">
        <v>636</v>
      </c>
      <c r="L561" t="s">
        <v>178</v>
      </c>
      <c r="M561" t="s">
        <v>7</v>
      </c>
      <c r="N561" t="s">
        <v>12</v>
      </c>
      <c r="O561" t="s">
        <v>7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7</v>
      </c>
      <c r="AH561" t="s">
        <v>12</v>
      </c>
      <c r="AI561" t="s">
        <v>7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0</v>
      </c>
      <c r="AS561">
        <f>$H$561*$Y$561</f>
        <v>0</v>
      </c>
      <c r="AT561">
        <f>$H$561*$Z$561</f>
        <v>2202.56</v>
      </c>
      <c r="AU561">
        <f>$H$561*$AA$561</f>
        <v>2202.56</v>
      </c>
      <c r="AV561">
        <f>$H$561*$AB$561</f>
        <v>2202.56</v>
      </c>
      <c r="AW561">
        <f>$H$561*$AC$561</f>
        <v>2202.56</v>
      </c>
      <c r="AX561">
        <f>$H$561*$AD$561</f>
        <v>2202.56</v>
      </c>
      <c r="AY561">
        <f>$H$561*$AE$561</f>
        <v>2202.56</v>
      </c>
      <c r="AZ561">
        <f>$H$561*$AF$561</f>
        <v>2202.56</v>
      </c>
    </row>
    <row r="562" spans="1:52" x14ac:dyDescent="0.25">
      <c r="A562">
        <v>613</v>
      </c>
      <c r="B562" t="s">
        <v>7</v>
      </c>
      <c r="C562" t="s">
        <v>516</v>
      </c>
      <c r="D562">
        <v>1</v>
      </c>
      <c r="E562">
        <v>520.01</v>
      </c>
      <c r="F562" t="s">
        <v>317</v>
      </c>
      <c r="G562">
        <v>520.01</v>
      </c>
      <c r="H562">
        <v>624.01</v>
      </c>
      <c r="I562" t="s">
        <v>506</v>
      </c>
      <c r="J562" t="s">
        <v>517</v>
      </c>
      <c r="K562" t="s">
        <v>637</v>
      </c>
      <c r="L562" t="s">
        <v>178</v>
      </c>
      <c r="M562" t="s">
        <v>7</v>
      </c>
      <c r="N562" t="s">
        <v>12</v>
      </c>
      <c r="O562" t="s">
        <v>7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</v>
      </c>
      <c r="AF562">
        <v>1</v>
      </c>
      <c r="AG562" t="s">
        <v>7</v>
      </c>
      <c r="AH562" t="s">
        <v>12</v>
      </c>
      <c r="AI562" t="s">
        <v>7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0</v>
      </c>
      <c r="AV562">
        <f>$H$562*$AB$562</f>
        <v>0</v>
      </c>
      <c r="AW562">
        <f>$H$562*$AC$562</f>
        <v>624.01</v>
      </c>
      <c r="AX562">
        <f>$H$562*$AD$562</f>
        <v>624.01</v>
      </c>
      <c r="AY562">
        <f>$H$562*$AE$562</f>
        <v>624.01</v>
      </c>
      <c r="AZ562">
        <f>$H$562*$AF$562</f>
        <v>624.01</v>
      </c>
    </row>
    <row r="563" spans="1:52" x14ac:dyDescent="0.25">
      <c r="A563">
        <v>614</v>
      </c>
      <c r="B563" t="s">
        <v>7</v>
      </c>
      <c r="C563" t="s">
        <v>518</v>
      </c>
      <c r="D563">
        <v>8</v>
      </c>
      <c r="E563">
        <v>478.16</v>
      </c>
      <c r="F563" t="s">
        <v>311</v>
      </c>
      <c r="G563">
        <v>59.77</v>
      </c>
      <c r="H563">
        <v>573.79999999999995</v>
      </c>
      <c r="I563" t="s">
        <v>459</v>
      </c>
      <c r="J563" t="s">
        <v>519</v>
      </c>
      <c r="K563" t="s">
        <v>638</v>
      </c>
      <c r="L563" t="s">
        <v>178</v>
      </c>
      <c r="M563" t="s">
        <v>7</v>
      </c>
      <c r="N563" t="s">
        <v>12</v>
      </c>
      <c r="O563" t="s">
        <v>7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7</v>
      </c>
      <c r="AH563" t="s">
        <v>12</v>
      </c>
      <c r="AI563" t="s">
        <v>7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573.79999999999995</v>
      </c>
      <c r="AU563">
        <f>$H$563*$AA$563</f>
        <v>573.79999999999995</v>
      </c>
      <c r="AV563">
        <f>$H$563*$AB$563</f>
        <v>573.79999999999995</v>
      </c>
      <c r="AW563">
        <f>$H$563*$AC$563</f>
        <v>573.79999999999995</v>
      </c>
      <c r="AX563">
        <f>$H$563*$AD$563</f>
        <v>573.79999999999995</v>
      </c>
      <c r="AY563">
        <f>$H$563*$AE$563</f>
        <v>573.79999999999995</v>
      </c>
      <c r="AZ563">
        <f>$H$563*$AF$563</f>
        <v>573.79999999999995</v>
      </c>
    </row>
    <row r="564" spans="1:52" x14ac:dyDescent="0.25">
      <c r="A564">
        <v>615</v>
      </c>
      <c r="B564" t="s">
        <v>7</v>
      </c>
      <c r="C564" t="s">
        <v>520</v>
      </c>
      <c r="D564">
        <v>1</v>
      </c>
      <c r="E564">
        <v>75.59</v>
      </c>
      <c r="F564" t="s">
        <v>317</v>
      </c>
      <c r="G564">
        <v>75.59</v>
      </c>
      <c r="H564">
        <v>90.71</v>
      </c>
      <c r="I564" t="s">
        <v>319</v>
      </c>
      <c r="J564" t="s">
        <v>521</v>
      </c>
      <c r="K564" t="s">
        <v>639</v>
      </c>
      <c r="L564" t="s">
        <v>178</v>
      </c>
      <c r="M564" t="s">
        <v>7</v>
      </c>
      <c r="N564" t="s">
        <v>12</v>
      </c>
      <c r="O564" t="s">
        <v>7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0.6</v>
      </c>
      <c r="Y564">
        <v>0.6</v>
      </c>
      <c r="Z564">
        <v>0.6</v>
      </c>
      <c r="AA564">
        <v>0.6</v>
      </c>
      <c r="AB564">
        <v>0.6</v>
      </c>
      <c r="AC564">
        <v>0.6</v>
      </c>
      <c r="AD564">
        <v>1</v>
      </c>
      <c r="AE564">
        <v>1</v>
      </c>
      <c r="AF564">
        <v>1</v>
      </c>
      <c r="AG564" t="s">
        <v>7</v>
      </c>
      <c r="AH564" t="s">
        <v>12</v>
      </c>
      <c r="AI564" t="s">
        <v>7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0</v>
      </c>
      <c r="AO564">
        <f>$H$564*$U$564</f>
        <v>0</v>
      </c>
      <c r="AP564">
        <f>$H$564*$V$564</f>
        <v>0</v>
      </c>
      <c r="AQ564">
        <f>$H$564*$W$564</f>
        <v>0</v>
      </c>
      <c r="AR564">
        <f>$H$564*$X$564</f>
        <v>54.425999999999995</v>
      </c>
      <c r="AS564">
        <f>$H$564*$Y$564</f>
        <v>54.425999999999995</v>
      </c>
      <c r="AT564">
        <f>$H$564*$Z$564</f>
        <v>54.425999999999995</v>
      </c>
      <c r="AU564">
        <f>$H$564*$AA$564</f>
        <v>54.425999999999995</v>
      </c>
      <c r="AV564">
        <f>$H$564*$AB$564</f>
        <v>54.425999999999995</v>
      </c>
      <c r="AW564">
        <f>$H$564*$AC$564</f>
        <v>54.425999999999995</v>
      </c>
      <c r="AX564">
        <f>$H$564*$AD$564</f>
        <v>90.71</v>
      </c>
      <c r="AY564">
        <f>$H$564*$AE$564</f>
        <v>90.71</v>
      </c>
      <c r="AZ564">
        <f>$H$564*$AF$564</f>
        <v>90.71</v>
      </c>
    </row>
    <row r="565" spans="1:52" x14ac:dyDescent="0.25">
      <c r="A565">
        <v>616</v>
      </c>
      <c r="B565" t="s">
        <v>7</v>
      </c>
      <c r="C565" t="s">
        <v>520</v>
      </c>
      <c r="D565">
        <v>1</v>
      </c>
      <c r="E565">
        <v>75.59</v>
      </c>
      <c r="F565" t="s">
        <v>317</v>
      </c>
      <c r="G565">
        <v>75.59</v>
      </c>
      <c r="H565">
        <v>90.71</v>
      </c>
      <c r="I565" t="s">
        <v>319</v>
      </c>
      <c r="J565" t="s">
        <v>521</v>
      </c>
      <c r="K565" t="s">
        <v>639</v>
      </c>
      <c r="L565" t="s">
        <v>178</v>
      </c>
      <c r="M565" t="s">
        <v>7</v>
      </c>
      <c r="N565" t="s">
        <v>12</v>
      </c>
      <c r="O565" t="s">
        <v>7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0.6</v>
      </c>
      <c r="Y565">
        <v>0.6</v>
      </c>
      <c r="Z565">
        <v>0.6</v>
      </c>
      <c r="AA565">
        <v>0.6</v>
      </c>
      <c r="AB565">
        <v>0.6</v>
      </c>
      <c r="AC565">
        <v>0.6</v>
      </c>
      <c r="AD565">
        <v>1</v>
      </c>
      <c r="AE565">
        <v>1</v>
      </c>
      <c r="AF565">
        <v>1</v>
      </c>
      <c r="AG565" t="s">
        <v>7</v>
      </c>
      <c r="AH565" t="s">
        <v>12</v>
      </c>
      <c r="AI565" t="s">
        <v>7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54.425999999999995</v>
      </c>
      <c r="AS565">
        <f>$H$565*$Y$565</f>
        <v>54.425999999999995</v>
      </c>
      <c r="AT565">
        <f>$H$565*$Z$565</f>
        <v>54.425999999999995</v>
      </c>
      <c r="AU565">
        <f>$H$565*$AA$565</f>
        <v>54.425999999999995</v>
      </c>
      <c r="AV565">
        <f>$H$565*$AB$565</f>
        <v>54.425999999999995</v>
      </c>
      <c r="AW565">
        <f>$H$565*$AC$565</f>
        <v>54.425999999999995</v>
      </c>
      <c r="AX565">
        <f>$H$565*$AD$565</f>
        <v>90.71</v>
      </c>
      <c r="AY565">
        <f>$H$565*$AE$565</f>
        <v>90.71</v>
      </c>
      <c r="AZ565">
        <f>$H$565*$AF$565</f>
        <v>90.71</v>
      </c>
    </row>
    <row r="566" spans="1:52" x14ac:dyDescent="0.25">
      <c r="A566">
        <v>617</v>
      </c>
      <c r="B566" t="s">
        <v>7</v>
      </c>
      <c r="C566" t="s">
        <v>522</v>
      </c>
      <c r="D566">
        <v>1</v>
      </c>
      <c r="E566">
        <v>212.95</v>
      </c>
      <c r="F566" t="s">
        <v>317</v>
      </c>
      <c r="G566">
        <v>212.95</v>
      </c>
      <c r="H566">
        <v>255.55</v>
      </c>
      <c r="I566" t="s">
        <v>319</v>
      </c>
      <c r="J566" t="s">
        <v>523</v>
      </c>
      <c r="K566" t="s">
        <v>640</v>
      </c>
      <c r="L566" t="s">
        <v>178</v>
      </c>
      <c r="M566" t="s">
        <v>7</v>
      </c>
      <c r="N566" t="s">
        <v>12</v>
      </c>
      <c r="O566" t="s">
        <v>7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7</v>
      </c>
      <c r="AH566" t="s">
        <v>12</v>
      </c>
      <c r="AI566" t="s">
        <v>7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0</v>
      </c>
      <c r="AO566">
        <f>$H$566*$U$566</f>
        <v>0</v>
      </c>
      <c r="AP566">
        <f>$H$566*$V$566</f>
        <v>255.55</v>
      </c>
      <c r="AQ566">
        <f>$H$566*$W$566</f>
        <v>255.55</v>
      </c>
      <c r="AR566">
        <f>$H$566*$X$566</f>
        <v>255.55</v>
      </c>
      <c r="AS566">
        <f>$H$566*$Y$566</f>
        <v>255.55</v>
      </c>
      <c r="AT566">
        <f>$H$566*$Z$566</f>
        <v>255.55</v>
      </c>
      <c r="AU566">
        <f>$H$566*$AA$566</f>
        <v>255.55</v>
      </c>
      <c r="AV566">
        <f>$H$566*$AB$566</f>
        <v>255.55</v>
      </c>
      <c r="AW566">
        <f>$H$566*$AC$566</f>
        <v>255.55</v>
      </c>
      <c r="AX566">
        <f>$H$566*$AD$566</f>
        <v>255.55</v>
      </c>
      <c r="AY566">
        <f>$H$566*$AE$566</f>
        <v>255.55</v>
      </c>
      <c r="AZ566">
        <f>$H$566*$AF$566</f>
        <v>255.55</v>
      </c>
    </row>
    <row r="567" spans="1:52" x14ac:dyDescent="0.25">
      <c r="A567">
        <v>618</v>
      </c>
      <c r="B567" t="s">
        <v>7</v>
      </c>
      <c r="C567" t="s">
        <v>522</v>
      </c>
      <c r="D567">
        <v>1</v>
      </c>
      <c r="E567">
        <v>212.95</v>
      </c>
      <c r="F567" t="s">
        <v>317</v>
      </c>
      <c r="G567">
        <v>212.95</v>
      </c>
      <c r="H567">
        <v>255.55</v>
      </c>
      <c r="I567" t="s">
        <v>319</v>
      </c>
      <c r="J567" t="s">
        <v>523</v>
      </c>
      <c r="K567" t="s">
        <v>640</v>
      </c>
      <c r="L567" t="s">
        <v>178</v>
      </c>
      <c r="M567" t="s">
        <v>7</v>
      </c>
      <c r="N567" t="s">
        <v>12</v>
      </c>
      <c r="O567" t="s">
        <v>7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7</v>
      </c>
      <c r="AH567" t="s">
        <v>12</v>
      </c>
      <c r="AI567" t="s">
        <v>7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0</v>
      </c>
      <c r="AN567">
        <f>$H$567*$T$567</f>
        <v>0</v>
      </c>
      <c r="AO567">
        <f>$H$567*$U$567</f>
        <v>0</v>
      </c>
      <c r="AP567">
        <f>$H$567*$V$567</f>
        <v>255.55</v>
      </c>
      <c r="AQ567">
        <f>$H$567*$W$567</f>
        <v>255.55</v>
      </c>
      <c r="AR567">
        <f>$H$567*$X$567</f>
        <v>255.55</v>
      </c>
      <c r="AS567">
        <f>$H$567*$Y$567</f>
        <v>255.55</v>
      </c>
      <c r="AT567">
        <f>$H$567*$Z$567</f>
        <v>255.55</v>
      </c>
      <c r="AU567">
        <f>$H$567*$AA$567</f>
        <v>255.55</v>
      </c>
      <c r="AV567">
        <f>$H$567*$AB$567</f>
        <v>255.55</v>
      </c>
      <c r="AW567">
        <f>$H$567*$AC$567</f>
        <v>255.55</v>
      </c>
      <c r="AX567">
        <f>$H$567*$AD$567</f>
        <v>255.55</v>
      </c>
      <c r="AY567">
        <f>$H$567*$AE$567</f>
        <v>255.55</v>
      </c>
      <c r="AZ567">
        <f>$H$567*$AF$567</f>
        <v>255.55</v>
      </c>
    </row>
    <row r="568" spans="1:52" x14ac:dyDescent="0.25">
      <c r="A568">
        <v>619</v>
      </c>
      <c r="B568" t="s">
        <v>7</v>
      </c>
      <c r="C568" t="s">
        <v>524</v>
      </c>
      <c r="D568">
        <v>1</v>
      </c>
      <c r="E568">
        <v>831.62</v>
      </c>
      <c r="F568" t="s">
        <v>317</v>
      </c>
      <c r="G568">
        <v>831.62</v>
      </c>
      <c r="H568">
        <v>997.94</v>
      </c>
      <c r="I568" t="s">
        <v>506</v>
      </c>
      <c r="J568" t="s">
        <v>525</v>
      </c>
      <c r="K568" t="s">
        <v>641</v>
      </c>
      <c r="L568" t="s">
        <v>178</v>
      </c>
      <c r="M568" t="s">
        <v>7</v>
      </c>
      <c r="N568" t="s">
        <v>12</v>
      </c>
      <c r="O568" t="s">
        <v>7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7</v>
      </c>
      <c r="AH568" t="s">
        <v>12</v>
      </c>
      <c r="AI568" t="s">
        <v>7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0</v>
      </c>
      <c r="AN568">
        <f>$H$568*$T$568</f>
        <v>0</v>
      </c>
      <c r="AO568">
        <f>$H$568*$U$568</f>
        <v>0</v>
      </c>
      <c r="AP568">
        <f>$H$568*$V$568</f>
        <v>0</v>
      </c>
      <c r="AQ568">
        <f>$H$568*$W$568</f>
        <v>0</v>
      </c>
      <c r="AR568">
        <f>$H$568*$X$568</f>
        <v>0</v>
      </c>
      <c r="AS568">
        <f>$H$568*$Y$568</f>
        <v>0</v>
      </c>
      <c r="AT568">
        <f>$H$568*$Z$568</f>
        <v>997.94</v>
      </c>
      <c r="AU568">
        <f>$H$568*$AA$568</f>
        <v>997.94</v>
      </c>
      <c r="AV568">
        <f>$H$568*$AB$568</f>
        <v>997.94</v>
      </c>
      <c r="AW568">
        <f>$H$568*$AC$568</f>
        <v>997.94</v>
      </c>
      <c r="AX568">
        <f>$H$568*$AD$568</f>
        <v>997.94</v>
      </c>
      <c r="AY568">
        <f>$H$568*$AE$568</f>
        <v>997.94</v>
      </c>
      <c r="AZ568">
        <f>$H$568*$AF$568</f>
        <v>997.94</v>
      </c>
    </row>
    <row r="569" spans="1:52" x14ac:dyDescent="0.25">
      <c r="A569">
        <v>620</v>
      </c>
      <c r="B569" t="s">
        <v>7</v>
      </c>
      <c r="C569" t="s">
        <v>526</v>
      </c>
      <c r="D569">
        <v>1</v>
      </c>
      <c r="E569">
        <v>1089.48</v>
      </c>
      <c r="F569" t="s">
        <v>317</v>
      </c>
      <c r="G569">
        <v>1089.48</v>
      </c>
      <c r="H569">
        <v>1307.3800000000001</v>
      </c>
      <c r="I569" t="s">
        <v>506</v>
      </c>
      <c r="J569" t="s">
        <v>527</v>
      </c>
      <c r="K569" t="s">
        <v>642</v>
      </c>
      <c r="L569" t="s">
        <v>178</v>
      </c>
      <c r="M569" t="s">
        <v>7</v>
      </c>
      <c r="N569" t="s">
        <v>12</v>
      </c>
      <c r="O569" t="s">
        <v>7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7</v>
      </c>
      <c r="AH569" t="s">
        <v>12</v>
      </c>
      <c r="AI569" t="s">
        <v>7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1307.3800000000001</v>
      </c>
      <c r="AQ569">
        <f>$H$569*$W$569</f>
        <v>1307.3800000000001</v>
      </c>
      <c r="AR569">
        <f>$H$569*$X$569</f>
        <v>1307.3800000000001</v>
      </c>
      <c r="AS569">
        <f>$H$569*$Y$569</f>
        <v>1307.3800000000001</v>
      </c>
      <c r="AT569">
        <f>$H$569*$Z$569</f>
        <v>1307.3800000000001</v>
      </c>
      <c r="AU569">
        <f>$H$569*$AA$569</f>
        <v>1307.3800000000001</v>
      </c>
      <c r="AV569">
        <f>$H$569*$AB$569</f>
        <v>1307.3800000000001</v>
      </c>
      <c r="AW569">
        <f>$H$569*$AC$569</f>
        <v>1307.3800000000001</v>
      </c>
      <c r="AX569">
        <f>$H$569*$AD$569</f>
        <v>1307.3800000000001</v>
      </c>
      <c r="AY569">
        <f>$H$569*$AE$569</f>
        <v>1307.3800000000001</v>
      </c>
      <c r="AZ569">
        <f>$H$569*$AF$569</f>
        <v>1307.3800000000001</v>
      </c>
    </row>
    <row r="570" spans="1:52" x14ac:dyDescent="0.25">
      <c r="A570">
        <v>621</v>
      </c>
      <c r="B570" t="s">
        <v>7</v>
      </c>
      <c r="C570" t="s">
        <v>528</v>
      </c>
      <c r="D570">
        <v>1</v>
      </c>
      <c r="E570">
        <v>1690.61</v>
      </c>
      <c r="F570" t="s">
        <v>317</v>
      </c>
      <c r="G570">
        <v>1690.61</v>
      </c>
      <c r="H570">
        <v>2028.73</v>
      </c>
      <c r="I570" t="s">
        <v>506</v>
      </c>
      <c r="J570" t="s">
        <v>529</v>
      </c>
      <c r="K570" t="s">
        <v>643</v>
      </c>
      <c r="L570" t="s">
        <v>178</v>
      </c>
      <c r="M570" t="s">
        <v>7</v>
      </c>
      <c r="N570" t="s">
        <v>12</v>
      </c>
      <c r="O570" t="s">
        <v>7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7</v>
      </c>
      <c r="AH570" t="s">
        <v>12</v>
      </c>
      <c r="AI570" t="s">
        <v>7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0</v>
      </c>
      <c r="AN570">
        <f>$H$570*$T$570</f>
        <v>0</v>
      </c>
      <c r="AO570">
        <f>$H$570*$U$570</f>
        <v>0</v>
      </c>
      <c r="AP570">
        <f>$H$570*$V$570</f>
        <v>0</v>
      </c>
      <c r="AQ570">
        <f>$H$570*$W$570</f>
        <v>0</v>
      </c>
      <c r="AR570">
        <f>$H$570*$X$570</f>
        <v>0</v>
      </c>
      <c r="AS570">
        <f>$H$570*$Y$570</f>
        <v>0</v>
      </c>
      <c r="AT570">
        <f>$H$570*$Z$570</f>
        <v>2028.73</v>
      </c>
      <c r="AU570">
        <f>$H$570*$AA$570</f>
        <v>2028.73</v>
      </c>
      <c r="AV570">
        <f>$H$570*$AB$570</f>
        <v>2028.73</v>
      </c>
      <c r="AW570">
        <f>$H$570*$AC$570</f>
        <v>2028.73</v>
      </c>
      <c r="AX570">
        <f>$H$570*$AD$570</f>
        <v>2028.73</v>
      </c>
      <c r="AY570">
        <f>$H$570*$AE$570</f>
        <v>2028.73</v>
      </c>
      <c r="AZ570">
        <f>$H$570*$AF$570</f>
        <v>2028.73</v>
      </c>
    </row>
    <row r="571" spans="1:52" x14ac:dyDescent="0.25">
      <c r="A571">
        <v>622</v>
      </c>
      <c r="B571" t="s">
        <v>7</v>
      </c>
      <c r="C571" t="s">
        <v>530</v>
      </c>
      <c r="D571">
        <v>1</v>
      </c>
      <c r="E571">
        <v>992.15</v>
      </c>
      <c r="F571" t="s">
        <v>317</v>
      </c>
      <c r="G571">
        <v>992.15</v>
      </c>
      <c r="H571">
        <v>1190.5899999999999</v>
      </c>
      <c r="I571" t="s">
        <v>506</v>
      </c>
      <c r="J571" t="s">
        <v>531</v>
      </c>
      <c r="K571" t="s">
        <v>644</v>
      </c>
      <c r="L571" t="s">
        <v>178</v>
      </c>
      <c r="M571" t="s">
        <v>7</v>
      </c>
      <c r="N571" t="s">
        <v>12</v>
      </c>
      <c r="O571" t="s">
        <v>7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7</v>
      </c>
      <c r="AH571" t="s">
        <v>12</v>
      </c>
      <c r="AI571" t="s">
        <v>7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0</v>
      </c>
      <c r="AN571">
        <f>$H$571*$T$571</f>
        <v>0</v>
      </c>
      <c r="AO571">
        <f>$H$571*$U$571</f>
        <v>0</v>
      </c>
      <c r="AP571">
        <f>$H$571*$V$571</f>
        <v>1190.5899999999999</v>
      </c>
      <c r="AQ571">
        <f>$H$571*$W$571</f>
        <v>1190.5899999999999</v>
      </c>
      <c r="AR571">
        <f>$H$571*$X$571</f>
        <v>1190.5899999999999</v>
      </c>
      <c r="AS571">
        <f>$H$571*$Y$571</f>
        <v>1190.5899999999999</v>
      </c>
      <c r="AT571">
        <f>$H$571*$Z$571</f>
        <v>1190.5899999999999</v>
      </c>
      <c r="AU571">
        <f>$H$571*$AA$571</f>
        <v>1190.5899999999999</v>
      </c>
      <c r="AV571">
        <f>$H$571*$AB$571</f>
        <v>1190.5899999999999</v>
      </c>
      <c r="AW571">
        <f>$H$571*$AC$571</f>
        <v>1190.5899999999999</v>
      </c>
      <c r="AX571">
        <f>$H$571*$AD$571</f>
        <v>1190.5899999999999</v>
      </c>
      <c r="AY571">
        <f>$H$571*$AE$571</f>
        <v>1190.5899999999999</v>
      </c>
      <c r="AZ571">
        <f>$H$571*$AF$571</f>
        <v>1190.5899999999999</v>
      </c>
    </row>
    <row r="572" spans="1:52" x14ac:dyDescent="0.25">
      <c r="A572">
        <v>623</v>
      </c>
      <c r="B572" t="s">
        <v>7</v>
      </c>
      <c r="C572" t="s">
        <v>345</v>
      </c>
      <c r="D572">
        <v>412</v>
      </c>
      <c r="E572">
        <v>403.76</v>
      </c>
      <c r="F572" t="s">
        <v>335</v>
      </c>
      <c r="G572">
        <v>0.98</v>
      </c>
      <c r="H572">
        <v>484.52</v>
      </c>
      <c r="I572" t="s">
        <v>312</v>
      </c>
      <c r="J572" t="s">
        <v>346</v>
      </c>
      <c r="K572" t="s">
        <v>552</v>
      </c>
      <c r="L572" t="s">
        <v>178</v>
      </c>
      <c r="M572" t="s">
        <v>7</v>
      </c>
      <c r="N572" t="s">
        <v>12</v>
      </c>
      <c r="O572" t="s">
        <v>7</v>
      </c>
      <c r="P572">
        <v>0</v>
      </c>
      <c r="Q572">
        <v>0</v>
      </c>
      <c r="R572">
        <v>0</v>
      </c>
      <c r="S572">
        <v>0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7</v>
      </c>
      <c r="AH572" t="s">
        <v>12</v>
      </c>
      <c r="AI572" t="s">
        <v>7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484.52</v>
      </c>
      <c r="AO572">
        <f>$H$572*$U$572</f>
        <v>484.52</v>
      </c>
      <c r="AP572">
        <f>$H$572*$V$572</f>
        <v>484.52</v>
      </c>
      <c r="AQ572">
        <f>$H$572*$W$572</f>
        <v>484.52</v>
      </c>
      <c r="AR572">
        <f>$H$572*$X$572</f>
        <v>484.52</v>
      </c>
      <c r="AS572">
        <f>$H$572*$Y$572</f>
        <v>484.52</v>
      </c>
      <c r="AT572">
        <f>$H$572*$Z$572</f>
        <v>484.52</v>
      </c>
      <c r="AU572">
        <f>$H$572*$AA$572</f>
        <v>484.52</v>
      </c>
      <c r="AV572">
        <f>$H$572*$AB$572</f>
        <v>484.52</v>
      </c>
      <c r="AW572">
        <f>$H$572*$AC$572</f>
        <v>484.52</v>
      </c>
      <c r="AX572">
        <f>$H$572*$AD$572</f>
        <v>484.52</v>
      </c>
      <c r="AY572">
        <f>$H$572*$AE$572</f>
        <v>484.52</v>
      </c>
      <c r="AZ572">
        <f>$H$572*$AF$572</f>
        <v>484.52</v>
      </c>
    </row>
    <row r="573" spans="1:52" x14ac:dyDescent="0.25">
      <c r="A573">
        <v>624</v>
      </c>
      <c r="B573" t="s">
        <v>7</v>
      </c>
      <c r="C573" t="s">
        <v>400</v>
      </c>
      <c r="D573">
        <v>412</v>
      </c>
      <c r="E573">
        <v>1384.32</v>
      </c>
      <c r="F573" t="s">
        <v>335</v>
      </c>
      <c r="G573">
        <v>3.36</v>
      </c>
      <c r="H573">
        <v>1661.18</v>
      </c>
      <c r="I573" t="s">
        <v>348</v>
      </c>
      <c r="J573" t="s">
        <v>401</v>
      </c>
      <c r="K573" t="s">
        <v>579</v>
      </c>
      <c r="L573" t="s">
        <v>178</v>
      </c>
      <c r="M573" t="s">
        <v>7</v>
      </c>
      <c r="N573" t="s">
        <v>12</v>
      </c>
      <c r="O573" t="s">
        <v>7</v>
      </c>
      <c r="P573">
        <v>0</v>
      </c>
      <c r="Q573">
        <v>0</v>
      </c>
      <c r="R573">
        <v>0</v>
      </c>
      <c r="S573">
        <v>0.25</v>
      </c>
      <c r="T573">
        <v>0.25</v>
      </c>
      <c r="U573">
        <v>0.25</v>
      </c>
      <c r="V573">
        <v>0.25</v>
      </c>
      <c r="W573">
        <v>0.5</v>
      </c>
      <c r="X573">
        <v>0.5</v>
      </c>
      <c r="Y573">
        <v>0.5</v>
      </c>
      <c r="Z573">
        <v>0.5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7</v>
      </c>
      <c r="AH573" t="s">
        <v>12</v>
      </c>
      <c r="AI573" t="s">
        <v>7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415.29500000000002</v>
      </c>
      <c r="AN573">
        <f>$H$573*$T$573</f>
        <v>415.29500000000002</v>
      </c>
      <c r="AO573">
        <f>$H$573*$U$573</f>
        <v>415.29500000000002</v>
      </c>
      <c r="AP573">
        <f>$H$573*$V$573</f>
        <v>415.29500000000002</v>
      </c>
      <c r="AQ573">
        <f>$H$573*$W$573</f>
        <v>830.59</v>
      </c>
      <c r="AR573">
        <f>$H$573*$X$573</f>
        <v>830.59</v>
      </c>
      <c r="AS573">
        <f>$H$573*$Y$573</f>
        <v>830.59</v>
      </c>
      <c r="AT573">
        <f>$H$573*$Z$573</f>
        <v>830.59</v>
      </c>
      <c r="AU573">
        <f>$H$573*$AA$573</f>
        <v>1661.18</v>
      </c>
      <c r="AV573">
        <f>$H$573*$AB$573</f>
        <v>1661.18</v>
      </c>
      <c r="AW573">
        <f>$H$573*$AC$573</f>
        <v>1661.18</v>
      </c>
      <c r="AX573">
        <f>$H$573*$AD$573</f>
        <v>1661.18</v>
      </c>
      <c r="AY573">
        <f>$H$573*$AE$573</f>
        <v>1661.18</v>
      </c>
      <c r="AZ573">
        <f>$H$573*$AF$573</f>
        <v>1661.18</v>
      </c>
    </row>
    <row r="574" spans="1:52" x14ac:dyDescent="0.25">
      <c r="A574">
        <v>625</v>
      </c>
      <c r="B574" t="s">
        <v>7</v>
      </c>
      <c r="C574" t="s">
        <v>402</v>
      </c>
      <c r="D574">
        <v>51.5</v>
      </c>
      <c r="E574">
        <v>77.77</v>
      </c>
      <c r="F574" t="s">
        <v>311</v>
      </c>
      <c r="G574">
        <v>1.51</v>
      </c>
      <c r="H574">
        <v>93.33</v>
      </c>
      <c r="I574" t="s">
        <v>312</v>
      </c>
      <c r="J574" t="s">
        <v>403</v>
      </c>
      <c r="K574" t="s">
        <v>580</v>
      </c>
      <c r="L574" t="s">
        <v>178</v>
      </c>
      <c r="M574" t="s">
        <v>7</v>
      </c>
      <c r="N574" t="s">
        <v>12</v>
      </c>
      <c r="O574" t="s">
        <v>7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7</v>
      </c>
      <c r="AH574" t="s">
        <v>12</v>
      </c>
      <c r="AI574" t="s">
        <v>7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93.33</v>
      </c>
      <c r="AN574">
        <f>$H$574*$T$574</f>
        <v>93.33</v>
      </c>
      <c r="AO574">
        <f>$H$574*$U$574</f>
        <v>93.33</v>
      </c>
      <c r="AP574">
        <f>$H$574*$V$574</f>
        <v>93.33</v>
      </c>
      <c r="AQ574">
        <f>$H$574*$W$574</f>
        <v>93.33</v>
      </c>
      <c r="AR574">
        <f>$H$574*$X$574</f>
        <v>93.33</v>
      </c>
      <c r="AS574">
        <f>$H$574*$Y$574</f>
        <v>93.33</v>
      </c>
      <c r="AT574">
        <f>$H$574*$Z$574</f>
        <v>93.33</v>
      </c>
      <c r="AU574">
        <f>$H$574*$AA$574</f>
        <v>93.33</v>
      </c>
      <c r="AV574">
        <f>$H$574*$AB$574</f>
        <v>93.33</v>
      </c>
      <c r="AW574">
        <f>$H$574*$AC$574</f>
        <v>93.33</v>
      </c>
      <c r="AX574">
        <f>$H$574*$AD$574</f>
        <v>93.33</v>
      </c>
      <c r="AY574">
        <f>$H$574*$AE$574</f>
        <v>93.33</v>
      </c>
      <c r="AZ574">
        <f>$H$574*$AF$574</f>
        <v>93.33</v>
      </c>
    </row>
    <row r="575" spans="1:52" x14ac:dyDescent="0.25">
      <c r="A575">
        <v>626</v>
      </c>
      <c r="B575" t="s">
        <v>7</v>
      </c>
      <c r="C575" t="s">
        <v>404</v>
      </c>
      <c r="D575">
        <v>51.5</v>
      </c>
      <c r="E575">
        <v>292.52</v>
      </c>
      <c r="F575" t="s">
        <v>311</v>
      </c>
      <c r="G575">
        <v>5.68</v>
      </c>
      <c r="H575">
        <v>351.02</v>
      </c>
      <c r="I575" t="s">
        <v>315</v>
      </c>
      <c r="J575" t="s">
        <v>405</v>
      </c>
      <c r="K575" t="s">
        <v>581</v>
      </c>
      <c r="L575" t="s">
        <v>178</v>
      </c>
      <c r="M575" t="s">
        <v>7</v>
      </c>
      <c r="N575" t="s">
        <v>12</v>
      </c>
      <c r="O575" t="s">
        <v>7</v>
      </c>
      <c r="P575">
        <v>0</v>
      </c>
      <c r="Q575">
        <v>0</v>
      </c>
      <c r="R575">
        <v>0</v>
      </c>
      <c r="S575">
        <v>1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7</v>
      </c>
      <c r="AH575" t="s">
        <v>12</v>
      </c>
      <c r="AI575" t="s">
        <v>7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351.02</v>
      </c>
      <c r="AN575">
        <f>$H$575*$T$575</f>
        <v>351.02</v>
      </c>
      <c r="AO575">
        <f>$H$575*$U$575</f>
        <v>351.02</v>
      </c>
      <c r="AP575">
        <f>$H$575*$V$575</f>
        <v>351.02</v>
      </c>
      <c r="AQ575">
        <f>$H$575*$W$575</f>
        <v>351.02</v>
      </c>
      <c r="AR575">
        <f>$H$575*$X$575</f>
        <v>351.02</v>
      </c>
      <c r="AS575">
        <f>$H$575*$Y$575</f>
        <v>351.02</v>
      </c>
      <c r="AT575">
        <f>$H$575*$Z$575</f>
        <v>351.02</v>
      </c>
      <c r="AU575">
        <f>$H$575*$AA$575</f>
        <v>351.02</v>
      </c>
      <c r="AV575">
        <f>$H$575*$AB$575</f>
        <v>351.02</v>
      </c>
      <c r="AW575">
        <f>$H$575*$AC$575</f>
        <v>351.02</v>
      </c>
      <c r="AX575">
        <f>$H$575*$AD$575</f>
        <v>351.02</v>
      </c>
      <c r="AY575">
        <f>$H$575*$AE$575</f>
        <v>351.02</v>
      </c>
      <c r="AZ575">
        <f>$H$575*$AF$575</f>
        <v>351.02</v>
      </c>
    </row>
    <row r="576" spans="1:52" x14ac:dyDescent="0.25">
      <c r="A576">
        <v>627</v>
      </c>
      <c r="B576" t="s">
        <v>7</v>
      </c>
      <c r="C576" t="s">
        <v>400</v>
      </c>
      <c r="D576">
        <v>161.93</v>
      </c>
      <c r="E576">
        <v>544.08000000000004</v>
      </c>
      <c r="F576" t="s">
        <v>335</v>
      </c>
      <c r="G576">
        <v>3.36</v>
      </c>
      <c r="H576">
        <v>652.9</v>
      </c>
      <c r="I576" t="s">
        <v>348</v>
      </c>
      <c r="J576" t="s">
        <v>401</v>
      </c>
      <c r="K576" t="s">
        <v>579</v>
      </c>
      <c r="L576" t="s">
        <v>178</v>
      </c>
      <c r="M576" t="s">
        <v>7</v>
      </c>
      <c r="N576" t="s">
        <v>12</v>
      </c>
      <c r="O576" t="s">
        <v>7</v>
      </c>
      <c r="P576">
        <v>0</v>
      </c>
      <c r="Q576">
        <v>0</v>
      </c>
      <c r="R576">
        <v>0</v>
      </c>
      <c r="S576">
        <v>0.25</v>
      </c>
      <c r="T576">
        <v>0.25</v>
      </c>
      <c r="U576">
        <v>0.25</v>
      </c>
      <c r="V576">
        <v>0.25</v>
      </c>
      <c r="W576">
        <v>0.5</v>
      </c>
      <c r="X576">
        <v>0.5</v>
      </c>
      <c r="Y576">
        <v>0.5</v>
      </c>
      <c r="Z576">
        <v>0.5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7</v>
      </c>
      <c r="AH576" t="s">
        <v>12</v>
      </c>
      <c r="AI576" t="s">
        <v>7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163.22499999999999</v>
      </c>
      <c r="AN576">
        <f>$H$576*$T$576</f>
        <v>163.22499999999999</v>
      </c>
      <c r="AO576">
        <f>$H$576*$U$576</f>
        <v>163.22499999999999</v>
      </c>
      <c r="AP576">
        <f>$H$576*$V$576</f>
        <v>163.22499999999999</v>
      </c>
      <c r="AQ576">
        <f>$H$576*$W$576</f>
        <v>326.45</v>
      </c>
      <c r="AR576">
        <f>$H$576*$X$576</f>
        <v>326.45</v>
      </c>
      <c r="AS576">
        <f>$H$576*$Y$576</f>
        <v>326.45</v>
      </c>
      <c r="AT576">
        <f>$H$576*$Z$576</f>
        <v>326.45</v>
      </c>
      <c r="AU576">
        <f>$H$576*$AA$576</f>
        <v>652.9</v>
      </c>
      <c r="AV576">
        <f>$H$576*$AB$576</f>
        <v>652.9</v>
      </c>
      <c r="AW576">
        <f>$H$576*$AC$576</f>
        <v>652.9</v>
      </c>
      <c r="AX576">
        <f>$H$576*$AD$576</f>
        <v>652.9</v>
      </c>
      <c r="AY576">
        <f>$H$576*$AE$576</f>
        <v>652.9</v>
      </c>
      <c r="AZ576">
        <f>$H$576*$AF$576</f>
        <v>652.9</v>
      </c>
    </row>
    <row r="577" spans="1:52" x14ac:dyDescent="0.25">
      <c r="A577">
        <v>628</v>
      </c>
      <c r="B577" t="s">
        <v>7</v>
      </c>
      <c r="C577" t="s">
        <v>406</v>
      </c>
      <c r="D577">
        <v>161.93</v>
      </c>
      <c r="E577">
        <v>102.02</v>
      </c>
      <c r="F577" t="s">
        <v>335</v>
      </c>
      <c r="G577">
        <v>0.63</v>
      </c>
      <c r="H577">
        <v>122.42</v>
      </c>
      <c r="I577" t="s">
        <v>312</v>
      </c>
      <c r="J577" t="s">
        <v>407</v>
      </c>
      <c r="K577" t="s">
        <v>582</v>
      </c>
      <c r="L577" t="s">
        <v>178</v>
      </c>
      <c r="M577" t="s">
        <v>7</v>
      </c>
      <c r="N577" t="s">
        <v>12</v>
      </c>
      <c r="O577" t="s">
        <v>7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1</v>
      </c>
      <c r="AE577">
        <v>1</v>
      </c>
      <c r="AF577">
        <v>1</v>
      </c>
      <c r="AG577" t="s">
        <v>7</v>
      </c>
      <c r="AH577" t="s">
        <v>12</v>
      </c>
      <c r="AI577" t="s">
        <v>7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0</v>
      </c>
      <c r="AN577">
        <f>$H$577*$T$577</f>
        <v>0</v>
      </c>
      <c r="AO577">
        <f>$H$577*$U$577</f>
        <v>0</v>
      </c>
      <c r="AP577">
        <f>$H$577*$V$577</f>
        <v>0</v>
      </c>
      <c r="AQ577">
        <f>$H$577*$W$577</f>
        <v>0</v>
      </c>
      <c r="AR577">
        <f>$H$577*$X$577</f>
        <v>0</v>
      </c>
      <c r="AS577">
        <f>$H$577*$Y$577</f>
        <v>0</v>
      </c>
      <c r="AT577">
        <f>$H$577*$Z$577</f>
        <v>0</v>
      </c>
      <c r="AU577">
        <f>$H$577*$AA$577</f>
        <v>0</v>
      </c>
      <c r="AV577">
        <f>$H$577*$AB$577</f>
        <v>0</v>
      </c>
      <c r="AW577">
        <f>$H$577*$AC$577</f>
        <v>0</v>
      </c>
      <c r="AX577">
        <f>$H$577*$AD$577</f>
        <v>122.42</v>
      </c>
      <c r="AY577">
        <f>$H$577*$AE$577</f>
        <v>122.42</v>
      </c>
      <c r="AZ577">
        <f>$H$577*$AF$577</f>
        <v>122.42</v>
      </c>
    </row>
    <row r="578" spans="1:52" x14ac:dyDescent="0.25">
      <c r="A578">
        <v>629</v>
      </c>
      <c r="B578" t="s">
        <v>7</v>
      </c>
      <c r="C578" t="s">
        <v>408</v>
      </c>
      <c r="D578">
        <v>161.93</v>
      </c>
      <c r="E578">
        <v>111.73</v>
      </c>
      <c r="F578" t="s">
        <v>335</v>
      </c>
      <c r="G578">
        <v>0.69</v>
      </c>
      <c r="H578">
        <v>134.07</v>
      </c>
      <c r="I578" t="s">
        <v>312</v>
      </c>
      <c r="J578" t="s">
        <v>409</v>
      </c>
      <c r="K578" t="s">
        <v>583</v>
      </c>
      <c r="L578" t="s">
        <v>178</v>
      </c>
      <c r="M578" t="s">
        <v>7</v>
      </c>
      <c r="N578" t="s">
        <v>12</v>
      </c>
      <c r="O578" t="s">
        <v>7</v>
      </c>
      <c r="P578">
        <v>0</v>
      </c>
      <c r="Q578">
        <v>0</v>
      </c>
      <c r="R578">
        <v>0</v>
      </c>
      <c r="S578">
        <v>1</v>
      </c>
      <c r="T578">
        <v>1</v>
      </c>
      <c r="U578">
        <v>1</v>
      </c>
      <c r="V578">
        <v>1</v>
      </c>
      <c r="W578">
        <v>1</v>
      </c>
      <c r="X578">
        <v>1</v>
      </c>
      <c r="Y578">
        <v>1</v>
      </c>
      <c r="Z578">
        <v>1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7</v>
      </c>
      <c r="AH578" t="s">
        <v>12</v>
      </c>
      <c r="AI578" t="s">
        <v>7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134.07</v>
      </c>
      <c r="AN578">
        <f>$H$578*$T$578</f>
        <v>134.07</v>
      </c>
      <c r="AO578">
        <f>$H$578*$U$578</f>
        <v>134.07</v>
      </c>
      <c r="AP578">
        <f>$H$578*$V$578</f>
        <v>134.07</v>
      </c>
      <c r="AQ578">
        <f>$H$578*$W$578</f>
        <v>134.07</v>
      </c>
      <c r="AR578">
        <f>$H$578*$X$578</f>
        <v>134.07</v>
      </c>
      <c r="AS578">
        <f>$H$578*$Y$578</f>
        <v>134.07</v>
      </c>
      <c r="AT578">
        <f>$H$578*$Z$578</f>
        <v>134.07</v>
      </c>
      <c r="AU578">
        <f>$H$578*$AA$578</f>
        <v>134.07</v>
      </c>
      <c r="AV578">
        <f>$H$578*$AB$578</f>
        <v>134.07</v>
      </c>
      <c r="AW578">
        <f>$H$578*$AC$578</f>
        <v>134.07</v>
      </c>
      <c r="AX578">
        <f>$H$578*$AD$578</f>
        <v>134.07</v>
      </c>
      <c r="AY578">
        <f>$H$578*$AE$578</f>
        <v>134.07</v>
      </c>
      <c r="AZ578">
        <f>$H$578*$AF$578</f>
        <v>134.07</v>
      </c>
    </row>
    <row r="579" spans="1:52" x14ac:dyDescent="0.25">
      <c r="A579">
        <v>630</v>
      </c>
      <c r="B579" t="s">
        <v>7</v>
      </c>
      <c r="C579" t="s">
        <v>410</v>
      </c>
      <c r="D579">
        <v>34.01</v>
      </c>
      <c r="E579">
        <v>231.61</v>
      </c>
      <c r="F579" t="s">
        <v>335</v>
      </c>
      <c r="G579">
        <v>6.81</v>
      </c>
      <c r="H579">
        <v>277.93</v>
      </c>
      <c r="I579" t="s">
        <v>411</v>
      </c>
      <c r="J579" t="s">
        <v>412</v>
      </c>
      <c r="K579" t="s">
        <v>584</v>
      </c>
      <c r="L579" t="s">
        <v>178</v>
      </c>
      <c r="M579" t="s">
        <v>7</v>
      </c>
      <c r="N579" t="s">
        <v>12</v>
      </c>
      <c r="O579" t="s">
        <v>7</v>
      </c>
      <c r="P579">
        <v>0</v>
      </c>
      <c r="Q579">
        <v>0</v>
      </c>
      <c r="R579">
        <v>0</v>
      </c>
      <c r="S579">
        <v>1</v>
      </c>
      <c r="T579">
        <v>1</v>
      </c>
      <c r="U579">
        <v>1</v>
      </c>
      <c r="V579">
        <v>1</v>
      </c>
      <c r="W579">
        <v>1</v>
      </c>
      <c r="X579">
        <v>1</v>
      </c>
      <c r="Y579">
        <v>1</v>
      </c>
      <c r="Z579">
        <v>1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7</v>
      </c>
      <c r="AH579" t="s">
        <v>12</v>
      </c>
      <c r="AI579" t="s">
        <v>7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277.93</v>
      </c>
      <c r="AN579">
        <f>$H$579*$T$579</f>
        <v>277.93</v>
      </c>
      <c r="AO579">
        <f>$H$579*$U$579</f>
        <v>277.93</v>
      </c>
      <c r="AP579">
        <f>$H$579*$V$579</f>
        <v>277.93</v>
      </c>
      <c r="AQ579">
        <f>$H$579*$W$579</f>
        <v>277.93</v>
      </c>
      <c r="AR579">
        <f>$H$579*$X$579</f>
        <v>277.93</v>
      </c>
      <c r="AS579">
        <f>$H$579*$Y$579</f>
        <v>277.93</v>
      </c>
      <c r="AT579">
        <f>$H$579*$Z$579</f>
        <v>277.93</v>
      </c>
      <c r="AU579">
        <f>$H$579*$AA$579</f>
        <v>277.93</v>
      </c>
      <c r="AV579">
        <f>$H$579*$AB$579</f>
        <v>277.93</v>
      </c>
      <c r="AW579">
        <f>$H$579*$AC$579</f>
        <v>277.93</v>
      </c>
      <c r="AX579">
        <f>$H$579*$AD$579</f>
        <v>277.93</v>
      </c>
      <c r="AY579">
        <f>$H$579*$AE$579</f>
        <v>277.93</v>
      </c>
      <c r="AZ579">
        <f>$H$579*$AF$579</f>
        <v>277.93</v>
      </c>
    </row>
    <row r="580" spans="1:52" x14ac:dyDescent="0.25">
      <c r="A580">
        <v>631</v>
      </c>
      <c r="B580" t="s">
        <v>7</v>
      </c>
      <c r="C580" t="s">
        <v>413</v>
      </c>
      <c r="D580">
        <v>37.24</v>
      </c>
      <c r="E580">
        <v>274.45999999999998</v>
      </c>
      <c r="F580" t="s">
        <v>335</v>
      </c>
      <c r="G580">
        <v>7.37</v>
      </c>
      <c r="H580">
        <v>329.36</v>
      </c>
      <c r="I580" t="s">
        <v>411</v>
      </c>
      <c r="J580" t="s">
        <v>414</v>
      </c>
      <c r="K580" t="s">
        <v>585</v>
      </c>
      <c r="L580" t="s">
        <v>178</v>
      </c>
      <c r="M580" t="s">
        <v>7</v>
      </c>
      <c r="N580" t="s">
        <v>12</v>
      </c>
      <c r="O580" t="s">
        <v>7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7</v>
      </c>
      <c r="AH580" t="s">
        <v>12</v>
      </c>
      <c r="AI580" t="s">
        <v>7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329.36</v>
      </c>
      <c r="AN580">
        <f>$H$580*$T$580</f>
        <v>329.36</v>
      </c>
      <c r="AO580">
        <f>$H$580*$U$580</f>
        <v>329.36</v>
      </c>
      <c r="AP580">
        <f>$H$580*$V$580</f>
        <v>329.36</v>
      </c>
      <c r="AQ580">
        <f>$H$580*$W$580</f>
        <v>329.36</v>
      </c>
      <c r="AR580">
        <f>$H$580*$X$580</f>
        <v>329.36</v>
      </c>
      <c r="AS580">
        <f>$H$580*$Y$580</f>
        <v>329.36</v>
      </c>
      <c r="AT580">
        <f>$H$580*$Z$580</f>
        <v>329.36</v>
      </c>
      <c r="AU580">
        <f>$H$580*$AA$580</f>
        <v>329.36</v>
      </c>
      <c r="AV580">
        <f>$H$580*$AB$580</f>
        <v>329.36</v>
      </c>
      <c r="AW580">
        <f>$H$580*$AC$580</f>
        <v>329.36</v>
      </c>
      <c r="AX580">
        <f>$H$580*$AD$580</f>
        <v>329.36</v>
      </c>
      <c r="AY580">
        <f>$H$580*$AE$580</f>
        <v>329.36</v>
      </c>
      <c r="AZ580">
        <f>$H$580*$AF$580</f>
        <v>329.36</v>
      </c>
    </row>
    <row r="581" spans="1:52" x14ac:dyDescent="0.25">
      <c r="A581">
        <v>632</v>
      </c>
      <c r="B581" t="s">
        <v>7</v>
      </c>
      <c r="C581" t="s">
        <v>415</v>
      </c>
      <c r="D581">
        <v>33.99</v>
      </c>
      <c r="E581">
        <v>185.59</v>
      </c>
      <c r="F581" t="s">
        <v>335</v>
      </c>
      <c r="G581">
        <v>5.46</v>
      </c>
      <c r="H581">
        <v>222.71</v>
      </c>
      <c r="I581" t="s">
        <v>416</v>
      </c>
      <c r="J581" t="s">
        <v>417</v>
      </c>
      <c r="K581" t="s">
        <v>586</v>
      </c>
      <c r="L581" t="s">
        <v>178</v>
      </c>
      <c r="M581" t="s">
        <v>7</v>
      </c>
      <c r="N581" t="s">
        <v>12</v>
      </c>
      <c r="O581" t="s">
        <v>7</v>
      </c>
      <c r="P581">
        <v>0</v>
      </c>
      <c r="Q581">
        <v>0</v>
      </c>
      <c r="R581">
        <v>0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7</v>
      </c>
      <c r="AH581" t="s">
        <v>12</v>
      </c>
      <c r="AI581" t="s">
        <v>7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222.71</v>
      </c>
      <c r="AN581">
        <f>$H$581*$T$581</f>
        <v>222.71</v>
      </c>
      <c r="AO581">
        <f>$H$581*$U$581</f>
        <v>222.71</v>
      </c>
      <c r="AP581">
        <f>$H$581*$V$581</f>
        <v>222.71</v>
      </c>
      <c r="AQ581">
        <f>$H$581*$W$581</f>
        <v>222.71</v>
      </c>
      <c r="AR581">
        <f>$H$581*$X$581</f>
        <v>222.71</v>
      </c>
      <c r="AS581">
        <f>$H$581*$Y$581</f>
        <v>222.71</v>
      </c>
      <c r="AT581">
        <f>$H$581*$Z$581</f>
        <v>222.71</v>
      </c>
      <c r="AU581">
        <f>$H$581*$AA$581</f>
        <v>222.71</v>
      </c>
      <c r="AV581">
        <f>$H$581*$AB$581</f>
        <v>222.71</v>
      </c>
      <c r="AW581">
        <f>$H$581*$AC$581</f>
        <v>222.71</v>
      </c>
      <c r="AX581">
        <f>$H$581*$AD$581</f>
        <v>222.71</v>
      </c>
      <c r="AY581">
        <f>$H$581*$AE$581</f>
        <v>222.71</v>
      </c>
      <c r="AZ581">
        <f>$H$581*$AF$581</f>
        <v>222.71</v>
      </c>
    </row>
    <row r="582" spans="1:52" x14ac:dyDescent="0.25">
      <c r="A582">
        <v>633</v>
      </c>
      <c r="B582" t="s">
        <v>7</v>
      </c>
      <c r="C582" t="s">
        <v>418</v>
      </c>
      <c r="D582">
        <v>33.99</v>
      </c>
      <c r="E582">
        <v>121.68</v>
      </c>
      <c r="F582" t="s">
        <v>335</v>
      </c>
      <c r="G582">
        <v>3.58</v>
      </c>
      <c r="H582">
        <v>146.02000000000001</v>
      </c>
      <c r="I582" t="s">
        <v>416</v>
      </c>
      <c r="J582" t="s">
        <v>419</v>
      </c>
      <c r="K582" t="s">
        <v>587</v>
      </c>
      <c r="L582" t="s">
        <v>178</v>
      </c>
      <c r="M582" t="s">
        <v>7</v>
      </c>
      <c r="N582" t="s">
        <v>12</v>
      </c>
      <c r="O582" t="s">
        <v>7</v>
      </c>
      <c r="P582">
        <v>0</v>
      </c>
      <c r="Q582">
        <v>0</v>
      </c>
      <c r="R582">
        <v>0</v>
      </c>
      <c r="S582">
        <v>1</v>
      </c>
      <c r="T582">
        <v>1</v>
      </c>
      <c r="U582">
        <v>1</v>
      </c>
      <c r="V582">
        <v>1</v>
      </c>
      <c r="W582">
        <v>1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7</v>
      </c>
      <c r="AH582" t="s">
        <v>12</v>
      </c>
      <c r="AI582" t="s">
        <v>7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146.02000000000001</v>
      </c>
      <c r="AN582">
        <f>$H$582*$T$582</f>
        <v>146.02000000000001</v>
      </c>
      <c r="AO582">
        <f>$H$582*$U$582</f>
        <v>146.02000000000001</v>
      </c>
      <c r="AP582">
        <f>$H$582*$V$582</f>
        <v>146.02000000000001</v>
      </c>
      <c r="AQ582">
        <f>$H$582*$W$582</f>
        <v>146.02000000000001</v>
      </c>
      <c r="AR582">
        <f>$H$582*$X$582</f>
        <v>146.02000000000001</v>
      </c>
      <c r="AS582">
        <f>$H$582*$Y$582</f>
        <v>146.02000000000001</v>
      </c>
      <c r="AT582">
        <f>$H$582*$Z$582</f>
        <v>146.02000000000001</v>
      </c>
      <c r="AU582">
        <f>$H$582*$AA$582</f>
        <v>146.02000000000001</v>
      </c>
      <c r="AV582">
        <f>$H$582*$AB$582</f>
        <v>146.02000000000001</v>
      </c>
      <c r="AW582">
        <f>$H$582*$AC$582</f>
        <v>146.02000000000001</v>
      </c>
      <c r="AX582">
        <f>$H$582*$AD$582</f>
        <v>146.02000000000001</v>
      </c>
      <c r="AY582">
        <f>$H$582*$AE$582</f>
        <v>146.02000000000001</v>
      </c>
      <c r="AZ582">
        <f>$H$582*$AF$582</f>
        <v>146.02000000000001</v>
      </c>
    </row>
    <row r="583" spans="1:52" x14ac:dyDescent="0.25">
      <c r="A583">
        <v>634</v>
      </c>
      <c r="B583" t="s">
        <v>7</v>
      </c>
      <c r="C583" t="s">
        <v>420</v>
      </c>
      <c r="D583">
        <v>33.99</v>
      </c>
      <c r="E583">
        <v>334.8</v>
      </c>
      <c r="F583" t="s">
        <v>335</v>
      </c>
      <c r="G583">
        <v>9.85</v>
      </c>
      <c r="H583">
        <v>401.76</v>
      </c>
      <c r="I583" t="s">
        <v>416</v>
      </c>
      <c r="J583" t="s">
        <v>414</v>
      </c>
      <c r="K583" t="s">
        <v>588</v>
      </c>
      <c r="L583" t="s">
        <v>178</v>
      </c>
      <c r="M583" t="s">
        <v>7</v>
      </c>
      <c r="N583" t="s">
        <v>12</v>
      </c>
      <c r="O583" t="s">
        <v>7</v>
      </c>
      <c r="P583">
        <v>0</v>
      </c>
      <c r="Q583">
        <v>0</v>
      </c>
      <c r="R583">
        <v>0</v>
      </c>
      <c r="S583">
        <v>1</v>
      </c>
      <c r="T583">
        <v>1</v>
      </c>
      <c r="U583">
        <v>1</v>
      </c>
      <c r="V583">
        <v>1</v>
      </c>
      <c r="W583">
        <v>1</v>
      </c>
      <c r="X583">
        <v>1</v>
      </c>
      <c r="Y583">
        <v>1</v>
      </c>
      <c r="Z583">
        <v>1</v>
      </c>
      <c r="AA583">
        <v>1</v>
      </c>
      <c r="AB583">
        <v>1</v>
      </c>
      <c r="AC583">
        <v>1</v>
      </c>
      <c r="AD583">
        <v>1</v>
      </c>
      <c r="AE583">
        <v>1</v>
      </c>
      <c r="AF583">
        <v>1</v>
      </c>
      <c r="AG583" t="s">
        <v>7</v>
      </c>
      <c r="AH583" t="s">
        <v>12</v>
      </c>
      <c r="AI583" t="s">
        <v>7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401.76</v>
      </c>
      <c r="AN583">
        <f>$H$583*$T$583</f>
        <v>401.76</v>
      </c>
      <c r="AO583">
        <f>$H$583*$U$583</f>
        <v>401.76</v>
      </c>
      <c r="AP583">
        <f>$H$583*$V$583</f>
        <v>401.76</v>
      </c>
      <c r="AQ583">
        <f>$H$583*$W$583</f>
        <v>401.76</v>
      </c>
      <c r="AR583">
        <f>$H$583*$X$583</f>
        <v>401.76</v>
      </c>
      <c r="AS583">
        <f>$H$583*$Y$583</f>
        <v>401.76</v>
      </c>
      <c r="AT583">
        <f>$H$583*$Z$583</f>
        <v>401.76</v>
      </c>
      <c r="AU583">
        <f>$H$583*$AA$583</f>
        <v>401.76</v>
      </c>
      <c r="AV583">
        <f>$H$583*$AB$583</f>
        <v>401.76</v>
      </c>
      <c r="AW583">
        <f>$H$583*$AC$583</f>
        <v>401.76</v>
      </c>
      <c r="AX583">
        <f>$H$583*$AD$583</f>
        <v>401.76</v>
      </c>
      <c r="AY583">
        <f>$H$583*$AE$583</f>
        <v>401.76</v>
      </c>
      <c r="AZ583">
        <f>$H$583*$AF$583</f>
        <v>401.76</v>
      </c>
    </row>
    <row r="584" spans="1:52" x14ac:dyDescent="0.25">
      <c r="A584">
        <v>635</v>
      </c>
      <c r="B584" t="s">
        <v>7</v>
      </c>
      <c r="C584" t="s">
        <v>421</v>
      </c>
      <c r="D584">
        <v>37.24</v>
      </c>
      <c r="E584">
        <v>36.119999999999997</v>
      </c>
      <c r="F584" t="s">
        <v>335</v>
      </c>
      <c r="G584">
        <v>0.97</v>
      </c>
      <c r="H584">
        <v>43.34</v>
      </c>
      <c r="I584" t="s">
        <v>360</v>
      </c>
      <c r="J584" t="s">
        <v>422</v>
      </c>
      <c r="K584" t="s">
        <v>589</v>
      </c>
      <c r="L584" t="s">
        <v>178</v>
      </c>
      <c r="M584" t="s">
        <v>7</v>
      </c>
      <c r="N584" t="s">
        <v>12</v>
      </c>
      <c r="O584" t="s">
        <v>7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7</v>
      </c>
      <c r="AH584" t="s">
        <v>12</v>
      </c>
      <c r="AI584" t="s">
        <v>7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43.34</v>
      </c>
      <c r="AN584">
        <f>$H$584*$T$584</f>
        <v>43.34</v>
      </c>
      <c r="AO584">
        <f>$H$584*$U$584</f>
        <v>43.34</v>
      </c>
      <c r="AP584">
        <f>$H$584*$V$584</f>
        <v>43.34</v>
      </c>
      <c r="AQ584">
        <f>$H$584*$W$584</f>
        <v>43.34</v>
      </c>
      <c r="AR584">
        <f>$H$584*$X$584</f>
        <v>43.34</v>
      </c>
      <c r="AS584">
        <f>$H$584*$Y$584</f>
        <v>43.34</v>
      </c>
      <c r="AT584">
        <f>$H$584*$Z$584</f>
        <v>43.34</v>
      </c>
      <c r="AU584">
        <f>$H$584*$AA$584</f>
        <v>43.34</v>
      </c>
      <c r="AV584">
        <f>$H$584*$AB$584</f>
        <v>43.34</v>
      </c>
      <c r="AW584">
        <f>$H$584*$AC$584</f>
        <v>43.34</v>
      </c>
      <c r="AX584">
        <f>$H$584*$AD$584</f>
        <v>43.34</v>
      </c>
      <c r="AY584">
        <f>$H$584*$AE$584</f>
        <v>43.34</v>
      </c>
      <c r="AZ584">
        <f>$H$584*$AF$584</f>
        <v>43.34</v>
      </c>
    </row>
    <row r="585" spans="1:52" x14ac:dyDescent="0.25">
      <c r="A585">
        <v>636</v>
      </c>
      <c r="B585" t="s">
        <v>7</v>
      </c>
      <c r="C585" t="s">
        <v>423</v>
      </c>
      <c r="D585">
        <v>37.24</v>
      </c>
      <c r="E585">
        <v>285.26</v>
      </c>
      <c r="F585" t="s">
        <v>335</v>
      </c>
      <c r="G585">
        <v>7.66</v>
      </c>
      <c r="H585">
        <v>342.32</v>
      </c>
      <c r="I585" t="s">
        <v>360</v>
      </c>
      <c r="J585" t="s">
        <v>414</v>
      </c>
      <c r="K585" t="s">
        <v>590</v>
      </c>
      <c r="L585" t="s">
        <v>178</v>
      </c>
      <c r="M585" t="s">
        <v>7</v>
      </c>
      <c r="N585" t="s">
        <v>12</v>
      </c>
      <c r="O585" t="s">
        <v>7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7</v>
      </c>
      <c r="AH585" t="s">
        <v>12</v>
      </c>
      <c r="AI585" t="s">
        <v>7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342.32</v>
      </c>
      <c r="AN585">
        <f>$H$585*$T$585</f>
        <v>342.32</v>
      </c>
      <c r="AO585">
        <f>$H$585*$U$585</f>
        <v>342.32</v>
      </c>
      <c r="AP585">
        <f>$H$585*$V$585</f>
        <v>342.32</v>
      </c>
      <c r="AQ585">
        <f>$H$585*$W$585</f>
        <v>342.32</v>
      </c>
      <c r="AR585">
        <f>$H$585*$X$585</f>
        <v>342.32</v>
      </c>
      <c r="AS585">
        <f>$H$585*$Y$585</f>
        <v>342.32</v>
      </c>
      <c r="AT585">
        <f>$H$585*$Z$585</f>
        <v>342.32</v>
      </c>
      <c r="AU585">
        <f>$H$585*$AA$585</f>
        <v>342.32</v>
      </c>
      <c r="AV585">
        <f>$H$585*$AB$585</f>
        <v>342.32</v>
      </c>
      <c r="AW585">
        <f>$H$585*$AC$585</f>
        <v>342.32</v>
      </c>
      <c r="AX585">
        <f>$H$585*$AD$585</f>
        <v>342.32</v>
      </c>
      <c r="AY585">
        <f>$H$585*$AE$585</f>
        <v>342.32</v>
      </c>
      <c r="AZ585">
        <f>$H$585*$AF$585</f>
        <v>342.32</v>
      </c>
    </row>
    <row r="586" spans="1:52" x14ac:dyDescent="0.25">
      <c r="A586">
        <v>637</v>
      </c>
      <c r="B586" t="s">
        <v>268</v>
      </c>
      <c r="C586" t="s">
        <v>318</v>
      </c>
      <c r="D586">
        <v>1</v>
      </c>
      <c r="E586">
        <v>60.4</v>
      </c>
      <c r="F586" t="s">
        <v>317</v>
      </c>
      <c r="G586">
        <v>60.4</v>
      </c>
      <c r="H586">
        <v>72.48</v>
      </c>
      <c r="I586" t="s">
        <v>319</v>
      </c>
      <c r="J586" t="s">
        <v>320</v>
      </c>
      <c r="K586" t="s">
        <v>540</v>
      </c>
      <c r="L586" t="s">
        <v>178</v>
      </c>
      <c r="M586" t="s">
        <v>268</v>
      </c>
      <c r="N586" t="s">
        <v>51</v>
      </c>
      <c r="O586" t="s">
        <v>4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1</v>
      </c>
      <c r="AE586">
        <v>1</v>
      </c>
      <c r="AF586">
        <v>1</v>
      </c>
      <c r="AG586" t="s">
        <v>268</v>
      </c>
      <c r="AH586" t="s">
        <v>51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0</v>
      </c>
      <c r="AO586">
        <f>$H$586*$U$586</f>
        <v>0</v>
      </c>
      <c r="AP586">
        <f>$H$586*$V$586</f>
        <v>0</v>
      </c>
      <c r="AQ586">
        <f>$H$586*$W$586</f>
        <v>0</v>
      </c>
      <c r="AR586">
        <f>$H$586*$X$586</f>
        <v>0</v>
      </c>
      <c r="AS586">
        <f>$H$586*$Y$586</f>
        <v>0</v>
      </c>
      <c r="AT586">
        <f>$H$586*$Z$586</f>
        <v>0</v>
      </c>
      <c r="AU586">
        <f>$H$586*$AA$586</f>
        <v>0</v>
      </c>
      <c r="AV586">
        <f>$H$586*$AB$586</f>
        <v>0</v>
      </c>
      <c r="AW586">
        <f>$H$586*$AC$586</f>
        <v>0</v>
      </c>
      <c r="AX586">
        <f>$H$586*$AD$586</f>
        <v>72.48</v>
      </c>
      <c r="AY586">
        <f>$H$586*$AE$586</f>
        <v>72.48</v>
      </c>
      <c r="AZ586">
        <f>$H$586*$AF$586</f>
        <v>72.48</v>
      </c>
    </row>
    <row r="587" spans="1:52" x14ac:dyDescent="0.25">
      <c r="A587">
        <v>638</v>
      </c>
      <c r="B587" t="s">
        <v>268</v>
      </c>
      <c r="C587" t="s">
        <v>341</v>
      </c>
      <c r="D587">
        <v>5</v>
      </c>
      <c r="E587">
        <v>22.2</v>
      </c>
      <c r="F587" t="s">
        <v>311</v>
      </c>
      <c r="G587">
        <v>4.4400000000000004</v>
      </c>
      <c r="H587">
        <v>26.64</v>
      </c>
      <c r="I587" t="s">
        <v>312</v>
      </c>
      <c r="J587" t="s">
        <v>342</v>
      </c>
      <c r="K587" t="s">
        <v>550</v>
      </c>
      <c r="L587" t="s">
        <v>178</v>
      </c>
      <c r="M587" t="s">
        <v>268</v>
      </c>
      <c r="N587" t="s">
        <v>51</v>
      </c>
      <c r="O587" t="s">
        <v>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268</v>
      </c>
      <c r="AH587" t="s">
        <v>51</v>
      </c>
      <c r="AI587" t="s">
        <v>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0</v>
      </c>
      <c r="AN587">
        <f>$H$587*$T$587</f>
        <v>0</v>
      </c>
      <c r="AO587">
        <f>$H$587*$U$587</f>
        <v>0</v>
      </c>
      <c r="AP587">
        <f>$H$587*$V$587</f>
        <v>0</v>
      </c>
      <c r="AQ587">
        <f>$H$587*$W$587</f>
        <v>0</v>
      </c>
      <c r="AR587">
        <f>$H$587*$X$587</f>
        <v>0</v>
      </c>
      <c r="AS587">
        <f>$H$587*$Y$587</f>
        <v>0</v>
      </c>
      <c r="AT587">
        <f>$H$587*$Z$587</f>
        <v>0</v>
      </c>
      <c r="AU587">
        <f>$H$587*$AA$587</f>
        <v>26.64</v>
      </c>
      <c r="AV587">
        <f>$H$587*$AB$587</f>
        <v>26.64</v>
      </c>
      <c r="AW587">
        <f>$H$587*$AC$587</f>
        <v>26.64</v>
      </c>
      <c r="AX587">
        <f>$H$587*$AD$587</f>
        <v>26.64</v>
      </c>
      <c r="AY587">
        <f>$H$587*$AE$587</f>
        <v>26.64</v>
      </c>
      <c r="AZ587">
        <f>$H$587*$AF$587</f>
        <v>26.64</v>
      </c>
    </row>
    <row r="588" spans="1:52" x14ac:dyDescent="0.25">
      <c r="A588">
        <v>639</v>
      </c>
      <c r="B588" t="s">
        <v>268</v>
      </c>
      <c r="C588" t="s">
        <v>343</v>
      </c>
      <c r="D588">
        <v>5</v>
      </c>
      <c r="E588">
        <v>57.75</v>
      </c>
      <c r="F588" t="s">
        <v>311</v>
      </c>
      <c r="G588">
        <v>11.55</v>
      </c>
      <c r="H588">
        <v>69.31</v>
      </c>
      <c r="I588" t="s">
        <v>315</v>
      </c>
      <c r="J588" t="s">
        <v>344</v>
      </c>
      <c r="K588" t="s">
        <v>551</v>
      </c>
      <c r="L588" t="s">
        <v>178</v>
      </c>
      <c r="M588" t="s">
        <v>268</v>
      </c>
      <c r="N588" t="s">
        <v>51</v>
      </c>
      <c r="O588" t="s">
        <v>4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268</v>
      </c>
      <c r="AH588" t="s">
        <v>51</v>
      </c>
      <c r="AI588" t="s">
        <v>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0</v>
      </c>
      <c r="AN588">
        <f>$H$588*$T$588</f>
        <v>0</v>
      </c>
      <c r="AO588">
        <f>$H$588*$U$588</f>
        <v>0</v>
      </c>
      <c r="AP588">
        <f>$H$588*$V$588</f>
        <v>0</v>
      </c>
      <c r="AQ588">
        <f>$H$588*$W$588</f>
        <v>0</v>
      </c>
      <c r="AR588">
        <f>$H$588*$X$588</f>
        <v>0</v>
      </c>
      <c r="AS588">
        <f>$H$588*$Y$588</f>
        <v>0</v>
      </c>
      <c r="AT588">
        <f>$H$588*$Z$588</f>
        <v>0</v>
      </c>
      <c r="AU588">
        <f>$H$588*$AA$588</f>
        <v>69.31</v>
      </c>
      <c r="AV588">
        <f>$H$588*$AB$588</f>
        <v>69.31</v>
      </c>
      <c r="AW588">
        <f>$H$588*$AC$588</f>
        <v>69.31</v>
      </c>
      <c r="AX588">
        <f>$H$588*$AD$588</f>
        <v>69.31</v>
      </c>
      <c r="AY588">
        <f>$H$588*$AE$588</f>
        <v>69.31</v>
      </c>
      <c r="AZ588">
        <f>$H$588*$AF$588</f>
        <v>69.31</v>
      </c>
    </row>
    <row r="589" spans="1:52" x14ac:dyDescent="0.25">
      <c r="A589">
        <v>640</v>
      </c>
      <c r="B589" t="s">
        <v>268</v>
      </c>
      <c r="C589" t="s">
        <v>395</v>
      </c>
      <c r="D589">
        <v>5</v>
      </c>
      <c r="E589">
        <v>23.75</v>
      </c>
      <c r="F589" t="s">
        <v>311</v>
      </c>
      <c r="G589">
        <v>4.75</v>
      </c>
      <c r="H589">
        <v>28.51</v>
      </c>
      <c r="I589" t="s">
        <v>315</v>
      </c>
      <c r="J589" t="s">
        <v>396</v>
      </c>
      <c r="K589" t="s">
        <v>576</v>
      </c>
      <c r="L589" t="s">
        <v>178</v>
      </c>
      <c r="M589" t="s">
        <v>268</v>
      </c>
      <c r="N589" t="s">
        <v>51</v>
      </c>
      <c r="O589" t="s">
        <v>4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</v>
      </c>
      <c r="AF589">
        <v>1</v>
      </c>
      <c r="AG589" t="s">
        <v>268</v>
      </c>
      <c r="AH589" t="s">
        <v>51</v>
      </c>
      <c r="AI589" t="s">
        <v>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0</v>
      </c>
      <c r="AO589">
        <f>$H$589*$U$589</f>
        <v>0</v>
      </c>
      <c r="AP589">
        <f>$H$589*$V$589</f>
        <v>0</v>
      </c>
      <c r="AQ589">
        <f>$H$589*$W$589</f>
        <v>0</v>
      </c>
      <c r="AR589">
        <f>$H$589*$X$589</f>
        <v>0</v>
      </c>
      <c r="AS589">
        <f>$H$589*$Y$589</f>
        <v>0</v>
      </c>
      <c r="AT589">
        <f>$H$589*$Z$589</f>
        <v>0</v>
      </c>
      <c r="AU589">
        <f>$H$589*$AA$589</f>
        <v>0</v>
      </c>
      <c r="AV589">
        <f>$H$589*$AB$589</f>
        <v>0</v>
      </c>
      <c r="AW589">
        <f>$H$589*$AC$589</f>
        <v>28.51</v>
      </c>
      <c r="AX589">
        <f>$H$589*$AD$589</f>
        <v>28.51</v>
      </c>
      <c r="AY589">
        <f>$H$589*$AE$589</f>
        <v>28.51</v>
      </c>
      <c r="AZ589">
        <f>$H$589*$AF$589</f>
        <v>28.51</v>
      </c>
    </row>
    <row r="590" spans="1:52" x14ac:dyDescent="0.25">
      <c r="A590">
        <v>641</v>
      </c>
      <c r="B590" t="s">
        <v>268</v>
      </c>
      <c r="C590" t="s">
        <v>397</v>
      </c>
      <c r="D590">
        <v>6</v>
      </c>
      <c r="E590">
        <v>79.62</v>
      </c>
      <c r="F590" t="s">
        <v>317</v>
      </c>
      <c r="G590">
        <v>13.27</v>
      </c>
      <c r="H590">
        <v>95.54</v>
      </c>
      <c r="I590" t="s">
        <v>319</v>
      </c>
      <c r="J590" t="s">
        <v>398</v>
      </c>
      <c r="K590" t="s">
        <v>577</v>
      </c>
      <c r="L590" t="s">
        <v>178</v>
      </c>
      <c r="M590" t="s">
        <v>268</v>
      </c>
      <c r="N590" t="s">
        <v>51</v>
      </c>
      <c r="O590" t="s">
        <v>4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268</v>
      </c>
      <c r="AH590" t="s">
        <v>51</v>
      </c>
      <c r="AI590" t="s">
        <v>4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95.54</v>
      </c>
      <c r="AS590">
        <f>$H$590*$Y$590</f>
        <v>95.54</v>
      </c>
      <c r="AT590">
        <f>$H$590*$Z$590</f>
        <v>95.54</v>
      </c>
      <c r="AU590">
        <f>$H$590*$AA$590</f>
        <v>95.54</v>
      </c>
      <c r="AV590">
        <f>$H$590*$AB$590</f>
        <v>95.54</v>
      </c>
      <c r="AW590">
        <f>$H$590*$AC$590</f>
        <v>95.54</v>
      </c>
      <c r="AX590">
        <f>$H$590*$AD$590</f>
        <v>95.54</v>
      </c>
      <c r="AY590">
        <f>$H$590*$AE$590</f>
        <v>95.54</v>
      </c>
      <c r="AZ590">
        <f>$H$590*$AF$590</f>
        <v>95.54</v>
      </c>
    </row>
    <row r="591" spans="1:52" x14ac:dyDescent="0.25">
      <c r="A591">
        <v>642</v>
      </c>
      <c r="B591" t="s">
        <v>268</v>
      </c>
      <c r="C591" t="s">
        <v>399</v>
      </c>
      <c r="D591">
        <v>1</v>
      </c>
      <c r="E591">
        <v>63.51</v>
      </c>
      <c r="F591" t="s">
        <v>317</v>
      </c>
      <c r="G591">
        <v>63.51</v>
      </c>
      <c r="H591">
        <v>76.209999999999994</v>
      </c>
      <c r="I591" t="s">
        <v>322</v>
      </c>
      <c r="J591" t="s">
        <v>355</v>
      </c>
      <c r="K591" t="s">
        <v>578</v>
      </c>
      <c r="L591" t="s">
        <v>178</v>
      </c>
      <c r="M591" t="s">
        <v>268</v>
      </c>
      <c r="N591" t="s">
        <v>51</v>
      </c>
      <c r="O591" t="s">
        <v>4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1</v>
      </c>
      <c r="AE591">
        <v>1</v>
      </c>
      <c r="AF591">
        <v>1</v>
      </c>
      <c r="AG591" t="s">
        <v>268</v>
      </c>
      <c r="AH591" t="s">
        <v>51</v>
      </c>
      <c r="AI591" t="s">
        <v>4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0</v>
      </c>
      <c r="AQ591">
        <f>$H$591*$W$591</f>
        <v>0</v>
      </c>
      <c r="AR591">
        <f>$H$591*$X$591</f>
        <v>0</v>
      </c>
      <c r="AS591">
        <f>$H$591*$Y$591</f>
        <v>0</v>
      </c>
      <c r="AT591">
        <f>$H$591*$Z$591</f>
        <v>0</v>
      </c>
      <c r="AU591">
        <f>$H$591*$AA$591</f>
        <v>0</v>
      </c>
      <c r="AV591">
        <f>$H$591*$AB$591</f>
        <v>0</v>
      </c>
      <c r="AW591">
        <f>$H$591*$AC$591</f>
        <v>0</v>
      </c>
      <c r="AX591">
        <f>$H$591*$AD$591</f>
        <v>76.209999999999994</v>
      </c>
      <c r="AY591">
        <f>$H$591*$AE$591</f>
        <v>76.209999999999994</v>
      </c>
      <c r="AZ591">
        <f>$H$591*$AF$591</f>
        <v>76.209999999999994</v>
      </c>
    </row>
    <row r="592" spans="1:52" x14ac:dyDescent="0.25">
      <c r="A592">
        <v>643</v>
      </c>
      <c r="B592" t="s">
        <v>268</v>
      </c>
      <c r="C592" t="s">
        <v>350</v>
      </c>
      <c r="D592">
        <v>1</v>
      </c>
      <c r="E592">
        <v>47.96</v>
      </c>
      <c r="F592" t="s">
        <v>317</v>
      </c>
      <c r="G592">
        <v>47.96</v>
      </c>
      <c r="H592">
        <v>57.56</v>
      </c>
      <c r="I592" t="s">
        <v>351</v>
      </c>
      <c r="J592" t="s">
        <v>352</v>
      </c>
      <c r="K592" t="s">
        <v>554</v>
      </c>
      <c r="L592" t="s">
        <v>178</v>
      </c>
      <c r="M592" t="s">
        <v>268</v>
      </c>
      <c r="N592" t="s">
        <v>51</v>
      </c>
      <c r="O592" t="s">
        <v>4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268</v>
      </c>
      <c r="AH592" t="s">
        <v>51</v>
      </c>
      <c r="AI592" t="s">
        <v>4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0</v>
      </c>
      <c r="AS592">
        <f>$H$592*$Y$592</f>
        <v>0</v>
      </c>
      <c r="AT592">
        <f>$H$592*$Z$592</f>
        <v>0</v>
      </c>
      <c r="AU592">
        <f>$H$592*$AA$592</f>
        <v>57.56</v>
      </c>
      <c r="AV592">
        <f>$H$592*$AB$592</f>
        <v>57.56</v>
      </c>
      <c r="AW592">
        <f>$H$592*$AC$592</f>
        <v>57.56</v>
      </c>
      <c r="AX592">
        <f>$H$592*$AD$592</f>
        <v>57.56</v>
      </c>
      <c r="AY592">
        <f>$H$592*$AE$592</f>
        <v>57.56</v>
      </c>
      <c r="AZ592">
        <f>$H$592*$AF$592</f>
        <v>57.56</v>
      </c>
    </row>
    <row r="593" spans="1:52" x14ac:dyDescent="0.25">
      <c r="A593">
        <v>644</v>
      </c>
      <c r="B593" t="s">
        <v>268</v>
      </c>
      <c r="C593" t="s">
        <v>485</v>
      </c>
      <c r="D593">
        <v>2</v>
      </c>
      <c r="E593">
        <v>110.04</v>
      </c>
      <c r="F593" t="s">
        <v>317</v>
      </c>
      <c r="G593">
        <v>55.02</v>
      </c>
      <c r="H593">
        <v>132.04</v>
      </c>
      <c r="I593" t="s">
        <v>312</v>
      </c>
      <c r="J593" t="s">
        <v>486</v>
      </c>
      <c r="K593" t="s">
        <v>622</v>
      </c>
      <c r="L593" t="s">
        <v>178</v>
      </c>
      <c r="M593" t="s">
        <v>268</v>
      </c>
      <c r="N593" t="s">
        <v>51</v>
      </c>
      <c r="O593" t="s">
        <v>4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268</v>
      </c>
      <c r="AH593" t="s">
        <v>51</v>
      </c>
      <c r="AI593" t="s">
        <v>4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132.04</v>
      </c>
      <c r="AN593">
        <f>$H$593*$T$593</f>
        <v>132.04</v>
      </c>
      <c r="AO593">
        <f>$H$593*$U$593</f>
        <v>132.04</v>
      </c>
      <c r="AP593">
        <f>$H$593*$V$593</f>
        <v>132.04</v>
      </c>
      <c r="AQ593">
        <f>$H$593*$W$593</f>
        <v>132.04</v>
      </c>
      <c r="AR593">
        <f>$H$593*$X$593</f>
        <v>132.04</v>
      </c>
      <c r="AS593">
        <f>$H$593*$Y$593</f>
        <v>132.04</v>
      </c>
      <c r="AT593">
        <f>$H$593*$Z$593</f>
        <v>132.04</v>
      </c>
      <c r="AU593">
        <f>$H$593*$AA$593</f>
        <v>132.04</v>
      </c>
      <c r="AV593">
        <f>$H$593*$AB$593</f>
        <v>132.04</v>
      </c>
      <c r="AW593">
        <f>$H$593*$AC$593</f>
        <v>132.04</v>
      </c>
      <c r="AX593">
        <f>$H$593*$AD$593</f>
        <v>132.04</v>
      </c>
      <c r="AY593">
        <f>$H$593*$AE$593</f>
        <v>132.04</v>
      </c>
      <c r="AZ593">
        <f>$H$593*$AF$593</f>
        <v>132.04</v>
      </c>
    </row>
    <row r="594" spans="1:52" x14ac:dyDescent="0.25">
      <c r="A594">
        <v>645</v>
      </c>
      <c r="B594" t="s">
        <v>268</v>
      </c>
      <c r="C594" t="s">
        <v>487</v>
      </c>
      <c r="D594">
        <v>1</v>
      </c>
      <c r="E594">
        <v>415.62</v>
      </c>
      <c r="F594" t="s">
        <v>317</v>
      </c>
      <c r="G594">
        <v>415.62</v>
      </c>
      <c r="H594">
        <v>498.74</v>
      </c>
      <c r="I594" t="s">
        <v>354</v>
      </c>
      <c r="J594" t="s">
        <v>486</v>
      </c>
      <c r="K594" t="s">
        <v>623</v>
      </c>
      <c r="L594" t="s">
        <v>178</v>
      </c>
      <c r="M594" t="s">
        <v>268</v>
      </c>
      <c r="N594" t="s">
        <v>51</v>
      </c>
      <c r="O594" t="s">
        <v>4</v>
      </c>
      <c r="P594">
        <v>0</v>
      </c>
      <c r="Q594">
        <v>0</v>
      </c>
      <c r="R594">
        <v>0</v>
      </c>
      <c r="S594">
        <v>0</v>
      </c>
      <c r="T594">
        <v>1</v>
      </c>
      <c r="U594">
        <v>1</v>
      </c>
      <c r="V594">
        <v>1</v>
      </c>
      <c r="W594">
        <v>1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268</v>
      </c>
      <c r="AH594" t="s">
        <v>51</v>
      </c>
      <c r="AI594" t="s">
        <v>4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0</v>
      </c>
      <c r="AN594">
        <f>$H$594*$T$594</f>
        <v>498.74</v>
      </c>
      <c r="AO594">
        <f>$H$594*$U$594</f>
        <v>498.74</v>
      </c>
      <c r="AP594">
        <f>$H$594*$V$594</f>
        <v>498.74</v>
      </c>
      <c r="AQ594">
        <f>$H$594*$W$594</f>
        <v>498.74</v>
      </c>
      <c r="AR594">
        <f>$H$594*$X$594</f>
        <v>498.74</v>
      </c>
      <c r="AS594">
        <f>$H$594*$Y$594</f>
        <v>498.74</v>
      </c>
      <c r="AT594">
        <f>$H$594*$Z$594</f>
        <v>498.74</v>
      </c>
      <c r="AU594">
        <f>$H$594*$AA$594</f>
        <v>498.74</v>
      </c>
      <c r="AV594">
        <f>$H$594*$AB$594</f>
        <v>498.74</v>
      </c>
      <c r="AW594">
        <f>$H$594*$AC$594</f>
        <v>498.74</v>
      </c>
      <c r="AX594">
        <f>$H$594*$AD$594</f>
        <v>498.74</v>
      </c>
      <c r="AY594">
        <f>$H$594*$AE$594</f>
        <v>498.74</v>
      </c>
      <c r="AZ594">
        <f>$H$594*$AF$594</f>
        <v>498.74</v>
      </c>
    </row>
    <row r="595" spans="1:52" x14ac:dyDescent="0.25">
      <c r="A595">
        <v>646</v>
      </c>
      <c r="B595" t="s">
        <v>268</v>
      </c>
      <c r="C595" t="s">
        <v>358</v>
      </c>
      <c r="D595">
        <v>2</v>
      </c>
      <c r="E595">
        <v>77.86</v>
      </c>
      <c r="F595" t="s">
        <v>317</v>
      </c>
      <c r="G595">
        <v>38.93</v>
      </c>
      <c r="H595">
        <v>93.44</v>
      </c>
      <c r="I595" t="s">
        <v>312</v>
      </c>
      <c r="J595" t="s">
        <v>354</v>
      </c>
      <c r="K595" t="s">
        <v>557</v>
      </c>
      <c r="L595" t="s">
        <v>178</v>
      </c>
      <c r="M595" t="s">
        <v>268</v>
      </c>
      <c r="N595" t="s">
        <v>51</v>
      </c>
      <c r="O595" t="s">
        <v>4</v>
      </c>
      <c r="P595">
        <v>0</v>
      </c>
      <c r="Q595">
        <v>0</v>
      </c>
      <c r="R595">
        <v>0</v>
      </c>
      <c r="S595">
        <v>1</v>
      </c>
      <c r="T595">
        <v>1</v>
      </c>
      <c r="U595">
        <v>1</v>
      </c>
      <c r="V595">
        <v>1</v>
      </c>
      <c r="W595">
        <v>1</v>
      </c>
      <c r="X595">
        <v>1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268</v>
      </c>
      <c r="AH595" t="s">
        <v>51</v>
      </c>
      <c r="AI595" t="s">
        <v>4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93.44</v>
      </c>
      <c r="AN595">
        <f>$H$595*$T$595</f>
        <v>93.44</v>
      </c>
      <c r="AO595">
        <f>$H$595*$U$595</f>
        <v>93.44</v>
      </c>
      <c r="AP595">
        <f>$H$595*$V$595</f>
        <v>93.44</v>
      </c>
      <c r="AQ595">
        <f>$H$595*$W$595</f>
        <v>93.44</v>
      </c>
      <c r="AR595">
        <f>$H$595*$X$595</f>
        <v>93.44</v>
      </c>
      <c r="AS595">
        <f>$H$595*$Y$595</f>
        <v>93.44</v>
      </c>
      <c r="AT595">
        <f>$H$595*$Z$595</f>
        <v>93.44</v>
      </c>
      <c r="AU595">
        <f>$H$595*$AA$595</f>
        <v>93.44</v>
      </c>
      <c r="AV595">
        <f>$H$595*$AB$595</f>
        <v>93.44</v>
      </c>
      <c r="AW595">
        <f>$H$595*$AC$595</f>
        <v>93.44</v>
      </c>
      <c r="AX595">
        <f>$H$595*$AD$595</f>
        <v>93.44</v>
      </c>
      <c r="AY595">
        <f>$H$595*$AE$595</f>
        <v>93.44</v>
      </c>
      <c r="AZ595">
        <f>$H$595*$AF$595</f>
        <v>93.44</v>
      </c>
    </row>
    <row r="596" spans="1:52" x14ac:dyDescent="0.25">
      <c r="A596">
        <v>647</v>
      </c>
      <c r="B596" t="s">
        <v>268</v>
      </c>
      <c r="C596" t="s">
        <v>356</v>
      </c>
      <c r="D596">
        <v>2</v>
      </c>
      <c r="E596">
        <v>62.72</v>
      </c>
      <c r="F596" t="s">
        <v>317</v>
      </c>
      <c r="G596">
        <v>31.36</v>
      </c>
      <c r="H596">
        <v>75.260000000000005</v>
      </c>
      <c r="I596" t="s">
        <v>312</v>
      </c>
      <c r="J596" t="s">
        <v>357</v>
      </c>
      <c r="K596" t="s">
        <v>556</v>
      </c>
      <c r="L596" t="s">
        <v>178</v>
      </c>
      <c r="M596" t="s">
        <v>268</v>
      </c>
      <c r="N596" t="s">
        <v>51</v>
      </c>
      <c r="O596" t="s">
        <v>4</v>
      </c>
      <c r="P596">
        <v>0</v>
      </c>
      <c r="Q596">
        <v>0</v>
      </c>
      <c r="R596">
        <v>0</v>
      </c>
      <c r="S596">
        <v>1</v>
      </c>
      <c r="T596">
        <v>1</v>
      </c>
      <c r="U596">
        <v>1</v>
      </c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268</v>
      </c>
      <c r="AH596" t="s">
        <v>51</v>
      </c>
      <c r="AI596" t="s">
        <v>4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75.260000000000005</v>
      </c>
      <c r="AN596">
        <f>$H$596*$T$596</f>
        <v>75.260000000000005</v>
      </c>
      <c r="AO596">
        <f>$H$596*$U$596</f>
        <v>75.260000000000005</v>
      </c>
      <c r="AP596">
        <f>$H$596*$V$596</f>
        <v>75.260000000000005</v>
      </c>
      <c r="AQ596">
        <f>$H$596*$W$596</f>
        <v>75.260000000000005</v>
      </c>
      <c r="AR596">
        <f>$H$596*$X$596</f>
        <v>75.260000000000005</v>
      </c>
      <c r="AS596">
        <f>$H$596*$Y$596</f>
        <v>75.260000000000005</v>
      </c>
      <c r="AT596">
        <f>$H$596*$Z$596</f>
        <v>75.260000000000005</v>
      </c>
      <c r="AU596">
        <f>$H$596*$AA$596</f>
        <v>75.260000000000005</v>
      </c>
      <c r="AV596">
        <f>$H$596*$AB$596</f>
        <v>75.260000000000005</v>
      </c>
      <c r="AW596">
        <f>$H$596*$AC$596</f>
        <v>75.260000000000005</v>
      </c>
      <c r="AX596">
        <f>$H$596*$AD$596</f>
        <v>75.260000000000005</v>
      </c>
      <c r="AY596">
        <f>$H$596*$AE$596</f>
        <v>75.260000000000005</v>
      </c>
      <c r="AZ596">
        <f>$H$596*$AF$596</f>
        <v>75.260000000000005</v>
      </c>
    </row>
    <row r="597" spans="1:52" x14ac:dyDescent="0.25">
      <c r="A597">
        <v>648</v>
      </c>
      <c r="B597" t="s">
        <v>268</v>
      </c>
      <c r="C597" t="s">
        <v>353</v>
      </c>
      <c r="D597">
        <v>1</v>
      </c>
      <c r="E597">
        <v>365.09</v>
      </c>
      <c r="F597" t="s">
        <v>317</v>
      </c>
      <c r="G597">
        <v>365.09</v>
      </c>
      <c r="H597">
        <v>438.11</v>
      </c>
      <c r="I597" t="s">
        <v>354</v>
      </c>
      <c r="J597" t="s">
        <v>355</v>
      </c>
      <c r="K597" t="s">
        <v>555</v>
      </c>
      <c r="L597" t="s">
        <v>178</v>
      </c>
      <c r="M597" t="s">
        <v>268</v>
      </c>
      <c r="N597" t="s">
        <v>51</v>
      </c>
      <c r="O597" t="s">
        <v>4</v>
      </c>
      <c r="P597">
        <v>0</v>
      </c>
      <c r="Q597">
        <v>0</v>
      </c>
      <c r="R597">
        <v>0</v>
      </c>
      <c r="S597">
        <v>0</v>
      </c>
      <c r="T597">
        <v>1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1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268</v>
      </c>
      <c r="AH597" t="s">
        <v>51</v>
      </c>
      <c r="AI597" t="s">
        <v>4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438.11</v>
      </c>
      <c r="AO597">
        <f>$H$597*$U$597</f>
        <v>438.11</v>
      </c>
      <c r="AP597">
        <f>$H$597*$V$597</f>
        <v>438.11</v>
      </c>
      <c r="AQ597">
        <f>$H$597*$W$597</f>
        <v>438.11</v>
      </c>
      <c r="AR597">
        <f>$H$597*$X$597</f>
        <v>438.11</v>
      </c>
      <c r="AS597">
        <f>$H$597*$Y$597</f>
        <v>438.11</v>
      </c>
      <c r="AT597">
        <f>$H$597*$Z$597</f>
        <v>438.11</v>
      </c>
      <c r="AU597">
        <f>$H$597*$AA$597</f>
        <v>438.11</v>
      </c>
      <c r="AV597">
        <f>$H$597*$AB$597</f>
        <v>438.11</v>
      </c>
      <c r="AW597">
        <f>$H$597*$AC$597</f>
        <v>438.11</v>
      </c>
      <c r="AX597">
        <f>$H$597*$AD$597</f>
        <v>438.11</v>
      </c>
      <c r="AY597">
        <f>$H$597*$AE$597</f>
        <v>438.11</v>
      </c>
      <c r="AZ597">
        <f>$H$597*$AF$597</f>
        <v>438.11</v>
      </c>
    </row>
    <row r="598" spans="1:52" x14ac:dyDescent="0.25">
      <c r="A598">
        <v>649</v>
      </c>
      <c r="B598" t="s">
        <v>268</v>
      </c>
      <c r="C598" t="s">
        <v>345</v>
      </c>
      <c r="D598">
        <v>413.33</v>
      </c>
      <c r="E598">
        <v>405.06</v>
      </c>
      <c r="F598" t="s">
        <v>335</v>
      </c>
      <c r="G598">
        <v>0.98</v>
      </c>
      <c r="H598">
        <v>486.08</v>
      </c>
      <c r="I598" t="s">
        <v>312</v>
      </c>
      <c r="J598" t="s">
        <v>346</v>
      </c>
      <c r="K598" t="s">
        <v>552</v>
      </c>
      <c r="L598" t="s">
        <v>178</v>
      </c>
      <c r="M598" t="s">
        <v>268</v>
      </c>
      <c r="N598" t="s">
        <v>51</v>
      </c>
      <c r="O598" t="s">
        <v>4</v>
      </c>
      <c r="P598">
        <v>0</v>
      </c>
      <c r="Q598">
        <v>0</v>
      </c>
      <c r="R598">
        <v>0</v>
      </c>
      <c r="S598">
        <v>0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268</v>
      </c>
      <c r="AH598" t="s">
        <v>51</v>
      </c>
      <c r="AI598" t="s">
        <v>4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486.08</v>
      </c>
      <c r="AO598">
        <f>$H$598*$U$598</f>
        <v>486.08</v>
      </c>
      <c r="AP598">
        <f>$H$598*$V$598</f>
        <v>486.08</v>
      </c>
      <c r="AQ598">
        <f>$H$598*$W$598</f>
        <v>486.08</v>
      </c>
      <c r="AR598">
        <f>$H$598*$X$598</f>
        <v>486.08</v>
      </c>
      <c r="AS598">
        <f>$H$598*$Y$598</f>
        <v>486.08</v>
      </c>
      <c r="AT598">
        <f>$H$598*$Z$598</f>
        <v>486.08</v>
      </c>
      <c r="AU598">
        <f>$H$598*$AA$598</f>
        <v>486.08</v>
      </c>
      <c r="AV598">
        <f>$H$598*$AB$598</f>
        <v>486.08</v>
      </c>
      <c r="AW598">
        <f>$H$598*$AC$598</f>
        <v>486.08</v>
      </c>
      <c r="AX598">
        <f>$H$598*$AD$598</f>
        <v>486.08</v>
      </c>
      <c r="AY598">
        <f>$H$598*$AE$598</f>
        <v>486.08</v>
      </c>
      <c r="AZ598">
        <f>$H$598*$AF$598</f>
        <v>486.08</v>
      </c>
    </row>
    <row r="599" spans="1:52" x14ac:dyDescent="0.25">
      <c r="A599">
        <v>650</v>
      </c>
      <c r="B599" t="s">
        <v>268</v>
      </c>
      <c r="C599" t="s">
        <v>400</v>
      </c>
      <c r="D599">
        <v>413.33</v>
      </c>
      <c r="E599">
        <v>1388.79</v>
      </c>
      <c r="F599" t="s">
        <v>335</v>
      </c>
      <c r="G599">
        <v>3.36</v>
      </c>
      <c r="H599">
        <v>1666.55</v>
      </c>
      <c r="I599" t="s">
        <v>348</v>
      </c>
      <c r="J599" t="s">
        <v>401</v>
      </c>
      <c r="K599" t="s">
        <v>579</v>
      </c>
      <c r="L599" t="s">
        <v>178</v>
      </c>
      <c r="M599" t="s">
        <v>268</v>
      </c>
      <c r="N599" t="s">
        <v>51</v>
      </c>
      <c r="O599" t="s">
        <v>4</v>
      </c>
      <c r="P599">
        <v>0</v>
      </c>
      <c r="Q599">
        <v>0</v>
      </c>
      <c r="R599">
        <v>0</v>
      </c>
      <c r="S599">
        <v>0.25</v>
      </c>
      <c r="T599">
        <v>0.25</v>
      </c>
      <c r="U599">
        <v>0.25</v>
      </c>
      <c r="V599">
        <v>0.25</v>
      </c>
      <c r="W599">
        <v>0.5</v>
      </c>
      <c r="X599">
        <v>0.5</v>
      </c>
      <c r="Y599">
        <v>0.5</v>
      </c>
      <c r="Z599">
        <v>0.5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268</v>
      </c>
      <c r="AH599" t="s">
        <v>51</v>
      </c>
      <c r="AI599" t="s">
        <v>4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416.63749999999999</v>
      </c>
      <c r="AN599">
        <f>$H$599*$T$599</f>
        <v>416.63749999999999</v>
      </c>
      <c r="AO599">
        <f>$H$599*$U$599</f>
        <v>416.63749999999999</v>
      </c>
      <c r="AP599">
        <f>$H$599*$V$599</f>
        <v>416.63749999999999</v>
      </c>
      <c r="AQ599">
        <f>$H$599*$W$599</f>
        <v>833.27499999999998</v>
      </c>
      <c r="AR599">
        <f>$H$599*$X$599</f>
        <v>833.27499999999998</v>
      </c>
      <c r="AS599">
        <f>$H$599*$Y$599</f>
        <v>833.27499999999998</v>
      </c>
      <c r="AT599">
        <f>$H$599*$Z$599</f>
        <v>833.27499999999998</v>
      </c>
      <c r="AU599">
        <f>$H$599*$AA$599</f>
        <v>1666.55</v>
      </c>
      <c r="AV599">
        <f>$H$599*$AB$599</f>
        <v>1666.55</v>
      </c>
      <c r="AW599">
        <f>$H$599*$AC$599</f>
        <v>1666.55</v>
      </c>
      <c r="AX599">
        <f>$H$599*$AD$599</f>
        <v>1666.55</v>
      </c>
      <c r="AY599">
        <f>$H$599*$AE$599</f>
        <v>1666.55</v>
      </c>
      <c r="AZ599">
        <f>$H$599*$AF$599</f>
        <v>1666.55</v>
      </c>
    </row>
    <row r="600" spans="1:52" x14ac:dyDescent="0.25">
      <c r="A600">
        <v>651</v>
      </c>
      <c r="B600" t="s">
        <v>268</v>
      </c>
      <c r="C600" t="s">
        <v>402</v>
      </c>
      <c r="D600">
        <v>51.67</v>
      </c>
      <c r="E600">
        <v>78.02</v>
      </c>
      <c r="F600" t="s">
        <v>311</v>
      </c>
      <c r="G600">
        <v>1.51</v>
      </c>
      <c r="H600">
        <v>93.62</v>
      </c>
      <c r="I600" t="s">
        <v>312</v>
      </c>
      <c r="J600" t="s">
        <v>403</v>
      </c>
      <c r="K600" t="s">
        <v>580</v>
      </c>
      <c r="L600" t="s">
        <v>178</v>
      </c>
      <c r="M600" t="s">
        <v>268</v>
      </c>
      <c r="N600" t="s">
        <v>51</v>
      </c>
      <c r="O600" t="s">
        <v>4</v>
      </c>
      <c r="P600">
        <v>0</v>
      </c>
      <c r="Q600">
        <v>0</v>
      </c>
      <c r="R600">
        <v>0</v>
      </c>
      <c r="S600">
        <v>1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268</v>
      </c>
      <c r="AH600" t="s">
        <v>51</v>
      </c>
      <c r="AI600" t="s">
        <v>4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93.62</v>
      </c>
      <c r="AN600">
        <f>$H$600*$T$600</f>
        <v>93.62</v>
      </c>
      <c r="AO600">
        <f>$H$600*$U$600</f>
        <v>93.62</v>
      </c>
      <c r="AP600">
        <f>$H$600*$V$600</f>
        <v>93.62</v>
      </c>
      <c r="AQ600">
        <f>$H$600*$W$600</f>
        <v>93.62</v>
      </c>
      <c r="AR600">
        <f>$H$600*$X$600</f>
        <v>93.62</v>
      </c>
      <c r="AS600">
        <f>$H$600*$Y$600</f>
        <v>93.62</v>
      </c>
      <c r="AT600">
        <f>$H$600*$Z$600</f>
        <v>93.62</v>
      </c>
      <c r="AU600">
        <f>$H$600*$AA$600</f>
        <v>93.62</v>
      </c>
      <c r="AV600">
        <f>$H$600*$AB$600</f>
        <v>93.62</v>
      </c>
      <c r="AW600">
        <f>$H$600*$AC$600</f>
        <v>93.62</v>
      </c>
      <c r="AX600">
        <f>$H$600*$AD$600</f>
        <v>93.62</v>
      </c>
      <c r="AY600">
        <f>$H$600*$AE$600</f>
        <v>93.62</v>
      </c>
      <c r="AZ600">
        <f>$H$600*$AF$600</f>
        <v>93.62</v>
      </c>
    </row>
    <row r="601" spans="1:52" x14ac:dyDescent="0.25">
      <c r="A601">
        <v>652</v>
      </c>
      <c r="B601" t="s">
        <v>268</v>
      </c>
      <c r="C601" t="s">
        <v>404</v>
      </c>
      <c r="D601">
        <v>51.67</v>
      </c>
      <c r="E601">
        <v>293.49</v>
      </c>
      <c r="F601" t="s">
        <v>311</v>
      </c>
      <c r="G601">
        <v>5.68</v>
      </c>
      <c r="H601">
        <v>352.19</v>
      </c>
      <c r="I601" t="s">
        <v>315</v>
      </c>
      <c r="J601" t="s">
        <v>405</v>
      </c>
      <c r="K601" t="s">
        <v>581</v>
      </c>
      <c r="L601" t="s">
        <v>178</v>
      </c>
      <c r="M601" t="s">
        <v>268</v>
      </c>
      <c r="N601" t="s">
        <v>51</v>
      </c>
      <c r="O601" t="s">
        <v>4</v>
      </c>
      <c r="P601">
        <v>0</v>
      </c>
      <c r="Q601">
        <v>0</v>
      </c>
      <c r="R601">
        <v>0</v>
      </c>
      <c r="S601">
        <v>1</v>
      </c>
      <c r="T601">
        <v>1</v>
      </c>
      <c r="U601">
        <v>1</v>
      </c>
      <c r="V601">
        <v>1</v>
      </c>
      <c r="W601">
        <v>1</v>
      </c>
      <c r="X601">
        <v>1</v>
      </c>
      <c r="Y601">
        <v>1</v>
      </c>
      <c r="Z601">
        <v>1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268</v>
      </c>
      <c r="AH601" t="s">
        <v>51</v>
      </c>
      <c r="AI601" t="s">
        <v>4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352.19</v>
      </c>
      <c r="AN601">
        <f>$H$601*$T$601</f>
        <v>352.19</v>
      </c>
      <c r="AO601">
        <f>$H$601*$U$601</f>
        <v>352.19</v>
      </c>
      <c r="AP601">
        <f>$H$601*$V$601</f>
        <v>352.19</v>
      </c>
      <c r="AQ601">
        <f>$H$601*$W$601</f>
        <v>352.19</v>
      </c>
      <c r="AR601">
        <f>$H$601*$X$601</f>
        <v>352.19</v>
      </c>
      <c r="AS601">
        <f>$H$601*$Y$601</f>
        <v>352.19</v>
      </c>
      <c r="AT601">
        <f>$H$601*$Z$601</f>
        <v>352.19</v>
      </c>
      <c r="AU601">
        <f>$H$601*$AA$601</f>
        <v>352.19</v>
      </c>
      <c r="AV601">
        <f>$H$601*$AB$601</f>
        <v>352.19</v>
      </c>
      <c r="AW601">
        <f>$H$601*$AC$601</f>
        <v>352.19</v>
      </c>
      <c r="AX601">
        <f>$H$601*$AD$601</f>
        <v>352.19</v>
      </c>
      <c r="AY601">
        <f>$H$601*$AE$601</f>
        <v>352.19</v>
      </c>
      <c r="AZ601">
        <f>$H$601*$AF$601</f>
        <v>352.19</v>
      </c>
    </row>
    <row r="602" spans="1:52" x14ac:dyDescent="0.25">
      <c r="A602">
        <v>653</v>
      </c>
      <c r="B602" t="s">
        <v>268</v>
      </c>
      <c r="C602" t="s">
        <v>400</v>
      </c>
      <c r="D602">
        <v>165.84</v>
      </c>
      <c r="E602">
        <v>557.22</v>
      </c>
      <c r="F602" t="s">
        <v>335</v>
      </c>
      <c r="G602">
        <v>3.36</v>
      </c>
      <c r="H602">
        <v>668.66</v>
      </c>
      <c r="I602" t="s">
        <v>348</v>
      </c>
      <c r="J602" t="s">
        <v>401</v>
      </c>
      <c r="K602" t="s">
        <v>579</v>
      </c>
      <c r="L602" t="s">
        <v>178</v>
      </c>
      <c r="M602" t="s">
        <v>268</v>
      </c>
      <c r="N602" t="s">
        <v>51</v>
      </c>
      <c r="O602" t="s">
        <v>4</v>
      </c>
      <c r="P602">
        <v>0</v>
      </c>
      <c r="Q602">
        <v>0</v>
      </c>
      <c r="R602">
        <v>0</v>
      </c>
      <c r="S602">
        <v>0.25</v>
      </c>
      <c r="T602">
        <v>0.25</v>
      </c>
      <c r="U602">
        <v>0.25</v>
      </c>
      <c r="V602">
        <v>0.25</v>
      </c>
      <c r="W602">
        <v>0.5</v>
      </c>
      <c r="X602">
        <v>0.5</v>
      </c>
      <c r="Y602">
        <v>0.5</v>
      </c>
      <c r="Z602">
        <v>0.5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268</v>
      </c>
      <c r="AH602" t="s">
        <v>51</v>
      </c>
      <c r="AI602" t="s">
        <v>4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167.16499999999999</v>
      </c>
      <c r="AN602">
        <f>$H$602*$T$602</f>
        <v>167.16499999999999</v>
      </c>
      <c r="AO602">
        <f>$H$602*$U$602</f>
        <v>167.16499999999999</v>
      </c>
      <c r="AP602">
        <f>$H$602*$V$602</f>
        <v>167.16499999999999</v>
      </c>
      <c r="AQ602">
        <f>$H$602*$W$602</f>
        <v>334.33</v>
      </c>
      <c r="AR602">
        <f>$H$602*$X$602</f>
        <v>334.33</v>
      </c>
      <c r="AS602">
        <f>$H$602*$Y$602</f>
        <v>334.33</v>
      </c>
      <c r="AT602">
        <f>$H$602*$Z$602</f>
        <v>334.33</v>
      </c>
      <c r="AU602">
        <f>$H$602*$AA$602</f>
        <v>668.66</v>
      </c>
      <c r="AV602">
        <f>$H$602*$AB$602</f>
        <v>668.66</v>
      </c>
      <c r="AW602">
        <f>$H$602*$AC$602</f>
        <v>668.66</v>
      </c>
      <c r="AX602">
        <f>$H$602*$AD$602</f>
        <v>668.66</v>
      </c>
      <c r="AY602">
        <f>$H$602*$AE$602</f>
        <v>668.66</v>
      </c>
      <c r="AZ602">
        <f>$H$602*$AF$602</f>
        <v>668.66</v>
      </c>
    </row>
    <row r="603" spans="1:52" x14ac:dyDescent="0.25">
      <c r="A603">
        <v>654</v>
      </c>
      <c r="B603" t="s">
        <v>268</v>
      </c>
      <c r="C603" t="s">
        <v>406</v>
      </c>
      <c r="D603">
        <v>165.84</v>
      </c>
      <c r="E603">
        <v>104.48</v>
      </c>
      <c r="F603" t="s">
        <v>335</v>
      </c>
      <c r="G603">
        <v>0.63</v>
      </c>
      <c r="H603">
        <v>125.38</v>
      </c>
      <c r="I603" t="s">
        <v>312</v>
      </c>
      <c r="J603" t="s">
        <v>407</v>
      </c>
      <c r="K603" t="s">
        <v>582</v>
      </c>
      <c r="L603" t="s">
        <v>178</v>
      </c>
      <c r="M603" t="s">
        <v>268</v>
      </c>
      <c r="N603" t="s">
        <v>51</v>
      </c>
      <c r="O603" t="s">
        <v>4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1</v>
      </c>
      <c r="AE603">
        <v>1</v>
      </c>
      <c r="AF603">
        <v>1</v>
      </c>
      <c r="AG603" t="s">
        <v>268</v>
      </c>
      <c r="AH603" t="s">
        <v>51</v>
      </c>
      <c r="AI603" t="s">
        <v>4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0</v>
      </c>
      <c r="AN603">
        <f>$H$603*$T$603</f>
        <v>0</v>
      </c>
      <c r="AO603">
        <f>$H$603*$U$603</f>
        <v>0</v>
      </c>
      <c r="AP603">
        <f>$H$603*$V$603</f>
        <v>0</v>
      </c>
      <c r="AQ603">
        <f>$H$603*$W$603</f>
        <v>0</v>
      </c>
      <c r="AR603">
        <f>$H$603*$X$603</f>
        <v>0</v>
      </c>
      <c r="AS603">
        <f>$H$603*$Y$603</f>
        <v>0</v>
      </c>
      <c r="AT603">
        <f>$H$603*$Z$603</f>
        <v>0</v>
      </c>
      <c r="AU603">
        <f>$H$603*$AA$603</f>
        <v>0</v>
      </c>
      <c r="AV603">
        <f>$H$603*$AB$603</f>
        <v>0</v>
      </c>
      <c r="AW603">
        <f>$H$603*$AC$603</f>
        <v>0</v>
      </c>
      <c r="AX603">
        <f>$H$603*$AD$603</f>
        <v>125.38</v>
      </c>
      <c r="AY603">
        <f>$H$603*$AE$603</f>
        <v>125.38</v>
      </c>
      <c r="AZ603">
        <f>$H$603*$AF$603</f>
        <v>125.38</v>
      </c>
    </row>
    <row r="604" spans="1:52" x14ac:dyDescent="0.25">
      <c r="A604">
        <v>655</v>
      </c>
      <c r="B604" t="s">
        <v>268</v>
      </c>
      <c r="C604" t="s">
        <v>408</v>
      </c>
      <c r="D604">
        <v>165.84</v>
      </c>
      <c r="E604">
        <v>114.43</v>
      </c>
      <c r="F604" t="s">
        <v>335</v>
      </c>
      <c r="G604">
        <v>0.69</v>
      </c>
      <c r="H604">
        <v>137.31</v>
      </c>
      <c r="I604" t="s">
        <v>312</v>
      </c>
      <c r="J604" t="s">
        <v>409</v>
      </c>
      <c r="K604" t="s">
        <v>583</v>
      </c>
      <c r="L604" t="s">
        <v>178</v>
      </c>
      <c r="M604" t="s">
        <v>268</v>
      </c>
      <c r="N604" t="s">
        <v>51</v>
      </c>
      <c r="O604" t="s">
        <v>4</v>
      </c>
      <c r="P604">
        <v>0</v>
      </c>
      <c r="Q604">
        <v>0</v>
      </c>
      <c r="R604">
        <v>0</v>
      </c>
      <c r="S604">
        <v>1</v>
      </c>
      <c r="T604">
        <v>1</v>
      </c>
      <c r="U604">
        <v>1</v>
      </c>
      <c r="V604">
        <v>1</v>
      </c>
      <c r="W604">
        <v>1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268</v>
      </c>
      <c r="AH604" t="s">
        <v>51</v>
      </c>
      <c r="AI604" t="s">
        <v>4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137.31</v>
      </c>
      <c r="AN604">
        <f>$H$604*$T$604</f>
        <v>137.31</v>
      </c>
      <c r="AO604">
        <f>$H$604*$U$604</f>
        <v>137.31</v>
      </c>
      <c r="AP604">
        <f>$H$604*$V$604</f>
        <v>137.31</v>
      </c>
      <c r="AQ604">
        <f>$H$604*$W$604</f>
        <v>137.31</v>
      </c>
      <c r="AR604">
        <f>$H$604*$X$604</f>
        <v>137.31</v>
      </c>
      <c r="AS604">
        <f>$H$604*$Y$604</f>
        <v>137.31</v>
      </c>
      <c r="AT604">
        <f>$H$604*$Z$604</f>
        <v>137.31</v>
      </c>
      <c r="AU604">
        <f>$H$604*$AA$604</f>
        <v>137.31</v>
      </c>
      <c r="AV604">
        <f>$H$604*$AB$604</f>
        <v>137.31</v>
      </c>
      <c r="AW604">
        <f>$H$604*$AC$604</f>
        <v>137.31</v>
      </c>
      <c r="AX604">
        <f>$H$604*$AD$604</f>
        <v>137.31</v>
      </c>
      <c r="AY604">
        <f>$H$604*$AE$604</f>
        <v>137.31</v>
      </c>
      <c r="AZ604">
        <f>$H$604*$AF$604</f>
        <v>137.31</v>
      </c>
    </row>
    <row r="605" spans="1:52" x14ac:dyDescent="0.25">
      <c r="A605">
        <v>656</v>
      </c>
      <c r="B605" t="s">
        <v>268</v>
      </c>
      <c r="C605" t="s">
        <v>410</v>
      </c>
      <c r="D605">
        <v>34.83</v>
      </c>
      <c r="E605">
        <v>237.19</v>
      </c>
      <c r="F605" t="s">
        <v>335</v>
      </c>
      <c r="G605">
        <v>6.81</v>
      </c>
      <c r="H605">
        <v>284.63</v>
      </c>
      <c r="I605" t="s">
        <v>411</v>
      </c>
      <c r="J605" t="s">
        <v>412</v>
      </c>
      <c r="K605" t="s">
        <v>584</v>
      </c>
      <c r="L605" t="s">
        <v>178</v>
      </c>
      <c r="M605" t="s">
        <v>268</v>
      </c>
      <c r="N605" t="s">
        <v>51</v>
      </c>
      <c r="O605" t="s">
        <v>4</v>
      </c>
      <c r="P605">
        <v>0</v>
      </c>
      <c r="Q605">
        <v>0</v>
      </c>
      <c r="R605">
        <v>0</v>
      </c>
      <c r="S605">
        <v>1</v>
      </c>
      <c r="T605">
        <v>1</v>
      </c>
      <c r="U605">
        <v>1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268</v>
      </c>
      <c r="AH605" t="s">
        <v>51</v>
      </c>
      <c r="AI605" t="s">
        <v>4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284.63</v>
      </c>
      <c r="AN605">
        <f>$H$605*$T$605</f>
        <v>284.63</v>
      </c>
      <c r="AO605">
        <f>$H$605*$U$605</f>
        <v>284.63</v>
      </c>
      <c r="AP605">
        <f>$H$605*$V$605</f>
        <v>284.63</v>
      </c>
      <c r="AQ605">
        <f>$H$605*$W$605</f>
        <v>284.63</v>
      </c>
      <c r="AR605">
        <f>$H$605*$X$605</f>
        <v>284.63</v>
      </c>
      <c r="AS605">
        <f>$H$605*$Y$605</f>
        <v>284.63</v>
      </c>
      <c r="AT605">
        <f>$H$605*$Z$605</f>
        <v>284.63</v>
      </c>
      <c r="AU605">
        <f>$H$605*$AA$605</f>
        <v>284.63</v>
      </c>
      <c r="AV605">
        <f>$H$605*$AB$605</f>
        <v>284.63</v>
      </c>
      <c r="AW605">
        <f>$H$605*$AC$605</f>
        <v>284.63</v>
      </c>
      <c r="AX605">
        <f>$H$605*$AD$605</f>
        <v>284.63</v>
      </c>
      <c r="AY605">
        <f>$H$605*$AE$605</f>
        <v>284.63</v>
      </c>
      <c r="AZ605">
        <f>$H$605*$AF$605</f>
        <v>284.63</v>
      </c>
    </row>
    <row r="606" spans="1:52" x14ac:dyDescent="0.25">
      <c r="A606">
        <v>657</v>
      </c>
      <c r="B606" t="s">
        <v>268</v>
      </c>
      <c r="C606" t="s">
        <v>413</v>
      </c>
      <c r="D606">
        <v>38.14</v>
      </c>
      <c r="E606">
        <v>281.08999999999997</v>
      </c>
      <c r="F606" t="s">
        <v>335</v>
      </c>
      <c r="G606">
        <v>7.37</v>
      </c>
      <c r="H606">
        <v>337.31</v>
      </c>
      <c r="I606" t="s">
        <v>411</v>
      </c>
      <c r="J606" t="s">
        <v>414</v>
      </c>
      <c r="K606" t="s">
        <v>585</v>
      </c>
      <c r="L606" t="s">
        <v>178</v>
      </c>
      <c r="M606" t="s">
        <v>268</v>
      </c>
      <c r="N606" t="s">
        <v>51</v>
      </c>
      <c r="O606" t="s">
        <v>4</v>
      </c>
      <c r="P606">
        <v>0</v>
      </c>
      <c r="Q606">
        <v>0</v>
      </c>
      <c r="R606">
        <v>0</v>
      </c>
      <c r="S606">
        <v>1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268</v>
      </c>
      <c r="AH606" t="s">
        <v>51</v>
      </c>
      <c r="AI606" t="s">
        <v>4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337.31</v>
      </c>
      <c r="AN606">
        <f>$H$606*$T$606</f>
        <v>337.31</v>
      </c>
      <c r="AO606">
        <f>$H$606*$U$606</f>
        <v>337.31</v>
      </c>
      <c r="AP606">
        <f>$H$606*$V$606</f>
        <v>337.31</v>
      </c>
      <c r="AQ606">
        <f>$H$606*$W$606</f>
        <v>337.31</v>
      </c>
      <c r="AR606">
        <f>$H$606*$X$606</f>
        <v>337.31</v>
      </c>
      <c r="AS606">
        <f>$H$606*$Y$606</f>
        <v>337.31</v>
      </c>
      <c r="AT606">
        <f>$H$606*$Z$606</f>
        <v>337.31</v>
      </c>
      <c r="AU606">
        <f>$H$606*$AA$606</f>
        <v>337.31</v>
      </c>
      <c r="AV606">
        <f>$H$606*$AB$606</f>
        <v>337.31</v>
      </c>
      <c r="AW606">
        <f>$H$606*$AC$606</f>
        <v>337.31</v>
      </c>
      <c r="AX606">
        <f>$H$606*$AD$606</f>
        <v>337.31</v>
      </c>
      <c r="AY606">
        <f>$H$606*$AE$606</f>
        <v>337.31</v>
      </c>
      <c r="AZ606">
        <f>$H$606*$AF$606</f>
        <v>337.31</v>
      </c>
    </row>
    <row r="607" spans="1:52" x14ac:dyDescent="0.25">
      <c r="A607">
        <v>658</v>
      </c>
      <c r="B607" t="s">
        <v>268</v>
      </c>
      <c r="C607" t="s">
        <v>415</v>
      </c>
      <c r="D607">
        <v>34.770000000000003</v>
      </c>
      <c r="E607">
        <v>189.84</v>
      </c>
      <c r="F607" t="s">
        <v>335</v>
      </c>
      <c r="G607">
        <v>5.46</v>
      </c>
      <c r="H607">
        <v>227.8</v>
      </c>
      <c r="I607" t="s">
        <v>416</v>
      </c>
      <c r="J607" t="s">
        <v>417</v>
      </c>
      <c r="K607" t="s">
        <v>586</v>
      </c>
      <c r="L607" t="s">
        <v>178</v>
      </c>
      <c r="M607" t="s">
        <v>268</v>
      </c>
      <c r="N607" t="s">
        <v>51</v>
      </c>
      <c r="O607" t="s">
        <v>4</v>
      </c>
      <c r="P607">
        <v>0</v>
      </c>
      <c r="Q607">
        <v>0</v>
      </c>
      <c r="R607">
        <v>0</v>
      </c>
      <c r="S607">
        <v>1</v>
      </c>
      <c r="T607">
        <v>1</v>
      </c>
      <c r="U607">
        <v>1</v>
      </c>
      <c r="V607">
        <v>1</v>
      </c>
      <c r="W607">
        <v>1</v>
      </c>
      <c r="X607">
        <v>1</v>
      </c>
      <c r="Y607">
        <v>1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268</v>
      </c>
      <c r="AH607" t="s">
        <v>51</v>
      </c>
      <c r="AI607" t="s">
        <v>4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227.8</v>
      </c>
      <c r="AN607">
        <f>$H$607*$T$607</f>
        <v>227.8</v>
      </c>
      <c r="AO607">
        <f>$H$607*$U$607</f>
        <v>227.8</v>
      </c>
      <c r="AP607">
        <f>$H$607*$V$607</f>
        <v>227.8</v>
      </c>
      <c r="AQ607">
        <f>$H$607*$W$607</f>
        <v>227.8</v>
      </c>
      <c r="AR607">
        <f>$H$607*$X$607</f>
        <v>227.8</v>
      </c>
      <c r="AS607">
        <f>$H$607*$Y$607</f>
        <v>227.8</v>
      </c>
      <c r="AT607">
        <f>$H$607*$Z$607</f>
        <v>227.8</v>
      </c>
      <c r="AU607">
        <f>$H$607*$AA$607</f>
        <v>227.8</v>
      </c>
      <c r="AV607">
        <f>$H$607*$AB$607</f>
        <v>227.8</v>
      </c>
      <c r="AW607">
        <f>$H$607*$AC$607</f>
        <v>227.8</v>
      </c>
      <c r="AX607">
        <f>$H$607*$AD$607</f>
        <v>227.8</v>
      </c>
      <c r="AY607">
        <f>$H$607*$AE$607</f>
        <v>227.8</v>
      </c>
      <c r="AZ607">
        <f>$H$607*$AF$607</f>
        <v>227.8</v>
      </c>
    </row>
    <row r="608" spans="1:52" x14ac:dyDescent="0.25">
      <c r="A608">
        <v>659</v>
      </c>
      <c r="B608" t="s">
        <v>268</v>
      </c>
      <c r="C608" t="s">
        <v>418</v>
      </c>
      <c r="D608">
        <v>34.770000000000003</v>
      </c>
      <c r="E608">
        <v>124.48</v>
      </c>
      <c r="F608" t="s">
        <v>335</v>
      </c>
      <c r="G608">
        <v>3.58</v>
      </c>
      <c r="H608">
        <v>149.38</v>
      </c>
      <c r="I608" t="s">
        <v>416</v>
      </c>
      <c r="J608" t="s">
        <v>419</v>
      </c>
      <c r="K608" t="s">
        <v>587</v>
      </c>
      <c r="L608" t="s">
        <v>178</v>
      </c>
      <c r="M608" t="s">
        <v>268</v>
      </c>
      <c r="N608" t="s">
        <v>51</v>
      </c>
      <c r="O608" t="s">
        <v>4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268</v>
      </c>
      <c r="AH608" t="s">
        <v>51</v>
      </c>
      <c r="AI608" t="s">
        <v>4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149.38</v>
      </c>
      <c r="AN608">
        <f>$H$608*$T$608</f>
        <v>149.38</v>
      </c>
      <c r="AO608">
        <f>$H$608*$U$608</f>
        <v>149.38</v>
      </c>
      <c r="AP608">
        <f>$H$608*$V$608</f>
        <v>149.38</v>
      </c>
      <c r="AQ608">
        <f>$H$608*$W$608</f>
        <v>149.38</v>
      </c>
      <c r="AR608">
        <f>$H$608*$X$608</f>
        <v>149.38</v>
      </c>
      <c r="AS608">
        <f>$H$608*$Y$608</f>
        <v>149.38</v>
      </c>
      <c r="AT608">
        <f>$H$608*$Z$608</f>
        <v>149.38</v>
      </c>
      <c r="AU608">
        <f>$H$608*$AA$608</f>
        <v>149.38</v>
      </c>
      <c r="AV608">
        <f>$H$608*$AB$608</f>
        <v>149.38</v>
      </c>
      <c r="AW608">
        <f>$H$608*$AC$608</f>
        <v>149.38</v>
      </c>
      <c r="AX608">
        <f>$H$608*$AD$608</f>
        <v>149.38</v>
      </c>
      <c r="AY608">
        <f>$H$608*$AE$608</f>
        <v>149.38</v>
      </c>
      <c r="AZ608">
        <f>$H$608*$AF$608</f>
        <v>149.38</v>
      </c>
    </row>
    <row r="609" spans="1:52" x14ac:dyDescent="0.25">
      <c r="A609">
        <v>660</v>
      </c>
      <c r="B609" t="s">
        <v>268</v>
      </c>
      <c r="C609" t="s">
        <v>420</v>
      </c>
      <c r="D609">
        <v>34.770000000000003</v>
      </c>
      <c r="E609">
        <v>342.48</v>
      </c>
      <c r="F609" t="s">
        <v>335</v>
      </c>
      <c r="G609">
        <v>9.85</v>
      </c>
      <c r="H609">
        <v>410.98</v>
      </c>
      <c r="I609" t="s">
        <v>416</v>
      </c>
      <c r="J609" t="s">
        <v>414</v>
      </c>
      <c r="K609" t="s">
        <v>588</v>
      </c>
      <c r="L609" t="s">
        <v>178</v>
      </c>
      <c r="M609" t="s">
        <v>268</v>
      </c>
      <c r="N609" t="s">
        <v>51</v>
      </c>
      <c r="O609" t="s">
        <v>4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268</v>
      </c>
      <c r="AH609" t="s">
        <v>51</v>
      </c>
      <c r="AI609" t="s">
        <v>4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410.98</v>
      </c>
      <c r="AN609">
        <f>$H$609*$T$609</f>
        <v>410.98</v>
      </c>
      <c r="AO609">
        <f>$H$609*$U$609</f>
        <v>410.98</v>
      </c>
      <c r="AP609">
        <f>$H$609*$V$609</f>
        <v>410.98</v>
      </c>
      <c r="AQ609">
        <f>$H$609*$W$609</f>
        <v>410.98</v>
      </c>
      <c r="AR609">
        <f>$H$609*$X$609</f>
        <v>410.98</v>
      </c>
      <c r="AS609">
        <f>$H$609*$Y$609</f>
        <v>410.98</v>
      </c>
      <c r="AT609">
        <f>$H$609*$Z$609</f>
        <v>410.98</v>
      </c>
      <c r="AU609">
        <f>$H$609*$AA$609</f>
        <v>410.98</v>
      </c>
      <c r="AV609">
        <f>$H$609*$AB$609</f>
        <v>410.98</v>
      </c>
      <c r="AW609">
        <f>$H$609*$AC$609</f>
        <v>410.98</v>
      </c>
      <c r="AX609">
        <f>$H$609*$AD$609</f>
        <v>410.98</v>
      </c>
      <c r="AY609">
        <f>$H$609*$AE$609</f>
        <v>410.98</v>
      </c>
      <c r="AZ609">
        <f>$H$609*$AF$609</f>
        <v>410.98</v>
      </c>
    </row>
    <row r="610" spans="1:52" x14ac:dyDescent="0.25">
      <c r="A610">
        <v>661</v>
      </c>
      <c r="B610" t="s">
        <v>268</v>
      </c>
      <c r="C610" t="s">
        <v>421</v>
      </c>
      <c r="D610">
        <v>38.14</v>
      </c>
      <c r="E610">
        <v>37</v>
      </c>
      <c r="F610" t="s">
        <v>335</v>
      </c>
      <c r="G610">
        <v>0.97</v>
      </c>
      <c r="H610">
        <v>44.4</v>
      </c>
      <c r="I610" t="s">
        <v>360</v>
      </c>
      <c r="J610" t="s">
        <v>422</v>
      </c>
      <c r="K610" t="s">
        <v>589</v>
      </c>
      <c r="L610" t="s">
        <v>178</v>
      </c>
      <c r="M610" t="s">
        <v>268</v>
      </c>
      <c r="N610" t="s">
        <v>51</v>
      </c>
      <c r="O610" t="s">
        <v>4</v>
      </c>
      <c r="P610">
        <v>0</v>
      </c>
      <c r="Q610">
        <v>0</v>
      </c>
      <c r="R610">
        <v>0</v>
      </c>
      <c r="S610">
        <v>1</v>
      </c>
      <c r="T610">
        <v>1</v>
      </c>
      <c r="U610">
        <v>1</v>
      </c>
      <c r="V610">
        <v>1</v>
      </c>
      <c r="W610">
        <v>1</v>
      </c>
      <c r="X610">
        <v>1</v>
      </c>
      <c r="Y610">
        <v>1</v>
      </c>
      <c r="Z610">
        <v>1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268</v>
      </c>
      <c r="AH610" t="s">
        <v>51</v>
      </c>
      <c r="AI610" t="s">
        <v>4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44.4</v>
      </c>
      <c r="AN610">
        <f>$H$610*$T$610</f>
        <v>44.4</v>
      </c>
      <c r="AO610">
        <f>$H$610*$U$610</f>
        <v>44.4</v>
      </c>
      <c r="AP610">
        <f>$H$610*$V$610</f>
        <v>44.4</v>
      </c>
      <c r="AQ610">
        <f>$H$610*$W$610</f>
        <v>44.4</v>
      </c>
      <c r="AR610">
        <f>$H$610*$X$610</f>
        <v>44.4</v>
      </c>
      <c r="AS610">
        <f>$H$610*$Y$610</f>
        <v>44.4</v>
      </c>
      <c r="AT610">
        <f>$H$610*$Z$610</f>
        <v>44.4</v>
      </c>
      <c r="AU610">
        <f>$H$610*$AA$610</f>
        <v>44.4</v>
      </c>
      <c r="AV610">
        <f>$H$610*$AB$610</f>
        <v>44.4</v>
      </c>
      <c r="AW610">
        <f>$H$610*$AC$610</f>
        <v>44.4</v>
      </c>
      <c r="AX610">
        <f>$H$610*$AD$610</f>
        <v>44.4</v>
      </c>
      <c r="AY610">
        <f>$H$610*$AE$610</f>
        <v>44.4</v>
      </c>
      <c r="AZ610">
        <f>$H$610*$AF$610</f>
        <v>44.4</v>
      </c>
    </row>
    <row r="611" spans="1:52" x14ac:dyDescent="0.25">
      <c r="A611">
        <v>662</v>
      </c>
      <c r="B611" t="s">
        <v>268</v>
      </c>
      <c r="C611" t="s">
        <v>423</v>
      </c>
      <c r="D611">
        <v>38.14</v>
      </c>
      <c r="E611">
        <v>292.14999999999998</v>
      </c>
      <c r="F611" t="s">
        <v>335</v>
      </c>
      <c r="G611">
        <v>7.66</v>
      </c>
      <c r="H611">
        <v>350.59</v>
      </c>
      <c r="I611" t="s">
        <v>360</v>
      </c>
      <c r="J611" t="s">
        <v>414</v>
      </c>
      <c r="K611" t="s">
        <v>590</v>
      </c>
      <c r="L611" t="s">
        <v>178</v>
      </c>
      <c r="M611" t="s">
        <v>268</v>
      </c>
      <c r="N611" t="s">
        <v>51</v>
      </c>
      <c r="O611" t="s">
        <v>4</v>
      </c>
      <c r="P611">
        <v>0</v>
      </c>
      <c r="Q611">
        <v>0</v>
      </c>
      <c r="R611">
        <v>0</v>
      </c>
      <c r="S611">
        <v>1</v>
      </c>
      <c r="T611">
        <v>1</v>
      </c>
      <c r="U611">
        <v>1</v>
      </c>
      <c r="V611">
        <v>1</v>
      </c>
      <c r="W611">
        <v>1</v>
      </c>
      <c r="X611">
        <v>1</v>
      </c>
      <c r="Y611">
        <v>1</v>
      </c>
      <c r="Z611">
        <v>1</v>
      </c>
      <c r="AA611">
        <v>1</v>
      </c>
      <c r="AB611">
        <v>1</v>
      </c>
      <c r="AC611">
        <v>1</v>
      </c>
      <c r="AD611">
        <v>1</v>
      </c>
      <c r="AE611">
        <v>1</v>
      </c>
      <c r="AF611">
        <v>1</v>
      </c>
      <c r="AG611" t="s">
        <v>268</v>
      </c>
      <c r="AH611" t="s">
        <v>51</v>
      </c>
      <c r="AI611" t="s">
        <v>4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350.59</v>
      </c>
      <c r="AN611">
        <f>$H$611*$T$611</f>
        <v>350.59</v>
      </c>
      <c r="AO611">
        <f>$H$611*$U$611</f>
        <v>350.59</v>
      </c>
      <c r="AP611">
        <f>$H$611*$V$611</f>
        <v>350.59</v>
      </c>
      <c r="AQ611">
        <f>$H$611*$W$611</f>
        <v>350.59</v>
      </c>
      <c r="AR611">
        <f>$H$611*$X$611</f>
        <v>350.59</v>
      </c>
      <c r="AS611">
        <f>$H$611*$Y$611</f>
        <v>350.59</v>
      </c>
      <c r="AT611">
        <f>$H$611*$Z$611</f>
        <v>350.59</v>
      </c>
      <c r="AU611">
        <f>$H$611*$AA$611</f>
        <v>350.59</v>
      </c>
      <c r="AV611">
        <f>$H$611*$AB$611</f>
        <v>350.59</v>
      </c>
      <c r="AW611">
        <f>$H$611*$AC$611</f>
        <v>350.59</v>
      </c>
      <c r="AX611">
        <f>$H$611*$AD$611</f>
        <v>350.59</v>
      </c>
      <c r="AY611">
        <f>$H$611*$AE$611</f>
        <v>350.59</v>
      </c>
      <c r="AZ611">
        <f>$H$611*$AF$611</f>
        <v>350.59</v>
      </c>
    </row>
    <row r="612" spans="1:52" x14ac:dyDescent="0.25">
      <c r="A612">
        <v>663</v>
      </c>
      <c r="B612" t="s">
        <v>272</v>
      </c>
      <c r="C612" t="s">
        <v>318</v>
      </c>
      <c r="D612">
        <v>1</v>
      </c>
      <c r="E612">
        <v>60.4</v>
      </c>
      <c r="F612" t="s">
        <v>317</v>
      </c>
      <c r="G612">
        <v>60.4</v>
      </c>
      <c r="H612">
        <v>72.48</v>
      </c>
      <c r="I612" t="s">
        <v>319</v>
      </c>
      <c r="J612" t="s">
        <v>320</v>
      </c>
      <c r="K612" t="s">
        <v>540</v>
      </c>
      <c r="L612" t="s">
        <v>178</v>
      </c>
      <c r="M612" t="s">
        <v>272</v>
      </c>
      <c r="N612" t="s">
        <v>11</v>
      </c>
      <c r="O612" t="s">
        <v>4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</v>
      </c>
      <c r="AE612">
        <v>1</v>
      </c>
      <c r="AF612">
        <v>1</v>
      </c>
      <c r="AG612" t="s">
        <v>272</v>
      </c>
      <c r="AH612" t="s">
        <v>11</v>
      </c>
      <c r="AI612" t="s">
        <v>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0</v>
      </c>
      <c r="AN612">
        <f>$H$612*$T$612</f>
        <v>0</v>
      </c>
      <c r="AO612">
        <f>$H$612*$U$612</f>
        <v>0</v>
      </c>
      <c r="AP612">
        <f>$H$612*$V$612</f>
        <v>0</v>
      </c>
      <c r="AQ612">
        <f>$H$612*$W$612</f>
        <v>0</v>
      </c>
      <c r="AR612">
        <f>$H$612*$X$612</f>
        <v>0</v>
      </c>
      <c r="AS612">
        <f>$H$612*$Y$612</f>
        <v>0</v>
      </c>
      <c r="AT612">
        <f>$H$612*$Z$612</f>
        <v>0</v>
      </c>
      <c r="AU612">
        <f>$H$612*$AA$612</f>
        <v>0</v>
      </c>
      <c r="AV612">
        <f>$H$612*$AB$612</f>
        <v>0</v>
      </c>
      <c r="AW612">
        <f>$H$612*$AC$612</f>
        <v>0</v>
      </c>
      <c r="AX612">
        <f>$H$612*$AD$612</f>
        <v>72.48</v>
      </c>
      <c r="AY612">
        <f>$H$612*$AE$612</f>
        <v>72.48</v>
      </c>
      <c r="AZ612">
        <f>$H$612*$AF$612</f>
        <v>72.48</v>
      </c>
    </row>
    <row r="613" spans="1:52" x14ac:dyDescent="0.25">
      <c r="A613">
        <v>664</v>
      </c>
      <c r="B613" t="s">
        <v>272</v>
      </c>
      <c r="C613" t="s">
        <v>341</v>
      </c>
      <c r="D613">
        <v>5</v>
      </c>
      <c r="E613">
        <v>22.2</v>
      </c>
      <c r="F613" t="s">
        <v>311</v>
      </c>
      <c r="G613">
        <v>4.4400000000000004</v>
      </c>
      <c r="H613">
        <v>26.64</v>
      </c>
      <c r="I613" t="s">
        <v>312</v>
      </c>
      <c r="J613" t="s">
        <v>342</v>
      </c>
      <c r="K613" t="s">
        <v>550</v>
      </c>
      <c r="L613" t="s">
        <v>178</v>
      </c>
      <c r="M613" t="s">
        <v>272</v>
      </c>
      <c r="N613" t="s">
        <v>11</v>
      </c>
      <c r="O613" t="s">
        <v>4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272</v>
      </c>
      <c r="AH613" t="s">
        <v>11</v>
      </c>
      <c r="AI613" t="s">
        <v>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0</v>
      </c>
      <c r="AQ613">
        <f>$H$613*$W$613</f>
        <v>0</v>
      </c>
      <c r="AR613">
        <f>$H$613*$X$613</f>
        <v>0</v>
      </c>
      <c r="AS613">
        <f>$H$613*$Y$613</f>
        <v>0</v>
      </c>
      <c r="AT613">
        <f>$H$613*$Z$613</f>
        <v>0</v>
      </c>
      <c r="AU613">
        <f>$H$613*$AA$613</f>
        <v>26.64</v>
      </c>
      <c r="AV613">
        <f>$H$613*$AB$613</f>
        <v>26.64</v>
      </c>
      <c r="AW613">
        <f>$H$613*$AC$613</f>
        <v>26.64</v>
      </c>
      <c r="AX613">
        <f>$H$613*$AD$613</f>
        <v>26.64</v>
      </c>
      <c r="AY613">
        <f>$H$613*$AE$613</f>
        <v>26.64</v>
      </c>
      <c r="AZ613">
        <f>$H$613*$AF$613</f>
        <v>26.64</v>
      </c>
    </row>
    <row r="614" spans="1:52" x14ac:dyDescent="0.25">
      <c r="A614">
        <v>665</v>
      </c>
      <c r="B614" t="s">
        <v>272</v>
      </c>
      <c r="C614" t="s">
        <v>343</v>
      </c>
      <c r="D614">
        <v>5</v>
      </c>
      <c r="E614">
        <v>57.75</v>
      </c>
      <c r="F614" t="s">
        <v>311</v>
      </c>
      <c r="G614">
        <v>11.55</v>
      </c>
      <c r="H614">
        <v>69.31</v>
      </c>
      <c r="I614" t="s">
        <v>315</v>
      </c>
      <c r="J614" t="s">
        <v>344</v>
      </c>
      <c r="K614" t="s">
        <v>551</v>
      </c>
      <c r="L614" t="s">
        <v>178</v>
      </c>
      <c r="M614" t="s">
        <v>272</v>
      </c>
      <c r="N614" t="s">
        <v>11</v>
      </c>
      <c r="O614" t="s">
        <v>4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272</v>
      </c>
      <c r="AH614" t="s">
        <v>11</v>
      </c>
      <c r="AI614" t="s">
        <v>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0</v>
      </c>
      <c r="AS614">
        <f>$H$614*$Y$614</f>
        <v>0</v>
      </c>
      <c r="AT614">
        <f>$H$614*$Z$614</f>
        <v>0</v>
      </c>
      <c r="AU614">
        <f>$H$614*$AA$614</f>
        <v>69.31</v>
      </c>
      <c r="AV614">
        <f>$H$614*$AB$614</f>
        <v>69.31</v>
      </c>
      <c r="AW614">
        <f>$H$614*$AC$614</f>
        <v>69.31</v>
      </c>
      <c r="AX614">
        <f>$H$614*$AD$614</f>
        <v>69.31</v>
      </c>
      <c r="AY614">
        <f>$H$614*$AE$614</f>
        <v>69.31</v>
      </c>
      <c r="AZ614">
        <f>$H$614*$AF$614</f>
        <v>69.31</v>
      </c>
    </row>
    <row r="615" spans="1:52" x14ac:dyDescent="0.25">
      <c r="A615">
        <v>666</v>
      </c>
      <c r="B615" t="s">
        <v>272</v>
      </c>
      <c r="C615" t="s">
        <v>395</v>
      </c>
      <c r="D615">
        <v>5</v>
      </c>
      <c r="E615">
        <v>23.75</v>
      </c>
      <c r="F615" t="s">
        <v>311</v>
      </c>
      <c r="G615">
        <v>4.75</v>
      </c>
      <c r="H615">
        <v>28.51</v>
      </c>
      <c r="I615" t="s">
        <v>315</v>
      </c>
      <c r="J615" t="s">
        <v>396</v>
      </c>
      <c r="K615" t="s">
        <v>576</v>
      </c>
      <c r="L615" t="s">
        <v>178</v>
      </c>
      <c r="M615" t="s">
        <v>272</v>
      </c>
      <c r="N615" t="s">
        <v>11</v>
      </c>
      <c r="O615" t="s">
        <v>4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1</v>
      </c>
      <c r="AD615">
        <v>1</v>
      </c>
      <c r="AE615">
        <v>1</v>
      </c>
      <c r="AF615">
        <v>1</v>
      </c>
      <c r="AG615" t="s">
        <v>272</v>
      </c>
      <c r="AH615" t="s">
        <v>11</v>
      </c>
      <c r="AI615" t="s">
        <v>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0</v>
      </c>
      <c r="AQ615">
        <f>$H$615*$W$615</f>
        <v>0</v>
      </c>
      <c r="AR615">
        <f>$H$615*$X$615</f>
        <v>0</v>
      </c>
      <c r="AS615">
        <f>$H$615*$Y$615</f>
        <v>0</v>
      </c>
      <c r="AT615">
        <f>$H$615*$Z$615</f>
        <v>0</v>
      </c>
      <c r="AU615">
        <f>$H$615*$AA$615</f>
        <v>0</v>
      </c>
      <c r="AV615">
        <f>$H$615*$AB$615</f>
        <v>0</v>
      </c>
      <c r="AW615">
        <f>$H$615*$AC$615</f>
        <v>28.51</v>
      </c>
      <c r="AX615">
        <f>$H$615*$AD$615</f>
        <v>28.51</v>
      </c>
      <c r="AY615">
        <f>$H$615*$AE$615</f>
        <v>28.51</v>
      </c>
      <c r="AZ615">
        <f>$H$615*$AF$615</f>
        <v>28.51</v>
      </c>
    </row>
    <row r="616" spans="1:52" x14ac:dyDescent="0.25">
      <c r="A616">
        <v>667</v>
      </c>
      <c r="B616" t="s">
        <v>272</v>
      </c>
      <c r="C616" t="s">
        <v>397</v>
      </c>
      <c r="D616">
        <v>6</v>
      </c>
      <c r="E616">
        <v>79.62</v>
      </c>
      <c r="F616" t="s">
        <v>317</v>
      </c>
      <c r="G616">
        <v>13.27</v>
      </c>
      <c r="H616">
        <v>95.54</v>
      </c>
      <c r="I616" t="s">
        <v>319</v>
      </c>
      <c r="J616" t="s">
        <v>398</v>
      </c>
      <c r="K616" t="s">
        <v>577</v>
      </c>
      <c r="L616" t="s">
        <v>178</v>
      </c>
      <c r="M616" t="s">
        <v>272</v>
      </c>
      <c r="N616" t="s">
        <v>11</v>
      </c>
      <c r="O616" t="s">
        <v>4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1</v>
      </c>
      <c r="Y616">
        <v>1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272</v>
      </c>
      <c r="AH616" t="s">
        <v>11</v>
      </c>
      <c r="AI616" t="s">
        <v>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0</v>
      </c>
      <c r="AQ616">
        <f>$H$616*$W$616</f>
        <v>0</v>
      </c>
      <c r="AR616">
        <f>$H$616*$X$616</f>
        <v>95.54</v>
      </c>
      <c r="AS616">
        <f>$H$616*$Y$616</f>
        <v>95.54</v>
      </c>
      <c r="AT616">
        <f>$H$616*$Z$616</f>
        <v>95.54</v>
      </c>
      <c r="AU616">
        <f>$H$616*$AA$616</f>
        <v>95.54</v>
      </c>
      <c r="AV616">
        <f>$H$616*$AB$616</f>
        <v>95.54</v>
      </c>
      <c r="AW616">
        <f>$H$616*$AC$616</f>
        <v>95.54</v>
      </c>
      <c r="AX616">
        <f>$H$616*$AD$616</f>
        <v>95.54</v>
      </c>
      <c r="AY616">
        <f>$H$616*$AE$616</f>
        <v>95.54</v>
      </c>
      <c r="AZ616">
        <f>$H$616*$AF$616</f>
        <v>95.54</v>
      </c>
    </row>
    <row r="617" spans="1:52" x14ac:dyDescent="0.25">
      <c r="A617">
        <v>668</v>
      </c>
      <c r="B617" t="s">
        <v>272</v>
      </c>
      <c r="C617" t="s">
        <v>399</v>
      </c>
      <c r="D617">
        <v>1</v>
      </c>
      <c r="E617">
        <v>63.51</v>
      </c>
      <c r="F617" t="s">
        <v>317</v>
      </c>
      <c r="G617">
        <v>63.51</v>
      </c>
      <c r="H617">
        <v>76.209999999999994</v>
      </c>
      <c r="I617" t="s">
        <v>322</v>
      </c>
      <c r="J617" t="s">
        <v>355</v>
      </c>
      <c r="K617" t="s">
        <v>578</v>
      </c>
      <c r="L617" t="s">
        <v>178</v>
      </c>
      <c r="M617" t="s">
        <v>272</v>
      </c>
      <c r="N617" t="s">
        <v>11</v>
      </c>
      <c r="O617" t="s">
        <v>4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1</v>
      </c>
      <c r="AE617">
        <v>1</v>
      </c>
      <c r="AF617">
        <v>1</v>
      </c>
      <c r="AG617" t="s">
        <v>272</v>
      </c>
      <c r="AH617" t="s">
        <v>11</v>
      </c>
      <c r="AI617" t="s">
        <v>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0</v>
      </c>
      <c r="AN617">
        <f>$H$617*$T$617</f>
        <v>0</v>
      </c>
      <c r="AO617">
        <f>$H$617*$U$617</f>
        <v>0</v>
      </c>
      <c r="AP617">
        <f>$H$617*$V$617</f>
        <v>0</v>
      </c>
      <c r="AQ617">
        <f>$H$617*$W$617</f>
        <v>0</v>
      </c>
      <c r="AR617">
        <f>$H$617*$X$617</f>
        <v>0</v>
      </c>
      <c r="AS617">
        <f>$H$617*$Y$617</f>
        <v>0</v>
      </c>
      <c r="AT617">
        <f>$H$617*$Z$617</f>
        <v>0</v>
      </c>
      <c r="AU617">
        <f>$H$617*$AA$617</f>
        <v>0</v>
      </c>
      <c r="AV617">
        <f>$H$617*$AB$617</f>
        <v>0</v>
      </c>
      <c r="AW617">
        <f>$H$617*$AC$617</f>
        <v>0</v>
      </c>
      <c r="AX617">
        <f>$H$617*$AD$617</f>
        <v>76.209999999999994</v>
      </c>
      <c r="AY617">
        <f>$H$617*$AE$617</f>
        <v>76.209999999999994</v>
      </c>
      <c r="AZ617">
        <f>$H$617*$AF$617</f>
        <v>76.209999999999994</v>
      </c>
    </row>
    <row r="618" spans="1:52" x14ac:dyDescent="0.25">
      <c r="A618">
        <v>669</v>
      </c>
      <c r="B618" t="s">
        <v>272</v>
      </c>
      <c r="C618" t="s">
        <v>350</v>
      </c>
      <c r="D618">
        <v>1</v>
      </c>
      <c r="E618">
        <v>47.96</v>
      </c>
      <c r="F618" t="s">
        <v>317</v>
      </c>
      <c r="G618">
        <v>47.96</v>
      </c>
      <c r="H618">
        <v>57.56</v>
      </c>
      <c r="I618" t="s">
        <v>351</v>
      </c>
      <c r="J618" t="s">
        <v>352</v>
      </c>
      <c r="K618" t="s">
        <v>554</v>
      </c>
      <c r="L618" t="s">
        <v>178</v>
      </c>
      <c r="M618" t="s">
        <v>272</v>
      </c>
      <c r="N618" t="s">
        <v>11</v>
      </c>
      <c r="O618" t="s">
        <v>4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272</v>
      </c>
      <c r="AH618" t="s">
        <v>11</v>
      </c>
      <c r="AI618" t="s">
        <v>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0</v>
      </c>
      <c r="AN618">
        <f>$H$618*$T$618</f>
        <v>0</v>
      </c>
      <c r="AO618">
        <f>$H$618*$U$618</f>
        <v>0</v>
      </c>
      <c r="AP618">
        <f>$H$618*$V$618</f>
        <v>0</v>
      </c>
      <c r="AQ618">
        <f>$H$618*$W$618</f>
        <v>0</v>
      </c>
      <c r="AR618">
        <f>$H$618*$X$618</f>
        <v>0</v>
      </c>
      <c r="AS618">
        <f>$H$618*$Y$618</f>
        <v>0</v>
      </c>
      <c r="AT618">
        <f>$H$618*$Z$618</f>
        <v>0</v>
      </c>
      <c r="AU618">
        <f>$H$618*$AA$618</f>
        <v>57.56</v>
      </c>
      <c r="AV618">
        <f>$H$618*$AB$618</f>
        <v>57.56</v>
      </c>
      <c r="AW618">
        <f>$H$618*$AC$618</f>
        <v>57.56</v>
      </c>
      <c r="AX618">
        <f>$H$618*$AD$618</f>
        <v>57.56</v>
      </c>
      <c r="AY618">
        <f>$H$618*$AE$618</f>
        <v>57.56</v>
      </c>
      <c r="AZ618">
        <f>$H$618*$AF$618</f>
        <v>57.56</v>
      </c>
    </row>
    <row r="619" spans="1:52" x14ac:dyDescent="0.25">
      <c r="A619">
        <v>670</v>
      </c>
      <c r="B619" t="s">
        <v>272</v>
      </c>
      <c r="C619" t="s">
        <v>485</v>
      </c>
      <c r="D619">
        <v>2</v>
      </c>
      <c r="E619">
        <v>110.04</v>
      </c>
      <c r="F619" t="s">
        <v>317</v>
      </c>
      <c r="G619">
        <v>55.02</v>
      </c>
      <c r="H619">
        <v>132.04</v>
      </c>
      <c r="I619" t="s">
        <v>312</v>
      </c>
      <c r="J619" t="s">
        <v>486</v>
      </c>
      <c r="K619" t="s">
        <v>622</v>
      </c>
      <c r="L619" t="s">
        <v>178</v>
      </c>
      <c r="M619" t="s">
        <v>272</v>
      </c>
      <c r="N619" t="s">
        <v>11</v>
      </c>
      <c r="O619" t="s">
        <v>4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272</v>
      </c>
      <c r="AH619" t="s">
        <v>11</v>
      </c>
      <c r="AI619" t="s">
        <v>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132.04</v>
      </c>
      <c r="AN619">
        <f>$H$619*$T$619</f>
        <v>132.04</v>
      </c>
      <c r="AO619">
        <f>$H$619*$U$619</f>
        <v>132.04</v>
      </c>
      <c r="AP619">
        <f>$H$619*$V$619</f>
        <v>132.04</v>
      </c>
      <c r="AQ619">
        <f>$H$619*$W$619</f>
        <v>132.04</v>
      </c>
      <c r="AR619">
        <f>$H$619*$X$619</f>
        <v>132.04</v>
      </c>
      <c r="AS619">
        <f>$H$619*$Y$619</f>
        <v>132.04</v>
      </c>
      <c r="AT619">
        <f>$H$619*$Z$619</f>
        <v>132.04</v>
      </c>
      <c r="AU619">
        <f>$H$619*$AA$619</f>
        <v>132.04</v>
      </c>
      <c r="AV619">
        <f>$H$619*$AB$619</f>
        <v>132.04</v>
      </c>
      <c r="AW619">
        <f>$H$619*$AC$619</f>
        <v>132.04</v>
      </c>
      <c r="AX619">
        <f>$H$619*$AD$619</f>
        <v>132.04</v>
      </c>
      <c r="AY619">
        <f>$H$619*$AE$619</f>
        <v>132.04</v>
      </c>
      <c r="AZ619">
        <f>$H$619*$AF$619</f>
        <v>132.04</v>
      </c>
    </row>
    <row r="620" spans="1:52" x14ac:dyDescent="0.25">
      <c r="A620">
        <v>671</v>
      </c>
      <c r="B620" t="s">
        <v>272</v>
      </c>
      <c r="C620" t="s">
        <v>487</v>
      </c>
      <c r="D620">
        <v>1</v>
      </c>
      <c r="E620">
        <v>415.62</v>
      </c>
      <c r="F620" t="s">
        <v>317</v>
      </c>
      <c r="G620">
        <v>415.62</v>
      </c>
      <c r="H620">
        <v>498.74</v>
      </c>
      <c r="I620" t="s">
        <v>354</v>
      </c>
      <c r="J620" t="s">
        <v>486</v>
      </c>
      <c r="K620" t="s">
        <v>623</v>
      </c>
      <c r="L620" t="s">
        <v>178</v>
      </c>
      <c r="M620" t="s">
        <v>272</v>
      </c>
      <c r="N620" t="s">
        <v>11</v>
      </c>
      <c r="O620" t="s">
        <v>4</v>
      </c>
      <c r="P620">
        <v>0</v>
      </c>
      <c r="Q620">
        <v>0</v>
      </c>
      <c r="R620">
        <v>0</v>
      </c>
      <c r="S620">
        <v>0</v>
      </c>
      <c r="T620">
        <v>1</v>
      </c>
      <c r="U620">
        <v>1</v>
      </c>
      <c r="V620">
        <v>1</v>
      </c>
      <c r="W620">
        <v>1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272</v>
      </c>
      <c r="AH620" t="s">
        <v>11</v>
      </c>
      <c r="AI620" t="s">
        <v>4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498.74</v>
      </c>
      <c r="AO620">
        <f>$H$620*$U$620</f>
        <v>498.74</v>
      </c>
      <c r="AP620">
        <f>$H$620*$V$620</f>
        <v>498.74</v>
      </c>
      <c r="AQ620">
        <f>$H$620*$W$620</f>
        <v>498.74</v>
      </c>
      <c r="AR620">
        <f>$H$620*$X$620</f>
        <v>498.74</v>
      </c>
      <c r="AS620">
        <f>$H$620*$Y$620</f>
        <v>498.74</v>
      </c>
      <c r="AT620">
        <f>$H$620*$Z$620</f>
        <v>498.74</v>
      </c>
      <c r="AU620">
        <f>$H$620*$AA$620</f>
        <v>498.74</v>
      </c>
      <c r="AV620">
        <f>$H$620*$AB$620</f>
        <v>498.74</v>
      </c>
      <c r="AW620">
        <f>$H$620*$AC$620</f>
        <v>498.74</v>
      </c>
      <c r="AX620">
        <f>$H$620*$AD$620</f>
        <v>498.74</v>
      </c>
      <c r="AY620">
        <f>$H$620*$AE$620</f>
        <v>498.74</v>
      </c>
      <c r="AZ620">
        <f>$H$620*$AF$620</f>
        <v>498.74</v>
      </c>
    </row>
    <row r="621" spans="1:52" x14ac:dyDescent="0.25">
      <c r="A621">
        <v>672</v>
      </c>
      <c r="B621" t="s">
        <v>272</v>
      </c>
      <c r="C621" t="s">
        <v>358</v>
      </c>
      <c r="D621">
        <v>2</v>
      </c>
      <c r="E621">
        <v>77.86</v>
      </c>
      <c r="F621" t="s">
        <v>317</v>
      </c>
      <c r="G621">
        <v>38.93</v>
      </c>
      <c r="H621">
        <v>93.44</v>
      </c>
      <c r="I621" t="s">
        <v>312</v>
      </c>
      <c r="J621" t="s">
        <v>354</v>
      </c>
      <c r="K621" t="s">
        <v>557</v>
      </c>
      <c r="L621" t="s">
        <v>178</v>
      </c>
      <c r="M621" t="s">
        <v>272</v>
      </c>
      <c r="N621" t="s">
        <v>11</v>
      </c>
      <c r="O621" t="s">
        <v>4</v>
      </c>
      <c r="P621">
        <v>0</v>
      </c>
      <c r="Q621">
        <v>0</v>
      </c>
      <c r="R621">
        <v>0</v>
      </c>
      <c r="S621">
        <v>1</v>
      </c>
      <c r="T621">
        <v>1</v>
      </c>
      <c r="U621">
        <v>1</v>
      </c>
      <c r="V621">
        <v>1</v>
      </c>
      <c r="W621">
        <v>1</v>
      </c>
      <c r="X621">
        <v>1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272</v>
      </c>
      <c r="AH621" t="s">
        <v>11</v>
      </c>
      <c r="AI621" t="s">
        <v>4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93.44</v>
      </c>
      <c r="AN621">
        <f>$H$621*$T$621</f>
        <v>93.44</v>
      </c>
      <c r="AO621">
        <f>$H$621*$U$621</f>
        <v>93.44</v>
      </c>
      <c r="AP621">
        <f>$H$621*$V$621</f>
        <v>93.44</v>
      </c>
      <c r="AQ621">
        <f>$H$621*$W$621</f>
        <v>93.44</v>
      </c>
      <c r="AR621">
        <f>$H$621*$X$621</f>
        <v>93.44</v>
      </c>
      <c r="AS621">
        <f>$H$621*$Y$621</f>
        <v>93.44</v>
      </c>
      <c r="AT621">
        <f>$H$621*$Z$621</f>
        <v>93.44</v>
      </c>
      <c r="AU621">
        <f>$H$621*$AA$621</f>
        <v>93.44</v>
      </c>
      <c r="AV621">
        <f>$H$621*$AB$621</f>
        <v>93.44</v>
      </c>
      <c r="AW621">
        <f>$H$621*$AC$621</f>
        <v>93.44</v>
      </c>
      <c r="AX621">
        <f>$H$621*$AD$621</f>
        <v>93.44</v>
      </c>
      <c r="AY621">
        <f>$H$621*$AE$621</f>
        <v>93.44</v>
      </c>
      <c r="AZ621">
        <f>$H$621*$AF$621</f>
        <v>93.44</v>
      </c>
    </row>
    <row r="622" spans="1:52" x14ac:dyDescent="0.25">
      <c r="A622">
        <v>673</v>
      </c>
      <c r="B622" t="s">
        <v>272</v>
      </c>
      <c r="C622" t="s">
        <v>356</v>
      </c>
      <c r="D622">
        <v>2</v>
      </c>
      <c r="E622">
        <v>62.72</v>
      </c>
      <c r="F622" t="s">
        <v>317</v>
      </c>
      <c r="G622">
        <v>31.36</v>
      </c>
      <c r="H622">
        <v>75.260000000000005</v>
      </c>
      <c r="I622" t="s">
        <v>312</v>
      </c>
      <c r="J622" t="s">
        <v>357</v>
      </c>
      <c r="K622" t="s">
        <v>556</v>
      </c>
      <c r="L622" t="s">
        <v>178</v>
      </c>
      <c r="M622" t="s">
        <v>272</v>
      </c>
      <c r="N622" t="s">
        <v>11</v>
      </c>
      <c r="O622" t="s">
        <v>4</v>
      </c>
      <c r="P622">
        <v>0</v>
      </c>
      <c r="Q622">
        <v>0</v>
      </c>
      <c r="R622">
        <v>0</v>
      </c>
      <c r="S622">
        <v>1</v>
      </c>
      <c r="T622">
        <v>1</v>
      </c>
      <c r="U622">
        <v>1</v>
      </c>
      <c r="V622">
        <v>1</v>
      </c>
      <c r="W622">
        <v>1</v>
      </c>
      <c r="X622">
        <v>1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272</v>
      </c>
      <c r="AH622" t="s">
        <v>11</v>
      </c>
      <c r="AI622" t="s">
        <v>4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75.260000000000005</v>
      </c>
      <c r="AN622">
        <f>$H$622*$T$622</f>
        <v>75.260000000000005</v>
      </c>
      <c r="AO622">
        <f>$H$622*$U$622</f>
        <v>75.260000000000005</v>
      </c>
      <c r="AP622">
        <f>$H$622*$V$622</f>
        <v>75.260000000000005</v>
      </c>
      <c r="AQ622">
        <f>$H$622*$W$622</f>
        <v>75.260000000000005</v>
      </c>
      <c r="AR622">
        <f>$H$622*$X$622</f>
        <v>75.260000000000005</v>
      </c>
      <c r="AS622">
        <f>$H$622*$Y$622</f>
        <v>75.260000000000005</v>
      </c>
      <c r="AT622">
        <f>$H$622*$Z$622</f>
        <v>75.260000000000005</v>
      </c>
      <c r="AU622">
        <f>$H$622*$AA$622</f>
        <v>75.260000000000005</v>
      </c>
      <c r="AV622">
        <f>$H$622*$AB$622</f>
        <v>75.260000000000005</v>
      </c>
      <c r="AW622">
        <f>$H$622*$AC$622</f>
        <v>75.260000000000005</v>
      </c>
      <c r="AX622">
        <f>$H$622*$AD$622</f>
        <v>75.260000000000005</v>
      </c>
      <c r="AY622">
        <f>$H$622*$AE$622</f>
        <v>75.260000000000005</v>
      </c>
      <c r="AZ622">
        <f>$H$622*$AF$622</f>
        <v>75.260000000000005</v>
      </c>
    </row>
    <row r="623" spans="1:52" x14ac:dyDescent="0.25">
      <c r="A623">
        <v>674</v>
      </c>
      <c r="B623" t="s">
        <v>272</v>
      </c>
      <c r="C623" t="s">
        <v>353</v>
      </c>
      <c r="D623">
        <v>1</v>
      </c>
      <c r="E623">
        <v>365.09</v>
      </c>
      <c r="F623" t="s">
        <v>317</v>
      </c>
      <c r="G623">
        <v>365.09</v>
      </c>
      <c r="H623">
        <v>438.11</v>
      </c>
      <c r="I623" t="s">
        <v>354</v>
      </c>
      <c r="J623" t="s">
        <v>355</v>
      </c>
      <c r="K623" t="s">
        <v>555</v>
      </c>
      <c r="L623" t="s">
        <v>178</v>
      </c>
      <c r="M623" t="s">
        <v>272</v>
      </c>
      <c r="N623" t="s">
        <v>11</v>
      </c>
      <c r="O623" t="s">
        <v>4</v>
      </c>
      <c r="P623">
        <v>0</v>
      </c>
      <c r="Q623">
        <v>0</v>
      </c>
      <c r="R623">
        <v>0</v>
      </c>
      <c r="S623">
        <v>0</v>
      </c>
      <c r="T623">
        <v>1</v>
      </c>
      <c r="U623">
        <v>1</v>
      </c>
      <c r="V623">
        <v>1</v>
      </c>
      <c r="W623">
        <v>1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272</v>
      </c>
      <c r="AH623" t="s">
        <v>11</v>
      </c>
      <c r="AI623" t="s">
        <v>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438.11</v>
      </c>
      <c r="AO623">
        <f>$H$623*$U$623</f>
        <v>438.11</v>
      </c>
      <c r="AP623">
        <f>$H$623*$V$623</f>
        <v>438.11</v>
      </c>
      <c r="AQ623">
        <f>$H$623*$W$623</f>
        <v>438.11</v>
      </c>
      <c r="AR623">
        <f>$H$623*$X$623</f>
        <v>438.11</v>
      </c>
      <c r="AS623">
        <f>$H$623*$Y$623</f>
        <v>438.11</v>
      </c>
      <c r="AT623">
        <f>$H$623*$Z$623</f>
        <v>438.11</v>
      </c>
      <c r="AU623">
        <f>$H$623*$AA$623</f>
        <v>438.11</v>
      </c>
      <c r="AV623">
        <f>$H$623*$AB$623</f>
        <v>438.11</v>
      </c>
      <c r="AW623">
        <f>$H$623*$AC$623</f>
        <v>438.11</v>
      </c>
      <c r="AX623">
        <f>$H$623*$AD$623</f>
        <v>438.11</v>
      </c>
      <c r="AY623">
        <f>$H$623*$AE$623</f>
        <v>438.11</v>
      </c>
      <c r="AZ623">
        <f>$H$623*$AF$623</f>
        <v>438.11</v>
      </c>
    </row>
    <row r="624" spans="1:52" x14ac:dyDescent="0.25">
      <c r="A624">
        <v>675</v>
      </c>
      <c r="B624" t="s">
        <v>272</v>
      </c>
      <c r="C624" t="s">
        <v>345</v>
      </c>
      <c r="D624">
        <v>413.33</v>
      </c>
      <c r="E624">
        <v>405.06</v>
      </c>
      <c r="F624" t="s">
        <v>335</v>
      </c>
      <c r="G624">
        <v>0.98</v>
      </c>
      <c r="H624">
        <v>486.08</v>
      </c>
      <c r="I624" t="s">
        <v>312</v>
      </c>
      <c r="J624" t="s">
        <v>346</v>
      </c>
      <c r="K624" t="s">
        <v>552</v>
      </c>
      <c r="L624" t="s">
        <v>178</v>
      </c>
      <c r="M624" t="s">
        <v>272</v>
      </c>
      <c r="N624" t="s">
        <v>11</v>
      </c>
      <c r="O624" t="s">
        <v>4</v>
      </c>
      <c r="P624">
        <v>0</v>
      </c>
      <c r="Q624">
        <v>0</v>
      </c>
      <c r="R624">
        <v>0</v>
      </c>
      <c r="S624">
        <v>0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272</v>
      </c>
      <c r="AH624" t="s">
        <v>11</v>
      </c>
      <c r="AI624" t="s">
        <v>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486.08</v>
      </c>
      <c r="AO624">
        <f>$H$624*$U$624</f>
        <v>486.08</v>
      </c>
      <c r="AP624">
        <f>$H$624*$V$624</f>
        <v>486.08</v>
      </c>
      <c r="AQ624">
        <f>$H$624*$W$624</f>
        <v>486.08</v>
      </c>
      <c r="AR624">
        <f>$H$624*$X$624</f>
        <v>486.08</v>
      </c>
      <c r="AS624">
        <f>$H$624*$Y$624</f>
        <v>486.08</v>
      </c>
      <c r="AT624">
        <f>$H$624*$Z$624</f>
        <v>486.08</v>
      </c>
      <c r="AU624">
        <f>$H$624*$AA$624</f>
        <v>486.08</v>
      </c>
      <c r="AV624">
        <f>$H$624*$AB$624</f>
        <v>486.08</v>
      </c>
      <c r="AW624">
        <f>$H$624*$AC$624</f>
        <v>486.08</v>
      </c>
      <c r="AX624">
        <f>$H$624*$AD$624</f>
        <v>486.08</v>
      </c>
      <c r="AY624">
        <f>$H$624*$AE$624</f>
        <v>486.08</v>
      </c>
      <c r="AZ624">
        <f>$H$624*$AF$624</f>
        <v>486.08</v>
      </c>
    </row>
    <row r="625" spans="1:52" x14ac:dyDescent="0.25">
      <c r="A625">
        <v>676</v>
      </c>
      <c r="B625" t="s">
        <v>272</v>
      </c>
      <c r="C625" t="s">
        <v>400</v>
      </c>
      <c r="D625">
        <v>413.33</v>
      </c>
      <c r="E625">
        <v>1388.79</v>
      </c>
      <c r="F625" t="s">
        <v>335</v>
      </c>
      <c r="G625">
        <v>3.36</v>
      </c>
      <c r="H625">
        <v>1666.55</v>
      </c>
      <c r="I625" t="s">
        <v>348</v>
      </c>
      <c r="J625" t="s">
        <v>401</v>
      </c>
      <c r="K625" t="s">
        <v>579</v>
      </c>
      <c r="L625" t="s">
        <v>178</v>
      </c>
      <c r="M625" t="s">
        <v>272</v>
      </c>
      <c r="N625" t="s">
        <v>11</v>
      </c>
      <c r="O625" t="s">
        <v>4</v>
      </c>
      <c r="P625">
        <v>0</v>
      </c>
      <c r="Q625">
        <v>0</v>
      </c>
      <c r="R625">
        <v>0</v>
      </c>
      <c r="S625">
        <v>0.25</v>
      </c>
      <c r="T625">
        <v>0.25</v>
      </c>
      <c r="U625">
        <v>0.25</v>
      </c>
      <c r="V625">
        <v>0.25</v>
      </c>
      <c r="W625">
        <v>0.5</v>
      </c>
      <c r="X625">
        <v>0.5</v>
      </c>
      <c r="Y625">
        <v>0.5</v>
      </c>
      <c r="Z625">
        <v>0.5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272</v>
      </c>
      <c r="AH625" t="s">
        <v>11</v>
      </c>
      <c r="AI625" t="s">
        <v>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416.63749999999999</v>
      </c>
      <c r="AN625">
        <f>$H$625*$T$625</f>
        <v>416.63749999999999</v>
      </c>
      <c r="AO625">
        <f>$H$625*$U$625</f>
        <v>416.63749999999999</v>
      </c>
      <c r="AP625">
        <f>$H$625*$V$625</f>
        <v>416.63749999999999</v>
      </c>
      <c r="AQ625">
        <f>$H$625*$W$625</f>
        <v>833.27499999999998</v>
      </c>
      <c r="AR625">
        <f>$H$625*$X$625</f>
        <v>833.27499999999998</v>
      </c>
      <c r="AS625">
        <f>$H$625*$Y$625</f>
        <v>833.27499999999998</v>
      </c>
      <c r="AT625">
        <f>$H$625*$Z$625</f>
        <v>833.27499999999998</v>
      </c>
      <c r="AU625">
        <f>$H$625*$AA$625</f>
        <v>1666.55</v>
      </c>
      <c r="AV625">
        <f>$H$625*$AB$625</f>
        <v>1666.55</v>
      </c>
      <c r="AW625">
        <f>$H$625*$AC$625</f>
        <v>1666.55</v>
      </c>
      <c r="AX625">
        <f>$H$625*$AD$625</f>
        <v>1666.55</v>
      </c>
      <c r="AY625">
        <f>$H$625*$AE$625</f>
        <v>1666.55</v>
      </c>
      <c r="AZ625">
        <f>$H$625*$AF$625</f>
        <v>1666.55</v>
      </c>
    </row>
    <row r="626" spans="1:52" x14ac:dyDescent="0.25">
      <c r="A626">
        <v>677</v>
      </c>
      <c r="B626" t="s">
        <v>272</v>
      </c>
      <c r="C626" t="s">
        <v>402</v>
      </c>
      <c r="D626">
        <v>51.67</v>
      </c>
      <c r="E626">
        <v>78.02</v>
      </c>
      <c r="F626" t="s">
        <v>311</v>
      </c>
      <c r="G626">
        <v>1.51</v>
      </c>
      <c r="H626">
        <v>93.62</v>
      </c>
      <c r="I626" t="s">
        <v>312</v>
      </c>
      <c r="J626" t="s">
        <v>403</v>
      </c>
      <c r="K626" t="s">
        <v>580</v>
      </c>
      <c r="L626" t="s">
        <v>178</v>
      </c>
      <c r="M626" t="s">
        <v>272</v>
      </c>
      <c r="N626" t="s">
        <v>11</v>
      </c>
      <c r="O626" t="s">
        <v>4</v>
      </c>
      <c r="P626">
        <v>0</v>
      </c>
      <c r="Q626">
        <v>0</v>
      </c>
      <c r="R626">
        <v>0</v>
      </c>
      <c r="S626">
        <v>1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272</v>
      </c>
      <c r="AH626" t="s">
        <v>11</v>
      </c>
      <c r="AI626" t="s">
        <v>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93.62</v>
      </c>
      <c r="AN626">
        <f>$H$626*$T$626</f>
        <v>93.62</v>
      </c>
      <c r="AO626">
        <f>$H$626*$U$626</f>
        <v>93.62</v>
      </c>
      <c r="AP626">
        <f>$H$626*$V$626</f>
        <v>93.62</v>
      </c>
      <c r="AQ626">
        <f>$H$626*$W$626</f>
        <v>93.62</v>
      </c>
      <c r="AR626">
        <f>$H$626*$X$626</f>
        <v>93.62</v>
      </c>
      <c r="AS626">
        <f>$H$626*$Y$626</f>
        <v>93.62</v>
      </c>
      <c r="AT626">
        <f>$H$626*$Z$626</f>
        <v>93.62</v>
      </c>
      <c r="AU626">
        <f>$H$626*$AA$626</f>
        <v>93.62</v>
      </c>
      <c r="AV626">
        <f>$H$626*$AB$626</f>
        <v>93.62</v>
      </c>
      <c r="AW626">
        <f>$H$626*$AC$626</f>
        <v>93.62</v>
      </c>
      <c r="AX626">
        <f>$H$626*$AD$626</f>
        <v>93.62</v>
      </c>
      <c r="AY626">
        <f>$H$626*$AE$626</f>
        <v>93.62</v>
      </c>
      <c r="AZ626">
        <f>$H$626*$AF$626</f>
        <v>93.62</v>
      </c>
    </row>
    <row r="627" spans="1:52" x14ac:dyDescent="0.25">
      <c r="A627">
        <v>678</v>
      </c>
      <c r="B627" t="s">
        <v>272</v>
      </c>
      <c r="C627" t="s">
        <v>404</v>
      </c>
      <c r="D627">
        <v>51.67</v>
      </c>
      <c r="E627">
        <v>293.49</v>
      </c>
      <c r="F627" t="s">
        <v>311</v>
      </c>
      <c r="G627">
        <v>5.68</v>
      </c>
      <c r="H627">
        <v>352.19</v>
      </c>
      <c r="I627" t="s">
        <v>315</v>
      </c>
      <c r="J627" t="s">
        <v>405</v>
      </c>
      <c r="K627" t="s">
        <v>581</v>
      </c>
      <c r="L627" t="s">
        <v>178</v>
      </c>
      <c r="M627" t="s">
        <v>272</v>
      </c>
      <c r="N627" t="s">
        <v>11</v>
      </c>
      <c r="O627" t="s">
        <v>4</v>
      </c>
      <c r="P627">
        <v>0</v>
      </c>
      <c r="Q627">
        <v>0</v>
      </c>
      <c r="R627">
        <v>0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272</v>
      </c>
      <c r="AH627" t="s">
        <v>11</v>
      </c>
      <c r="AI627" t="s">
        <v>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352.19</v>
      </c>
      <c r="AN627">
        <f>$H$627*$T$627</f>
        <v>352.19</v>
      </c>
      <c r="AO627">
        <f>$H$627*$U$627</f>
        <v>352.19</v>
      </c>
      <c r="AP627">
        <f>$H$627*$V$627</f>
        <v>352.19</v>
      </c>
      <c r="AQ627">
        <f>$H$627*$W$627</f>
        <v>352.19</v>
      </c>
      <c r="AR627">
        <f>$H$627*$X$627</f>
        <v>352.19</v>
      </c>
      <c r="AS627">
        <f>$H$627*$Y$627</f>
        <v>352.19</v>
      </c>
      <c r="AT627">
        <f>$H$627*$Z$627</f>
        <v>352.19</v>
      </c>
      <c r="AU627">
        <f>$H$627*$AA$627</f>
        <v>352.19</v>
      </c>
      <c r="AV627">
        <f>$H$627*$AB$627</f>
        <v>352.19</v>
      </c>
      <c r="AW627">
        <f>$H$627*$AC$627</f>
        <v>352.19</v>
      </c>
      <c r="AX627">
        <f>$H$627*$AD$627</f>
        <v>352.19</v>
      </c>
      <c r="AY627">
        <f>$H$627*$AE$627</f>
        <v>352.19</v>
      </c>
      <c r="AZ627">
        <f>$H$627*$AF$627</f>
        <v>352.19</v>
      </c>
    </row>
    <row r="628" spans="1:52" x14ac:dyDescent="0.25">
      <c r="A628">
        <v>679</v>
      </c>
      <c r="B628" t="s">
        <v>272</v>
      </c>
      <c r="C628" t="s">
        <v>400</v>
      </c>
      <c r="D628">
        <v>165.84</v>
      </c>
      <c r="E628">
        <v>557.22</v>
      </c>
      <c r="F628" t="s">
        <v>335</v>
      </c>
      <c r="G628">
        <v>3.36</v>
      </c>
      <c r="H628">
        <v>668.66</v>
      </c>
      <c r="I628" t="s">
        <v>348</v>
      </c>
      <c r="J628" t="s">
        <v>401</v>
      </c>
      <c r="K628" t="s">
        <v>579</v>
      </c>
      <c r="L628" t="s">
        <v>178</v>
      </c>
      <c r="M628" t="s">
        <v>272</v>
      </c>
      <c r="N628" t="s">
        <v>11</v>
      </c>
      <c r="O628" t="s">
        <v>4</v>
      </c>
      <c r="P628">
        <v>0</v>
      </c>
      <c r="Q628">
        <v>0</v>
      </c>
      <c r="R628">
        <v>0</v>
      </c>
      <c r="S628">
        <v>0.25</v>
      </c>
      <c r="T628">
        <v>0.25</v>
      </c>
      <c r="U628">
        <v>0.25</v>
      </c>
      <c r="V628">
        <v>0.25</v>
      </c>
      <c r="W628">
        <v>0.5</v>
      </c>
      <c r="X628">
        <v>0.5</v>
      </c>
      <c r="Y628">
        <v>0.5</v>
      </c>
      <c r="Z628">
        <v>0.5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272</v>
      </c>
      <c r="AH628" t="s">
        <v>11</v>
      </c>
      <c r="AI628" t="s">
        <v>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167.16499999999999</v>
      </c>
      <c r="AN628">
        <f>$H$628*$T$628</f>
        <v>167.16499999999999</v>
      </c>
      <c r="AO628">
        <f>$H$628*$U$628</f>
        <v>167.16499999999999</v>
      </c>
      <c r="AP628">
        <f>$H$628*$V$628</f>
        <v>167.16499999999999</v>
      </c>
      <c r="AQ628">
        <f>$H$628*$W$628</f>
        <v>334.33</v>
      </c>
      <c r="AR628">
        <f>$H$628*$X$628</f>
        <v>334.33</v>
      </c>
      <c r="AS628">
        <f>$H$628*$Y$628</f>
        <v>334.33</v>
      </c>
      <c r="AT628">
        <f>$H$628*$Z$628</f>
        <v>334.33</v>
      </c>
      <c r="AU628">
        <f>$H$628*$AA$628</f>
        <v>668.66</v>
      </c>
      <c r="AV628">
        <f>$H$628*$AB$628</f>
        <v>668.66</v>
      </c>
      <c r="AW628">
        <f>$H$628*$AC$628</f>
        <v>668.66</v>
      </c>
      <c r="AX628">
        <f>$H$628*$AD$628</f>
        <v>668.66</v>
      </c>
      <c r="AY628">
        <f>$H$628*$AE$628</f>
        <v>668.66</v>
      </c>
      <c r="AZ628">
        <f>$H$628*$AF$628</f>
        <v>668.66</v>
      </c>
    </row>
    <row r="629" spans="1:52" x14ac:dyDescent="0.25">
      <c r="A629">
        <v>680</v>
      </c>
      <c r="B629" t="s">
        <v>272</v>
      </c>
      <c r="C629" t="s">
        <v>406</v>
      </c>
      <c r="D629">
        <v>165.84</v>
      </c>
      <c r="E629">
        <v>104.48</v>
      </c>
      <c r="F629" t="s">
        <v>335</v>
      </c>
      <c r="G629">
        <v>0.63</v>
      </c>
      <c r="H629">
        <v>125.38</v>
      </c>
      <c r="I629" t="s">
        <v>312</v>
      </c>
      <c r="J629" t="s">
        <v>407</v>
      </c>
      <c r="K629" t="s">
        <v>582</v>
      </c>
      <c r="L629" t="s">
        <v>178</v>
      </c>
      <c r="M629" t="s">
        <v>272</v>
      </c>
      <c r="N629" t="s">
        <v>11</v>
      </c>
      <c r="O629" t="s">
        <v>4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1</v>
      </c>
      <c r="AE629">
        <v>1</v>
      </c>
      <c r="AF629">
        <v>1</v>
      </c>
      <c r="AG629" t="s">
        <v>272</v>
      </c>
      <c r="AH629" t="s">
        <v>11</v>
      </c>
      <c r="AI629" t="s">
        <v>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0</v>
      </c>
      <c r="AN629">
        <f>$H$629*$T$629</f>
        <v>0</v>
      </c>
      <c r="AO629">
        <f>$H$629*$U$629</f>
        <v>0</v>
      </c>
      <c r="AP629">
        <f>$H$629*$V$629</f>
        <v>0</v>
      </c>
      <c r="AQ629">
        <f>$H$629*$W$629</f>
        <v>0</v>
      </c>
      <c r="AR629">
        <f>$H$629*$X$629</f>
        <v>0</v>
      </c>
      <c r="AS629">
        <f>$H$629*$Y$629</f>
        <v>0</v>
      </c>
      <c r="AT629">
        <f>$H$629*$Z$629</f>
        <v>0</v>
      </c>
      <c r="AU629">
        <f>$H$629*$AA$629</f>
        <v>0</v>
      </c>
      <c r="AV629">
        <f>$H$629*$AB$629</f>
        <v>0</v>
      </c>
      <c r="AW629">
        <f>$H$629*$AC$629</f>
        <v>0</v>
      </c>
      <c r="AX629">
        <f>$H$629*$AD$629</f>
        <v>125.38</v>
      </c>
      <c r="AY629">
        <f>$H$629*$AE$629</f>
        <v>125.38</v>
      </c>
      <c r="AZ629">
        <f>$H$629*$AF$629</f>
        <v>125.38</v>
      </c>
    </row>
    <row r="630" spans="1:52" x14ac:dyDescent="0.25">
      <c r="A630">
        <v>681</v>
      </c>
      <c r="B630" t="s">
        <v>272</v>
      </c>
      <c r="C630" t="s">
        <v>408</v>
      </c>
      <c r="D630">
        <v>165.84</v>
      </c>
      <c r="E630">
        <v>114.43</v>
      </c>
      <c r="F630" t="s">
        <v>335</v>
      </c>
      <c r="G630">
        <v>0.69</v>
      </c>
      <c r="H630">
        <v>137.31</v>
      </c>
      <c r="I630" t="s">
        <v>312</v>
      </c>
      <c r="J630" t="s">
        <v>409</v>
      </c>
      <c r="K630" t="s">
        <v>583</v>
      </c>
      <c r="L630" t="s">
        <v>178</v>
      </c>
      <c r="M630" t="s">
        <v>272</v>
      </c>
      <c r="N630" t="s">
        <v>11</v>
      </c>
      <c r="O630" t="s">
        <v>4</v>
      </c>
      <c r="P630">
        <v>0</v>
      </c>
      <c r="Q630">
        <v>0</v>
      </c>
      <c r="R630">
        <v>0</v>
      </c>
      <c r="S630">
        <v>1</v>
      </c>
      <c r="T630">
        <v>1</v>
      </c>
      <c r="U630">
        <v>1</v>
      </c>
      <c r="V630">
        <v>1</v>
      </c>
      <c r="W630">
        <v>1</v>
      </c>
      <c r="X630">
        <v>1</v>
      </c>
      <c r="Y630">
        <v>1</v>
      </c>
      <c r="Z630">
        <v>1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272</v>
      </c>
      <c r="AH630" t="s">
        <v>11</v>
      </c>
      <c r="AI630" t="s">
        <v>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137.31</v>
      </c>
      <c r="AN630">
        <f>$H$630*$T$630</f>
        <v>137.31</v>
      </c>
      <c r="AO630">
        <f>$H$630*$U$630</f>
        <v>137.31</v>
      </c>
      <c r="AP630">
        <f>$H$630*$V$630</f>
        <v>137.31</v>
      </c>
      <c r="AQ630">
        <f>$H$630*$W$630</f>
        <v>137.31</v>
      </c>
      <c r="AR630">
        <f>$H$630*$X$630</f>
        <v>137.31</v>
      </c>
      <c r="AS630">
        <f>$H$630*$Y$630</f>
        <v>137.31</v>
      </c>
      <c r="AT630">
        <f>$H$630*$Z$630</f>
        <v>137.31</v>
      </c>
      <c r="AU630">
        <f>$H$630*$AA$630</f>
        <v>137.31</v>
      </c>
      <c r="AV630">
        <f>$H$630*$AB$630</f>
        <v>137.31</v>
      </c>
      <c r="AW630">
        <f>$H$630*$AC$630</f>
        <v>137.31</v>
      </c>
      <c r="AX630">
        <f>$H$630*$AD$630</f>
        <v>137.31</v>
      </c>
      <c r="AY630">
        <f>$H$630*$AE$630</f>
        <v>137.31</v>
      </c>
      <c r="AZ630">
        <f>$H$630*$AF$630</f>
        <v>137.31</v>
      </c>
    </row>
    <row r="631" spans="1:52" x14ac:dyDescent="0.25">
      <c r="A631">
        <v>682</v>
      </c>
      <c r="B631" t="s">
        <v>272</v>
      </c>
      <c r="C631" t="s">
        <v>410</v>
      </c>
      <c r="D631">
        <v>34.83</v>
      </c>
      <c r="E631">
        <v>237.19</v>
      </c>
      <c r="F631" t="s">
        <v>335</v>
      </c>
      <c r="G631">
        <v>6.81</v>
      </c>
      <c r="H631">
        <v>284.63</v>
      </c>
      <c r="I631" t="s">
        <v>411</v>
      </c>
      <c r="J631" t="s">
        <v>412</v>
      </c>
      <c r="K631" t="s">
        <v>584</v>
      </c>
      <c r="L631" t="s">
        <v>178</v>
      </c>
      <c r="M631" t="s">
        <v>272</v>
      </c>
      <c r="N631" t="s">
        <v>11</v>
      </c>
      <c r="O631" t="s">
        <v>4</v>
      </c>
      <c r="P631">
        <v>0</v>
      </c>
      <c r="Q631">
        <v>0</v>
      </c>
      <c r="R631">
        <v>0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272</v>
      </c>
      <c r="AH631" t="s">
        <v>11</v>
      </c>
      <c r="AI631" t="s">
        <v>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284.63</v>
      </c>
      <c r="AN631">
        <f>$H$631*$T$631</f>
        <v>284.63</v>
      </c>
      <c r="AO631">
        <f>$H$631*$U$631</f>
        <v>284.63</v>
      </c>
      <c r="AP631">
        <f>$H$631*$V$631</f>
        <v>284.63</v>
      </c>
      <c r="AQ631">
        <f>$H$631*$W$631</f>
        <v>284.63</v>
      </c>
      <c r="AR631">
        <f>$H$631*$X$631</f>
        <v>284.63</v>
      </c>
      <c r="AS631">
        <f>$H$631*$Y$631</f>
        <v>284.63</v>
      </c>
      <c r="AT631">
        <f>$H$631*$Z$631</f>
        <v>284.63</v>
      </c>
      <c r="AU631">
        <f>$H$631*$AA$631</f>
        <v>284.63</v>
      </c>
      <c r="AV631">
        <f>$H$631*$AB$631</f>
        <v>284.63</v>
      </c>
      <c r="AW631">
        <f>$H$631*$AC$631</f>
        <v>284.63</v>
      </c>
      <c r="AX631">
        <f>$H$631*$AD$631</f>
        <v>284.63</v>
      </c>
      <c r="AY631">
        <f>$H$631*$AE$631</f>
        <v>284.63</v>
      </c>
      <c r="AZ631">
        <f>$H$631*$AF$631</f>
        <v>284.63</v>
      </c>
    </row>
    <row r="632" spans="1:52" x14ac:dyDescent="0.25">
      <c r="A632">
        <v>683</v>
      </c>
      <c r="B632" t="s">
        <v>272</v>
      </c>
      <c r="C632" t="s">
        <v>413</v>
      </c>
      <c r="D632">
        <v>38.14</v>
      </c>
      <c r="E632">
        <v>281.08999999999997</v>
      </c>
      <c r="F632" t="s">
        <v>335</v>
      </c>
      <c r="G632">
        <v>7.37</v>
      </c>
      <c r="H632">
        <v>337.31</v>
      </c>
      <c r="I632" t="s">
        <v>411</v>
      </c>
      <c r="J632" t="s">
        <v>414</v>
      </c>
      <c r="K632" t="s">
        <v>585</v>
      </c>
      <c r="L632" t="s">
        <v>178</v>
      </c>
      <c r="M632" t="s">
        <v>272</v>
      </c>
      <c r="N632" t="s">
        <v>11</v>
      </c>
      <c r="O632" t="s">
        <v>4</v>
      </c>
      <c r="P632">
        <v>0</v>
      </c>
      <c r="Q632">
        <v>0</v>
      </c>
      <c r="R632">
        <v>0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272</v>
      </c>
      <c r="AH632" t="s">
        <v>11</v>
      </c>
      <c r="AI632" t="s">
        <v>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337.31</v>
      </c>
      <c r="AN632">
        <f>$H$632*$T$632</f>
        <v>337.31</v>
      </c>
      <c r="AO632">
        <f>$H$632*$U$632</f>
        <v>337.31</v>
      </c>
      <c r="AP632">
        <f>$H$632*$V$632</f>
        <v>337.31</v>
      </c>
      <c r="AQ632">
        <f>$H$632*$W$632</f>
        <v>337.31</v>
      </c>
      <c r="AR632">
        <f>$H$632*$X$632</f>
        <v>337.31</v>
      </c>
      <c r="AS632">
        <f>$H$632*$Y$632</f>
        <v>337.31</v>
      </c>
      <c r="AT632">
        <f>$H$632*$Z$632</f>
        <v>337.31</v>
      </c>
      <c r="AU632">
        <f>$H$632*$AA$632</f>
        <v>337.31</v>
      </c>
      <c r="AV632">
        <f>$H$632*$AB$632</f>
        <v>337.31</v>
      </c>
      <c r="AW632">
        <f>$H$632*$AC$632</f>
        <v>337.31</v>
      </c>
      <c r="AX632">
        <f>$H$632*$AD$632</f>
        <v>337.31</v>
      </c>
      <c r="AY632">
        <f>$H$632*$AE$632</f>
        <v>337.31</v>
      </c>
      <c r="AZ632">
        <f>$H$632*$AF$632</f>
        <v>337.31</v>
      </c>
    </row>
    <row r="633" spans="1:52" x14ac:dyDescent="0.25">
      <c r="A633">
        <v>684</v>
      </c>
      <c r="B633" t="s">
        <v>272</v>
      </c>
      <c r="C633" t="s">
        <v>415</v>
      </c>
      <c r="D633">
        <v>34.770000000000003</v>
      </c>
      <c r="E633">
        <v>189.84</v>
      </c>
      <c r="F633" t="s">
        <v>335</v>
      </c>
      <c r="G633">
        <v>5.46</v>
      </c>
      <c r="H633">
        <v>227.8</v>
      </c>
      <c r="I633" t="s">
        <v>416</v>
      </c>
      <c r="J633" t="s">
        <v>417</v>
      </c>
      <c r="K633" t="s">
        <v>586</v>
      </c>
      <c r="L633" t="s">
        <v>178</v>
      </c>
      <c r="M633" t="s">
        <v>272</v>
      </c>
      <c r="N633" t="s">
        <v>11</v>
      </c>
      <c r="O633" t="s">
        <v>4</v>
      </c>
      <c r="P633">
        <v>0</v>
      </c>
      <c r="Q633">
        <v>0</v>
      </c>
      <c r="R633">
        <v>0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272</v>
      </c>
      <c r="AH633" t="s">
        <v>11</v>
      </c>
      <c r="AI633" t="s">
        <v>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227.8</v>
      </c>
      <c r="AN633">
        <f>$H$633*$T$633</f>
        <v>227.8</v>
      </c>
      <c r="AO633">
        <f>$H$633*$U$633</f>
        <v>227.8</v>
      </c>
      <c r="AP633">
        <f>$H$633*$V$633</f>
        <v>227.8</v>
      </c>
      <c r="AQ633">
        <f>$H$633*$W$633</f>
        <v>227.8</v>
      </c>
      <c r="AR633">
        <f>$H$633*$X$633</f>
        <v>227.8</v>
      </c>
      <c r="AS633">
        <f>$H$633*$Y$633</f>
        <v>227.8</v>
      </c>
      <c r="AT633">
        <f>$H$633*$Z$633</f>
        <v>227.8</v>
      </c>
      <c r="AU633">
        <f>$H$633*$AA$633</f>
        <v>227.8</v>
      </c>
      <c r="AV633">
        <f>$H$633*$AB$633</f>
        <v>227.8</v>
      </c>
      <c r="AW633">
        <f>$H$633*$AC$633</f>
        <v>227.8</v>
      </c>
      <c r="AX633">
        <f>$H$633*$AD$633</f>
        <v>227.8</v>
      </c>
      <c r="AY633">
        <f>$H$633*$AE$633</f>
        <v>227.8</v>
      </c>
      <c r="AZ633">
        <f>$H$633*$AF$633</f>
        <v>227.8</v>
      </c>
    </row>
    <row r="634" spans="1:52" x14ac:dyDescent="0.25">
      <c r="A634">
        <v>685</v>
      </c>
      <c r="B634" t="s">
        <v>272</v>
      </c>
      <c r="C634" t="s">
        <v>418</v>
      </c>
      <c r="D634">
        <v>34.770000000000003</v>
      </c>
      <c r="E634">
        <v>124.48</v>
      </c>
      <c r="F634" t="s">
        <v>335</v>
      </c>
      <c r="G634">
        <v>3.58</v>
      </c>
      <c r="H634">
        <v>149.38</v>
      </c>
      <c r="I634" t="s">
        <v>416</v>
      </c>
      <c r="J634" t="s">
        <v>419</v>
      </c>
      <c r="K634" t="s">
        <v>587</v>
      </c>
      <c r="L634" t="s">
        <v>178</v>
      </c>
      <c r="M634" t="s">
        <v>272</v>
      </c>
      <c r="N634" t="s">
        <v>11</v>
      </c>
      <c r="O634" t="s">
        <v>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272</v>
      </c>
      <c r="AH634" t="s">
        <v>11</v>
      </c>
      <c r="AI634" t="s">
        <v>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149.38</v>
      </c>
      <c r="AN634">
        <f>$H$634*$T$634</f>
        <v>149.38</v>
      </c>
      <c r="AO634">
        <f>$H$634*$U$634</f>
        <v>149.38</v>
      </c>
      <c r="AP634">
        <f>$H$634*$V$634</f>
        <v>149.38</v>
      </c>
      <c r="AQ634">
        <f>$H$634*$W$634</f>
        <v>149.38</v>
      </c>
      <c r="AR634">
        <f>$H$634*$X$634</f>
        <v>149.38</v>
      </c>
      <c r="AS634">
        <f>$H$634*$Y$634</f>
        <v>149.38</v>
      </c>
      <c r="AT634">
        <f>$H$634*$Z$634</f>
        <v>149.38</v>
      </c>
      <c r="AU634">
        <f>$H$634*$AA$634</f>
        <v>149.38</v>
      </c>
      <c r="AV634">
        <f>$H$634*$AB$634</f>
        <v>149.38</v>
      </c>
      <c r="AW634">
        <f>$H$634*$AC$634</f>
        <v>149.38</v>
      </c>
      <c r="AX634">
        <f>$H$634*$AD$634</f>
        <v>149.38</v>
      </c>
      <c r="AY634">
        <f>$H$634*$AE$634</f>
        <v>149.38</v>
      </c>
      <c r="AZ634">
        <f>$H$634*$AF$634</f>
        <v>149.38</v>
      </c>
    </row>
    <row r="635" spans="1:52" x14ac:dyDescent="0.25">
      <c r="A635">
        <v>686</v>
      </c>
      <c r="B635" t="s">
        <v>272</v>
      </c>
      <c r="C635" t="s">
        <v>420</v>
      </c>
      <c r="D635">
        <v>34.770000000000003</v>
      </c>
      <c r="E635">
        <v>342.48</v>
      </c>
      <c r="F635" t="s">
        <v>335</v>
      </c>
      <c r="G635">
        <v>9.85</v>
      </c>
      <c r="H635">
        <v>410.98</v>
      </c>
      <c r="I635" t="s">
        <v>416</v>
      </c>
      <c r="J635" t="s">
        <v>414</v>
      </c>
      <c r="K635" t="s">
        <v>588</v>
      </c>
      <c r="L635" t="s">
        <v>178</v>
      </c>
      <c r="M635" t="s">
        <v>272</v>
      </c>
      <c r="N635" t="s">
        <v>11</v>
      </c>
      <c r="O635" t="s">
        <v>4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272</v>
      </c>
      <c r="AH635" t="s">
        <v>11</v>
      </c>
      <c r="AI635" t="s">
        <v>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410.98</v>
      </c>
      <c r="AN635">
        <f>$H$635*$T$635</f>
        <v>410.98</v>
      </c>
      <c r="AO635">
        <f>$H$635*$U$635</f>
        <v>410.98</v>
      </c>
      <c r="AP635">
        <f>$H$635*$V$635</f>
        <v>410.98</v>
      </c>
      <c r="AQ635">
        <f>$H$635*$W$635</f>
        <v>410.98</v>
      </c>
      <c r="AR635">
        <f>$H$635*$X$635</f>
        <v>410.98</v>
      </c>
      <c r="AS635">
        <f>$H$635*$Y$635</f>
        <v>410.98</v>
      </c>
      <c r="AT635">
        <f>$H$635*$Z$635</f>
        <v>410.98</v>
      </c>
      <c r="AU635">
        <f>$H$635*$AA$635</f>
        <v>410.98</v>
      </c>
      <c r="AV635">
        <f>$H$635*$AB$635</f>
        <v>410.98</v>
      </c>
      <c r="AW635">
        <f>$H$635*$AC$635</f>
        <v>410.98</v>
      </c>
      <c r="AX635">
        <f>$H$635*$AD$635</f>
        <v>410.98</v>
      </c>
      <c r="AY635">
        <f>$H$635*$AE$635</f>
        <v>410.98</v>
      </c>
      <c r="AZ635">
        <f>$H$635*$AF$635</f>
        <v>410.98</v>
      </c>
    </row>
    <row r="636" spans="1:52" x14ac:dyDescent="0.25">
      <c r="A636">
        <v>687</v>
      </c>
      <c r="B636" t="s">
        <v>272</v>
      </c>
      <c r="C636" t="s">
        <v>421</v>
      </c>
      <c r="D636">
        <v>38.14</v>
      </c>
      <c r="E636">
        <v>37</v>
      </c>
      <c r="F636" t="s">
        <v>335</v>
      </c>
      <c r="G636">
        <v>0.97</v>
      </c>
      <c r="H636">
        <v>44.4</v>
      </c>
      <c r="I636" t="s">
        <v>360</v>
      </c>
      <c r="J636" t="s">
        <v>422</v>
      </c>
      <c r="K636" t="s">
        <v>589</v>
      </c>
      <c r="L636" t="s">
        <v>178</v>
      </c>
      <c r="M636" t="s">
        <v>272</v>
      </c>
      <c r="N636" t="s">
        <v>11</v>
      </c>
      <c r="O636" t="s">
        <v>4</v>
      </c>
      <c r="P636">
        <v>0</v>
      </c>
      <c r="Q636">
        <v>0</v>
      </c>
      <c r="R636">
        <v>0</v>
      </c>
      <c r="S636">
        <v>1</v>
      </c>
      <c r="T636">
        <v>1</v>
      </c>
      <c r="U636">
        <v>1</v>
      </c>
      <c r="V636">
        <v>1</v>
      </c>
      <c r="W636">
        <v>1</v>
      </c>
      <c r="X636">
        <v>1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272</v>
      </c>
      <c r="AH636" t="s">
        <v>11</v>
      </c>
      <c r="AI636" t="s">
        <v>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44.4</v>
      </c>
      <c r="AN636">
        <f>$H$636*$T$636</f>
        <v>44.4</v>
      </c>
      <c r="AO636">
        <f>$H$636*$U$636</f>
        <v>44.4</v>
      </c>
      <c r="AP636">
        <f>$H$636*$V$636</f>
        <v>44.4</v>
      </c>
      <c r="AQ636">
        <f>$H$636*$W$636</f>
        <v>44.4</v>
      </c>
      <c r="AR636">
        <f>$H$636*$X$636</f>
        <v>44.4</v>
      </c>
      <c r="AS636">
        <f>$H$636*$Y$636</f>
        <v>44.4</v>
      </c>
      <c r="AT636">
        <f>$H$636*$Z$636</f>
        <v>44.4</v>
      </c>
      <c r="AU636">
        <f>$H$636*$AA$636</f>
        <v>44.4</v>
      </c>
      <c r="AV636">
        <f>$H$636*$AB$636</f>
        <v>44.4</v>
      </c>
      <c r="AW636">
        <f>$H$636*$AC$636</f>
        <v>44.4</v>
      </c>
      <c r="AX636">
        <f>$H$636*$AD$636</f>
        <v>44.4</v>
      </c>
      <c r="AY636">
        <f>$H$636*$AE$636</f>
        <v>44.4</v>
      </c>
      <c r="AZ636">
        <f>$H$636*$AF$636</f>
        <v>44.4</v>
      </c>
    </row>
    <row r="637" spans="1:52" x14ac:dyDescent="0.25">
      <c r="A637">
        <v>688</v>
      </c>
      <c r="B637" t="s">
        <v>272</v>
      </c>
      <c r="C637" t="s">
        <v>423</v>
      </c>
      <c r="D637">
        <v>38.14</v>
      </c>
      <c r="E637">
        <v>292.14999999999998</v>
      </c>
      <c r="F637" t="s">
        <v>335</v>
      </c>
      <c r="G637">
        <v>7.66</v>
      </c>
      <c r="H637">
        <v>350.59</v>
      </c>
      <c r="I637" t="s">
        <v>360</v>
      </c>
      <c r="J637" t="s">
        <v>414</v>
      </c>
      <c r="K637" t="s">
        <v>590</v>
      </c>
      <c r="L637" t="s">
        <v>178</v>
      </c>
      <c r="M637" t="s">
        <v>272</v>
      </c>
      <c r="N637" t="s">
        <v>11</v>
      </c>
      <c r="O637" t="s">
        <v>4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272</v>
      </c>
      <c r="AH637" t="s">
        <v>11</v>
      </c>
      <c r="AI637" t="s">
        <v>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350.59</v>
      </c>
      <c r="AN637">
        <f>$H$637*$T$637</f>
        <v>350.59</v>
      </c>
      <c r="AO637">
        <f>$H$637*$U$637</f>
        <v>350.59</v>
      </c>
      <c r="AP637">
        <f>$H$637*$V$637</f>
        <v>350.59</v>
      </c>
      <c r="AQ637">
        <f>$H$637*$W$637</f>
        <v>350.59</v>
      </c>
      <c r="AR637">
        <f>$H$637*$X$637</f>
        <v>350.59</v>
      </c>
      <c r="AS637">
        <f>$H$637*$Y$637</f>
        <v>350.59</v>
      </c>
      <c r="AT637">
        <f>$H$637*$Z$637</f>
        <v>350.59</v>
      </c>
      <c r="AU637">
        <f>$H$637*$AA$637</f>
        <v>350.59</v>
      </c>
      <c r="AV637">
        <f>$H$637*$AB$637</f>
        <v>350.59</v>
      </c>
      <c r="AW637">
        <f>$H$637*$AC$637</f>
        <v>350.59</v>
      </c>
      <c r="AX637">
        <f>$H$637*$AD$637</f>
        <v>350.59</v>
      </c>
      <c r="AY637">
        <f>$H$637*$AE$637</f>
        <v>350.59</v>
      </c>
      <c r="AZ637">
        <f>$H$637*$AF$637</f>
        <v>350.59</v>
      </c>
    </row>
    <row r="638" spans="1:52" x14ac:dyDescent="0.25">
      <c r="A638">
        <v>689</v>
      </c>
      <c r="B638" t="s">
        <v>285</v>
      </c>
      <c r="C638" t="s">
        <v>318</v>
      </c>
      <c r="D638">
        <v>1</v>
      </c>
      <c r="E638">
        <v>60.4</v>
      </c>
      <c r="F638" t="s">
        <v>317</v>
      </c>
      <c r="G638">
        <v>60.4</v>
      </c>
      <c r="H638">
        <v>72.48</v>
      </c>
      <c r="I638" t="s">
        <v>319</v>
      </c>
      <c r="J638" t="s">
        <v>320</v>
      </c>
      <c r="K638" t="s">
        <v>540</v>
      </c>
      <c r="L638" t="s">
        <v>178</v>
      </c>
      <c r="M638" t="s">
        <v>285</v>
      </c>
      <c r="N638" t="s">
        <v>11</v>
      </c>
      <c r="O638" t="s">
        <v>6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1</v>
      </c>
      <c r="AE638">
        <v>1</v>
      </c>
      <c r="AF638">
        <v>1</v>
      </c>
      <c r="AG638" t="s">
        <v>285</v>
      </c>
      <c r="AH638" t="s">
        <v>11</v>
      </c>
      <c r="AI638" t="s">
        <v>6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0</v>
      </c>
      <c r="AN638">
        <f>$H$638*$T$638</f>
        <v>0</v>
      </c>
      <c r="AO638">
        <f>$H$638*$U$638</f>
        <v>0</v>
      </c>
      <c r="AP638">
        <f>$H$638*$V$638</f>
        <v>0</v>
      </c>
      <c r="AQ638">
        <f>$H$638*$W$638</f>
        <v>0</v>
      </c>
      <c r="AR638">
        <f>$H$638*$X$638</f>
        <v>0</v>
      </c>
      <c r="AS638">
        <f>$H$638*$Y$638</f>
        <v>0</v>
      </c>
      <c r="AT638">
        <f>$H$638*$Z$638</f>
        <v>0</v>
      </c>
      <c r="AU638">
        <f>$H$638*$AA$638</f>
        <v>0</v>
      </c>
      <c r="AV638">
        <f>$H$638*$AB$638</f>
        <v>0</v>
      </c>
      <c r="AW638">
        <f>$H$638*$AC$638</f>
        <v>0</v>
      </c>
      <c r="AX638">
        <f>$H$638*$AD$638</f>
        <v>72.48</v>
      </c>
      <c r="AY638">
        <f>$H$638*$AE$638</f>
        <v>72.48</v>
      </c>
      <c r="AZ638">
        <f>$H$638*$AF$638</f>
        <v>72.48</v>
      </c>
    </row>
    <row r="639" spans="1:52" x14ac:dyDescent="0.25">
      <c r="A639">
        <v>690</v>
      </c>
      <c r="B639" t="s">
        <v>285</v>
      </c>
      <c r="C639" t="s">
        <v>397</v>
      </c>
      <c r="D639">
        <v>2</v>
      </c>
      <c r="E639">
        <v>26.54</v>
      </c>
      <c r="F639" t="s">
        <v>317</v>
      </c>
      <c r="G639">
        <v>13.27</v>
      </c>
      <c r="H639">
        <v>31.84</v>
      </c>
      <c r="I639" t="s">
        <v>319</v>
      </c>
      <c r="J639" t="s">
        <v>398</v>
      </c>
      <c r="K639" t="s">
        <v>577</v>
      </c>
      <c r="L639" t="s">
        <v>178</v>
      </c>
      <c r="M639" t="s">
        <v>285</v>
      </c>
      <c r="N639" t="s">
        <v>11</v>
      </c>
      <c r="O639" t="s">
        <v>6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1</v>
      </c>
      <c r="Y639">
        <v>1</v>
      </c>
      <c r="Z639">
        <v>1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285</v>
      </c>
      <c r="AH639" t="s">
        <v>11</v>
      </c>
      <c r="AI639" t="s">
        <v>6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0</v>
      </c>
      <c r="AN639">
        <f>$H$639*$T$639</f>
        <v>0</v>
      </c>
      <c r="AO639">
        <f>$H$639*$U$639</f>
        <v>0</v>
      </c>
      <c r="AP639">
        <f>$H$639*$V$639</f>
        <v>0</v>
      </c>
      <c r="AQ639">
        <f>$H$639*$W$639</f>
        <v>0</v>
      </c>
      <c r="AR639">
        <f>$H$639*$X$639</f>
        <v>31.84</v>
      </c>
      <c r="AS639">
        <f>$H$639*$Y$639</f>
        <v>31.84</v>
      </c>
      <c r="AT639">
        <f>$H$639*$Z$639</f>
        <v>31.84</v>
      </c>
      <c r="AU639">
        <f>$H$639*$AA$639</f>
        <v>31.84</v>
      </c>
      <c r="AV639">
        <f>$H$639*$AB$639</f>
        <v>31.84</v>
      </c>
      <c r="AW639">
        <f>$H$639*$AC$639</f>
        <v>31.84</v>
      </c>
      <c r="AX639">
        <f>$H$639*$AD$639</f>
        <v>31.84</v>
      </c>
      <c r="AY639">
        <f>$H$639*$AE$639</f>
        <v>31.84</v>
      </c>
      <c r="AZ639">
        <f>$H$639*$AF$639</f>
        <v>31.84</v>
      </c>
    </row>
    <row r="640" spans="1:52" x14ac:dyDescent="0.25">
      <c r="A640">
        <v>691</v>
      </c>
      <c r="B640" t="s">
        <v>285</v>
      </c>
      <c r="C640" t="s">
        <v>399</v>
      </c>
      <c r="D640">
        <v>1</v>
      </c>
      <c r="E640">
        <v>63.51</v>
      </c>
      <c r="F640" t="s">
        <v>317</v>
      </c>
      <c r="G640">
        <v>63.51</v>
      </c>
      <c r="H640">
        <v>76.209999999999994</v>
      </c>
      <c r="I640" t="s">
        <v>322</v>
      </c>
      <c r="J640" t="s">
        <v>355</v>
      </c>
      <c r="K640" t="s">
        <v>578</v>
      </c>
      <c r="L640" t="s">
        <v>178</v>
      </c>
      <c r="M640" t="s">
        <v>285</v>
      </c>
      <c r="N640" t="s">
        <v>11</v>
      </c>
      <c r="O640" t="s">
        <v>6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1</v>
      </c>
      <c r="AE640">
        <v>1</v>
      </c>
      <c r="AF640">
        <v>1</v>
      </c>
      <c r="AG640" t="s">
        <v>285</v>
      </c>
      <c r="AH640" t="s">
        <v>11</v>
      </c>
      <c r="AI640" t="s">
        <v>6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0</v>
      </c>
      <c r="AN640">
        <f>$H$640*$T$640</f>
        <v>0</v>
      </c>
      <c r="AO640">
        <f>$H$640*$U$640</f>
        <v>0</v>
      </c>
      <c r="AP640">
        <f>$H$640*$V$640</f>
        <v>0</v>
      </c>
      <c r="AQ640">
        <f>$H$640*$W$640</f>
        <v>0</v>
      </c>
      <c r="AR640">
        <f>$H$640*$X$640</f>
        <v>0</v>
      </c>
      <c r="AS640">
        <f>$H$640*$Y$640</f>
        <v>0</v>
      </c>
      <c r="AT640">
        <f>$H$640*$Z$640</f>
        <v>0</v>
      </c>
      <c r="AU640">
        <f>$H$640*$AA$640</f>
        <v>0</v>
      </c>
      <c r="AV640">
        <f>$H$640*$AB$640</f>
        <v>0</v>
      </c>
      <c r="AW640">
        <f>$H$640*$AC$640</f>
        <v>0</v>
      </c>
      <c r="AX640">
        <f>$H$640*$AD$640</f>
        <v>76.209999999999994</v>
      </c>
      <c r="AY640">
        <f>$H$640*$AE$640</f>
        <v>76.209999999999994</v>
      </c>
      <c r="AZ640">
        <f>$H$640*$AF$640</f>
        <v>76.209999999999994</v>
      </c>
    </row>
    <row r="641" spans="1:52" x14ac:dyDescent="0.25">
      <c r="A641">
        <v>692</v>
      </c>
      <c r="B641" t="s">
        <v>285</v>
      </c>
      <c r="C641" t="s">
        <v>345</v>
      </c>
      <c r="D641">
        <v>301.33</v>
      </c>
      <c r="E641">
        <v>295.3</v>
      </c>
      <c r="F641" t="s">
        <v>335</v>
      </c>
      <c r="G641">
        <v>0.98</v>
      </c>
      <c r="H641">
        <v>354.36</v>
      </c>
      <c r="I641" t="s">
        <v>312</v>
      </c>
      <c r="J641" t="s">
        <v>346</v>
      </c>
      <c r="K641" t="s">
        <v>552</v>
      </c>
      <c r="L641" t="s">
        <v>178</v>
      </c>
      <c r="M641" t="s">
        <v>285</v>
      </c>
      <c r="N641" t="s">
        <v>11</v>
      </c>
      <c r="O641" t="s">
        <v>6</v>
      </c>
      <c r="P641">
        <v>0</v>
      </c>
      <c r="Q641">
        <v>0</v>
      </c>
      <c r="R641">
        <v>0</v>
      </c>
      <c r="S641">
        <v>0</v>
      </c>
      <c r="T641">
        <v>1</v>
      </c>
      <c r="U641">
        <v>1</v>
      </c>
      <c r="V641">
        <v>1</v>
      </c>
      <c r="W641">
        <v>1</v>
      </c>
      <c r="X641">
        <v>1</v>
      </c>
      <c r="Y641">
        <v>1</v>
      </c>
      <c r="Z641">
        <v>1</v>
      </c>
      <c r="AA641">
        <v>1</v>
      </c>
      <c r="AB641">
        <v>1</v>
      </c>
      <c r="AC641">
        <v>1</v>
      </c>
      <c r="AD641">
        <v>1</v>
      </c>
      <c r="AE641">
        <v>1</v>
      </c>
      <c r="AF641">
        <v>1</v>
      </c>
      <c r="AG641" t="s">
        <v>285</v>
      </c>
      <c r="AH641" t="s">
        <v>11</v>
      </c>
      <c r="AI641" t="s">
        <v>6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0</v>
      </c>
      <c r="AN641">
        <f>$H$641*$T$641</f>
        <v>354.36</v>
      </c>
      <c r="AO641">
        <f>$H$641*$U$641</f>
        <v>354.36</v>
      </c>
      <c r="AP641">
        <f>$H$641*$V$641</f>
        <v>354.36</v>
      </c>
      <c r="AQ641">
        <f>$H$641*$W$641</f>
        <v>354.36</v>
      </c>
      <c r="AR641">
        <f>$H$641*$X$641</f>
        <v>354.36</v>
      </c>
      <c r="AS641">
        <f>$H$641*$Y$641</f>
        <v>354.36</v>
      </c>
      <c r="AT641">
        <f>$H$641*$Z$641</f>
        <v>354.36</v>
      </c>
      <c r="AU641">
        <f>$H$641*$AA$641</f>
        <v>354.36</v>
      </c>
      <c r="AV641">
        <f>$H$641*$AB$641</f>
        <v>354.36</v>
      </c>
      <c r="AW641">
        <f>$H$641*$AC$641</f>
        <v>354.36</v>
      </c>
      <c r="AX641">
        <f>$H$641*$AD$641</f>
        <v>354.36</v>
      </c>
      <c r="AY641">
        <f>$H$641*$AE$641</f>
        <v>354.36</v>
      </c>
      <c r="AZ641">
        <f>$H$641*$AF$641</f>
        <v>354.36</v>
      </c>
    </row>
    <row r="642" spans="1:52" x14ac:dyDescent="0.25">
      <c r="A642">
        <v>693</v>
      </c>
      <c r="B642" t="s">
        <v>285</v>
      </c>
      <c r="C642" t="s">
        <v>400</v>
      </c>
      <c r="D642">
        <v>301.33</v>
      </c>
      <c r="E642">
        <v>1012.47</v>
      </c>
      <c r="F642" t="s">
        <v>335</v>
      </c>
      <c r="G642">
        <v>3.36</v>
      </c>
      <c r="H642">
        <v>1214.97</v>
      </c>
      <c r="I642" t="s">
        <v>348</v>
      </c>
      <c r="J642" t="s">
        <v>401</v>
      </c>
      <c r="K642" t="s">
        <v>579</v>
      </c>
      <c r="L642" t="s">
        <v>178</v>
      </c>
      <c r="M642" t="s">
        <v>285</v>
      </c>
      <c r="N642" t="s">
        <v>11</v>
      </c>
      <c r="O642" t="s">
        <v>6</v>
      </c>
      <c r="P642">
        <v>0</v>
      </c>
      <c r="Q642">
        <v>0</v>
      </c>
      <c r="R642">
        <v>0</v>
      </c>
      <c r="S642">
        <v>0.25</v>
      </c>
      <c r="T642">
        <v>0.25</v>
      </c>
      <c r="U642">
        <v>0.25</v>
      </c>
      <c r="V642">
        <v>0.25</v>
      </c>
      <c r="W642">
        <v>0.5</v>
      </c>
      <c r="X642">
        <v>0.5</v>
      </c>
      <c r="Y642">
        <v>0.5</v>
      </c>
      <c r="Z642">
        <v>0.5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285</v>
      </c>
      <c r="AH642" t="s">
        <v>11</v>
      </c>
      <c r="AI642" t="s">
        <v>6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303.74250000000001</v>
      </c>
      <c r="AN642">
        <f>$H$642*$T$642</f>
        <v>303.74250000000001</v>
      </c>
      <c r="AO642">
        <f>$H$642*$U$642</f>
        <v>303.74250000000001</v>
      </c>
      <c r="AP642">
        <f>$H$642*$V$642</f>
        <v>303.74250000000001</v>
      </c>
      <c r="AQ642">
        <f>$H$642*$W$642</f>
        <v>607.48500000000001</v>
      </c>
      <c r="AR642">
        <f>$H$642*$X$642</f>
        <v>607.48500000000001</v>
      </c>
      <c r="AS642">
        <f>$H$642*$Y$642</f>
        <v>607.48500000000001</v>
      </c>
      <c r="AT642">
        <f>$H$642*$Z$642</f>
        <v>607.48500000000001</v>
      </c>
      <c r="AU642">
        <f>$H$642*$AA$642</f>
        <v>1214.97</v>
      </c>
      <c r="AV642">
        <f>$H$642*$AB$642</f>
        <v>1214.97</v>
      </c>
      <c r="AW642">
        <f>$H$642*$AC$642</f>
        <v>1214.97</v>
      </c>
      <c r="AX642">
        <f>$H$642*$AD$642</f>
        <v>1214.97</v>
      </c>
      <c r="AY642">
        <f>$H$642*$AE$642</f>
        <v>1214.97</v>
      </c>
      <c r="AZ642">
        <f>$H$642*$AF$642</f>
        <v>1214.97</v>
      </c>
    </row>
    <row r="643" spans="1:52" x14ac:dyDescent="0.25">
      <c r="A643">
        <v>694</v>
      </c>
      <c r="B643" t="s">
        <v>285</v>
      </c>
      <c r="C643" t="s">
        <v>402</v>
      </c>
      <c r="D643">
        <v>37.67</v>
      </c>
      <c r="E643">
        <v>56.88</v>
      </c>
      <c r="F643" t="s">
        <v>311</v>
      </c>
      <c r="G643">
        <v>1.51</v>
      </c>
      <c r="H643">
        <v>68.260000000000005</v>
      </c>
      <c r="I643" t="s">
        <v>312</v>
      </c>
      <c r="J643" t="s">
        <v>403</v>
      </c>
      <c r="K643" t="s">
        <v>580</v>
      </c>
      <c r="L643" t="s">
        <v>178</v>
      </c>
      <c r="M643" t="s">
        <v>285</v>
      </c>
      <c r="N643" t="s">
        <v>11</v>
      </c>
      <c r="O643" t="s">
        <v>6</v>
      </c>
      <c r="P643">
        <v>0</v>
      </c>
      <c r="Q643">
        <v>0</v>
      </c>
      <c r="R643">
        <v>0</v>
      </c>
      <c r="S643">
        <v>1</v>
      </c>
      <c r="T643">
        <v>1</v>
      </c>
      <c r="U643">
        <v>1</v>
      </c>
      <c r="V643">
        <v>1</v>
      </c>
      <c r="W643">
        <v>1</v>
      </c>
      <c r="X643">
        <v>1</v>
      </c>
      <c r="Y643">
        <v>1</v>
      </c>
      <c r="Z643">
        <v>1</v>
      </c>
      <c r="AA643">
        <v>1</v>
      </c>
      <c r="AB643">
        <v>1</v>
      </c>
      <c r="AC643">
        <v>1</v>
      </c>
      <c r="AD643">
        <v>1</v>
      </c>
      <c r="AE643">
        <v>1</v>
      </c>
      <c r="AF643">
        <v>1</v>
      </c>
      <c r="AG643" t="s">
        <v>285</v>
      </c>
      <c r="AH643" t="s">
        <v>11</v>
      </c>
      <c r="AI643" t="s">
        <v>6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68.260000000000005</v>
      </c>
      <c r="AN643">
        <f>$H$643*$T$643</f>
        <v>68.260000000000005</v>
      </c>
      <c r="AO643">
        <f>$H$643*$U$643</f>
        <v>68.260000000000005</v>
      </c>
      <c r="AP643">
        <f>$H$643*$V$643</f>
        <v>68.260000000000005</v>
      </c>
      <c r="AQ643">
        <f>$H$643*$W$643</f>
        <v>68.260000000000005</v>
      </c>
      <c r="AR643">
        <f>$H$643*$X$643</f>
        <v>68.260000000000005</v>
      </c>
      <c r="AS643">
        <f>$H$643*$Y$643</f>
        <v>68.260000000000005</v>
      </c>
      <c r="AT643">
        <f>$H$643*$Z$643</f>
        <v>68.260000000000005</v>
      </c>
      <c r="AU643">
        <f>$H$643*$AA$643</f>
        <v>68.260000000000005</v>
      </c>
      <c r="AV643">
        <f>$H$643*$AB$643</f>
        <v>68.260000000000005</v>
      </c>
      <c r="AW643">
        <f>$H$643*$AC$643</f>
        <v>68.260000000000005</v>
      </c>
      <c r="AX643">
        <f>$H$643*$AD$643</f>
        <v>68.260000000000005</v>
      </c>
      <c r="AY643">
        <f>$H$643*$AE$643</f>
        <v>68.260000000000005</v>
      </c>
      <c r="AZ643">
        <f>$H$643*$AF$643</f>
        <v>68.260000000000005</v>
      </c>
    </row>
    <row r="644" spans="1:52" x14ac:dyDescent="0.25">
      <c r="A644">
        <v>695</v>
      </c>
      <c r="B644" t="s">
        <v>285</v>
      </c>
      <c r="C644" t="s">
        <v>404</v>
      </c>
      <c r="D644">
        <v>37.67</v>
      </c>
      <c r="E644">
        <v>213.97</v>
      </c>
      <c r="F644" t="s">
        <v>311</v>
      </c>
      <c r="G644">
        <v>5.68</v>
      </c>
      <c r="H644">
        <v>256.77</v>
      </c>
      <c r="I644" t="s">
        <v>315</v>
      </c>
      <c r="J644" t="s">
        <v>405</v>
      </c>
      <c r="K644" t="s">
        <v>581</v>
      </c>
      <c r="L644" t="s">
        <v>178</v>
      </c>
      <c r="M644" t="s">
        <v>285</v>
      </c>
      <c r="N644" t="s">
        <v>11</v>
      </c>
      <c r="O644" t="s">
        <v>6</v>
      </c>
      <c r="P644">
        <v>0</v>
      </c>
      <c r="Q644">
        <v>0</v>
      </c>
      <c r="R644">
        <v>0</v>
      </c>
      <c r="S644">
        <v>1</v>
      </c>
      <c r="T644">
        <v>1</v>
      </c>
      <c r="U644">
        <v>1</v>
      </c>
      <c r="V644">
        <v>1</v>
      </c>
      <c r="W644">
        <v>1</v>
      </c>
      <c r="X644">
        <v>1</v>
      </c>
      <c r="Y644">
        <v>1</v>
      </c>
      <c r="Z644">
        <v>1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285</v>
      </c>
      <c r="AH644" t="s">
        <v>11</v>
      </c>
      <c r="AI644" t="s">
        <v>6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256.77</v>
      </c>
      <c r="AN644">
        <f>$H$644*$T$644</f>
        <v>256.77</v>
      </c>
      <c r="AO644">
        <f>$H$644*$U$644</f>
        <v>256.77</v>
      </c>
      <c r="AP644">
        <f>$H$644*$V$644</f>
        <v>256.77</v>
      </c>
      <c r="AQ644">
        <f>$H$644*$W$644</f>
        <v>256.77</v>
      </c>
      <c r="AR644">
        <f>$H$644*$X$644</f>
        <v>256.77</v>
      </c>
      <c r="AS644">
        <f>$H$644*$Y$644</f>
        <v>256.77</v>
      </c>
      <c r="AT644">
        <f>$H$644*$Z$644</f>
        <v>256.77</v>
      </c>
      <c r="AU644">
        <f>$H$644*$AA$644</f>
        <v>256.77</v>
      </c>
      <c r="AV644">
        <f>$H$644*$AB$644</f>
        <v>256.77</v>
      </c>
      <c r="AW644">
        <f>$H$644*$AC$644</f>
        <v>256.77</v>
      </c>
      <c r="AX644">
        <f>$H$644*$AD$644</f>
        <v>256.77</v>
      </c>
      <c r="AY644">
        <f>$H$644*$AE$644</f>
        <v>256.77</v>
      </c>
      <c r="AZ644">
        <f>$H$644*$AF$644</f>
        <v>256.77</v>
      </c>
    </row>
    <row r="645" spans="1:52" x14ac:dyDescent="0.25">
      <c r="A645">
        <v>696</v>
      </c>
      <c r="B645" t="s">
        <v>285</v>
      </c>
      <c r="C645" t="s">
        <v>400</v>
      </c>
      <c r="D645">
        <v>59.33</v>
      </c>
      <c r="E645">
        <v>199.35</v>
      </c>
      <c r="F645" t="s">
        <v>335</v>
      </c>
      <c r="G645">
        <v>3.36</v>
      </c>
      <c r="H645">
        <v>239.23</v>
      </c>
      <c r="I645" t="s">
        <v>348</v>
      </c>
      <c r="J645" t="s">
        <v>401</v>
      </c>
      <c r="K645" t="s">
        <v>579</v>
      </c>
      <c r="L645" t="s">
        <v>178</v>
      </c>
      <c r="M645" t="s">
        <v>285</v>
      </c>
      <c r="N645" t="s">
        <v>11</v>
      </c>
      <c r="O645" t="s">
        <v>6</v>
      </c>
      <c r="P645">
        <v>0</v>
      </c>
      <c r="Q645">
        <v>0</v>
      </c>
      <c r="R645">
        <v>0</v>
      </c>
      <c r="S645">
        <v>0.25</v>
      </c>
      <c r="T645">
        <v>0.25</v>
      </c>
      <c r="U645">
        <v>0.25</v>
      </c>
      <c r="V645">
        <v>0.25</v>
      </c>
      <c r="W645">
        <v>0.5</v>
      </c>
      <c r="X645">
        <v>0.5</v>
      </c>
      <c r="Y645">
        <v>0.5</v>
      </c>
      <c r="Z645">
        <v>0.5</v>
      </c>
      <c r="AA645">
        <v>1</v>
      </c>
      <c r="AB645">
        <v>1</v>
      </c>
      <c r="AC645">
        <v>1</v>
      </c>
      <c r="AD645">
        <v>1</v>
      </c>
      <c r="AE645">
        <v>1</v>
      </c>
      <c r="AF645">
        <v>1</v>
      </c>
      <c r="AG645" t="s">
        <v>285</v>
      </c>
      <c r="AH645" t="s">
        <v>11</v>
      </c>
      <c r="AI645" t="s">
        <v>6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59.807499999999997</v>
      </c>
      <c r="AN645">
        <f>$H$645*$T$645</f>
        <v>59.807499999999997</v>
      </c>
      <c r="AO645">
        <f>$H$645*$U$645</f>
        <v>59.807499999999997</v>
      </c>
      <c r="AP645">
        <f>$H$645*$V$645</f>
        <v>59.807499999999997</v>
      </c>
      <c r="AQ645">
        <f>$H$645*$W$645</f>
        <v>119.61499999999999</v>
      </c>
      <c r="AR645">
        <f>$H$645*$X$645</f>
        <v>119.61499999999999</v>
      </c>
      <c r="AS645">
        <f>$H$645*$Y$645</f>
        <v>119.61499999999999</v>
      </c>
      <c r="AT645">
        <f>$H$645*$Z$645</f>
        <v>119.61499999999999</v>
      </c>
      <c r="AU645">
        <f>$H$645*$AA$645</f>
        <v>239.23</v>
      </c>
      <c r="AV645">
        <f>$H$645*$AB$645</f>
        <v>239.23</v>
      </c>
      <c r="AW645">
        <f>$H$645*$AC$645</f>
        <v>239.23</v>
      </c>
      <c r="AX645">
        <f>$H$645*$AD$645</f>
        <v>239.23</v>
      </c>
      <c r="AY645">
        <f>$H$645*$AE$645</f>
        <v>239.23</v>
      </c>
      <c r="AZ645">
        <f>$H$645*$AF$645</f>
        <v>239.23</v>
      </c>
    </row>
    <row r="646" spans="1:52" x14ac:dyDescent="0.25">
      <c r="A646">
        <v>697</v>
      </c>
      <c r="B646" t="s">
        <v>285</v>
      </c>
      <c r="C646" t="s">
        <v>406</v>
      </c>
      <c r="D646">
        <v>59.33</v>
      </c>
      <c r="E646">
        <v>37.380000000000003</v>
      </c>
      <c r="F646" t="s">
        <v>335</v>
      </c>
      <c r="G646">
        <v>0.63</v>
      </c>
      <c r="H646">
        <v>44.86</v>
      </c>
      <c r="I646" t="s">
        <v>312</v>
      </c>
      <c r="J646" t="s">
        <v>407</v>
      </c>
      <c r="K646" t="s">
        <v>582</v>
      </c>
      <c r="L646" t="s">
        <v>178</v>
      </c>
      <c r="M646" t="s">
        <v>285</v>
      </c>
      <c r="N646" t="s">
        <v>11</v>
      </c>
      <c r="O646" t="s">
        <v>6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1</v>
      </c>
      <c r="AE646">
        <v>1</v>
      </c>
      <c r="AF646">
        <v>1</v>
      </c>
      <c r="AG646" t="s">
        <v>285</v>
      </c>
      <c r="AH646" t="s">
        <v>11</v>
      </c>
      <c r="AI646" t="s">
        <v>6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0</v>
      </c>
      <c r="AS646">
        <f>$H$646*$Y$646</f>
        <v>0</v>
      </c>
      <c r="AT646">
        <f>$H$646*$Z$646</f>
        <v>0</v>
      </c>
      <c r="AU646">
        <f>$H$646*$AA$646</f>
        <v>0</v>
      </c>
      <c r="AV646">
        <f>$H$646*$AB$646</f>
        <v>0</v>
      </c>
      <c r="AW646">
        <f>$H$646*$AC$646</f>
        <v>0</v>
      </c>
      <c r="AX646">
        <f>$H$646*$AD$646</f>
        <v>44.86</v>
      </c>
      <c r="AY646">
        <f>$H$646*$AE$646</f>
        <v>44.86</v>
      </c>
      <c r="AZ646">
        <f>$H$646*$AF$646</f>
        <v>44.86</v>
      </c>
    </row>
    <row r="647" spans="1:52" x14ac:dyDescent="0.25">
      <c r="A647">
        <v>698</v>
      </c>
      <c r="B647" t="s">
        <v>285</v>
      </c>
      <c r="C647" t="s">
        <v>408</v>
      </c>
      <c r="D647">
        <v>59.33</v>
      </c>
      <c r="E647">
        <v>40.94</v>
      </c>
      <c r="F647" t="s">
        <v>335</v>
      </c>
      <c r="G647">
        <v>0.69</v>
      </c>
      <c r="H647">
        <v>49.12</v>
      </c>
      <c r="I647" t="s">
        <v>312</v>
      </c>
      <c r="J647" t="s">
        <v>409</v>
      </c>
      <c r="K647" t="s">
        <v>583</v>
      </c>
      <c r="L647" t="s">
        <v>178</v>
      </c>
      <c r="M647" t="s">
        <v>285</v>
      </c>
      <c r="N647" t="s">
        <v>11</v>
      </c>
      <c r="O647" t="s">
        <v>6</v>
      </c>
      <c r="P647">
        <v>0</v>
      </c>
      <c r="Q647">
        <v>0</v>
      </c>
      <c r="R647">
        <v>0</v>
      </c>
      <c r="S647">
        <v>1</v>
      </c>
      <c r="T647">
        <v>1</v>
      </c>
      <c r="U647">
        <v>1</v>
      </c>
      <c r="V647">
        <v>1</v>
      </c>
      <c r="W647">
        <v>1</v>
      </c>
      <c r="X647">
        <v>1</v>
      </c>
      <c r="Y647">
        <v>1</v>
      </c>
      <c r="Z647">
        <v>1</v>
      </c>
      <c r="AA647">
        <v>1</v>
      </c>
      <c r="AB647">
        <v>1</v>
      </c>
      <c r="AC647">
        <v>1</v>
      </c>
      <c r="AD647">
        <v>1</v>
      </c>
      <c r="AE647">
        <v>1</v>
      </c>
      <c r="AF647">
        <v>1</v>
      </c>
      <c r="AG647" t="s">
        <v>285</v>
      </c>
      <c r="AH647" t="s">
        <v>11</v>
      </c>
      <c r="AI647" t="s">
        <v>6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49.12</v>
      </c>
      <c r="AN647">
        <f>$H$647*$T$647</f>
        <v>49.12</v>
      </c>
      <c r="AO647">
        <f>$H$647*$U$647</f>
        <v>49.12</v>
      </c>
      <c r="AP647">
        <f>$H$647*$V$647</f>
        <v>49.12</v>
      </c>
      <c r="AQ647">
        <f>$H$647*$W$647</f>
        <v>49.12</v>
      </c>
      <c r="AR647">
        <f>$H$647*$X$647</f>
        <v>49.12</v>
      </c>
      <c r="AS647">
        <f>$H$647*$Y$647</f>
        <v>49.12</v>
      </c>
      <c r="AT647">
        <f>$H$647*$Z$647</f>
        <v>49.12</v>
      </c>
      <c r="AU647">
        <f>$H$647*$AA$647</f>
        <v>49.12</v>
      </c>
      <c r="AV647">
        <f>$H$647*$AB$647</f>
        <v>49.12</v>
      </c>
      <c r="AW647">
        <f>$H$647*$AC$647</f>
        <v>49.12</v>
      </c>
      <c r="AX647">
        <f>$H$647*$AD$647</f>
        <v>49.12</v>
      </c>
      <c r="AY647">
        <f>$H$647*$AE$647</f>
        <v>49.12</v>
      </c>
      <c r="AZ647">
        <f>$H$647*$AF$647</f>
        <v>49.12</v>
      </c>
    </row>
    <row r="648" spans="1:52" x14ac:dyDescent="0.25">
      <c r="A648">
        <v>699</v>
      </c>
      <c r="B648" t="s">
        <v>285</v>
      </c>
      <c r="C648" t="s">
        <v>410</v>
      </c>
      <c r="D648">
        <v>12.46</v>
      </c>
      <c r="E648">
        <v>84.85</v>
      </c>
      <c r="F648" t="s">
        <v>335</v>
      </c>
      <c r="G648">
        <v>6.81</v>
      </c>
      <c r="H648">
        <v>101.83</v>
      </c>
      <c r="I648" t="s">
        <v>411</v>
      </c>
      <c r="J648" t="s">
        <v>412</v>
      </c>
      <c r="K648" t="s">
        <v>584</v>
      </c>
      <c r="L648" t="s">
        <v>178</v>
      </c>
      <c r="M648" t="s">
        <v>285</v>
      </c>
      <c r="N648" t="s">
        <v>11</v>
      </c>
      <c r="O648" t="s">
        <v>6</v>
      </c>
      <c r="P648">
        <v>0</v>
      </c>
      <c r="Q648">
        <v>0</v>
      </c>
      <c r="R648">
        <v>0</v>
      </c>
      <c r="S648">
        <v>1</v>
      </c>
      <c r="T648">
        <v>1</v>
      </c>
      <c r="U648">
        <v>1</v>
      </c>
      <c r="V648">
        <v>1</v>
      </c>
      <c r="W648">
        <v>1</v>
      </c>
      <c r="X648">
        <v>1</v>
      </c>
      <c r="Y648">
        <v>1</v>
      </c>
      <c r="Z648">
        <v>1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285</v>
      </c>
      <c r="AH648" t="s">
        <v>11</v>
      </c>
      <c r="AI648" t="s">
        <v>6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101.83</v>
      </c>
      <c r="AN648">
        <f>$H$648*$T$648</f>
        <v>101.83</v>
      </c>
      <c r="AO648">
        <f>$H$648*$U$648</f>
        <v>101.83</v>
      </c>
      <c r="AP648">
        <f>$H$648*$V$648</f>
        <v>101.83</v>
      </c>
      <c r="AQ648">
        <f>$H$648*$W$648</f>
        <v>101.83</v>
      </c>
      <c r="AR648">
        <f>$H$648*$X$648</f>
        <v>101.83</v>
      </c>
      <c r="AS648">
        <f>$H$648*$Y$648</f>
        <v>101.83</v>
      </c>
      <c r="AT648">
        <f>$H$648*$Z$648</f>
        <v>101.83</v>
      </c>
      <c r="AU648">
        <f>$H$648*$AA$648</f>
        <v>101.83</v>
      </c>
      <c r="AV648">
        <f>$H$648*$AB$648</f>
        <v>101.83</v>
      </c>
      <c r="AW648">
        <f>$H$648*$AC$648</f>
        <v>101.83</v>
      </c>
      <c r="AX648">
        <f>$H$648*$AD$648</f>
        <v>101.83</v>
      </c>
      <c r="AY648">
        <f>$H$648*$AE$648</f>
        <v>101.83</v>
      </c>
      <c r="AZ648">
        <f>$H$648*$AF$648</f>
        <v>101.83</v>
      </c>
    </row>
    <row r="649" spans="1:52" x14ac:dyDescent="0.25">
      <c r="A649">
        <v>700</v>
      </c>
      <c r="B649" t="s">
        <v>285</v>
      </c>
      <c r="C649" t="s">
        <v>413</v>
      </c>
      <c r="D649">
        <v>13.65</v>
      </c>
      <c r="E649">
        <v>100.6</v>
      </c>
      <c r="F649" t="s">
        <v>335</v>
      </c>
      <c r="G649">
        <v>7.37</v>
      </c>
      <c r="H649">
        <v>120.72</v>
      </c>
      <c r="I649" t="s">
        <v>411</v>
      </c>
      <c r="J649" t="s">
        <v>414</v>
      </c>
      <c r="K649" t="s">
        <v>585</v>
      </c>
      <c r="L649" t="s">
        <v>178</v>
      </c>
      <c r="M649" t="s">
        <v>285</v>
      </c>
      <c r="N649" t="s">
        <v>11</v>
      </c>
      <c r="O649" t="s">
        <v>6</v>
      </c>
      <c r="P649">
        <v>0</v>
      </c>
      <c r="Q649">
        <v>0</v>
      </c>
      <c r="R649">
        <v>0</v>
      </c>
      <c r="S649">
        <v>1</v>
      </c>
      <c r="T649">
        <v>1</v>
      </c>
      <c r="U649">
        <v>1</v>
      </c>
      <c r="V649">
        <v>1</v>
      </c>
      <c r="W649">
        <v>1</v>
      </c>
      <c r="X649">
        <v>1</v>
      </c>
      <c r="Y649">
        <v>1</v>
      </c>
      <c r="Z649">
        <v>1</v>
      </c>
      <c r="AA649">
        <v>1</v>
      </c>
      <c r="AB649">
        <v>1</v>
      </c>
      <c r="AC649">
        <v>1</v>
      </c>
      <c r="AD649">
        <v>1</v>
      </c>
      <c r="AE649">
        <v>1</v>
      </c>
      <c r="AF649">
        <v>1</v>
      </c>
      <c r="AG649" t="s">
        <v>285</v>
      </c>
      <c r="AH649" t="s">
        <v>11</v>
      </c>
      <c r="AI649" t="s">
        <v>6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120.72</v>
      </c>
      <c r="AN649">
        <f>$H$649*$T$649</f>
        <v>120.72</v>
      </c>
      <c r="AO649">
        <f>$H$649*$U$649</f>
        <v>120.72</v>
      </c>
      <c r="AP649">
        <f>$H$649*$V$649</f>
        <v>120.72</v>
      </c>
      <c r="AQ649">
        <f>$H$649*$W$649</f>
        <v>120.72</v>
      </c>
      <c r="AR649">
        <f>$H$649*$X$649</f>
        <v>120.72</v>
      </c>
      <c r="AS649">
        <f>$H$649*$Y$649</f>
        <v>120.72</v>
      </c>
      <c r="AT649">
        <f>$H$649*$Z$649</f>
        <v>120.72</v>
      </c>
      <c r="AU649">
        <f>$H$649*$AA$649</f>
        <v>120.72</v>
      </c>
      <c r="AV649">
        <f>$H$649*$AB$649</f>
        <v>120.72</v>
      </c>
      <c r="AW649">
        <f>$H$649*$AC$649</f>
        <v>120.72</v>
      </c>
      <c r="AX649">
        <f>$H$649*$AD$649</f>
        <v>120.72</v>
      </c>
      <c r="AY649">
        <f>$H$649*$AE$649</f>
        <v>120.72</v>
      </c>
      <c r="AZ649">
        <f>$H$649*$AF$649</f>
        <v>120.72</v>
      </c>
    </row>
    <row r="650" spans="1:52" x14ac:dyDescent="0.25">
      <c r="A650">
        <v>701</v>
      </c>
      <c r="B650" t="s">
        <v>285</v>
      </c>
      <c r="C650" t="s">
        <v>415</v>
      </c>
      <c r="D650">
        <v>13.47</v>
      </c>
      <c r="E650">
        <v>73.55</v>
      </c>
      <c r="F650" t="s">
        <v>335</v>
      </c>
      <c r="G650">
        <v>5.46</v>
      </c>
      <c r="H650">
        <v>88.27</v>
      </c>
      <c r="I650" t="s">
        <v>416</v>
      </c>
      <c r="J650" t="s">
        <v>417</v>
      </c>
      <c r="K650" t="s">
        <v>586</v>
      </c>
      <c r="L650" t="s">
        <v>178</v>
      </c>
      <c r="M650" t="s">
        <v>285</v>
      </c>
      <c r="N650" t="s">
        <v>11</v>
      </c>
      <c r="O650" t="s">
        <v>6</v>
      </c>
      <c r="P650">
        <v>0</v>
      </c>
      <c r="Q650">
        <v>0</v>
      </c>
      <c r="R650">
        <v>0</v>
      </c>
      <c r="S650">
        <v>1</v>
      </c>
      <c r="T650">
        <v>1</v>
      </c>
      <c r="U650">
        <v>1</v>
      </c>
      <c r="V650">
        <v>1</v>
      </c>
      <c r="W650">
        <v>1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285</v>
      </c>
      <c r="AH650" t="s">
        <v>11</v>
      </c>
      <c r="AI650" t="s">
        <v>6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88.27</v>
      </c>
      <c r="AN650">
        <f>$H$650*$T$650</f>
        <v>88.27</v>
      </c>
      <c r="AO650">
        <f>$H$650*$U$650</f>
        <v>88.27</v>
      </c>
      <c r="AP650">
        <f>$H$650*$V$650</f>
        <v>88.27</v>
      </c>
      <c r="AQ650">
        <f>$H$650*$W$650</f>
        <v>88.27</v>
      </c>
      <c r="AR650">
        <f>$H$650*$X$650</f>
        <v>88.27</v>
      </c>
      <c r="AS650">
        <f>$H$650*$Y$650</f>
        <v>88.27</v>
      </c>
      <c r="AT650">
        <f>$H$650*$Z$650</f>
        <v>88.27</v>
      </c>
      <c r="AU650">
        <f>$H$650*$AA$650</f>
        <v>88.27</v>
      </c>
      <c r="AV650">
        <f>$H$650*$AB$650</f>
        <v>88.27</v>
      </c>
      <c r="AW650">
        <f>$H$650*$AC$650</f>
        <v>88.27</v>
      </c>
      <c r="AX650">
        <f>$H$650*$AD$650</f>
        <v>88.27</v>
      </c>
      <c r="AY650">
        <f>$H$650*$AE$650</f>
        <v>88.27</v>
      </c>
      <c r="AZ650">
        <f>$H$650*$AF$650</f>
        <v>88.27</v>
      </c>
    </row>
    <row r="651" spans="1:52" x14ac:dyDescent="0.25">
      <c r="A651">
        <v>702</v>
      </c>
      <c r="B651" t="s">
        <v>285</v>
      </c>
      <c r="C651" t="s">
        <v>418</v>
      </c>
      <c r="D651">
        <v>13.47</v>
      </c>
      <c r="E651">
        <v>48.22</v>
      </c>
      <c r="F651" t="s">
        <v>335</v>
      </c>
      <c r="G651">
        <v>3.58</v>
      </c>
      <c r="H651">
        <v>57.86</v>
      </c>
      <c r="I651" t="s">
        <v>416</v>
      </c>
      <c r="J651" t="s">
        <v>419</v>
      </c>
      <c r="K651" t="s">
        <v>587</v>
      </c>
      <c r="L651" t="s">
        <v>178</v>
      </c>
      <c r="M651" t="s">
        <v>285</v>
      </c>
      <c r="N651" t="s">
        <v>11</v>
      </c>
      <c r="O651" t="s">
        <v>6</v>
      </c>
      <c r="P651">
        <v>0</v>
      </c>
      <c r="Q651">
        <v>0</v>
      </c>
      <c r="R651">
        <v>0</v>
      </c>
      <c r="S651">
        <v>1</v>
      </c>
      <c r="T651">
        <v>1</v>
      </c>
      <c r="U651">
        <v>1</v>
      </c>
      <c r="V651">
        <v>1</v>
      </c>
      <c r="W651">
        <v>1</v>
      </c>
      <c r="X651">
        <v>1</v>
      </c>
      <c r="Y651">
        <v>1</v>
      </c>
      <c r="Z651">
        <v>1</v>
      </c>
      <c r="AA651">
        <v>1</v>
      </c>
      <c r="AB651">
        <v>1</v>
      </c>
      <c r="AC651">
        <v>1</v>
      </c>
      <c r="AD651">
        <v>1</v>
      </c>
      <c r="AE651">
        <v>1</v>
      </c>
      <c r="AF651">
        <v>1</v>
      </c>
      <c r="AG651" t="s">
        <v>285</v>
      </c>
      <c r="AH651" t="s">
        <v>11</v>
      </c>
      <c r="AI651" t="s">
        <v>6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57.86</v>
      </c>
      <c r="AN651">
        <f>$H$651*$T$651</f>
        <v>57.86</v>
      </c>
      <c r="AO651">
        <f>$H$651*$U$651</f>
        <v>57.86</v>
      </c>
      <c r="AP651">
        <f>$H$651*$V$651</f>
        <v>57.86</v>
      </c>
      <c r="AQ651">
        <f>$H$651*$W$651</f>
        <v>57.86</v>
      </c>
      <c r="AR651">
        <f>$H$651*$X$651</f>
        <v>57.86</v>
      </c>
      <c r="AS651">
        <f>$H$651*$Y$651</f>
        <v>57.86</v>
      </c>
      <c r="AT651">
        <f>$H$651*$Z$651</f>
        <v>57.86</v>
      </c>
      <c r="AU651">
        <f>$H$651*$AA$651</f>
        <v>57.86</v>
      </c>
      <c r="AV651">
        <f>$H$651*$AB$651</f>
        <v>57.86</v>
      </c>
      <c r="AW651">
        <f>$H$651*$AC$651</f>
        <v>57.86</v>
      </c>
      <c r="AX651">
        <f>$H$651*$AD$651</f>
        <v>57.86</v>
      </c>
      <c r="AY651">
        <f>$H$651*$AE$651</f>
        <v>57.86</v>
      </c>
      <c r="AZ651">
        <f>$H$651*$AF$651</f>
        <v>57.86</v>
      </c>
    </row>
    <row r="652" spans="1:52" x14ac:dyDescent="0.25">
      <c r="A652">
        <v>703</v>
      </c>
      <c r="B652" t="s">
        <v>285</v>
      </c>
      <c r="C652" t="s">
        <v>420</v>
      </c>
      <c r="D652">
        <v>13.47</v>
      </c>
      <c r="E652">
        <v>132.68</v>
      </c>
      <c r="F652" t="s">
        <v>335</v>
      </c>
      <c r="G652">
        <v>9.85</v>
      </c>
      <c r="H652">
        <v>159.22</v>
      </c>
      <c r="I652" t="s">
        <v>416</v>
      </c>
      <c r="J652" t="s">
        <v>414</v>
      </c>
      <c r="K652" t="s">
        <v>588</v>
      </c>
      <c r="L652" t="s">
        <v>178</v>
      </c>
      <c r="M652" t="s">
        <v>285</v>
      </c>
      <c r="N652" t="s">
        <v>11</v>
      </c>
      <c r="O652" t="s">
        <v>6</v>
      </c>
      <c r="P652">
        <v>0</v>
      </c>
      <c r="Q652">
        <v>0</v>
      </c>
      <c r="R652">
        <v>0</v>
      </c>
      <c r="S652">
        <v>1</v>
      </c>
      <c r="T652">
        <v>1</v>
      </c>
      <c r="U652">
        <v>1</v>
      </c>
      <c r="V652">
        <v>1</v>
      </c>
      <c r="W652">
        <v>1</v>
      </c>
      <c r="X652">
        <v>1</v>
      </c>
      <c r="Y652">
        <v>1</v>
      </c>
      <c r="Z652">
        <v>1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285</v>
      </c>
      <c r="AH652" t="s">
        <v>11</v>
      </c>
      <c r="AI652" t="s">
        <v>6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159.22</v>
      </c>
      <c r="AN652">
        <f>$H$652*$T$652</f>
        <v>159.22</v>
      </c>
      <c r="AO652">
        <f>$H$652*$U$652</f>
        <v>159.22</v>
      </c>
      <c r="AP652">
        <f>$H$652*$V$652</f>
        <v>159.22</v>
      </c>
      <c r="AQ652">
        <f>$H$652*$W$652</f>
        <v>159.22</v>
      </c>
      <c r="AR652">
        <f>$H$652*$X$652</f>
        <v>159.22</v>
      </c>
      <c r="AS652">
        <f>$H$652*$Y$652</f>
        <v>159.22</v>
      </c>
      <c r="AT652">
        <f>$H$652*$Z$652</f>
        <v>159.22</v>
      </c>
      <c r="AU652">
        <f>$H$652*$AA$652</f>
        <v>159.22</v>
      </c>
      <c r="AV652">
        <f>$H$652*$AB$652</f>
        <v>159.22</v>
      </c>
      <c r="AW652">
        <f>$H$652*$AC$652</f>
        <v>159.22</v>
      </c>
      <c r="AX652">
        <f>$H$652*$AD$652</f>
        <v>159.22</v>
      </c>
      <c r="AY652">
        <f>$H$652*$AE$652</f>
        <v>159.22</v>
      </c>
      <c r="AZ652">
        <f>$H$652*$AF$652</f>
        <v>159.22</v>
      </c>
    </row>
    <row r="653" spans="1:52" x14ac:dyDescent="0.25">
      <c r="A653">
        <v>704</v>
      </c>
      <c r="B653" t="s">
        <v>285</v>
      </c>
      <c r="C653" t="s">
        <v>421</v>
      </c>
      <c r="D653">
        <v>13.65</v>
      </c>
      <c r="E653">
        <v>13.24</v>
      </c>
      <c r="F653" t="s">
        <v>335</v>
      </c>
      <c r="G653">
        <v>0.97</v>
      </c>
      <c r="H653">
        <v>15.88</v>
      </c>
      <c r="I653" t="s">
        <v>360</v>
      </c>
      <c r="J653" t="s">
        <v>422</v>
      </c>
      <c r="K653" t="s">
        <v>589</v>
      </c>
      <c r="L653" t="s">
        <v>178</v>
      </c>
      <c r="M653" t="s">
        <v>285</v>
      </c>
      <c r="N653" t="s">
        <v>11</v>
      </c>
      <c r="O653" t="s">
        <v>6</v>
      </c>
      <c r="P653">
        <v>0</v>
      </c>
      <c r="Q653">
        <v>0</v>
      </c>
      <c r="R653">
        <v>0</v>
      </c>
      <c r="S653">
        <v>1</v>
      </c>
      <c r="T653">
        <v>1</v>
      </c>
      <c r="U653">
        <v>1</v>
      </c>
      <c r="V653">
        <v>1</v>
      </c>
      <c r="W653">
        <v>1</v>
      </c>
      <c r="X653">
        <v>1</v>
      </c>
      <c r="Y653">
        <v>1</v>
      </c>
      <c r="Z653">
        <v>1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285</v>
      </c>
      <c r="AH653" t="s">
        <v>11</v>
      </c>
      <c r="AI653" t="s">
        <v>6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15.88</v>
      </c>
      <c r="AN653">
        <f>$H$653*$T$653</f>
        <v>15.88</v>
      </c>
      <c r="AO653">
        <f>$H$653*$U$653</f>
        <v>15.88</v>
      </c>
      <c r="AP653">
        <f>$H$653*$V$653</f>
        <v>15.88</v>
      </c>
      <c r="AQ653">
        <f>$H$653*$W$653</f>
        <v>15.88</v>
      </c>
      <c r="AR653">
        <f>$H$653*$X$653</f>
        <v>15.88</v>
      </c>
      <c r="AS653">
        <f>$H$653*$Y$653</f>
        <v>15.88</v>
      </c>
      <c r="AT653">
        <f>$H$653*$Z$653</f>
        <v>15.88</v>
      </c>
      <c r="AU653">
        <f>$H$653*$AA$653</f>
        <v>15.88</v>
      </c>
      <c r="AV653">
        <f>$H$653*$AB$653</f>
        <v>15.88</v>
      </c>
      <c r="AW653">
        <f>$H$653*$AC$653</f>
        <v>15.88</v>
      </c>
      <c r="AX653">
        <f>$H$653*$AD$653</f>
        <v>15.88</v>
      </c>
      <c r="AY653">
        <f>$H$653*$AE$653</f>
        <v>15.88</v>
      </c>
      <c r="AZ653">
        <f>$H$653*$AF$653</f>
        <v>15.88</v>
      </c>
    </row>
    <row r="654" spans="1:52" x14ac:dyDescent="0.25">
      <c r="A654">
        <v>705</v>
      </c>
      <c r="B654" t="s">
        <v>285</v>
      </c>
      <c r="C654" t="s">
        <v>423</v>
      </c>
      <c r="D654">
        <v>13.65</v>
      </c>
      <c r="E654">
        <v>104.56</v>
      </c>
      <c r="F654" t="s">
        <v>335</v>
      </c>
      <c r="G654">
        <v>7.66</v>
      </c>
      <c r="H654">
        <v>125.48</v>
      </c>
      <c r="I654" t="s">
        <v>360</v>
      </c>
      <c r="J654" t="s">
        <v>414</v>
      </c>
      <c r="K654" t="s">
        <v>590</v>
      </c>
      <c r="L654" t="s">
        <v>178</v>
      </c>
      <c r="M654" t="s">
        <v>285</v>
      </c>
      <c r="N654" t="s">
        <v>11</v>
      </c>
      <c r="O654" t="s">
        <v>6</v>
      </c>
      <c r="P654">
        <v>0</v>
      </c>
      <c r="Q654">
        <v>0</v>
      </c>
      <c r="R654">
        <v>0</v>
      </c>
      <c r="S654">
        <v>1</v>
      </c>
      <c r="T654">
        <v>1</v>
      </c>
      <c r="U654">
        <v>1</v>
      </c>
      <c r="V654">
        <v>1</v>
      </c>
      <c r="W654">
        <v>1</v>
      </c>
      <c r="X654">
        <v>1</v>
      </c>
      <c r="Y654">
        <v>1</v>
      </c>
      <c r="Z654">
        <v>1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285</v>
      </c>
      <c r="AH654" t="s">
        <v>11</v>
      </c>
      <c r="AI654" t="s">
        <v>6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125.48</v>
      </c>
      <c r="AN654">
        <f>$H$654*$T$654</f>
        <v>125.48</v>
      </c>
      <c r="AO654">
        <f>$H$654*$U$654</f>
        <v>125.48</v>
      </c>
      <c r="AP654">
        <f>$H$654*$V$654</f>
        <v>125.48</v>
      </c>
      <c r="AQ654">
        <f>$H$654*$W$654</f>
        <v>125.48</v>
      </c>
      <c r="AR654">
        <f>$H$654*$X$654</f>
        <v>125.48</v>
      </c>
      <c r="AS654">
        <f>$H$654*$Y$654</f>
        <v>125.48</v>
      </c>
      <c r="AT654">
        <f>$H$654*$Z$654</f>
        <v>125.48</v>
      </c>
      <c r="AU654">
        <f>$H$654*$AA$654</f>
        <v>125.48</v>
      </c>
      <c r="AV654">
        <f>$H$654*$AB$654</f>
        <v>125.48</v>
      </c>
      <c r="AW654">
        <f>$H$654*$AC$654</f>
        <v>125.48</v>
      </c>
      <c r="AX654">
        <f>$H$654*$AD$654</f>
        <v>125.48</v>
      </c>
      <c r="AY654">
        <f>$H$654*$AE$654</f>
        <v>125.48</v>
      </c>
      <c r="AZ654">
        <f>$H$654*$AF$654</f>
        <v>125.48</v>
      </c>
    </row>
    <row r="655" spans="1:52" x14ac:dyDescent="0.25">
      <c r="A655">
        <v>706</v>
      </c>
      <c r="B655" t="s">
        <v>284</v>
      </c>
      <c r="C655" t="s">
        <v>318</v>
      </c>
      <c r="D655">
        <v>1</v>
      </c>
      <c r="E655">
        <v>60.4</v>
      </c>
      <c r="F655" t="s">
        <v>317</v>
      </c>
      <c r="G655">
        <v>60.4</v>
      </c>
      <c r="H655">
        <v>72.48</v>
      </c>
      <c r="I655" t="s">
        <v>319</v>
      </c>
      <c r="J655" t="s">
        <v>320</v>
      </c>
      <c r="K655" t="s">
        <v>540</v>
      </c>
      <c r="L655" t="s">
        <v>178</v>
      </c>
      <c r="M655" t="s">
        <v>284</v>
      </c>
      <c r="N655" t="s">
        <v>12</v>
      </c>
      <c r="O655" t="s">
        <v>6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1</v>
      </c>
      <c r="AE655">
        <v>1</v>
      </c>
      <c r="AF655">
        <v>1</v>
      </c>
      <c r="AG655" t="s">
        <v>284</v>
      </c>
      <c r="AH655" t="s">
        <v>12</v>
      </c>
      <c r="AI655" t="s">
        <v>6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0</v>
      </c>
      <c r="AN655">
        <f>$H$655*$T$655</f>
        <v>0</v>
      </c>
      <c r="AO655">
        <f>$H$655*$U$655</f>
        <v>0</v>
      </c>
      <c r="AP655">
        <f>$H$655*$V$655</f>
        <v>0</v>
      </c>
      <c r="AQ655">
        <f>$H$655*$W$655</f>
        <v>0</v>
      </c>
      <c r="AR655">
        <f>$H$655*$X$655</f>
        <v>0</v>
      </c>
      <c r="AS655">
        <f>$H$655*$Y$655</f>
        <v>0</v>
      </c>
      <c r="AT655">
        <f>$H$655*$Z$655</f>
        <v>0</v>
      </c>
      <c r="AU655">
        <f>$H$655*$AA$655</f>
        <v>0</v>
      </c>
      <c r="AV655">
        <f>$H$655*$AB$655</f>
        <v>0</v>
      </c>
      <c r="AW655">
        <f>$H$655*$AC$655</f>
        <v>0</v>
      </c>
      <c r="AX655">
        <f>$H$655*$AD$655</f>
        <v>72.48</v>
      </c>
      <c r="AY655">
        <f>$H$655*$AE$655</f>
        <v>72.48</v>
      </c>
      <c r="AZ655">
        <f>$H$655*$AF$655</f>
        <v>72.48</v>
      </c>
    </row>
    <row r="656" spans="1:52" x14ac:dyDescent="0.25">
      <c r="A656">
        <v>707</v>
      </c>
      <c r="B656" t="s">
        <v>284</v>
      </c>
      <c r="C656" t="s">
        <v>397</v>
      </c>
      <c r="D656">
        <v>2</v>
      </c>
      <c r="E656">
        <v>26.54</v>
      </c>
      <c r="F656" t="s">
        <v>317</v>
      </c>
      <c r="G656">
        <v>13.27</v>
      </c>
      <c r="H656">
        <v>31.84</v>
      </c>
      <c r="I656" t="s">
        <v>319</v>
      </c>
      <c r="J656" t="s">
        <v>398</v>
      </c>
      <c r="K656" t="s">
        <v>577</v>
      </c>
      <c r="L656" t="s">
        <v>178</v>
      </c>
      <c r="M656" t="s">
        <v>284</v>
      </c>
      <c r="N656" t="s">
        <v>12</v>
      </c>
      <c r="O656" t="s">
        <v>6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1</v>
      </c>
      <c r="Y656">
        <v>1</v>
      </c>
      <c r="Z656">
        <v>1</v>
      </c>
      <c r="AA656">
        <v>1</v>
      </c>
      <c r="AB656">
        <v>1</v>
      </c>
      <c r="AC656">
        <v>1</v>
      </c>
      <c r="AD656">
        <v>1</v>
      </c>
      <c r="AE656">
        <v>1</v>
      </c>
      <c r="AF656">
        <v>1</v>
      </c>
      <c r="AG656" t="s">
        <v>284</v>
      </c>
      <c r="AH656" t="s">
        <v>12</v>
      </c>
      <c r="AI656" t="s">
        <v>6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0</v>
      </c>
      <c r="AN656">
        <f>$H$656*$T$656</f>
        <v>0</v>
      </c>
      <c r="AO656">
        <f>$H$656*$U$656</f>
        <v>0</v>
      </c>
      <c r="AP656">
        <f>$H$656*$V$656</f>
        <v>0</v>
      </c>
      <c r="AQ656">
        <f>$H$656*$W$656</f>
        <v>0</v>
      </c>
      <c r="AR656">
        <f>$H$656*$X$656</f>
        <v>31.84</v>
      </c>
      <c r="AS656">
        <f>$H$656*$Y$656</f>
        <v>31.84</v>
      </c>
      <c r="AT656">
        <f>$H$656*$Z$656</f>
        <v>31.84</v>
      </c>
      <c r="AU656">
        <f>$H$656*$AA$656</f>
        <v>31.84</v>
      </c>
      <c r="AV656">
        <f>$H$656*$AB$656</f>
        <v>31.84</v>
      </c>
      <c r="AW656">
        <f>$H$656*$AC$656</f>
        <v>31.84</v>
      </c>
      <c r="AX656">
        <f>$H$656*$AD$656</f>
        <v>31.84</v>
      </c>
      <c r="AY656">
        <f>$H$656*$AE$656</f>
        <v>31.84</v>
      </c>
      <c r="AZ656">
        <f>$H$656*$AF$656</f>
        <v>31.84</v>
      </c>
    </row>
    <row r="657" spans="1:52" x14ac:dyDescent="0.25">
      <c r="A657">
        <v>708</v>
      </c>
      <c r="B657" t="s">
        <v>284</v>
      </c>
      <c r="C657" t="s">
        <v>399</v>
      </c>
      <c r="D657">
        <v>1</v>
      </c>
      <c r="E657">
        <v>63.51</v>
      </c>
      <c r="F657" t="s">
        <v>317</v>
      </c>
      <c r="G657">
        <v>63.51</v>
      </c>
      <c r="H657">
        <v>76.209999999999994</v>
      </c>
      <c r="I657" t="s">
        <v>322</v>
      </c>
      <c r="J657" t="s">
        <v>355</v>
      </c>
      <c r="K657" t="s">
        <v>578</v>
      </c>
      <c r="L657" t="s">
        <v>178</v>
      </c>
      <c r="M657" t="s">
        <v>284</v>
      </c>
      <c r="N657" t="s">
        <v>12</v>
      </c>
      <c r="O657" t="s">
        <v>6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1</v>
      </c>
      <c r="AE657">
        <v>1</v>
      </c>
      <c r="AF657">
        <v>1</v>
      </c>
      <c r="AG657" t="s">
        <v>284</v>
      </c>
      <c r="AH657" t="s">
        <v>12</v>
      </c>
      <c r="AI657" t="s">
        <v>6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0</v>
      </c>
      <c r="AN657">
        <f>$H$657*$T$657</f>
        <v>0</v>
      </c>
      <c r="AO657">
        <f>$H$657*$U$657</f>
        <v>0</v>
      </c>
      <c r="AP657">
        <f>$H$657*$V$657</f>
        <v>0</v>
      </c>
      <c r="AQ657">
        <f>$H$657*$W$657</f>
        <v>0</v>
      </c>
      <c r="AR657">
        <f>$H$657*$X$657</f>
        <v>0</v>
      </c>
      <c r="AS657">
        <f>$H$657*$Y$657</f>
        <v>0</v>
      </c>
      <c r="AT657">
        <f>$H$657*$Z$657</f>
        <v>0</v>
      </c>
      <c r="AU657">
        <f>$H$657*$AA$657</f>
        <v>0</v>
      </c>
      <c r="AV657">
        <f>$H$657*$AB$657</f>
        <v>0</v>
      </c>
      <c r="AW657">
        <f>$H$657*$AC$657</f>
        <v>0</v>
      </c>
      <c r="AX657">
        <f>$H$657*$AD$657</f>
        <v>76.209999999999994</v>
      </c>
      <c r="AY657">
        <f>$H$657*$AE$657</f>
        <v>76.209999999999994</v>
      </c>
      <c r="AZ657">
        <f>$H$657*$AF$657</f>
        <v>76.209999999999994</v>
      </c>
    </row>
    <row r="658" spans="1:52" x14ac:dyDescent="0.25">
      <c r="A658">
        <v>709</v>
      </c>
      <c r="B658" t="s">
        <v>284</v>
      </c>
      <c r="C658" t="s">
        <v>345</v>
      </c>
      <c r="D658">
        <v>332</v>
      </c>
      <c r="E658">
        <v>325.36</v>
      </c>
      <c r="F658" t="s">
        <v>335</v>
      </c>
      <c r="G658">
        <v>0.98</v>
      </c>
      <c r="H658">
        <v>390.44</v>
      </c>
      <c r="I658" t="s">
        <v>312</v>
      </c>
      <c r="J658" t="s">
        <v>346</v>
      </c>
      <c r="K658" t="s">
        <v>552</v>
      </c>
      <c r="L658" t="s">
        <v>178</v>
      </c>
      <c r="M658" t="s">
        <v>284</v>
      </c>
      <c r="N658" t="s">
        <v>12</v>
      </c>
      <c r="O658" t="s">
        <v>6</v>
      </c>
      <c r="P658">
        <v>0</v>
      </c>
      <c r="Q658">
        <v>0</v>
      </c>
      <c r="R658">
        <v>0</v>
      </c>
      <c r="S658">
        <v>0</v>
      </c>
      <c r="T658">
        <v>1</v>
      </c>
      <c r="U658">
        <v>1</v>
      </c>
      <c r="V658">
        <v>1</v>
      </c>
      <c r="W658">
        <v>1</v>
      </c>
      <c r="X658">
        <v>1</v>
      </c>
      <c r="Y658">
        <v>1</v>
      </c>
      <c r="Z658">
        <v>1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284</v>
      </c>
      <c r="AH658" t="s">
        <v>12</v>
      </c>
      <c r="AI658" t="s">
        <v>6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0</v>
      </c>
      <c r="AN658">
        <f>$H$658*$T$658</f>
        <v>390.44</v>
      </c>
      <c r="AO658">
        <f>$H$658*$U$658</f>
        <v>390.44</v>
      </c>
      <c r="AP658">
        <f>$H$658*$V$658</f>
        <v>390.44</v>
      </c>
      <c r="AQ658">
        <f>$H$658*$W$658</f>
        <v>390.44</v>
      </c>
      <c r="AR658">
        <f>$H$658*$X$658</f>
        <v>390.44</v>
      </c>
      <c r="AS658">
        <f>$H$658*$Y$658</f>
        <v>390.44</v>
      </c>
      <c r="AT658">
        <f>$H$658*$Z$658</f>
        <v>390.44</v>
      </c>
      <c r="AU658">
        <f>$H$658*$AA$658</f>
        <v>390.44</v>
      </c>
      <c r="AV658">
        <f>$H$658*$AB$658</f>
        <v>390.44</v>
      </c>
      <c r="AW658">
        <f>$H$658*$AC$658</f>
        <v>390.44</v>
      </c>
      <c r="AX658">
        <f>$H$658*$AD$658</f>
        <v>390.44</v>
      </c>
      <c r="AY658">
        <f>$H$658*$AE$658</f>
        <v>390.44</v>
      </c>
      <c r="AZ658">
        <f>$H$658*$AF$658</f>
        <v>390.44</v>
      </c>
    </row>
    <row r="659" spans="1:52" x14ac:dyDescent="0.25">
      <c r="A659">
        <v>710</v>
      </c>
      <c r="B659" t="s">
        <v>284</v>
      </c>
      <c r="C659" t="s">
        <v>400</v>
      </c>
      <c r="D659">
        <v>332</v>
      </c>
      <c r="E659">
        <v>1115.52</v>
      </c>
      <c r="F659" t="s">
        <v>335</v>
      </c>
      <c r="G659">
        <v>3.36</v>
      </c>
      <c r="H659">
        <v>1338.62</v>
      </c>
      <c r="I659" t="s">
        <v>348</v>
      </c>
      <c r="J659" t="s">
        <v>401</v>
      </c>
      <c r="K659" t="s">
        <v>579</v>
      </c>
      <c r="L659" t="s">
        <v>178</v>
      </c>
      <c r="M659" t="s">
        <v>284</v>
      </c>
      <c r="N659" t="s">
        <v>12</v>
      </c>
      <c r="O659" t="s">
        <v>6</v>
      </c>
      <c r="P659">
        <v>0</v>
      </c>
      <c r="Q659">
        <v>0</v>
      </c>
      <c r="R659">
        <v>0</v>
      </c>
      <c r="S659">
        <v>0.25</v>
      </c>
      <c r="T659">
        <v>0.25</v>
      </c>
      <c r="U659">
        <v>0.25</v>
      </c>
      <c r="V659">
        <v>0.25</v>
      </c>
      <c r="W659">
        <v>0.5</v>
      </c>
      <c r="X659">
        <v>0.5</v>
      </c>
      <c r="Y659">
        <v>0.5</v>
      </c>
      <c r="Z659">
        <v>0.5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284</v>
      </c>
      <c r="AH659" t="s">
        <v>12</v>
      </c>
      <c r="AI659" t="s">
        <v>6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334.65499999999997</v>
      </c>
      <c r="AN659">
        <f>$H$659*$T$659</f>
        <v>334.65499999999997</v>
      </c>
      <c r="AO659">
        <f>$H$659*$U$659</f>
        <v>334.65499999999997</v>
      </c>
      <c r="AP659">
        <f>$H$659*$V$659</f>
        <v>334.65499999999997</v>
      </c>
      <c r="AQ659">
        <f>$H$659*$W$659</f>
        <v>669.31</v>
      </c>
      <c r="AR659">
        <f>$H$659*$X$659</f>
        <v>669.31</v>
      </c>
      <c r="AS659">
        <f>$H$659*$Y$659</f>
        <v>669.31</v>
      </c>
      <c r="AT659">
        <f>$H$659*$Z$659</f>
        <v>669.31</v>
      </c>
      <c r="AU659">
        <f>$H$659*$AA$659</f>
        <v>1338.62</v>
      </c>
      <c r="AV659">
        <f>$H$659*$AB$659</f>
        <v>1338.62</v>
      </c>
      <c r="AW659">
        <f>$H$659*$AC$659</f>
        <v>1338.62</v>
      </c>
      <c r="AX659">
        <f>$H$659*$AD$659</f>
        <v>1338.62</v>
      </c>
      <c r="AY659">
        <f>$H$659*$AE$659</f>
        <v>1338.62</v>
      </c>
      <c r="AZ659">
        <f>$H$659*$AF$659</f>
        <v>1338.62</v>
      </c>
    </row>
    <row r="660" spans="1:52" x14ac:dyDescent="0.25">
      <c r="A660">
        <v>711</v>
      </c>
      <c r="B660" t="s">
        <v>284</v>
      </c>
      <c r="C660" t="s">
        <v>402</v>
      </c>
      <c r="D660">
        <v>41.5</v>
      </c>
      <c r="E660">
        <v>62.67</v>
      </c>
      <c r="F660" t="s">
        <v>311</v>
      </c>
      <c r="G660">
        <v>1.51</v>
      </c>
      <c r="H660">
        <v>75.209999999999994</v>
      </c>
      <c r="I660" t="s">
        <v>312</v>
      </c>
      <c r="J660" t="s">
        <v>403</v>
      </c>
      <c r="K660" t="s">
        <v>580</v>
      </c>
      <c r="L660" t="s">
        <v>178</v>
      </c>
      <c r="M660" t="s">
        <v>284</v>
      </c>
      <c r="N660" t="s">
        <v>12</v>
      </c>
      <c r="O660" t="s">
        <v>6</v>
      </c>
      <c r="P660">
        <v>0</v>
      </c>
      <c r="Q660">
        <v>0</v>
      </c>
      <c r="R660">
        <v>0</v>
      </c>
      <c r="S660">
        <v>1</v>
      </c>
      <c r="T660">
        <v>1</v>
      </c>
      <c r="U660">
        <v>1</v>
      </c>
      <c r="V660">
        <v>1</v>
      </c>
      <c r="W660">
        <v>1</v>
      </c>
      <c r="X660">
        <v>1</v>
      </c>
      <c r="Y660">
        <v>1</v>
      </c>
      <c r="Z660">
        <v>1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284</v>
      </c>
      <c r="AH660" t="s">
        <v>12</v>
      </c>
      <c r="AI660" t="s">
        <v>6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75.209999999999994</v>
      </c>
      <c r="AN660">
        <f>$H$660*$T$660</f>
        <v>75.209999999999994</v>
      </c>
      <c r="AO660">
        <f>$H$660*$U$660</f>
        <v>75.209999999999994</v>
      </c>
      <c r="AP660">
        <f>$H$660*$V$660</f>
        <v>75.209999999999994</v>
      </c>
      <c r="AQ660">
        <f>$H$660*$W$660</f>
        <v>75.209999999999994</v>
      </c>
      <c r="AR660">
        <f>$H$660*$X$660</f>
        <v>75.209999999999994</v>
      </c>
      <c r="AS660">
        <f>$H$660*$Y$660</f>
        <v>75.209999999999994</v>
      </c>
      <c r="AT660">
        <f>$H$660*$Z$660</f>
        <v>75.209999999999994</v>
      </c>
      <c r="AU660">
        <f>$H$660*$AA$660</f>
        <v>75.209999999999994</v>
      </c>
      <c r="AV660">
        <f>$H$660*$AB$660</f>
        <v>75.209999999999994</v>
      </c>
      <c r="AW660">
        <f>$H$660*$AC$660</f>
        <v>75.209999999999994</v>
      </c>
      <c r="AX660">
        <f>$H$660*$AD$660</f>
        <v>75.209999999999994</v>
      </c>
      <c r="AY660">
        <f>$H$660*$AE$660</f>
        <v>75.209999999999994</v>
      </c>
      <c r="AZ660">
        <f>$H$660*$AF$660</f>
        <v>75.209999999999994</v>
      </c>
    </row>
    <row r="661" spans="1:52" x14ac:dyDescent="0.25">
      <c r="A661">
        <v>712</v>
      </c>
      <c r="B661" t="s">
        <v>284</v>
      </c>
      <c r="C661" t="s">
        <v>404</v>
      </c>
      <c r="D661">
        <v>41.5</v>
      </c>
      <c r="E661">
        <v>235.72</v>
      </c>
      <c r="F661" t="s">
        <v>311</v>
      </c>
      <c r="G661">
        <v>5.68</v>
      </c>
      <c r="H661">
        <v>282.86</v>
      </c>
      <c r="I661" t="s">
        <v>315</v>
      </c>
      <c r="J661" t="s">
        <v>405</v>
      </c>
      <c r="K661" t="s">
        <v>581</v>
      </c>
      <c r="L661" t="s">
        <v>178</v>
      </c>
      <c r="M661" t="s">
        <v>284</v>
      </c>
      <c r="N661" t="s">
        <v>12</v>
      </c>
      <c r="O661" t="s">
        <v>6</v>
      </c>
      <c r="P661">
        <v>0</v>
      </c>
      <c r="Q661">
        <v>0</v>
      </c>
      <c r="R661">
        <v>0</v>
      </c>
      <c r="S661">
        <v>1</v>
      </c>
      <c r="T661">
        <v>1</v>
      </c>
      <c r="U661">
        <v>1</v>
      </c>
      <c r="V661">
        <v>1</v>
      </c>
      <c r="W661">
        <v>1</v>
      </c>
      <c r="X661">
        <v>1</v>
      </c>
      <c r="Y661">
        <v>1</v>
      </c>
      <c r="Z661">
        <v>1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284</v>
      </c>
      <c r="AH661" t="s">
        <v>12</v>
      </c>
      <c r="AI661" t="s">
        <v>6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282.86</v>
      </c>
      <c r="AN661">
        <f>$H$661*$T$661</f>
        <v>282.86</v>
      </c>
      <c r="AO661">
        <f>$H$661*$U$661</f>
        <v>282.86</v>
      </c>
      <c r="AP661">
        <f>$H$661*$V$661</f>
        <v>282.86</v>
      </c>
      <c r="AQ661">
        <f>$H$661*$W$661</f>
        <v>282.86</v>
      </c>
      <c r="AR661">
        <f>$H$661*$X$661</f>
        <v>282.86</v>
      </c>
      <c r="AS661">
        <f>$H$661*$Y$661</f>
        <v>282.86</v>
      </c>
      <c r="AT661">
        <f>$H$661*$Z$661</f>
        <v>282.86</v>
      </c>
      <c r="AU661">
        <f>$H$661*$AA$661</f>
        <v>282.86</v>
      </c>
      <c r="AV661">
        <f>$H$661*$AB$661</f>
        <v>282.86</v>
      </c>
      <c r="AW661">
        <f>$H$661*$AC$661</f>
        <v>282.86</v>
      </c>
      <c r="AX661">
        <f>$H$661*$AD$661</f>
        <v>282.86</v>
      </c>
      <c r="AY661">
        <f>$H$661*$AE$661</f>
        <v>282.86</v>
      </c>
      <c r="AZ661">
        <f>$H$661*$AF$661</f>
        <v>282.86</v>
      </c>
    </row>
    <row r="662" spans="1:52" x14ac:dyDescent="0.25">
      <c r="A662">
        <v>713</v>
      </c>
      <c r="B662" t="s">
        <v>284</v>
      </c>
      <c r="C662" t="s">
        <v>400</v>
      </c>
      <c r="D662">
        <v>87.76</v>
      </c>
      <c r="E662">
        <v>294.87</v>
      </c>
      <c r="F662" t="s">
        <v>335</v>
      </c>
      <c r="G662">
        <v>3.36</v>
      </c>
      <c r="H662">
        <v>353.85</v>
      </c>
      <c r="I662" t="s">
        <v>348</v>
      </c>
      <c r="J662" t="s">
        <v>401</v>
      </c>
      <c r="K662" t="s">
        <v>579</v>
      </c>
      <c r="L662" t="s">
        <v>178</v>
      </c>
      <c r="M662" t="s">
        <v>284</v>
      </c>
      <c r="N662" t="s">
        <v>12</v>
      </c>
      <c r="O662" t="s">
        <v>6</v>
      </c>
      <c r="P662">
        <v>0</v>
      </c>
      <c r="Q662">
        <v>0</v>
      </c>
      <c r="R662">
        <v>0</v>
      </c>
      <c r="S662">
        <v>0.25</v>
      </c>
      <c r="T662">
        <v>0.25</v>
      </c>
      <c r="U662">
        <v>0.25</v>
      </c>
      <c r="V662">
        <v>0.25</v>
      </c>
      <c r="W662">
        <v>0.5</v>
      </c>
      <c r="X662">
        <v>0.5</v>
      </c>
      <c r="Y662">
        <v>0.5</v>
      </c>
      <c r="Z662">
        <v>0.5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284</v>
      </c>
      <c r="AH662" t="s">
        <v>12</v>
      </c>
      <c r="AI662" t="s">
        <v>6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88.462500000000006</v>
      </c>
      <c r="AN662">
        <f>$H$662*$T$662</f>
        <v>88.462500000000006</v>
      </c>
      <c r="AO662">
        <f>$H$662*$U$662</f>
        <v>88.462500000000006</v>
      </c>
      <c r="AP662">
        <f>$H$662*$V$662</f>
        <v>88.462500000000006</v>
      </c>
      <c r="AQ662">
        <f>$H$662*$W$662</f>
        <v>176.92500000000001</v>
      </c>
      <c r="AR662">
        <f>$H$662*$X$662</f>
        <v>176.92500000000001</v>
      </c>
      <c r="AS662">
        <f>$H$662*$Y$662</f>
        <v>176.92500000000001</v>
      </c>
      <c r="AT662">
        <f>$H$662*$Z$662</f>
        <v>176.92500000000001</v>
      </c>
      <c r="AU662">
        <f>$H$662*$AA$662</f>
        <v>353.85</v>
      </c>
      <c r="AV662">
        <f>$H$662*$AB$662</f>
        <v>353.85</v>
      </c>
      <c r="AW662">
        <f>$H$662*$AC$662</f>
        <v>353.85</v>
      </c>
      <c r="AX662">
        <f>$H$662*$AD$662</f>
        <v>353.85</v>
      </c>
      <c r="AY662">
        <f>$H$662*$AE$662</f>
        <v>353.85</v>
      </c>
      <c r="AZ662">
        <f>$H$662*$AF$662</f>
        <v>353.85</v>
      </c>
    </row>
    <row r="663" spans="1:52" x14ac:dyDescent="0.25">
      <c r="A663">
        <v>714</v>
      </c>
      <c r="B663" t="s">
        <v>284</v>
      </c>
      <c r="C663" t="s">
        <v>406</v>
      </c>
      <c r="D663">
        <v>87.76</v>
      </c>
      <c r="E663">
        <v>55.29</v>
      </c>
      <c r="F663" t="s">
        <v>335</v>
      </c>
      <c r="G663">
        <v>0.63</v>
      </c>
      <c r="H663">
        <v>66.349999999999994</v>
      </c>
      <c r="I663" t="s">
        <v>312</v>
      </c>
      <c r="J663" t="s">
        <v>407</v>
      </c>
      <c r="K663" t="s">
        <v>582</v>
      </c>
      <c r="L663" t="s">
        <v>178</v>
      </c>
      <c r="M663" t="s">
        <v>284</v>
      </c>
      <c r="N663" t="s">
        <v>12</v>
      </c>
      <c r="O663" t="s">
        <v>6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1</v>
      </c>
      <c r="AE663">
        <v>1</v>
      </c>
      <c r="AF663">
        <v>1</v>
      </c>
      <c r="AG663" t="s">
        <v>284</v>
      </c>
      <c r="AH663" t="s">
        <v>12</v>
      </c>
      <c r="AI663" t="s">
        <v>6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0</v>
      </c>
      <c r="AN663">
        <f>$H$663*$T$663</f>
        <v>0</v>
      </c>
      <c r="AO663">
        <f>$H$663*$U$663</f>
        <v>0</v>
      </c>
      <c r="AP663">
        <f>$H$663*$V$663</f>
        <v>0</v>
      </c>
      <c r="AQ663">
        <f>$H$663*$W$663</f>
        <v>0</v>
      </c>
      <c r="AR663">
        <f>$H$663*$X$663</f>
        <v>0</v>
      </c>
      <c r="AS663">
        <f>$H$663*$Y$663</f>
        <v>0</v>
      </c>
      <c r="AT663">
        <f>$H$663*$Z$663</f>
        <v>0</v>
      </c>
      <c r="AU663">
        <f>$H$663*$AA$663</f>
        <v>0</v>
      </c>
      <c r="AV663">
        <f>$H$663*$AB$663</f>
        <v>0</v>
      </c>
      <c r="AW663">
        <f>$H$663*$AC$663</f>
        <v>0</v>
      </c>
      <c r="AX663">
        <f>$H$663*$AD$663</f>
        <v>66.349999999999994</v>
      </c>
      <c r="AY663">
        <f>$H$663*$AE$663</f>
        <v>66.349999999999994</v>
      </c>
      <c r="AZ663">
        <f>$H$663*$AF$663</f>
        <v>66.349999999999994</v>
      </c>
    </row>
    <row r="664" spans="1:52" x14ac:dyDescent="0.25">
      <c r="A664">
        <v>715</v>
      </c>
      <c r="B664" t="s">
        <v>284</v>
      </c>
      <c r="C664" t="s">
        <v>408</v>
      </c>
      <c r="D664">
        <v>87.76</v>
      </c>
      <c r="E664">
        <v>60.55</v>
      </c>
      <c r="F664" t="s">
        <v>335</v>
      </c>
      <c r="G664">
        <v>0.69</v>
      </c>
      <c r="H664">
        <v>72.67</v>
      </c>
      <c r="I664" t="s">
        <v>312</v>
      </c>
      <c r="J664" t="s">
        <v>409</v>
      </c>
      <c r="K664" t="s">
        <v>583</v>
      </c>
      <c r="L664" t="s">
        <v>178</v>
      </c>
      <c r="M664" t="s">
        <v>284</v>
      </c>
      <c r="N664" t="s">
        <v>12</v>
      </c>
      <c r="O664" t="s">
        <v>6</v>
      </c>
      <c r="P664">
        <v>0</v>
      </c>
      <c r="Q664">
        <v>0</v>
      </c>
      <c r="R664">
        <v>0</v>
      </c>
      <c r="S664">
        <v>1</v>
      </c>
      <c r="T664">
        <v>1</v>
      </c>
      <c r="U664">
        <v>1</v>
      </c>
      <c r="V664">
        <v>1</v>
      </c>
      <c r="W664">
        <v>1</v>
      </c>
      <c r="X664">
        <v>1</v>
      </c>
      <c r="Y664">
        <v>1</v>
      </c>
      <c r="Z664">
        <v>1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284</v>
      </c>
      <c r="AH664" t="s">
        <v>12</v>
      </c>
      <c r="AI664" t="s">
        <v>6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72.67</v>
      </c>
      <c r="AN664">
        <f>$H$664*$T$664</f>
        <v>72.67</v>
      </c>
      <c r="AO664">
        <f>$H$664*$U$664</f>
        <v>72.67</v>
      </c>
      <c r="AP664">
        <f>$H$664*$V$664</f>
        <v>72.67</v>
      </c>
      <c r="AQ664">
        <f>$H$664*$W$664</f>
        <v>72.67</v>
      </c>
      <c r="AR664">
        <f>$H$664*$X$664</f>
        <v>72.67</v>
      </c>
      <c r="AS664">
        <f>$H$664*$Y$664</f>
        <v>72.67</v>
      </c>
      <c r="AT664">
        <f>$H$664*$Z$664</f>
        <v>72.67</v>
      </c>
      <c r="AU664">
        <f>$H$664*$AA$664</f>
        <v>72.67</v>
      </c>
      <c r="AV664">
        <f>$H$664*$AB$664</f>
        <v>72.67</v>
      </c>
      <c r="AW664">
        <f>$H$664*$AC$664</f>
        <v>72.67</v>
      </c>
      <c r="AX664">
        <f>$H$664*$AD$664</f>
        <v>72.67</v>
      </c>
      <c r="AY664">
        <f>$H$664*$AE$664</f>
        <v>72.67</v>
      </c>
      <c r="AZ664">
        <f>$H$664*$AF$664</f>
        <v>72.67</v>
      </c>
    </row>
    <row r="665" spans="1:52" x14ac:dyDescent="0.25">
      <c r="A665">
        <v>716</v>
      </c>
      <c r="B665" t="s">
        <v>284</v>
      </c>
      <c r="C665" t="s">
        <v>410</v>
      </c>
      <c r="D665">
        <v>18.43</v>
      </c>
      <c r="E665">
        <v>125.51</v>
      </c>
      <c r="F665" t="s">
        <v>335</v>
      </c>
      <c r="G665">
        <v>6.81</v>
      </c>
      <c r="H665">
        <v>150.61000000000001</v>
      </c>
      <c r="I665" t="s">
        <v>411</v>
      </c>
      <c r="J665" t="s">
        <v>412</v>
      </c>
      <c r="K665" t="s">
        <v>584</v>
      </c>
      <c r="L665" t="s">
        <v>178</v>
      </c>
      <c r="M665" t="s">
        <v>284</v>
      </c>
      <c r="N665" t="s">
        <v>12</v>
      </c>
      <c r="O665" t="s">
        <v>6</v>
      </c>
      <c r="P665">
        <v>0</v>
      </c>
      <c r="Q665">
        <v>0</v>
      </c>
      <c r="R665">
        <v>0</v>
      </c>
      <c r="S665">
        <v>1</v>
      </c>
      <c r="T665">
        <v>1</v>
      </c>
      <c r="U665">
        <v>1</v>
      </c>
      <c r="V665">
        <v>1</v>
      </c>
      <c r="W665">
        <v>1</v>
      </c>
      <c r="X665">
        <v>1</v>
      </c>
      <c r="Y665">
        <v>1</v>
      </c>
      <c r="Z665">
        <v>1</v>
      </c>
      <c r="AA665">
        <v>1</v>
      </c>
      <c r="AB665">
        <v>1</v>
      </c>
      <c r="AC665">
        <v>1</v>
      </c>
      <c r="AD665">
        <v>1</v>
      </c>
      <c r="AE665">
        <v>1</v>
      </c>
      <c r="AF665">
        <v>1</v>
      </c>
      <c r="AG665" t="s">
        <v>284</v>
      </c>
      <c r="AH665" t="s">
        <v>12</v>
      </c>
      <c r="AI665" t="s">
        <v>6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150.61000000000001</v>
      </c>
      <c r="AN665">
        <f>$H$665*$T$665</f>
        <v>150.61000000000001</v>
      </c>
      <c r="AO665">
        <f>$H$665*$U$665</f>
        <v>150.61000000000001</v>
      </c>
      <c r="AP665">
        <f>$H$665*$V$665</f>
        <v>150.61000000000001</v>
      </c>
      <c r="AQ665">
        <f>$H$665*$W$665</f>
        <v>150.61000000000001</v>
      </c>
      <c r="AR665">
        <f>$H$665*$X$665</f>
        <v>150.61000000000001</v>
      </c>
      <c r="AS665">
        <f>$H$665*$Y$665</f>
        <v>150.61000000000001</v>
      </c>
      <c r="AT665">
        <f>$H$665*$Z$665</f>
        <v>150.61000000000001</v>
      </c>
      <c r="AU665">
        <f>$H$665*$AA$665</f>
        <v>150.61000000000001</v>
      </c>
      <c r="AV665">
        <f>$H$665*$AB$665</f>
        <v>150.61000000000001</v>
      </c>
      <c r="AW665">
        <f>$H$665*$AC$665</f>
        <v>150.61000000000001</v>
      </c>
      <c r="AX665">
        <f>$H$665*$AD$665</f>
        <v>150.61000000000001</v>
      </c>
      <c r="AY665">
        <f>$H$665*$AE$665</f>
        <v>150.61000000000001</v>
      </c>
      <c r="AZ665">
        <f>$H$665*$AF$665</f>
        <v>150.61000000000001</v>
      </c>
    </row>
    <row r="666" spans="1:52" x14ac:dyDescent="0.25">
      <c r="A666">
        <v>717</v>
      </c>
      <c r="B666" t="s">
        <v>284</v>
      </c>
      <c r="C666" t="s">
        <v>413</v>
      </c>
      <c r="D666">
        <v>20.190000000000001</v>
      </c>
      <c r="E666">
        <v>148.80000000000001</v>
      </c>
      <c r="F666" t="s">
        <v>335</v>
      </c>
      <c r="G666">
        <v>7.37</v>
      </c>
      <c r="H666">
        <v>178.56</v>
      </c>
      <c r="I666" t="s">
        <v>411</v>
      </c>
      <c r="J666" t="s">
        <v>414</v>
      </c>
      <c r="K666" t="s">
        <v>585</v>
      </c>
      <c r="L666" t="s">
        <v>178</v>
      </c>
      <c r="M666" t="s">
        <v>284</v>
      </c>
      <c r="N666" t="s">
        <v>12</v>
      </c>
      <c r="O666" t="s">
        <v>6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284</v>
      </c>
      <c r="AH666" t="s">
        <v>12</v>
      </c>
      <c r="AI666" t="s">
        <v>6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178.56</v>
      </c>
      <c r="AN666">
        <f>$H$666*$T$666</f>
        <v>178.56</v>
      </c>
      <c r="AO666">
        <f>$H$666*$U$666</f>
        <v>178.56</v>
      </c>
      <c r="AP666">
        <f>$H$666*$V$666</f>
        <v>178.56</v>
      </c>
      <c r="AQ666">
        <f>$H$666*$W$666</f>
        <v>178.56</v>
      </c>
      <c r="AR666">
        <f>$H$666*$X$666</f>
        <v>178.56</v>
      </c>
      <c r="AS666">
        <f>$H$666*$Y$666</f>
        <v>178.56</v>
      </c>
      <c r="AT666">
        <f>$H$666*$Z$666</f>
        <v>178.56</v>
      </c>
      <c r="AU666">
        <f>$H$666*$AA$666</f>
        <v>178.56</v>
      </c>
      <c r="AV666">
        <f>$H$666*$AB$666</f>
        <v>178.56</v>
      </c>
      <c r="AW666">
        <f>$H$666*$AC$666</f>
        <v>178.56</v>
      </c>
      <c r="AX666">
        <f>$H$666*$AD$666</f>
        <v>178.56</v>
      </c>
      <c r="AY666">
        <f>$H$666*$AE$666</f>
        <v>178.56</v>
      </c>
      <c r="AZ666">
        <f>$H$666*$AF$666</f>
        <v>178.56</v>
      </c>
    </row>
    <row r="667" spans="1:52" x14ac:dyDescent="0.25">
      <c r="A667">
        <v>718</v>
      </c>
      <c r="B667" t="s">
        <v>284</v>
      </c>
      <c r="C667" t="s">
        <v>415</v>
      </c>
      <c r="D667">
        <v>19.149999999999999</v>
      </c>
      <c r="E667">
        <v>104.56</v>
      </c>
      <c r="F667" t="s">
        <v>335</v>
      </c>
      <c r="G667">
        <v>5.46</v>
      </c>
      <c r="H667">
        <v>125.48</v>
      </c>
      <c r="I667" t="s">
        <v>416</v>
      </c>
      <c r="J667" t="s">
        <v>417</v>
      </c>
      <c r="K667" t="s">
        <v>586</v>
      </c>
      <c r="L667" t="s">
        <v>178</v>
      </c>
      <c r="M667" t="s">
        <v>284</v>
      </c>
      <c r="N667" t="s">
        <v>12</v>
      </c>
      <c r="O667" t="s">
        <v>6</v>
      </c>
      <c r="P667">
        <v>0</v>
      </c>
      <c r="Q667">
        <v>0</v>
      </c>
      <c r="R667">
        <v>0</v>
      </c>
      <c r="S667">
        <v>1</v>
      </c>
      <c r="T667">
        <v>1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284</v>
      </c>
      <c r="AH667" t="s">
        <v>12</v>
      </c>
      <c r="AI667" t="s">
        <v>6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125.48</v>
      </c>
      <c r="AN667">
        <f>$H$667*$T$667</f>
        <v>125.48</v>
      </c>
      <c r="AO667">
        <f>$H$667*$U$667</f>
        <v>125.48</v>
      </c>
      <c r="AP667">
        <f>$H$667*$V$667</f>
        <v>125.48</v>
      </c>
      <c r="AQ667">
        <f>$H$667*$W$667</f>
        <v>125.48</v>
      </c>
      <c r="AR667">
        <f>$H$667*$X$667</f>
        <v>125.48</v>
      </c>
      <c r="AS667">
        <f>$H$667*$Y$667</f>
        <v>125.48</v>
      </c>
      <c r="AT667">
        <f>$H$667*$Z$667</f>
        <v>125.48</v>
      </c>
      <c r="AU667">
        <f>$H$667*$AA$667</f>
        <v>125.48</v>
      </c>
      <c r="AV667">
        <f>$H$667*$AB$667</f>
        <v>125.48</v>
      </c>
      <c r="AW667">
        <f>$H$667*$AC$667</f>
        <v>125.48</v>
      </c>
      <c r="AX667">
        <f>$H$667*$AD$667</f>
        <v>125.48</v>
      </c>
      <c r="AY667">
        <f>$H$667*$AE$667</f>
        <v>125.48</v>
      </c>
      <c r="AZ667">
        <f>$H$667*$AF$667</f>
        <v>125.48</v>
      </c>
    </row>
    <row r="668" spans="1:52" x14ac:dyDescent="0.25">
      <c r="A668">
        <v>719</v>
      </c>
      <c r="B668" t="s">
        <v>284</v>
      </c>
      <c r="C668" t="s">
        <v>418</v>
      </c>
      <c r="D668">
        <v>19.149999999999999</v>
      </c>
      <c r="E668">
        <v>68.56</v>
      </c>
      <c r="F668" t="s">
        <v>335</v>
      </c>
      <c r="G668">
        <v>3.58</v>
      </c>
      <c r="H668">
        <v>82.28</v>
      </c>
      <c r="I668" t="s">
        <v>416</v>
      </c>
      <c r="J668" t="s">
        <v>419</v>
      </c>
      <c r="K668" t="s">
        <v>587</v>
      </c>
      <c r="L668" t="s">
        <v>178</v>
      </c>
      <c r="M668" t="s">
        <v>284</v>
      </c>
      <c r="N668" t="s">
        <v>12</v>
      </c>
      <c r="O668" t="s">
        <v>6</v>
      </c>
      <c r="P668">
        <v>0</v>
      </c>
      <c r="Q668">
        <v>0</v>
      </c>
      <c r="R668">
        <v>0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284</v>
      </c>
      <c r="AH668" t="s">
        <v>12</v>
      </c>
      <c r="AI668" t="s">
        <v>6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82.28</v>
      </c>
      <c r="AN668">
        <f>$H$668*$T$668</f>
        <v>82.28</v>
      </c>
      <c r="AO668">
        <f>$H$668*$U$668</f>
        <v>82.28</v>
      </c>
      <c r="AP668">
        <f>$H$668*$V$668</f>
        <v>82.28</v>
      </c>
      <c r="AQ668">
        <f>$H$668*$W$668</f>
        <v>82.28</v>
      </c>
      <c r="AR668">
        <f>$H$668*$X$668</f>
        <v>82.28</v>
      </c>
      <c r="AS668">
        <f>$H$668*$Y$668</f>
        <v>82.28</v>
      </c>
      <c r="AT668">
        <f>$H$668*$Z$668</f>
        <v>82.28</v>
      </c>
      <c r="AU668">
        <f>$H$668*$AA$668</f>
        <v>82.28</v>
      </c>
      <c r="AV668">
        <f>$H$668*$AB$668</f>
        <v>82.28</v>
      </c>
      <c r="AW668">
        <f>$H$668*$AC$668</f>
        <v>82.28</v>
      </c>
      <c r="AX668">
        <f>$H$668*$AD$668</f>
        <v>82.28</v>
      </c>
      <c r="AY668">
        <f>$H$668*$AE$668</f>
        <v>82.28</v>
      </c>
      <c r="AZ668">
        <f>$H$668*$AF$668</f>
        <v>82.28</v>
      </c>
    </row>
    <row r="669" spans="1:52" x14ac:dyDescent="0.25">
      <c r="A669">
        <v>720</v>
      </c>
      <c r="B669" t="s">
        <v>284</v>
      </c>
      <c r="C669" t="s">
        <v>420</v>
      </c>
      <c r="D669">
        <v>19.149999999999999</v>
      </c>
      <c r="E669">
        <v>188.63</v>
      </c>
      <c r="F669" t="s">
        <v>335</v>
      </c>
      <c r="G669">
        <v>9.85</v>
      </c>
      <c r="H669">
        <v>226.35</v>
      </c>
      <c r="I669" t="s">
        <v>416</v>
      </c>
      <c r="J669" t="s">
        <v>414</v>
      </c>
      <c r="K669" t="s">
        <v>588</v>
      </c>
      <c r="L669" t="s">
        <v>178</v>
      </c>
      <c r="M669" t="s">
        <v>284</v>
      </c>
      <c r="N669" t="s">
        <v>12</v>
      </c>
      <c r="O669" t="s">
        <v>6</v>
      </c>
      <c r="P669">
        <v>0</v>
      </c>
      <c r="Q669">
        <v>0</v>
      </c>
      <c r="R669">
        <v>0</v>
      </c>
      <c r="S669">
        <v>1</v>
      </c>
      <c r="T669">
        <v>1</v>
      </c>
      <c r="U669">
        <v>1</v>
      </c>
      <c r="V669">
        <v>1</v>
      </c>
      <c r="W669">
        <v>1</v>
      </c>
      <c r="X669">
        <v>1</v>
      </c>
      <c r="Y669">
        <v>1</v>
      </c>
      <c r="Z669">
        <v>1</v>
      </c>
      <c r="AA669">
        <v>1</v>
      </c>
      <c r="AB669">
        <v>1</v>
      </c>
      <c r="AC669">
        <v>1</v>
      </c>
      <c r="AD669">
        <v>1</v>
      </c>
      <c r="AE669">
        <v>1</v>
      </c>
      <c r="AF669">
        <v>1</v>
      </c>
      <c r="AG669" t="s">
        <v>284</v>
      </c>
      <c r="AH669" t="s">
        <v>12</v>
      </c>
      <c r="AI669" t="s">
        <v>6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226.35</v>
      </c>
      <c r="AN669">
        <f>$H$669*$T$669</f>
        <v>226.35</v>
      </c>
      <c r="AO669">
        <f>$H$669*$U$669</f>
        <v>226.35</v>
      </c>
      <c r="AP669">
        <f>$H$669*$V$669</f>
        <v>226.35</v>
      </c>
      <c r="AQ669">
        <f>$H$669*$W$669</f>
        <v>226.35</v>
      </c>
      <c r="AR669">
        <f>$H$669*$X$669</f>
        <v>226.35</v>
      </c>
      <c r="AS669">
        <f>$H$669*$Y$669</f>
        <v>226.35</v>
      </c>
      <c r="AT669">
        <f>$H$669*$Z$669</f>
        <v>226.35</v>
      </c>
      <c r="AU669">
        <f>$H$669*$AA$669</f>
        <v>226.35</v>
      </c>
      <c r="AV669">
        <f>$H$669*$AB$669</f>
        <v>226.35</v>
      </c>
      <c r="AW669">
        <f>$H$669*$AC$669</f>
        <v>226.35</v>
      </c>
      <c r="AX669">
        <f>$H$669*$AD$669</f>
        <v>226.35</v>
      </c>
      <c r="AY669">
        <f>$H$669*$AE$669</f>
        <v>226.35</v>
      </c>
      <c r="AZ669">
        <f>$H$669*$AF$669</f>
        <v>226.35</v>
      </c>
    </row>
    <row r="670" spans="1:52" x14ac:dyDescent="0.25">
      <c r="A670">
        <v>721</v>
      </c>
      <c r="B670" t="s">
        <v>284</v>
      </c>
      <c r="C670" t="s">
        <v>421</v>
      </c>
      <c r="D670">
        <v>20.190000000000001</v>
      </c>
      <c r="E670">
        <v>19.579999999999998</v>
      </c>
      <c r="F670" t="s">
        <v>335</v>
      </c>
      <c r="G670">
        <v>0.97</v>
      </c>
      <c r="H670">
        <v>23.5</v>
      </c>
      <c r="I670" t="s">
        <v>360</v>
      </c>
      <c r="J670" t="s">
        <v>422</v>
      </c>
      <c r="K670" t="s">
        <v>589</v>
      </c>
      <c r="L670" t="s">
        <v>178</v>
      </c>
      <c r="M670" t="s">
        <v>284</v>
      </c>
      <c r="N670" t="s">
        <v>12</v>
      </c>
      <c r="O670" t="s">
        <v>6</v>
      </c>
      <c r="P670">
        <v>0</v>
      </c>
      <c r="Q670">
        <v>0</v>
      </c>
      <c r="R670">
        <v>0</v>
      </c>
      <c r="S670">
        <v>1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284</v>
      </c>
      <c r="AH670" t="s">
        <v>12</v>
      </c>
      <c r="AI670" t="s">
        <v>6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23.5</v>
      </c>
      <c r="AN670">
        <f>$H$670*$T$670</f>
        <v>23.5</v>
      </c>
      <c r="AO670">
        <f>$H$670*$U$670</f>
        <v>23.5</v>
      </c>
      <c r="AP670">
        <f>$H$670*$V$670</f>
        <v>23.5</v>
      </c>
      <c r="AQ670">
        <f>$H$670*$W$670</f>
        <v>23.5</v>
      </c>
      <c r="AR670">
        <f>$H$670*$X$670</f>
        <v>23.5</v>
      </c>
      <c r="AS670">
        <f>$H$670*$Y$670</f>
        <v>23.5</v>
      </c>
      <c r="AT670">
        <f>$H$670*$Z$670</f>
        <v>23.5</v>
      </c>
      <c r="AU670">
        <f>$H$670*$AA$670</f>
        <v>23.5</v>
      </c>
      <c r="AV670">
        <f>$H$670*$AB$670</f>
        <v>23.5</v>
      </c>
      <c r="AW670">
        <f>$H$670*$AC$670</f>
        <v>23.5</v>
      </c>
      <c r="AX670">
        <f>$H$670*$AD$670</f>
        <v>23.5</v>
      </c>
      <c r="AY670">
        <f>$H$670*$AE$670</f>
        <v>23.5</v>
      </c>
      <c r="AZ670">
        <f>$H$670*$AF$670</f>
        <v>23.5</v>
      </c>
    </row>
    <row r="671" spans="1:52" x14ac:dyDescent="0.25">
      <c r="A671">
        <v>722</v>
      </c>
      <c r="B671" t="s">
        <v>284</v>
      </c>
      <c r="C671" t="s">
        <v>423</v>
      </c>
      <c r="D671">
        <v>20.190000000000001</v>
      </c>
      <c r="E671">
        <v>154.66</v>
      </c>
      <c r="F671" t="s">
        <v>335</v>
      </c>
      <c r="G671">
        <v>7.66</v>
      </c>
      <c r="H671">
        <v>185.6</v>
      </c>
      <c r="I671" t="s">
        <v>360</v>
      </c>
      <c r="J671" t="s">
        <v>414</v>
      </c>
      <c r="K671" t="s">
        <v>590</v>
      </c>
      <c r="L671" t="s">
        <v>178</v>
      </c>
      <c r="M671" t="s">
        <v>284</v>
      </c>
      <c r="N671" t="s">
        <v>12</v>
      </c>
      <c r="O671" t="s">
        <v>6</v>
      </c>
      <c r="P671">
        <v>0</v>
      </c>
      <c r="Q671">
        <v>0</v>
      </c>
      <c r="R671">
        <v>0</v>
      </c>
      <c r="S671">
        <v>1</v>
      </c>
      <c r="T671">
        <v>1</v>
      </c>
      <c r="U671">
        <v>1</v>
      </c>
      <c r="V671">
        <v>1</v>
      </c>
      <c r="W671">
        <v>1</v>
      </c>
      <c r="X671">
        <v>1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284</v>
      </c>
      <c r="AH671" t="s">
        <v>12</v>
      </c>
      <c r="AI671" t="s">
        <v>6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185.6</v>
      </c>
      <c r="AN671">
        <f>$H$671*$T$671</f>
        <v>185.6</v>
      </c>
      <c r="AO671">
        <f>$H$671*$U$671</f>
        <v>185.6</v>
      </c>
      <c r="AP671">
        <f>$H$671*$V$671</f>
        <v>185.6</v>
      </c>
      <c r="AQ671">
        <f>$H$671*$W$671</f>
        <v>185.6</v>
      </c>
      <c r="AR671">
        <f>$H$671*$X$671</f>
        <v>185.6</v>
      </c>
      <c r="AS671">
        <f>$H$671*$Y$671</f>
        <v>185.6</v>
      </c>
      <c r="AT671">
        <f>$H$671*$Z$671</f>
        <v>185.6</v>
      </c>
      <c r="AU671">
        <f>$H$671*$AA$671</f>
        <v>185.6</v>
      </c>
      <c r="AV671">
        <f>$H$671*$AB$671</f>
        <v>185.6</v>
      </c>
      <c r="AW671">
        <f>$H$671*$AC$671</f>
        <v>185.6</v>
      </c>
      <c r="AX671">
        <f>$H$671*$AD$671</f>
        <v>185.6</v>
      </c>
      <c r="AY671">
        <f>$H$671*$AE$671</f>
        <v>185.6</v>
      </c>
      <c r="AZ671">
        <f>$H$671*$AF$671</f>
        <v>185.6</v>
      </c>
    </row>
    <row r="672" spans="1:52" x14ac:dyDescent="0.25">
      <c r="A672">
        <v>723</v>
      </c>
      <c r="B672" t="s">
        <v>273</v>
      </c>
      <c r="C672" t="s">
        <v>318</v>
      </c>
      <c r="D672">
        <v>1</v>
      </c>
      <c r="E672">
        <v>60.4</v>
      </c>
      <c r="F672" t="s">
        <v>317</v>
      </c>
      <c r="G672">
        <v>60.4</v>
      </c>
      <c r="H672">
        <v>72.48</v>
      </c>
      <c r="I672" t="s">
        <v>319</v>
      </c>
      <c r="J672" t="s">
        <v>320</v>
      </c>
      <c r="K672" t="s">
        <v>540</v>
      </c>
      <c r="L672" t="s">
        <v>178</v>
      </c>
      <c r="M672" t="s">
        <v>273</v>
      </c>
      <c r="N672" t="s">
        <v>11</v>
      </c>
      <c r="O672" t="s">
        <v>4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1</v>
      </c>
      <c r="AE672">
        <v>1</v>
      </c>
      <c r="AF672">
        <v>1</v>
      </c>
      <c r="AG672" t="s">
        <v>273</v>
      </c>
      <c r="AH672" t="s">
        <v>11</v>
      </c>
      <c r="AI672" t="s">
        <v>4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0</v>
      </c>
      <c r="AN672">
        <f>$H$672*$T$672</f>
        <v>0</v>
      </c>
      <c r="AO672">
        <f>$H$672*$U$672</f>
        <v>0</v>
      </c>
      <c r="AP672">
        <f>$H$672*$V$672</f>
        <v>0</v>
      </c>
      <c r="AQ672">
        <f>$H$672*$W$672</f>
        <v>0</v>
      </c>
      <c r="AR672">
        <f>$H$672*$X$672</f>
        <v>0</v>
      </c>
      <c r="AS672">
        <f>$H$672*$Y$672</f>
        <v>0</v>
      </c>
      <c r="AT672">
        <f>$H$672*$Z$672</f>
        <v>0</v>
      </c>
      <c r="AU672">
        <f>$H$672*$AA$672</f>
        <v>0</v>
      </c>
      <c r="AV672">
        <f>$H$672*$AB$672</f>
        <v>0</v>
      </c>
      <c r="AW672">
        <f>$H$672*$AC$672</f>
        <v>0</v>
      </c>
      <c r="AX672">
        <f>$H$672*$AD$672</f>
        <v>72.48</v>
      </c>
      <c r="AY672">
        <f>$H$672*$AE$672</f>
        <v>72.48</v>
      </c>
      <c r="AZ672">
        <f>$H$672*$AF$672</f>
        <v>72.48</v>
      </c>
    </row>
    <row r="673" spans="1:52" x14ac:dyDescent="0.25">
      <c r="A673">
        <v>724</v>
      </c>
      <c r="B673" t="s">
        <v>273</v>
      </c>
      <c r="C673" t="s">
        <v>341</v>
      </c>
      <c r="D673">
        <v>5</v>
      </c>
      <c r="E673">
        <v>22.2</v>
      </c>
      <c r="F673" t="s">
        <v>311</v>
      </c>
      <c r="G673">
        <v>4.4400000000000004</v>
      </c>
      <c r="H673">
        <v>26.64</v>
      </c>
      <c r="I673" t="s">
        <v>312</v>
      </c>
      <c r="J673" t="s">
        <v>342</v>
      </c>
      <c r="K673" t="s">
        <v>550</v>
      </c>
      <c r="L673" t="s">
        <v>178</v>
      </c>
      <c r="M673" t="s">
        <v>273</v>
      </c>
      <c r="N673" t="s">
        <v>11</v>
      </c>
      <c r="O673" t="s">
        <v>4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273</v>
      </c>
      <c r="AH673" t="s">
        <v>11</v>
      </c>
      <c r="AI673" t="s">
        <v>4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0</v>
      </c>
      <c r="AS673">
        <f>$H$673*$Y$673</f>
        <v>0</v>
      </c>
      <c r="AT673">
        <f>$H$673*$Z$673</f>
        <v>0</v>
      </c>
      <c r="AU673">
        <f>$H$673*$AA$673</f>
        <v>26.64</v>
      </c>
      <c r="AV673">
        <f>$H$673*$AB$673</f>
        <v>26.64</v>
      </c>
      <c r="AW673">
        <f>$H$673*$AC$673</f>
        <v>26.64</v>
      </c>
      <c r="AX673">
        <f>$H$673*$AD$673</f>
        <v>26.64</v>
      </c>
      <c r="AY673">
        <f>$H$673*$AE$673</f>
        <v>26.64</v>
      </c>
      <c r="AZ673">
        <f>$H$673*$AF$673</f>
        <v>26.64</v>
      </c>
    </row>
    <row r="674" spans="1:52" x14ac:dyDescent="0.25">
      <c r="A674">
        <v>725</v>
      </c>
      <c r="B674" t="s">
        <v>273</v>
      </c>
      <c r="C674" t="s">
        <v>343</v>
      </c>
      <c r="D674">
        <v>5</v>
      </c>
      <c r="E674">
        <v>57.75</v>
      </c>
      <c r="F674" t="s">
        <v>311</v>
      </c>
      <c r="G674">
        <v>11.55</v>
      </c>
      <c r="H674">
        <v>69.31</v>
      </c>
      <c r="I674" t="s">
        <v>315</v>
      </c>
      <c r="J674" t="s">
        <v>344</v>
      </c>
      <c r="K674" t="s">
        <v>551</v>
      </c>
      <c r="L674" t="s">
        <v>178</v>
      </c>
      <c r="M674" t="s">
        <v>273</v>
      </c>
      <c r="N674" t="s">
        <v>11</v>
      </c>
      <c r="O674" t="s">
        <v>4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273</v>
      </c>
      <c r="AH674" t="s">
        <v>11</v>
      </c>
      <c r="AI674" t="s">
        <v>4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0</v>
      </c>
      <c r="AS674">
        <f>$H$674*$Y$674</f>
        <v>0</v>
      </c>
      <c r="AT674">
        <f>$H$674*$Z$674</f>
        <v>0</v>
      </c>
      <c r="AU674">
        <f>$H$674*$AA$674</f>
        <v>69.31</v>
      </c>
      <c r="AV674">
        <f>$H$674*$AB$674</f>
        <v>69.31</v>
      </c>
      <c r="AW674">
        <f>$H$674*$AC$674</f>
        <v>69.31</v>
      </c>
      <c r="AX674">
        <f>$H$674*$AD$674</f>
        <v>69.31</v>
      </c>
      <c r="AY674">
        <f>$H$674*$AE$674</f>
        <v>69.31</v>
      </c>
      <c r="AZ674">
        <f>$H$674*$AF$674</f>
        <v>69.31</v>
      </c>
    </row>
    <row r="675" spans="1:52" x14ac:dyDescent="0.25">
      <c r="A675">
        <v>726</v>
      </c>
      <c r="B675" t="s">
        <v>273</v>
      </c>
      <c r="C675" t="s">
        <v>395</v>
      </c>
      <c r="D675">
        <v>5</v>
      </c>
      <c r="E675">
        <v>23.75</v>
      </c>
      <c r="F675" t="s">
        <v>311</v>
      </c>
      <c r="G675">
        <v>4.75</v>
      </c>
      <c r="H675">
        <v>28.51</v>
      </c>
      <c r="I675" t="s">
        <v>315</v>
      </c>
      <c r="J675" t="s">
        <v>396</v>
      </c>
      <c r="K675" t="s">
        <v>576</v>
      </c>
      <c r="L675" t="s">
        <v>178</v>
      </c>
      <c r="M675" t="s">
        <v>273</v>
      </c>
      <c r="N675" t="s">
        <v>11</v>
      </c>
      <c r="O675" t="s">
        <v>4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1</v>
      </c>
      <c r="AD675">
        <v>1</v>
      </c>
      <c r="AE675">
        <v>1</v>
      </c>
      <c r="AF675">
        <v>1</v>
      </c>
      <c r="AG675" t="s">
        <v>273</v>
      </c>
      <c r="AH675" t="s">
        <v>11</v>
      </c>
      <c r="AI675" t="s">
        <v>4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0</v>
      </c>
      <c r="AO675">
        <f>$H$675*$U$675</f>
        <v>0</v>
      </c>
      <c r="AP675">
        <f>$H$675*$V$675</f>
        <v>0</v>
      </c>
      <c r="AQ675">
        <f>$H$675*$W$675</f>
        <v>0</v>
      </c>
      <c r="AR675">
        <f>$H$675*$X$675</f>
        <v>0</v>
      </c>
      <c r="AS675">
        <f>$H$675*$Y$675</f>
        <v>0</v>
      </c>
      <c r="AT675">
        <f>$H$675*$Z$675</f>
        <v>0</v>
      </c>
      <c r="AU675">
        <f>$H$675*$AA$675</f>
        <v>0</v>
      </c>
      <c r="AV675">
        <f>$H$675*$AB$675</f>
        <v>0</v>
      </c>
      <c r="AW675">
        <f>$H$675*$AC$675</f>
        <v>28.51</v>
      </c>
      <c r="AX675">
        <f>$H$675*$AD$675</f>
        <v>28.51</v>
      </c>
      <c r="AY675">
        <f>$H$675*$AE$675</f>
        <v>28.51</v>
      </c>
      <c r="AZ675">
        <f>$H$675*$AF$675</f>
        <v>28.51</v>
      </c>
    </row>
    <row r="676" spans="1:52" x14ac:dyDescent="0.25">
      <c r="A676">
        <v>727</v>
      </c>
      <c r="B676" t="s">
        <v>273</v>
      </c>
      <c r="C676" t="s">
        <v>397</v>
      </c>
      <c r="D676">
        <v>6</v>
      </c>
      <c r="E676">
        <v>79.62</v>
      </c>
      <c r="F676" t="s">
        <v>317</v>
      </c>
      <c r="G676">
        <v>13.27</v>
      </c>
      <c r="H676">
        <v>95.54</v>
      </c>
      <c r="I676" t="s">
        <v>319</v>
      </c>
      <c r="J676" t="s">
        <v>398</v>
      </c>
      <c r="K676" t="s">
        <v>577</v>
      </c>
      <c r="L676" t="s">
        <v>178</v>
      </c>
      <c r="M676" t="s">
        <v>273</v>
      </c>
      <c r="N676" t="s">
        <v>11</v>
      </c>
      <c r="O676" t="s">
        <v>4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1</v>
      </c>
      <c r="Y676">
        <v>1</v>
      </c>
      <c r="Z676">
        <v>1</v>
      </c>
      <c r="AA676">
        <v>1</v>
      </c>
      <c r="AB676">
        <v>1</v>
      </c>
      <c r="AC676">
        <v>1</v>
      </c>
      <c r="AD676">
        <v>1</v>
      </c>
      <c r="AE676">
        <v>1</v>
      </c>
      <c r="AF676">
        <v>1</v>
      </c>
      <c r="AG676" t="s">
        <v>273</v>
      </c>
      <c r="AH676" t="s">
        <v>11</v>
      </c>
      <c r="AI676" t="s">
        <v>4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0</v>
      </c>
      <c r="AN676">
        <f>$H$676*$T$676</f>
        <v>0</v>
      </c>
      <c r="AO676">
        <f>$H$676*$U$676</f>
        <v>0</v>
      </c>
      <c r="AP676">
        <f>$H$676*$V$676</f>
        <v>0</v>
      </c>
      <c r="AQ676">
        <f>$H$676*$W$676</f>
        <v>0</v>
      </c>
      <c r="AR676">
        <f>$H$676*$X$676</f>
        <v>95.54</v>
      </c>
      <c r="AS676">
        <f>$H$676*$Y$676</f>
        <v>95.54</v>
      </c>
      <c r="AT676">
        <f>$H$676*$Z$676</f>
        <v>95.54</v>
      </c>
      <c r="AU676">
        <f>$H$676*$AA$676</f>
        <v>95.54</v>
      </c>
      <c r="AV676">
        <f>$H$676*$AB$676</f>
        <v>95.54</v>
      </c>
      <c r="AW676">
        <f>$H$676*$AC$676</f>
        <v>95.54</v>
      </c>
      <c r="AX676">
        <f>$H$676*$AD$676</f>
        <v>95.54</v>
      </c>
      <c r="AY676">
        <f>$H$676*$AE$676</f>
        <v>95.54</v>
      </c>
      <c r="AZ676">
        <f>$H$676*$AF$676</f>
        <v>95.54</v>
      </c>
    </row>
    <row r="677" spans="1:52" x14ac:dyDescent="0.25">
      <c r="A677">
        <v>728</v>
      </c>
      <c r="B677" t="s">
        <v>273</v>
      </c>
      <c r="C677" t="s">
        <v>399</v>
      </c>
      <c r="D677">
        <v>1</v>
      </c>
      <c r="E677">
        <v>63.51</v>
      </c>
      <c r="F677" t="s">
        <v>317</v>
      </c>
      <c r="G677">
        <v>63.51</v>
      </c>
      <c r="H677">
        <v>76.209999999999994</v>
      </c>
      <c r="I677" t="s">
        <v>322</v>
      </c>
      <c r="J677" t="s">
        <v>355</v>
      </c>
      <c r="K677" t="s">
        <v>578</v>
      </c>
      <c r="L677" t="s">
        <v>178</v>
      </c>
      <c r="M677" t="s">
        <v>273</v>
      </c>
      <c r="N677" t="s">
        <v>11</v>
      </c>
      <c r="O677" t="s">
        <v>4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1</v>
      </c>
      <c r="AE677">
        <v>1</v>
      </c>
      <c r="AF677">
        <v>1</v>
      </c>
      <c r="AG677" t="s">
        <v>273</v>
      </c>
      <c r="AH677" t="s">
        <v>11</v>
      </c>
      <c r="AI677" t="s">
        <v>4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0</v>
      </c>
      <c r="AN677">
        <f>$H$677*$T$677</f>
        <v>0</v>
      </c>
      <c r="AO677">
        <f>$H$677*$U$677</f>
        <v>0</v>
      </c>
      <c r="AP677">
        <f>$H$677*$V$677</f>
        <v>0</v>
      </c>
      <c r="AQ677">
        <f>$H$677*$W$677</f>
        <v>0</v>
      </c>
      <c r="AR677">
        <f>$H$677*$X$677</f>
        <v>0</v>
      </c>
      <c r="AS677">
        <f>$H$677*$Y$677</f>
        <v>0</v>
      </c>
      <c r="AT677">
        <f>$H$677*$Z$677</f>
        <v>0</v>
      </c>
      <c r="AU677">
        <f>$H$677*$AA$677</f>
        <v>0</v>
      </c>
      <c r="AV677">
        <f>$H$677*$AB$677</f>
        <v>0</v>
      </c>
      <c r="AW677">
        <f>$H$677*$AC$677</f>
        <v>0</v>
      </c>
      <c r="AX677">
        <f>$H$677*$AD$677</f>
        <v>76.209999999999994</v>
      </c>
      <c r="AY677">
        <f>$H$677*$AE$677</f>
        <v>76.209999999999994</v>
      </c>
      <c r="AZ677">
        <f>$H$677*$AF$677</f>
        <v>76.209999999999994</v>
      </c>
    </row>
    <row r="678" spans="1:52" x14ac:dyDescent="0.25">
      <c r="A678">
        <v>729</v>
      </c>
      <c r="B678" t="s">
        <v>273</v>
      </c>
      <c r="C678" t="s">
        <v>350</v>
      </c>
      <c r="D678">
        <v>1</v>
      </c>
      <c r="E678">
        <v>47.96</v>
      </c>
      <c r="F678" t="s">
        <v>317</v>
      </c>
      <c r="G678">
        <v>47.96</v>
      </c>
      <c r="H678">
        <v>57.56</v>
      </c>
      <c r="I678" t="s">
        <v>351</v>
      </c>
      <c r="J678" t="s">
        <v>352</v>
      </c>
      <c r="K678" t="s">
        <v>554</v>
      </c>
      <c r="L678" t="s">
        <v>178</v>
      </c>
      <c r="M678" t="s">
        <v>273</v>
      </c>
      <c r="N678" t="s">
        <v>11</v>
      </c>
      <c r="O678" t="s">
        <v>4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1</v>
      </c>
      <c r="AB678">
        <v>1</v>
      </c>
      <c r="AC678">
        <v>1</v>
      </c>
      <c r="AD678">
        <v>1</v>
      </c>
      <c r="AE678">
        <v>1</v>
      </c>
      <c r="AF678">
        <v>1</v>
      </c>
      <c r="AG678" t="s">
        <v>273</v>
      </c>
      <c r="AH678" t="s">
        <v>11</v>
      </c>
      <c r="AI678" t="s">
        <v>4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0</v>
      </c>
      <c r="AN678">
        <f>$H$678*$T$678</f>
        <v>0</v>
      </c>
      <c r="AO678">
        <f>$H$678*$U$678</f>
        <v>0</v>
      </c>
      <c r="AP678">
        <f>$H$678*$V$678</f>
        <v>0</v>
      </c>
      <c r="AQ678">
        <f>$H$678*$W$678</f>
        <v>0</v>
      </c>
      <c r="AR678">
        <f>$H$678*$X$678</f>
        <v>0</v>
      </c>
      <c r="AS678">
        <f>$H$678*$Y$678</f>
        <v>0</v>
      </c>
      <c r="AT678">
        <f>$H$678*$Z$678</f>
        <v>0</v>
      </c>
      <c r="AU678">
        <f>$H$678*$AA$678</f>
        <v>57.56</v>
      </c>
      <c r="AV678">
        <f>$H$678*$AB$678</f>
        <v>57.56</v>
      </c>
      <c r="AW678">
        <f>$H$678*$AC$678</f>
        <v>57.56</v>
      </c>
      <c r="AX678">
        <f>$H$678*$AD$678</f>
        <v>57.56</v>
      </c>
      <c r="AY678">
        <f>$H$678*$AE$678</f>
        <v>57.56</v>
      </c>
      <c r="AZ678">
        <f>$H$678*$AF$678</f>
        <v>57.56</v>
      </c>
    </row>
    <row r="679" spans="1:52" x14ac:dyDescent="0.25">
      <c r="A679">
        <v>730</v>
      </c>
      <c r="B679" t="s">
        <v>273</v>
      </c>
      <c r="C679" t="s">
        <v>485</v>
      </c>
      <c r="D679">
        <v>2</v>
      </c>
      <c r="E679">
        <v>110.04</v>
      </c>
      <c r="F679" t="s">
        <v>317</v>
      </c>
      <c r="G679">
        <v>55.02</v>
      </c>
      <c r="H679">
        <v>132.04</v>
      </c>
      <c r="I679" t="s">
        <v>312</v>
      </c>
      <c r="J679" t="s">
        <v>486</v>
      </c>
      <c r="K679" t="s">
        <v>622</v>
      </c>
      <c r="L679" t="s">
        <v>178</v>
      </c>
      <c r="M679" t="s">
        <v>273</v>
      </c>
      <c r="N679" t="s">
        <v>11</v>
      </c>
      <c r="O679" t="s">
        <v>4</v>
      </c>
      <c r="P679">
        <v>0</v>
      </c>
      <c r="Q679">
        <v>0</v>
      </c>
      <c r="R679">
        <v>0</v>
      </c>
      <c r="S679">
        <v>1</v>
      </c>
      <c r="T679">
        <v>1</v>
      </c>
      <c r="U679">
        <v>1</v>
      </c>
      <c r="V679">
        <v>1</v>
      </c>
      <c r="W679">
        <v>1</v>
      </c>
      <c r="X679">
        <v>1</v>
      </c>
      <c r="Y679">
        <v>1</v>
      </c>
      <c r="Z679">
        <v>1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273</v>
      </c>
      <c r="AH679" t="s">
        <v>11</v>
      </c>
      <c r="AI679" t="s">
        <v>4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132.04</v>
      </c>
      <c r="AN679">
        <f>$H$679*$T$679</f>
        <v>132.04</v>
      </c>
      <c r="AO679">
        <f>$H$679*$U$679</f>
        <v>132.04</v>
      </c>
      <c r="AP679">
        <f>$H$679*$V$679</f>
        <v>132.04</v>
      </c>
      <c r="AQ679">
        <f>$H$679*$W$679</f>
        <v>132.04</v>
      </c>
      <c r="AR679">
        <f>$H$679*$X$679</f>
        <v>132.04</v>
      </c>
      <c r="AS679">
        <f>$H$679*$Y$679</f>
        <v>132.04</v>
      </c>
      <c r="AT679">
        <f>$H$679*$Z$679</f>
        <v>132.04</v>
      </c>
      <c r="AU679">
        <f>$H$679*$AA$679</f>
        <v>132.04</v>
      </c>
      <c r="AV679">
        <f>$H$679*$AB$679</f>
        <v>132.04</v>
      </c>
      <c r="AW679">
        <f>$H$679*$AC$679</f>
        <v>132.04</v>
      </c>
      <c r="AX679">
        <f>$H$679*$AD$679</f>
        <v>132.04</v>
      </c>
      <c r="AY679">
        <f>$H$679*$AE$679</f>
        <v>132.04</v>
      </c>
      <c r="AZ679">
        <f>$H$679*$AF$679</f>
        <v>132.04</v>
      </c>
    </row>
    <row r="680" spans="1:52" x14ac:dyDescent="0.25">
      <c r="A680">
        <v>731</v>
      </c>
      <c r="B680" t="s">
        <v>273</v>
      </c>
      <c r="C680" t="s">
        <v>487</v>
      </c>
      <c r="D680">
        <v>1</v>
      </c>
      <c r="E680">
        <v>415.62</v>
      </c>
      <c r="F680" t="s">
        <v>317</v>
      </c>
      <c r="G680">
        <v>415.62</v>
      </c>
      <c r="H680">
        <v>498.74</v>
      </c>
      <c r="I680" t="s">
        <v>354</v>
      </c>
      <c r="J680" t="s">
        <v>486</v>
      </c>
      <c r="K680" t="s">
        <v>623</v>
      </c>
      <c r="L680" t="s">
        <v>178</v>
      </c>
      <c r="M680" t="s">
        <v>273</v>
      </c>
      <c r="N680" t="s">
        <v>11</v>
      </c>
      <c r="O680" t="s">
        <v>4</v>
      </c>
      <c r="P680">
        <v>0</v>
      </c>
      <c r="Q680">
        <v>0</v>
      </c>
      <c r="R680">
        <v>0</v>
      </c>
      <c r="S680">
        <v>0</v>
      </c>
      <c r="T680">
        <v>1</v>
      </c>
      <c r="U680">
        <v>1</v>
      </c>
      <c r="V680">
        <v>1</v>
      </c>
      <c r="W680">
        <v>1</v>
      </c>
      <c r="X680">
        <v>1</v>
      </c>
      <c r="Y680">
        <v>1</v>
      </c>
      <c r="Z680">
        <v>1</v>
      </c>
      <c r="AA680">
        <v>1</v>
      </c>
      <c r="AB680">
        <v>1</v>
      </c>
      <c r="AC680">
        <v>1</v>
      </c>
      <c r="AD680">
        <v>1</v>
      </c>
      <c r="AE680">
        <v>1</v>
      </c>
      <c r="AF680">
        <v>1</v>
      </c>
      <c r="AG680" t="s">
        <v>273</v>
      </c>
      <c r="AH680" t="s">
        <v>11</v>
      </c>
      <c r="AI680" t="s">
        <v>4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0</v>
      </c>
      <c r="AN680">
        <f>$H$680*$T$680</f>
        <v>498.74</v>
      </c>
      <c r="AO680">
        <f>$H$680*$U$680</f>
        <v>498.74</v>
      </c>
      <c r="AP680">
        <f>$H$680*$V$680</f>
        <v>498.74</v>
      </c>
      <c r="AQ680">
        <f>$H$680*$W$680</f>
        <v>498.74</v>
      </c>
      <c r="AR680">
        <f>$H$680*$X$680</f>
        <v>498.74</v>
      </c>
      <c r="AS680">
        <f>$H$680*$Y$680</f>
        <v>498.74</v>
      </c>
      <c r="AT680">
        <f>$H$680*$Z$680</f>
        <v>498.74</v>
      </c>
      <c r="AU680">
        <f>$H$680*$AA$680</f>
        <v>498.74</v>
      </c>
      <c r="AV680">
        <f>$H$680*$AB$680</f>
        <v>498.74</v>
      </c>
      <c r="AW680">
        <f>$H$680*$AC$680</f>
        <v>498.74</v>
      </c>
      <c r="AX680">
        <f>$H$680*$AD$680</f>
        <v>498.74</v>
      </c>
      <c r="AY680">
        <f>$H$680*$AE$680</f>
        <v>498.74</v>
      </c>
      <c r="AZ680">
        <f>$H$680*$AF$680</f>
        <v>498.74</v>
      </c>
    </row>
    <row r="681" spans="1:52" x14ac:dyDescent="0.25">
      <c r="A681">
        <v>732</v>
      </c>
      <c r="B681" t="s">
        <v>273</v>
      </c>
      <c r="C681" t="s">
        <v>358</v>
      </c>
      <c r="D681">
        <v>2</v>
      </c>
      <c r="E681">
        <v>77.86</v>
      </c>
      <c r="F681" t="s">
        <v>317</v>
      </c>
      <c r="G681">
        <v>38.93</v>
      </c>
      <c r="H681">
        <v>93.44</v>
      </c>
      <c r="I681" t="s">
        <v>312</v>
      </c>
      <c r="J681" t="s">
        <v>354</v>
      </c>
      <c r="K681" t="s">
        <v>557</v>
      </c>
      <c r="L681" t="s">
        <v>178</v>
      </c>
      <c r="M681" t="s">
        <v>273</v>
      </c>
      <c r="N681" t="s">
        <v>11</v>
      </c>
      <c r="O681" t="s">
        <v>4</v>
      </c>
      <c r="P681">
        <v>0</v>
      </c>
      <c r="Q681">
        <v>0</v>
      </c>
      <c r="R681">
        <v>0</v>
      </c>
      <c r="S681">
        <v>1</v>
      </c>
      <c r="T681">
        <v>1</v>
      </c>
      <c r="U681">
        <v>1</v>
      </c>
      <c r="V681">
        <v>1</v>
      </c>
      <c r="W681">
        <v>1</v>
      </c>
      <c r="X681">
        <v>1</v>
      </c>
      <c r="Y681">
        <v>1</v>
      </c>
      <c r="Z681">
        <v>1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273</v>
      </c>
      <c r="AH681" t="s">
        <v>11</v>
      </c>
      <c r="AI681" t="s">
        <v>4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93.44</v>
      </c>
      <c r="AN681">
        <f>$H$681*$T$681</f>
        <v>93.44</v>
      </c>
      <c r="AO681">
        <f>$H$681*$U$681</f>
        <v>93.44</v>
      </c>
      <c r="AP681">
        <f>$H$681*$V$681</f>
        <v>93.44</v>
      </c>
      <c r="AQ681">
        <f>$H$681*$W$681</f>
        <v>93.44</v>
      </c>
      <c r="AR681">
        <f>$H$681*$X$681</f>
        <v>93.44</v>
      </c>
      <c r="AS681">
        <f>$H$681*$Y$681</f>
        <v>93.44</v>
      </c>
      <c r="AT681">
        <f>$H$681*$Z$681</f>
        <v>93.44</v>
      </c>
      <c r="AU681">
        <f>$H$681*$AA$681</f>
        <v>93.44</v>
      </c>
      <c r="AV681">
        <f>$H$681*$AB$681</f>
        <v>93.44</v>
      </c>
      <c r="AW681">
        <f>$H$681*$AC$681</f>
        <v>93.44</v>
      </c>
      <c r="AX681">
        <f>$H$681*$AD$681</f>
        <v>93.44</v>
      </c>
      <c r="AY681">
        <f>$H$681*$AE$681</f>
        <v>93.44</v>
      </c>
      <c r="AZ681">
        <f>$H$681*$AF$681</f>
        <v>93.44</v>
      </c>
    </row>
    <row r="682" spans="1:52" x14ac:dyDescent="0.25">
      <c r="A682">
        <v>733</v>
      </c>
      <c r="B682" t="s">
        <v>273</v>
      </c>
      <c r="C682" t="s">
        <v>356</v>
      </c>
      <c r="D682">
        <v>2</v>
      </c>
      <c r="E682">
        <v>62.72</v>
      </c>
      <c r="F682" t="s">
        <v>317</v>
      </c>
      <c r="G682">
        <v>31.36</v>
      </c>
      <c r="H682">
        <v>75.260000000000005</v>
      </c>
      <c r="I682" t="s">
        <v>312</v>
      </c>
      <c r="J682" t="s">
        <v>357</v>
      </c>
      <c r="K682" t="s">
        <v>556</v>
      </c>
      <c r="L682" t="s">
        <v>178</v>
      </c>
      <c r="M682" t="s">
        <v>273</v>
      </c>
      <c r="N682" t="s">
        <v>11</v>
      </c>
      <c r="O682" t="s">
        <v>4</v>
      </c>
      <c r="P682">
        <v>0</v>
      </c>
      <c r="Q682">
        <v>0</v>
      </c>
      <c r="R682">
        <v>0</v>
      </c>
      <c r="S682">
        <v>1</v>
      </c>
      <c r="T682">
        <v>1</v>
      </c>
      <c r="U682">
        <v>1</v>
      </c>
      <c r="V682">
        <v>1</v>
      </c>
      <c r="W682">
        <v>1</v>
      </c>
      <c r="X682">
        <v>1</v>
      </c>
      <c r="Y682">
        <v>1</v>
      </c>
      <c r="Z682">
        <v>1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273</v>
      </c>
      <c r="AH682" t="s">
        <v>11</v>
      </c>
      <c r="AI682" t="s">
        <v>4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75.260000000000005</v>
      </c>
      <c r="AN682">
        <f>$H$682*$T$682</f>
        <v>75.260000000000005</v>
      </c>
      <c r="AO682">
        <f>$H$682*$U$682</f>
        <v>75.260000000000005</v>
      </c>
      <c r="AP682">
        <f>$H$682*$V$682</f>
        <v>75.260000000000005</v>
      </c>
      <c r="AQ682">
        <f>$H$682*$W$682</f>
        <v>75.260000000000005</v>
      </c>
      <c r="AR682">
        <f>$H$682*$X$682</f>
        <v>75.260000000000005</v>
      </c>
      <c r="AS682">
        <f>$H$682*$Y$682</f>
        <v>75.260000000000005</v>
      </c>
      <c r="AT682">
        <f>$H$682*$Z$682</f>
        <v>75.260000000000005</v>
      </c>
      <c r="AU682">
        <f>$H$682*$AA$682</f>
        <v>75.260000000000005</v>
      </c>
      <c r="AV682">
        <f>$H$682*$AB$682</f>
        <v>75.260000000000005</v>
      </c>
      <c r="AW682">
        <f>$H$682*$AC$682</f>
        <v>75.260000000000005</v>
      </c>
      <c r="AX682">
        <f>$H$682*$AD$682</f>
        <v>75.260000000000005</v>
      </c>
      <c r="AY682">
        <f>$H$682*$AE$682</f>
        <v>75.260000000000005</v>
      </c>
      <c r="AZ682">
        <f>$H$682*$AF$682</f>
        <v>75.260000000000005</v>
      </c>
    </row>
    <row r="683" spans="1:52" x14ac:dyDescent="0.25">
      <c r="A683">
        <v>734</v>
      </c>
      <c r="B683" t="s">
        <v>273</v>
      </c>
      <c r="C683" t="s">
        <v>353</v>
      </c>
      <c r="D683">
        <v>1</v>
      </c>
      <c r="E683">
        <v>365.09</v>
      </c>
      <c r="F683" t="s">
        <v>317</v>
      </c>
      <c r="G683">
        <v>365.09</v>
      </c>
      <c r="H683">
        <v>438.11</v>
      </c>
      <c r="I683" t="s">
        <v>354</v>
      </c>
      <c r="J683" t="s">
        <v>355</v>
      </c>
      <c r="K683" t="s">
        <v>555</v>
      </c>
      <c r="L683" t="s">
        <v>178</v>
      </c>
      <c r="M683" t="s">
        <v>273</v>
      </c>
      <c r="N683" t="s">
        <v>11</v>
      </c>
      <c r="O683" t="s">
        <v>4</v>
      </c>
      <c r="P683">
        <v>0</v>
      </c>
      <c r="Q683">
        <v>0</v>
      </c>
      <c r="R683">
        <v>0</v>
      </c>
      <c r="S683">
        <v>0</v>
      </c>
      <c r="T683">
        <v>1</v>
      </c>
      <c r="U683">
        <v>1</v>
      </c>
      <c r="V683">
        <v>1</v>
      </c>
      <c r="W683">
        <v>1</v>
      </c>
      <c r="X683">
        <v>1</v>
      </c>
      <c r="Y683">
        <v>1</v>
      </c>
      <c r="Z683">
        <v>1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273</v>
      </c>
      <c r="AH683" t="s">
        <v>11</v>
      </c>
      <c r="AI683" t="s">
        <v>4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0</v>
      </c>
      <c r="AN683">
        <f>$H$683*$T$683</f>
        <v>438.11</v>
      </c>
      <c r="AO683">
        <f>$H$683*$U$683</f>
        <v>438.11</v>
      </c>
      <c r="AP683">
        <f>$H$683*$V$683</f>
        <v>438.11</v>
      </c>
      <c r="AQ683">
        <f>$H$683*$W$683</f>
        <v>438.11</v>
      </c>
      <c r="AR683">
        <f>$H$683*$X$683</f>
        <v>438.11</v>
      </c>
      <c r="AS683">
        <f>$H$683*$Y$683</f>
        <v>438.11</v>
      </c>
      <c r="AT683">
        <f>$H$683*$Z$683</f>
        <v>438.11</v>
      </c>
      <c r="AU683">
        <f>$H$683*$AA$683</f>
        <v>438.11</v>
      </c>
      <c r="AV683">
        <f>$H$683*$AB$683</f>
        <v>438.11</v>
      </c>
      <c r="AW683">
        <f>$H$683*$AC$683</f>
        <v>438.11</v>
      </c>
      <c r="AX683">
        <f>$H$683*$AD$683</f>
        <v>438.11</v>
      </c>
      <c r="AY683">
        <f>$H$683*$AE$683</f>
        <v>438.11</v>
      </c>
      <c r="AZ683">
        <f>$H$683*$AF$683</f>
        <v>438.11</v>
      </c>
    </row>
    <row r="684" spans="1:52" x14ac:dyDescent="0.25">
      <c r="A684">
        <v>735</v>
      </c>
      <c r="B684" t="s">
        <v>273</v>
      </c>
      <c r="C684" t="s">
        <v>345</v>
      </c>
      <c r="D684">
        <v>413.33</v>
      </c>
      <c r="E684">
        <v>405.06</v>
      </c>
      <c r="F684" t="s">
        <v>335</v>
      </c>
      <c r="G684">
        <v>0.98</v>
      </c>
      <c r="H684">
        <v>486.08</v>
      </c>
      <c r="I684" t="s">
        <v>312</v>
      </c>
      <c r="J684" t="s">
        <v>346</v>
      </c>
      <c r="K684" t="s">
        <v>552</v>
      </c>
      <c r="L684" t="s">
        <v>178</v>
      </c>
      <c r="M684" t="s">
        <v>273</v>
      </c>
      <c r="N684" t="s">
        <v>11</v>
      </c>
      <c r="O684" t="s">
        <v>4</v>
      </c>
      <c r="P684">
        <v>0</v>
      </c>
      <c r="Q684">
        <v>0</v>
      </c>
      <c r="R684">
        <v>0</v>
      </c>
      <c r="S684">
        <v>0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273</v>
      </c>
      <c r="AH684" t="s">
        <v>11</v>
      </c>
      <c r="AI684" t="s">
        <v>4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0</v>
      </c>
      <c r="AN684">
        <f>$H$684*$T$684</f>
        <v>486.08</v>
      </c>
      <c r="AO684">
        <f>$H$684*$U$684</f>
        <v>486.08</v>
      </c>
      <c r="AP684">
        <f>$H$684*$V$684</f>
        <v>486.08</v>
      </c>
      <c r="AQ684">
        <f>$H$684*$W$684</f>
        <v>486.08</v>
      </c>
      <c r="AR684">
        <f>$H$684*$X$684</f>
        <v>486.08</v>
      </c>
      <c r="AS684">
        <f>$H$684*$Y$684</f>
        <v>486.08</v>
      </c>
      <c r="AT684">
        <f>$H$684*$Z$684</f>
        <v>486.08</v>
      </c>
      <c r="AU684">
        <f>$H$684*$AA$684</f>
        <v>486.08</v>
      </c>
      <c r="AV684">
        <f>$H$684*$AB$684</f>
        <v>486.08</v>
      </c>
      <c r="AW684">
        <f>$H$684*$AC$684</f>
        <v>486.08</v>
      </c>
      <c r="AX684">
        <f>$H$684*$AD$684</f>
        <v>486.08</v>
      </c>
      <c r="AY684">
        <f>$H$684*$AE$684</f>
        <v>486.08</v>
      </c>
      <c r="AZ684">
        <f>$H$684*$AF$684</f>
        <v>486.08</v>
      </c>
    </row>
    <row r="685" spans="1:52" x14ac:dyDescent="0.25">
      <c r="A685">
        <v>736</v>
      </c>
      <c r="B685" t="s">
        <v>273</v>
      </c>
      <c r="C685" t="s">
        <v>400</v>
      </c>
      <c r="D685">
        <v>413.33</v>
      </c>
      <c r="E685">
        <v>1388.79</v>
      </c>
      <c r="F685" t="s">
        <v>335</v>
      </c>
      <c r="G685">
        <v>3.36</v>
      </c>
      <c r="H685">
        <v>1666.55</v>
      </c>
      <c r="I685" t="s">
        <v>348</v>
      </c>
      <c r="J685" t="s">
        <v>401</v>
      </c>
      <c r="K685" t="s">
        <v>579</v>
      </c>
      <c r="L685" t="s">
        <v>178</v>
      </c>
      <c r="M685" t="s">
        <v>273</v>
      </c>
      <c r="N685" t="s">
        <v>11</v>
      </c>
      <c r="O685" t="s">
        <v>4</v>
      </c>
      <c r="P685">
        <v>0</v>
      </c>
      <c r="Q685">
        <v>0</v>
      </c>
      <c r="R685">
        <v>0</v>
      </c>
      <c r="S685">
        <v>0.25</v>
      </c>
      <c r="T685">
        <v>0.25</v>
      </c>
      <c r="U685">
        <v>0.25</v>
      </c>
      <c r="V685">
        <v>0.25</v>
      </c>
      <c r="W685">
        <v>0.5</v>
      </c>
      <c r="X685">
        <v>0.5</v>
      </c>
      <c r="Y685">
        <v>0.5</v>
      </c>
      <c r="Z685">
        <v>0.5</v>
      </c>
      <c r="AA685">
        <v>1</v>
      </c>
      <c r="AB685">
        <v>1</v>
      </c>
      <c r="AC685">
        <v>1</v>
      </c>
      <c r="AD685">
        <v>1</v>
      </c>
      <c r="AE685">
        <v>1</v>
      </c>
      <c r="AF685">
        <v>1</v>
      </c>
      <c r="AG685" t="s">
        <v>273</v>
      </c>
      <c r="AH685" t="s">
        <v>11</v>
      </c>
      <c r="AI685" t="s">
        <v>4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416.63749999999999</v>
      </c>
      <c r="AN685">
        <f>$H$685*$T$685</f>
        <v>416.63749999999999</v>
      </c>
      <c r="AO685">
        <f>$H$685*$U$685</f>
        <v>416.63749999999999</v>
      </c>
      <c r="AP685">
        <f>$H$685*$V$685</f>
        <v>416.63749999999999</v>
      </c>
      <c r="AQ685">
        <f>$H$685*$W$685</f>
        <v>833.27499999999998</v>
      </c>
      <c r="AR685">
        <f>$H$685*$X$685</f>
        <v>833.27499999999998</v>
      </c>
      <c r="AS685">
        <f>$H$685*$Y$685</f>
        <v>833.27499999999998</v>
      </c>
      <c r="AT685">
        <f>$H$685*$Z$685</f>
        <v>833.27499999999998</v>
      </c>
      <c r="AU685">
        <f>$H$685*$AA$685</f>
        <v>1666.55</v>
      </c>
      <c r="AV685">
        <f>$H$685*$AB$685</f>
        <v>1666.55</v>
      </c>
      <c r="AW685">
        <f>$H$685*$AC$685</f>
        <v>1666.55</v>
      </c>
      <c r="AX685">
        <f>$H$685*$AD$685</f>
        <v>1666.55</v>
      </c>
      <c r="AY685">
        <f>$H$685*$AE$685</f>
        <v>1666.55</v>
      </c>
      <c r="AZ685">
        <f>$H$685*$AF$685</f>
        <v>1666.55</v>
      </c>
    </row>
    <row r="686" spans="1:52" x14ac:dyDescent="0.25">
      <c r="A686">
        <v>737</v>
      </c>
      <c r="B686" t="s">
        <v>273</v>
      </c>
      <c r="C686" t="s">
        <v>402</v>
      </c>
      <c r="D686">
        <v>51.67</v>
      </c>
      <c r="E686">
        <v>78.02</v>
      </c>
      <c r="F686" t="s">
        <v>311</v>
      </c>
      <c r="G686">
        <v>1.51</v>
      </c>
      <c r="H686">
        <v>93.62</v>
      </c>
      <c r="I686" t="s">
        <v>312</v>
      </c>
      <c r="J686" t="s">
        <v>403</v>
      </c>
      <c r="K686" t="s">
        <v>580</v>
      </c>
      <c r="L686" t="s">
        <v>178</v>
      </c>
      <c r="M686" t="s">
        <v>273</v>
      </c>
      <c r="N686" t="s">
        <v>11</v>
      </c>
      <c r="O686" t="s">
        <v>4</v>
      </c>
      <c r="P686">
        <v>0</v>
      </c>
      <c r="Q686">
        <v>0</v>
      </c>
      <c r="R686">
        <v>0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273</v>
      </c>
      <c r="AH686" t="s">
        <v>11</v>
      </c>
      <c r="AI686" t="s">
        <v>4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93.62</v>
      </c>
      <c r="AN686">
        <f>$H$686*$T$686</f>
        <v>93.62</v>
      </c>
      <c r="AO686">
        <f>$H$686*$U$686</f>
        <v>93.62</v>
      </c>
      <c r="AP686">
        <f>$H$686*$V$686</f>
        <v>93.62</v>
      </c>
      <c r="AQ686">
        <f>$H$686*$W$686</f>
        <v>93.62</v>
      </c>
      <c r="AR686">
        <f>$H$686*$X$686</f>
        <v>93.62</v>
      </c>
      <c r="AS686">
        <f>$H$686*$Y$686</f>
        <v>93.62</v>
      </c>
      <c r="AT686">
        <f>$H$686*$Z$686</f>
        <v>93.62</v>
      </c>
      <c r="AU686">
        <f>$H$686*$AA$686</f>
        <v>93.62</v>
      </c>
      <c r="AV686">
        <f>$H$686*$AB$686</f>
        <v>93.62</v>
      </c>
      <c r="AW686">
        <f>$H$686*$AC$686</f>
        <v>93.62</v>
      </c>
      <c r="AX686">
        <f>$H$686*$AD$686</f>
        <v>93.62</v>
      </c>
      <c r="AY686">
        <f>$H$686*$AE$686</f>
        <v>93.62</v>
      </c>
      <c r="AZ686">
        <f>$H$686*$AF$686</f>
        <v>93.62</v>
      </c>
    </row>
    <row r="687" spans="1:52" x14ac:dyDescent="0.25">
      <c r="A687">
        <v>738</v>
      </c>
      <c r="B687" t="s">
        <v>273</v>
      </c>
      <c r="C687" t="s">
        <v>404</v>
      </c>
      <c r="D687">
        <v>51.67</v>
      </c>
      <c r="E687">
        <v>293.49</v>
      </c>
      <c r="F687" t="s">
        <v>311</v>
      </c>
      <c r="G687">
        <v>5.68</v>
      </c>
      <c r="H687">
        <v>352.19</v>
      </c>
      <c r="I687" t="s">
        <v>315</v>
      </c>
      <c r="J687" t="s">
        <v>405</v>
      </c>
      <c r="K687" t="s">
        <v>581</v>
      </c>
      <c r="L687" t="s">
        <v>178</v>
      </c>
      <c r="M687" t="s">
        <v>273</v>
      </c>
      <c r="N687" t="s">
        <v>11</v>
      </c>
      <c r="O687" t="s">
        <v>4</v>
      </c>
      <c r="P687">
        <v>0</v>
      </c>
      <c r="Q687">
        <v>0</v>
      </c>
      <c r="R687">
        <v>0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Y687">
        <v>1</v>
      </c>
      <c r="Z687">
        <v>1</v>
      </c>
      <c r="AA687">
        <v>1</v>
      </c>
      <c r="AB687">
        <v>1</v>
      </c>
      <c r="AC687">
        <v>1</v>
      </c>
      <c r="AD687">
        <v>1</v>
      </c>
      <c r="AE687">
        <v>1</v>
      </c>
      <c r="AF687">
        <v>1</v>
      </c>
      <c r="AG687" t="s">
        <v>273</v>
      </c>
      <c r="AH687" t="s">
        <v>11</v>
      </c>
      <c r="AI687" t="s">
        <v>4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352.19</v>
      </c>
      <c r="AN687">
        <f>$H$687*$T$687</f>
        <v>352.19</v>
      </c>
      <c r="AO687">
        <f>$H$687*$U$687</f>
        <v>352.19</v>
      </c>
      <c r="AP687">
        <f>$H$687*$V$687</f>
        <v>352.19</v>
      </c>
      <c r="AQ687">
        <f>$H$687*$W$687</f>
        <v>352.19</v>
      </c>
      <c r="AR687">
        <f>$H$687*$X$687</f>
        <v>352.19</v>
      </c>
      <c r="AS687">
        <f>$H$687*$Y$687</f>
        <v>352.19</v>
      </c>
      <c r="AT687">
        <f>$H$687*$Z$687</f>
        <v>352.19</v>
      </c>
      <c r="AU687">
        <f>$H$687*$AA$687</f>
        <v>352.19</v>
      </c>
      <c r="AV687">
        <f>$H$687*$AB$687</f>
        <v>352.19</v>
      </c>
      <c r="AW687">
        <f>$H$687*$AC$687</f>
        <v>352.19</v>
      </c>
      <c r="AX687">
        <f>$H$687*$AD$687</f>
        <v>352.19</v>
      </c>
      <c r="AY687">
        <f>$H$687*$AE$687</f>
        <v>352.19</v>
      </c>
      <c r="AZ687">
        <f>$H$687*$AF$687</f>
        <v>352.19</v>
      </c>
    </row>
    <row r="688" spans="1:52" x14ac:dyDescent="0.25">
      <c r="A688">
        <v>739</v>
      </c>
      <c r="B688" t="s">
        <v>273</v>
      </c>
      <c r="C688" t="s">
        <v>400</v>
      </c>
      <c r="D688">
        <v>165.84</v>
      </c>
      <c r="E688">
        <v>557.22</v>
      </c>
      <c r="F688" t="s">
        <v>335</v>
      </c>
      <c r="G688">
        <v>3.36</v>
      </c>
      <c r="H688">
        <v>668.66</v>
      </c>
      <c r="I688" t="s">
        <v>348</v>
      </c>
      <c r="J688" t="s">
        <v>401</v>
      </c>
      <c r="K688" t="s">
        <v>579</v>
      </c>
      <c r="L688" t="s">
        <v>178</v>
      </c>
      <c r="M688" t="s">
        <v>273</v>
      </c>
      <c r="N688" t="s">
        <v>11</v>
      </c>
      <c r="O688" t="s">
        <v>4</v>
      </c>
      <c r="P688">
        <v>0</v>
      </c>
      <c r="Q688">
        <v>0</v>
      </c>
      <c r="R688">
        <v>0</v>
      </c>
      <c r="S688">
        <v>0.25</v>
      </c>
      <c r="T688">
        <v>0.25</v>
      </c>
      <c r="U688">
        <v>0.25</v>
      </c>
      <c r="V688">
        <v>0.25</v>
      </c>
      <c r="W688">
        <v>0.5</v>
      </c>
      <c r="X688">
        <v>0.5</v>
      </c>
      <c r="Y688">
        <v>0.5</v>
      </c>
      <c r="Z688">
        <v>0.5</v>
      </c>
      <c r="AA688">
        <v>1</v>
      </c>
      <c r="AB688">
        <v>1</v>
      </c>
      <c r="AC688">
        <v>1</v>
      </c>
      <c r="AD688">
        <v>1</v>
      </c>
      <c r="AE688">
        <v>1</v>
      </c>
      <c r="AF688">
        <v>1</v>
      </c>
      <c r="AG688" t="s">
        <v>273</v>
      </c>
      <c r="AH688" t="s">
        <v>11</v>
      </c>
      <c r="AI688" t="s">
        <v>4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167.16499999999999</v>
      </c>
      <c r="AN688">
        <f>$H$688*$T$688</f>
        <v>167.16499999999999</v>
      </c>
      <c r="AO688">
        <f>$H$688*$U$688</f>
        <v>167.16499999999999</v>
      </c>
      <c r="AP688">
        <f>$H$688*$V$688</f>
        <v>167.16499999999999</v>
      </c>
      <c r="AQ688">
        <f>$H$688*$W$688</f>
        <v>334.33</v>
      </c>
      <c r="AR688">
        <f>$H$688*$X$688</f>
        <v>334.33</v>
      </c>
      <c r="AS688">
        <f>$H$688*$Y$688</f>
        <v>334.33</v>
      </c>
      <c r="AT688">
        <f>$H$688*$Z$688</f>
        <v>334.33</v>
      </c>
      <c r="AU688">
        <f>$H$688*$AA$688</f>
        <v>668.66</v>
      </c>
      <c r="AV688">
        <f>$H$688*$AB$688</f>
        <v>668.66</v>
      </c>
      <c r="AW688">
        <f>$H$688*$AC$688</f>
        <v>668.66</v>
      </c>
      <c r="AX688">
        <f>$H$688*$AD$688</f>
        <v>668.66</v>
      </c>
      <c r="AY688">
        <f>$H$688*$AE$688</f>
        <v>668.66</v>
      </c>
      <c r="AZ688">
        <f>$H$688*$AF$688</f>
        <v>668.66</v>
      </c>
    </row>
    <row r="689" spans="1:52" x14ac:dyDescent="0.25">
      <c r="A689">
        <v>740</v>
      </c>
      <c r="B689" t="s">
        <v>273</v>
      </c>
      <c r="C689" t="s">
        <v>406</v>
      </c>
      <c r="D689">
        <v>165.84</v>
      </c>
      <c r="E689">
        <v>104.48</v>
      </c>
      <c r="F689" t="s">
        <v>335</v>
      </c>
      <c r="G689">
        <v>0.63</v>
      </c>
      <c r="H689">
        <v>125.38</v>
      </c>
      <c r="I689" t="s">
        <v>312</v>
      </c>
      <c r="J689" t="s">
        <v>407</v>
      </c>
      <c r="K689" t="s">
        <v>582</v>
      </c>
      <c r="L689" t="s">
        <v>178</v>
      </c>
      <c r="M689" t="s">
        <v>273</v>
      </c>
      <c r="N689" t="s">
        <v>11</v>
      </c>
      <c r="O689" t="s">
        <v>4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1</v>
      </c>
      <c r="AE689">
        <v>1</v>
      </c>
      <c r="AF689">
        <v>1</v>
      </c>
      <c r="AG689" t="s">
        <v>273</v>
      </c>
      <c r="AH689" t="s">
        <v>11</v>
      </c>
      <c r="AI689" t="s">
        <v>4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0</v>
      </c>
      <c r="AN689">
        <f>$H$689*$T$689</f>
        <v>0</v>
      </c>
      <c r="AO689">
        <f>$H$689*$U$689</f>
        <v>0</v>
      </c>
      <c r="AP689">
        <f>$H$689*$V$689</f>
        <v>0</v>
      </c>
      <c r="AQ689">
        <f>$H$689*$W$689</f>
        <v>0</v>
      </c>
      <c r="AR689">
        <f>$H$689*$X$689</f>
        <v>0</v>
      </c>
      <c r="AS689">
        <f>$H$689*$Y$689</f>
        <v>0</v>
      </c>
      <c r="AT689">
        <f>$H$689*$Z$689</f>
        <v>0</v>
      </c>
      <c r="AU689">
        <f>$H$689*$AA$689</f>
        <v>0</v>
      </c>
      <c r="AV689">
        <f>$H$689*$AB$689</f>
        <v>0</v>
      </c>
      <c r="AW689">
        <f>$H$689*$AC$689</f>
        <v>0</v>
      </c>
      <c r="AX689">
        <f>$H$689*$AD$689</f>
        <v>125.38</v>
      </c>
      <c r="AY689">
        <f>$H$689*$AE$689</f>
        <v>125.38</v>
      </c>
      <c r="AZ689">
        <f>$H$689*$AF$689</f>
        <v>125.38</v>
      </c>
    </row>
    <row r="690" spans="1:52" x14ac:dyDescent="0.25">
      <c r="A690">
        <v>741</v>
      </c>
      <c r="B690" t="s">
        <v>273</v>
      </c>
      <c r="C690" t="s">
        <v>408</v>
      </c>
      <c r="D690">
        <v>165.84</v>
      </c>
      <c r="E690">
        <v>114.43</v>
      </c>
      <c r="F690" t="s">
        <v>335</v>
      </c>
      <c r="G690">
        <v>0.69</v>
      </c>
      <c r="H690">
        <v>137.31</v>
      </c>
      <c r="I690" t="s">
        <v>312</v>
      </c>
      <c r="J690" t="s">
        <v>409</v>
      </c>
      <c r="K690" t="s">
        <v>583</v>
      </c>
      <c r="L690" t="s">
        <v>178</v>
      </c>
      <c r="M690" t="s">
        <v>273</v>
      </c>
      <c r="N690" t="s">
        <v>11</v>
      </c>
      <c r="O690" t="s">
        <v>4</v>
      </c>
      <c r="P690">
        <v>0</v>
      </c>
      <c r="Q690">
        <v>0</v>
      </c>
      <c r="R690">
        <v>0</v>
      </c>
      <c r="S690">
        <v>1</v>
      </c>
      <c r="T690">
        <v>1</v>
      </c>
      <c r="U690">
        <v>1</v>
      </c>
      <c r="V690">
        <v>1</v>
      </c>
      <c r="W690">
        <v>1</v>
      </c>
      <c r="X690">
        <v>1</v>
      </c>
      <c r="Y690">
        <v>1</v>
      </c>
      <c r="Z690">
        <v>1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273</v>
      </c>
      <c r="AH690" t="s">
        <v>11</v>
      </c>
      <c r="AI690" t="s">
        <v>4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137.31</v>
      </c>
      <c r="AN690">
        <f>$H$690*$T$690</f>
        <v>137.31</v>
      </c>
      <c r="AO690">
        <f>$H$690*$U$690</f>
        <v>137.31</v>
      </c>
      <c r="AP690">
        <f>$H$690*$V$690</f>
        <v>137.31</v>
      </c>
      <c r="AQ690">
        <f>$H$690*$W$690</f>
        <v>137.31</v>
      </c>
      <c r="AR690">
        <f>$H$690*$X$690</f>
        <v>137.31</v>
      </c>
      <c r="AS690">
        <f>$H$690*$Y$690</f>
        <v>137.31</v>
      </c>
      <c r="AT690">
        <f>$H$690*$Z$690</f>
        <v>137.31</v>
      </c>
      <c r="AU690">
        <f>$H$690*$AA$690</f>
        <v>137.31</v>
      </c>
      <c r="AV690">
        <f>$H$690*$AB$690</f>
        <v>137.31</v>
      </c>
      <c r="AW690">
        <f>$H$690*$AC$690</f>
        <v>137.31</v>
      </c>
      <c r="AX690">
        <f>$H$690*$AD$690</f>
        <v>137.31</v>
      </c>
      <c r="AY690">
        <f>$H$690*$AE$690</f>
        <v>137.31</v>
      </c>
      <c r="AZ690">
        <f>$H$690*$AF$690</f>
        <v>137.31</v>
      </c>
    </row>
    <row r="691" spans="1:52" x14ac:dyDescent="0.25">
      <c r="A691">
        <v>742</v>
      </c>
      <c r="B691" t="s">
        <v>273</v>
      </c>
      <c r="C691" t="s">
        <v>410</v>
      </c>
      <c r="D691">
        <v>34.83</v>
      </c>
      <c r="E691">
        <v>237.19</v>
      </c>
      <c r="F691" t="s">
        <v>335</v>
      </c>
      <c r="G691">
        <v>6.81</v>
      </c>
      <c r="H691">
        <v>284.63</v>
      </c>
      <c r="I691" t="s">
        <v>411</v>
      </c>
      <c r="J691" t="s">
        <v>412</v>
      </c>
      <c r="K691" t="s">
        <v>584</v>
      </c>
      <c r="L691" t="s">
        <v>178</v>
      </c>
      <c r="M691" t="s">
        <v>273</v>
      </c>
      <c r="N691" t="s">
        <v>11</v>
      </c>
      <c r="O691" t="s">
        <v>4</v>
      </c>
      <c r="P691">
        <v>0</v>
      </c>
      <c r="Q691">
        <v>0</v>
      </c>
      <c r="R691">
        <v>0</v>
      </c>
      <c r="S691">
        <v>1</v>
      </c>
      <c r="T691">
        <v>1</v>
      </c>
      <c r="U691">
        <v>1</v>
      </c>
      <c r="V691">
        <v>1</v>
      </c>
      <c r="W691">
        <v>1</v>
      </c>
      <c r="X691">
        <v>1</v>
      </c>
      <c r="Y691">
        <v>1</v>
      </c>
      <c r="Z691">
        <v>1</v>
      </c>
      <c r="AA691">
        <v>1</v>
      </c>
      <c r="AB691">
        <v>1</v>
      </c>
      <c r="AC691">
        <v>1</v>
      </c>
      <c r="AD691">
        <v>1</v>
      </c>
      <c r="AE691">
        <v>1</v>
      </c>
      <c r="AF691">
        <v>1</v>
      </c>
      <c r="AG691" t="s">
        <v>273</v>
      </c>
      <c r="AH691" t="s">
        <v>11</v>
      </c>
      <c r="AI691" t="s">
        <v>4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284.63</v>
      </c>
      <c r="AN691">
        <f>$H$691*$T$691</f>
        <v>284.63</v>
      </c>
      <c r="AO691">
        <f>$H$691*$U$691</f>
        <v>284.63</v>
      </c>
      <c r="AP691">
        <f>$H$691*$V$691</f>
        <v>284.63</v>
      </c>
      <c r="AQ691">
        <f>$H$691*$W$691</f>
        <v>284.63</v>
      </c>
      <c r="AR691">
        <f>$H$691*$X$691</f>
        <v>284.63</v>
      </c>
      <c r="AS691">
        <f>$H$691*$Y$691</f>
        <v>284.63</v>
      </c>
      <c r="AT691">
        <f>$H$691*$Z$691</f>
        <v>284.63</v>
      </c>
      <c r="AU691">
        <f>$H$691*$AA$691</f>
        <v>284.63</v>
      </c>
      <c r="AV691">
        <f>$H$691*$AB$691</f>
        <v>284.63</v>
      </c>
      <c r="AW691">
        <f>$H$691*$AC$691</f>
        <v>284.63</v>
      </c>
      <c r="AX691">
        <f>$H$691*$AD$691</f>
        <v>284.63</v>
      </c>
      <c r="AY691">
        <f>$H$691*$AE$691</f>
        <v>284.63</v>
      </c>
      <c r="AZ691">
        <f>$H$691*$AF$691</f>
        <v>284.63</v>
      </c>
    </row>
    <row r="692" spans="1:52" x14ac:dyDescent="0.25">
      <c r="A692">
        <v>743</v>
      </c>
      <c r="B692" t="s">
        <v>273</v>
      </c>
      <c r="C692" t="s">
        <v>413</v>
      </c>
      <c r="D692">
        <v>38.14</v>
      </c>
      <c r="E692">
        <v>281.08999999999997</v>
      </c>
      <c r="F692" t="s">
        <v>335</v>
      </c>
      <c r="G692">
        <v>7.37</v>
      </c>
      <c r="H692">
        <v>337.31</v>
      </c>
      <c r="I692" t="s">
        <v>411</v>
      </c>
      <c r="J692" t="s">
        <v>414</v>
      </c>
      <c r="K692" t="s">
        <v>585</v>
      </c>
      <c r="L692" t="s">
        <v>178</v>
      </c>
      <c r="M692" t="s">
        <v>273</v>
      </c>
      <c r="N692" t="s">
        <v>11</v>
      </c>
      <c r="O692" t="s">
        <v>4</v>
      </c>
      <c r="P692">
        <v>0</v>
      </c>
      <c r="Q692">
        <v>0</v>
      </c>
      <c r="R692">
        <v>0</v>
      </c>
      <c r="S692">
        <v>1</v>
      </c>
      <c r="T692">
        <v>1</v>
      </c>
      <c r="U692">
        <v>1</v>
      </c>
      <c r="V692">
        <v>1</v>
      </c>
      <c r="W692">
        <v>1</v>
      </c>
      <c r="X692">
        <v>1</v>
      </c>
      <c r="Y692">
        <v>1</v>
      </c>
      <c r="Z692">
        <v>1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273</v>
      </c>
      <c r="AH692" t="s">
        <v>11</v>
      </c>
      <c r="AI692" t="s">
        <v>4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337.31</v>
      </c>
      <c r="AN692">
        <f>$H$692*$T$692</f>
        <v>337.31</v>
      </c>
      <c r="AO692">
        <f>$H$692*$U$692</f>
        <v>337.31</v>
      </c>
      <c r="AP692">
        <f>$H$692*$V$692</f>
        <v>337.31</v>
      </c>
      <c r="AQ692">
        <f>$H$692*$W$692</f>
        <v>337.31</v>
      </c>
      <c r="AR692">
        <f>$H$692*$X$692</f>
        <v>337.31</v>
      </c>
      <c r="AS692">
        <f>$H$692*$Y$692</f>
        <v>337.31</v>
      </c>
      <c r="AT692">
        <f>$H$692*$Z$692</f>
        <v>337.31</v>
      </c>
      <c r="AU692">
        <f>$H$692*$AA$692</f>
        <v>337.31</v>
      </c>
      <c r="AV692">
        <f>$H$692*$AB$692</f>
        <v>337.31</v>
      </c>
      <c r="AW692">
        <f>$H$692*$AC$692</f>
        <v>337.31</v>
      </c>
      <c r="AX692">
        <f>$H$692*$AD$692</f>
        <v>337.31</v>
      </c>
      <c r="AY692">
        <f>$H$692*$AE$692</f>
        <v>337.31</v>
      </c>
      <c r="AZ692">
        <f>$H$692*$AF$692</f>
        <v>337.31</v>
      </c>
    </row>
    <row r="693" spans="1:52" x14ac:dyDescent="0.25">
      <c r="A693">
        <v>744</v>
      </c>
      <c r="B693" t="s">
        <v>273</v>
      </c>
      <c r="C693" t="s">
        <v>415</v>
      </c>
      <c r="D693">
        <v>34.770000000000003</v>
      </c>
      <c r="E693">
        <v>189.84</v>
      </c>
      <c r="F693" t="s">
        <v>335</v>
      </c>
      <c r="G693">
        <v>5.46</v>
      </c>
      <c r="H693">
        <v>227.8</v>
      </c>
      <c r="I693" t="s">
        <v>416</v>
      </c>
      <c r="J693" t="s">
        <v>417</v>
      </c>
      <c r="K693" t="s">
        <v>586</v>
      </c>
      <c r="L693" t="s">
        <v>178</v>
      </c>
      <c r="M693" t="s">
        <v>273</v>
      </c>
      <c r="N693" t="s">
        <v>11</v>
      </c>
      <c r="O693" t="s">
        <v>4</v>
      </c>
      <c r="P693">
        <v>0</v>
      </c>
      <c r="Q693">
        <v>0</v>
      </c>
      <c r="R693">
        <v>0</v>
      </c>
      <c r="S693">
        <v>1</v>
      </c>
      <c r="T693">
        <v>1</v>
      </c>
      <c r="U693">
        <v>1</v>
      </c>
      <c r="V693">
        <v>1</v>
      </c>
      <c r="W693">
        <v>1</v>
      </c>
      <c r="X693">
        <v>1</v>
      </c>
      <c r="Y693">
        <v>1</v>
      </c>
      <c r="Z693">
        <v>1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273</v>
      </c>
      <c r="AH693" t="s">
        <v>11</v>
      </c>
      <c r="AI693" t="s">
        <v>4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227.8</v>
      </c>
      <c r="AN693">
        <f>$H$693*$T$693</f>
        <v>227.8</v>
      </c>
      <c r="AO693">
        <f>$H$693*$U$693</f>
        <v>227.8</v>
      </c>
      <c r="AP693">
        <f>$H$693*$V$693</f>
        <v>227.8</v>
      </c>
      <c r="AQ693">
        <f>$H$693*$W$693</f>
        <v>227.8</v>
      </c>
      <c r="AR693">
        <f>$H$693*$X$693</f>
        <v>227.8</v>
      </c>
      <c r="AS693">
        <f>$H$693*$Y$693</f>
        <v>227.8</v>
      </c>
      <c r="AT693">
        <f>$H$693*$Z$693</f>
        <v>227.8</v>
      </c>
      <c r="AU693">
        <f>$H$693*$AA$693</f>
        <v>227.8</v>
      </c>
      <c r="AV693">
        <f>$H$693*$AB$693</f>
        <v>227.8</v>
      </c>
      <c r="AW693">
        <f>$H$693*$AC$693</f>
        <v>227.8</v>
      </c>
      <c r="AX693">
        <f>$H$693*$AD$693</f>
        <v>227.8</v>
      </c>
      <c r="AY693">
        <f>$H$693*$AE$693</f>
        <v>227.8</v>
      </c>
      <c r="AZ693">
        <f>$H$693*$AF$693</f>
        <v>227.8</v>
      </c>
    </row>
    <row r="694" spans="1:52" x14ac:dyDescent="0.25">
      <c r="A694">
        <v>745</v>
      </c>
      <c r="B694" t="s">
        <v>273</v>
      </c>
      <c r="C694" t="s">
        <v>418</v>
      </c>
      <c r="D694">
        <v>34.770000000000003</v>
      </c>
      <c r="E694">
        <v>124.48</v>
      </c>
      <c r="F694" t="s">
        <v>335</v>
      </c>
      <c r="G694">
        <v>3.58</v>
      </c>
      <c r="H694">
        <v>149.38</v>
      </c>
      <c r="I694" t="s">
        <v>416</v>
      </c>
      <c r="J694" t="s">
        <v>419</v>
      </c>
      <c r="K694" t="s">
        <v>587</v>
      </c>
      <c r="L694" t="s">
        <v>178</v>
      </c>
      <c r="M694" t="s">
        <v>273</v>
      </c>
      <c r="N694" t="s">
        <v>11</v>
      </c>
      <c r="O694" t="s">
        <v>4</v>
      </c>
      <c r="P694">
        <v>0</v>
      </c>
      <c r="Q694">
        <v>0</v>
      </c>
      <c r="R694">
        <v>0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Y694">
        <v>1</v>
      </c>
      <c r="Z694">
        <v>1</v>
      </c>
      <c r="AA694">
        <v>1</v>
      </c>
      <c r="AB694">
        <v>1</v>
      </c>
      <c r="AC694">
        <v>1</v>
      </c>
      <c r="AD694">
        <v>1</v>
      </c>
      <c r="AE694">
        <v>1</v>
      </c>
      <c r="AF694">
        <v>1</v>
      </c>
      <c r="AG694" t="s">
        <v>273</v>
      </c>
      <c r="AH694" t="s">
        <v>11</v>
      </c>
      <c r="AI694" t="s">
        <v>4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149.38</v>
      </c>
      <c r="AN694">
        <f>$H$694*$T$694</f>
        <v>149.38</v>
      </c>
      <c r="AO694">
        <f>$H$694*$U$694</f>
        <v>149.38</v>
      </c>
      <c r="AP694">
        <f>$H$694*$V$694</f>
        <v>149.38</v>
      </c>
      <c r="AQ694">
        <f>$H$694*$W$694</f>
        <v>149.38</v>
      </c>
      <c r="AR694">
        <f>$H$694*$X$694</f>
        <v>149.38</v>
      </c>
      <c r="AS694">
        <f>$H$694*$Y$694</f>
        <v>149.38</v>
      </c>
      <c r="AT694">
        <f>$H$694*$Z$694</f>
        <v>149.38</v>
      </c>
      <c r="AU694">
        <f>$H$694*$AA$694</f>
        <v>149.38</v>
      </c>
      <c r="AV694">
        <f>$H$694*$AB$694</f>
        <v>149.38</v>
      </c>
      <c r="AW694">
        <f>$H$694*$AC$694</f>
        <v>149.38</v>
      </c>
      <c r="AX694">
        <f>$H$694*$AD$694</f>
        <v>149.38</v>
      </c>
      <c r="AY694">
        <f>$H$694*$AE$694</f>
        <v>149.38</v>
      </c>
      <c r="AZ694">
        <f>$H$694*$AF$694</f>
        <v>149.38</v>
      </c>
    </row>
    <row r="695" spans="1:52" x14ac:dyDescent="0.25">
      <c r="A695">
        <v>746</v>
      </c>
      <c r="B695" t="s">
        <v>273</v>
      </c>
      <c r="C695" t="s">
        <v>420</v>
      </c>
      <c r="D695">
        <v>34.770000000000003</v>
      </c>
      <c r="E695">
        <v>342.48</v>
      </c>
      <c r="F695" t="s">
        <v>335</v>
      </c>
      <c r="G695">
        <v>9.85</v>
      </c>
      <c r="H695">
        <v>410.98</v>
      </c>
      <c r="I695" t="s">
        <v>416</v>
      </c>
      <c r="J695" t="s">
        <v>414</v>
      </c>
      <c r="K695" t="s">
        <v>588</v>
      </c>
      <c r="L695" t="s">
        <v>178</v>
      </c>
      <c r="M695" t="s">
        <v>273</v>
      </c>
      <c r="N695" t="s">
        <v>11</v>
      </c>
      <c r="O695" t="s">
        <v>4</v>
      </c>
      <c r="P695">
        <v>0</v>
      </c>
      <c r="Q695">
        <v>0</v>
      </c>
      <c r="R695">
        <v>0</v>
      </c>
      <c r="S695">
        <v>1</v>
      </c>
      <c r="T695">
        <v>1</v>
      </c>
      <c r="U695">
        <v>1</v>
      </c>
      <c r="V695">
        <v>1</v>
      </c>
      <c r="W695">
        <v>1</v>
      </c>
      <c r="X695">
        <v>1</v>
      </c>
      <c r="Y695">
        <v>1</v>
      </c>
      <c r="Z695">
        <v>1</v>
      </c>
      <c r="AA695">
        <v>1</v>
      </c>
      <c r="AB695">
        <v>1</v>
      </c>
      <c r="AC695">
        <v>1</v>
      </c>
      <c r="AD695">
        <v>1</v>
      </c>
      <c r="AE695">
        <v>1</v>
      </c>
      <c r="AF695">
        <v>1</v>
      </c>
      <c r="AG695" t="s">
        <v>273</v>
      </c>
      <c r="AH695" t="s">
        <v>11</v>
      </c>
      <c r="AI695" t="s">
        <v>4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410.98</v>
      </c>
      <c r="AN695">
        <f>$H$695*$T$695</f>
        <v>410.98</v>
      </c>
      <c r="AO695">
        <f>$H$695*$U$695</f>
        <v>410.98</v>
      </c>
      <c r="AP695">
        <f>$H$695*$V$695</f>
        <v>410.98</v>
      </c>
      <c r="AQ695">
        <f>$H$695*$W$695</f>
        <v>410.98</v>
      </c>
      <c r="AR695">
        <f>$H$695*$X$695</f>
        <v>410.98</v>
      </c>
      <c r="AS695">
        <f>$H$695*$Y$695</f>
        <v>410.98</v>
      </c>
      <c r="AT695">
        <f>$H$695*$Z$695</f>
        <v>410.98</v>
      </c>
      <c r="AU695">
        <f>$H$695*$AA$695</f>
        <v>410.98</v>
      </c>
      <c r="AV695">
        <f>$H$695*$AB$695</f>
        <v>410.98</v>
      </c>
      <c r="AW695">
        <f>$H$695*$AC$695</f>
        <v>410.98</v>
      </c>
      <c r="AX695">
        <f>$H$695*$AD$695</f>
        <v>410.98</v>
      </c>
      <c r="AY695">
        <f>$H$695*$AE$695</f>
        <v>410.98</v>
      </c>
      <c r="AZ695">
        <f>$H$695*$AF$695</f>
        <v>410.98</v>
      </c>
    </row>
    <row r="696" spans="1:52" x14ac:dyDescent="0.25">
      <c r="A696">
        <v>747</v>
      </c>
      <c r="B696" t="s">
        <v>273</v>
      </c>
      <c r="C696" t="s">
        <v>421</v>
      </c>
      <c r="D696">
        <v>38.14</v>
      </c>
      <c r="E696">
        <v>37</v>
      </c>
      <c r="F696" t="s">
        <v>335</v>
      </c>
      <c r="G696">
        <v>0.97</v>
      </c>
      <c r="H696">
        <v>44.4</v>
      </c>
      <c r="I696" t="s">
        <v>360</v>
      </c>
      <c r="J696" t="s">
        <v>422</v>
      </c>
      <c r="K696" t="s">
        <v>589</v>
      </c>
      <c r="L696" t="s">
        <v>178</v>
      </c>
      <c r="M696" t="s">
        <v>273</v>
      </c>
      <c r="N696" t="s">
        <v>11</v>
      </c>
      <c r="O696" t="s">
        <v>4</v>
      </c>
      <c r="P696">
        <v>0</v>
      </c>
      <c r="Q696">
        <v>0</v>
      </c>
      <c r="R696">
        <v>0</v>
      </c>
      <c r="S696">
        <v>1</v>
      </c>
      <c r="T696">
        <v>1</v>
      </c>
      <c r="U696">
        <v>1</v>
      </c>
      <c r="V696">
        <v>1</v>
      </c>
      <c r="W696">
        <v>1</v>
      </c>
      <c r="X696">
        <v>1</v>
      </c>
      <c r="Y696">
        <v>1</v>
      </c>
      <c r="Z696">
        <v>1</v>
      </c>
      <c r="AA696">
        <v>1</v>
      </c>
      <c r="AB696">
        <v>1</v>
      </c>
      <c r="AC696">
        <v>1</v>
      </c>
      <c r="AD696">
        <v>1</v>
      </c>
      <c r="AE696">
        <v>1</v>
      </c>
      <c r="AF696">
        <v>1</v>
      </c>
      <c r="AG696" t="s">
        <v>273</v>
      </c>
      <c r="AH696" t="s">
        <v>11</v>
      </c>
      <c r="AI696" t="s">
        <v>4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44.4</v>
      </c>
      <c r="AN696">
        <f>$H$696*$T$696</f>
        <v>44.4</v>
      </c>
      <c r="AO696">
        <f>$H$696*$U$696</f>
        <v>44.4</v>
      </c>
      <c r="AP696">
        <f>$H$696*$V$696</f>
        <v>44.4</v>
      </c>
      <c r="AQ696">
        <f>$H$696*$W$696</f>
        <v>44.4</v>
      </c>
      <c r="AR696">
        <f>$H$696*$X$696</f>
        <v>44.4</v>
      </c>
      <c r="AS696">
        <f>$H$696*$Y$696</f>
        <v>44.4</v>
      </c>
      <c r="AT696">
        <f>$H$696*$Z$696</f>
        <v>44.4</v>
      </c>
      <c r="AU696">
        <f>$H$696*$AA$696</f>
        <v>44.4</v>
      </c>
      <c r="AV696">
        <f>$H$696*$AB$696</f>
        <v>44.4</v>
      </c>
      <c r="AW696">
        <f>$H$696*$AC$696</f>
        <v>44.4</v>
      </c>
      <c r="AX696">
        <f>$H$696*$AD$696</f>
        <v>44.4</v>
      </c>
      <c r="AY696">
        <f>$H$696*$AE$696</f>
        <v>44.4</v>
      </c>
      <c r="AZ696">
        <f>$H$696*$AF$696</f>
        <v>44.4</v>
      </c>
    </row>
    <row r="697" spans="1:52" x14ac:dyDescent="0.25">
      <c r="A697">
        <v>748</v>
      </c>
      <c r="B697" t="s">
        <v>273</v>
      </c>
      <c r="C697" t="s">
        <v>423</v>
      </c>
      <c r="D697">
        <v>38.14</v>
      </c>
      <c r="E697">
        <v>292.14999999999998</v>
      </c>
      <c r="F697" t="s">
        <v>335</v>
      </c>
      <c r="G697">
        <v>7.66</v>
      </c>
      <c r="H697">
        <v>350.59</v>
      </c>
      <c r="I697" t="s">
        <v>360</v>
      </c>
      <c r="J697" t="s">
        <v>414</v>
      </c>
      <c r="K697" t="s">
        <v>590</v>
      </c>
      <c r="L697" t="s">
        <v>178</v>
      </c>
      <c r="M697" t="s">
        <v>273</v>
      </c>
      <c r="N697" t="s">
        <v>11</v>
      </c>
      <c r="O697" t="s">
        <v>4</v>
      </c>
      <c r="P697">
        <v>0</v>
      </c>
      <c r="Q697">
        <v>0</v>
      </c>
      <c r="R697">
        <v>0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Y697">
        <v>1</v>
      </c>
      <c r="Z697">
        <v>1</v>
      </c>
      <c r="AA697">
        <v>1</v>
      </c>
      <c r="AB697">
        <v>1</v>
      </c>
      <c r="AC697">
        <v>1</v>
      </c>
      <c r="AD697">
        <v>1</v>
      </c>
      <c r="AE697">
        <v>1</v>
      </c>
      <c r="AF697">
        <v>1</v>
      </c>
      <c r="AG697" t="s">
        <v>273</v>
      </c>
      <c r="AH697" t="s">
        <v>11</v>
      </c>
      <c r="AI697" t="s">
        <v>4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350.59</v>
      </c>
      <c r="AN697">
        <f>$H$697*$T$697</f>
        <v>350.59</v>
      </c>
      <c r="AO697">
        <f>$H$697*$U$697</f>
        <v>350.59</v>
      </c>
      <c r="AP697">
        <f>$H$697*$V$697</f>
        <v>350.59</v>
      </c>
      <c r="AQ697">
        <f>$H$697*$W$697</f>
        <v>350.59</v>
      </c>
      <c r="AR697">
        <f>$H$697*$X$697</f>
        <v>350.59</v>
      </c>
      <c r="AS697">
        <f>$H$697*$Y$697</f>
        <v>350.59</v>
      </c>
      <c r="AT697">
        <f>$H$697*$Z$697</f>
        <v>350.59</v>
      </c>
      <c r="AU697">
        <f>$H$697*$AA$697</f>
        <v>350.59</v>
      </c>
      <c r="AV697">
        <f>$H$697*$AB$697</f>
        <v>350.59</v>
      </c>
      <c r="AW697">
        <f>$H$697*$AC$697</f>
        <v>350.59</v>
      </c>
      <c r="AX697">
        <f>$H$697*$AD$697</f>
        <v>350.59</v>
      </c>
      <c r="AY697">
        <f>$H$697*$AE$697</f>
        <v>350.59</v>
      </c>
      <c r="AZ697">
        <f>$H$697*$AF$697</f>
        <v>350.59</v>
      </c>
    </row>
    <row r="698" spans="1:52" x14ac:dyDescent="0.25">
      <c r="A698">
        <v>749</v>
      </c>
      <c r="B698" t="s">
        <v>269</v>
      </c>
      <c r="C698" t="s">
        <v>318</v>
      </c>
      <c r="D698">
        <v>1</v>
      </c>
      <c r="E698">
        <v>60.4</v>
      </c>
      <c r="F698" t="s">
        <v>317</v>
      </c>
      <c r="G698">
        <v>60.4</v>
      </c>
      <c r="H698">
        <v>72.48</v>
      </c>
      <c r="I698" t="s">
        <v>319</v>
      </c>
      <c r="J698" t="s">
        <v>320</v>
      </c>
      <c r="K698" t="s">
        <v>540</v>
      </c>
      <c r="L698" t="s">
        <v>178</v>
      </c>
      <c r="M698" t="s">
        <v>269</v>
      </c>
      <c r="N698" t="s">
        <v>51</v>
      </c>
      <c r="O698" t="s">
        <v>4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1</v>
      </c>
      <c r="AE698">
        <v>1</v>
      </c>
      <c r="AF698">
        <v>1</v>
      </c>
      <c r="AG698" t="s">
        <v>269</v>
      </c>
      <c r="AH698" t="s">
        <v>51</v>
      </c>
      <c r="AI698" t="s">
        <v>4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0</v>
      </c>
      <c r="AN698">
        <f>$H$698*$T$698</f>
        <v>0</v>
      </c>
      <c r="AO698">
        <f>$H$698*$U$698</f>
        <v>0</v>
      </c>
      <c r="AP698">
        <f>$H$698*$V$698</f>
        <v>0</v>
      </c>
      <c r="AQ698">
        <f>$H$698*$W$698</f>
        <v>0</v>
      </c>
      <c r="AR698">
        <f>$H$698*$X$698</f>
        <v>0</v>
      </c>
      <c r="AS698">
        <f>$H$698*$Y$698</f>
        <v>0</v>
      </c>
      <c r="AT698">
        <f>$H$698*$Z$698</f>
        <v>0</v>
      </c>
      <c r="AU698">
        <f>$H$698*$AA$698</f>
        <v>0</v>
      </c>
      <c r="AV698">
        <f>$H$698*$AB$698</f>
        <v>0</v>
      </c>
      <c r="AW698">
        <f>$H$698*$AC$698</f>
        <v>0</v>
      </c>
      <c r="AX698">
        <f>$H$698*$AD$698</f>
        <v>72.48</v>
      </c>
      <c r="AY698">
        <f>$H$698*$AE$698</f>
        <v>72.48</v>
      </c>
      <c r="AZ698">
        <f>$H$698*$AF$698</f>
        <v>72.48</v>
      </c>
    </row>
    <row r="699" spans="1:52" x14ac:dyDescent="0.25">
      <c r="A699">
        <v>750</v>
      </c>
      <c r="B699" t="s">
        <v>269</v>
      </c>
      <c r="C699" t="s">
        <v>341</v>
      </c>
      <c r="D699">
        <v>5</v>
      </c>
      <c r="E699">
        <v>22.2</v>
      </c>
      <c r="F699" t="s">
        <v>311</v>
      </c>
      <c r="G699">
        <v>4.4400000000000004</v>
      </c>
      <c r="H699">
        <v>26.64</v>
      </c>
      <c r="I699" t="s">
        <v>312</v>
      </c>
      <c r="J699" t="s">
        <v>342</v>
      </c>
      <c r="K699" t="s">
        <v>550</v>
      </c>
      <c r="L699" t="s">
        <v>178</v>
      </c>
      <c r="M699" t="s">
        <v>269</v>
      </c>
      <c r="N699" t="s">
        <v>51</v>
      </c>
      <c r="O699" t="s">
        <v>4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269</v>
      </c>
      <c r="AH699" t="s">
        <v>51</v>
      </c>
      <c r="AI699" t="s">
        <v>4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0</v>
      </c>
      <c r="AN699">
        <f>$H$699*$T$699</f>
        <v>0</v>
      </c>
      <c r="AO699">
        <f>$H$699*$U$699</f>
        <v>0</v>
      </c>
      <c r="AP699">
        <f>$H$699*$V$699</f>
        <v>0</v>
      </c>
      <c r="AQ699">
        <f>$H$699*$W$699</f>
        <v>0</v>
      </c>
      <c r="AR699">
        <f>$H$699*$X$699</f>
        <v>0</v>
      </c>
      <c r="AS699">
        <f>$H$699*$Y$699</f>
        <v>0</v>
      </c>
      <c r="AT699">
        <f>$H$699*$Z$699</f>
        <v>0</v>
      </c>
      <c r="AU699">
        <f>$H$699*$AA$699</f>
        <v>26.64</v>
      </c>
      <c r="AV699">
        <f>$H$699*$AB$699</f>
        <v>26.64</v>
      </c>
      <c r="AW699">
        <f>$H$699*$AC$699</f>
        <v>26.64</v>
      </c>
      <c r="AX699">
        <f>$H$699*$AD$699</f>
        <v>26.64</v>
      </c>
      <c r="AY699">
        <f>$H$699*$AE$699</f>
        <v>26.64</v>
      </c>
      <c r="AZ699">
        <f>$H$699*$AF$699</f>
        <v>26.64</v>
      </c>
    </row>
    <row r="700" spans="1:52" x14ac:dyDescent="0.25">
      <c r="A700">
        <v>751</v>
      </c>
      <c r="B700" t="s">
        <v>269</v>
      </c>
      <c r="C700" t="s">
        <v>343</v>
      </c>
      <c r="D700">
        <v>5</v>
      </c>
      <c r="E700">
        <v>57.75</v>
      </c>
      <c r="F700" t="s">
        <v>311</v>
      </c>
      <c r="G700">
        <v>11.55</v>
      </c>
      <c r="H700">
        <v>69.31</v>
      </c>
      <c r="I700" t="s">
        <v>315</v>
      </c>
      <c r="J700" t="s">
        <v>344</v>
      </c>
      <c r="K700" t="s">
        <v>551</v>
      </c>
      <c r="L700" t="s">
        <v>178</v>
      </c>
      <c r="M700" t="s">
        <v>269</v>
      </c>
      <c r="N700" t="s">
        <v>51</v>
      </c>
      <c r="O700" t="s">
        <v>4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1</v>
      </c>
      <c r="AB700">
        <v>1</v>
      </c>
      <c r="AC700">
        <v>1</v>
      </c>
      <c r="AD700">
        <v>1</v>
      </c>
      <c r="AE700">
        <v>1</v>
      </c>
      <c r="AF700">
        <v>1</v>
      </c>
      <c r="AG700" t="s">
        <v>269</v>
      </c>
      <c r="AH700" t="s">
        <v>51</v>
      </c>
      <c r="AI700" t="s">
        <v>4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0</v>
      </c>
      <c r="AN700">
        <f>$H$700*$T$700</f>
        <v>0</v>
      </c>
      <c r="AO700">
        <f>$H$700*$U$700</f>
        <v>0</v>
      </c>
      <c r="AP700">
        <f>$H$700*$V$700</f>
        <v>0</v>
      </c>
      <c r="AQ700">
        <f>$H$700*$W$700</f>
        <v>0</v>
      </c>
      <c r="AR700">
        <f>$H$700*$X$700</f>
        <v>0</v>
      </c>
      <c r="AS700">
        <f>$H$700*$Y$700</f>
        <v>0</v>
      </c>
      <c r="AT700">
        <f>$H$700*$Z$700</f>
        <v>0</v>
      </c>
      <c r="AU700">
        <f>$H$700*$AA$700</f>
        <v>69.31</v>
      </c>
      <c r="AV700">
        <f>$H$700*$AB$700</f>
        <v>69.31</v>
      </c>
      <c r="AW700">
        <f>$H$700*$AC$700</f>
        <v>69.31</v>
      </c>
      <c r="AX700">
        <f>$H$700*$AD$700</f>
        <v>69.31</v>
      </c>
      <c r="AY700">
        <f>$H$700*$AE$700</f>
        <v>69.31</v>
      </c>
      <c r="AZ700">
        <f>$H$700*$AF$700</f>
        <v>69.31</v>
      </c>
    </row>
    <row r="701" spans="1:52" x14ac:dyDescent="0.25">
      <c r="A701">
        <v>752</v>
      </c>
      <c r="B701" t="s">
        <v>269</v>
      </c>
      <c r="C701" t="s">
        <v>395</v>
      </c>
      <c r="D701">
        <v>5</v>
      </c>
      <c r="E701">
        <v>23.75</v>
      </c>
      <c r="F701" t="s">
        <v>311</v>
      </c>
      <c r="G701">
        <v>4.75</v>
      </c>
      <c r="H701">
        <v>28.51</v>
      </c>
      <c r="I701" t="s">
        <v>315</v>
      </c>
      <c r="J701" t="s">
        <v>396</v>
      </c>
      <c r="K701" t="s">
        <v>576</v>
      </c>
      <c r="L701" t="s">
        <v>178</v>
      </c>
      <c r="M701" t="s">
        <v>269</v>
      </c>
      <c r="N701" t="s">
        <v>51</v>
      </c>
      <c r="O701" t="s">
        <v>4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1</v>
      </c>
      <c r="AE701">
        <v>1</v>
      </c>
      <c r="AF701">
        <v>1</v>
      </c>
      <c r="AG701" t="s">
        <v>269</v>
      </c>
      <c r="AH701" t="s">
        <v>51</v>
      </c>
      <c r="AI701" t="s">
        <v>4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0</v>
      </c>
      <c r="AN701">
        <f>$H$701*$T$701</f>
        <v>0</v>
      </c>
      <c r="AO701">
        <f>$H$701*$U$701</f>
        <v>0</v>
      </c>
      <c r="AP701">
        <f>$H$701*$V$701</f>
        <v>0</v>
      </c>
      <c r="AQ701">
        <f>$H$701*$W$701</f>
        <v>0</v>
      </c>
      <c r="AR701">
        <f>$H$701*$X$701</f>
        <v>0</v>
      </c>
      <c r="AS701">
        <f>$H$701*$Y$701</f>
        <v>0</v>
      </c>
      <c r="AT701">
        <f>$H$701*$Z$701</f>
        <v>0</v>
      </c>
      <c r="AU701">
        <f>$H$701*$AA$701</f>
        <v>0</v>
      </c>
      <c r="AV701">
        <f>$H$701*$AB$701</f>
        <v>0</v>
      </c>
      <c r="AW701">
        <f>$H$701*$AC$701</f>
        <v>28.51</v>
      </c>
      <c r="AX701">
        <f>$H$701*$AD$701</f>
        <v>28.51</v>
      </c>
      <c r="AY701">
        <f>$H$701*$AE$701</f>
        <v>28.51</v>
      </c>
      <c r="AZ701">
        <f>$H$701*$AF$701</f>
        <v>28.51</v>
      </c>
    </row>
    <row r="702" spans="1:52" x14ac:dyDescent="0.25">
      <c r="A702">
        <v>753</v>
      </c>
      <c r="B702" t="s">
        <v>269</v>
      </c>
      <c r="C702" t="s">
        <v>397</v>
      </c>
      <c r="D702">
        <v>6</v>
      </c>
      <c r="E702">
        <v>79.62</v>
      </c>
      <c r="F702" t="s">
        <v>317</v>
      </c>
      <c r="G702">
        <v>13.27</v>
      </c>
      <c r="H702">
        <v>95.54</v>
      </c>
      <c r="I702" t="s">
        <v>319</v>
      </c>
      <c r="J702" t="s">
        <v>398</v>
      </c>
      <c r="K702" t="s">
        <v>577</v>
      </c>
      <c r="L702" t="s">
        <v>178</v>
      </c>
      <c r="M702" t="s">
        <v>269</v>
      </c>
      <c r="N702" t="s">
        <v>51</v>
      </c>
      <c r="O702" t="s">
        <v>4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1</v>
      </c>
      <c r="Y702">
        <v>1</v>
      </c>
      <c r="Z702">
        <v>1</v>
      </c>
      <c r="AA702">
        <v>1</v>
      </c>
      <c r="AB702">
        <v>1</v>
      </c>
      <c r="AC702">
        <v>1</v>
      </c>
      <c r="AD702">
        <v>1</v>
      </c>
      <c r="AE702">
        <v>1</v>
      </c>
      <c r="AF702">
        <v>1</v>
      </c>
      <c r="AG702" t="s">
        <v>269</v>
      </c>
      <c r="AH702" t="s">
        <v>51</v>
      </c>
      <c r="AI702" t="s">
        <v>4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0</v>
      </c>
      <c r="AN702">
        <f>$H$702*$T$702</f>
        <v>0</v>
      </c>
      <c r="AO702">
        <f>$H$702*$U$702</f>
        <v>0</v>
      </c>
      <c r="AP702">
        <f>$H$702*$V$702</f>
        <v>0</v>
      </c>
      <c r="AQ702">
        <f>$H$702*$W$702</f>
        <v>0</v>
      </c>
      <c r="AR702">
        <f>$H$702*$X$702</f>
        <v>95.54</v>
      </c>
      <c r="AS702">
        <f>$H$702*$Y$702</f>
        <v>95.54</v>
      </c>
      <c r="AT702">
        <f>$H$702*$Z$702</f>
        <v>95.54</v>
      </c>
      <c r="AU702">
        <f>$H$702*$AA$702</f>
        <v>95.54</v>
      </c>
      <c r="AV702">
        <f>$H$702*$AB$702</f>
        <v>95.54</v>
      </c>
      <c r="AW702">
        <f>$H$702*$AC$702</f>
        <v>95.54</v>
      </c>
      <c r="AX702">
        <f>$H$702*$AD$702</f>
        <v>95.54</v>
      </c>
      <c r="AY702">
        <f>$H$702*$AE$702</f>
        <v>95.54</v>
      </c>
      <c r="AZ702">
        <f>$H$702*$AF$702</f>
        <v>95.54</v>
      </c>
    </row>
    <row r="703" spans="1:52" x14ac:dyDescent="0.25">
      <c r="A703">
        <v>754</v>
      </c>
      <c r="B703" t="s">
        <v>269</v>
      </c>
      <c r="C703" t="s">
        <v>399</v>
      </c>
      <c r="D703">
        <v>1</v>
      </c>
      <c r="E703">
        <v>63.51</v>
      </c>
      <c r="F703" t="s">
        <v>317</v>
      </c>
      <c r="G703">
        <v>63.51</v>
      </c>
      <c r="H703">
        <v>76.209999999999994</v>
      </c>
      <c r="I703" t="s">
        <v>322</v>
      </c>
      <c r="J703" t="s">
        <v>355</v>
      </c>
      <c r="K703" t="s">
        <v>578</v>
      </c>
      <c r="L703" t="s">
        <v>178</v>
      </c>
      <c r="M703" t="s">
        <v>269</v>
      </c>
      <c r="N703" t="s">
        <v>51</v>
      </c>
      <c r="O703" t="s">
        <v>4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1</v>
      </c>
      <c r="AE703">
        <v>1</v>
      </c>
      <c r="AF703">
        <v>1</v>
      </c>
      <c r="AG703" t="s">
        <v>269</v>
      </c>
      <c r="AH703" t="s">
        <v>51</v>
      </c>
      <c r="AI703" t="s">
        <v>4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0</v>
      </c>
      <c r="AN703">
        <f>$H$703*$T$703</f>
        <v>0</v>
      </c>
      <c r="AO703">
        <f>$H$703*$U$703</f>
        <v>0</v>
      </c>
      <c r="AP703">
        <f>$H$703*$V$703</f>
        <v>0</v>
      </c>
      <c r="AQ703">
        <f>$H$703*$W$703</f>
        <v>0</v>
      </c>
      <c r="AR703">
        <f>$H$703*$X$703</f>
        <v>0</v>
      </c>
      <c r="AS703">
        <f>$H$703*$Y$703</f>
        <v>0</v>
      </c>
      <c r="AT703">
        <f>$H$703*$Z$703</f>
        <v>0</v>
      </c>
      <c r="AU703">
        <f>$H$703*$AA$703</f>
        <v>0</v>
      </c>
      <c r="AV703">
        <f>$H$703*$AB$703</f>
        <v>0</v>
      </c>
      <c r="AW703">
        <f>$H$703*$AC$703</f>
        <v>0</v>
      </c>
      <c r="AX703">
        <f>$H$703*$AD$703</f>
        <v>76.209999999999994</v>
      </c>
      <c r="AY703">
        <f>$H$703*$AE$703</f>
        <v>76.209999999999994</v>
      </c>
      <c r="AZ703">
        <f>$H$703*$AF$703</f>
        <v>76.209999999999994</v>
      </c>
    </row>
    <row r="704" spans="1:52" x14ac:dyDescent="0.25">
      <c r="A704">
        <v>755</v>
      </c>
      <c r="B704" t="s">
        <v>269</v>
      </c>
      <c r="C704" t="s">
        <v>350</v>
      </c>
      <c r="D704">
        <v>1</v>
      </c>
      <c r="E704">
        <v>47.96</v>
      </c>
      <c r="F704" t="s">
        <v>317</v>
      </c>
      <c r="G704">
        <v>47.96</v>
      </c>
      <c r="H704">
        <v>57.56</v>
      </c>
      <c r="I704" t="s">
        <v>351</v>
      </c>
      <c r="J704" t="s">
        <v>352</v>
      </c>
      <c r="K704" t="s">
        <v>554</v>
      </c>
      <c r="L704" t="s">
        <v>178</v>
      </c>
      <c r="M704" t="s">
        <v>269</v>
      </c>
      <c r="N704" t="s">
        <v>51</v>
      </c>
      <c r="O704" t="s">
        <v>4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269</v>
      </c>
      <c r="AH704" t="s">
        <v>51</v>
      </c>
      <c r="AI704" t="s">
        <v>4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0</v>
      </c>
      <c r="AN704">
        <f>$H$704*$T$704</f>
        <v>0</v>
      </c>
      <c r="AO704">
        <f>$H$704*$U$704</f>
        <v>0</v>
      </c>
      <c r="AP704">
        <f>$H$704*$V$704</f>
        <v>0</v>
      </c>
      <c r="AQ704">
        <f>$H$704*$W$704</f>
        <v>0</v>
      </c>
      <c r="AR704">
        <f>$H$704*$X$704</f>
        <v>0</v>
      </c>
      <c r="AS704">
        <f>$H$704*$Y$704</f>
        <v>0</v>
      </c>
      <c r="AT704">
        <f>$H$704*$Z$704</f>
        <v>0</v>
      </c>
      <c r="AU704">
        <f>$H$704*$AA$704</f>
        <v>57.56</v>
      </c>
      <c r="AV704">
        <f>$H$704*$AB$704</f>
        <v>57.56</v>
      </c>
      <c r="AW704">
        <f>$H$704*$AC$704</f>
        <v>57.56</v>
      </c>
      <c r="AX704">
        <f>$H$704*$AD$704</f>
        <v>57.56</v>
      </c>
      <c r="AY704">
        <f>$H$704*$AE$704</f>
        <v>57.56</v>
      </c>
      <c r="AZ704">
        <f>$H$704*$AF$704</f>
        <v>57.56</v>
      </c>
    </row>
    <row r="705" spans="1:52" x14ac:dyDescent="0.25">
      <c r="A705">
        <v>756</v>
      </c>
      <c r="B705" t="s">
        <v>269</v>
      </c>
      <c r="C705" t="s">
        <v>485</v>
      </c>
      <c r="D705">
        <v>2</v>
      </c>
      <c r="E705">
        <v>110.04</v>
      </c>
      <c r="F705" t="s">
        <v>317</v>
      </c>
      <c r="G705">
        <v>55.02</v>
      </c>
      <c r="H705">
        <v>132.04</v>
      </c>
      <c r="I705" t="s">
        <v>312</v>
      </c>
      <c r="J705" t="s">
        <v>486</v>
      </c>
      <c r="K705" t="s">
        <v>622</v>
      </c>
      <c r="L705" t="s">
        <v>178</v>
      </c>
      <c r="M705" t="s">
        <v>269</v>
      </c>
      <c r="N705" t="s">
        <v>51</v>
      </c>
      <c r="O705" t="s">
        <v>4</v>
      </c>
      <c r="P705">
        <v>0</v>
      </c>
      <c r="Q705">
        <v>0</v>
      </c>
      <c r="R705">
        <v>0</v>
      </c>
      <c r="S705">
        <v>1</v>
      </c>
      <c r="T705">
        <v>1</v>
      </c>
      <c r="U705">
        <v>1</v>
      </c>
      <c r="V705">
        <v>1</v>
      </c>
      <c r="W705">
        <v>1</v>
      </c>
      <c r="X705">
        <v>1</v>
      </c>
      <c r="Y705">
        <v>1</v>
      </c>
      <c r="Z705">
        <v>1</v>
      </c>
      <c r="AA705">
        <v>1</v>
      </c>
      <c r="AB705">
        <v>1</v>
      </c>
      <c r="AC705">
        <v>1</v>
      </c>
      <c r="AD705">
        <v>1</v>
      </c>
      <c r="AE705">
        <v>1</v>
      </c>
      <c r="AF705">
        <v>1</v>
      </c>
      <c r="AG705" t="s">
        <v>269</v>
      </c>
      <c r="AH705" t="s">
        <v>51</v>
      </c>
      <c r="AI705" t="s">
        <v>4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132.04</v>
      </c>
      <c r="AN705">
        <f>$H$705*$T$705</f>
        <v>132.04</v>
      </c>
      <c r="AO705">
        <f>$H$705*$U$705</f>
        <v>132.04</v>
      </c>
      <c r="AP705">
        <f>$H$705*$V$705</f>
        <v>132.04</v>
      </c>
      <c r="AQ705">
        <f>$H$705*$W$705</f>
        <v>132.04</v>
      </c>
      <c r="AR705">
        <f>$H$705*$X$705</f>
        <v>132.04</v>
      </c>
      <c r="AS705">
        <f>$H$705*$Y$705</f>
        <v>132.04</v>
      </c>
      <c r="AT705">
        <f>$H$705*$Z$705</f>
        <v>132.04</v>
      </c>
      <c r="AU705">
        <f>$H$705*$AA$705</f>
        <v>132.04</v>
      </c>
      <c r="AV705">
        <f>$H$705*$AB$705</f>
        <v>132.04</v>
      </c>
      <c r="AW705">
        <f>$H$705*$AC$705</f>
        <v>132.04</v>
      </c>
      <c r="AX705">
        <f>$H$705*$AD$705</f>
        <v>132.04</v>
      </c>
      <c r="AY705">
        <f>$H$705*$AE$705</f>
        <v>132.04</v>
      </c>
      <c r="AZ705">
        <f>$H$705*$AF$705</f>
        <v>132.04</v>
      </c>
    </row>
    <row r="706" spans="1:52" x14ac:dyDescent="0.25">
      <c r="A706">
        <v>757</v>
      </c>
      <c r="B706" t="s">
        <v>269</v>
      </c>
      <c r="C706" t="s">
        <v>487</v>
      </c>
      <c r="D706">
        <v>1</v>
      </c>
      <c r="E706">
        <v>415.62</v>
      </c>
      <c r="F706" t="s">
        <v>317</v>
      </c>
      <c r="G706">
        <v>415.62</v>
      </c>
      <c r="H706">
        <v>498.74</v>
      </c>
      <c r="I706" t="s">
        <v>354</v>
      </c>
      <c r="J706" t="s">
        <v>486</v>
      </c>
      <c r="K706" t="s">
        <v>623</v>
      </c>
      <c r="L706" t="s">
        <v>178</v>
      </c>
      <c r="M706" t="s">
        <v>269</v>
      </c>
      <c r="N706" t="s">
        <v>51</v>
      </c>
      <c r="O706" t="s">
        <v>4</v>
      </c>
      <c r="P706">
        <v>0</v>
      </c>
      <c r="Q706">
        <v>0</v>
      </c>
      <c r="R706">
        <v>0</v>
      </c>
      <c r="S706">
        <v>0</v>
      </c>
      <c r="T706">
        <v>1</v>
      </c>
      <c r="U706">
        <v>1</v>
      </c>
      <c r="V706">
        <v>1</v>
      </c>
      <c r="W706">
        <v>1</v>
      </c>
      <c r="X706">
        <v>1</v>
      </c>
      <c r="Y706">
        <v>1</v>
      </c>
      <c r="Z706">
        <v>1</v>
      </c>
      <c r="AA706">
        <v>1</v>
      </c>
      <c r="AB706">
        <v>1</v>
      </c>
      <c r="AC706">
        <v>1</v>
      </c>
      <c r="AD706">
        <v>1</v>
      </c>
      <c r="AE706">
        <v>1</v>
      </c>
      <c r="AF706">
        <v>1</v>
      </c>
      <c r="AG706" t="s">
        <v>269</v>
      </c>
      <c r="AH706" t="s">
        <v>51</v>
      </c>
      <c r="AI706" t="s">
        <v>4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0</v>
      </c>
      <c r="AN706">
        <f>$H$706*$T$706</f>
        <v>498.74</v>
      </c>
      <c r="AO706">
        <f>$H$706*$U$706</f>
        <v>498.74</v>
      </c>
      <c r="AP706">
        <f>$H$706*$V$706</f>
        <v>498.74</v>
      </c>
      <c r="AQ706">
        <f>$H$706*$W$706</f>
        <v>498.74</v>
      </c>
      <c r="AR706">
        <f>$H$706*$X$706</f>
        <v>498.74</v>
      </c>
      <c r="AS706">
        <f>$H$706*$Y$706</f>
        <v>498.74</v>
      </c>
      <c r="AT706">
        <f>$H$706*$Z$706</f>
        <v>498.74</v>
      </c>
      <c r="AU706">
        <f>$H$706*$AA$706</f>
        <v>498.74</v>
      </c>
      <c r="AV706">
        <f>$H$706*$AB$706</f>
        <v>498.74</v>
      </c>
      <c r="AW706">
        <f>$H$706*$AC$706</f>
        <v>498.74</v>
      </c>
      <c r="AX706">
        <f>$H$706*$AD$706</f>
        <v>498.74</v>
      </c>
      <c r="AY706">
        <f>$H$706*$AE$706</f>
        <v>498.74</v>
      </c>
      <c r="AZ706">
        <f>$H$706*$AF$706</f>
        <v>498.74</v>
      </c>
    </row>
    <row r="707" spans="1:52" x14ac:dyDescent="0.25">
      <c r="A707">
        <v>758</v>
      </c>
      <c r="B707" t="s">
        <v>269</v>
      </c>
      <c r="C707" t="s">
        <v>358</v>
      </c>
      <c r="D707">
        <v>2</v>
      </c>
      <c r="E707">
        <v>77.86</v>
      </c>
      <c r="F707" t="s">
        <v>317</v>
      </c>
      <c r="G707">
        <v>38.93</v>
      </c>
      <c r="H707">
        <v>93.44</v>
      </c>
      <c r="I707" t="s">
        <v>312</v>
      </c>
      <c r="J707" t="s">
        <v>354</v>
      </c>
      <c r="K707" t="s">
        <v>557</v>
      </c>
      <c r="L707" t="s">
        <v>178</v>
      </c>
      <c r="M707" t="s">
        <v>269</v>
      </c>
      <c r="N707" t="s">
        <v>51</v>
      </c>
      <c r="O707" t="s">
        <v>4</v>
      </c>
      <c r="P707">
        <v>0</v>
      </c>
      <c r="Q707">
        <v>0</v>
      </c>
      <c r="R707">
        <v>0</v>
      </c>
      <c r="S707">
        <v>1</v>
      </c>
      <c r="T707">
        <v>1</v>
      </c>
      <c r="U707">
        <v>1</v>
      </c>
      <c r="V707">
        <v>1</v>
      </c>
      <c r="W707">
        <v>1</v>
      </c>
      <c r="X707">
        <v>1</v>
      </c>
      <c r="Y707">
        <v>1</v>
      </c>
      <c r="Z707">
        <v>1</v>
      </c>
      <c r="AA707">
        <v>1</v>
      </c>
      <c r="AB707">
        <v>1</v>
      </c>
      <c r="AC707">
        <v>1</v>
      </c>
      <c r="AD707">
        <v>1</v>
      </c>
      <c r="AE707">
        <v>1</v>
      </c>
      <c r="AF707">
        <v>1</v>
      </c>
      <c r="AG707" t="s">
        <v>269</v>
      </c>
      <c r="AH707" t="s">
        <v>51</v>
      </c>
      <c r="AI707" t="s">
        <v>4</v>
      </c>
      <c r="AJ707">
        <f>$H$707*$P$707</f>
        <v>0</v>
      </c>
      <c r="AK707">
        <f>$H$707*$Q$707</f>
        <v>0</v>
      </c>
      <c r="AL707">
        <f>$H$707*$R$707</f>
        <v>0</v>
      </c>
      <c r="AM707">
        <f>$H$707*$S$707</f>
        <v>93.44</v>
      </c>
      <c r="AN707">
        <f>$H$707*$T$707</f>
        <v>93.44</v>
      </c>
      <c r="AO707">
        <f>$H$707*$U$707</f>
        <v>93.44</v>
      </c>
      <c r="AP707">
        <f>$H$707*$V$707</f>
        <v>93.44</v>
      </c>
      <c r="AQ707">
        <f>$H$707*$W$707</f>
        <v>93.44</v>
      </c>
      <c r="AR707">
        <f>$H$707*$X$707</f>
        <v>93.44</v>
      </c>
      <c r="AS707">
        <f>$H$707*$Y$707</f>
        <v>93.44</v>
      </c>
      <c r="AT707">
        <f>$H$707*$Z$707</f>
        <v>93.44</v>
      </c>
      <c r="AU707">
        <f>$H$707*$AA$707</f>
        <v>93.44</v>
      </c>
      <c r="AV707">
        <f>$H$707*$AB$707</f>
        <v>93.44</v>
      </c>
      <c r="AW707">
        <f>$H$707*$AC$707</f>
        <v>93.44</v>
      </c>
      <c r="AX707">
        <f>$H$707*$AD$707</f>
        <v>93.44</v>
      </c>
      <c r="AY707">
        <f>$H$707*$AE$707</f>
        <v>93.44</v>
      </c>
      <c r="AZ707">
        <f>$H$707*$AF$707</f>
        <v>93.44</v>
      </c>
    </row>
    <row r="708" spans="1:52" x14ac:dyDescent="0.25">
      <c r="A708">
        <v>759</v>
      </c>
      <c r="B708" t="s">
        <v>269</v>
      </c>
      <c r="C708" t="s">
        <v>356</v>
      </c>
      <c r="D708">
        <v>2</v>
      </c>
      <c r="E708">
        <v>62.72</v>
      </c>
      <c r="F708" t="s">
        <v>317</v>
      </c>
      <c r="G708">
        <v>31.36</v>
      </c>
      <c r="H708">
        <v>75.260000000000005</v>
      </c>
      <c r="I708" t="s">
        <v>312</v>
      </c>
      <c r="J708" t="s">
        <v>357</v>
      </c>
      <c r="K708" t="s">
        <v>556</v>
      </c>
      <c r="L708" t="s">
        <v>178</v>
      </c>
      <c r="M708" t="s">
        <v>269</v>
      </c>
      <c r="N708" t="s">
        <v>51</v>
      </c>
      <c r="O708" t="s">
        <v>4</v>
      </c>
      <c r="P708">
        <v>0</v>
      </c>
      <c r="Q708">
        <v>0</v>
      </c>
      <c r="R708">
        <v>0</v>
      </c>
      <c r="S708">
        <v>1</v>
      </c>
      <c r="T708">
        <v>1</v>
      </c>
      <c r="U708">
        <v>1</v>
      </c>
      <c r="V708">
        <v>1</v>
      </c>
      <c r="W708">
        <v>1</v>
      </c>
      <c r="X708">
        <v>1</v>
      </c>
      <c r="Y708">
        <v>1</v>
      </c>
      <c r="Z708">
        <v>1</v>
      </c>
      <c r="AA708">
        <v>1</v>
      </c>
      <c r="AB708">
        <v>1</v>
      </c>
      <c r="AC708">
        <v>1</v>
      </c>
      <c r="AD708">
        <v>1</v>
      </c>
      <c r="AE708">
        <v>1</v>
      </c>
      <c r="AF708">
        <v>1</v>
      </c>
      <c r="AG708" t="s">
        <v>269</v>
      </c>
      <c r="AH708" t="s">
        <v>51</v>
      </c>
      <c r="AI708" t="s">
        <v>4</v>
      </c>
      <c r="AJ708">
        <f>$H$708*$P$708</f>
        <v>0</v>
      </c>
      <c r="AK708">
        <f>$H$708*$Q$708</f>
        <v>0</v>
      </c>
      <c r="AL708">
        <f>$H$708*$R$708</f>
        <v>0</v>
      </c>
      <c r="AM708">
        <f>$H$708*$S$708</f>
        <v>75.260000000000005</v>
      </c>
      <c r="AN708">
        <f>$H$708*$T$708</f>
        <v>75.260000000000005</v>
      </c>
      <c r="AO708">
        <f>$H$708*$U$708</f>
        <v>75.260000000000005</v>
      </c>
      <c r="AP708">
        <f>$H$708*$V$708</f>
        <v>75.260000000000005</v>
      </c>
      <c r="AQ708">
        <f>$H$708*$W$708</f>
        <v>75.260000000000005</v>
      </c>
      <c r="AR708">
        <f>$H$708*$X$708</f>
        <v>75.260000000000005</v>
      </c>
      <c r="AS708">
        <f>$H$708*$Y$708</f>
        <v>75.260000000000005</v>
      </c>
      <c r="AT708">
        <f>$H$708*$Z$708</f>
        <v>75.260000000000005</v>
      </c>
      <c r="AU708">
        <f>$H$708*$AA$708</f>
        <v>75.260000000000005</v>
      </c>
      <c r="AV708">
        <f>$H$708*$AB$708</f>
        <v>75.260000000000005</v>
      </c>
      <c r="AW708">
        <f>$H$708*$AC$708</f>
        <v>75.260000000000005</v>
      </c>
      <c r="AX708">
        <f>$H$708*$AD$708</f>
        <v>75.260000000000005</v>
      </c>
      <c r="AY708">
        <f>$H$708*$AE$708</f>
        <v>75.260000000000005</v>
      </c>
      <c r="AZ708">
        <f>$H$708*$AF$708</f>
        <v>75.260000000000005</v>
      </c>
    </row>
    <row r="709" spans="1:52" x14ac:dyDescent="0.25">
      <c r="A709">
        <v>760</v>
      </c>
      <c r="B709" t="s">
        <v>269</v>
      </c>
      <c r="C709" t="s">
        <v>353</v>
      </c>
      <c r="D709">
        <v>1</v>
      </c>
      <c r="E709">
        <v>365.09</v>
      </c>
      <c r="F709" t="s">
        <v>317</v>
      </c>
      <c r="G709">
        <v>365.09</v>
      </c>
      <c r="H709">
        <v>438.11</v>
      </c>
      <c r="I709" t="s">
        <v>354</v>
      </c>
      <c r="J709" t="s">
        <v>355</v>
      </c>
      <c r="K709" t="s">
        <v>555</v>
      </c>
      <c r="L709" t="s">
        <v>178</v>
      </c>
      <c r="M709" t="s">
        <v>269</v>
      </c>
      <c r="N709" t="s">
        <v>51</v>
      </c>
      <c r="O709" t="s">
        <v>4</v>
      </c>
      <c r="P709">
        <v>0</v>
      </c>
      <c r="Q709">
        <v>0</v>
      </c>
      <c r="R709">
        <v>0</v>
      </c>
      <c r="S709">
        <v>0</v>
      </c>
      <c r="T709">
        <v>1</v>
      </c>
      <c r="U709">
        <v>1</v>
      </c>
      <c r="V709">
        <v>1</v>
      </c>
      <c r="W709">
        <v>1</v>
      </c>
      <c r="X709">
        <v>1</v>
      </c>
      <c r="Y709">
        <v>1</v>
      </c>
      <c r="Z709">
        <v>1</v>
      </c>
      <c r="AA709">
        <v>1</v>
      </c>
      <c r="AB709">
        <v>1</v>
      </c>
      <c r="AC709">
        <v>1</v>
      </c>
      <c r="AD709">
        <v>1</v>
      </c>
      <c r="AE709">
        <v>1</v>
      </c>
      <c r="AF709">
        <v>1</v>
      </c>
      <c r="AG709" t="s">
        <v>269</v>
      </c>
      <c r="AH709" t="s">
        <v>51</v>
      </c>
      <c r="AI709" t="s">
        <v>4</v>
      </c>
      <c r="AJ709">
        <f>$H$709*$P$709</f>
        <v>0</v>
      </c>
      <c r="AK709">
        <f>$H$709*$Q$709</f>
        <v>0</v>
      </c>
      <c r="AL709">
        <f>$H$709*$R$709</f>
        <v>0</v>
      </c>
      <c r="AM709">
        <f>$H$709*$S$709</f>
        <v>0</v>
      </c>
      <c r="AN709">
        <f>$H$709*$T$709</f>
        <v>438.11</v>
      </c>
      <c r="AO709">
        <f>$H$709*$U$709</f>
        <v>438.11</v>
      </c>
      <c r="AP709">
        <f>$H$709*$V$709</f>
        <v>438.11</v>
      </c>
      <c r="AQ709">
        <f>$H$709*$W$709</f>
        <v>438.11</v>
      </c>
      <c r="AR709">
        <f>$H$709*$X$709</f>
        <v>438.11</v>
      </c>
      <c r="AS709">
        <f>$H$709*$Y$709</f>
        <v>438.11</v>
      </c>
      <c r="AT709">
        <f>$H$709*$Z$709</f>
        <v>438.11</v>
      </c>
      <c r="AU709">
        <f>$H$709*$AA$709</f>
        <v>438.11</v>
      </c>
      <c r="AV709">
        <f>$H$709*$AB$709</f>
        <v>438.11</v>
      </c>
      <c r="AW709">
        <f>$H$709*$AC$709</f>
        <v>438.11</v>
      </c>
      <c r="AX709">
        <f>$H$709*$AD$709</f>
        <v>438.11</v>
      </c>
      <c r="AY709">
        <f>$H$709*$AE$709</f>
        <v>438.11</v>
      </c>
      <c r="AZ709">
        <f>$H$709*$AF$709</f>
        <v>438.11</v>
      </c>
    </row>
    <row r="710" spans="1:52" x14ac:dyDescent="0.25">
      <c r="A710">
        <v>761</v>
      </c>
      <c r="B710" t="s">
        <v>269</v>
      </c>
      <c r="C710" t="s">
        <v>345</v>
      </c>
      <c r="D710">
        <v>476</v>
      </c>
      <c r="E710">
        <v>466.48</v>
      </c>
      <c r="F710" t="s">
        <v>335</v>
      </c>
      <c r="G710">
        <v>0.98</v>
      </c>
      <c r="H710">
        <v>559.78</v>
      </c>
      <c r="I710" t="s">
        <v>312</v>
      </c>
      <c r="J710" t="s">
        <v>346</v>
      </c>
      <c r="K710" t="s">
        <v>552</v>
      </c>
      <c r="L710" t="s">
        <v>178</v>
      </c>
      <c r="M710" t="s">
        <v>269</v>
      </c>
      <c r="N710" t="s">
        <v>51</v>
      </c>
      <c r="O710" t="s">
        <v>4</v>
      </c>
      <c r="P710">
        <v>0</v>
      </c>
      <c r="Q710">
        <v>0</v>
      </c>
      <c r="R710">
        <v>0</v>
      </c>
      <c r="S710">
        <v>0</v>
      </c>
      <c r="T710">
        <v>1</v>
      </c>
      <c r="U710">
        <v>1</v>
      </c>
      <c r="V710">
        <v>1</v>
      </c>
      <c r="W710">
        <v>1</v>
      </c>
      <c r="X710">
        <v>1</v>
      </c>
      <c r="Y710">
        <v>1</v>
      </c>
      <c r="Z710">
        <v>1</v>
      </c>
      <c r="AA710">
        <v>1</v>
      </c>
      <c r="AB710">
        <v>1</v>
      </c>
      <c r="AC710">
        <v>1</v>
      </c>
      <c r="AD710">
        <v>1</v>
      </c>
      <c r="AE710">
        <v>1</v>
      </c>
      <c r="AF710">
        <v>1</v>
      </c>
      <c r="AG710" t="s">
        <v>269</v>
      </c>
      <c r="AH710" t="s">
        <v>51</v>
      </c>
      <c r="AI710" t="s">
        <v>4</v>
      </c>
      <c r="AJ710">
        <f>$H$710*$P$710</f>
        <v>0</v>
      </c>
      <c r="AK710">
        <f>$H$710*$Q$710</f>
        <v>0</v>
      </c>
      <c r="AL710">
        <f>$H$710*$R$710</f>
        <v>0</v>
      </c>
      <c r="AM710">
        <f>$H$710*$S$710</f>
        <v>0</v>
      </c>
      <c r="AN710">
        <f>$H$710*$T$710</f>
        <v>559.78</v>
      </c>
      <c r="AO710">
        <f>$H$710*$U$710</f>
        <v>559.78</v>
      </c>
      <c r="AP710">
        <f>$H$710*$V$710</f>
        <v>559.78</v>
      </c>
      <c r="AQ710">
        <f>$H$710*$W$710</f>
        <v>559.78</v>
      </c>
      <c r="AR710">
        <f>$H$710*$X$710</f>
        <v>559.78</v>
      </c>
      <c r="AS710">
        <f>$H$710*$Y$710</f>
        <v>559.78</v>
      </c>
      <c r="AT710">
        <f>$H$710*$Z$710</f>
        <v>559.78</v>
      </c>
      <c r="AU710">
        <f>$H$710*$AA$710</f>
        <v>559.78</v>
      </c>
      <c r="AV710">
        <f>$H$710*$AB$710</f>
        <v>559.78</v>
      </c>
      <c r="AW710">
        <f>$H$710*$AC$710</f>
        <v>559.78</v>
      </c>
      <c r="AX710">
        <f>$H$710*$AD$710</f>
        <v>559.78</v>
      </c>
      <c r="AY710">
        <f>$H$710*$AE$710</f>
        <v>559.78</v>
      </c>
      <c r="AZ710">
        <f>$H$710*$AF$710</f>
        <v>559.78</v>
      </c>
    </row>
    <row r="711" spans="1:52" x14ac:dyDescent="0.25">
      <c r="A711">
        <v>762</v>
      </c>
      <c r="B711" t="s">
        <v>269</v>
      </c>
      <c r="C711" t="s">
        <v>400</v>
      </c>
      <c r="D711">
        <v>476</v>
      </c>
      <c r="E711">
        <v>1599.36</v>
      </c>
      <c r="F711" t="s">
        <v>335</v>
      </c>
      <c r="G711">
        <v>3.36</v>
      </c>
      <c r="H711">
        <v>1919.24</v>
      </c>
      <c r="I711" t="s">
        <v>348</v>
      </c>
      <c r="J711" t="s">
        <v>401</v>
      </c>
      <c r="K711" t="s">
        <v>579</v>
      </c>
      <c r="L711" t="s">
        <v>178</v>
      </c>
      <c r="M711" t="s">
        <v>269</v>
      </c>
      <c r="N711" t="s">
        <v>51</v>
      </c>
      <c r="O711" t="s">
        <v>4</v>
      </c>
      <c r="P711">
        <v>0</v>
      </c>
      <c r="Q711">
        <v>0</v>
      </c>
      <c r="R711">
        <v>0</v>
      </c>
      <c r="S711">
        <v>0.25</v>
      </c>
      <c r="T711">
        <v>0.25</v>
      </c>
      <c r="U711">
        <v>0.25</v>
      </c>
      <c r="V711">
        <v>0.25</v>
      </c>
      <c r="W711">
        <v>0.5</v>
      </c>
      <c r="X711">
        <v>0.5</v>
      </c>
      <c r="Y711">
        <v>0.5</v>
      </c>
      <c r="Z711">
        <v>0.5</v>
      </c>
      <c r="AA711">
        <v>1</v>
      </c>
      <c r="AB711">
        <v>1</v>
      </c>
      <c r="AC711">
        <v>1</v>
      </c>
      <c r="AD711">
        <v>1</v>
      </c>
      <c r="AE711">
        <v>1</v>
      </c>
      <c r="AF711">
        <v>1</v>
      </c>
      <c r="AG711" t="s">
        <v>269</v>
      </c>
      <c r="AH711" t="s">
        <v>51</v>
      </c>
      <c r="AI711" t="s">
        <v>4</v>
      </c>
      <c r="AJ711">
        <f>$H$711*$P$711</f>
        <v>0</v>
      </c>
      <c r="AK711">
        <f>$H$711*$Q$711</f>
        <v>0</v>
      </c>
      <c r="AL711">
        <f>$H$711*$R$711</f>
        <v>0</v>
      </c>
      <c r="AM711">
        <f>$H$711*$S$711</f>
        <v>479.81</v>
      </c>
      <c r="AN711">
        <f>$H$711*$T$711</f>
        <v>479.81</v>
      </c>
      <c r="AO711">
        <f>$H$711*$U$711</f>
        <v>479.81</v>
      </c>
      <c r="AP711">
        <f>$H$711*$V$711</f>
        <v>479.81</v>
      </c>
      <c r="AQ711">
        <f>$H$711*$W$711</f>
        <v>959.62</v>
      </c>
      <c r="AR711">
        <f>$H$711*$X$711</f>
        <v>959.62</v>
      </c>
      <c r="AS711">
        <f>$H$711*$Y$711</f>
        <v>959.62</v>
      </c>
      <c r="AT711">
        <f>$H$711*$Z$711</f>
        <v>959.62</v>
      </c>
      <c r="AU711">
        <f>$H$711*$AA$711</f>
        <v>1919.24</v>
      </c>
      <c r="AV711">
        <f>$H$711*$AB$711</f>
        <v>1919.24</v>
      </c>
      <c r="AW711">
        <f>$H$711*$AC$711</f>
        <v>1919.24</v>
      </c>
      <c r="AX711">
        <f>$H$711*$AD$711</f>
        <v>1919.24</v>
      </c>
      <c r="AY711">
        <f>$H$711*$AE$711</f>
        <v>1919.24</v>
      </c>
      <c r="AZ711">
        <f>$H$711*$AF$711</f>
        <v>1919.24</v>
      </c>
    </row>
    <row r="712" spans="1:52" x14ac:dyDescent="0.25">
      <c r="A712">
        <v>763</v>
      </c>
      <c r="B712" t="s">
        <v>269</v>
      </c>
      <c r="C712" t="s">
        <v>402</v>
      </c>
      <c r="D712">
        <v>59.5</v>
      </c>
      <c r="E712">
        <v>89.85</v>
      </c>
      <c r="F712" t="s">
        <v>311</v>
      </c>
      <c r="G712">
        <v>1.51</v>
      </c>
      <c r="H712">
        <v>107.83</v>
      </c>
      <c r="I712" t="s">
        <v>312</v>
      </c>
      <c r="J712" t="s">
        <v>403</v>
      </c>
      <c r="K712" t="s">
        <v>580</v>
      </c>
      <c r="L712" t="s">
        <v>178</v>
      </c>
      <c r="M712" t="s">
        <v>269</v>
      </c>
      <c r="N712" t="s">
        <v>51</v>
      </c>
      <c r="O712" t="s">
        <v>4</v>
      </c>
      <c r="P712">
        <v>0</v>
      </c>
      <c r="Q712">
        <v>0</v>
      </c>
      <c r="R712">
        <v>0</v>
      </c>
      <c r="S712">
        <v>1</v>
      </c>
      <c r="T712">
        <v>1</v>
      </c>
      <c r="U712">
        <v>1</v>
      </c>
      <c r="V712">
        <v>1</v>
      </c>
      <c r="W712">
        <v>1</v>
      </c>
      <c r="X712">
        <v>1</v>
      </c>
      <c r="Y712">
        <v>1</v>
      </c>
      <c r="Z712">
        <v>1</v>
      </c>
      <c r="AA712">
        <v>1</v>
      </c>
      <c r="AB712">
        <v>1</v>
      </c>
      <c r="AC712">
        <v>1</v>
      </c>
      <c r="AD712">
        <v>1</v>
      </c>
      <c r="AE712">
        <v>1</v>
      </c>
      <c r="AF712">
        <v>1</v>
      </c>
      <c r="AG712" t="s">
        <v>269</v>
      </c>
      <c r="AH712" t="s">
        <v>51</v>
      </c>
      <c r="AI712" t="s">
        <v>4</v>
      </c>
      <c r="AJ712">
        <f>$H$712*$P$712</f>
        <v>0</v>
      </c>
      <c r="AK712">
        <f>$H$712*$Q$712</f>
        <v>0</v>
      </c>
      <c r="AL712">
        <f>$H$712*$R$712</f>
        <v>0</v>
      </c>
      <c r="AM712">
        <f>$H$712*$S$712</f>
        <v>107.83</v>
      </c>
      <c r="AN712">
        <f>$H$712*$T$712</f>
        <v>107.83</v>
      </c>
      <c r="AO712">
        <f>$H$712*$U$712</f>
        <v>107.83</v>
      </c>
      <c r="AP712">
        <f>$H$712*$V$712</f>
        <v>107.83</v>
      </c>
      <c r="AQ712">
        <f>$H$712*$W$712</f>
        <v>107.83</v>
      </c>
      <c r="AR712">
        <f>$H$712*$X$712</f>
        <v>107.83</v>
      </c>
      <c r="AS712">
        <f>$H$712*$Y$712</f>
        <v>107.83</v>
      </c>
      <c r="AT712">
        <f>$H$712*$Z$712</f>
        <v>107.83</v>
      </c>
      <c r="AU712">
        <f>$H$712*$AA$712</f>
        <v>107.83</v>
      </c>
      <c r="AV712">
        <f>$H$712*$AB$712</f>
        <v>107.83</v>
      </c>
      <c r="AW712">
        <f>$H$712*$AC$712</f>
        <v>107.83</v>
      </c>
      <c r="AX712">
        <f>$H$712*$AD$712</f>
        <v>107.83</v>
      </c>
      <c r="AY712">
        <f>$H$712*$AE$712</f>
        <v>107.83</v>
      </c>
      <c r="AZ712">
        <f>$H$712*$AF$712</f>
        <v>107.83</v>
      </c>
    </row>
    <row r="713" spans="1:52" x14ac:dyDescent="0.25">
      <c r="A713">
        <v>764</v>
      </c>
      <c r="B713" t="s">
        <v>269</v>
      </c>
      <c r="C713" t="s">
        <v>404</v>
      </c>
      <c r="D713">
        <v>59.5</v>
      </c>
      <c r="E713">
        <v>337.96</v>
      </c>
      <c r="F713" t="s">
        <v>311</v>
      </c>
      <c r="G713">
        <v>5.68</v>
      </c>
      <c r="H713">
        <v>405.56</v>
      </c>
      <c r="I713" t="s">
        <v>315</v>
      </c>
      <c r="J713" t="s">
        <v>405</v>
      </c>
      <c r="K713" t="s">
        <v>581</v>
      </c>
      <c r="L713" t="s">
        <v>178</v>
      </c>
      <c r="M713" t="s">
        <v>269</v>
      </c>
      <c r="N713" t="s">
        <v>51</v>
      </c>
      <c r="O713" t="s">
        <v>4</v>
      </c>
      <c r="P713">
        <v>0</v>
      </c>
      <c r="Q713">
        <v>0</v>
      </c>
      <c r="R713">
        <v>0</v>
      </c>
      <c r="S713">
        <v>1</v>
      </c>
      <c r="T713">
        <v>1</v>
      </c>
      <c r="U713">
        <v>1</v>
      </c>
      <c r="V713">
        <v>1</v>
      </c>
      <c r="W713">
        <v>1</v>
      </c>
      <c r="X713">
        <v>1</v>
      </c>
      <c r="Y713">
        <v>1</v>
      </c>
      <c r="Z713">
        <v>1</v>
      </c>
      <c r="AA713">
        <v>1</v>
      </c>
      <c r="AB713">
        <v>1</v>
      </c>
      <c r="AC713">
        <v>1</v>
      </c>
      <c r="AD713">
        <v>1</v>
      </c>
      <c r="AE713">
        <v>1</v>
      </c>
      <c r="AF713">
        <v>1</v>
      </c>
      <c r="AG713" t="s">
        <v>269</v>
      </c>
      <c r="AH713" t="s">
        <v>51</v>
      </c>
      <c r="AI713" t="s">
        <v>4</v>
      </c>
      <c r="AJ713">
        <f>$H$713*$P$713</f>
        <v>0</v>
      </c>
      <c r="AK713">
        <f>$H$713*$Q$713</f>
        <v>0</v>
      </c>
      <c r="AL713">
        <f>$H$713*$R$713</f>
        <v>0</v>
      </c>
      <c r="AM713">
        <f>$H$713*$S$713</f>
        <v>405.56</v>
      </c>
      <c r="AN713">
        <f>$H$713*$T$713</f>
        <v>405.56</v>
      </c>
      <c r="AO713">
        <f>$H$713*$U$713</f>
        <v>405.56</v>
      </c>
      <c r="AP713">
        <f>$H$713*$V$713</f>
        <v>405.56</v>
      </c>
      <c r="AQ713">
        <f>$H$713*$W$713</f>
        <v>405.56</v>
      </c>
      <c r="AR713">
        <f>$H$713*$X$713</f>
        <v>405.56</v>
      </c>
      <c r="AS713">
        <f>$H$713*$Y$713</f>
        <v>405.56</v>
      </c>
      <c r="AT713">
        <f>$H$713*$Z$713</f>
        <v>405.56</v>
      </c>
      <c r="AU713">
        <f>$H$713*$AA$713</f>
        <v>405.56</v>
      </c>
      <c r="AV713">
        <f>$H$713*$AB$713</f>
        <v>405.56</v>
      </c>
      <c r="AW713">
        <f>$H$713*$AC$713</f>
        <v>405.56</v>
      </c>
      <c r="AX713">
        <f>$H$713*$AD$713</f>
        <v>405.56</v>
      </c>
      <c r="AY713">
        <f>$H$713*$AE$713</f>
        <v>405.56</v>
      </c>
      <c r="AZ713">
        <f>$H$713*$AF$713</f>
        <v>405.56</v>
      </c>
    </row>
    <row r="714" spans="1:52" x14ac:dyDescent="0.25">
      <c r="A714">
        <v>765</v>
      </c>
      <c r="B714" t="s">
        <v>269</v>
      </c>
      <c r="C714" t="s">
        <v>400</v>
      </c>
      <c r="D714">
        <v>220.35</v>
      </c>
      <c r="E714">
        <v>740.38</v>
      </c>
      <c r="F714" t="s">
        <v>335</v>
      </c>
      <c r="G714">
        <v>3.36</v>
      </c>
      <c r="H714">
        <v>888.46</v>
      </c>
      <c r="I714" t="s">
        <v>348</v>
      </c>
      <c r="J714" t="s">
        <v>401</v>
      </c>
      <c r="K714" t="s">
        <v>579</v>
      </c>
      <c r="L714" t="s">
        <v>178</v>
      </c>
      <c r="M714" t="s">
        <v>269</v>
      </c>
      <c r="N714" t="s">
        <v>51</v>
      </c>
      <c r="O714" t="s">
        <v>4</v>
      </c>
      <c r="P714">
        <v>0</v>
      </c>
      <c r="Q714">
        <v>0</v>
      </c>
      <c r="R714">
        <v>0</v>
      </c>
      <c r="S714">
        <v>0.25</v>
      </c>
      <c r="T714">
        <v>0.25</v>
      </c>
      <c r="U714">
        <v>0.25</v>
      </c>
      <c r="V714">
        <v>0.25</v>
      </c>
      <c r="W714">
        <v>0.5</v>
      </c>
      <c r="X714">
        <v>0.5</v>
      </c>
      <c r="Y714">
        <v>0.5</v>
      </c>
      <c r="Z714">
        <v>0.5</v>
      </c>
      <c r="AA714">
        <v>1</v>
      </c>
      <c r="AB714">
        <v>1</v>
      </c>
      <c r="AC714">
        <v>1</v>
      </c>
      <c r="AD714">
        <v>1</v>
      </c>
      <c r="AE714">
        <v>1</v>
      </c>
      <c r="AF714">
        <v>1</v>
      </c>
      <c r="AG714" t="s">
        <v>269</v>
      </c>
      <c r="AH714" t="s">
        <v>51</v>
      </c>
      <c r="AI714" t="s">
        <v>4</v>
      </c>
      <c r="AJ714">
        <f>$H$714*$P$714</f>
        <v>0</v>
      </c>
      <c r="AK714">
        <f>$H$714*$Q$714</f>
        <v>0</v>
      </c>
      <c r="AL714">
        <f>$H$714*$R$714</f>
        <v>0</v>
      </c>
      <c r="AM714">
        <f>$H$714*$S$714</f>
        <v>222.11500000000001</v>
      </c>
      <c r="AN714">
        <f>$H$714*$T$714</f>
        <v>222.11500000000001</v>
      </c>
      <c r="AO714">
        <f>$H$714*$U$714</f>
        <v>222.11500000000001</v>
      </c>
      <c r="AP714">
        <f>$H$714*$V$714</f>
        <v>222.11500000000001</v>
      </c>
      <c r="AQ714">
        <f>$H$714*$W$714</f>
        <v>444.23</v>
      </c>
      <c r="AR714">
        <f>$H$714*$X$714</f>
        <v>444.23</v>
      </c>
      <c r="AS714">
        <f>$H$714*$Y$714</f>
        <v>444.23</v>
      </c>
      <c r="AT714">
        <f>$H$714*$Z$714</f>
        <v>444.23</v>
      </c>
      <c r="AU714">
        <f>$H$714*$AA$714</f>
        <v>888.46</v>
      </c>
      <c r="AV714">
        <f>$H$714*$AB$714</f>
        <v>888.46</v>
      </c>
      <c r="AW714">
        <f>$H$714*$AC$714</f>
        <v>888.46</v>
      </c>
      <c r="AX714">
        <f>$H$714*$AD$714</f>
        <v>888.46</v>
      </c>
      <c r="AY714">
        <f>$H$714*$AE$714</f>
        <v>888.46</v>
      </c>
      <c r="AZ714">
        <f>$H$714*$AF$714</f>
        <v>888.46</v>
      </c>
    </row>
    <row r="715" spans="1:52" x14ac:dyDescent="0.25">
      <c r="A715">
        <v>766</v>
      </c>
      <c r="B715" t="s">
        <v>269</v>
      </c>
      <c r="C715" t="s">
        <v>406</v>
      </c>
      <c r="D715">
        <v>220.35</v>
      </c>
      <c r="E715">
        <v>138.82</v>
      </c>
      <c r="F715" t="s">
        <v>335</v>
      </c>
      <c r="G715">
        <v>0.63</v>
      </c>
      <c r="H715">
        <v>166.58</v>
      </c>
      <c r="I715" t="s">
        <v>312</v>
      </c>
      <c r="J715" t="s">
        <v>407</v>
      </c>
      <c r="K715" t="s">
        <v>582</v>
      </c>
      <c r="L715" t="s">
        <v>178</v>
      </c>
      <c r="M715" t="s">
        <v>269</v>
      </c>
      <c r="N715" t="s">
        <v>51</v>
      </c>
      <c r="O715" t="s">
        <v>4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1</v>
      </c>
      <c r="AE715">
        <v>1</v>
      </c>
      <c r="AF715">
        <v>1</v>
      </c>
      <c r="AG715" t="s">
        <v>269</v>
      </c>
      <c r="AH715" t="s">
        <v>51</v>
      </c>
      <c r="AI715" t="s">
        <v>4</v>
      </c>
      <c r="AJ715">
        <f>$H$715*$P$715</f>
        <v>0</v>
      </c>
      <c r="AK715">
        <f>$H$715*$Q$715</f>
        <v>0</v>
      </c>
      <c r="AL715">
        <f>$H$715*$R$715</f>
        <v>0</v>
      </c>
      <c r="AM715">
        <f>$H$715*$S$715</f>
        <v>0</v>
      </c>
      <c r="AN715">
        <f>$H$715*$T$715</f>
        <v>0</v>
      </c>
      <c r="AO715">
        <f>$H$715*$U$715</f>
        <v>0</v>
      </c>
      <c r="AP715">
        <f>$H$715*$V$715</f>
        <v>0</v>
      </c>
      <c r="AQ715">
        <f>$H$715*$W$715</f>
        <v>0</v>
      </c>
      <c r="AR715">
        <f>$H$715*$X$715</f>
        <v>0</v>
      </c>
      <c r="AS715">
        <f>$H$715*$Y$715</f>
        <v>0</v>
      </c>
      <c r="AT715">
        <f>$H$715*$Z$715</f>
        <v>0</v>
      </c>
      <c r="AU715">
        <f>$H$715*$AA$715</f>
        <v>0</v>
      </c>
      <c r="AV715">
        <f>$H$715*$AB$715</f>
        <v>0</v>
      </c>
      <c r="AW715">
        <f>$H$715*$AC$715</f>
        <v>0</v>
      </c>
      <c r="AX715">
        <f>$H$715*$AD$715</f>
        <v>166.58</v>
      </c>
      <c r="AY715">
        <f>$H$715*$AE$715</f>
        <v>166.58</v>
      </c>
      <c r="AZ715">
        <f>$H$715*$AF$715</f>
        <v>166.58</v>
      </c>
    </row>
    <row r="716" spans="1:52" x14ac:dyDescent="0.25">
      <c r="A716">
        <v>767</v>
      </c>
      <c r="B716" t="s">
        <v>269</v>
      </c>
      <c r="C716" t="s">
        <v>408</v>
      </c>
      <c r="D716">
        <v>220.35</v>
      </c>
      <c r="E716">
        <v>152.04</v>
      </c>
      <c r="F716" t="s">
        <v>335</v>
      </c>
      <c r="G716">
        <v>0.69</v>
      </c>
      <c r="H716">
        <v>182.44</v>
      </c>
      <c r="I716" t="s">
        <v>312</v>
      </c>
      <c r="J716" t="s">
        <v>409</v>
      </c>
      <c r="K716" t="s">
        <v>583</v>
      </c>
      <c r="L716" t="s">
        <v>178</v>
      </c>
      <c r="M716" t="s">
        <v>269</v>
      </c>
      <c r="N716" t="s">
        <v>51</v>
      </c>
      <c r="O716" t="s">
        <v>4</v>
      </c>
      <c r="P716">
        <v>0</v>
      </c>
      <c r="Q716">
        <v>0</v>
      </c>
      <c r="R716">
        <v>0</v>
      </c>
      <c r="S716">
        <v>1</v>
      </c>
      <c r="T716">
        <v>1</v>
      </c>
      <c r="U716">
        <v>1</v>
      </c>
      <c r="V716">
        <v>1</v>
      </c>
      <c r="W716">
        <v>1</v>
      </c>
      <c r="X716">
        <v>1</v>
      </c>
      <c r="Y716">
        <v>1</v>
      </c>
      <c r="Z716">
        <v>1</v>
      </c>
      <c r="AA716">
        <v>1</v>
      </c>
      <c r="AB716">
        <v>1</v>
      </c>
      <c r="AC716">
        <v>1</v>
      </c>
      <c r="AD716">
        <v>1</v>
      </c>
      <c r="AE716">
        <v>1</v>
      </c>
      <c r="AF716">
        <v>1</v>
      </c>
      <c r="AG716" t="s">
        <v>269</v>
      </c>
      <c r="AH716" t="s">
        <v>51</v>
      </c>
      <c r="AI716" t="s">
        <v>4</v>
      </c>
      <c r="AJ716">
        <f>$H$716*$P$716</f>
        <v>0</v>
      </c>
      <c r="AK716">
        <f>$H$716*$Q$716</f>
        <v>0</v>
      </c>
      <c r="AL716">
        <f>$H$716*$R$716</f>
        <v>0</v>
      </c>
      <c r="AM716">
        <f>$H$716*$S$716</f>
        <v>182.44</v>
      </c>
      <c r="AN716">
        <f>$H$716*$T$716</f>
        <v>182.44</v>
      </c>
      <c r="AO716">
        <f>$H$716*$U$716</f>
        <v>182.44</v>
      </c>
      <c r="AP716">
        <f>$H$716*$V$716</f>
        <v>182.44</v>
      </c>
      <c r="AQ716">
        <f>$H$716*$W$716</f>
        <v>182.44</v>
      </c>
      <c r="AR716">
        <f>$H$716*$X$716</f>
        <v>182.44</v>
      </c>
      <c r="AS716">
        <f>$H$716*$Y$716</f>
        <v>182.44</v>
      </c>
      <c r="AT716">
        <f>$H$716*$Z$716</f>
        <v>182.44</v>
      </c>
      <c r="AU716">
        <f>$H$716*$AA$716</f>
        <v>182.44</v>
      </c>
      <c r="AV716">
        <f>$H$716*$AB$716</f>
        <v>182.44</v>
      </c>
      <c r="AW716">
        <f>$H$716*$AC$716</f>
        <v>182.44</v>
      </c>
      <c r="AX716">
        <f>$H$716*$AD$716</f>
        <v>182.44</v>
      </c>
      <c r="AY716">
        <f>$H$716*$AE$716</f>
        <v>182.44</v>
      </c>
      <c r="AZ716">
        <f>$H$716*$AF$716</f>
        <v>182.44</v>
      </c>
    </row>
    <row r="717" spans="1:52" x14ac:dyDescent="0.25">
      <c r="A717">
        <v>768</v>
      </c>
      <c r="B717" t="s">
        <v>269</v>
      </c>
      <c r="C717" t="s">
        <v>410</v>
      </c>
      <c r="D717">
        <v>46.27</v>
      </c>
      <c r="E717">
        <v>315.10000000000002</v>
      </c>
      <c r="F717" t="s">
        <v>335</v>
      </c>
      <c r="G717">
        <v>6.81</v>
      </c>
      <c r="H717">
        <v>378.12</v>
      </c>
      <c r="I717" t="s">
        <v>411</v>
      </c>
      <c r="J717" t="s">
        <v>412</v>
      </c>
      <c r="K717" t="s">
        <v>584</v>
      </c>
      <c r="L717" t="s">
        <v>178</v>
      </c>
      <c r="M717" t="s">
        <v>269</v>
      </c>
      <c r="N717" t="s">
        <v>51</v>
      </c>
      <c r="O717" t="s">
        <v>4</v>
      </c>
      <c r="P717">
        <v>0</v>
      </c>
      <c r="Q717">
        <v>0</v>
      </c>
      <c r="R717">
        <v>0</v>
      </c>
      <c r="S717">
        <v>1</v>
      </c>
      <c r="T717">
        <v>1</v>
      </c>
      <c r="U717">
        <v>1</v>
      </c>
      <c r="V717">
        <v>1</v>
      </c>
      <c r="W717">
        <v>1</v>
      </c>
      <c r="X717">
        <v>1</v>
      </c>
      <c r="Y717">
        <v>1</v>
      </c>
      <c r="Z717">
        <v>1</v>
      </c>
      <c r="AA717">
        <v>1</v>
      </c>
      <c r="AB717">
        <v>1</v>
      </c>
      <c r="AC717">
        <v>1</v>
      </c>
      <c r="AD717">
        <v>1</v>
      </c>
      <c r="AE717">
        <v>1</v>
      </c>
      <c r="AF717">
        <v>1</v>
      </c>
      <c r="AG717" t="s">
        <v>269</v>
      </c>
      <c r="AH717" t="s">
        <v>51</v>
      </c>
      <c r="AI717" t="s">
        <v>4</v>
      </c>
      <c r="AJ717">
        <f>$H$717*$P$717</f>
        <v>0</v>
      </c>
      <c r="AK717">
        <f>$H$717*$Q$717</f>
        <v>0</v>
      </c>
      <c r="AL717">
        <f>$H$717*$R$717</f>
        <v>0</v>
      </c>
      <c r="AM717">
        <f>$H$717*$S$717</f>
        <v>378.12</v>
      </c>
      <c r="AN717">
        <f>$H$717*$T$717</f>
        <v>378.12</v>
      </c>
      <c r="AO717">
        <f>$H$717*$U$717</f>
        <v>378.12</v>
      </c>
      <c r="AP717">
        <f>$H$717*$V$717</f>
        <v>378.12</v>
      </c>
      <c r="AQ717">
        <f>$H$717*$W$717</f>
        <v>378.12</v>
      </c>
      <c r="AR717">
        <f>$H$717*$X$717</f>
        <v>378.12</v>
      </c>
      <c r="AS717">
        <f>$H$717*$Y$717</f>
        <v>378.12</v>
      </c>
      <c r="AT717">
        <f>$H$717*$Z$717</f>
        <v>378.12</v>
      </c>
      <c r="AU717">
        <f>$H$717*$AA$717</f>
        <v>378.12</v>
      </c>
      <c r="AV717">
        <f>$H$717*$AB$717</f>
        <v>378.12</v>
      </c>
      <c r="AW717">
        <f>$H$717*$AC$717</f>
        <v>378.12</v>
      </c>
      <c r="AX717">
        <f>$H$717*$AD$717</f>
        <v>378.12</v>
      </c>
      <c r="AY717">
        <f>$H$717*$AE$717</f>
        <v>378.12</v>
      </c>
      <c r="AZ717">
        <f>$H$717*$AF$717</f>
        <v>378.12</v>
      </c>
    </row>
    <row r="718" spans="1:52" x14ac:dyDescent="0.25">
      <c r="A718">
        <v>769</v>
      </c>
      <c r="B718" t="s">
        <v>269</v>
      </c>
      <c r="C718" t="s">
        <v>413</v>
      </c>
      <c r="D718">
        <v>50.68</v>
      </c>
      <c r="E718">
        <v>373.51</v>
      </c>
      <c r="F718" t="s">
        <v>335</v>
      </c>
      <c r="G718">
        <v>7.37</v>
      </c>
      <c r="H718">
        <v>448.21</v>
      </c>
      <c r="I718" t="s">
        <v>411</v>
      </c>
      <c r="J718" t="s">
        <v>414</v>
      </c>
      <c r="K718" t="s">
        <v>585</v>
      </c>
      <c r="L718" t="s">
        <v>178</v>
      </c>
      <c r="M718" t="s">
        <v>269</v>
      </c>
      <c r="N718" t="s">
        <v>51</v>
      </c>
      <c r="O718" t="s">
        <v>4</v>
      </c>
      <c r="P718">
        <v>0</v>
      </c>
      <c r="Q718">
        <v>0</v>
      </c>
      <c r="R718">
        <v>0</v>
      </c>
      <c r="S718">
        <v>1</v>
      </c>
      <c r="T718">
        <v>1</v>
      </c>
      <c r="U718">
        <v>1</v>
      </c>
      <c r="V718">
        <v>1</v>
      </c>
      <c r="W718">
        <v>1</v>
      </c>
      <c r="X718">
        <v>1</v>
      </c>
      <c r="Y718">
        <v>1</v>
      </c>
      <c r="Z718">
        <v>1</v>
      </c>
      <c r="AA718">
        <v>1</v>
      </c>
      <c r="AB718">
        <v>1</v>
      </c>
      <c r="AC718">
        <v>1</v>
      </c>
      <c r="AD718">
        <v>1</v>
      </c>
      <c r="AE718">
        <v>1</v>
      </c>
      <c r="AF718">
        <v>1</v>
      </c>
      <c r="AG718" t="s">
        <v>269</v>
      </c>
      <c r="AH718" t="s">
        <v>51</v>
      </c>
      <c r="AI718" t="s">
        <v>4</v>
      </c>
      <c r="AJ718">
        <f>$H$718*$P$718</f>
        <v>0</v>
      </c>
      <c r="AK718">
        <f>$H$718*$Q$718</f>
        <v>0</v>
      </c>
      <c r="AL718">
        <f>$H$718*$R$718</f>
        <v>0</v>
      </c>
      <c r="AM718">
        <f>$H$718*$S$718</f>
        <v>448.21</v>
      </c>
      <c r="AN718">
        <f>$H$718*$T$718</f>
        <v>448.21</v>
      </c>
      <c r="AO718">
        <f>$H$718*$U$718</f>
        <v>448.21</v>
      </c>
      <c r="AP718">
        <f>$H$718*$V$718</f>
        <v>448.21</v>
      </c>
      <c r="AQ718">
        <f>$H$718*$W$718</f>
        <v>448.21</v>
      </c>
      <c r="AR718">
        <f>$H$718*$X$718</f>
        <v>448.21</v>
      </c>
      <c r="AS718">
        <f>$H$718*$Y$718</f>
        <v>448.21</v>
      </c>
      <c r="AT718">
        <f>$H$718*$Z$718</f>
        <v>448.21</v>
      </c>
      <c r="AU718">
        <f>$H$718*$AA$718</f>
        <v>448.21</v>
      </c>
      <c r="AV718">
        <f>$H$718*$AB$718</f>
        <v>448.21</v>
      </c>
      <c r="AW718">
        <f>$H$718*$AC$718</f>
        <v>448.21</v>
      </c>
      <c r="AX718">
        <f>$H$718*$AD$718</f>
        <v>448.21</v>
      </c>
      <c r="AY718">
        <f>$H$718*$AE$718</f>
        <v>448.21</v>
      </c>
      <c r="AZ718">
        <f>$H$718*$AF$718</f>
        <v>448.21</v>
      </c>
    </row>
    <row r="719" spans="1:52" x14ac:dyDescent="0.25">
      <c r="A719">
        <v>770</v>
      </c>
      <c r="B719" t="s">
        <v>269</v>
      </c>
      <c r="C719" t="s">
        <v>415</v>
      </c>
      <c r="D719">
        <v>45.67</v>
      </c>
      <c r="E719">
        <v>249.36</v>
      </c>
      <c r="F719" t="s">
        <v>335</v>
      </c>
      <c r="G719">
        <v>5.46</v>
      </c>
      <c r="H719">
        <v>299.24</v>
      </c>
      <c r="I719" t="s">
        <v>416</v>
      </c>
      <c r="J719" t="s">
        <v>417</v>
      </c>
      <c r="K719" t="s">
        <v>586</v>
      </c>
      <c r="L719" t="s">
        <v>178</v>
      </c>
      <c r="M719" t="s">
        <v>269</v>
      </c>
      <c r="N719" t="s">
        <v>51</v>
      </c>
      <c r="O719" t="s">
        <v>4</v>
      </c>
      <c r="P719">
        <v>0</v>
      </c>
      <c r="Q719">
        <v>0</v>
      </c>
      <c r="R719">
        <v>0</v>
      </c>
      <c r="S719">
        <v>1</v>
      </c>
      <c r="T719">
        <v>1</v>
      </c>
      <c r="U719">
        <v>1</v>
      </c>
      <c r="V719">
        <v>1</v>
      </c>
      <c r="W719">
        <v>1</v>
      </c>
      <c r="X719">
        <v>1</v>
      </c>
      <c r="Y719">
        <v>1</v>
      </c>
      <c r="Z719">
        <v>1</v>
      </c>
      <c r="AA719">
        <v>1</v>
      </c>
      <c r="AB719">
        <v>1</v>
      </c>
      <c r="AC719">
        <v>1</v>
      </c>
      <c r="AD719">
        <v>1</v>
      </c>
      <c r="AE719">
        <v>1</v>
      </c>
      <c r="AF719">
        <v>1</v>
      </c>
      <c r="AG719" t="s">
        <v>269</v>
      </c>
      <c r="AH719" t="s">
        <v>51</v>
      </c>
      <c r="AI719" t="s">
        <v>4</v>
      </c>
      <c r="AJ719">
        <f>$H$719*$P$719</f>
        <v>0</v>
      </c>
      <c r="AK719">
        <f>$H$719*$Q$719</f>
        <v>0</v>
      </c>
      <c r="AL719">
        <f>$H$719*$R$719</f>
        <v>0</v>
      </c>
      <c r="AM719">
        <f>$H$719*$S$719</f>
        <v>299.24</v>
      </c>
      <c r="AN719">
        <f>$H$719*$T$719</f>
        <v>299.24</v>
      </c>
      <c r="AO719">
        <f>$H$719*$U$719</f>
        <v>299.24</v>
      </c>
      <c r="AP719">
        <f>$H$719*$V$719</f>
        <v>299.24</v>
      </c>
      <c r="AQ719">
        <f>$H$719*$W$719</f>
        <v>299.24</v>
      </c>
      <c r="AR719">
        <f>$H$719*$X$719</f>
        <v>299.24</v>
      </c>
      <c r="AS719">
        <f>$H$719*$Y$719</f>
        <v>299.24</v>
      </c>
      <c r="AT719">
        <f>$H$719*$Z$719</f>
        <v>299.24</v>
      </c>
      <c r="AU719">
        <f>$H$719*$AA$719</f>
        <v>299.24</v>
      </c>
      <c r="AV719">
        <f>$H$719*$AB$719</f>
        <v>299.24</v>
      </c>
      <c r="AW719">
        <f>$H$719*$AC$719</f>
        <v>299.24</v>
      </c>
      <c r="AX719">
        <f>$H$719*$AD$719</f>
        <v>299.24</v>
      </c>
      <c r="AY719">
        <f>$H$719*$AE$719</f>
        <v>299.24</v>
      </c>
      <c r="AZ719">
        <f>$H$719*$AF$719</f>
        <v>299.24</v>
      </c>
    </row>
    <row r="720" spans="1:52" x14ac:dyDescent="0.25">
      <c r="A720">
        <v>771</v>
      </c>
      <c r="B720" t="s">
        <v>269</v>
      </c>
      <c r="C720" t="s">
        <v>418</v>
      </c>
      <c r="D720">
        <v>45.67</v>
      </c>
      <c r="E720">
        <v>163.5</v>
      </c>
      <c r="F720" t="s">
        <v>335</v>
      </c>
      <c r="G720">
        <v>3.58</v>
      </c>
      <c r="H720">
        <v>196.2</v>
      </c>
      <c r="I720" t="s">
        <v>416</v>
      </c>
      <c r="J720" t="s">
        <v>419</v>
      </c>
      <c r="K720" t="s">
        <v>587</v>
      </c>
      <c r="L720" t="s">
        <v>178</v>
      </c>
      <c r="M720" t="s">
        <v>269</v>
      </c>
      <c r="N720" t="s">
        <v>51</v>
      </c>
      <c r="O720" t="s">
        <v>4</v>
      </c>
      <c r="P720">
        <v>0</v>
      </c>
      <c r="Q720">
        <v>0</v>
      </c>
      <c r="R720">
        <v>0</v>
      </c>
      <c r="S720">
        <v>1</v>
      </c>
      <c r="T720">
        <v>1</v>
      </c>
      <c r="U720">
        <v>1</v>
      </c>
      <c r="V720">
        <v>1</v>
      </c>
      <c r="W720">
        <v>1</v>
      </c>
      <c r="X720">
        <v>1</v>
      </c>
      <c r="Y720">
        <v>1</v>
      </c>
      <c r="Z720">
        <v>1</v>
      </c>
      <c r="AA720">
        <v>1</v>
      </c>
      <c r="AB720">
        <v>1</v>
      </c>
      <c r="AC720">
        <v>1</v>
      </c>
      <c r="AD720">
        <v>1</v>
      </c>
      <c r="AE720">
        <v>1</v>
      </c>
      <c r="AF720">
        <v>1</v>
      </c>
      <c r="AG720" t="s">
        <v>269</v>
      </c>
      <c r="AH720" t="s">
        <v>51</v>
      </c>
      <c r="AI720" t="s">
        <v>4</v>
      </c>
      <c r="AJ720">
        <f>$H$720*$P$720</f>
        <v>0</v>
      </c>
      <c r="AK720">
        <f>$H$720*$Q$720</f>
        <v>0</v>
      </c>
      <c r="AL720">
        <f>$H$720*$R$720</f>
        <v>0</v>
      </c>
      <c r="AM720">
        <f>$H$720*$S$720</f>
        <v>196.2</v>
      </c>
      <c r="AN720">
        <f>$H$720*$T$720</f>
        <v>196.2</v>
      </c>
      <c r="AO720">
        <f>$H$720*$U$720</f>
        <v>196.2</v>
      </c>
      <c r="AP720">
        <f>$H$720*$V$720</f>
        <v>196.2</v>
      </c>
      <c r="AQ720">
        <f>$H$720*$W$720</f>
        <v>196.2</v>
      </c>
      <c r="AR720">
        <f>$H$720*$X$720</f>
        <v>196.2</v>
      </c>
      <c r="AS720">
        <f>$H$720*$Y$720</f>
        <v>196.2</v>
      </c>
      <c r="AT720">
        <f>$H$720*$Z$720</f>
        <v>196.2</v>
      </c>
      <c r="AU720">
        <f>$H$720*$AA$720</f>
        <v>196.2</v>
      </c>
      <c r="AV720">
        <f>$H$720*$AB$720</f>
        <v>196.2</v>
      </c>
      <c r="AW720">
        <f>$H$720*$AC$720</f>
        <v>196.2</v>
      </c>
      <c r="AX720">
        <f>$H$720*$AD$720</f>
        <v>196.2</v>
      </c>
      <c r="AY720">
        <f>$H$720*$AE$720</f>
        <v>196.2</v>
      </c>
      <c r="AZ720">
        <f>$H$720*$AF$720</f>
        <v>196.2</v>
      </c>
    </row>
    <row r="721" spans="1:52" x14ac:dyDescent="0.25">
      <c r="A721">
        <v>772</v>
      </c>
      <c r="B721" t="s">
        <v>269</v>
      </c>
      <c r="C721" t="s">
        <v>420</v>
      </c>
      <c r="D721">
        <v>45.67</v>
      </c>
      <c r="E721">
        <v>449.85</v>
      </c>
      <c r="F721" t="s">
        <v>335</v>
      </c>
      <c r="G721">
        <v>9.85</v>
      </c>
      <c r="H721">
        <v>539.83000000000004</v>
      </c>
      <c r="I721" t="s">
        <v>416</v>
      </c>
      <c r="J721" t="s">
        <v>414</v>
      </c>
      <c r="K721" t="s">
        <v>588</v>
      </c>
      <c r="L721" t="s">
        <v>178</v>
      </c>
      <c r="M721" t="s">
        <v>269</v>
      </c>
      <c r="N721" t="s">
        <v>51</v>
      </c>
      <c r="O721" t="s">
        <v>4</v>
      </c>
      <c r="P721">
        <v>0</v>
      </c>
      <c r="Q721">
        <v>0</v>
      </c>
      <c r="R721">
        <v>0</v>
      </c>
      <c r="S721">
        <v>1</v>
      </c>
      <c r="T721">
        <v>1</v>
      </c>
      <c r="U721">
        <v>1</v>
      </c>
      <c r="V721">
        <v>1</v>
      </c>
      <c r="W721">
        <v>1</v>
      </c>
      <c r="X721">
        <v>1</v>
      </c>
      <c r="Y721">
        <v>1</v>
      </c>
      <c r="Z721">
        <v>1</v>
      </c>
      <c r="AA721">
        <v>1</v>
      </c>
      <c r="AB721">
        <v>1</v>
      </c>
      <c r="AC721">
        <v>1</v>
      </c>
      <c r="AD721">
        <v>1</v>
      </c>
      <c r="AE721">
        <v>1</v>
      </c>
      <c r="AF721">
        <v>1</v>
      </c>
      <c r="AG721" t="s">
        <v>269</v>
      </c>
      <c r="AH721" t="s">
        <v>51</v>
      </c>
      <c r="AI721" t="s">
        <v>4</v>
      </c>
      <c r="AJ721">
        <f>$H$721*$P$721</f>
        <v>0</v>
      </c>
      <c r="AK721">
        <f>$H$721*$Q$721</f>
        <v>0</v>
      </c>
      <c r="AL721">
        <f>$H$721*$R$721</f>
        <v>0</v>
      </c>
      <c r="AM721">
        <f>$H$721*$S$721</f>
        <v>539.83000000000004</v>
      </c>
      <c r="AN721">
        <f>$H$721*$T$721</f>
        <v>539.83000000000004</v>
      </c>
      <c r="AO721">
        <f>$H$721*$U$721</f>
        <v>539.83000000000004</v>
      </c>
      <c r="AP721">
        <f>$H$721*$V$721</f>
        <v>539.83000000000004</v>
      </c>
      <c r="AQ721">
        <f>$H$721*$W$721</f>
        <v>539.83000000000004</v>
      </c>
      <c r="AR721">
        <f>$H$721*$X$721</f>
        <v>539.83000000000004</v>
      </c>
      <c r="AS721">
        <f>$H$721*$Y$721</f>
        <v>539.83000000000004</v>
      </c>
      <c r="AT721">
        <f>$H$721*$Z$721</f>
        <v>539.83000000000004</v>
      </c>
      <c r="AU721">
        <f>$H$721*$AA$721</f>
        <v>539.83000000000004</v>
      </c>
      <c r="AV721">
        <f>$H$721*$AB$721</f>
        <v>539.83000000000004</v>
      </c>
      <c r="AW721">
        <f>$H$721*$AC$721</f>
        <v>539.83000000000004</v>
      </c>
      <c r="AX721">
        <f>$H$721*$AD$721</f>
        <v>539.83000000000004</v>
      </c>
      <c r="AY721">
        <f>$H$721*$AE$721</f>
        <v>539.83000000000004</v>
      </c>
      <c r="AZ721">
        <f>$H$721*$AF$721</f>
        <v>539.83000000000004</v>
      </c>
    </row>
    <row r="722" spans="1:52" x14ac:dyDescent="0.25">
      <c r="A722">
        <v>773</v>
      </c>
      <c r="B722" t="s">
        <v>269</v>
      </c>
      <c r="C722" t="s">
        <v>421</v>
      </c>
      <c r="D722">
        <v>50.68</v>
      </c>
      <c r="E722">
        <v>49.16</v>
      </c>
      <c r="F722" t="s">
        <v>335</v>
      </c>
      <c r="G722">
        <v>0.97</v>
      </c>
      <c r="H722">
        <v>59</v>
      </c>
      <c r="I722" t="s">
        <v>360</v>
      </c>
      <c r="J722" t="s">
        <v>422</v>
      </c>
      <c r="K722" t="s">
        <v>589</v>
      </c>
      <c r="L722" t="s">
        <v>178</v>
      </c>
      <c r="M722" t="s">
        <v>269</v>
      </c>
      <c r="N722" t="s">
        <v>51</v>
      </c>
      <c r="O722" t="s">
        <v>4</v>
      </c>
      <c r="P722">
        <v>0</v>
      </c>
      <c r="Q722">
        <v>0</v>
      </c>
      <c r="R722">
        <v>0</v>
      </c>
      <c r="S722">
        <v>1</v>
      </c>
      <c r="T722">
        <v>1</v>
      </c>
      <c r="U722">
        <v>1</v>
      </c>
      <c r="V722">
        <v>1</v>
      </c>
      <c r="W722">
        <v>1</v>
      </c>
      <c r="X722">
        <v>1</v>
      </c>
      <c r="Y722">
        <v>1</v>
      </c>
      <c r="Z722">
        <v>1</v>
      </c>
      <c r="AA722">
        <v>1</v>
      </c>
      <c r="AB722">
        <v>1</v>
      </c>
      <c r="AC722">
        <v>1</v>
      </c>
      <c r="AD722">
        <v>1</v>
      </c>
      <c r="AE722">
        <v>1</v>
      </c>
      <c r="AF722">
        <v>1</v>
      </c>
      <c r="AG722" t="s">
        <v>269</v>
      </c>
      <c r="AH722" t="s">
        <v>51</v>
      </c>
      <c r="AI722" t="s">
        <v>4</v>
      </c>
      <c r="AJ722">
        <f>$H$722*$P$722</f>
        <v>0</v>
      </c>
      <c r="AK722">
        <f>$H$722*$Q$722</f>
        <v>0</v>
      </c>
      <c r="AL722">
        <f>$H$722*$R$722</f>
        <v>0</v>
      </c>
      <c r="AM722">
        <f>$H$722*$S$722</f>
        <v>59</v>
      </c>
      <c r="AN722">
        <f>$H$722*$T$722</f>
        <v>59</v>
      </c>
      <c r="AO722">
        <f>$H$722*$U$722</f>
        <v>59</v>
      </c>
      <c r="AP722">
        <f>$H$722*$V$722</f>
        <v>59</v>
      </c>
      <c r="AQ722">
        <f>$H$722*$W$722</f>
        <v>59</v>
      </c>
      <c r="AR722">
        <f>$H$722*$X$722</f>
        <v>59</v>
      </c>
      <c r="AS722">
        <f>$H$722*$Y$722</f>
        <v>59</v>
      </c>
      <c r="AT722">
        <f>$H$722*$Z$722</f>
        <v>59</v>
      </c>
      <c r="AU722">
        <f>$H$722*$AA$722</f>
        <v>59</v>
      </c>
      <c r="AV722">
        <f>$H$722*$AB$722</f>
        <v>59</v>
      </c>
      <c r="AW722">
        <f>$H$722*$AC$722</f>
        <v>59</v>
      </c>
      <c r="AX722">
        <f>$H$722*$AD$722</f>
        <v>59</v>
      </c>
      <c r="AY722">
        <f>$H$722*$AE$722</f>
        <v>59</v>
      </c>
      <c r="AZ722">
        <f>$H$722*$AF$722</f>
        <v>59</v>
      </c>
    </row>
    <row r="723" spans="1:52" x14ac:dyDescent="0.25">
      <c r="A723">
        <v>774</v>
      </c>
      <c r="B723" t="s">
        <v>269</v>
      </c>
      <c r="C723" t="s">
        <v>423</v>
      </c>
      <c r="D723">
        <v>50.68</v>
      </c>
      <c r="E723">
        <v>388.21</v>
      </c>
      <c r="F723" t="s">
        <v>335</v>
      </c>
      <c r="G723">
        <v>7.66</v>
      </c>
      <c r="H723">
        <v>465.85</v>
      </c>
      <c r="I723" t="s">
        <v>360</v>
      </c>
      <c r="J723" t="s">
        <v>414</v>
      </c>
      <c r="K723" t="s">
        <v>590</v>
      </c>
      <c r="L723" t="s">
        <v>178</v>
      </c>
      <c r="M723" t="s">
        <v>269</v>
      </c>
      <c r="N723" t="s">
        <v>51</v>
      </c>
      <c r="O723" t="s">
        <v>4</v>
      </c>
      <c r="P723">
        <v>0</v>
      </c>
      <c r="Q723">
        <v>0</v>
      </c>
      <c r="R723">
        <v>0</v>
      </c>
      <c r="S723">
        <v>1</v>
      </c>
      <c r="T723">
        <v>1</v>
      </c>
      <c r="U723">
        <v>1</v>
      </c>
      <c r="V723">
        <v>1</v>
      </c>
      <c r="W723">
        <v>1</v>
      </c>
      <c r="X723">
        <v>1</v>
      </c>
      <c r="Y723">
        <v>1</v>
      </c>
      <c r="Z723">
        <v>1</v>
      </c>
      <c r="AA723">
        <v>1</v>
      </c>
      <c r="AB723">
        <v>1</v>
      </c>
      <c r="AC723">
        <v>1</v>
      </c>
      <c r="AD723">
        <v>1</v>
      </c>
      <c r="AE723">
        <v>1</v>
      </c>
      <c r="AF723">
        <v>1</v>
      </c>
      <c r="AG723" t="s">
        <v>269</v>
      </c>
      <c r="AH723" t="s">
        <v>51</v>
      </c>
      <c r="AI723" t="s">
        <v>4</v>
      </c>
      <c r="AJ723">
        <f>$H$723*$P$723</f>
        <v>0</v>
      </c>
      <c r="AK723">
        <f>$H$723*$Q$723</f>
        <v>0</v>
      </c>
      <c r="AL723">
        <f>$H$723*$R$723</f>
        <v>0</v>
      </c>
      <c r="AM723">
        <f>$H$723*$S$723</f>
        <v>465.85</v>
      </c>
      <c r="AN723">
        <f>$H$723*$T$723</f>
        <v>465.85</v>
      </c>
      <c r="AO723">
        <f>$H$723*$U$723</f>
        <v>465.85</v>
      </c>
      <c r="AP723">
        <f>$H$723*$V$723</f>
        <v>465.85</v>
      </c>
      <c r="AQ723">
        <f>$H$723*$W$723</f>
        <v>465.85</v>
      </c>
      <c r="AR723">
        <f>$H$723*$X$723</f>
        <v>465.85</v>
      </c>
      <c r="AS723">
        <f>$H$723*$Y$723</f>
        <v>465.85</v>
      </c>
      <c r="AT723">
        <f>$H$723*$Z$723</f>
        <v>465.85</v>
      </c>
      <c r="AU723">
        <f>$H$723*$AA$723</f>
        <v>465.85</v>
      </c>
      <c r="AV723">
        <f>$H$723*$AB$723</f>
        <v>465.85</v>
      </c>
      <c r="AW723">
        <f>$H$723*$AC$723</f>
        <v>465.85</v>
      </c>
      <c r="AX723">
        <f>$H$723*$AD$723</f>
        <v>465.85</v>
      </c>
      <c r="AY723">
        <f>$H$723*$AE$723</f>
        <v>465.85</v>
      </c>
      <c r="AZ723">
        <f>$H$723*$AF$723</f>
        <v>465.85</v>
      </c>
    </row>
    <row r="724" spans="1:52" x14ac:dyDescent="0.25">
      <c r="A724">
        <v>775</v>
      </c>
      <c r="B724" t="s">
        <v>271</v>
      </c>
      <c r="C724" t="s">
        <v>318</v>
      </c>
      <c r="D724">
        <v>1</v>
      </c>
      <c r="E724">
        <v>60.4</v>
      </c>
      <c r="F724" t="s">
        <v>317</v>
      </c>
      <c r="G724">
        <v>60.4</v>
      </c>
      <c r="H724">
        <v>72.48</v>
      </c>
      <c r="I724" t="s">
        <v>319</v>
      </c>
      <c r="J724" t="s">
        <v>320</v>
      </c>
      <c r="K724" t="s">
        <v>540</v>
      </c>
      <c r="L724" t="s">
        <v>178</v>
      </c>
      <c r="M724" t="s">
        <v>271</v>
      </c>
      <c r="N724" t="s">
        <v>11</v>
      </c>
      <c r="O724" t="s">
        <v>4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1</v>
      </c>
      <c r="AE724">
        <v>1</v>
      </c>
      <c r="AF724">
        <v>1</v>
      </c>
      <c r="AG724" t="s">
        <v>271</v>
      </c>
      <c r="AH724" t="s">
        <v>11</v>
      </c>
      <c r="AI724" t="s">
        <v>4</v>
      </c>
      <c r="AJ724">
        <f>$H$724*$P$724</f>
        <v>0</v>
      </c>
      <c r="AK724">
        <f>$H$724*$Q$724</f>
        <v>0</v>
      </c>
      <c r="AL724">
        <f>$H$724*$R$724</f>
        <v>0</v>
      </c>
      <c r="AM724">
        <f>$H$724*$S$724</f>
        <v>0</v>
      </c>
      <c r="AN724">
        <f>$H$724*$T$724</f>
        <v>0</v>
      </c>
      <c r="AO724">
        <f>$H$724*$U$724</f>
        <v>0</v>
      </c>
      <c r="AP724">
        <f>$H$724*$V$724</f>
        <v>0</v>
      </c>
      <c r="AQ724">
        <f>$H$724*$W$724</f>
        <v>0</v>
      </c>
      <c r="AR724">
        <f>$H$724*$X$724</f>
        <v>0</v>
      </c>
      <c r="AS724">
        <f>$H$724*$Y$724</f>
        <v>0</v>
      </c>
      <c r="AT724">
        <f>$H$724*$Z$724</f>
        <v>0</v>
      </c>
      <c r="AU724">
        <f>$H$724*$AA$724</f>
        <v>0</v>
      </c>
      <c r="AV724">
        <f>$H$724*$AB$724</f>
        <v>0</v>
      </c>
      <c r="AW724">
        <f>$H$724*$AC$724</f>
        <v>0</v>
      </c>
      <c r="AX724">
        <f>$H$724*$AD$724</f>
        <v>72.48</v>
      </c>
      <c r="AY724">
        <f>$H$724*$AE$724</f>
        <v>72.48</v>
      </c>
      <c r="AZ724">
        <f>$H$724*$AF$724</f>
        <v>72.48</v>
      </c>
    </row>
    <row r="725" spans="1:52" x14ac:dyDescent="0.25">
      <c r="A725">
        <v>776</v>
      </c>
      <c r="B725" t="s">
        <v>271</v>
      </c>
      <c r="C725" t="s">
        <v>341</v>
      </c>
      <c r="D725">
        <v>5</v>
      </c>
      <c r="E725">
        <v>22.2</v>
      </c>
      <c r="F725" t="s">
        <v>311</v>
      </c>
      <c r="G725">
        <v>4.4400000000000004</v>
      </c>
      <c r="H725">
        <v>26.64</v>
      </c>
      <c r="I725" t="s">
        <v>312</v>
      </c>
      <c r="J725" t="s">
        <v>342</v>
      </c>
      <c r="K725" t="s">
        <v>550</v>
      </c>
      <c r="L725" t="s">
        <v>178</v>
      </c>
      <c r="M725" t="s">
        <v>271</v>
      </c>
      <c r="N725" t="s">
        <v>11</v>
      </c>
      <c r="O725" t="s">
        <v>4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1</v>
      </c>
      <c r="AB725">
        <v>1</v>
      </c>
      <c r="AC725">
        <v>1</v>
      </c>
      <c r="AD725">
        <v>1</v>
      </c>
      <c r="AE725">
        <v>1</v>
      </c>
      <c r="AF725">
        <v>1</v>
      </c>
      <c r="AG725" t="s">
        <v>271</v>
      </c>
      <c r="AH725" t="s">
        <v>11</v>
      </c>
      <c r="AI725" t="s">
        <v>4</v>
      </c>
      <c r="AJ725">
        <f>$H$725*$P$725</f>
        <v>0</v>
      </c>
      <c r="AK725">
        <f>$H$725*$Q$725</f>
        <v>0</v>
      </c>
      <c r="AL725">
        <f>$H$725*$R$725</f>
        <v>0</v>
      </c>
      <c r="AM725">
        <f>$H$725*$S$725</f>
        <v>0</v>
      </c>
      <c r="AN725">
        <f>$H$725*$T$725</f>
        <v>0</v>
      </c>
      <c r="AO725">
        <f>$H$725*$U$725</f>
        <v>0</v>
      </c>
      <c r="AP725">
        <f>$H$725*$V$725</f>
        <v>0</v>
      </c>
      <c r="AQ725">
        <f>$H$725*$W$725</f>
        <v>0</v>
      </c>
      <c r="AR725">
        <f>$H$725*$X$725</f>
        <v>0</v>
      </c>
      <c r="AS725">
        <f>$H$725*$Y$725</f>
        <v>0</v>
      </c>
      <c r="AT725">
        <f>$H$725*$Z$725</f>
        <v>0</v>
      </c>
      <c r="AU725">
        <f>$H$725*$AA$725</f>
        <v>26.64</v>
      </c>
      <c r="AV725">
        <f>$H$725*$AB$725</f>
        <v>26.64</v>
      </c>
      <c r="AW725">
        <f>$H$725*$AC$725</f>
        <v>26.64</v>
      </c>
      <c r="AX725">
        <f>$H$725*$AD$725</f>
        <v>26.64</v>
      </c>
      <c r="AY725">
        <f>$H$725*$AE$725</f>
        <v>26.64</v>
      </c>
      <c r="AZ725">
        <f>$H$725*$AF$725</f>
        <v>26.64</v>
      </c>
    </row>
    <row r="726" spans="1:52" x14ac:dyDescent="0.25">
      <c r="A726">
        <v>777</v>
      </c>
      <c r="B726" t="s">
        <v>271</v>
      </c>
      <c r="C726" t="s">
        <v>343</v>
      </c>
      <c r="D726">
        <v>5</v>
      </c>
      <c r="E726">
        <v>57.75</v>
      </c>
      <c r="F726" t="s">
        <v>311</v>
      </c>
      <c r="G726">
        <v>11.55</v>
      </c>
      <c r="H726">
        <v>69.31</v>
      </c>
      <c r="I726" t="s">
        <v>315</v>
      </c>
      <c r="J726" t="s">
        <v>344</v>
      </c>
      <c r="K726" t="s">
        <v>551</v>
      </c>
      <c r="L726" t="s">
        <v>178</v>
      </c>
      <c r="M726" t="s">
        <v>271</v>
      </c>
      <c r="N726" t="s">
        <v>11</v>
      </c>
      <c r="O726" t="s">
        <v>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1</v>
      </c>
      <c r="AB726">
        <v>1</v>
      </c>
      <c r="AC726">
        <v>1</v>
      </c>
      <c r="AD726">
        <v>1</v>
      </c>
      <c r="AE726">
        <v>1</v>
      </c>
      <c r="AF726">
        <v>1</v>
      </c>
      <c r="AG726" t="s">
        <v>271</v>
      </c>
      <c r="AH726" t="s">
        <v>11</v>
      </c>
      <c r="AI726" t="s">
        <v>4</v>
      </c>
      <c r="AJ726">
        <f>$H$726*$P$726</f>
        <v>0</v>
      </c>
      <c r="AK726">
        <f>$H$726*$Q$726</f>
        <v>0</v>
      </c>
      <c r="AL726">
        <f>$H$726*$R$726</f>
        <v>0</v>
      </c>
      <c r="AM726">
        <f>$H$726*$S$726</f>
        <v>0</v>
      </c>
      <c r="AN726">
        <f>$H$726*$T$726</f>
        <v>0</v>
      </c>
      <c r="AO726">
        <f>$H$726*$U$726</f>
        <v>0</v>
      </c>
      <c r="AP726">
        <f>$H$726*$V$726</f>
        <v>0</v>
      </c>
      <c r="AQ726">
        <f>$H$726*$W$726</f>
        <v>0</v>
      </c>
      <c r="AR726">
        <f>$H$726*$X$726</f>
        <v>0</v>
      </c>
      <c r="AS726">
        <f>$H$726*$Y$726</f>
        <v>0</v>
      </c>
      <c r="AT726">
        <f>$H$726*$Z$726</f>
        <v>0</v>
      </c>
      <c r="AU726">
        <f>$H$726*$AA$726</f>
        <v>69.31</v>
      </c>
      <c r="AV726">
        <f>$H$726*$AB$726</f>
        <v>69.31</v>
      </c>
      <c r="AW726">
        <f>$H$726*$AC$726</f>
        <v>69.31</v>
      </c>
      <c r="AX726">
        <f>$H$726*$AD$726</f>
        <v>69.31</v>
      </c>
      <c r="AY726">
        <f>$H$726*$AE$726</f>
        <v>69.31</v>
      </c>
      <c r="AZ726">
        <f>$H$726*$AF$726</f>
        <v>69.31</v>
      </c>
    </row>
    <row r="727" spans="1:52" x14ac:dyDescent="0.25">
      <c r="A727">
        <v>778</v>
      </c>
      <c r="B727" t="s">
        <v>271</v>
      </c>
      <c r="C727" t="s">
        <v>395</v>
      </c>
      <c r="D727">
        <v>5</v>
      </c>
      <c r="E727">
        <v>23.75</v>
      </c>
      <c r="F727" t="s">
        <v>311</v>
      </c>
      <c r="G727">
        <v>4.75</v>
      </c>
      <c r="H727">
        <v>28.51</v>
      </c>
      <c r="I727" t="s">
        <v>315</v>
      </c>
      <c r="J727" t="s">
        <v>396</v>
      </c>
      <c r="K727" t="s">
        <v>576</v>
      </c>
      <c r="L727" t="s">
        <v>178</v>
      </c>
      <c r="M727" t="s">
        <v>271</v>
      </c>
      <c r="N727" t="s">
        <v>11</v>
      </c>
      <c r="O727" t="s">
        <v>4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1</v>
      </c>
      <c r="AD727">
        <v>1</v>
      </c>
      <c r="AE727">
        <v>1</v>
      </c>
      <c r="AF727">
        <v>1</v>
      </c>
      <c r="AG727" t="s">
        <v>271</v>
      </c>
      <c r="AH727" t="s">
        <v>11</v>
      </c>
      <c r="AI727" t="s">
        <v>4</v>
      </c>
      <c r="AJ727">
        <f>$H$727*$P$727</f>
        <v>0</v>
      </c>
      <c r="AK727">
        <f>$H$727*$Q$727</f>
        <v>0</v>
      </c>
      <c r="AL727">
        <f>$H$727*$R$727</f>
        <v>0</v>
      </c>
      <c r="AM727">
        <f>$H$727*$S$727</f>
        <v>0</v>
      </c>
      <c r="AN727">
        <f>$H$727*$T$727</f>
        <v>0</v>
      </c>
      <c r="AO727">
        <f>$H$727*$U$727</f>
        <v>0</v>
      </c>
      <c r="AP727">
        <f>$H$727*$V$727</f>
        <v>0</v>
      </c>
      <c r="AQ727">
        <f>$H$727*$W$727</f>
        <v>0</v>
      </c>
      <c r="AR727">
        <f>$H$727*$X$727</f>
        <v>0</v>
      </c>
      <c r="AS727">
        <f>$H$727*$Y$727</f>
        <v>0</v>
      </c>
      <c r="AT727">
        <f>$H$727*$Z$727</f>
        <v>0</v>
      </c>
      <c r="AU727">
        <f>$H$727*$AA$727</f>
        <v>0</v>
      </c>
      <c r="AV727">
        <f>$H$727*$AB$727</f>
        <v>0</v>
      </c>
      <c r="AW727">
        <f>$H$727*$AC$727</f>
        <v>28.51</v>
      </c>
      <c r="AX727">
        <f>$H$727*$AD$727</f>
        <v>28.51</v>
      </c>
      <c r="AY727">
        <f>$H$727*$AE$727</f>
        <v>28.51</v>
      </c>
      <c r="AZ727">
        <f>$H$727*$AF$727</f>
        <v>28.51</v>
      </c>
    </row>
    <row r="728" spans="1:52" x14ac:dyDescent="0.25">
      <c r="A728">
        <v>779</v>
      </c>
      <c r="B728" t="s">
        <v>271</v>
      </c>
      <c r="C728" t="s">
        <v>397</v>
      </c>
      <c r="D728">
        <v>6</v>
      </c>
      <c r="E728">
        <v>79.62</v>
      </c>
      <c r="F728" t="s">
        <v>317</v>
      </c>
      <c r="G728">
        <v>13.27</v>
      </c>
      <c r="H728">
        <v>95.54</v>
      </c>
      <c r="I728" t="s">
        <v>319</v>
      </c>
      <c r="J728" t="s">
        <v>398</v>
      </c>
      <c r="K728" t="s">
        <v>577</v>
      </c>
      <c r="L728" t="s">
        <v>178</v>
      </c>
      <c r="M728" t="s">
        <v>271</v>
      </c>
      <c r="N728" t="s">
        <v>11</v>
      </c>
      <c r="O728" t="s">
        <v>4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1</v>
      </c>
      <c r="Y728">
        <v>1</v>
      </c>
      <c r="Z728">
        <v>1</v>
      </c>
      <c r="AA728">
        <v>1</v>
      </c>
      <c r="AB728">
        <v>1</v>
      </c>
      <c r="AC728">
        <v>1</v>
      </c>
      <c r="AD728">
        <v>1</v>
      </c>
      <c r="AE728">
        <v>1</v>
      </c>
      <c r="AF728">
        <v>1</v>
      </c>
      <c r="AG728" t="s">
        <v>271</v>
      </c>
      <c r="AH728" t="s">
        <v>11</v>
      </c>
      <c r="AI728" t="s">
        <v>4</v>
      </c>
      <c r="AJ728">
        <f>$H$728*$P$728</f>
        <v>0</v>
      </c>
      <c r="AK728">
        <f>$H$728*$Q$728</f>
        <v>0</v>
      </c>
      <c r="AL728">
        <f>$H$728*$R$728</f>
        <v>0</v>
      </c>
      <c r="AM728">
        <f>$H$728*$S$728</f>
        <v>0</v>
      </c>
      <c r="AN728">
        <f>$H$728*$T$728</f>
        <v>0</v>
      </c>
      <c r="AO728">
        <f>$H$728*$U$728</f>
        <v>0</v>
      </c>
      <c r="AP728">
        <f>$H$728*$V$728</f>
        <v>0</v>
      </c>
      <c r="AQ728">
        <f>$H$728*$W$728</f>
        <v>0</v>
      </c>
      <c r="AR728">
        <f>$H$728*$X$728</f>
        <v>95.54</v>
      </c>
      <c r="AS728">
        <f>$H$728*$Y$728</f>
        <v>95.54</v>
      </c>
      <c r="AT728">
        <f>$H$728*$Z$728</f>
        <v>95.54</v>
      </c>
      <c r="AU728">
        <f>$H$728*$AA$728</f>
        <v>95.54</v>
      </c>
      <c r="AV728">
        <f>$H$728*$AB$728</f>
        <v>95.54</v>
      </c>
      <c r="AW728">
        <f>$H$728*$AC$728</f>
        <v>95.54</v>
      </c>
      <c r="AX728">
        <f>$H$728*$AD$728</f>
        <v>95.54</v>
      </c>
      <c r="AY728">
        <f>$H$728*$AE$728</f>
        <v>95.54</v>
      </c>
      <c r="AZ728">
        <f>$H$728*$AF$728</f>
        <v>95.54</v>
      </c>
    </row>
    <row r="729" spans="1:52" x14ac:dyDescent="0.25">
      <c r="A729">
        <v>780</v>
      </c>
      <c r="B729" t="s">
        <v>271</v>
      </c>
      <c r="C729" t="s">
        <v>399</v>
      </c>
      <c r="D729">
        <v>1</v>
      </c>
      <c r="E729">
        <v>63.51</v>
      </c>
      <c r="F729" t="s">
        <v>317</v>
      </c>
      <c r="G729">
        <v>63.51</v>
      </c>
      <c r="H729">
        <v>76.209999999999994</v>
      </c>
      <c r="I729" t="s">
        <v>322</v>
      </c>
      <c r="J729" t="s">
        <v>355</v>
      </c>
      <c r="K729" t="s">
        <v>578</v>
      </c>
      <c r="L729" t="s">
        <v>178</v>
      </c>
      <c r="M729" t="s">
        <v>271</v>
      </c>
      <c r="N729" t="s">
        <v>11</v>
      </c>
      <c r="O729" t="s">
        <v>4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1</v>
      </c>
      <c r="AE729">
        <v>1</v>
      </c>
      <c r="AF729">
        <v>1</v>
      </c>
      <c r="AG729" t="s">
        <v>271</v>
      </c>
      <c r="AH729" t="s">
        <v>11</v>
      </c>
      <c r="AI729" t="s">
        <v>4</v>
      </c>
      <c r="AJ729">
        <f>$H$729*$P$729</f>
        <v>0</v>
      </c>
      <c r="AK729">
        <f>$H$729*$Q$729</f>
        <v>0</v>
      </c>
      <c r="AL729">
        <f>$H$729*$R$729</f>
        <v>0</v>
      </c>
      <c r="AM729">
        <f>$H$729*$S$729</f>
        <v>0</v>
      </c>
      <c r="AN729">
        <f>$H$729*$T$729</f>
        <v>0</v>
      </c>
      <c r="AO729">
        <f>$H$729*$U$729</f>
        <v>0</v>
      </c>
      <c r="AP729">
        <f>$H$729*$V$729</f>
        <v>0</v>
      </c>
      <c r="AQ729">
        <f>$H$729*$W$729</f>
        <v>0</v>
      </c>
      <c r="AR729">
        <f>$H$729*$X$729</f>
        <v>0</v>
      </c>
      <c r="AS729">
        <f>$H$729*$Y$729</f>
        <v>0</v>
      </c>
      <c r="AT729">
        <f>$H$729*$Z$729</f>
        <v>0</v>
      </c>
      <c r="AU729">
        <f>$H$729*$AA$729</f>
        <v>0</v>
      </c>
      <c r="AV729">
        <f>$H$729*$AB$729</f>
        <v>0</v>
      </c>
      <c r="AW729">
        <f>$H$729*$AC$729</f>
        <v>0</v>
      </c>
      <c r="AX729">
        <f>$H$729*$AD$729</f>
        <v>76.209999999999994</v>
      </c>
      <c r="AY729">
        <f>$H$729*$AE$729</f>
        <v>76.209999999999994</v>
      </c>
      <c r="AZ729">
        <f>$H$729*$AF$729</f>
        <v>76.209999999999994</v>
      </c>
    </row>
    <row r="730" spans="1:52" x14ac:dyDescent="0.25">
      <c r="A730">
        <v>781</v>
      </c>
      <c r="B730" t="s">
        <v>271</v>
      </c>
      <c r="C730" t="s">
        <v>350</v>
      </c>
      <c r="D730">
        <v>1</v>
      </c>
      <c r="E730">
        <v>47.96</v>
      </c>
      <c r="F730" t="s">
        <v>317</v>
      </c>
      <c r="G730">
        <v>47.96</v>
      </c>
      <c r="H730">
        <v>57.56</v>
      </c>
      <c r="I730" t="s">
        <v>351</v>
      </c>
      <c r="J730" t="s">
        <v>352</v>
      </c>
      <c r="K730" t="s">
        <v>554</v>
      </c>
      <c r="L730" t="s">
        <v>178</v>
      </c>
      <c r="M730" t="s">
        <v>271</v>
      </c>
      <c r="N730" t="s">
        <v>11</v>
      </c>
      <c r="O730" t="s">
        <v>4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1</v>
      </c>
      <c r="AB730">
        <v>1</v>
      </c>
      <c r="AC730">
        <v>1</v>
      </c>
      <c r="AD730">
        <v>1</v>
      </c>
      <c r="AE730">
        <v>1</v>
      </c>
      <c r="AF730">
        <v>1</v>
      </c>
      <c r="AG730" t="s">
        <v>271</v>
      </c>
      <c r="AH730" t="s">
        <v>11</v>
      </c>
      <c r="AI730" t="s">
        <v>4</v>
      </c>
      <c r="AJ730">
        <f>$H$730*$P$730</f>
        <v>0</v>
      </c>
      <c r="AK730">
        <f>$H$730*$Q$730</f>
        <v>0</v>
      </c>
      <c r="AL730">
        <f>$H$730*$R$730</f>
        <v>0</v>
      </c>
      <c r="AM730">
        <f>$H$730*$S$730</f>
        <v>0</v>
      </c>
      <c r="AN730">
        <f>$H$730*$T$730</f>
        <v>0</v>
      </c>
      <c r="AO730">
        <f>$H$730*$U$730</f>
        <v>0</v>
      </c>
      <c r="AP730">
        <f>$H$730*$V$730</f>
        <v>0</v>
      </c>
      <c r="AQ730">
        <f>$H$730*$W$730</f>
        <v>0</v>
      </c>
      <c r="AR730">
        <f>$H$730*$X$730</f>
        <v>0</v>
      </c>
      <c r="AS730">
        <f>$H$730*$Y$730</f>
        <v>0</v>
      </c>
      <c r="AT730">
        <f>$H$730*$Z$730</f>
        <v>0</v>
      </c>
      <c r="AU730">
        <f>$H$730*$AA$730</f>
        <v>57.56</v>
      </c>
      <c r="AV730">
        <f>$H$730*$AB$730</f>
        <v>57.56</v>
      </c>
      <c r="AW730">
        <f>$H$730*$AC$730</f>
        <v>57.56</v>
      </c>
      <c r="AX730">
        <f>$H$730*$AD$730</f>
        <v>57.56</v>
      </c>
      <c r="AY730">
        <f>$H$730*$AE$730</f>
        <v>57.56</v>
      </c>
      <c r="AZ730">
        <f>$H$730*$AF$730</f>
        <v>57.56</v>
      </c>
    </row>
    <row r="731" spans="1:52" x14ac:dyDescent="0.25">
      <c r="A731">
        <v>782</v>
      </c>
      <c r="B731" t="s">
        <v>271</v>
      </c>
      <c r="C731" t="s">
        <v>485</v>
      </c>
      <c r="D731">
        <v>2</v>
      </c>
      <c r="E731">
        <v>110.04</v>
      </c>
      <c r="F731" t="s">
        <v>317</v>
      </c>
      <c r="G731">
        <v>55.02</v>
      </c>
      <c r="H731">
        <v>132.04</v>
      </c>
      <c r="I731" t="s">
        <v>312</v>
      </c>
      <c r="J731" t="s">
        <v>486</v>
      </c>
      <c r="K731" t="s">
        <v>622</v>
      </c>
      <c r="L731" t="s">
        <v>178</v>
      </c>
      <c r="M731" t="s">
        <v>271</v>
      </c>
      <c r="N731" t="s">
        <v>11</v>
      </c>
      <c r="O731" t="s">
        <v>4</v>
      </c>
      <c r="P731">
        <v>0</v>
      </c>
      <c r="Q731">
        <v>0</v>
      </c>
      <c r="R731">
        <v>0</v>
      </c>
      <c r="S731">
        <v>1</v>
      </c>
      <c r="T731">
        <v>1</v>
      </c>
      <c r="U731">
        <v>1</v>
      </c>
      <c r="V731">
        <v>1</v>
      </c>
      <c r="W731">
        <v>1</v>
      </c>
      <c r="X731">
        <v>1</v>
      </c>
      <c r="Y731">
        <v>1</v>
      </c>
      <c r="Z731">
        <v>1</v>
      </c>
      <c r="AA731">
        <v>1</v>
      </c>
      <c r="AB731">
        <v>1</v>
      </c>
      <c r="AC731">
        <v>1</v>
      </c>
      <c r="AD731">
        <v>1</v>
      </c>
      <c r="AE731">
        <v>1</v>
      </c>
      <c r="AF731">
        <v>1</v>
      </c>
      <c r="AG731" t="s">
        <v>271</v>
      </c>
      <c r="AH731" t="s">
        <v>11</v>
      </c>
      <c r="AI731" t="s">
        <v>4</v>
      </c>
      <c r="AJ731">
        <f>$H$731*$P$731</f>
        <v>0</v>
      </c>
      <c r="AK731">
        <f>$H$731*$Q$731</f>
        <v>0</v>
      </c>
      <c r="AL731">
        <f>$H$731*$R$731</f>
        <v>0</v>
      </c>
      <c r="AM731">
        <f>$H$731*$S$731</f>
        <v>132.04</v>
      </c>
      <c r="AN731">
        <f>$H$731*$T$731</f>
        <v>132.04</v>
      </c>
      <c r="AO731">
        <f>$H$731*$U$731</f>
        <v>132.04</v>
      </c>
      <c r="AP731">
        <f>$H$731*$V$731</f>
        <v>132.04</v>
      </c>
      <c r="AQ731">
        <f>$H$731*$W$731</f>
        <v>132.04</v>
      </c>
      <c r="AR731">
        <f>$H$731*$X$731</f>
        <v>132.04</v>
      </c>
      <c r="AS731">
        <f>$H$731*$Y$731</f>
        <v>132.04</v>
      </c>
      <c r="AT731">
        <f>$H$731*$Z$731</f>
        <v>132.04</v>
      </c>
      <c r="AU731">
        <f>$H$731*$AA$731</f>
        <v>132.04</v>
      </c>
      <c r="AV731">
        <f>$H$731*$AB$731</f>
        <v>132.04</v>
      </c>
      <c r="AW731">
        <f>$H$731*$AC$731</f>
        <v>132.04</v>
      </c>
      <c r="AX731">
        <f>$H$731*$AD$731</f>
        <v>132.04</v>
      </c>
      <c r="AY731">
        <f>$H$731*$AE$731</f>
        <v>132.04</v>
      </c>
      <c r="AZ731">
        <f>$H$731*$AF$731</f>
        <v>132.04</v>
      </c>
    </row>
    <row r="732" spans="1:52" x14ac:dyDescent="0.25">
      <c r="A732">
        <v>783</v>
      </c>
      <c r="B732" t="s">
        <v>271</v>
      </c>
      <c r="C732" t="s">
        <v>487</v>
      </c>
      <c r="D732">
        <v>1</v>
      </c>
      <c r="E732">
        <v>415.62</v>
      </c>
      <c r="F732" t="s">
        <v>317</v>
      </c>
      <c r="G732">
        <v>415.62</v>
      </c>
      <c r="H732">
        <v>498.74</v>
      </c>
      <c r="I732" t="s">
        <v>354</v>
      </c>
      <c r="J732" t="s">
        <v>486</v>
      </c>
      <c r="K732" t="s">
        <v>623</v>
      </c>
      <c r="L732" t="s">
        <v>178</v>
      </c>
      <c r="M732" t="s">
        <v>271</v>
      </c>
      <c r="N732" t="s">
        <v>11</v>
      </c>
      <c r="O732" t="s">
        <v>4</v>
      </c>
      <c r="P732">
        <v>0</v>
      </c>
      <c r="Q732">
        <v>0</v>
      </c>
      <c r="R732">
        <v>0</v>
      </c>
      <c r="S732">
        <v>0</v>
      </c>
      <c r="T732">
        <v>1</v>
      </c>
      <c r="U732">
        <v>1</v>
      </c>
      <c r="V732">
        <v>1</v>
      </c>
      <c r="W732">
        <v>1</v>
      </c>
      <c r="X732">
        <v>1</v>
      </c>
      <c r="Y732">
        <v>1</v>
      </c>
      <c r="Z732">
        <v>1</v>
      </c>
      <c r="AA732">
        <v>1</v>
      </c>
      <c r="AB732">
        <v>1</v>
      </c>
      <c r="AC732">
        <v>1</v>
      </c>
      <c r="AD732">
        <v>1</v>
      </c>
      <c r="AE732">
        <v>1</v>
      </c>
      <c r="AF732">
        <v>1</v>
      </c>
      <c r="AG732" t="s">
        <v>271</v>
      </c>
      <c r="AH732" t="s">
        <v>11</v>
      </c>
      <c r="AI732" t="s">
        <v>4</v>
      </c>
      <c r="AJ732">
        <f>$H$732*$P$732</f>
        <v>0</v>
      </c>
      <c r="AK732">
        <f>$H$732*$Q$732</f>
        <v>0</v>
      </c>
      <c r="AL732">
        <f>$H$732*$R$732</f>
        <v>0</v>
      </c>
      <c r="AM732">
        <f>$H$732*$S$732</f>
        <v>0</v>
      </c>
      <c r="AN732">
        <f>$H$732*$T$732</f>
        <v>498.74</v>
      </c>
      <c r="AO732">
        <f>$H$732*$U$732</f>
        <v>498.74</v>
      </c>
      <c r="AP732">
        <f>$H$732*$V$732</f>
        <v>498.74</v>
      </c>
      <c r="AQ732">
        <f>$H$732*$W$732</f>
        <v>498.74</v>
      </c>
      <c r="AR732">
        <f>$H$732*$X$732</f>
        <v>498.74</v>
      </c>
      <c r="AS732">
        <f>$H$732*$Y$732</f>
        <v>498.74</v>
      </c>
      <c r="AT732">
        <f>$H$732*$Z$732</f>
        <v>498.74</v>
      </c>
      <c r="AU732">
        <f>$H$732*$AA$732</f>
        <v>498.74</v>
      </c>
      <c r="AV732">
        <f>$H$732*$AB$732</f>
        <v>498.74</v>
      </c>
      <c r="AW732">
        <f>$H$732*$AC$732</f>
        <v>498.74</v>
      </c>
      <c r="AX732">
        <f>$H$732*$AD$732</f>
        <v>498.74</v>
      </c>
      <c r="AY732">
        <f>$H$732*$AE$732</f>
        <v>498.74</v>
      </c>
      <c r="AZ732">
        <f>$H$732*$AF$732</f>
        <v>498.74</v>
      </c>
    </row>
    <row r="733" spans="1:52" x14ac:dyDescent="0.25">
      <c r="A733">
        <v>784</v>
      </c>
      <c r="B733" t="s">
        <v>271</v>
      </c>
      <c r="C733" t="s">
        <v>358</v>
      </c>
      <c r="D733">
        <v>2</v>
      </c>
      <c r="E733">
        <v>77.86</v>
      </c>
      <c r="F733" t="s">
        <v>317</v>
      </c>
      <c r="G733">
        <v>38.93</v>
      </c>
      <c r="H733">
        <v>93.44</v>
      </c>
      <c r="I733" t="s">
        <v>312</v>
      </c>
      <c r="J733" t="s">
        <v>354</v>
      </c>
      <c r="K733" t="s">
        <v>557</v>
      </c>
      <c r="L733" t="s">
        <v>178</v>
      </c>
      <c r="M733" t="s">
        <v>271</v>
      </c>
      <c r="N733" t="s">
        <v>11</v>
      </c>
      <c r="O733" t="s">
        <v>4</v>
      </c>
      <c r="P733">
        <v>0</v>
      </c>
      <c r="Q733">
        <v>0</v>
      </c>
      <c r="R733">
        <v>0</v>
      </c>
      <c r="S733">
        <v>1</v>
      </c>
      <c r="T733">
        <v>1</v>
      </c>
      <c r="U733">
        <v>1</v>
      </c>
      <c r="V733">
        <v>1</v>
      </c>
      <c r="W733">
        <v>1</v>
      </c>
      <c r="X733">
        <v>1</v>
      </c>
      <c r="Y733">
        <v>1</v>
      </c>
      <c r="Z733">
        <v>1</v>
      </c>
      <c r="AA733">
        <v>1</v>
      </c>
      <c r="AB733">
        <v>1</v>
      </c>
      <c r="AC733">
        <v>1</v>
      </c>
      <c r="AD733">
        <v>1</v>
      </c>
      <c r="AE733">
        <v>1</v>
      </c>
      <c r="AF733">
        <v>1</v>
      </c>
      <c r="AG733" t="s">
        <v>271</v>
      </c>
      <c r="AH733" t="s">
        <v>11</v>
      </c>
      <c r="AI733" t="s">
        <v>4</v>
      </c>
      <c r="AJ733">
        <f>$H$733*$P$733</f>
        <v>0</v>
      </c>
      <c r="AK733">
        <f>$H$733*$Q$733</f>
        <v>0</v>
      </c>
      <c r="AL733">
        <f>$H$733*$R$733</f>
        <v>0</v>
      </c>
      <c r="AM733">
        <f>$H$733*$S$733</f>
        <v>93.44</v>
      </c>
      <c r="AN733">
        <f>$H$733*$T$733</f>
        <v>93.44</v>
      </c>
      <c r="AO733">
        <f>$H$733*$U$733</f>
        <v>93.44</v>
      </c>
      <c r="AP733">
        <f>$H$733*$V$733</f>
        <v>93.44</v>
      </c>
      <c r="AQ733">
        <f>$H$733*$W$733</f>
        <v>93.44</v>
      </c>
      <c r="AR733">
        <f>$H$733*$X$733</f>
        <v>93.44</v>
      </c>
      <c r="AS733">
        <f>$H$733*$Y$733</f>
        <v>93.44</v>
      </c>
      <c r="AT733">
        <f>$H$733*$Z$733</f>
        <v>93.44</v>
      </c>
      <c r="AU733">
        <f>$H$733*$AA$733</f>
        <v>93.44</v>
      </c>
      <c r="AV733">
        <f>$H$733*$AB$733</f>
        <v>93.44</v>
      </c>
      <c r="AW733">
        <f>$H$733*$AC$733</f>
        <v>93.44</v>
      </c>
      <c r="AX733">
        <f>$H$733*$AD$733</f>
        <v>93.44</v>
      </c>
      <c r="AY733">
        <f>$H$733*$AE$733</f>
        <v>93.44</v>
      </c>
      <c r="AZ733">
        <f>$H$733*$AF$733</f>
        <v>93.44</v>
      </c>
    </row>
    <row r="734" spans="1:52" x14ac:dyDescent="0.25">
      <c r="A734">
        <v>785</v>
      </c>
      <c r="B734" t="s">
        <v>271</v>
      </c>
      <c r="C734" t="s">
        <v>356</v>
      </c>
      <c r="D734">
        <v>2</v>
      </c>
      <c r="E734">
        <v>62.72</v>
      </c>
      <c r="F734" t="s">
        <v>317</v>
      </c>
      <c r="G734">
        <v>31.36</v>
      </c>
      <c r="H734">
        <v>75.260000000000005</v>
      </c>
      <c r="I734" t="s">
        <v>312</v>
      </c>
      <c r="J734" t="s">
        <v>357</v>
      </c>
      <c r="K734" t="s">
        <v>556</v>
      </c>
      <c r="L734" t="s">
        <v>178</v>
      </c>
      <c r="M734" t="s">
        <v>271</v>
      </c>
      <c r="N734" t="s">
        <v>11</v>
      </c>
      <c r="O734" t="s">
        <v>4</v>
      </c>
      <c r="P734">
        <v>0</v>
      </c>
      <c r="Q734">
        <v>0</v>
      </c>
      <c r="R734">
        <v>0</v>
      </c>
      <c r="S734">
        <v>1</v>
      </c>
      <c r="T734">
        <v>1</v>
      </c>
      <c r="U734">
        <v>1</v>
      </c>
      <c r="V734">
        <v>1</v>
      </c>
      <c r="W734">
        <v>1</v>
      </c>
      <c r="X734">
        <v>1</v>
      </c>
      <c r="Y734">
        <v>1</v>
      </c>
      <c r="Z734">
        <v>1</v>
      </c>
      <c r="AA734">
        <v>1</v>
      </c>
      <c r="AB734">
        <v>1</v>
      </c>
      <c r="AC734">
        <v>1</v>
      </c>
      <c r="AD734">
        <v>1</v>
      </c>
      <c r="AE734">
        <v>1</v>
      </c>
      <c r="AF734">
        <v>1</v>
      </c>
      <c r="AG734" t="s">
        <v>271</v>
      </c>
      <c r="AH734" t="s">
        <v>11</v>
      </c>
      <c r="AI734" t="s">
        <v>4</v>
      </c>
      <c r="AJ734">
        <f>$H$734*$P$734</f>
        <v>0</v>
      </c>
      <c r="AK734">
        <f>$H$734*$Q$734</f>
        <v>0</v>
      </c>
      <c r="AL734">
        <f>$H$734*$R$734</f>
        <v>0</v>
      </c>
      <c r="AM734">
        <f>$H$734*$S$734</f>
        <v>75.260000000000005</v>
      </c>
      <c r="AN734">
        <f>$H$734*$T$734</f>
        <v>75.260000000000005</v>
      </c>
      <c r="AO734">
        <f>$H$734*$U$734</f>
        <v>75.260000000000005</v>
      </c>
      <c r="AP734">
        <f>$H$734*$V$734</f>
        <v>75.260000000000005</v>
      </c>
      <c r="AQ734">
        <f>$H$734*$W$734</f>
        <v>75.260000000000005</v>
      </c>
      <c r="AR734">
        <f>$H$734*$X$734</f>
        <v>75.260000000000005</v>
      </c>
      <c r="AS734">
        <f>$H$734*$Y$734</f>
        <v>75.260000000000005</v>
      </c>
      <c r="AT734">
        <f>$H$734*$Z$734</f>
        <v>75.260000000000005</v>
      </c>
      <c r="AU734">
        <f>$H$734*$AA$734</f>
        <v>75.260000000000005</v>
      </c>
      <c r="AV734">
        <f>$H$734*$AB$734</f>
        <v>75.260000000000005</v>
      </c>
      <c r="AW734">
        <f>$H$734*$AC$734</f>
        <v>75.260000000000005</v>
      </c>
      <c r="AX734">
        <f>$H$734*$AD$734</f>
        <v>75.260000000000005</v>
      </c>
      <c r="AY734">
        <f>$H$734*$AE$734</f>
        <v>75.260000000000005</v>
      </c>
      <c r="AZ734">
        <f>$H$734*$AF$734</f>
        <v>75.260000000000005</v>
      </c>
    </row>
    <row r="735" spans="1:52" x14ac:dyDescent="0.25">
      <c r="A735">
        <v>786</v>
      </c>
      <c r="B735" t="s">
        <v>271</v>
      </c>
      <c r="C735" t="s">
        <v>353</v>
      </c>
      <c r="D735">
        <v>1</v>
      </c>
      <c r="E735">
        <v>365.09</v>
      </c>
      <c r="F735" t="s">
        <v>317</v>
      </c>
      <c r="G735">
        <v>365.09</v>
      </c>
      <c r="H735">
        <v>438.11</v>
      </c>
      <c r="I735" t="s">
        <v>354</v>
      </c>
      <c r="J735" t="s">
        <v>355</v>
      </c>
      <c r="K735" t="s">
        <v>555</v>
      </c>
      <c r="L735" t="s">
        <v>178</v>
      </c>
      <c r="M735" t="s">
        <v>271</v>
      </c>
      <c r="N735" t="s">
        <v>11</v>
      </c>
      <c r="O735" t="s">
        <v>4</v>
      </c>
      <c r="P735">
        <v>0</v>
      </c>
      <c r="Q735">
        <v>0</v>
      </c>
      <c r="R735">
        <v>0</v>
      </c>
      <c r="S735">
        <v>0</v>
      </c>
      <c r="T735">
        <v>1</v>
      </c>
      <c r="U735">
        <v>1</v>
      </c>
      <c r="V735">
        <v>1</v>
      </c>
      <c r="W735">
        <v>1</v>
      </c>
      <c r="X735">
        <v>1</v>
      </c>
      <c r="Y735">
        <v>1</v>
      </c>
      <c r="Z735">
        <v>1</v>
      </c>
      <c r="AA735">
        <v>1</v>
      </c>
      <c r="AB735">
        <v>1</v>
      </c>
      <c r="AC735">
        <v>1</v>
      </c>
      <c r="AD735">
        <v>1</v>
      </c>
      <c r="AE735">
        <v>1</v>
      </c>
      <c r="AF735">
        <v>1</v>
      </c>
      <c r="AG735" t="s">
        <v>271</v>
      </c>
      <c r="AH735" t="s">
        <v>11</v>
      </c>
      <c r="AI735" t="s">
        <v>4</v>
      </c>
      <c r="AJ735">
        <f>$H$735*$P$735</f>
        <v>0</v>
      </c>
      <c r="AK735">
        <f>$H$735*$Q$735</f>
        <v>0</v>
      </c>
      <c r="AL735">
        <f>$H$735*$R$735</f>
        <v>0</v>
      </c>
      <c r="AM735">
        <f>$H$735*$S$735</f>
        <v>0</v>
      </c>
      <c r="AN735">
        <f>$H$735*$T$735</f>
        <v>438.11</v>
      </c>
      <c r="AO735">
        <f>$H$735*$U$735</f>
        <v>438.11</v>
      </c>
      <c r="AP735">
        <f>$H$735*$V$735</f>
        <v>438.11</v>
      </c>
      <c r="AQ735">
        <f>$H$735*$W$735</f>
        <v>438.11</v>
      </c>
      <c r="AR735">
        <f>$H$735*$X$735</f>
        <v>438.11</v>
      </c>
      <c r="AS735">
        <f>$H$735*$Y$735</f>
        <v>438.11</v>
      </c>
      <c r="AT735">
        <f>$H$735*$Z$735</f>
        <v>438.11</v>
      </c>
      <c r="AU735">
        <f>$H$735*$AA$735</f>
        <v>438.11</v>
      </c>
      <c r="AV735">
        <f>$H$735*$AB$735</f>
        <v>438.11</v>
      </c>
      <c r="AW735">
        <f>$H$735*$AC$735</f>
        <v>438.11</v>
      </c>
      <c r="AX735">
        <f>$H$735*$AD$735</f>
        <v>438.11</v>
      </c>
      <c r="AY735">
        <f>$H$735*$AE$735</f>
        <v>438.11</v>
      </c>
      <c r="AZ735">
        <f>$H$735*$AF$735</f>
        <v>438.11</v>
      </c>
    </row>
    <row r="736" spans="1:52" x14ac:dyDescent="0.25">
      <c r="A736">
        <v>787</v>
      </c>
      <c r="B736" t="s">
        <v>271</v>
      </c>
      <c r="C736" t="s">
        <v>345</v>
      </c>
      <c r="D736">
        <v>413.33</v>
      </c>
      <c r="E736">
        <v>405.06</v>
      </c>
      <c r="F736" t="s">
        <v>335</v>
      </c>
      <c r="G736">
        <v>0.98</v>
      </c>
      <c r="H736">
        <v>486.08</v>
      </c>
      <c r="I736" t="s">
        <v>312</v>
      </c>
      <c r="J736" t="s">
        <v>346</v>
      </c>
      <c r="K736" t="s">
        <v>552</v>
      </c>
      <c r="L736" t="s">
        <v>178</v>
      </c>
      <c r="M736" t="s">
        <v>271</v>
      </c>
      <c r="N736" t="s">
        <v>11</v>
      </c>
      <c r="O736" t="s">
        <v>4</v>
      </c>
      <c r="P736">
        <v>0</v>
      </c>
      <c r="Q736">
        <v>0</v>
      </c>
      <c r="R736">
        <v>0</v>
      </c>
      <c r="S736">
        <v>0</v>
      </c>
      <c r="T736">
        <v>1</v>
      </c>
      <c r="U736">
        <v>1</v>
      </c>
      <c r="V736">
        <v>1</v>
      </c>
      <c r="W736">
        <v>1</v>
      </c>
      <c r="X736">
        <v>1</v>
      </c>
      <c r="Y736">
        <v>1</v>
      </c>
      <c r="Z736">
        <v>1</v>
      </c>
      <c r="AA736">
        <v>1</v>
      </c>
      <c r="AB736">
        <v>1</v>
      </c>
      <c r="AC736">
        <v>1</v>
      </c>
      <c r="AD736">
        <v>1</v>
      </c>
      <c r="AE736">
        <v>1</v>
      </c>
      <c r="AF736">
        <v>1</v>
      </c>
      <c r="AG736" t="s">
        <v>271</v>
      </c>
      <c r="AH736" t="s">
        <v>11</v>
      </c>
      <c r="AI736" t="s">
        <v>4</v>
      </c>
      <c r="AJ736">
        <f>$H$736*$P$736</f>
        <v>0</v>
      </c>
      <c r="AK736">
        <f>$H$736*$Q$736</f>
        <v>0</v>
      </c>
      <c r="AL736">
        <f>$H$736*$R$736</f>
        <v>0</v>
      </c>
      <c r="AM736">
        <f>$H$736*$S$736</f>
        <v>0</v>
      </c>
      <c r="AN736">
        <f>$H$736*$T$736</f>
        <v>486.08</v>
      </c>
      <c r="AO736">
        <f>$H$736*$U$736</f>
        <v>486.08</v>
      </c>
      <c r="AP736">
        <f>$H$736*$V$736</f>
        <v>486.08</v>
      </c>
      <c r="AQ736">
        <f>$H$736*$W$736</f>
        <v>486.08</v>
      </c>
      <c r="AR736">
        <f>$H$736*$X$736</f>
        <v>486.08</v>
      </c>
      <c r="AS736">
        <f>$H$736*$Y$736</f>
        <v>486.08</v>
      </c>
      <c r="AT736">
        <f>$H$736*$Z$736</f>
        <v>486.08</v>
      </c>
      <c r="AU736">
        <f>$H$736*$AA$736</f>
        <v>486.08</v>
      </c>
      <c r="AV736">
        <f>$H$736*$AB$736</f>
        <v>486.08</v>
      </c>
      <c r="AW736">
        <f>$H$736*$AC$736</f>
        <v>486.08</v>
      </c>
      <c r="AX736">
        <f>$H$736*$AD$736</f>
        <v>486.08</v>
      </c>
      <c r="AY736">
        <f>$H$736*$AE$736</f>
        <v>486.08</v>
      </c>
      <c r="AZ736">
        <f>$H$736*$AF$736</f>
        <v>486.08</v>
      </c>
    </row>
    <row r="737" spans="1:52" x14ac:dyDescent="0.25">
      <c r="A737">
        <v>788</v>
      </c>
      <c r="B737" t="s">
        <v>271</v>
      </c>
      <c r="C737" t="s">
        <v>400</v>
      </c>
      <c r="D737">
        <v>413.33</v>
      </c>
      <c r="E737">
        <v>1388.79</v>
      </c>
      <c r="F737" t="s">
        <v>335</v>
      </c>
      <c r="G737">
        <v>3.36</v>
      </c>
      <c r="H737">
        <v>1666.55</v>
      </c>
      <c r="I737" t="s">
        <v>348</v>
      </c>
      <c r="J737" t="s">
        <v>401</v>
      </c>
      <c r="K737" t="s">
        <v>579</v>
      </c>
      <c r="L737" t="s">
        <v>178</v>
      </c>
      <c r="M737" t="s">
        <v>271</v>
      </c>
      <c r="N737" t="s">
        <v>11</v>
      </c>
      <c r="O737" t="s">
        <v>4</v>
      </c>
      <c r="P737">
        <v>0</v>
      </c>
      <c r="Q737">
        <v>0</v>
      </c>
      <c r="R737">
        <v>0</v>
      </c>
      <c r="S737">
        <v>0.25</v>
      </c>
      <c r="T737">
        <v>0.25</v>
      </c>
      <c r="U737">
        <v>0.25</v>
      </c>
      <c r="V737">
        <v>0.25</v>
      </c>
      <c r="W737">
        <v>0.5</v>
      </c>
      <c r="X737">
        <v>0.5</v>
      </c>
      <c r="Y737">
        <v>0.5</v>
      </c>
      <c r="Z737">
        <v>0.5</v>
      </c>
      <c r="AA737">
        <v>1</v>
      </c>
      <c r="AB737">
        <v>1</v>
      </c>
      <c r="AC737">
        <v>1</v>
      </c>
      <c r="AD737">
        <v>1</v>
      </c>
      <c r="AE737">
        <v>1</v>
      </c>
      <c r="AF737">
        <v>1</v>
      </c>
      <c r="AG737" t="s">
        <v>271</v>
      </c>
      <c r="AH737" t="s">
        <v>11</v>
      </c>
      <c r="AI737" t="s">
        <v>4</v>
      </c>
      <c r="AJ737">
        <f>$H$737*$P$737</f>
        <v>0</v>
      </c>
      <c r="AK737">
        <f>$H$737*$Q$737</f>
        <v>0</v>
      </c>
      <c r="AL737">
        <f>$H$737*$R$737</f>
        <v>0</v>
      </c>
      <c r="AM737">
        <f>$H$737*$S$737</f>
        <v>416.63749999999999</v>
      </c>
      <c r="AN737">
        <f>$H$737*$T$737</f>
        <v>416.63749999999999</v>
      </c>
      <c r="AO737">
        <f>$H$737*$U$737</f>
        <v>416.63749999999999</v>
      </c>
      <c r="AP737">
        <f>$H$737*$V$737</f>
        <v>416.63749999999999</v>
      </c>
      <c r="AQ737">
        <f>$H$737*$W$737</f>
        <v>833.27499999999998</v>
      </c>
      <c r="AR737">
        <f>$H$737*$X$737</f>
        <v>833.27499999999998</v>
      </c>
      <c r="AS737">
        <f>$H$737*$Y$737</f>
        <v>833.27499999999998</v>
      </c>
      <c r="AT737">
        <f>$H$737*$Z$737</f>
        <v>833.27499999999998</v>
      </c>
      <c r="AU737">
        <f>$H$737*$AA$737</f>
        <v>1666.55</v>
      </c>
      <c r="AV737">
        <f>$H$737*$AB$737</f>
        <v>1666.55</v>
      </c>
      <c r="AW737">
        <f>$H$737*$AC$737</f>
        <v>1666.55</v>
      </c>
      <c r="AX737">
        <f>$H$737*$AD$737</f>
        <v>1666.55</v>
      </c>
      <c r="AY737">
        <f>$H$737*$AE$737</f>
        <v>1666.55</v>
      </c>
      <c r="AZ737">
        <f>$H$737*$AF$737</f>
        <v>1666.55</v>
      </c>
    </row>
    <row r="738" spans="1:52" x14ac:dyDescent="0.25">
      <c r="A738">
        <v>789</v>
      </c>
      <c r="B738" t="s">
        <v>271</v>
      </c>
      <c r="C738" t="s">
        <v>402</v>
      </c>
      <c r="D738">
        <v>51.67</v>
      </c>
      <c r="E738">
        <v>78.02</v>
      </c>
      <c r="F738" t="s">
        <v>311</v>
      </c>
      <c r="G738">
        <v>1.51</v>
      </c>
      <c r="H738">
        <v>93.62</v>
      </c>
      <c r="I738" t="s">
        <v>312</v>
      </c>
      <c r="J738" t="s">
        <v>403</v>
      </c>
      <c r="K738" t="s">
        <v>580</v>
      </c>
      <c r="L738" t="s">
        <v>178</v>
      </c>
      <c r="M738" t="s">
        <v>271</v>
      </c>
      <c r="N738" t="s">
        <v>11</v>
      </c>
      <c r="O738" t="s">
        <v>4</v>
      </c>
      <c r="P738">
        <v>0</v>
      </c>
      <c r="Q738">
        <v>0</v>
      </c>
      <c r="R738">
        <v>0</v>
      </c>
      <c r="S738">
        <v>1</v>
      </c>
      <c r="T738">
        <v>1</v>
      </c>
      <c r="U738">
        <v>1</v>
      </c>
      <c r="V738">
        <v>1</v>
      </c>
      <c r="W738">
        <v>1</v>
      </c>
      <c r="X738">
        <v>1</v>
      </c>
      <c r="Y738">
        <v>1</v>
      </c>
      <c r="Z738">
        <v>1</v>
      </c>
      <c r="AA738">
        <v>1</v>
      </c>
      <c r="AB738">
        <v>1</v>
      </c>
      <c r="AC738">
        <v>1</v>
      </c>
      <c r="AD738">
        <v>1</v>
      </c>
      <c r="AE738">
        <v>1</v>
      </c>
      <c r="AF738">
        <v>1</v>
      </c>
      <c r="AG738" t="s">
        <v>271</v>
      </c>
      <c r="AH738" t="s">
        <v>11</v>
      </c>
      <c r="AI738" t="s">
        <v>4</v>
      </c>
      <c r="AJ738">
        <f>$H$738*$P$738</f>
        <v>0</v>
      </c>
      <c r="AK738">
        <f>$H$738*$Q$738</f>
        <v>0</v>
      </c>
      <c r="AL738">
        <f>$H$738*$R$738</f>
        <v>0</v>
      </c>
      <c r="AM738">
        <f>$H$738*$S$738</f>
        <v>93.62</v>
      </c>
      <c r="AN738">
        <f>$H$738*$T$738</f>
        <v>93.62</v>
      </c>
      <c r="AO738">
        <f>$H$738*$U$738</f>
        <v>93.62</v>
      </c>
      <c r="AP738">
        <f>$H$738*$V$738</f>
        <v>93.62</v>
      </c>
      <c r="AQ738">
        <f>$H$738*$W$738</f>
        <v>93.62</v>
      </c>
      <c r="AR738">
        <f>$H$738*$X$738</f>
        <v>93.62</v>
      </c>
      <c r="AS738">
        <f>$H$738*$Y$738</f>
        <v>93.62</v>
      </c>
      <c r="AT738">
        <f>$H$738*$Z$738</f>
        <v>93.62</v>
      </c>
      <c r="AU738">
        <f>$H$738*$AA$738</f>
        <v>93.62</v>
      </c>
      <c r="AV738">
        <f>$H$738*$AB$738</f>
        <v>93.62</v>
      </c>
      <c r="AW738">
        <f>$H$738*$AC$738</f>
        <v>93.62</v>
      </c>
      <c r="AX738">
        <f>$H$738*$AD$738</f>
        <v>93.62</v>
      </c>
      <c r="AY738">
        <f>$H$738*$AE$738</f>
        <v>93.62</v>
      </c>
      <c r="AZ738">
        <f>$H$738*$AF$738</f>
        <v>93.62</v>
      </c>
    </row>
    <row r="739" spans="1:52" x14ac:dyDescent="0.25">
      <c r="A739">
        <v>790</v>
      </c>
      <c r="B739" t="s">
        <v>271</v>
      </c>
      <c r="C739" t="s">
        <v>404</v>
      </c>
      <c r="D739">
        <v>51.67</v>
      </c>
      <c r="E739">
        <v>293.49</v>
      </c>
      <c r="F739" t="s">
        <v>311</v>
      </c>
      <c r="G739">
        <v>5.68</v>
      </c>
      <c r="H739">
        <v>352.19</v>
      </c>
      <c r="I739" t="s">
        <v>315</v>
      </c>
      <c r="J739" t="s">
        <v>405</v>
      </c>
      <c r="K739" t="s">
        <v>581</v>
      </c>
      <c r="L739" t="s">
        <v>178</v>
      </c>
      <c r="M739" t="s">
        <v>271</v>
      </c>
      <c r="N739" t="s">
        <v>11</v>
      </c>
      <c r="O739" t="s">
        <v>4</v>
      </c>
      <c r="P739">
        <v>0</v>
      </c>
      <c r="Q739">
        <v>0</v>
      </c>
      <c r="R739">
        <v>0</v>
      </c>
      <c r="S739">
        <v>1</v>
      </c>
      <c r="T739">
        <v>1</v>
      </c>
      <c r="U739">
        <v>1</v>
      </c>
      <c r="V739">
        <v>1</v>
      </c>
      <c r="W739">
        <v>1</v>
      </c>
      <c r="X739">
        <v>1</v>
      </c>
      <c r="Y739">
        <v>1</v>
      </c>
      <c r="Z739">
        <v>1</v>
      </c>
      <c r="AA739">
        <v>1</v>
      </c>
      <c r="AB739">
        <v>1</v>
      </c>
      <c r="AC739">
        <v>1</v>
      </c>
      <c r="AD739">
        <v>1</v>
      </c>
      <c r="AE739">
        <v>1</v>
      </c>
      <c r="AF739">
        <v>1</v>
      </c>
      <c r="AG739" t="s">
        <v>271</v>
      </c>
      <c r="AH739" t="s">
        <v>11</v>
      </c>
      <c r="AI739" t="s">
        <v>4</v>
      </c>
      <c r="AJ739">
        <f>$H$739*$P$739</f>
        <v>0</v>
      </c>
      <c r="AK739">
        <f>$H$739*$Q$739</f>
        <v>0</v>
      </c>
      <c r="AL739">
        <f>$H$739*$R$739</f>
        <v>0</v>
      </c>
      <c r="AM739">
        <f>$H$739*$S$739</f>
        <v>352.19</v>
      </c>
      <c r="AN739">
        <f>$H$739*$T$739</f>
        <v>352.19</v>
      </c>
      <c r="AO739">
        <f>$H$739*$U$739</f>
        <v>352.19</v>
      </c>
      <c r="AP739">
        <f>$H$739*$V$739</f>
        <v>352.19</v>
      </c>
      <c r="AQ739">
        <f>$H$739*$W$739</f>
        <v>352.19</v>
      </c>
      <c r="AR739">
        <f>$H$739*$X$739</f>
        <v>352.19</v>
      </c>
      <c r="AS739">
        <f>$H$739*$Y$739</f>
        <v>352.19</v>
      </c>
      <c r="AT739">
        <f>$H$739*$Z$739</f>
        <v>352.19</v>
      </c>
      <c r="AU739">
        <f>$H$739*$AA$739</f>
        <v>352.19</v>
      </c>
      <c r="AV739">
        <f>$H$739*$AB$739</f>
        <v>352.19</v>
      </c>
      <c r="AW739">
        <f>$H$739*$AC$739</f>
        <v>352.19</v>
      </c>
      <c r="AX739">
        <f>$H$739*$AD$739</f>
        <v>352.19</v>
      </c>
      <c r="AY739">
        <f>$H$739*$AE$739</f>
        <v>352.19</v>
      </c>
      <c r="AZ739">
        <f>$H$739*$AF$739</f>
        <v>352.19</v>
      </c>
    </row>
    <row r="740" spans="1:52" x14ac:dyDescent="0.25">
      <c r="A740">
        <v>791</v>
      </c>
      <c r="B740" t="s">
        <v>271</v>
      </c>
      <c r="C740" t="s">
        <v>400</v>
      </c>
      <c r="D740">
        <v>165.84</v>
      </c>
      <c r="E740">
        <v>557.22</v>
      </c>
      <c r="F740" t="s">
        <v>335</v>
      </c>
      <c r="G740">
        <v>3.36</v>
      </c>
      <c r="H740">
        <v>668.66</v>
      </c>
      <c r="I740" t="s">
        <v>348</v>
      </c>
      <c r="J740" t="s">
        <v>401</v>
      </c>
      <c r="K740" t="s">
        <v>579</v>
      </c>
      <c r="L740" t="s">
        <v>178</v>
      </c>
      <c r="M740" t="s">
        <v>271</v>
      </c>
      <c r="N740" t="s">
        <v>11</v>
      </c>
      <c r="O740" t="s">
        <v>4</v>
      </c>
      <c r="P740">
        <v>0</v>
      </c>
      <c r="Q740">
        <v>0</v>
      </c>
      <c r="R740">
        <v>0</v>
      </c>
      <c r="S740">
        <v>0.25</v>
      </c>
      <c r="T740">
        <v>0.25</v>
      </c>
      <c r="U740">
        <v>0.25</v>
      </c>
      <c r="V740">
        <v>0.25</v>
      </c>
      <c r="W740">
        <v>0.5</v>
      </c>
      <c r="X740">
        <v>0.5</v>
      </c>
      <c r="Y740">
        <v>0.5</v>
      </c>
      <c r="Z740">
        <v>0.5</v>
      </c>
      <c r="AA740">
        <v>1</v>
      </c>
      <c r="AB740">
        <v>1</v>
      </c>
      <c r="AC740">
        <v>1</v>
      </c>
      <c r="AD740">
        <v>1</v>
      </c>
      <c r="AE740">
        <v>1</v>
      </c>
      <c r="AF740">
        <v>1</v>
      </c>
      <c r="AG740" t="s">
        <v>271</v>
      </c>
      <c r="AH740" t="s">
        <v>11</v>
      </c>
      <c r="AI740" t="s">
        <v>4</v>
      </c>
      <c r="AJ740">
        <f>$H$740*$P$740</f>
        <v>0</v>
      </c>
      <c r="AK740">
        <f>$H$740*$Q$740</f>
        <v>0</v>
      </c>
      <c r="AL740">
        <f>$H$740*$R$740</f>
        <v>0</v>
      </c>
      <c r="AM740">
        <f>$H$740*$S$740</f>
        <v>167.16499999999999</v>
      </c>
      <c r="AN740">
        <f>$H$740*$T$740</f>
        <v>167.16499999999999</v>
      </c>
      <c r="AO740">
        <f>$H$740*$U$740</f>
        <v>167.16499999999999</v>
      </c>
      <c r="AP740">
        <f>$H$740*$V$740</f>
        <v>167.16499999999999</v>
      </c>
      <c r="AQ740">
        <f>$H$740*$W$740</f>
        <v>334.33</v>
      </c>
      <c r="AR740">
        <f>$H$740*$X$740</f>
        <v>334.33</v>
      </c>
      <c r="AS740">
        <f>$H$740*$Y$740</f>
        <v>334.33</v>
      </c>
      <c r="AT740">
        <f>$H$740*$Z$740</f>
        <v>334.33</v>
      </c>
      <c r="AU740">
        <f>$H$740*$AA$740</f>
        <v>668.66</v>
      </c>
      <c r="AV740">
        <f>$H$740*$AB$740</f>
        <v>668.66</v>
      </c>
      <c r="AW740">
        <f>$H$740*$AC$740</f>
        <v>668.66</v>
      </c>
      <c r="AX740">
        <f>$H$740*$AD$740</f>
        <v>668.66</v>
      </c>
      <c r="AY740">
        <f>$H$740*$AE$740</f>
        <v>668.66</v>
      </c>
      <c r="AZ740">
        <f>$H$740*$AF$740</f>
        <v>668.66</v>
      </c>
    </row>
    <row r="741" spans="1:52" x14ac:dyDescent="0.25">
      <c r="A741">
        <v>792</v>
      </c>
      <c r="B741" t="s">
        <v>271</v>
      </c>
      <c r="C741" t="s">
        <v>406</v>
      </c>
      <c r="D741">
        <v>165.84</v>
      </c>
      <c r="E741">
        <v>104.48</v>
      </c>
      <c r="F741" t="s">
        <v>335</v>
      </c>
      <c r="G741">
        <v>0.63</v>
      </c>
      <c r="H741">
        <v>125.38</v>
      </c>
      <c r="I741" t="s">
        <v>312</v>
      </c>
      <c r="J741" t="s">
        <v>407</v>
      </c>
      <c r="K741" t="s">
        <v>582</v>
      </c>
      <c r="L741" t="s">
        <v>178</v>
      </c>
      <c r="M741" t="s">
        <v>271</v>
      </c>
      <c r="N741" t="s">
        <v>11</v>
      </c>
      <c r="O741" t="s">
        <v>4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1</v>
      </c>
      <c r="AE741">
        <v>1</v>
      </c>
      <c r="AF741">
        <v>1</v>
      </c>
      <c r="AG741" t="s">
        <v>271</v>
      </c>
      <c r="AH741" t="s">
        <v>11</v>
      </c>
      <c r="AI741" t="s">
        <v>4</v>
      </c>
      <c r="AJ741">
        <f>$H$741*$P$741</f>
        <v>0</v>
      </c>
      <c r="AK741">
        <f>$H$741*$Q$741</f>
        <v>0</v>
      </c>
      <c r="AL741">
        <f>$H$741*$R$741</f>
        <v>0</v>
      </c>
      <c r="AM741">
        <f>$H$741*$S$741</f>
        <v>0</v>
      </c>
      <c r="AN741">
        <f>$H$741*$T$741</f>
        <v>0</v>
      </c>
      <c r="AO741">
        <f>$H$741*$U$741</f>
        <v>0</v>
      </c>
      <c r="AP741">
        <f>$H$741*$V$741</f>
        <v>0</v>
      </c>
      <c r="AQ741">
        <f>$H$741*$W$741</f>
        <v>0</v>
      </c>
      <c r="AR741">
        <f>$H$741*$X$741</f>
        <v>0</v>
      </c>
      <c r="AS741">
        <f>$H$741*$Y$741</f>
        <v>0</v>
      </c>
      <c r="AT741">
        <f>$H$741*$Z$741</f>
        <v>0</v>
      </c>
      <c r="AU741">
        <f>$H$741*$AA$741</f>
        <v>0</v>
      </c>
      <c r="AV741">
        <f>$H$741*$AB$741</f>
        <v>0</v>
      </c>
      <c r="AW741">
        <f>$H$741*$AC$741</f>
        <v>0</v>
      </c>
      <c r="AX741">
        <f>$H$741*$AD$741</f>
        <v>125.38</v>
      </c>
      <c r="AY741">
        <f>$H$741*$AE$741</f>
        <v>125.38</v>
      </c>
      <c r="AZ741">
        <f>$H$741*$AF$741</f>
        <v>125.38</v>
      </c>
    </row>
    <row r="742" spans="1:52" x14ac:dyDescent="0.25">
      <c r="A742">
        <v>793</v>
      </c>
      <c r="B742" t="s">
        <v>271</v>
      </c>
      <c r="C742" t="s">
        <v>408</v>
      </c>
      <c r="D742">
        <v>165.84</v>
      </c>
      <c r="E742">
        <v>114.43</v>
      </c>
      <c r="F742" t="s">
        <v>335</v>
      </c>
      <c r="G742">
        <v>0.69</v>
      </c>
      <c r="H742">
        <v>137.31</v>
      </c>
      <c r="I742" t="s">
        <v>312</v>
      </c>
      <c r="J742" t="s">
        <v>409</v>
      </c>
      <c r="K742" t="s">
        <v>583</v>
      </c>
      <c r="L742" t="s">
        <v>178</v>
      </c>
      <c r="M742" t="s">
        <v>271</v>
      </c>
      <c r="N742" t="s">
        <v>11</v>
      </c>
      <c r="O742" t="s">
        <v>4</v>
      </c>
      <c r="P742">
        <v>0</v>
      </c>
      <c r="Q742">
        <v>0</v>
      </c>
      <c r="R742">
        <v>0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1</v>
      </c>
      <c r="Y742">
        <v>1</v>
      </c>
      <c r="Z742">
        <v>1</v>
      </c>
      <c r="AA742">
        <v>1</v>
      </c>
      <c r="AB742">
        <v>1</v>
      </c>
      <c r="AC742">
        <v>1</v>
      </c>
      <c r="AD742">
        <v>1</v>
      </c>
      <c r="AE742">
        <v>1</v>
      </c>
      <c r="AF742">
        <v>1</v>
      </c>
      <c r="AG742" t="s">
        <v>271</v>
      </c>
      <c r="AH742" t="s">
        <v>11</v>
      </c>
      <c r="AI742" t="s">
        <v>4</v>
      </c>
      <c r="AJ742">
        <f>$H$742*$P$742</f>
        <v>0</v>
      </c>
      <c r="AK742">
        <f>$H$742*$Q$742</f>
        <v>0</v>
      </c>
      <c r="AL742">
        <f>$H$742*$R$742</f>
        <v>0</v>
      </c>
      <c r="AM742">
        <f>$H$742*$S$742</f>
        <v>137.31</v>
      </c>
      <c r="AN742">
        <f>$H$742*$T$742</f>
        <v>137.31</v>
      </c>
      <c r="AO742">
        <f>$H$742*$U$742</f>
        <v>137.31</v>
      </c>
      <c r="AP742">
        <f>$H$742*$V$742</f>
        <v>137.31</v>
      </c>
      <c r="AQ742">
        <f>$H$742*$W$742</f>
        <v>137.31</v>
      </c>
      <c r="AR742">
        <f>$H$742*$X$742</f>
        <v>137.31</v>
      </c>
      <c r="AS742">
        <f>$H$742*$Y$742</f>
        <v>137.31</v>
      </c>
      <c r="AT742">
        <f>$H$742*$Z$742</f>
        <v>137.31</v>
      </c>
      <c r="AU742">
        <f>$H$742*$AA$742</f>
        <v>137.31</v>
      </c>
      <c r="AV742">
        <f>$H$742*$AB$742</f>
        <v>137.31</v>
      </c>
      <c r="AW742">
        <f>$H$742*$AC$742</f>
        <v>137.31</v>
      </c>
      <c r="AX742">
        <f>$H$742*$AD$742</f>
        <v>137.31</v>
      </c>
      <c r="AY742">
        <f>$H$742*$AE$742</f>
        <v>137.31</v>
      </c>
      <c r="AZ742">
        <f>$H$742*$AF$742</f>
        <v>137.31</v>
      </c>
    </row>
    <row r="743" spans="1:52" x14ac:dyDescent="0.25">
      <c r="A743">
        <v>794</v>
      </c>
      <c r="B743" t="s">
        <v>271</v>
      </c>
      <c r="C743" t="s">
        <v>410</v>
      </c>
      <c r="D743">
        <v>34.83</v>
      </c>
      <c r="E743">
        <v>237.19</v>
      </c>
      <c r="F743" t="s">
        <v>335</v>
      </c>
      <c r="G743">
        <v>6.81</v>
      </c>
      <c r="H743">
        <v>284.63</v>
      </c>
      <c r="I743" t="s">
        <v>411</v>
      </c>
      <c r="J743" t="s">
        <v>412</v>
      </c>
      <c r="K743" t="s">
        <v>584</v>
      </c>
      <c r="L743" t="s">
        <v>178</v>
      </c>
      <c r="M743" t="s">
        <v>271</v>
      </c>
      <c r="N743" t="s">
        <v>11</v>
      </c>
      <c r="O743" t="s">
        <v>4</v>
      </c>
      <c r="P743">
        <v>0</v>
      </c>
      <c r="Q743">
        <v>0</v>
      </c>
      <c r="R743">
        <v>0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1</v>
      </c>
      <c r="Y743">
        <v>1</v>
      </c>
      <c r="Z743">
        <v>1</v>
      </c>
      <c r="AA743">
        <v>1</v>
      </c>
      <c r="AB743">
        <v>1</v>
      </c>
      <c r="AC743">
        <v>1</v>
      </c>
      <c r="AD743">
        <v>1</v>
      </c>
      <c r="AE743">
        <v>1</v>
      </c>
      <c r="AF743">
        <v>1</v>
      </c>
      <c r="AG743" t="s">
        <v>271</v>
      </c>
      <c r="AH743" t="s">
        <v>11</v>
      </c>
      <c r="AI743" t="s">
        <v>4</v>
      </c>
      <c r="AJ743">
        <f>$H$743*$P$743</f>
        <v>0</v>
      </c>
      <c r="AK743">
        <f>$H$743*$Q$743</f>
        <v>0</v>
      </c>
      <c r="AL743">
        <f>$H$743*$R$743</f>
        <v>0</v>
      </c>
      <c r="AM743">
        <f>$H$743*$S$743</f>
        <v>284.63</v>
      </c>
      <c r="AN743">
        <f>$H$743*$T$743</f>
        <v>284.63</v>
      </c>
      <c r="AO743">
        <f>$H$743*$U$743</f>
        <v>284.63</v>
      </c>
      <c r="AP743">
        <f>$H$743*$V$743</f>
        <v>284.63</v>
      </c>
      <c r="AQ743">
        <f>$H$743*$W$743</f>
        <v>284.63</v>
      </c>
      <c r="AR743">
        <f>$H$743*$X$743</f>
        <v>284.63</v>
      </c>
      <c r="AS743">
        <f>$H$743*$Y$743</f>
        <v>284.63</v>
      </c>
      <c r="AT743">
        <f>$H$743*$Z$743</f>
        <v>284.63</v>
      </c>
      <c r="AU743">
        <f>$H$743*$AA$743</f>
        <v>284.63</v>
      </c>
      <c r="AV743">
        <f>$H$743*$AB$743</f>
        <v>284.63</v>
      </c>
      <c r="AW743">
        <f>$H$743*$AC$743</f>
        <v>284.63</v>
      </c>
      <c r="AX743">
        <f>$H$743*$AD$743</f>
        <v>284.63</v>
      </c>
      <c r="AY743">
        <f>$H$743*$AE$743</f>
        <v>284.63</v>
      </c>
      <c r="AZ743">
        <f>$H$743*$AF$743</f>
        <v>284.63</v>
      </c>
    </row>
    <row r="744" spans="1:52" x14ac:dyDescent="0.25">
      <c r="A744">
        <v>795</v>
      </c>
      <c r="B744" t="s">
        <v>271</v>
      </c>
      <c r="C744" t="s">
        <v>413</v>
      </c>
      <c r="D744">
        <v>38.14</v>
      </c>
      <c r="E744">
        <v>281.08999999999997</v>
      </c>
      <c r="F744" t="s">
        <v>335</v>
      </c>
      <c r="G744">
        <v>7.37</v>
      </c>
      <c r="H744">
        <v>337.31</v>
      </c>
      <c r="I744" t="s">
        <v>411</v>
      </c>
      <c r="J744" t="s">
        <v>414</v>
      </c>
      <c r="K744" t="s">
        <v>585</v>
      </c>
      <c r="L744" t="s">
        <v>178</v>
      </c>
      <c r="M744" t="s">
        <v>271</v>
      </c>
      <c r="N744" t="s">
        <v>11</v>
      </c>
      <c r="O744" t="s">
        <v>4</v>
      </c>
      <c r="P744">
        <v>0</v>
      </c>
      <c r="Q744">
        <v>0</v>
      </c>
      <c r="R744">
        <v>0</v>
      </c>
      <c r="S744">
        <v>1</v>
      </c>
      <c r="T744">
        <v>1</v>
      </c>
      <c r="U744">
        <v>1</v>
      </c>
      <c r="V744">
        <v>1</v>
      </c>
      <c r="W744">
        <v>1</v>
      </c>
      <c r="X744">
        <v>1</v>
      </c>
      <c r="Y744">
        <v>1</v>
      </c>
      <c r="Z744">
        <v>1</v>
      </c>
      <c r="AA744">
        <v>1</v>
      </c>
      <c r="AB744">
        <v>1</v>
      </c>
      <c r="AC744">
        <v>1</v>
      </c>
      <c r="AD744">
        <v>1</v>
      </c>
      <c r="AE744">
        <v>1</v>
      </c>
      <c r="AF744">
        <v>1</v>
      </c>
      <c r="AG744" t="s">
        <v>271</v>
      </c>
      <c r="AH744" t="s">
        <v>11</v>
      </c>
      <c r="AI744" t="s">
        <v>4</v>
      </c>
      <c r="AJ744">
        <f>$H$744*$P$744</f>
        <v>0</v>
      </c>
      <c r="AK744">
        <f>$H$744*$Q$744</f>
        <v>0</v>
      </c>
      <c r="AL744">
        <f>$H$744*$R$744</f>
        <v>0</v>
      </c>
      <c r="AM744">
        <f>$H$744*$S$744</f>
        <v>337.31</v>
      </c>
      <c r="AN744">
        <f>$H$744*$T$744</f>
        <v>337.31</v>
      </c>
      <c r="AO744">
        <f>$H$744*$U$744</f>
        <v>337.31</v>
      </c>
      <c r="AP744">
        <f>$H$744*$V$744</f>
        <v>337.31</v>
      </c>
      <c r="AQ744">
        <f>$H$744*$W$744</f>
        <v>337.31</v>
      </c>
      <c r="AR744">
        <f>$H$744*$X$744</f>
        <v>337.31</v>
      </c>
      <c r="AS744">
        <f>$H$744*$Y$744</f>
        <v>337.31</v>
      </c>
      <c r="AT744">
        <f>$H$744*$Z$744</f>
        <v>337.31</v>
      </c>
      <c r="AU744">
        <f>$H$744*$AA$744</f>
        <v>337.31</v>
      </c>
      <c r="AV744">
        <f>$H$744*$AB$744</f>
        <v>337.31</v>
      </c>
      <c r="AW744">
        <f>$H$744*$AC$744</f>
        <v>337.31</v>
      </c>
      <c r="AX744">
        <f>$H$744*$AD$744</f>
        <v>337.31</v>
      </c>
      <c r="AY744">
        <f>$H$744*$AE$744</f>
        <v>337.31</v>
      </c>
      <c r="AZ744">
        <f>$H$744*$AF$744</f>
        <v>337.31</v>
      </c>
    </row>
    <row r="745" spans="1:52" x14ac:dyDescent="0.25">
      <c r="A745">
        <v>796</v>
      </c>
      <c r="B745" t="s">
        <v>271</v>
      </c>
      <c r="C745" t="s">
        <v>415</v>
      </c>
      <c r="D745">
        <v>34.770000000000003</v>
      </c>
      <c r="E745">
        <v>189.84</v>
      </c>
      <c r="F745" t="s">
        <v>335</v>
      </c>
      <c r="G745">
        <v>5.46</v>
      </c>
      <c r="H745">
        <v>227.8</v>
      </c>
      <c r="I745" t="s">
        <v>416</v>
      </c>
      <c r="J745" t="s">
        <v>417</v>
      </c>
      <c r="K745" t="s">
        <v>586</v>
      </c>
      <c r="L745" t="s">
        <v>178</v>
      </c>
      <c r="M745" t="s">
        <v>271</v>
      </c>
      <c r="N745" t="s">
        <v>11</v>
      </c>
      <c r="O745" t="s">
        <v>4</v>
      </c>
      <c r="P745">
        <v>0</v>
      </c>
      <c r="Q745">
        <v>0</v>
      </c>
      <c r="R745">
        <v>0</v>
      </c>
      <c r="S745">
        <v>1</v>
      </c>
      <c r="T745">
        <v>1</v>
      </c>
      <c r="U745">
        <v>1</v>
      </c>
      <c r="V745">
        <v>1</v>
      </c>
      <c r="W745">
        <v>1</v>
      </c>
      <c r="X745">
        <v>1</v>
      </c>
      <c r="Y745">
        <v>1</v>
      </c>
      <c r="Z745">
        <v>1</v>
      </c>
      <c r="AA745">
        <v>1</v>
      </c>
      <c r="AB745">
        <v>1</v>
      </c>
      <c r="AC745">
        <v>1</v>
      </c>
      <c r="AD745">
        <v>1</v>
      </c>
      <c r="AE745">
        <v>1</v>
      </c>
      <c r="AF745">
        <v>1</v>
      </c>
      <c r="AG745" t="s">
        <v>271</v>
      </c>
      <c r="AH745" t="s">
        <v>11</v>
      </c>
      <c r="AI745" t="s">
        <v>4</v>
      </c>
      <c r="AJ745">
        <f>$H$745*$P$745</f>
        <v>0</v>
      </c>
      <c r="AK745">
        <f>$H$745*$Q$745</f>
        <v>0</v>
      </c>
      <c r="AL745">
        <f>$H$745*$R$745</f>
        <v>0</v>
      </c>
      <c r="AM745">
        <f>$H$745*$S$745</f>
        <v>227.8</v>
      </c>
      <c r="AN745">
        <f>$H$745*$T$745</f>
        <v>227.8</v>
      </c>
      <c r="AO745">
        <f>$H$745*$U$745</f>
        <v>227.8</v>
      </c>
      <c r="AP745">
        <f>$H$745*$V$745</f>
        <v>227.8</v>
      </c>
      <c r="AQ745">
        <f>$H$745*$W$745</f>
        <v>227.8</v>
      </c>
      <c r="AR745">
        <f>$H$745*$X$745</f>
        <v>227.8</v>
      </c>
      <c r="AS745">
        <f>$H$745*$Y$745</f>
        <v>227.8</v>
      </c>
      <c r="AT745">
        <f>$H$745*$Z$745</f>
        <v>227.8</v>
      </c>
      <c r="AU745">
        <f>$H$745*$AA$745</f>
        <v>227.8</v>
      </c>
      <c r="AV745">
        <f>$H$745*$AB$745</f>
        <v>227.8</v>
      </c>
      <c r="AW745">
        <f>$H$745*$AC$745</f>
        <v>227.8</v>
      </c>
      <c r="AX745">
        <f>$H$745*$AD$745</f>
        <v>227.8</v>
      </c>
      <c r="AY745">
        <f>$H$745*$AE$745</f>
        <v>227.8</v>
      </c>
      <c r="AZ745">
        <f>$H$745*$AF$745</f>
        <v>227.8</v>
      </c>
    </row>
    <row r="746" spans="1:52" x14ac:dyDescent="0.25">
      <c r="A746">
        <v>797</v>
      </c>
      <c r="B746" t="s">
        <v>271</v>
      </c>
      <c r="C746" t="s">
        <v>418</v>
      </c>
      <c r="D746">
        <v>34.770000000000003</v>
      </c>
      <c r="E746">
        <v>124.48</v>
      </c>
      <c r="F746" t="s">
        <v>335</v>
      </c>
      <c r="G746">
        <v>3.58</v>
      </c>
      <c r="H746">
        <v>149.38</v>
      </c>
      <c r="I746" t="s">
        <v>416</v>
      </c>
      <c r="J746" t="s">
        <v>419</v>
      </c>
      <c r="K746" t="s">
        <v>587</v>
      </c>
      <c r="L746" t="s">
        <v>178</v>
      </c>
      <c r="M746" t="s">
        <v>271</v>
      </c>
      <c r="N746" t="s">
        <v>11</v>
      </c>
      <c r="O746" t="s">
        <v>4</v>
      </c>
      <c r="P746">
        <v>0</v>
      </c>
      <c r="Q746">
        <v>0</v>
      </c>
      <c r="R746">
        <v>0</v>
      </c>
      <c r="S746">
        <v>1</v>
      </c>
      <c r="T746">
        <v>1</v>
      </c>
      <c r="U746">
        <v>1</v>
      </c>
      <c r="V746">
        <v>1</v>
      </c>
      <c r="W746">
        <v>1</v>
      </c>
      <c r="X746">
        <v>1</v>
      </c>
      <c r="Y746">
        <v>1</v>
      </c>
      <c r="Z746">
        <v>1</v>
      </c>
      <c r="AA746">
        <v>1</v>
      </c>
      <c r="AB746">
        <v>1</v>
      </c>
      <c r="AC746">
        <v>1</v>
      </c>
      <c r="AD746">
        <v>1</v>
      </c>
      <c r="AE746">
        <v>1</v>
      </c>
      <c r="AF746">
        <v>1</v>
      </c>
      <c r="AG746" t="s">
        <v>271</v>
      </c>
      <c r="AH746" t="s">
        <v>11</v>
      </c>
      <c r="AI746" t="s">
        <v>4</v>
      </c>
      <c r="AJ746">
        <f>$H$746*$P$746</f>
        <v>0</v>
      </c>
      <c r="AK746">
        <f>$H$746*$Q$746</f>
        <v>0</v>
      </c>
      <c r="AL746">
        <f>$H$746*$R$746</f>
        <v>0</v>
      </c>
      <c r="AM746">
        <f>$H$746*$S$746</f>
        <v>149.38</v>
      </c>
      <c r="AN746">
        <f>$H$746*$T$746</f>
        <v>149.38</v>
      </c>
      <c r="AO746">
        <f>$H$746*$U$746</f>
        <v>149.38</v>
      </c>
      <c r="AP746">
        <f>$H$746*$V$746</f>
        <v>149.38</v>
      </c>
      <c r="AQ746">
        <f>$H$746*$W$746</f>
        <v>149.38</v>
      </c>
      <c r="AR746">
        <f>$H$746*$X$746</f>
        <v>149.38</v>
      </c>
      <c r="AS746">
        <f>$H$746*$Y$746</f>
        <v>149.38</v>
      </c>
      <c r="AT746">
        <f>$H$746*$Z$746</f>
        <v>149.38</v>
      </c>
      <c r="AU746">
        <f>$H$746*$AA$746</f>
        <v>149.38</v>
      </c>
      <c r="AV746">
        <f>$H$746*$AB$746</f>
        <v>149.38</v>
      </c>
      <c r="AW746">
        <f>$H$746*$AC$746</f>
        <v>149.38</v>
      </c>
      <c r="AX746">
        <f>$H$746*$AD$746</f>
        <v>149.38</v>
      </c>
      <c r="AY746">
        <f>$H$746*$AE$746</f>
        <v>149.38</v>
      </c>
      <c r="AZ746">
        <f>$H$746*$AF$746</f>
        <v>149.38</v>
      </c>
    </row>
    <row r="747" spans="1:52" x14ac:dyDescent="0.25">
      <c r="A747">
        <v>798</v>
      </c>
      <c r="B747" t="s">
        <v>271</v>
      </c>
      <c r="C747" t="s">
        <v>420</v>
      </c>
      <c r="D747">
        <v>34.770000000000003</v>
      </c>
      <c r="E747">
        <v>342.48</v>
      </c>
      <c r="F747" t="s">
        <v>335</v>
      </c>
      <c r="G747">
        <v>9.85</v>
      </c>
      <c r="H747">
        <v>410.98</v>
      </c>
      <c r="I747" t="s">
        <v>416</v>
      </c>
      <c r="J747" t="s">
        <v>414</v>
      </c>
      <c r="K747" t="s">
        <v>588</v>
      </c>
      <c r="L747" t="s">
        <v>178</v>
      </c>
      <c r="M747" t="s">
        <v>271</v>
      </c>
      <c r="N747" t="s">
        <v>11</v>
      </c>
      <c r="O747" t="s">
        <v>4</v>
      </c>
      <c r="P747">
        <v>0</v>
      </c>
      <c r="Q747">
        <v>0</v>
      </c>
      <c r="R747">
        <v>0</v>
      </c>
      <c r="S747">
        <v>1</v>
      </c>
      <c r="T747">
        <v>1</v>
      </c>
      <c r="U747">
        <v>1</v>
      </c>
      <c r="V747">
        <v>1</v>
      </c>
      <c r="W747">
        <v>1</v>
      </c>
      <c r="X747">
        <v>1</v>
      </c>
      <c r="Y747">
        <v>1</v>
      </c>
      <c r="Z747">
        <v>1</v>
      </c>
      <c r="AA747">
        <v>1</v>
      </c>
      <c r="AB747">
        <v>1</v>
      </c>
      <c r="AC747">
        <v>1</v>
      </c>
      <c r="AD747">
        <v>1</v>
      </c>
      <c r="AE747">
        <v>1</v>
      </c>
      <c r="AF747">
        <v>1</v>
      </c>
      <c r="AG747" t="s">
        <v>271</v>
      </c>
      <c r="AH747" t="s">
        <v>11</v>
      </c>
      <c r="AI747" t="s">
        <v>4</v>
      </c>
      <c r="AJ747">
        <f>$H$747*$P$747</f>
        <v>0</v>
      </c>
      <c r="AK747">
        <f>$H$747*$Q$747</f>
        <v>0</v>
      </c>
      <c r="AL747">
        <f>$H$747*$R$747</f>
        <v>0</v>
      </c>
      <c r="AM747">
        <f>$H$747*$S$747</f>
        <v>410.98</v>
      </c>
      <c r="AN747">
        <f>$H$747*$T$747</f>
        <v>410.98</v>
      </c>
      <c r="AO747">
        <f>$H$747*$U$747</f>
        <v>410.98</v>
      </c>
      <c r="AP747">
        <f>$H$747*$V$747</f>
        <v>410.98</v>
      </c>
      <c r="AQ747">
        <f>$H$747*$W$747</f>
        <v>410.98</v>
      </c>
      <c r="AR747">
        <f>$H$747*$X$747</f>
        <v>410.98</v>
      </c>
      <c r="AS747">
        <f>$H$747*$Y$747</f>
        <v>410.98</v>
      </c>
      <c r="AT747">
        <f>$H$747*$Z$747</f>
        <v>410.98</v>
      </c>
      <c r="AU747">
        <f>$H$747*$AA$747</f>
        <v>410.98</v>
      </c>
      <c r="AV747">
        <f>$H$747*$AB$747</f>
        <v>410.98</v>
      </c>
      <c r="AW747">
        <f>$H$747*$AC$747</f>
        <v>410.98</v>
      </c>
      <c r="AX747">
        <f>$H$747*$AD$747</f>
        <v>410.98</v>
      </c>
      <c r="AY747">
        <f>$H$747*$AE$747</f>
        <v>410.98</v>
      </c>
      <c r="AZ747">
        <f>$H$747*$AF$747</f>
        <v>410.98</v>
      </c>
    </row>
    <row r="748" spans="1:52" x14ac:dyDescent="0.25">
      <c r="A748">
        <v>799</v>
      </c>
      <c r="B748" t="s">
        <v>271</v>
      </c>
      <c r="C748" t="s">
        <v>421</v>
      </c>
      <c r="D748">
        <v>38.14</v>
      </c>
      <c r="E748">
        <v>37</v>
      </c>
      <c r="F748" t="s">
        <v>335</v>
      </c>
      <c r="G748">
        <v>0.97</v>
      </c>
      <c r="H748">
        <v>44.4</v>
      </c>
      <c r="I748" t="s">
        <v>360</v>
      </c>
      <c r="J748" t="s">
        <v>422</v>
      </c>
      <c r="K748" t="s">
        <v>589</v>
      </c>
      <c r="L748" t="s">
        <v>178</v>
      </c>
      <c r="M748" t="s">
        <v>271</v>
      </c>
      <c r="N748" t="s">
        <v>11</v>
      </c>
      <c r="O748" t="s">
        <v>4</v>
      </c>
      <c r="P748">
        <v>0</v>
      </c>
      <c r="Q748">
        <v>0</v>
      </c>
      <c r="R748">
        <v>0</v>
      </c>
      <c r="S748">
        <v>1</v>
      </c>
      <c r="T748">
        <v>1</v>
      </c>
      <c r="U748">
        <v>1</v>
      </c>
      <c r="V748">
        <v>1</v>
      </c>
      <c r="W748">
        <v>1</v>
      </c>
      <c r="X748">
        <v>1</v>
      </c>
      <c r="Y748">
        <v>1</v>
      </c>
      <c r="Z748">
        <v>1</v>
      </c>
      <c r="AA748">
        <v>1</v>
      </c>
      <c r="AB748">
        <v>1</v>
      </c>
      <c r="AC748">
        <v>1</v>
      </c>
      <c r="AD748">
        <v>1</v>
      </c>
      <c r="AE748">
        <v>1</v>
      </c>
      <c r="AF748">
        <v>1</v>
      </c>
      <c r="AG748" t="s">
        <v>271</v>
      </c>
      <c r="AH748" t="s">
        <v>11</v>
      </c>
      <c r="AI748" t="s">
        <v>4</v>
      </c>
      <c r="AJ748">
        <f>$H$748*$P$748</f>
        <v>0</v>
      </c>
      <c r="AK748">
        <f>$H$748*$Q$748</f>
        <v>0</v>
      </c>
      <c r="AL748">
        <f>$H$748*$R$748</f>
        <v>0</v>
      </c>
      <c r="AM748">
        <f>$H$748*$S$748</f>
        <v>44.4</v>
      </c>
      <c r="AN748">
        <f>$H$748*$T$748</f>
        <v>44.4</v>
      </c>
      <c r="AO748">
        <f>$H$748*$U$748</f>
        <v>44.4</v>
      </c>
      <c r="AP748">
        <f>$H$748*$V$748</f>
        <v>44.4</v>
      </c>
      <c r="AQ748">
        <f>$H$748*$W$748</f>
        <v>44.4</v>
      </c>
      <c r="AR748">
        <f>$H$748*$X$748</f>
        <v>44.4</v>
      </c>
      <c r="AS748">
        <f>$H$748*$Y$748</f>
        <v>44.4</v>
      </c>
      <c r="AT748">
        <f>$H$748*$Z$748</f>
        <v>44.4</v>
      </c>
      <c r="AU748">
        <f>$H$748*$AA$748</f>
        <v>44.4</v>
      </c>
      <c r="AV748">
        <f>$H$748*$AB$748</f>
        <v>44.4</v>
      </c>
      <c r="AW748">
        <f>$H$748*$AC$748</f>
        <v>44.4</v>
      </c>
      <c r="AX748">
        <f>$H$748*$AD$748</f>
        <v>44.4</v>
      </c>
      <c r="AY748">
        <f>$H$748*$AE$748</f>
        <v>44.4</v>
      </c>
      <c r="AZ748">
        <f>$H$748*$AF$748</f>
        <v>44.4</v>
      </c>
    </row>
    <row r="749" spans="1:52" x14ac:dyDescent="0.25">
      <c r="A749">
        <v>800</v>
      </c>
      <c r="B749" t="s">
        <v>271</v>
      </c>
      <c r="C749" t="s">
        <v>423</v>
      </c>
      <c r="D749">
        <v>38.14</v>
      </c>
      <c r="E749">
        <v>292.14999999999998</v>
      </c>
      <c r="F749" t="s">
        <v>335</v>
      </c>
      <c r="G749">
        <v>7.66</v>
      </c>
      <c r="H749">
        <v>350.59</v>
      </c>
      <c r="I749" t="s">
        <v>360</v>
      </c>
      <c r="J749" t="s">
        <v>414</v>
      </c>
      <c r="K749" t="s">
        <v>590</v>
      </c>
      <c r="L749" t="s">
        <v>178</v>
      </c>
      <c r="M749" t="s">
        <v>271</v>
      </c>
      <c r="N749" t="s">
        <v>11</v>
      </c>
      <c r="O749" t="s">
        <v>4</v>
      </c>
      <c r="P749">
        <v>0</v>
      </c>
      <c r="Q749">
        <v>0</v>
      </c>
      <c r="R749">
        <v>0</v>
      </c>
      <c r="S749">
        <v>1</v>
      </c>
      <c r="T749">
        <v>1</v>
      </c>
      <c r="U749">
        <v>1</v>
      </c>
      <c r="V749">
        <v>1</v>
      </c>
      <c r="W749">
        <v>1</v>
      </c>
      <c r="X749">
        <v>1</v>
      </c>
      <c r="Y749">
        <v>1</v>
      </c>
      <c r="Z749">
        <v>1</v>
      </c>
      <c r="AA749">
        <v>1</v>
      </c>
      <c r="AB749">
        <v>1</v>
      </c>
      <c r="AC749">
        <v>1</v>
      </c>
      <c r="AD749">
        <v>1</v>
      </c>
      <c r="AE749">
        <v>1</v>
      </c>
      <c r="AF749">
        <v>1</v>
      </c>
      <c r="AG749" t="s">
        <v>271</v>
      </c>
      <c r="AH749" t="s">
        <v>11</v>
      </c>
      <c r="AI749" t="s">
        <v>4</v>
      </c>
      <c r="AJ749">
        <f>$H$749*$P$749</f>
        <v>0</v>
      </c>
      <c r="AK749">
        <f>$H$749*$Q$749</f>
        <v>0</v>
      </c>
      <c r="AL749">
        <f>$H$749*$R$749</f>
        <v>0</v>
      </c>
      <c r="AM749">
        <f>$H$749*$S$749</f>
        <v>350.59</v>
      </c>
      <c r="AN749">
        <f>$H$749*$T$749</f>
        <v>350.59</v>
      </c>
      <c r="AO749">
        <f>$H$749*$U$749</f>
        <v>350.59</v>
      </c>
      <c r="AP749">
        <f>$H$749*$V$749</f>
        <v>350.59</v>
      </c>
      <c r="AQ749">
        <f>$H$749*$W$749</f>
        <v>350.59</v>
      </c>
      <c r="AR749">
        <f>$H$749*$X$749</f>
        <v>350.59</v>
      </c>
      <c r="AS749">
        <f>$H$749*$Y$749</f>
        <v>350.59</v>
      </c>
      <c r="AT749">
        <f>$H$749*$Z$749</f>
        <v>350.59</v>
      </c>
      <c r="AU749">
        <f>$H$749*$AA$749</f>
        <v>350.59</v>
      </c>
      <c r="AV749">
        <f>$H$749*$AB$749</f>
        <v>350.59</v>
      </c>
      <c r="AW749">
        <f>$H$749*$AC$749</f>
        <v>350.59</v>
      </c>
      <c r="AX749">
        <f>$H$749*$AD$749</f>
        <v>350.59</v>
      </c>
      <c r="AY749">
        <f>$H$749*$AE$749</f>
        <v>350.59</v>
      </c>
      <c r="AZ749">
        <f>$H$749*$AF$749</f>
        <v>350.59</v>
      </c>
    </row>
    <row r="750" spans="1:52" x14ac:dyDescent="0.25">
      <c r="A750">
        <v>801</v>
      </c>
      <c r="B750" t="s">
        <v>277</v>
      </c>
      <c r="C750" t="s">
        <v>397</v>
      </c>
      <c r="D750">
        <v>8</v>
      </c>
      <c r="E750">
        <v>106.16</v>
      </c>
      <c r="F750" t="s">
        <v>317</v>
      </c>
      <c r="G750">
        <v>13.27</v>
      </c>
      <c r="H750">
        <v>127.4</v>
      </c>
      <c r="I750" t="s">
        <v>319</v>
      </c>
      <c r="J750" t="s">
        <v>398</v>
      </c>
      <c r="K750" t="s">
        <v>577</v>
      </c>
      <c r="L750" t="s">
        <v>178</v>
      </c>
      <c r="M750" t="s">
        <v>277</v>
      </c>
      <c r="N750" t="s">
        <v>11</v>
      </c>
      <c r="O750" t="s">
        <v>14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1</v>
      </c>
      <c r="Y750">
        <v>1</v>
      </c>
      <c r="Z750">
        <v>1</v>
      </c>
      <c r="AA750">
        <v>1</v>
      </c>
      <c r="AB750">
        <v>1</v>
      </c>
      <c r="AC750">
        <v>1</v>
      </c>
      <c r="AD750">
        <v>1</v>
      </c>
      <c r="AE750">
        <v>1</v>
      </c>
      <c r="AF750">
        <v>1</v>
      </c>
      <c r="AG750" t="s">
        <v>277</v>
      </c>
      <c r="AH750" t="s">
        <v>11</v>
      </c>
      <c r="AI750" t="s">
        <v>14</v>
      </c>
      <c r="AJ750">
        <f>$H$750*$P$750</f>
        <v>0</v>
      </c>
      <c r="AK750">
        <f>$H$750*$Q$750</f>
        <v>0</v>
      </c>
      <c r="AL750">
        <f>$H$750*$R$750</f>
        <v>0</v>
      </c>
      <c r="AM750">
        <f>$H$750*$S$750</f>
        <v>0</v>
      </c>
      <c r="AN750">
        <f>$H$750*$T$750</f>
        <v>0</v>
      </c>
      <c r="AO750">
        <f>$H$750*$U$750</f>
        <v>0</v>
      </c>
      <c r="AP750">
        <f>$H$750*$V$750</f>
        <v>0</v>
      </c>
      <c r="AQ750">
        <f>$H$750*$W$750</f>
        <v>0</v>
      </c>
      <c r="AR750">
        <f>$H$750*$X$750</f>
        <v>127.4</v>
      </c>
      <c r="AS750">
        <f>$H$750*$Y$750</f>
        <v>127.4</v>
      </c>
      <c r="AT750">
        <f>$H$750*$Z$750</f>
        <v>127.4</v>
      </c>
      <c r="AU750">
        <f>$H$750*$AA$750</f>
        <v>127.4</v>
      </c>
      <c r="AV750">
        <f>$H$750*$AB$750</f>
        <v>127.4</v>
      </c>
      <c r="AW750">
        <f>$H$750*$AC$750</f>
        <v>127.4</v>
      </c>
      <c r="AX750">
        <f>$H$750*$AD$750</f>
        <v>127.4</v>
      </c>
      <c r="AY750">
        <f>$H$750*$AE$750</f>
        <v>127.4</v>
      </c>
      <c r="AZ750">
        <f>$H$750*$AF$750</f>
        <v>127.4</v>
      </c>
    </row>
    <row r="751" spans="1:52" x14ac:dyDescent="0.25">
      <c r="A751">
        <v>802</v>
      </c>
      <c r="B751" t="s">
        <v>277</v>
      </c>
      <c r="C751" t="s">
        <v>399</v>
      </c>
      <c r="D751">
        <v>1</v>
      </c>
      <c r="E751">
        <v>63.51</v>
      </c>
      <c r="F751" t="s">
        <v>317</v>
      </c>
      <c r="G751">
        <v>63.51</v>
      </c>
      <c r="H751">
        <v>76.209999999999994</v>
      </c>
      <c r="I751" t="s">
        <v>322</v>
      </c>
      <c r="J751" t="s">
        <v>355</v>
      </c>
      <c r="K751" t="s">
        <v>578</v>
      </c>
      <c r="L751" t="s">
        <v>178</v>
      </c>
      <c r="M751" t="s">
        <v>277</v>
      </c>
      <c r="N751" t="s">
        <v>11</v>
      </c>
      <c r="O751" t="s">
        <v>14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1</v>
      </c>
      <c r="AE751">
        <v>1</v>
      </c>
      <c r="AF751">
        <v>1</v>
      </c>
      <c r="AG751" t="s">
        <v>277</v>
      </c>
      <c r="AH751" t="s">
        <v>11</v>
      </c>
      <c r="AI751" t="s">
        <v>14</v>
      </c>
      <c r="AJ751">
        <f>$H$751*$P$751</f>
        <v>0</v>
      </c>
      <c r="AK751">
        <f>$H$751*$Q$751</f>
        <v>0</v>
      </c>
      <c r="AL751">
        <f>$H$751*$R$751</f>
        <v>0</v>
      </c>
      <c r="AM751">
        <f>$H$751*$S$751</f>
        <v>0</v>
      </c>
      <c r="AN751">
        <f>$H$751*$T$751</f>
        <v>0</v>
      </c>
      <c r="AO751">
        <f>$H$751*$U$751</f>
        <v>0</v>
      </c>
      <c r="AP751">
        <f>$H$751*$V$751</f>
        <v>0</v>
      </c>
      <c r="AQ751">
        <f>$H$751*$W$751</f>
        <v>0</v>
      </c>
      <c r="AR751">
        <f>$H$751*$X$751</f>
        <v>0</v>
      </c>
      <c r="AS751">
        <f>$H$751*$Y$751</f>
        <v>0</v>
      </c>
      <c r="AT751">
        <f>$H$751*$Z$751</f>
        <v>0</v>
      </c>
      <c r="AU751">
        <f>$H$751*$AA$751</f>
        <v>0</v>
      </c>
      <c r="AV751">
        <f>$H$751*$AB$751</f>
        <v>0</v>
      </c>
      <c r="AW751">
        <f>$H$751*$AC$751</f>
        <v>0</v>
      </c>
      <c r="AX751">
        <f>$H$751*$AD$751</f>
        <v>76.209999999999994</v>
      </c>
      <c r="AY751">
        <f>$H$751*$AE$751</f>
        <v>76.209999999999994</v>
      </c>
      <c r="AZ751">
        <f>$H$751*$AF$751</f>
        <v>76.209999999999994</v>
      </c>
    </row>
    <row r="752" spans="1:52" x14ac:dyDescent="0.25">
      <c r="A752">
        <v>803</v>
      </c>
      <c r="B752" t="s">
        <v>277</v>
      </c>
      <c r="C752" t="s">
        <v>345</v>
      </c>
      <c r="D752">
        <v>540</v>
      </c>
      <c r="E752">
        <v>529.20000000000005</v>
      </c>
      <c r="F752" t="s">
        <v>335</v>
      </c>
      <c r="G752">
        <v>0.98</v>
      </c>
      <c r="H752">
        <v>635.04</v>
      </c>
      <c r="I752" t="s">
        <v>312</v>
      </c>
      <c r="J752" t="s">
        <v>346</v>
      </c>
      <c r="K752" t="s">
        <v>552</v>
      </c>
      <c r="L752" t="s">
        <v>178</v>
      </c>
      <c r="M752" t="s">
        <v>277</v>
      </c>
      <c r="N752" t="s">
        <v>11</v>
      </c>
      <c r="O752" t="s">
        <v>14</v>
      </c>
      <c r="P752">
        <v>0</v>
      </c>
      <c r="Q752">
        <v>0</v>
      </c>
      <c r="R752">
        <v>0</v>
      </c>
      <c r="S752">
        <v>0</v>
      </c>
      <c r="T752">
        <v>1</v>
      </c>
      <c r="U752">
        <v>1</v>
      </c>
      <c r="V752">
        <v>1</v>
      </c>
      <c r="W752">
        <v>1</v>
      </c>
      <c r="X752">
        <v>1</v>
      </c>
      <c r="Y752">
        <v>1</v>
      </c>
      <c r="Z752">
        <v>1</v>
      </c>
      <c r="AA752">
        <v>1</v>
      </c>
      <c r="AB752">
        <v>1</v>
      </c>
      <c r="AC752">
        <v>1</v>
      </c>
      <c r="AD752">
        <v>1</v>
      </c>
      <c r="AE752">
        <v>1</v>
      </c>
      <c r="AF752">
        <v>1</v>
      </c>
      <c r="AG752" t="s">
        <v>277</v>
      </c>
      <c r="AH752" t="s">
        <v>11</v>
      </c>
      <c r="AI752" t="s">
        <v>14</v>
      </c>
      <c r="AJ752">
        <f>$H$752*$P$752</f>
        <v>0</v>
      </c>
      <c r="AK752">
        <f>$H$752*$Q$752</f>
        <v>0</v>
      </c>
      <c r="AL752">
        <f>$H$752*$R$752</f>
        <v>0</v>
      </c>
      <c r="AM752">
        <f>$H$752*$S$752</f>
        <v>0</v>
      </c>
      <c r="AN752">
        <f>$H$752*$T$752</f>
        <v>635.04</v>
      </c>
      <c r="AO752">
        <f>$H$752*$U$752</f>
        <v>635.04</v>
      </c>
      <c r="AP752">
        <f>$H$752*$V$752</f>
        <v>635.04</v>
      </c>
      <c r="AQ752">
        <f>$H$752*$W$752</f>
        <v>635.04</v>
      </c>
      <c r="AR752">
        <f>$H$752*$X$752</f>
        <v>635.04</v>
      </c>
      <c r="AS752">
        <f>$H$752*$Y$752</f>
        <v>635.04</v>
      </c>
      <c r="AT752">
        <f>$H$752*$Z$752</f>
        <v>635.04</v>
      </c>
      <c r="AU752">
        <f>$H$752*$AA$752</f>
        <v>635.04</v>
      </c>
      <c r="AV752">
        <f>$H$752*$AB$752</f>
        <v>635.04</v>
      </c>
      <c r="AW752">
        <f>$H$752*$AC$752</f>
        <v>635.04</v>
      </c>
      <c r="AX752">
        <f>$H$752*$AD$752</f>
        <v>635.04</v>
      </c>
      <c r="AY752">
        <f>$H$752*$AE$752</f>
        <v>635.04</v>
      </c>
      <c r="AZ752">
        <f>$H$752*$AF$752</f>
        <v>635.04</v>
      </c>
    </row>
    <row r="753" spans="1:52" x14ac:dyDescent="0.25">
      <c r="A753">
        <v>804</v>
      </c>
      <c r="B753" t="s">
        <v>277</v>
      </c>
      <c r="C753" t="s">
        <v>400</v>
      </c>
      <c r="D753">
        <v>540</v>
      </c>
      <c r="E753">
        <v>1814.4</v>
      </c>
      <c r="F753" t="s">
        <v>335</v>
      </c>
      <c r="G753">
        <v>3.36</v>
      </c>
      <c r="H753">
        <v>2177.2800000000002</v>
      </c>
      <c r="I753" t="s">
        <v>348</v>
      </c>
      <c r="J753" t="s">
        <v>401</v>
      </c>
      <c r="K753" t="s">
        <v>579</v>
      </c>
      <c r="L753" t="s">
        <v>178</v>
      </c>
      <c r="M753" t="s">
        <v>277</v>
      </c>
      <c r="N753" t="s">
        <v>11</v>
      </c>
      <c r="O753" t="s">
        <v>14</v>
      </c>
      <c r="P753">
        <v>0</v>
      </c>
      <c r="Q753">
        <v>0</v>
      </c>
      <c r="R753">
        <v>0</v>
      </c>
      <c r="S753">
        <v>0.25</v>
      </c>
      <c r="T753">
        <v>0.25</v>
      </c>
      <c r="U753">
        <v>0.25</v>
      </c>
      <c r="V753">
        <v>0.25</v>
      </c>
      <c r="W753">
        <v>0.5</v>
      </c>
      <c r="X753">
        <v>0.5</v>
      </c>
      <c r="Y753">
        <v>0.5</v>
      </c>
      <c r="Z753">
        <v>0.5</v>
      </c>
      <c r="AA753">
        <v>1</v>
      </c>
      <c r="AB753">
        <v>1</v>
      </c>
      <c r="AC753">
        <v>1</v>
      </c>
      <c r="AD753">
        <v>1</v>
      </c>
      <c r="AE753">
        <v>1</v>
      </c>
      <c r="AF753">
        <v>1</v>
      </c>
      <c r="AG753" t="s">
        <v>277</v>
      </c>
      <c r="AH753" t="s">
        <v>11</v>
      </c>
      <c r="AI753" t="s">
        <v>14</v>
      </c>
      <c r="AJ753">
        <f>$H$753*$P$753</f>
        <v>0</v>
      </c>
      <c r="AK753">
        <f>$H$753*$Q$753</f>
        <v>0</v>
      </c>
      <c r="AL753">
        <f>$H$753*$R$753</f>
        <v>0</v>
      </c>
      <c r="AM753">
        <f>$H$753*$S$753</f>
        <v>544.32000000000005</v>
      </c>
      <c r="AN753">
        <f>$H$753*$T$753</f>
        <v>544.32000000000005</v>
      </c>
      <c r="AO753">
        <f>$H$753*$U$753</f>
        <v>544.32000000000005</v>
      </c>
      <c r="AP753">
        <f>$H$753*$V$753</f>
        <v>544.32000000000005</v>
      </c>
      <c r="AQ753">
        <f>$H$753*$W$753</f>
        <v>1088.6400000000001</v>
      </c>
      <c r="AR753">
        <f>$H$753*$X$753</f>
        <v>1088.6400000000001</v>
      </c>
      <c r="AS753">
        <f>$H$753*$Y$753</f>
        <v>1088.6400000000001</v>
      </c>
      <c r="AT753">
        <f>$H$753*$Z$753</f>
        <v>1088.6400000000001</v>
      </c>
      <c r="AU753">
        <f>$H$753*$AA$753</f>
        <v>2177.2800000000002</v>
      </c>
      <c r="AV753">
        <f>$H$753*$AB$753</f>
        <v>2177.2800000000002</v>
      </c>
      <c r="AW753">
        <f>$H$753*$AC$753</f>
        <v>2177.2800000000002</v>
      </c>
      <c r="AX753">
        <f>$H$753*$AD$753</f>
        <v>2177.2800000000002</v>
      </c>
      <c r="AY753">
        <f>$H$753*$AE$753</f>
        <v>2177.2800000000002</v>
      </c>
      <c r="AZ753">
        <f>$H$753*$AF$753</f>
        <v>2177.2800000000002</v>
      </c>
    </row>
    <row r="754" spans="1:52" x14ac:dyDescent="0.25">
      <c r="A754">
        <v>805</v>
      </c>
      <c r="B754" t="s">
        <v>277</v>
      </c>
      <c r="C754" t="s">
        <v>402</v>
      </c>
      <c r="D754">
        <v>67.5</v>
      </c>
      <c r="E754">
        <v>101.93</v>
      </c>
      <c r="F754" t="s">
        <v>311</v>
      </c>
      <c r="G754">
        <v>1.51</v>
      </c>
      <c r="H754">
        <v>122.31</v>
      </c>
      <c r="I754" t="s">
        <v>312</v>
      </c>
      <c r="J754" t="s">
        <v>403</v>
      </c>
      <c r="K754" t="s">
        <v>580</v>
      </c>
      <c r="L754" t="s">
        <v>178</v>
      </c>
      <c r="M754" t="s">
        <v>277</v>
      </c>
      <c r="N754" t="s">
        <v>11</v>
      </c>
      <c r="O754" t="s">
        <v>14</v>
      </c>
      <c r="P754">
        <v>0</v>
      </c>
      <c r="Q754">
        <v>0</v>
      </c>
      <c r="R754">
        <v>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Y754">
        <v>1</v>
      </c>
      <c r="Z754">
        <v>1</v>
      </c>
      <c r="AA754">
        <v>1</v>
      </c>
      <c r="AB754">
        <v>1</v>
      </c>
      <c r="AC754">
        <v>1</v>
      </c>
      <c r="AD754">
        <v>1</v>
      </c>
      <c r="AE754">
        <v>1</v>
      </c>
      <c r="AF754">
        <v>1</v>
      </c>
      <c r="AG754" t="s">
        <v>277</v>
      </c>
      <c r="AH754" t="s">
        <v>11</v>
      </c>
      <c r="AI754" t="s">
        <v>14</v>
      </c>
      <c r="AJ754">
        <f>$H$754*$P$754</f>
        <v>0</v>
      </c>
      <c r="AK754">
        <f>$H$754*$Q$754</f>
        <v>0</v>
      </c>
      <c r="AL754">
        <f>$H$754*$R$754</f>
        <v>0</v>
      </c>
      <c r="AM754">
        <f>$H$754*$S$754</f>
        <v>122.31</v>
      </c>
      <c r="AN754">
        <f>$H$754*$T$754</f>
        <v>122.31</v>
      </c>
      <c r="AO754">
        <f>$H$754*$U$754</f>
        <v>122.31</v>
      </c>
      <c r="AP754">
        <f>$H$754*$V$754</f>
        <v>122.31</v>
      </c>
      <c r="AQ754">
        <f>$H$754*$W$754</f>
        <v>122.31</v>
      </c>
      <c r="AR754">
        <f>$H$754*$X$754</f>
        <v>122.31</v>
      </c>
      <c r="AS754">
        <f>$H$754*$Y$754</f>
        <v>122.31</v>
      </c>
      <c r="AT754">
        <f>$H$754*$Z$754</f>
        <v>122.31</v>
      </c>
      <c r="AU754">
        <f>$H$754*$AA$754</f>
        <v>122.31</v>
      </c>
      <c r="AV754">
        <f>$H$754*$AB$754</f>
        <v>122.31</v>
      </c>
      <c r="AW754">
        <f>$H$754*$AC$754</f>
        <v>122.31</v>
      </c>
      <c r="AX754">
        <f>$H$754*$AD$754</f>
        <v>122.31</v>
      </c>
      <c r="AY754">
        <f>$H$754*$AE$754</f>
        <v>122.31</v>
      </c>
      <c r="AZ754">
        <f>$H$754*$AF$754</f>
        <v>122.31</v>
      </c>
    </row>
    <row r="755" spans="1:52" x14ac:dyDescent="0.25">
      <c r="A755">
        <v>806</v>
      </c>
      <c r="B755" t="s">
        <v>277</v>
      </c>
      <c r="C755" t="s">
        <v>404</v>
      </c>
      <c r="D755">
        <v>67.5</v>
      </c>
      <c r="E755">
        <v>383.4</v>
      </c>
      <c r="F755" t="s">
        <v>311</v>
      </c>
      <c r="G755">
        <v>5.68</v>
      </c>
      <c r="H755">
        <v>460.08</v>
      </c>
      <c r="I755" t="s">
        <v>315</v>
      </c>
      <c r="J755" t="s">
        <v>405</v>
      </c>
      <c r="K755" t="s">
        <v>581</v>
      </c>
      <c r="L755" t="s">
        <v>178</v>
      </c>
      <c r="M755" t="s">
        <v>277</v>
      </c>
      <c r="N755" t="s">
        <v>11</v>
      </c>
      <c r="O755" t="s">
        <v>14</v>
      </c>
      <c r="P755">
        <v>0</v>
      </c>
      <c r="Q755">
        <v>0</v>
      </c>
      <c r="R755">
        <v>0</v>
      </c>
      <c r="S755">
        <v>1</v>
      </c>
      <c r="T755">
        <v>1</v>
      </c>
      <c r="U755">
        <v>1</v>
      </c>
      <c r="V755">
        <v>1</v>
      </c>
      <c r="W755">
        <v>1</v>
      </c>
      <c r="X755">
        <v>1</v>
      </c>
      <c r="Y755">
        <v>1</v>
      </c>
      <c r="Z755">
        <v>1</v>
      </c>
      <c r="AA755">
        <v>1</v>
      </c>
      <c r="AB755">
        <v>1</v>
      </c>
      <c r="AC755">
        <v>1</v>
      </c>
      <c r="AD755">
        <v>1</v>
      </c>
      <c r="AE755">
        <v>1</v>
      </c>
      <c r="AF755">
        <v>1</v>
      </c>
      <c r="AG755" t="s">
        <v>277</v>
      </c>
      <c r="AH755" t="s">
        <v>11</v>
      </c>
      <c r="AI755" t="s">
        <v>14</v>
      </c>
      <c r="AJ755">
        <f>$H$755*$P$755</f>
        <v>0</v>
      </c>
      <c r="AK755">
        <f>$H$755*$Q$755</f>
        <v>0</v>
      </c>
      <c r="AL755">
        <f>$H$755*$R$755</f>
        <v>0</v>
      </c>
      <c r="AM755">
        <f>$H$755*$S$755</f>
        <v>460.08</v>
      </c>
      <c r="AN755">
        <f>$H$755*$T$755</f>
        <v>460.08</v>
      </c>
      <c r="AO755">
        <f>$H$755*$U$755</f>
        <v>460.08</v>
      </c>
      <c r="AP755">
        <f>$H$755*$V$755</f>
        <v>460.08</v>
      </c>
      <c r="AQ755">
        <f>$H$755*$W$755</f>
        <v>460.08</v>
      </c>
      <c r="AR755">
        <f>$H$755*$X$755</f>
        <v>460.08</v>
      </c>
      <c r="AS755">
        <f>$H$755*$Y$755</f>
        <v>460.08</v>
      </c>
      <c r="AT755">
        <f>$H$755*$Z$755</f>
        <v>460.08</v>
      </c>
      <c r="AU755">
        <f>$H$755*$AA$755</f>
        <v>460.08</v>
      </c>
      <c r="AV755">
        <f>$H$755*$AB$755</f>
        <v>460.08</v>
      </c>
      <c r="AW755">
        <f>$H$755*$AC$755</f>
        <v>460.08</v>
      </c>
      <c r="AX755">
        <f>$H$755*$AD$755</f>
        <v>460.08</v>
      </c>
      <c r="AY755">
        <f>$H$755*$AE$755</f>
        <v>460.08</v>
      </c>
      <c r="AZ755">
        <f>$H$755*$AF$755</f>
        <v>460.08</v>
      </c>
    </row>
    <row r="756" spans="1:52" x14ac:dyDescent="0.25">
      <c r="A756">
        <v>807</v>
      </c>
      <c r="B756" t="s">
        <v>277</v>
      </c>
      <c r="C756" t="s">
        <v>400</v>
      </c>
      <c r="D756">
        <v>276.01</v>
      </c>
      <c r="E756">
        <v>927.39</v>
      </c>
      <c r="F756" t="s">
        <v>335</v>
      </c>
      <c r="G756">
        <v>3.36</v>
      </c>
      <c r="H756">
        <v>1112.8699999999999</v>
      </c>
      <c r="I756" t="s">
        <v>348</v>
      </c>
      <c r="J756" t="s">
        <v>401</v>
      </c>
      <c r="K756" t="s">
        <v>579</v>
      </c>
      <c r="L756" t="s">
        <v>178</v>
      </c>
      <c r="M756" t="s">
        <v>277</v>
      </c>
      <c r="N756" t="s">
        <v>11</v>
      </c>
      <c r="O756" t="s">
        <v>14</v>
      </c>
      <c r="P756">
        <v>0</v>
      </c>
      <c r="Q756">
        <v>0</v>
      </c>
      <c r="R756">
        <v>0</v>
      </c>
      <c r="S756">
        <v>0.25</v>
      </c>
      <c r="T756">
        <v>0.25</v>
      </c>
      <c r="U756">
        <v>0.25</v>
      </c>
      <c r="V756">
        <v>0.25</v>
      </c>
      <c r="W756">
        <v>0.5</v>
      </c>
      <c r="X756">
        <v>0.5</v>
      </c>
      <c r="Y756">
        <v>0.5</v>
      </c>
      <c r="Z756">
        <v>0.5</v>
      </c>
      <c r="AA756">
        <v>1</v>
      </c>
      <c r="AB756">
        <v>1</v>
      </c>
      <c r="AC756">
        <v>1</v>
      </c>
      <c r="AD756">
        <v>1</v>
      </c>
      <c r="AE756">
        <v>1</v>
      </c>
      <c r="AF756">
        <v>1</v>
      </c>
      <c r="AG756" t="s">
        <v>277</v>
      </c>
      <c r="AH756" t="s">
        <v>11</v>
      </c>
      <c r="AI756" t="s">
        <v>14</v>
      </c>
      <c r="AJ756">
        <f>$H$756*$P$756</f>
        <v>0</v>
      </c>
      <c r="AK756">
        <f>$H$756*$Q$756</f>
        <v>0</v>
      </c>
      <c r="AL756">
        <f>$H$756*$R$756</f>
        <v>0</v>
      </c>
      <c r="AM756">
        <f>$H$756*$S$756</f>
        <v>278.21749999999997</v>
      </c>
      <c r="AN756">
        <f>$H$756*$T$756</f>
        <v>278.21749999999997</v>
      </c>
      <c r="AO756">
        <f>$H$756*$U$756</f>
        <v>278.21749999999997</v>
      </c>
      <c r="AP756">
        <f>$H$756*$V$756</f>
        <v>278.21749999999997</v>
      </c>
      <c r="AQ756">
        <f>$H$756*$W$756</f>
        <v>556.43499999999995</v>
      </c>
      <c r="AR756">
        <f>$H$756*$X$756</f>
        <v>556.43499999999995</v>
      </c>
      <c r="AS756">
        <f>$H$756*$Y$756</f>
        <v>556.43499999999995</v>
      </c>
      <c r="AT756">
        <f>$H$756*$Z$756</f>
        <v>556.43499999999995</v>
      </c>
      <c r="AU756">
        <f>$H$756*$AA$756</f>
        <v>1112.8699999999999</v>
      </c>
      <c r="AV756">
        <f>$H$756*$AB$756</f>
        <v>1112.8699999999999</v>
      </c>
      <c r="AW756">
        <f>$H$756*$AC$756</f>
        <v>1112.8699999999999</v>
      </c>
      <c r="AX756">
        <f>$H$756*$AD$756</f>
        <v>1112.8699999999999</v>
      </c>
      <c r="AY756">
        <f>$H$756*$AE$756</f>
        <v>1112.8699999999999</v>
      </c>
      <c r="AZ756">
        <f>$H$756*$AF$756</f>
        <v>1112.8699999999999</v>
      </c>
    </row>
    <row r="757" spans="1:52" x14ac:dyDescent="0.25">
      <c r="A757">
        <v>808</v>
      </c>
      <c r="B757" t="s">
        <v>277</v>
      </c>
      <c r="C757" t="s">
        <v>406</v>
      </c>
      <c r="D757">
        <v>276.01</v>
      </c>
      <c r="E757">
        <v>173.89</v>
      </c>
      <c r="F757" t="s">
        <v>335</v>
      </c>
      <c r="G757">
        <v>0.63</v>
      </c>
      <c r="H757">
        <v>208.67</v>
      </c>
      <c r="I757" t="s">
        <v>312</v>
      </c>
      <c r="J757" t="s">
        <v>407</v>
      </c>
      <c r="K757" t="s">
        <v>582</v>
      </c>
      <c r="L757" t="s">
        <v>178</v>
      </c>
      <c r="M757" t="s">
        <v>277</v>
      </c>
      <c r="N757" t="s">
        <v>11</v>
      </c>
      <c r="O757" t="s">
        <v>14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1</v>
      </c>
      <c r="AE757">
        <v>1</v>
      </c>
      <c r="AF757">
        <v>1</v>
      </c>
      <c r="AG757" t="s">
        <v>277</v>
      </c>
      <c r="AH757" t="s">
        <v>11</v>
      </c>
      <c r="AI757" t="s">
        <v>14</v>
      </c>
      <c r="AJ757">
        <f>$H$757*$P$757</f>
        <v>0</v>
      </c>
      <c r="AK757">
        <f>$H$757*$Q$757</f>
        <v>0</v>
      </c>
      <c r="AL757">
        <f>$H$757*$R$757</f>
        <v>0</v>
      </c>
      <c r="AM757">
        <f>$H$757*$S$757</f>
        <v>0</v>
      </c>
      <c r="AN757">
        <f>$H$757*$T$757</f>
        <v>0</v>
      </c>
      <c r="AO757">
        <f>$H$757*$U$757</f>
        <v>0</v>
      </c>
      <c r="AP757">
        <f>$H$757*$V$757</f>
        <v>0</v>
      </c>
      <c r="AQ757">
        <f>$H$757*$W$757</f>
        <v>0</v>
      </c>
      <c r="AR757">
        <f>$H$757*$X$757</f>
        <v>0</v>
      </c>
      <c r="AS757">
        <f>$H$757*$Y$757</f>
        <v>0</v>
      </c>
      <c r="AT757">
        <f>$H$757*$Z$757</f>
        <v>0</v>
      </c>
      <c r="AU757">
        <f>$H$757*$AA$757</f>
        <v>0</v>
      </c>
      <c r="AV757">
        <f>$H$757*$AB$757</f>
        <v>0</v>
      </c>
      <c r="AW757">
        <f>$H$757*$AC$757</f>
        <v>0</v>
      </c>
      <c r="AX757">
        <f>$H$757*$AD$757</f>
        <v>208.67</v>
      </c>
      <c r="AY757">
        <f>$H$757*$AE$757</f>
        <v>208.67</v>
      </c>
      <c r="AZ757">
        <f>$H$757*$AF$757</f>
        <v>208.67</v>
      </c>
    </row>
    <row r="758" spans="1:52" x14ac:dyDescent="0.25">
      <c r="A758">
        <v>809</v>
      </c>
      <c r="B758" t="s">
        <v>277</v>
      </c>
      <c r="C758" t="s">
        <v>408</v>
      </c>
      <c r="D758">
        <v>276.01</v>
      </c>
      <c r="E758">
        <v>190.45</v>
      </c>
      <c r="F758" t="s">
        <v>335</v>
      </c>
      <c r="G758">
        <v>0.69</v>
      </c>
      <c r="H758">
        <v>228.55</v>
      </c>
      <c r="I758" t="s">
        <v>312</v>
      </c>
      <c r="J758" t="s">
        <v>409</v>
      </c>
      <c r="K758" t="s">
        <v>583</v>
      </c>
      <c r="L758" t="s">
        <v>178</v>
      </c>
      <c r="M758" t="s">
        <v>277</v>
      </c>
      <c r="N758" t="s">
        <v>11</v>
      </c>
      <c r="O758" t="s">
        <v>14</v>
      </c>
      <c r="P758">
        <v>0</v>
      </c>
      <c r="Q758">
        <v>0</v>
      </c>
      <c r="R758">
        <v>0</v>
      </c>
      <c r="S758">
        <v>1</v>
      </c>
      <c r="T758">
        <v>1</v>
      </c>
      <c r="U758">
        <v>1</v>
      </c>
      <c r="V758">
        <v>1</v>
      </c>
      <c r="W758">
        <v>1</v>
      </c>
      <c r="X758">
        <v>1</v>
      </c>
      <c r="Y758">
        <v>1</v>
      </c>
      <c r="Z758">
        <v>1</v>
      </c>
      <c r="AA758">
        <v>1</v>
      </c>
      <c r="AB758">
        <v>1</v>
      </c>
      <c r="AC758">
        <v>1</v>
      </c>
      <c r="AD758">
        <v>1</v>
      </c>
      <c r="AE758">
        <v>1</v>
      </c>
      <c r="AF758">
        <v>1</v>
      </c>
      <c r="AG758" t="s">
        <v>277</v>
      </c>
      <c r="AH758" t="s">
        <v>11</v>
      </c>
      <c r="AI758" t="s">
        <v>14</v>
      </c>
      <c r="AJ758">
        <f>$H$758*$P$758</f>
        <v>0</v>
      </c>
      <c r="AK758">
        <f>$H$758*$Q$758</f>
        <v>0</v>
      </c>
      <c r="AL758">
        <f>$H$758*$R$758</f>
        <v>0</v>
      </c>
      <c r="AM758">
        <f>$H$758*$S$758</f>
        <v>228.55</v>
      </c>
      <c r="AN758">
        <f>$H$758*$T$758</f>
        <v>228.55</v>
      </c>
      <c r="AO758">
        <f>$H$758*$U$758</f>
        <v>228.55</v>
      </c>
      <c r="AP758">
        <f>$H$758*$V$758</f>
        <v>228.55</v>
      </c>
      <c r="AQ758">
        <f>$H$758*$W$758</f>
        <v>228.55</v>
      </c>
      <c r="AR758">
        <f>$H$758*$X$758</f>
        <v>228.55</v>
      </c>
      <c r="AS758">
        <f>$H$758*$Y$758</f>
        <v>228.55</v>
      </c>
      <c r="AT758">
        <f>$H$758*$Z$758</f>
        <v>228.55</v>
      </c>
      <c r="AU758">
        <f>$H$758*$AA$758</f>
        <v>228.55</v>
      </c>
      <c r="AV758">
        <f>$H$758*$AB$758</f>
        <v>228.55</v>
      </c>
      <c r="AW758">
        <f>$H$758*$AC$758</f>
        <v>228.55</v>
      </c>
      <c r="AX758">
        <f>$H$758*$AD$758</f>
        <v>228.55</v>
      </c>
      <c r="AY758">
        <f>$H$758*$AE$758</f>
        <v>228.55</v>
      </c>
      <c r="AZ758">
        <f>$H$758*$AF$758</f>
        <v>228.55</v>
      </c>
    </row>
    <row r="759" spans="1:52" x14ac:dyDescent="0.25">
      <c r="A759">
        <v>810</v>
      </c>
      <c r="B759" t="s">
        <v>277</v>
      </c>
      <c r="C759" t="s">
        <v>410</v>
      </c>
      <c r="D759">
        <v>57.96</v>
      </c>
      <c r="E759">
        <v>394.71</v>
      </c>
      <c r="F759" t="s">
        <v>335</v>
      </c>
      <c r="G759">
        <v>6.81</v>
      </c>
      <c r="H759">
        <v>473.65</v>
      </c>
      <c r="I759" t="s">
        <v>411</v>
      </c>
      <c r="J759" t="s">
        <v>412</v>
      </c>
      <c r="K759" t="s">
        <v>584</v>
      </c>
      <c r="L759" t="s">
        <v>178</v>
      </c>
      <c r="M759" t="s">
        <v>277</v>
      </c>
      <c r="N759" t="s">
        <v>11</v>
      </c>
      <c r="O759" t="s">
        <v>14</v>
      </c>
      <c r="P759">
        <v>0</v>
      </c>
      <c r="Q759">
        <v>0</v>
      </c>
      <c r="R759">
        <v>0</v>
      </c>
      <c r="S759">
        <v>1</v>
      </c>
      <c r="T759">
        <v>1</v>
      </c>
      <c r="U759">
        <v>1</v>
      </c>
      <c r="V759">
        <v>1</v>
      </c>
      <c r="W759">
        <v>1</v>
      </c>
      <c r="X759">
        <v>1</v>
      </c>
      <c r="Y759">
        <v>1</v>
      </c>
      <c r="Z759">
        <v>1</v>
      </c>
      <c r="AA759">
        <v>1</v>
      </c>
      <c r="AB759">
        <v>1</v>
      </c>
      <c r="AC759">
        <v>1</v>
      </c>
      <c r="AD759">
        <v>1</v>
      </c>
      <c r="AE759">
        <v>1</v>
      </c>
      <c r="AF759">
        <v>1</v>
      </c>
      <c r="AG759" t="s">
        <v>277</v>
      </c>
      <c r="AH759" t="s">
        <v>11</v>
      </c>
      <c r="AI759" t="s">
        <v>14</v>
      </c>
      <c r="AJ759">
        <f>$H$759*$P$759</f>
        <v>0</v>
      </c>
      <c r="AK759">
        <f>$H$759*$Q$759</f>
        <v>0</v>
      </c>
      <c r="AL759">
        <f>$H$759*$R$759</f>
        <v>0</v>
      </c>
      <c r="AM759">
        <f>$H$759*$S$759</f>
        <v>473.65</v>
      </c>
      <c r="AN759">
        <f>$H$759*$T$759</f>
        <v>473.65</v>
      </c>
      <c r="AO759">
        <f>$H$759*$U$759</f>
        <v>473.65</v>
      </c>
      <c r="AP759">
        <f>$H$759*$V$759</f>
        <v>473.65</v>
      </c>
      <c r="AQ759">
        <f>$H$759*$W$759</f>
        <v>473.65</v>
      </c>
      <c r="AR759">
        <f>$H$759*$X$759</f>
        <v>473.65</v>
      </c>
      <c r="AS759">
        <f>$H$759*$Y$759</f>
        <v>473.65</v>
      </c>
      <c r="AT759">
        <f>$H$759*$Z$759</f>
        <v>473.65</v>
      </c>
      <c r="AU759">
        <f>$H$759*$AA$759</f>
        <v>473.65</v>
      </c>
      <c r="AV759">
        <f>$H$759*$AB$759</f>
        <v>473.65</v>
      </c>
      <c r="AW759">
        <f>$H$759*$AC$759</f>
        <v>473.65</v>
      </c>
      <c r="AX759">
        <f>$H$759*$AD$759</f>
        <v>473.65</v>
      </c>
      <c r="AY759">
        <f>$H$759*$AE$759</f>
        <v>473.65</v>
      </c>
      <c r="AZ759">
        <f>$H$759*$AF$759</f>
        <v>473.65</v>
      </c>
    </row>
    <row r="760" spans="1:52" x14ac:dyDescent="0.25">
      <c r="A760">
        <v>811</v>
      </c>
      <c r="B760" t="s">
        <v>277</v>
      </c>
      <c r="C760" t="s">
        <v>413</v>
      </c>
      <c r="D760">
        <v>63.48</v>
      </c>
      <c r="E760">
        <v>467.85</v>
      </c>
      <c r="F760" t="s">
        <v>335</v>
      </c>
      <c r="G760">
        <v>7.37</v>
      </c>
      <c r="H760">
        <v>561.42999999999995</v>
      </c>
      <c r="I760" t="s">
        <v>411</v>
      </c>
      <c r="J760" t="s">
        <v>414</v>
      </c>
      <c r="K760" t="s">
        <v>585</v>
      </c>
      <c r="L760" t="s">
        <v>178</v>
      </c>
      <c r="M760" t="s">
        <v>277</v>
      </c>
      <c r="N760" t="s">
        <v>11</v>
      </c>
      <c r="O760" t="s">
        <v>14</v>
      </c>
      <c r="P760">
        <v>0</v>
      </c>
      <c r="Q760">
        <v>0</v>
      </c>
      <c r="R760">
        <v>0</v>
      </c>
      <c r="S760">
        <v>1</v>
      </c>
      <c r="T760">
        <v>1</v>
      </c>
      <c r="U760">
        <v>1</v>
      </c>
      <c r="V760">
        <v>1</v>
      </c>
      <c r="W760">
        <v>1</v>
      </c>
      <c r="X760">
        <v>1</v>
      </c>
      <c r="Y760">
        <v>1</v>
      </c>
      <c r="Z760">
        <v>1</v>
      </c>
      <c r="AA760">
        <v>1</v>
      </c>
      <c r="AB760">
        <v>1</v>
      </c>
      <c r="AC760">
        <v>1</v>
      </c>
      <c r="AD760">
        <v>1</v>
      </c>
      <c r="AE760">
        <v>1</v>
      </c>
      <c r="AF760">
        <v>1</v>
      </c>
      <c r="AG760" t="s">
        <v>277</v>
      </c>
      <c r="AH760" t="s">
        <v>11</v>
      </c>
      <c r="AI760" t="s">
        <v>14</v>
      </c>
      <c r="AJ760">
        <f>$H$760*$P$760</f>
        <v>0</v>
      </c>
      <c r="AK760">
        <f>$H$760*$Q$760</f>
        <v>0</v>
      </c>
      <c r="AL760">
        <f>$H$760*$R$760</f>
        <v>0</v>
      </c>
      <c r="AM760">
        <f>$H$760*$S$760</f>
        <v>561.42999999999995</v>
      </c>
      <c r="AN760">
        <f>$H$760*$T$760</f>
        <v>561.42999999999995</v>
      </c>
      <c r="AO760">
        <f>$H$760*$U$760</f>
        <v>561.42999999999995</v>
      </c>
      <c r="AP760">
        <f>$H$760*$V$760</f>
        <v>561.42999999999995</v>
      </c>
      <c r="AQ760">
        <f>$H$760*$W$760</f>
        <v>561.42999999999995</v>
      </c>
      <c r="AR760">
        <f>$H$760*$X$760</f>
        <v>561.42999999999995</v>
      </c>
      <c r="AS760">
        <f>$H$760*$Y$760</f>
        <v>561.42999999999995</v>
      </c>
      <c r="AT760">
        <f>$H$760*$Z$760</f>
        <v>561.42999999999995</v>
      </c>
      <c r="AU760">
        <f>$H$760*$AA$760</f>
        <v>561.42999999999995</v>
      </c>
      <c r="AV760">
        <f>$H$760*$AB$760</f>
        <v>561.42999999999995</v>
      </c>
      <c r="AW760">
        <f>$H$760*$AC$760</f>
        <v>561.42999999999995</v>
      </c>
      <c r="AX760">
        <f>$H$760*$AD$760</f>
        <v>561.42999999999995</v>
      </c>
      <c r="AY760">
        <f>$H$760*$AE$760</f>
        <v>561.42999999999995</v>
      </c>
      <c r="AZ760">
        <f>$H$760*$AF$760</f>
        <v>561.42999999999995</v>
      </c>
    </row>
    <row r="761" spans="1:52" x14ac:dyDescent="0.25">
      <c r="A761">
        <v>812</v>
      </c>
      <c r="B761" t="s">
        <v>277</v>
      </c>
      <c r="C761" t="s">
        <v>415</v>
      </c>
      <c r="D761">
        <v>56.8</v>
      </c>
      <c r="E761">
        <v>310.13</v>
      </c>
      <c r="F761" t="s">
        <v>335</v>
      </c>
      <c r="G761">
        <v>5.46</v>
      </c>
      <c r="H761">
        <v>372.15</v>
      </c>
      <c r="I761" t="s">
        <v>416</v>
      </c>
      <c r="J761" t="s">
        <v>417</v>
      </c>
      <c r="K761" t="s">
        <v>586</v>
      </c>
      <c r="L761" t="s">
        <v>178</v>
      </c>
      <c r="M761" t="s">
        <v>277</v>
      </c>
      <c r="N761" t="s">
        <v>11</v>
      </c>
      <c r="O761" t="s">
        <v>14</v>
      </c>
      <c r="P761">
        <v>0</v>
      </c>
      <c r="Q761">
        <v>0</v>
      </c>
      <c r="R761">
        <v>0</v>
      </c>
      <c r="S761">
        <v>1</v>
      </c>
      <c r="T761">
        <v>1</v>
      </c>
      <c r="U761">
        <v>1</v>
      </c>
      <c r="V761">
        <v>1</v>
      </c>
      <c r="W761">
        <v>1</v>
      </c>
      <c r="X761">
        <v>1</v>
      </c>
      <c r="Y761">
        <v>1</v>
      </c>
      <c r="Z761">
        <v>1</v>
      </c>
      <c r="AA761">
        <v>1</v>
      </c>
      <c r="AB761">
        <v>1</v>
      </c>
      <c r="AC761">
        <v>1</v>
      </c>
      <c r="AD761">
        <v>1</v>
      </c>
      <c r="AE761">
        <v>1</v>
      </c>
      <c r="AF761">
        <v>1</v>
      </c>
      <c r="AG761" t="s">
        <v>277</v>
      </c>
      <c r="AH761" t="s">
        <v>11</v>
      </c>
      <c r="AI761" t="s">
        <v>14</v>
      </c>
      <c r="AJ761">
        <f>$H$761*$P$761</f>
        <v>0</v>
      </c>
      <c r="AK761">
        <f>$H$761*$Q$761</f>
        <v>0</v>
      </c>
      <c r="AL761">
        <f>$H$761*$R$761</f>
        <v>0</v>
      </c>
      <c r="AM761">
        <f>$H$761*$S$761</f>
        <v>372.15</v>
      </c>
      <c r="AN761">
        <f>$H$761*$T$761</f>
        <v>372.15</v>
      </c>
      <c r="AO761">
        <f>$H$761*$U$761</f>
        <v>372.15</v>
      </c>
      <c r="AP761">
        <f>$H$761*$V$761</f>
        <v>372.15</v>
      </c>
      <c r="AQ761">
        <f>$H$761*$W$761</f>
        <v>372.15</v>
      </c>
      <c r="AR761">
        <f>$H$761*$X$761</f>
        <v>372.15</v>
      </c>
      <c r="AS761">
        <f>$H$761*$Y$761</f>
        <v>372.15</v>
      </c>
      <c r="AT761">
        <f>$H$761*$Z$761</f>
        <v>372.15</v>
      </c>
      <c r="AU761">
        <f>$H$761*$AA$761</f>
        <v>372.15</v>
      </c>
      <c r="AV761">
        <f>$H$761*$AB$761</f>
        <v>372.15</v>
      </c>
      <c r="AW761">
        <f>$H$761*$AC$761</f>
        <v>372.15</v>
      </c>
      <c r="AX761">
        <f>$H$761*$AD$761</f>
        <v>372.15</v>
      </c>
      <c r="AY761">
        <f>$H$761*$AE$761</f>
        <v>372.15</v>
      </c>
      <c r="AZ761">
        <f>$H$761*$AF$761</f>
        <v>372.15</v>
      </c>
    </row>
    <row r="762" spans="1:52" x14ac:dyDescent="0.25">
      <c r="A762">
        <v>813</v>
      </c>
      <c r="B762" t="s">
        <v>277</v>
      </c>
      <c r="C762" t="s">
        <v>418</v>
      </c>
      <c r="D762">
        <v>56.8</v>
      </c>
      <c r="E762">
        <v>203.34</v>
      </c>
      <c r="F762" t="s">
        <v>335</v>
      </c>
      <c r="G762">
        <v>3.58</v>
      </c>
      <c r="H762">
        <v>244</v>
      </c>
      <c r="I762" t="s">
        <v>416</v>
      </c>
      <c r="J762" t="s">
        <v>419</v>
      </c>
      <c r="K762" t="s">
        <v>587</v>
      </c>
      <c r="L762" t="s">
        <v>178</v>
      </c>
      <c r="M762" t="s">
        <v>277</v>
      </c>
      <c r="N762" t="s">
        <v>11</v>
      </c>
      <c r="O762" t="s">
        <v>14</v>
      </c>
      <c r="P762">
        <v>0</v>
      </c>
      <c r="Q762">
        <v>0</v>
      </c>
      <c r="R762">
        <v>0</v>
      </c>
      <c r="S762">
        <v>1</v>
      </c>
      <c r="T762">
        <v>1</v>
      </c>
      <c r="U762">
        <v>1</v>
      </c>
      <c r="V762">
        <v>1</v>
      </c>
      <c r="W762">
        <v>1</v>
      </c>
      <c r="X762">
        <v>1</v>
      </c>
      <c r="Y762">
        <v>1</v>
      </c>
      <c r="Z762">
        <v>1</v>
      </c>
      <c r="AA762">
        <v>1</v>
      </c>
      <c r="AB762">
        <v>1</v>
      </c>
      <c r="AC762">
        <v>1</v>
      </c>
      <c r="AD762">
        <v>1</v>
      </c>
      <c r="AE762">
        <v>1</v>
      </c>
      <c r="AF762">
        <v>1</v>
      </c>
      <c r="AG762" t="s">
        <v>277</v>
      </c>
      <c r="AH762" t="s">
        <v>11</v>
      </c>
      <c r="AI762" t="s">
        <v>14</v>
      </c>
      <c r="AJ762">
        <f>$H$762*$P$762</f>
        <v>0</v>
      </c>
      <c r="AK762">
        <f>$H$762*$Q$762</f>
        <v>0</v>
      </c>
      <c r="AL762">
        <f>$H$762*$R$762</f>
        <v>0</v>
      </c>
      <c r="AM762">
        <f>$H$762*$S$762</f>
        <v>244</v>
      </c>
      <c r="AN762">
        <f>$H$762*$T$762</f>
        <v>244</v>
      </c>
      <c r="AO762">
        <f>$H$762*$U$762</f>
        <v>244</v>
      </c>
      <c r="AP762">
        <f>$H$762*$V$762</f>
        <v>244</v>
      </c>
      <c r="AQ762">
        <f>$H$762*$W$762</f>
        <v>244</v>
      </c>
      <c r="AR762">
        <f>$H$762*$X$762</f>
        <v>244</v>
      </c>
      <c r="AS762">
        <f>$H$762*$Y$762</f>
        <v>244</v>
      </c>
      <c r="AT762">
        <f>$H$762*$Z$762</f>
        <v>244</v>
      </c>
      <c r="AU762">
        <f>$H$762*$AA$762</f>
        <v>244</v>
      </c>
      <c r="AV762">
        <f>$H$762*$AB$762</f>
        <v>244</v>
      </c>
      <c r="AW762">
        <f>$H$762*$AC$762</f>
        <v>244</v>
      </c>
      <c r="AX762">
        <f>$H$762*$AD$762</f>
        <v>244</v>
      </c>
      <c r="AY762">
        <f>$H$762*$AE$762</f>
        <v>244</v>
      </c>
      <c r="AZ762">
        <f>$H$762*$AF$762</f>
        <v>244</v>
      </c>
    </row>
    <row r="763" spans="1:52" x14ac:dyDescent="0.25">
      <c r="A763">
        <v>814</v>
      </c>
      <c r="B763" t="s">
        <v>277</v>
      </c>
      <c r="C763" t="s">
        <v>420</v>
      </c>
      <c r="D763">
        <v>56.8</v>
      </c>
      <c r="E763">
        <v>559.48</v>
      </c>
      <c r="F763" t="s">
        <v>335</v>
      </c>
      <c r="G763">
        <v>9.85</v>
      </c>
      <c r="H763">
        <v>671.38</v>
      </c>
      <c r="I763" t="s">
        <v>416</v>
      </c>
      <c r="J763" t="s">
        <v>414</v>
      </c>
      <c r="K763" t="s">
        <v>588</v>
      </c>
      <c r="L763" t="s">
        <v>178</v>
      </c>
      <c r="M763" t="s">
        <v>277</v>
      </c>
      <c r="N763" t="s">
        <v>11</v>
      </c>
      <c r="O763" t="s">
        <v>14</v>
      </c>
      <c r="P763">
        <v>0</v>
      </c>
      <c r="Q763">
        <v>0</v>
      </c>
      <c r="R763">
        <v>0</v>
      </c>
      <c r="S763">
        <v>1</v>
      </c>
      <c r="T763">
        <v>1</v>
      </c>
      <c r="U763">
        <v>1</v>
      </c>
      <c r="V763">
        <v>1</v>
      </c>
      <c r="W763">
        <v>1</v>
      </c>
      <c r="X763">
        <v>1</v>
      </c>
      <c r="Y763">
        <v>1</v>
      </c>
      <c r="Z763">
        <v>1</v>
      </c>
      <c r="AA763">
        <v>1</v>
      </c>
      <c r="AB763">
        <v>1</v>
      </c>
      <c r="AC763">
        <v>1</v>
      </c>
      <c r="AD763">
        <v>1</v>
      </c>
      <c r="AE763">
        <v>1</v>
      </c>
      <c r="AF763">
        <v>1</v>
      </c>
      <c r="AG763" t="s">
        <v>277</v>
      </c>
      <c r="AH763" t="s">
        <v>11</v>
      </c>
      <c r="AI763" t="s">
        <v>14</v>
      </c>
      <c r="AJ763">
        <f>$H$763*$P$763</f>
        <v>0</v>
      </c>
      <c r="AK763">
        <f>$H$763*$Q$763</f>
        <v>0</v>
      </c>
      <c r="AL763">
        <f>$H$763*$R$763</f>
        <v>0</v>
      </c>
      <c r="AM763">
        <f>$H$763*$S$763</f>
        <v>671.38</v>
      </c>
      <c r="AN763">
        <f>$H$763*$T$763</f>
        <v>671.38</v>
      </c>
      <c r="AO763">
        <f>$H$763*$U$763</f>
        <v>671.38</v>
      </c>
      <c r="AP763">
        <f>$H$763*$V$763</f>
        <v>671.38</v>
      </c>
      <c r="AQ763">
        <f>$H$763*$W$763</f>
        <v>671.38</v>
      </c>
      <c r="AR763">
        <f>$H$763*$X$763</f>
        <v>671.38</v>
      </c>
      <c r="AS763">
        <f>$H$763*$Y$763</f>
        <v>671.38</v>
      </c>
      <c r="AT763">
        <f>$H$763*$Z$763</f>
        <v>671.38</v>
      </c>
      <c r="AU763">
        <f>$H$763*$AA$763</f>
        <v>671.38</v>
      </c>
      <c r="AV763">
        <f>$H$763*$AB$763</f>
        <v>671.38</v>
      </c>
      <c r="AW763">
        <f>$H$763*$AC$763</f>
        <v>671.38</v>
      </c>
      <c r="AX763">
        <f>$H$763*$AD$763</f>
        <v>671.38</v>
      </c>
      <c r="AY763">
        <f>$H$763*$AE$763</f>
        <v>671.38</v>
      </c>
      <c r="AZ763">
        <f>$H$763*$AF$763</f>
        <v>671.38</v>
      </c>
    </row>
    <row r="764" spans="1:52" x14ac:dyDescent="0.25">
      <c r="A764">
        <v>815</v>
      </c>
      <c r="B764" t="s">
        <v>277</v>
      </c>
      <c r="C764" t="s">
        <v>421</v>
      </c>
      <c r="D764">
        <v>63.48</v>
      </c>
      <c r="E764">
        <v>61.58</v>
      </c>
      <c r="F764" t="s">
        <v>335</v>
      </c>
      <c r="G764">
        <v>0.97</v>
      </c>
      <c r="H764">
        <v>73.900000000000006</v>
      </c>
      <c r="I764" t="s">
        <v>360</v>
      </c>
      <c r="J764" t="s">
        <v>422</v>
      </c>
      <c r="K764" t="s">
        <v>589</v>
      </c>
      <c r="L764" t="s">
        <v>178</v>
      </c>
      <c r="M764" t="s">
        <v>277</v>
      </c>
      <c r="N764" t="s">
        <v>11</v>
      </c>
      <c r="O764" t="s">
        <v>14</v>
      </c>
      <c r="P764">
        <v>0</v>
      </c>
      <c r="Q764">
        <v>0</v>
      </c>
      <c r="R764">
        <v>0</v>
      </c>
      <c r="S764">
        <v>1</v>
      </c>
      <c r="T764">
        <v>1</v>
      </c>
      <c r="U764">
        <v>1</v>
      </c>
      <c r="V764">
        <v>1</v>
      </c>
      <c r="W764">
        <v>1</v>
      </c>
      <c r="X764">
        <v>1</v>
      </c>
      <c r="Y764">
        <v>1</v>
      </c>
      <c r="Z764">
        <v>1</v>
      </c>
      <c r="AA764">
        <v>1</v>
      </c>
      <c r="AB764">
        <v>1</v>
      </c>
      <c r="AC764">
        <v>1</v>
      </c>
      <c r="AD764">
        <v>1</v>
      </c>
      <c r="AE764">
        <v>1</v>
      </c>
      <c r="AF764">
        <v>1</v>
      </c>
      <c r="AG764" t="s">
        <v>277</v>
      </c>
      <c r="AH764" t="s">
        <v>11</v>
      </c>
      <c r="AI764" t="s">
        <v>14</v>
      </c>
      <c r="AJ764">
        <f>$H$764*$P$764</f>
        <v>0</v>
      </c>
      <c r="AK764">
        <f>$H$764*$Q$764</f>
        <v>0</v>
      </c>
      <c r="AL764">
        <f>$H$764*$R$764</f>
        <v>0</v>
      </c>
      <c r="AM764">
        <f>$H$764*$S$764</f>
        <v>73.900000000000006</v>
      </c>
      <c r="AN764">
        <f>$H$764*$T$764</f>
        <v>73.900000000000006</v>
      </c>
      <c r="AO764">
        <f>$H$764*$U$764</f>
        <v>73.900000000000006</v>
      </c>
      <c r="AP764">
        <f>$H$764*$V$764</f>
        <v>73.900000000000006</v>
      </c>
      <c r="AQ764">
        <f>$H$764*$W$764</f>
        <v>73.900000000000006</v>
      </c>
      <c r="AR764">
        <f>$H$764*$X$764</f>
        <v>73.900000000000006</v>
      </c>
      <c r="AS764">
        <f>$H$764*$Y$764</f>
        <v>73.900000000000006</v>
      </c>
      <c r="AT764">
        <f>$H$764*$Z$764</f>
        <v>73.900000000000006</v>
      </c>
      <c r="AU764">
        <f>$H$764*$AA$764</f>
        <v>73.900000000000006</v>
      </c>
      <c r="AV764">
        <f>$H$764*$AB$764</f>
        <v>73.900000000000006</v>
      </c>
      <c r="AW764">
        <f>$H$764*$AC$764</f>
        <v>73.900000000000006</v>
      </c>
      <c r="AX764">
        <f>$H$764*$AD$764</f>
        <v>73.900000000000006</v>
      </c>
      <c r="AY764">
        <f>$H$764*$AE$764</f>
        <v>73.900000000000006</v>
      </c>
      <c r="AZ764">
        <f>$H$764*$AF$764</f>
        <v>73.900000000000006</v>
      </c>
    </row>
    <row r="765" spans="1:52" x14ac:dyDescent="0.25">
      <c r="A765">
        <v>816</v>
      </c>
      <c r="B765" t="s">
        <v>277</v>
      </c>
      <c r="C765" t="s">
        <v>423</v>
      </c>
      <c r="D765">
        <v>63.48</v>
      </c>
      <c r="E765">
        <v>486.26</v>
      </c>
      <c r="F765" t="s">
        <v>335</v>
      </c>
      <c r="G765">
        <v>7.66</v>
      </c>
      <c r="H765">
        <v>583.52</v>
      </c>
      <c r="I765" t="s">
        <v>360</v>
      </c>
      <c r="J765" t="s">
        <v>414</v>
      </c>
      <c r="K765" t="s">
        <v>590</v>
      </c>
      <c r="L765" t="s">
        <v>178</v>
      </c>
      <c r="M765" t="s">
        <v>277</v>
      </c>
      <c r="N765" t="s">
        <v>11</v>
      </c>
      <c r="O765" t="s">
        <v>14</v>
      </c>
      <c r="P765">
        <v>0</v>
      </c>
      <c r="Q765">
        <v>0</v>
      </c>
      <c r="R765">
        <v>0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Y765">
        <v>1</v>
      </c>
      <c r="Z765">
        <v>1</v>
      </c>
      <c r="AA765">
        <v>1</v>
      </c>
      <c r="AB765">
        <v>1</v>
      </c>
      <c r="AC765">
        <v>1</v>
      </c>
      <c r="AD765">
        <v>1</v>
      </c>
      <c r="AE765">
        <v>1</v>
      </c>
      <c r="AF765">
        <v>1</v>
      </c>
      <c r="AG765" t="s">
        <v>277</v>
      </c>
      <c r="AH765" t="s">
        <v>11</v>
      </c>
      <c r="AI765" t="s">
        <v>14</v>
      </c>
      <c r="AJ765">
        <f>$H$765*$P$765</f>
        <v>0</v>
      </c>
      <c r="AK765">
        <f>$H$765*$Q$765</f>
        <v>0</v>
      </c>
      <c r="AL765">
        <f>$H$765*$R$765</f>
        <v>0</v>
      </c>
      <c r="AM765">
        <f>$H$765*$S$765</f>
        <v>583.52</v>
      </c>
      <c r="AN765">
        <f>$H$765*$T$765</f>
        <v>583.52</v>
      </c>
      <c r="AO765">
        <f>$H$765*$U$765</f>
        <v>583.52</v>
      </c>
      <c r="AP765">
        <f>$H$765*$V$765</f>
        <v>583.52</v>
      </c>
      <c r="AQ765">
        <f>$H$765*$W$765</f>
        <v>583.52</v>
      </c>
      <c r="AR765">
        <f>$H$765*$X$765</f>
        <v>583.52</v>
      </c>
      <c r="AS765">
        <f>$H$765*$Y$765</f>
        <v>583.52</v>
      </c>
      <c r="AT765">
        <f>$H$765*$Z$765</f>
        <v>583.52</v>
      </c>
      <c r="AU765">
        <f>$H$765*$AA$765</f>
        <v>583.52</v>
      </c>
      <c r="AV765">
        <f>$H$765*$AB$765</f>
        <v>583.52</v>
      </c>
      <c r="AW765">
        <f>$H$765*$AC$765</f>
        <v>583.52</v>
      </c>
      <c r="AX765">
        <f>$H$765*$AD$765</f>
        <v>583.52</v>
      </c>
      <c r="AY765">
        <f>$H$765*$AE$765</f>
        <v>583.52</v>
      </c>
      <c r="AZ765">
        <f>$H$765*$AF$765</f>
        <v>583.52</v>
      </c>
    </row>
    <row r="766" spans="1:52" x14ac:dyDescent="0.25">
      <c r="A766">
        <v>819</v>
      </c>
      <c r="B766" t="s">
        <v>532</v>
      </c>
      <c r="C766" t="s">
        <v>533</v>
      </c>
      <c r="D766">
        <v>1</v>
      </c>
      <c r="E766">
        <v>362.67</v>
      </c>
      <c r="F766" t="s">
        <v>317</v>
      </c>
      <c r="G766">
        <v>362.67</v>
      </c>
      <c r="H766">
        <v>435.21</v>
      </c>
      <c r="I766" t="s">
        <v>354</v>
      </c>
      <c r="J766" t="s">
        <v>534</v>
      </c>
      <c r="K766" t="s">
        <v>645</v>
      </c>
      <c r="L766" t="s">
        <v>178</v>
      </c>
      <c r="M766" t="s">
        <v>567</v>
      </c>
      <c r="N766" t="s">
        <v>12</v>
      </c>
      <c r="O766" t="s">
        <v>68</v>
      </c>
      <c r="P766">
        <v>0</v>
      </c>
      <c r="Q766">
        <v>0</v>
      </c>
      <c r="R766">
        <v>0</v>
      </c>
      <c r="S766">
        <v>0</v>
      </c>
      <c r="T766">
        <v>1</v>
      </c>
      <c r="U766">
        <v>1</v>
      </c>
      <c r="V766">
        <v>1</v>
      </c>
      <c r="W766">
        <v>1</v>
      </c>
      <c r="X766">
        <v>1</v>
      </c>
      <c r="Y766">
        <v>1</v>
      </c>
      <c r="Z766">
        <v>1</v>
      </c>
      <c r="AA766">
        <v>1</v>
      </c>
      <c r="AB766">
        <v>1</v>
      </c>
      <c r="AC766">
        <v>1</v>
      </c>
      <c r="AD766">
        <v>1</v>
      </c>
      <c r="AE766">
        <v>1</v>
      </c>
      <c r="AF766">
        <v>1</v>
      </c>
      <c r="AG766" t="s">
        <v>567</v>
      </c>
      <c r="AH766" t="s">
        <v>12</v>
      </c>
      <c r="AI766" t="s">
        <v>68</v>
      </c>
      <c r="AJ766">
        <f>$H$766*$P$766</f>
        <v>0</v>
      </c>
      <c r="AK766">
        <f>$H$766*$Q$766</f>
        <v>0</v>
      </c>
      <c r="AL766">
        <f>$H$766*$R$766</f>
        <v>0</v>
      </c>
      <c r="AM766">
        <f>$H$766*$S$766</f>
        <v>0</v>
      </c>
      <c r="AN766">
        <f>$H$766*$T$766</f>
        <v>435.21</v>
      </c>
      <c r="AO766">
        <f>$H$766*$U$766</f>
        <v>435.21</v>
      </c>
      <c r="AP766">
        <f>$H$766*$V$766</f>
        <v>435.21</v>
      </c>
      <c r="AQ766">
        <f>$H$766*$W$766</f>
        <v>435.21</v>
      </c>
      <c r="AR766">
        <f>$H$766*$X$766</f>
        <v>435.21</v>
      </c>
      <c r="AS766">
        <f>$H$766*$Y$766</f>
        <v>435.21</v>
      </c>
      <c r="AT766">
        <f>$H$766*$Z$766</f>
        <v>435.21</v>
      </c>
      <c r="AU766">
        <f>$H$766*$AA$766</f>
        <v>435.21</v>
      </c>
      <c r="AV766">
        <f>$H$766*$AB$766</f>
        <v>435.21</v>
      </c>
      <c r="AW766">
        <f>$H$766*$AC$766</f>
        <v>435.21</v>
      </c>
      <c r="AX766">
        <f>$H$766*$AD$766</f>
        <v>435.21</v>
      </c>
      <c r="AY766">
        <f>$H$766*$AE$766</f>
        <v>435.21</v>
      </c>
      <c r="AZ766">
        <f>$H$766*$AF$766</f>
        <v>435.21</v>
      </c>
    </row>
    <row r="767" spans="1:52" x14ac:dyDescent="0.25">
      <c r="A767">
        <v>826</v>
      </c>
      <c r="B767" t="s">
        <v>532</v>
      </c>
      <c r="C767" t="s">
        <v>397</v>
      </c>
      <c r="D767">
        <v>1</v>
      </c>
      <c r="E767">
        <v>13.27</v>
      </c>
      <c r="F767" t="s">
        <v>317</v>
      </c>
      <c r="G767">
        <v>13.27</v>
      </c>
      <c r="H767">
        <v>15.93</v>
      </c>
      <c r="I767" t="s">
        <v>319</v>
      </c>
      <c r="J767" t="s">
        <v>398</v>
      </c>
      <c r="K767" t="s">
        <v>577</v>
      </c>
      <c r="L767" t="s">
        <v>178</v>
      </c>
      <c r="M767" t="s">
        <v>567</v>
      </c>
      <c r="N767" t="s">
        <v>12</v>
      </c>
      <c r="O767" t="s">
        <v>68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1</v>
      </c>
      <c r="Y767">
        <v>1</v>
      </c>
      <c r="Z767">
        <v>1</v>
      </c>
      <c r="AA767">
        <v>1</v>
      </c>
      <c r="AB767">
        <v>1</v>
      </c>
      <c r="AC767">
        <v>1</v>
      </c>
      <c r="AD767">
        <v>1</v>
      </c>
      <c r="AE767">
        <v>1</v>
      </c>
      <c r="AF767">
        <v>1</v>
      </c>
      <c r="AG767" t="s">
        <v>567</v>
      </c>
      <c r="AH767" t="s">
        <v>12</v>
      </c>
      <c r="AI767" t="s">
        <v>68</v>
      </c>
      <c r="AJ767">
        <f>$H$767*$P$767</f>
        <v>0</v>
      </c>
      <c r="AK767">
        <f>$H$767*$Q$767</f>
        <v>0</v>
      </c>
      <c r="AL767">
        <f>$H$767*$R$767</f>
        <v>0</v>
      </c>
      <c r="AM767">
        <f>$H$767*$S$767</f>
        <v>0</v>
      </c>
      <c r="AN767">
        <f>$H$767*$T$767</f>
        <v>0</v>
      </c>
      <c r="AO767">
        <f>$H$767*$U$767</f>
        <v>0</v>
      </c>
      <c r="AP767">
        <f>$H$767*$V$767</f>
        <v>0</v>
      </c>
      <c r="AQ767">
        <f>$H$767*$W$767</f>
        <v>0</v>
      </c>
      <c r="AR767">
        <f>$H$767*$X$767</f>
        <v>15.93</v>
      </c>
      <c r="AS767">
        <f>$H$767*$Y$767</f>
        <v>15.93</v>
      </c>
      <c r="AT767">
        <f>$H$767*$Z$767</f>
        <v>15.93</v>
      </c>
      <c r="AU767">
        <f>$H$767*$AA$767</f>
        <v>15.93</v>
      </c>
      <c r="AV767">
        <f>$H$767*$AB$767</f>
        <v>15.93</v>
      </c>
      <c r="AW767">
        <f>$H$767*$AC$767</f>
        <v>15.93</v>
      </c>
      <c r="AX767">
        <f>$H$767*$AD$767</f>
        <v>15.93</v>
      </c>
      <c r="AY767">
        <f>$H$767*$AE$767</f>
        <v>15.93</v>
      </c>
      <c r="AZ767">
        <f>$H$767*$AF$767</f>
        <v>15.93</v>
      </c>
    </row>
    <row r="768" spans="1:52" x14ac:dyDescent="0.25">
      <c r="A768">
        <v>827</v>
      </c>
      <c r="B768" t="s">
        <v>532</v>
      </c>
      <c r="C768" t="s">
        <v>456</v>
      </c>
      <c r="D768">
        <v>1</v>
      </c>
      <c r="E768">
        <v>37</v>
      </c>
      <c r="F768" t="s">
        <v>317</v>
      </c>
      <c r="G768">
        <v>37</v>
      </c>
      <c r="H768">
        <v>44.4</v>
      </c>
      <c r="I768" t="s">
        <v>319</v>
      </c>
      <c r="J768" t="s">
        <v>457</v>
      </c>
      <c r="K768" t="s">
        <v>607</v>
      </c>
      <c r="L768" t="s">
        <v>178</v>
      </c>
      <c r="M768" t="s">
        <v>567</v>
      </c>
      <c r="N768" t="s">
        <v>12</v>
      </c>
      <c r="O768" t="s">
        <v>68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0.6</v>
      </c>
      <c r="Y768">
        <v>0.6</v>
      </c>
      <c r="Z768">
        <v>0.6</v>
      </c>
      <c r="AA768">
        <v>0.6</v>
      </c>
      <c r="AB768">
        <v>0.6</v>
      </c>
      <c r="AC768">
        <v>0.6</v>
      </c>
      <c r="AD768">
        <v>1</v>
      </c>
      <c r="AE768">
        <v>1</v>
      </c>
      <c r="AF768">
        <v>1</v>
      </c>
      <c r="AG768" t="s">
        <v>567</v>
      </c>
      <c r="AH768" t="s">
        <v>12</v>
      </c>
      <c r="AI768" t="s">
        <v>68</v>
      </c>
      <c r="AJ768">
        <f>$H$768*$P$768</f>
        <v>0</v>
      </c>
      <c r="AK768">
        <f>$H$768*$Q$768</f>
        <v>0</v>
      </c>
      <c r="AL768">
        <f>$H$768*$R$768</f>
        <v>0</v>
      </c>
      <c r="AM768">
        <f>$H$768*$S$768</f>
        <v>0</v>
      </c>
      <c r="AN768">
        <f>$H$768*$T$768</f>
        <v>0</v>
      </c>
      <c r="AO768">
        <f>$H$768*$U$768</f>
        <v>0</v>
      </c>
      <c r="AP768">
        <f>$H$768*$V$768</f>
        <v>0</v>
      </c>
      <c r="AQ768">
        <f>$H$768*$W$768</f>
        <v>0</v>
      </c>
      <c r="AR768">
        <f>$H$768*$X$768</f>
        <v>26.639999999999997</v>
      </c>
      <c r="AS768">
        <f>$H$768*$Y$768</f>
        <v>26.639999999999997</v>
      </c>
      <c r="AT768">
        <f>$H$768*$Z$768</f>
        <v>26.639999999999997</v>
      </c>
      <c r="AU768">
        <f>$H$768*$AA$768</f>
        <v>26.639999999999997</v>
      </c>
      <c r="AV768">
        <f>$H$768*$AB$768</f>
        <v>26.639999999999997</v>
      </c>
      <c r="AW768">
        <f>$H$768*$AC$768</f>
        <v>26.639999999999997</v>
      </c>
      <c r="AX768">
        <f>$H$768*$AD$768</f>
        <v>44.4</v>
      </c>
      <c r="AY768">
        <f>$H$768*$AE$768</f>
        <v>44.4</v>
      </c>
      <c r="AZ768">
        <f>$H$768*$AF$768</f>
        <v>44.4</v>
      </c>
    </row>
    <row r="769" spans="1:52" x14ac:dyDescent="0.25">
      <c r="A769">
        <v>828</v>
      </c>
      <c r="B769" t="s">
        <v>532</v>
      </c>
      <c r="C769" t="s">
        <v>489</v>
      </c>
      <c r="D769">
        <v>1</v>
      </c>
      <c r="E769">
        <v>65.650000000000006</v>
      </c>
      <c r="F769" t="s">
        <v>317</v>
      </c>
      <c r="G769">
        <v>65.650000000000006</v>
      </c>
      <c r="H769">
        <v>78.790000000000006</v>
      </c>
      <c r="I769" t="s">
        <v>322</v>
      </c>
      <c r="J769" t="s">
        <v>490</v>
      </c>
      <c r="K769" t="s">
        <v>624</v>
      </c>
      <c r="L769" t="s">
        <v>178</v>
      </c>
      <c r="M769" t="s">
        <v>567</v>
      </c>
      <c r="N769" t="s">
        <v>12</v>
      </c>
      <c r="O769" t="s">
        <v>68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1</v>
      </c>
      <c r="AE769">
        <v>1</v>
      </c>
      <c r="AF769">
        <v>1</v>
      </c>
      <c r="AG769" t="s">
        <v>567</v>
      </c>
      <c r="AH769" t="s">
        <v>12</v>
      </c>
      <c r="AI769" t="s">
        <v>68</v>
      </c>
      <c r="AJ769">
        <f>$H$769*$P$769</f>
        <v>0</v>
      </c>
      <c r="AK769">
        <f>$H$769*$Q$769</f>
        <v>0</v>
      </c>
      <c r="AL769">
        <f>$H$769*$R$769</f>
        <v>0</v>
      </c>
      <c r="AM769">
        <f>$H$769*$S$769</f>
        <v>0</v>
      </c>
      <c r="AN769">
        <f>$H$769*$T$769</f>
        <v>0</v>
      </c>
      <c r="AO769">
        <f>$H$769*$U$769</f>
        <v>0</v>
      </c>
      <c r="AP769">
        <f>$H$769*$V$769</f>
        <v>0</v>
      </c>
      <c r="AQ769">
        <f>$H$769*$W$769</f>
        <v>0</v>
      </c>
      <c r="AR769">
        <f>$H$769*$X$769</f>
        <v>0</v>
      </c>
      <c r="AS769">
        <f>$H$769*$Y$769</f>
        <v>0</v>
      </c>
      <c r="AT769">
        <f>$H$769*$Z$769</f>
        <v>0</v>
      </c>
      <c r="AU769">
        <f>$H$769*$AA$769</f>
        <v>0</v>
      </c>
      <c r="AV769">
        <f>$H$769*$AB$769</f>
        <v>0</v>
      </c>
      <c r="AW769">
        <f>$H$769*$AC$769</f>
        <v>0</v>
      </c>
      <c r="AX769">
        <f>$H$769*$AD$769</f>
        <v>78.790000000000006</v>
      </c>
      <c r="AY769">
        <f>$H$769*$AE$769</f>
        <v>78.790000000000006</v>
      </c>
      <c r="AZ769">
        <f>$H$769*$AF$769</f>
        <v>78.790000000000006</v>
      </c>
    </row>
    <row r="770" spans="1:52" x14ac:dyDescent="0.25">
      <c r="A770">
        <v>837</v>
      </c>
      <c r="B770" t="s">
        <v>276</v>
      </c>
      <c r="C770" t="s">
        <v>397</v>
      </c>
      <c r="D770">
        <v>8</v>
      </c>
      <c r="E770">
        <v>106.16</v>
      </c>
      <c r="F770" t="s">
        <v>317</v>
      </c>
      <c r="G770">
        <v>13.27</v>
      </c>
      <c r="H770">
        <v>127.4</v>
      </c>
      <c r="I770" t="s">
        <v>319</v>
      </c>
      <c r="J770" t="s">
        <v>398</v>
      </c>
      <c r="K770" t="s">
        <v>577</v>
      </c>
      <c r="L770" t="s">
        <v>178</v>
      </c>
      <c r="M770" t="s">
        <v>276</v>
      </c>
      <c r="N770" t="s">
        <v>11</v>
      </c>
      <c r="O770" t="s">
        <v>14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1</v>
      </c>
      <c r="Y770">
        <v>1</v>
      </c>
      <c r="Z770">
        <v>1</v>
      </c>
      <c r="AA770">
        <v>1</v>
      </c>
      <c r="AB770">
        <v>1</v>
      </c>
      <c r="AC770">
        <v>1</v>
      </c>
      <c r="AD770">
        <v>1</v>
      </c>
      <c r="AE770">
        <v>1</v>
      </c>
      <c r="AF770">
        <v>1</v>
      </c>
      <c r="AG770" t="s">
        <v>276</v>
      </c>
      <c r="AH770" t="s">
        <v>11</v>
      </c>
      <c r="AI770" t="s">
        <v>14</v>
      </c>
      <c r="AJ770">
        <f>$H$770*$P$770</f>
        <v>0</v>
      </c>
      <c r="AK770">
        <f>$H$770*$Q$770</f>
        <v>0</v>
      </c>
      <c r="AL770">
        <f>$H$770*$R$770</f>
        <v>0</v>
      </c>
      <c r="AM770">
        <f>$H$770*$S$770</f>
        <v>0</v>
      </c>
      <c r="AN770">
        <f>$H$770*$T$770</f>
        <v>0</v>
      </c>
      <c r="AO770">
        <f>$H$770*$U$770</f>
        <v>0</v>
      </c>
      <c r="AP770">
        <f>$H$770*$V$770</f>
        <v>0</v>
      </c>
      <c r="AQ770">
        <f>$H$770*$W$770</f>
        <v>0</v>
      </c>
      <c r="AR770">
        <f>$H$770*$X$770</f>
        <v>127.4</v>
      </c>
      <c r="AS770">
        <f>$H$770*$Y$770</f>
        <v>127.4</v>
      </c>
      <c r="AT770">
        <f>$H$770*$Z$770</f>
        <v>127.4</v>
      </c>
      <c r="AU770">
        <f>$H$770*$AA$770</f>
        <v>127.4</v>
      </c>
      <c r="AV770">
        <f>$H$770*$AB$770</f>
        <v>127.4</v>
      </c>
      <c r="AW770">
        <f>$H$770*$AC$770</f>
        <v>127.4</v>
      </c>
      <c r="AX770">
        <f>$H$770*$AD$770</f>
        <v>127.4</v>
      </c>
      <c r="AY770">
        <f>$H$770*$AE$770</f>
        <v>127.4</v>
      </c>
      <c r="AZ770">
        <f>$H$770*$AF$770</f>
        <v>127.4</v>
      </c>
    </row>
    <row r="771" spans="1:52" x14ac:dyDescent="0.25">
      <c r="A771">
        <v>838</v>
      </c>
      <c r="B771" t="s">
        <v>276</v>
      </c>
      <c r="C771" t="s">
        <v>399</v>
      </c>
      <c r="D771">
        <v>1</v>
      </c>
      <c r="E771">
        <v>63.51</v>
      </c>
      <c r="F771" t="s">
        <v>317</v>
      </c>
      <c r="G771">
        <v>63.51</v>
      </c>
      <c r="H771">
        <v>76.209999999999994</v>
      </c>
      <c r="I771" t="s">
        <v>322</v>
      </c>
      <c r="J771" t="s">
        <v>355</v>
      </c>
      <c r="K771" t="s">
        <v>578</v>
      </c>
      <c r="L771" t="s">
        <v>178</v>
      </c>
      <c r="M771" t="s">
        <v>276</v>
      </c>
      <c r="N771" t="s">
        <v>11</v>
      </c>
      <c r="O771" t="s">
        <v>14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1</v>
      </c>
      <c r="AE771">
        <v>1</v>
      </c>
      <c r="AF771">
        <v>1</v>
      </c>
      <c r="AG771" t="s">
        <v>276</v>
      </c>
      <c r="AH771" t="s">
        <v>11</v>
      </c>
      <c r="AI771" t="s">
        <v>14</v>
      </c>
      <c r="AJ771">
        <f>$H$771*$P$771</f>
        <v>0</v>
      </c>
      <c r="AK771">
        <f>$H$771*$Q$771</f>
        <v>0</v>
      </c>
      <c r="AL771">
        <f>$H$771*$R$771</f>
        <v>0</v>
      </c>
      <c r="AM771">
        <f>$H$771*$S$771</f>
        <v>0</v>
      </c>
      <c r="AN771">
        <f>$H$771*$T$771</f>
        <v>0</v>
      </c>
      <c r="AO771">
        <f>$H$771*$U$771</f>
        <v>0</v>
      </c>
      <c r="AP771">
        <f>$H$771*$V$771</f>
        <v>0</v>
      </c>
      <c r="AQ771">
        <f>$H$771*$W$771</f>
        <v>0</v>
      </c>
      <c r="AR771">
        <f>$H$771*$X$771</f>
        <v>0</v>
      </c>
      <c r="AS771">
        <f>$H$771*$Y$771</f>
        <v>0</v>
      </c>
      <c r="AT771">
        <f>$H$771*$Z$771</f>
        <v>0</v>
      </c>
      <c r="AU771">
        <f>$H$771*$AA$771</f>
        <v>0</v>
      </c>
      <c r="AV771">
        <f>$H$771*$AB$771</f>
        <v>0</v>
      </c>
      <c r="AW771">
        <f>$H$771*$AC$771</f>
        <v>0</v>
      </c>
      <c r="AX771">
        <f>$H$771*$AD$771</f>
        <v>76.209999999999994</v>
      </c>
      <c r="AY771">
        <f>$H$771*$AE$771</f>
        <v>76.209999999999994</v>
      </c>
      <c r="AZ771">
        <f>$H$771*$AF$771</f>
        <v>76.209999999999994</v>
      </c>
    </row>
    <row r="772" spans="1:52" x14ac:dyDescent="0.25">
      <c r="A772">
        <v>839</v>
      </c>
      <c r="B772" t="s">
        <v>276</v>
      </c>
      <c r="C772" t="s">
        <v>345</v>
      </c>
      <c r="D772">
        <v>381.33</v>
      </c>
      <c r="E772">
        <v>373.7</v>
      </c>
      <c r="F772" t="s">
        <v>335</v>
      </c>
      <c r="G772">
        <v>0.98</v>
      </c>
      <c r="H772">
        <v>448.44</v>
      </c>
      <c r="I772" t="s">
        <v>312</v>
      </c>
      <c r="J772" t="s">
        <v>346</v>
      </c>
      <c r="K772" t="s">
        <v>552</v>
      </c>
      <c r="L772" t="s">
        <v>178</v>
      </c>
      <c r="M772" t="s">
        <v>276</v>
      </c>
      <c r="N772" t="s">
        <v>11</v>
      </c>
      <c r="O772" t="s">
        <v>14</v>
      </c>
      <c r="P772">
        <v>0</v>
      </c>
      <c r="Q772">
        <v>0</v>
      </c>
      <c r="R772">
        <v>0</v>
      </c>
      <c r="S772">
        <v>0</v>
      </c>
      <c r="T772">
        <v>1</v>
      </c>
      <c r="U772">
        <v>1</v>
      </c>
      <c r="V772">
        <v>1</v>
      </c>
      <c r="W772">
        <v>1</v>
      </c>
      <c r="X772">
        <v>1</v>
      </c>
      <c r="Y772">
        <v>1</v>
      </c>
      <c r="Z772">
        <v>1</v>
      </c>
      <c r="AA772">
        <v>1</v>
      </c>
      <c r="AB772">
        <v>1</v>
      </c>
      <c r="AC772">
        <v>1</v>
      </c>
      <c r="AD772">
        <v>1</v>
      </c>
      <c r="AE772">
        <v>1</v>
      </c>
      <c r="AF772">
        <v>1</v>
      </c>
      <c r="AG772" t="s">
        <v>276</v>
      </c>
      <c r="AH772" t="s">
        <v>11</v>
      </c>
      <c r="AI772" t="s">
        <v>14</v>
      </c>
      <c r="AJ772">
        <f>$H$772*$P$772</f>
        <v>0</v>
      </c>
      <c r="AK772">
        <f>$H$772*$Q$772</f>
        <v>0</v>
      </c>
      <c r="AL772">
        <f>$H$772*$R$772</f>
        <v>0</v>
      </c>
      <c r="AM772">
        <f>$H$772*$S$772</f>
        <v>0</v>
      </c>
      <c r="AN772">
        <f>$H$772*$T$772</f>
        <v>448.44</v>
      </c>
      <c r="AO772">
        <f>$H$772*$U$772</f>
        <v>448.44</v>
      </c>
      <c r="AP772">
        <f>$H$772*$V$772</f>
        <v>448.44</v>
      </c>
      <c r="AQ772">
        <f>$H$772*$W$772</f>
        <v>448.44</v>
      </c>
      <c r="AR772">
        <f>$H$772*$X$772</f>
        <v>448.44</v>
      </c>
      <c r="AS772">
        <f>$H$772*$Y$772</f>
        <v>448.44</v>
      </c>
      <c r="AT772">
        <f>$H$772*$Z$772</f>
        <v>448.44</v>
      </c>
      <c r="AU772">
        <f>$H$772*$AA$772</f>
        <v>448.44</v>
      </c>
      <c r="AV772">
        <f>$H$772*$AB$772</f>
        <v>448.44</v>
      </c>
      <c r="AW772">
        <f>$H$772*$AC$772</f>
        <v>448.44</v>
      </c>
      <c r="AX772">
        <f>$H$772*$AD$772</f>
        <v>448.44</v>
      </c>
      <c r="AY772">
        <f>$H$772*$AE$772</f>
        <v>448.44</v>
      </c>
      <c r="AZ772">
        <f>$H$772*$AF$772</f>
        <v>448.44</v>
      </c>
    </row>
    <row r="773" spans="1:52" x14ac:dyDescent="0.25">
      <c r="A773">
        <v>840</v>
      </c>
      <c r="B773" t="s">
        <v>276</v>
      </c>
      <c r="C773" t="s">
        <v>400</v>
      </c>
      <c r="D773">
        <v>381.33</v>
      </c>
      <c r="E773">
        <v>1281.27</v>
      </c>
      <c r="F773" t="s">
        <v>335</v>
      </c>
      <c r="G773">
        <v>3.36</v>
      </c>
      <c r="H773">
        <v>1537.53</v>
      </c>
      <c r="I773" t="s">
        <v>348</v>
      </c>
      <c r="J773" t="s">
        <v>401</v>
      </c>
      <c r="K773" t="s">
        <v>579</v>
      </c>
      <c r="L773" t="s">
        <v>178</v>
      </c>
      <c r="M773" t="s">
        <v>276</v>
      </c>
      <c r="N773" t="s">
        <v>11</v>
      </c>
      <c r="O773" t="s">
        <v>14</v>
      </c>
      <c r="P773">
        <v>0</v>
      </c>
      <c r="Q773">
        <v>0</v>
      </c>
      <c r="R773">
        <v>0</v>
      </c>
      <c r="S773">
        <v>0.25</v>
      </c>
      <c r="T773">
        <v>0.25</v>
      </c>
      <c r="U773">
        <v>0.25</v>
      </c>
      <c r="V773">
        <v>0.25</v>
      </c>
      <c r="W773">
        <v>0.5</v>
      </c>
      <c r="X773">
        <v>0.5</v>
      </c>
      <c r="Y773">
        <v>0.5</v>
      </c>
      <c r="Z773">
        <v>0.5</v>
      </c>
      <c r="AA773">
        <v>1</v>
      </c>
      <c r="AB773">
        <v>1</v>
      </c>
      <c r="AC773">
        <v>1</v>
      </c>
      <c r="AD773">
        <v>1</v>
      </c>
      <c r="AE773">
        <v>1</v>
      </c>
      <c r="AF773">
        <v>1</v>
      </c>
      <c r="AG773" t="s">
        <v>276</v>
      </c>
      <c r="AH773" t="s">
        <v>11</v>
      </c>
      <c r="AI773" t="s">
        <v>14</v>
      </c>
      <c r="AJ773">
        <f>$H$773*$P$773</f>
        <v>0</v>
      </c>
      <c r="AK773">
        <f>$H$773*$Q$773</f>
        <v>0</v>
      </c>
      <c r="AL773">
        <f>$H$773*$R$773</f>
        <v>0</v>
      </c>
      <c r="AM773">
        <f>$H$773*$S$773</f>
        <v>384.38249999999999</v>
      </c>
      <c r="AN773">
        <f>$H$773*$T$773</f>
        <v>384.38249999999999</v>
      </c>
      <c r="AO773">
        <f>$H$773*$U$773</f>
        <v>384.38249999999999</v>
      </c>
      <c r="AP773">
        <f>$H$773*$V$773</f>
        <v>384.38249999999999</v>
      </c>
      <c r="AQ773">
        <f>$H$773*$W$773</f>
        <v>768.76499999999999</v>
      </c>
      <c r="AR773">
        <f>$H$773*$X$773</f>
        <v>768.76499999999999</v>
      </c>
      <c r="AS773">
        <f>$H$773*$Y$773</f>
        <v>768.76499999999999</v>
      </c>
      <c r="AT773">
        <f>$H$773*$Z$773</f>
        <v>768.76499999999999</v>
      </c>
      <c r="AU773">
        <f>$H$773*$AA$773</f>
        <v>1537.53</v>
      </c>
      <c r="AV773">
        <f>$H$773*$AB$773</f>
        <v>1537.53</v>
      </c>
      <c r="AW773">
        <f>$H$773*$AC$773</f>
        <v>1537.53</v>
      </c>
      <c r="AX773">
        <f>$H$773*$AD$773</f>
        <v>1537.53</v>
      </c>
      <c r="AY773">
        <f>$H$773*$AE$773</f>
        <v>1537.53</v>
      </c>
      <c r="AZ773">
        <f>$H$773*$AF$773</f>
        <v>1537.53</v>
      </c>
    </row>
    <row r="774" spans="1:52" x14ac:dyDescent="0.25">
      <c r="A774">
        <v>841</v>
      </c>
      <c r="B774" t="s">
        <v>276</v>
      </c>
      <c r="C774" t="s">
        <v>402</v>
      </c>
      <c r="D774">
        <v>47.67</v>
      </c>
      <c r="E774">
        <v>71.98</v>
      </c>
      <c r="F774" t="s">
        <v>311</v>
      </c>
      <c r="G774">
        <v>1.51</v>
      </c>
      <c r="H774">
        <v>86.38</v>
      </c>
      <c r="I774" t="s">
        <v>312</v>
      </c>
      <c r="J774" t="s">
        <v>403</v>
      </c>
      <c r="K774" t="s">
        <v>580</v>
      </c>
      <c r="L774" t="s">
        <v>178</v>
      </c>
      <c r="M774" t="s">
        <v>276</v>
      </c>
      <c r="N774" t="s">
        <v>11</v>
      </c>
      <c r="O774" t="s">
        <v>14</v>
      </c>
      <c r="P774">
        <v>0</v>
      </c>
      <c r="Q774">
        <v>0</v>
      </c>
      <c r="R774">
        <v>0</v>
      </c>
      <c r="S774">
        <v>1</v>
      </c>
      <c r="T774">
        <v>1</v>
      </c>
      <c r="U774">
        <v>1</v>
      </c>
      <c r="V774">
        <v>1</v>
      </c>
      <c r="W774">
        <v>1</v>
      </c>
      <c r="X774">
        <v>1</v>
      </c>
      <c r="Y774">
        <v>1</v>
      </c>
      <c r="Z774">
        <v>1</v>
      </c>
      <c r="AA774">
        <v>1</v>
      </c>
      <c r="AB774">
        <v>1</v>
      </c>
      <c r="AC774">
        <v>1</v>
      </c>
      <c r="AD774">
        <v>1</v>
      </c>
      <c r="AE774">
        <v>1</v>
      </c>
      <c r="AF774">
        <v>1</v>
      </c>
      <c r="AG774" t="s">
        <v>276</v>
      </c>
      <c r="AH774" t="s">
        <v>11</v>
      </c>
      <c r="AI774" t="s">
        <v>14</v>
      </c>
      <c r="AJ774">
        <f>$H$774*$P$774</f>
        <v>0</v>
      </c>
      <c r="AK774">
        <f>$H$774*$Q$774</f>
        <v>0</v>
      </c>
      <c r="AL774">
        <f>$H$774*$R$774</f>
        <v>0</v>
      </c>
      <c r="AM774">
        <f>$H$774*$S$774</f>
        <v>86.38</v>
      </c>
      <c r="AN774">
        <f>$H$774*$T$774</f>
        <v>86.38</v>
      </c>
      <c r="AO774">
        <f>$H$774*$U$774</f>
        <v>86.38</v>
      </c>
      <c r="AP774">
        <f>$H$774*$V$774</f>
        <v>86.38</v>
      </c>
      <c r="AQ774">
        <f>$H$774*$W$774</f>
        <v>86.38</v>
      </c>
      <c r="AR774">
        <f>$H$774*$X$774</f>
        <v>86.38</v>
      </c>
      <c r="AS774">
        <f>$H$774*$Y$774</f>
        <v>86.38</v>
      </c>
      <c r="AT774">
        <f>$H$774*$Z$774</f>
        <v>86.38</v>
      </c>
      <c r="AU774">
        <f>$H$774*$AA$774</f>
        <v>86.38</v>
      </c>
      <c r="AV774">
        <f>$H$774*$AB$774</f>
        <v>86.38</v>
      </c>
      <c r="AW774">
        <f>$H$774*$AC$774</f>
        <v>86.38</v>
      </c>
      <c r="AX774">
        <f>$H$774*$AD$774</f>
        <v>86.38</v>
      </c>
      <c r="AY774">
        <f>$H$774*$AE$774</f>
        <v>86.38</v>
      </c>
      <c r="AZ774">
        <f>$H$774*$AF$774</f>
        <v>86.38</v>
      </c>
    </row>
    <row r="775" spans="1:52" x14ac:dyDescent="0.25">
      <c r="A775">
        <v>842</v>
      </c>
      <c r="B775" t="s">
        <v>276</v>
      </c>
      <c r="C775" t="s">
        <v>404</v>
      </c>
      <c r="D775">
        <v>47.67</v>
      </c>
      <c r="E775">
        <v>270.77</v>
      </c>
      <c r="F775" t="s">
        <v>311</v>
      </c>
      <c r="G775">
        <v>5.68</v>
      </c>
      <c r="H775">
        <v>324.93</v>
      </c>
      <c r="I775" t="s">
        <v>315</v>
      </c>
      <c r="J775" t="s">
        <v>405</v>
      </c>
      <c r="K775" t="s">
        <v>581</v>
      </c>
      <c r="L775" t="s">
        <v>178</v>
      </c>
      <c r="M775" t="s">
        <v>276</v>
      </c>
      <c r="N775" t="s">
        <v>11</v>
      </c>
      <c r="O775" t="s">
        <v>14</v>
      </c>
      <c r="P775">
        <v>0</v>
      </c>
      <c r="Q775">
        <v>0</v>
      </c>
      <c r="R775">
        <v>0</v>
      </c>
      <c r="S775">
        <v>1</v>
      </c>
      <c r="T775">
        <v>1</v>
      </c>
      <c r="U775">
        <v>1</v>
      </c>
      <c r="V775">
        <v>1</v>
      </c>
      <c r="W775">
        <v>1</v>
      </c>
      <c r="X775">
        <v>1</v>
      </c>
      <c r="Y775">
        <v>1</v>
      </c>
      <c r="Z775">
        <v>1</v>
      </c>
      <c r="AA775">
        <v>1</v>
      </c>
      <c r="AB775">
        <v>1</v>
      </c>
      <c r="AC775">
        <v>1</v>
      </c>
      <c r="AD775">
        <v>1</v>
      </c>
      <c r="AE775">
        <v>1</v>
      </c>
      <c r="AF775">
        <v>1</v>
      </c>
      <c r="AG775" t="s">
        <v>276</v>
      </c>
      <c r="AH775" t="s">
        <v>11</v>
      </c>
      <c r="AI775" t="s">
        <v>14</v>
      </c>
      <c r="AJ775">
        <f>$H$775*$P$775</f>
        <v>0</v>
      </c>
      <c r="AK775">
        <f>$H$775*$Q$775</f>
        <v>0</v>
      </c>
      <c r="AL775">
        <f>$H$775*$R$775</f>
        <v>0</v>
      </c>
      <c r="AM775">
        <f>$H$775*$S$775</f>
        <v>324.93</v>
      </c>
      <c r="AN775">
        <f>$H$775*$T$775</f>
        <v>324.93</v>
      </c>
      <c r="AO775">
        <f>$H$775*$U$775</f>
        <v>324.93</v>
      </c>
      <c r="AP775">
        <f>$H$775*$V$775</f>
        <v>324.93</v>
      </c>
      <c r="AQ775">
        <f>$H$775*$W$775</f>
        <v>324.93</v>
      </c>
      <c r="AR775">
        <f>$H$775*$X$775</f>
        <v>324.93</v>
      </c>
      <c r="AS775">
        <f>$H$775*$Y$775</f>
        <v>324.93</v>
      </c>
      <c r="AT775">
        <f>$H$775*$Z$775</f>
        <v>324.93</v>
      </c>
      <c r="AU775">
        <f>$H$775*$AA$775</f>
        <v>324.93</v>
      </c>
      <c r="AV775">
        <f>$H$775*$AB$775</f>
        <v>324.93</v>
      </c>
      <c r="AW775">
        <f>$H$775*$AC$775</f>
        <v>324.93</v>
      </c>
      <c r="AX775">
        <f>$H$775*$AD$775</f>
        <v>324.93</v>
      </c>
      <c r="AY775">
        <f>$H$775*$AE$775</f>
        <v>324.93</v>
      </c>
      <c r="AZ775">
        <f>$H$775*$AF$775</f>
        <v>324.93</v>
      </c>
    </row>
    <row r="776" spans="1:52" x14ac:dyDescent="0.25">
      <c r="A776">
        <v>843</v>
      </c>
      <c r="B776" t="s">
        <v>276</v>
      </c>
      <c r="C776" t="s">
        <v>400</v>
      </c>
      <c r="D776">
        <v>138.01</v>
      </c>
      <c r="E776">
        <v>463.71</v>
      </c>
      <c r="F776" t="s">
        <v>335</v>
      </c>
      <c r="G776">
        <v>3.36</v>
      </c>
      <c r="H776">
        <v>556.45000000000005</v>
      </c>
      <c r="I776" t="s">
        <v>348</v>
      </c>
      <c r="J776" t="s">
        <v>401</v>
      </c>
      <c r="K776" t="s">
        <v>579</v>
      </c>
      <c r="L776" t="s">
        <v>178</v>
      </c>
      <c r="M776" t="s">
        <v>276</v>
      </c>
      <c r="N776" t="s">
        <v>11</v>
      </c>
      <c r="O776" t="s">
        <v>14</v>
      </c>
      <c r="P776">
        <v>0</v>
      </c>
      <c r="Q776">
        <v>0</v>
      </c>
      <c r="R776">
        <v>0</v>
      </c>
      <c r="S776">
        <v>0.25</v>
      </c>
      <c r="T776">
        <v>0.25</v>
      </c>
      <c r="U776">
        <v>0.25</v>
      </c>
      <c r="V776">
        <v>0.25</v>
      </c>
      <c r="W776">
        <v>0.5</v>
      </c>
      <c r="X776">
        <v>0.5</v>
      </c>
      <c r="Y776">
        <v>0.5</v>
      </c>
      <c r="Z776">
        <v>0.5</v>
      </c>
      <c r="AA776">
        <v>1</v>
      </c>
      <c r="AB776">
        <v>1</v>
      </c>
      <c r="AC776">
        <v>1</v>
      </c>
      <c r="AD776">
        <v>1</v>
      </c>
      <c r="AE776">
        <v>1</v>
      </c>
      <c r="AF776">
        <v>1</v>
      </c>
      <c r="AG776" t="s">
        <v>276</v>
      </c>
      <c r="AH776" t="s">
        <v>11</v>
      </c>
      <c r="AI776" t="s">
        <v>14</v>
      </c>
      <c r="AJ776">
        <f>$H$776*$P$776</f>
        <v>0</v>
      </c>
      <c r="AK776">
        <f>$H$776*$Q$776</f>
        <v>0</v>
      </c>
      <c r="AL776">
        <f>$H$776*$R$776</f>
        <v>0</v>
      </c>
      <c r="AM776">
        <f>$H$776*$S$776</f>
        <v>139.11250000000001</v>
      </c>
      <c r="AN776">
        <f>$H$776*$T$776</f>
        <v>139.11250000000001</v>
      </c>
      <c r="AO776">
        <f>$H$776*$U$776</f>
        <v>139.11250000000001</v>
      </c>
      <c r="AP776">
        <f>$H$776*$V$776</f>
        <v>139.11250000000001</v>
      </c>
      <c r="AQ776">
        <f>$H$776*$W$776</f>
        <v>278.22500000000002</v>
      </c>
      <c r="AR776">
        <f>$H$776*$X$776</f>
        <v>278.22500000000002</v>
      </c>
      <c r="AS776">
        <f>$H$776*$Y$776</f>
        <v>278.22500000000002</v>
      </c>
      <c r="AT776">
        <f>$H$776*$Z$776</f>
        <v>278.22500000000002</v>
      </c>
      <c r="AU776">
        <f>$H$776*$AA$776</f>
        <v>556.45000000000005</v>
      </c>
      <c r="AV776">
        <f>$H$776*$AB$776</f>
        <v>556.45000000000005</v>
      </c>
      <c r="AW776">
        <f>$H$776*$AC$776</f>
        <v>556.45000000000005</v>
      </c>
      <c r="AX776">
        <f>$H$776*$AD$776</f>
        <v>556.45000000000005</v>
      </c>
      <c r="AY776">
        <f>$H$776*$AE$776</f>
        <v>556.45000000000005</v>
      </c>
      <c r="AZ776">
        <f>$H$776*$AF$776</f>
        <v>556.45000000000005</v>
      </c>
    </row>
    <row r="777" spans="1:52" x14ac:dyDescent="0.25">
      <c r="A777">
        <v>844</v>
      </c>
      <c r="B777" t="s">
        <v>276</v>
      </c>
      <c r="C777" t="s">
        <v>406</v>
      </c>
      <c r="D777">
        <v>138.01</v>
      </c>
      <c r="E777">
        <v>86.95</v>
      </c>
      <c r="F777" t="s">
        <v>335</v>
      </c>
      <c r="G777">
        <v>0.63</v>
      </c>
      <c r="H777">
        <v>104.35</v>
      </c>
      <c r="I777" t="s">
        <v>312</v>
      </c>
      <c r="J777" t="s">
        <v>407</v>
      </c>
      <c r="K777" t="s">
        <v>582</v>
      </c>
      <c r="L777" t="s">
        <v>178</v>
      </c>
      <c r="M777" t="s">
        <v>276</v>
      </c>
      <c r="N777" t="s">
        <v>11</v>
      </c>
      <c r="O777" t="s">
        <v>14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1</v>
      </c>
      <c r="AE777">
        <v>1</v>
      </c>
      <c r="AF777">
        <v>1</v>
      </c>
      <c r="AG777" t="s">
        <v>276</v>
      </c>
      <c r="AH777" t="s">
        <v>11</v>
      </c>
      <c r="AI777" t="s">
        <v>14</v>
      </c>
      <c r="AJ777">
        <f>$H$777*$P$777</f>
        <v>0</v>
      </c>
      <c r="AK777">
        <f>$H$777*$Q$777</f>
        <v>0</v>
      </c>
      <c r="AL777">
        <f>$H$777*$R$777</f>
        <v>0</v>
      </c>
      <c r="AM777">
        <f>$H$777*$S$777</f>
        <v>0</v>
      </c>
      <c r="AN777">
        <f>$H$777*$T$777</f>
        <v>0</v>
      </c>
      <c r="AO777">
        <f>$H$777*$U$777</f>
        <v>0</v>
      </c>
      <c r="AP777">
        <f>$H$777*$V$777</f>
        <v>0</v>
      </c>
      <c r="AQ777">
        <f>$H$777*$W$777</f>
        <v>0</v>
      </c>
      <c r="AR777">
        <f>$H$777*$X$777</f>
        <v>0</v>
      </c>
      <c r="AS777">
        <f>$H$777*$Y$777</f>
        <v>0</v>
      </c>
      <c r="AT777">
        <f>$H$777*$Z$777</f>
        <v>0</v>
      </c>
      <c r="AU777">
        <f>$H$777*$AA$777</f>
        <v>0</v>
      </c>
      <c r="AV777">
        <f>$H$777*$AB$777</f>
        <v>0</v>
      </c>
      <c r="AW777">
        <f>$H$777*$AC$777</f>
        <v>0</v>
      </c>
      <c r="AX777">
        <f>$H$777*$AD$777</f>
        <v>104.35</v>
      </c>
      <c r="AY777">
        <f>$H$777*$AE$777</f>
        <v>104.35</v>
      </c>
      <c r="AZ777">
        <f>$H$777*$AF$777</f>
        <v>104.35</v>
      </c>
    </row>
    <row r="778" spans="1:52" x14ac:dyDescent="0.25">
      <c r="A778">
        <v>845</v>
      </c>
      <c r="B778" t="s">
        <v>276</v>
      </c>
      <c r="C778" t="s">
        <v>408</v>
      </c>
      <c r="D778">
        <v>138.01</v>
      </c>
      <c r="E778">
        <v>95.23</v>
      </c>
      <c r="F778" t="s">
        <v>335</v>
      </c>
      <c r="G778">
        <v>0.69</v>
      </c>
      <c r="H778">
        <v>114.27</v>
      </c>
      <c r="I778" t="s">
        <v>312</v>
      </c>
      <c r="J778" t="s">
        <v>409</v>
      </c>
      <c r="K778" t="s">
        <v>583</v>
      </c>
      <c r="L778" t="s">
        <v>178</v>
      </c>
      <c r="M778" t="s">
        <v>276</v>
      </c>
      <c r="N778" t="s">
        <v>11</v>
      </c>
      <c r="O778" t="s">
        <v>14</v>
      </c>
      <c r="P778">
        <v>0</v>
      </c>
      <c r="Q778">
        <v>0</v>
      </c>
      <c r="R778">
        <v>0</v>
      </c>
      <c r="S778">
        <v>1</v>
      </c>
      <c r="T778">
        <v>1</v>
      </c>
      <c r="U778">
        <v>1</v>
      </c>
      <c r="V778">
        <v>1</v>
      </c>
      <c r="W778">
        <v>1</v>
      </c>
      <c r="X778">
        <v>1</v>
      </c>
      <c r="Y778">
        <v>1</v>
      </c>
      <c r="Z778">
        <v>1</v>
      </c>
      <c r="AA778">
        <v>1</v>
      </c>
      <c r="AB778">
        <v>1</v>
      </c>
      <c r="AC778">
        <v>1</v>
      </c>
      <c r="AD778">
        <v>1</v>
      </c>
      <c r="AE778">
        <v>1</v>
      </c>
      <c r="AF778">
        <v>1</v>
      </c>
      <c r="AG778" t="s">
        <v>276</v>
      </c>
      <c r="AH778" t="s">
        <v>11</v>
      </c>
      <c r="AI778" t="s">
        <v>14</v>
      </c>
      <c r="AJ778">
        <f>$H$778*$P$778</f>
        <v>0</v>
      </c>
      <c r="AK778">
        <f>$H$778*$Q$778</f>
        <v>0</v>
      </c>
      <c r="AL778">
        <f>$H$778*$R$778</f>
        <v>0</v>
      </c>
      <c r="AM778">
        <f>$H$778*$S$778</f>
        <v>114.27</v>
      </c>
      <c r="AN778">
        <f>$H$778*$T$778</f>
        <v>114.27</v>
      </c>
      <c r="AO778">
        <f>$H$778*$U$778</f>
        <v>114.27</v>
      </c>
      <c r="AP778">
        <f>$H$778*$V$778</f>
        <v>114.27</v>
      </c>
      <c r="AQ778">
        <f>$H$778*$W$778</f>
        <v>114.27</v>
      </c>
      <c r="AR778">
        <f>$H$778*$X$778</f>
        <v>114.27</v>
      </c>
      <c r="AS778">
        <f>$H$778*$Y$778</f>
        <v>114.27</v>
      </c>
      <c r="AT778">
        <f>$H$778*$Z$778</f>
        <v>114.27</v>
      </c>
      <c r="AU778">
        <f>$H$778*$AA$778</f>
        <v>114.27</v>
      </c>
      <c r="AV778">
        <f>$H$778*$AB$778</f>
        <v>114.27</v>
      </c>
      <c r="AW778">
        <f>$H$778*$AC$778</f>
        <v>114.27</v>
      </c>
      <c r="AX778">
        <f>$H$778*$AD$778</f>
        <v>114.27</v>
      </c>
      <c r="AY778">
        <f>$H$778*$AE$778</f>
        <v>114.27</v>
      </c>
      <c r="AZ778">
        <f>$H$778*$AF$778</f>
        <v>114.27</v>
      </c>
    </row>
    <row r="779" spans="1:52" x14ac:dyDescent="0.25">
      <c r="A779">
        <v>846</v>
      </c>
      <c r="B779" t="s">
        <v>276</v>
      </c>
      <c r="C779" t="s">
        <v>410</v>
      </c>
      <c r="D779">
        <v>28.98</v>
      </c>
      <c r="E779">
        <v>197.35</v>
      </c>
      <c r="F779" t="s">
        <v>335</v>
      </c>
      <c r="G779">
        <v>6.81</v>
      </c>
      <c r="H779">
        <v>236.83</v>
      </c>
      <c r="I779" t="s">
        <v>411</v>
      </c>
      <c r="J779" t="s">
        <v>412</v>
      </c>
      <c r="K779" t="s">
        <v>584</v>
      </c>
      <c r="L779" t="s">
        <v>178</v>
      </c>
      <c r="M779" t="s">
        <v>276</v>
      </c>
      <c r="N779" t="s">
        <v>11</v>
      </c>
      <c r="O779" t="s">
        <v>14</v>
      </c>
      <c r="P779">
        <v>0</v>
      </c>
      <c r="Q779">
        <v>0</v>
      </c>
      <c r="R779">
        <v>0</v>
      </c>
      <c r="S779">
        <v>1</v>
      </c>
      <c r="T779">
        <v>1</v>
      </c>
      <c r="U779">
        <v>1</v>
      </c>
      <c r="V779">
        <v>1</v>
      </c>
      <c r="W779">
        <v>1</v>
      </c>
      <c r="X779">
        <v>1</v>
      </c>
      <c r="Y779">
        <v>1</v>
      </c>
      <c r="Z779">
        <v>1</v>
      </c>
      <c r="AA779">
        <v>1</v>
      </c>
      <c r="AB779">
        <v>1</v>
      </c>
      <c r="AC779">
        <v>1</v>
      </c>
      <c r="AD779">
        <v>1</v>
      </c>
      <c r="AE779">
        <v>1</v>
      </c>
      <c r="AF779">
        <v>1</v>
      </c>
      <c r="AG779" t="s">
        <v>276</v>
      </c>
      <c r="AH779" t="s">
        <v>11</v>
      </c>
      <c r="AI779" t="s">
        <v>14</v>
      </c>
      <c r="AJ779">
        <f>$H$779*$P$779</f>
        <v>0</v>
      </c>
      <c r="AK779">
        <f>$H$779*$Q$779</f>
        <v>0</v>
      </c>
      <c r="AL779">
        <f>$H$779*$R$779</f>
        <v>0</v>
      </c>
      <c r="AM779">
        <f>$H$779*$S$779</f>
        <v>236.83</v>
      </c>
      <c r="AN779">
        <f>$H$779*$T$779</f>
        <v>236.83</v>
      </c>
      <c r="AO779">
        <f>$H$779*$U$779</f>
        <v>236.83</v>
      </c>
      <c r="AP779">
        <f>$H$779*$V$779</f>
        <v>236.83</v>
      </c>
      <c r="AQ779">
        <f>$H$779*$W$779</f>
        <v>236.83</v>
      </c>
      <c r="AR779">
        <f>$H$779*$X$779</f>
        <v>236.83</v>
      </c>
      <c r="AS779">
        <f>$H$779*$Y$779</f>
        <v>236.83</v>
      </c>
      <c r="AT779">
        <f>$H$779*$Z$779</f>
        <v>236.83</v>
      </c>
      <c r="AU779">
        <f>$H$779*$AA$779</f>
        <v>236.83</v>
      </c>
      <c r="AV779">
        <f>$H$779*$AB$779</f>
        <v>236.83</v>
      </c>
      <c r="AW779">
        <f>$H$779*$AC$779</f>
        <v>236.83</v>
      </c>
      <c r="AX779">
        <f>$H$779*$AD$779</f>
        <v>236.83</v>
      </c>
      <c r="AY779">
        <f>$H$779*$AE$779</f>
        <v>236.83</v>
      </c>
      <c r="AZ779">
        <f>$H$779*$AF$779</f>
        <v>236.83</v>
      </c>
    </row>
    <row r="780" spans="1:52" x14ac:dyDescent="0.25">
      <c r="A780">
        <v>847</v>
      </c>
      <c r="B780" t="s">
        <v>276</v>
      </c>
      <c r="C780" t="s">
        <v>413</v>
      </c>
      <c r="D780">
        <v>31.74</v>
      </c>
      <c r="E780">
        <v>233.92</v>
      </c>
      <c r="F780" t="s">
        <v>335</v>
      </c>
      <c r="G780">
        <v>7.37</v>
      </c>
      <c r="H780">
        <v>280.7</v>
      </c>
      <c r="I780" t="s">
        <v>411</v>
      </c>
      <c r="J780" t="s">
        <v>414</v>
      </c>
      <c r="K780" t="s">
        <v>585</v>
      </c>
      <c r="L780" t="s">
        <v>178</v>
      </c>
      <c r="M780" t="s">
        <v>276</v>
      </c>
      <c r="N780" t="s">
        <v>11</v>
      </c>
      <c r="O780" t="s">
        <v>14</v>
      </c>
      <c r="P780">
        <v>0</v>
      </c>
      <c r="Q780">
        <v>0</v>
      </c>
      <c r="R780">
        <v>0</v>
      </c>
      <c r="S780">
        <v>1</v>
      </c>
      <c r="T780">
        <v>1</v>
      </c>
      <c r="U780">
        <v>1</v>
      </c>
      <c r="V780">
        <v>1</v>
      </c>
      <c r="W780">
        <v>1</v>
      </c>
      <c r="X780">
        <v>1</v>
      </c>
      <c r="Y780">
        <v>1</v>
      </c>
      <c r="Z780">
        <v>1</v>
      </c>
      <c r="AA780">
        <v>1</v>
      </c>
      <c r="AB780">
        <v>1</v>
      </c>
      <c r="AC780">
        <v>1</v>
      </c>
      <c r="AD780">
        <v>1</v>
      </c>
      <c r="AE780">
        <v>1</v>
      </c>
      <c r="AF780">
        <v>1</v>
      </c>
      <c r="AG780" t="s">
        <v>276</v>
      </c>
      <c r="AH780" t="s">
        <v>11</v>
      </c>
      <c r="AI780" t="s">
        <v>14</v>
      </c>
      <c r="AJ780">
        <f>$H$780*$P$780</f>
        <v>0</v>
      </c>
      <c r="AK780">
        <f>$H$780*$Q$780</f>
        <v>0</v>
      </c>
      <c r="AL780">
        <f>$H$780*$R$780</f>
        <v>0</v>
      </c>
      <c r="AM780">
        <f>$H$780*$S$780</f>
        <v>280.7</v>
      </c>
      <c r="AN780">
        <f>$H$780*$T$780</f>
        <v>280.7</v>
      </c>
      <c r="AO780">
        <f>$H$780*$U$780</f>
        <v>280.7</v>
      </c>
      <c r="AP780">
        <f>$H$780*$V$780</f>
        <v>280.7</v>
      </c>
      <c r="AQ780">
        <f>$H$780*$W$780</f>
        <v>280.7</v>
      </c>
      <c r="AR780">
        <f>$H$780*$X$780</f>
        <v>280.7</v>
      </c>
      <c r="AS780">
        <f>$H$780*$Y$780</f>
        <v>280.7</v>
      </c>
      <c r="AT780">
        <f>$H$780*$Z$780</f>
        <v>280.7</v>
      </c>
      <c r="AU780">
        <f>$H$780*$AA$780</f>
        <v>280.7</v>
      </c>
      <c r="AV780">
        <f>$H$780*$AB$780</f>
        <v>280.7</v>
      </c>
      <c r="AW780">
        <f>$H$780*$AC$780</f>
        <v>280.7</v>
      </c>
      <c r="AX780">
        <f>$H$780*$AD$780</f>
        <v>280.7</v>
      </c>
      <c r="AY780">
        <f>$H$780*$AE$780</f>
        <v>280.7</v>
      </c>
      <c r="AZ780">
        <f>$H$780*$AF$780</f>
        <v>280.7</v>
      </c>
    </row>
    <row r="781" spans="1:52" x14ac:dyDescent="0.25">
      <c r="A781">
        <v>848</v>
      </c>
      <c r="B781" t="s">
        <v>276</v>
      </c>
      <c r="C781" t="s">
        <v>415</v>
      </c>
      <c r="D781">
        <v>29.2</v>
      </c>
      <c r="E781">
        <v>159.43</v>
      </c>
      <c r="F781" t="s">
        <v>335</v>
      </c>
      <c r="G781">
        <v>5.46</v>
      </c>
      <c r="H781">
        <v>191.31</v>
      </c>
      <c r="I781" t="s">
        <v>416</v>
      </c>
      <c r="J781" t="s">
        <v>417</v>
      </c>
      <c r="K781" t="s">
        <v>586</v>
      </c>
      <c r="L781" t="s">
        <v>178</v>
      </c>
      <c r="M781" t="s">
        <v>276</v>
      </c>
      <c r="N781" t="s">
        <v>11</v>
      </c>
      <c r="O781" t="s">
        <v>14</v>
      </c>
      <c r="P781">
        <v>0</v>
      </c>
      <c r="Q781">
        <v>0</v>
      </c>
      <c r="R781">
        <v>0</v>
      </c>
      <c r="S781">
        <v>1</v>
      </c>
      <c r="T781">
        <v>1</v>
      </c>
      <c r="U781">
        <v>1</v>
      </c>
      <c r="V781">
        <v>1</v>
      </c>
      <c r="W781">
        <v>1</v>
      </c>
      <c r="X781">
        <v>1</v>
      </c>
      <c r="Y781">
        <v>1</v>
      </c>
      <c r="Z781">
        <v>1</v>
      </c>
      <c r="AA781">
        <v>1</v>
      </c>
      <c r="AB781">
        <v>1</v>
      </c>
      <c r="AC781">
        <v>1</v>
      </c>
      <c r="AD781">
        <v>1</v>
      </c>
      <c r="AE781">
        <v>1</v>
      </c>
      <c r="AF781">
        <v>1</v>
      </c>
      <c r="AG781" t="s">
        <v>276</v>
      </c>
      <c r="AH781" t="s">
        <v>11</v>
      </c>
      <c r="AI781" t="s">
        <v>14</v>
      </c>
      <c r="AJ781">
        <f>$H$781*$P$781</f>
        <v>0</v>
      </c>
      <c r="AK781">
        <f>$H$781*$Q$781</f>
        <v>0</v>
      </c>
      <c r="AL781">
        <f>$H$781*$R$781</f>
        <v>0</v>
      </c>
      <c r="AM781">
        <f>$H$781*$S$781</f>
        <v>191.31</v>
      </c>
      <c r="AN781">
        <f>$H$781*$T$781</f>
        <v>191.31</v>
      </c>
      <c r="AO781">
        <f>$H$781*$U$781</f>
        <v>191.31</v>
      </c>
      <c r="AP781">
        <f>$H$781*$V$781</f>
        <v>191.31</v>
      </c>
      <c r="AQ781">
        <f>$H$781*$W$781</f>
        <v>191.31</v>
      </c>
      <c r="AR781">
        <f>$H$781*$X$781</f>
        <v>191.31</v>
      </c>
      <c r="AS781">
        <f>$H$781*$Y$781</f>
        <v>191.31</v>
      </c>
      <c r="AT781">
        <f>$H$781*$Z$781</f>
        <v>191.31</v>
      </c>
      <c r="AU781">
        <f>$H$781*$AA$781</f>
        <v>191.31</v>
      </c>
      <c r="AV781">
        <f>$H$781*$AB$781</f>
        <v>191.31</v>
      </c>
      <c r="AW781">
        <f>$H$781*$AC$781</f>
        <v>191.31</v>
      </c>
      <c r="AX781">
        <f>$H$781*$AD$781</f>
        <v>191.31</v>
      </c>
      <c r="AY781">
        <f>$H$781*$AE$781</f>
        <v>191.31</v>
      </c>
      <c r="AZ781">
        <f>$H$781*$AF$781</f>
        <v>191.31</v>
      </c>
    </row>
    <row r="782" spans="1:52" x14ac:dyDescent="0.25">
      <c r="A782">
        <v>849</v>
      </c>
      <c r="B782" t="s">
        <v>276</v>
      </c>
      <c r="C782" t="s">
        <v>418</v>
      </c>
      <c r="D782">
        <v>29.2</v>
      </c>
      <c r="E782">
        <v>104.54</v>
      </c>
      <c r="F782" t="s">
        <v>335</v>
      </c>
      <c r="G782">
        <v>3.58</v>
      </c>
      <c r="H782">
        <v>125.44</v>
      </c>
      <c r="I782" t="s">
        <v>416</v>
      </c>
      <c r="J782" t="s">
        <v>419</v>
      </c>
      <c r="K782" t="s">
        <v>587</v>
      </c>
      <c r="L782" t="s">
        <v>178</v>
      </c>
      <c r="M782" t="s">
        <v>276</v>
      </c>
      <c r="N782" t="s">
        <v>11</v>
      </c>
      <c r="O782" t="s">
        <v>14</v>
      </c>
      <c r="P782">
        <v>0</v>
      </c>
      <c r="Q782">
        <v>0</v>
      </c>
      <c r="R782">
        <v>0</v>
      </c>
      <c r="S782">
        <v>1</v>
      </c>
      <c r="T782">
        <v>1</v>
      </c>
      <c r="U782">
        <v>1</v>
      </c>
      <c r="V782">
        <v>1</v>
      </c>
      <c r="W782">
        <v>1</v>
      </c>
      <c r="X782">
        <v>1</v>
      </c>
      <c r="Y782">
        <v>1</v>
      </c>
      <c r="Z782">
        <v>1</v>
      </c>
      <c r="AA782">
        <v>1</v>
      </c>
      <c r="AB782">
        <v>1</v>
      </c>
      <c r="AC782">
        <v>1</v>
      </c>
      <c r="AD782">
        <v>1</v>
      </c>
      <c r="AE782">
        <v>1</v>
      </c>
      <c r="AF782">
        <v>1</v>
      </c>
      <c r="AG782" t="s">
        <v>276</v>
      </c>
      <c r="AH782" t="s">
        <v>11</v>
      </c>
      <c r="AI782" t="s">
        <v>14</v>
      </c>
      <c r="AJ782">
        <f>$H$782*$P$782</f>
        <v>0</v>
      </c>
      <c r="AK782">
        <f>$H$782*$Q$782</f>
        <v>0</v>
      </c>
      <c r="AL782">
        <f>$H$782*$R$782</f>
        <v>0</v>
      </c>
      <c r="AM782">
        <f>$H$782*$S$782</f>
        <v>125.44</v>
      </c>
      <c r="AN782">
        <f>$H$782*$T$782</f>
        <v>125.44</v>
      </c>
      <c r="AO782">
        <f>$H$782*$U$782</f>
        <v>125.44</v>
      </c>
      <c r="AP782">
        <f>$H$782*$V$782</f>
        <v>125.44</v>
      </c>
      <c r="AQ782">
        <f>$H$782*$W$782</f>
        <v>125.44</v>
      </c>
      <c r="AR782">
        <f>$H$782*$X$782</f>
        <v>125.44</v>
      </c>
      <c r="AS782">
        <f>$H$782*$Y$782</f>
        <v>125.44</v>
      </c>
      <c r="AT782">
        <f>$H$782*$Z$782</f>
        <v>125.44</v>
      </c>
      <c r="AU782">
        <f>$H$782*$AA$782</f>
        <v>125.44</v>
      </c>
      <c r="AV782">
        <f>$H$782*$AB$782</f>
        <v>125.44</v>
      </c>
      <c r="AW782">
        <f>$H$782*$AC$782</f>
        <v>125.44</v>
      </c>
      <c r="AX782">
        <f>$H$782*$AD$782</f>
        <v>125.44</v>
      </c>
      <c r="AY782">
        <f>$H$782*$AE$782</f>
        <v>125.44</v>
      </c>
      <c r="AZ782">
        <f>$H$782*$AF$782</f>
        <v>125.44</v>
      </c>
    </row>
    <row r="783" spans="1:52" x14ac:dyDescent="0.25">
      <c r="A783">
        <v>850</v>
      </c>
      <c r="B783" t="s">
        <v>276</v>
      </c>
      <c r="C783" t="s">
        <v>420</v>
      </c>
      <c r="D783">
        <v>29.2</v>
      </c>
      <c r="E783">
        <v>287.62</v>
      </c>
      <c r="F783" t="s">
        <v>335</v>
      </c>
      <c r="G783">
        <v>9.85</v>
      </c>
      <c r="H783">
        <v>345.14</v>
      </c>
      <c r="I783" t="s">
        <v>416</v>
      </c>
      <c r="J783" t="s">
        <v>414</v>
      </c>
      <c r="K783" t="s">
        <v>588</v>
      </c>
      <c r="L783" t="s">
        <v>178</v>
      </c>
      <c r="M783" t="s">
        <v>276</v>
      </c>
      <c r="N783" t="s">
        <v>11</v>
      </c>
      <c r="O783" t="s">
        <v>14</v>
      </c>
      <c r="P783">
        <v>0</v>
      </c>
      <c r="Q783">
        <v>0</v>
      </c>
      <c r="R783">
        <v>0</v>
      </c>
      <c r="S783">
        <v>1</v>
      </c>
      <c r="T783">
        <v>1</v>
      </c>
      <c r="U783">
        <v>1</v>
      </c>
      <c r="V783">
        <v>1</v>
      </c>
      <c r="W783">
        <v>1</v>
      </c>
      <c r="X783">
        <v>1</v>
      </c>
      <c r="Y783">
        <v>1</v>
      </c>
      <c r="Z783">
        <v>1</v>
      </c>
      <c r="AA783">
        <v>1</v>
      </c>
      <c r="AB783">
        <v>1</v>
      </c>
      <c r="AC783">
        <v>1</v>
      </c>
      <c r="AD783">
        <v>1</v>
      </c>
      <c r="AE783">
        <v>1</v>
      </c>
      <c r="AF783">
        <v>1</v>
      </c>
      <c r="AG783" t="s">
        <v>276</v>
      </c>
      <c r="AH783" t="s">
        <v>11</v>
      </c>
      <c r="AI783" t="s">
        <v>14</v>
      </c>
      <c r="AJ783">
        <f>$H$783*$P$783</f>
        <v>0</v>
      </c>
      <c r="AK783">
        <f>$H$783*$Q$783</f>
        <v>0</v>
      </c>
      <c r="AL783">
        <f>$H$783*$R$783</f>
        <v>0</v>
      </c>
      <c r="AM783">
        <f>$H$783*$S$783</f>
        <v>345.14</v>
      </c>
      <c r="AN783">
        <f>$H$783*$T$783</f>
        <v>345.14</v>
      </c>
      <c r="AO783">
        <f>$H$783*$U$783</f>
        <v>345.14</v>
      </c>
      <c r="AP783">
        <f>$H$783*$V$783</f>
        <v>345.14</v>
      </c>
      <c r="AQ783">
        <f>$H$783*$W$783</f>
        <v>345.14</v>
      </c>
      <c r="AR783">
        <f>$H$783*$X$783</f>
        <v>345.14</v>
      </c>
      <c r="AS783">
        <f>$H$783*$Y$783</f>
        <v>345.14</v>
      </c>
      <c r="AT783">
        <f>$H$783*$Z$783</f>
        <v>345.14</v>
      </c>
      <c r="AU783">
        <f>$H$783*$AA$783</f>
        <v>345.14</v>
      </c>
      <c r="AV783">
        <f>$H$783*$AB$783</f>
        <v>345.14</v>
      </c>
      <c r="AW783">
        <f>$H$783*$AC$783</f>
        <v>345.14</v>
      </c>
      <c r="AX783">
        <f>$H$783*$AD$783</f>
        <v>345.14</v>
      </c>
      <c r="AY783">
        <f>$H$783*$AE$783</f>
        <v>345.14</v>
      </c>
      <c r="AZ783">
        <f>$H$783*$AF$783</f>
        <v>345.14</v>
      </c>
    </row>
    <row r="784" spans="1:52" x14ac:dyDescent="0.25">
      <c r="A784">
        <v>851</v>
      </c>
      <c r="B784" t="s">
        <v>276</v>
      </c>
      <c r="C784" t="s">
        <v>421</v>
      </c>
      <c r="D784">
        <v>31.74</v>
      </c>
      <c r="E784">
        <v>30.79</v>
      </c>
      <c r="F784" t="s">
        <v>335</v>
      </c>
      <c r="G784">
        <v>0.97</v>
      </c>
      <c r="H784">
        <v>36.950000000000003</v>
      </c>
      <c r="I784" t="s">
        <v>360</v>
      </c>
      <c r="J784" t="s">
        <v>422</v>
      </c>
      <c r="K784" t="s">
        <v>589</v>
      </c>
      <c r="L784" t="s">
        <v>178</v>
      </c>
      <c r="M784" t="s">
        <v>276</v>
      </c>
      <c r="N784" t="s">
        <v>11</v>
      </c>
      <c r="O784" t="s">
        <v>14</v>
      </c>
      <c r="P784">
        <v>0</v>
      </c>
      <c r="Q784">
        <v>0</v>
      </c>
      <c r="R784">
        <v>0</v>
      </c>
      <c r="S784">
        <v>1</v>
      </c>
      <c r="T784">
        <v>1</v>
      </c>
      <c r="U784">
        <v>1</v>
      </c>
      <c r="V784">
        <v>1</v>
      </c>
      <c r="W784">
        <v>1</v>
      </c>
      <c r="X784">
        <v>1</v>
      </c>
      <c r="Y784">
        <v>1</v>
      </c>
      <c r="Z784">
        <v>1</v>
      </c>
      <c r="AA784">
        <v>1</v>
      </c>
      <c r="AB784">
        <v>1</v>
      </c>
      <c r="AC784">
        <v>1</v>
      </c>
      <c r="AD784">
        <v>1</v>
      </c>
      <c r="AE784">
        <v>1</v>
      </c>
      <c r="AF784">
        <v>1</v>
      </c>
      <c r="AG784" t="s">
        <v>276</v>
      </c>
      <c r="AH784" t="s">
        <v>11</v>
      </c>
      <c r="AI784" t="s">
        <v>14</v>
      </c>
      <c r="AJ784">
        <f>$H$784*$P$784</f>
        <v>0</v>
      </c>
      <c r="AK784">
        <f>$H$784*$Q$784</f>
        <v>0</v>
      </c>
      <c r="AL784">
        <f>$H$784*$R$784</f>
        <v>0</v>
      </c>
      <c r="AM784">
        <f>$H$784*$S$784</f>
        <v>36.950000000000003</v>
      </c>
      <c r="AN784">
        <f>$H$784*$T$784</f>
        <v>36.950000000000003</v>
      </c>
      <c r="AO784">
        <f>$H$784*$U$784</f>
        <v>36.950000000000003</v>
      </c>
      <c r="AP784">
        <f>$H$784*$V$784</f>
        <v>36.950000000000003</v>
      </c>
      <c r="AQ784">
        <f>$H$784*$W$784</f>
        <v>36.950000000000003</v>
      </c>
      <c r="AR784">
        <f>$H$784*$X$784</f>
        <v>36.950000000000003</v>
      </c>
      <c r="AS784">
        <f>$H$784*$Y$784</f>
        <v>36.950000000000003</v>
      </c>
      <c r="AT784">
        <f>$H$784*$Z$784</f>
        <v>36.950000000000003</v>
      </c>
      <c r="AU784">
        <f>$H$784*$AA$784</f>
        <v>36.950000000000003</v>
      </c>
      <c r="AV784">
        <f>$H$784*$AB$784</f>
        <v>36.950000000000003</v>
      </c>
      <c r="AW784">
        <f>$H$784*$AC$784</f>
        <v>36.950000000000003</v>
      </c>
      <c r="AX784">
        <f>$H$784*$AD$784</f>
        <v>36.950000000000003</v>
      </c>
      <c r="AY784">
        <f>$H$784*$AE$784</f>
        <v>36.950000000000003</v>
      </c>
      <c r="AZ784">
        <f>$H$784*$AF$784</f>
        <v>36.950000000000003</v>
      </c>
    </row>
    <row r="785" spans="1:52" x14ac:dyDescent="0.25">
      <c r="A785">
        <v>852</v>
      </c>
      <c r="B785" t="s">
        <v>276</v>
      </c>
      <c r="C785" t="s">
        <v>423</v>
      </c>
      <c r="D785">
        <v>31.74</v>
      </c>
      <c r="E785">
        <v>243.13</v>
      </c>
      <c r="F785" t="s">
        <v>335</v>
      </c>
      <c r="G785">
        <v>7.66</v>
      </c>
      <c r="H785">
        <v>291.75</v>
      </c>
      <c r="I785" t="s">
        <v>360</v>
      </c>
      <c r="J785" t="s">
        <v>414</v>
      </c>
      <c r="K785" t="s">
        <v>590</v>
      </c>
      <c r="L785" t="s">
        <v>178</v>
      </c>
      <c r="M785" t="s">
        <v>276</v>
      </c>
      <c r="N785" t="s">
        <v>11</v>
      </c>
      <c r="O785" t="s">
        <v>14</v>
      </c>
      <c r="P785">
        <v>0</v>
      </c>
      <c r="Q785">
        <v>0</v>
      </c>
      <c r="R785">
        <v>0</v>
      </c>
      <c r="S785">
        <v>1</v>
      </c>
      <c r="T785">
        <v>1</v>
      </c>
      <c r="U785">
        <v>1</v>
      </c>
      <c r="V785">
        <v>1</v>
      </c>
      <c r="W785">
        <v>1</v>
      </c>
      <c r="X785">
        <v>1</v>
      </c>
      <c r="Y785">
        <v>1</v>
      </c>
      <c r="Z785">
        <v>1</v>
      </c>
      <c r="AA785">
        <v>1</v>
      </c>
      <c r="AB785">
        <v>1</v>
      </c>
      <c r="AC785">
        <v>1</v>
      </c>
      <c r="AD785">
        <v>1</v>
      </c>
      <c r="AE785">
        <v>1</v>
      </c>
      <c r="AF785">
        <v>1</v>
      </c>
      <c r="AG785" t="s">
        <v>276</v>
      </c>
      <c r="AH785" t="s">
        <v>11</v>
      </c>
      <c r="AI785" t="s">
        <v>14</v>
      </c>
      <c r="AJ785">
        <f>$H$785*$P$785</f>
        <v>0</v>
      </c>
      <c r="AK785">
        <f>$H$785*$Q$785</f>
        <v>0</v>
      </c>
      <c r="AL785">
        <f>$H$785*$R$785</f>
        <v>0</v>
      </c>
      <c r="AM785">
        <f>$H$785*$S$785</f>
        <v>291.75</v>
      </c>
      <c r="AN785">
        <f>$H$785*$T$785</f>
        <v>291.75</v>
      </c>
      <c r="AO785">
        <f>$H$785*$U$785</f>
        <v>291.75</v>
      </c>
      <c r="AP785">
        <f>$H$785*$V$785</f>
        <v>291.75</v>
      </c>
      <c r="AQ785">
        <f>$H$785*$W$785</f>
        <v>291.75</v>
      </c>
      <c r="AR785">
        <f>$H$785*$X$785</f>
        <v>291.75</v>
      </c>
      <c r="AS785">
        <f>$H$785*$Y$785</f>
        <v>291.75</v>
      </c>
      <c r="AT785">
        <f>$H$785*$Z$785</f>
        <v>291.75</v>
      </c>
      <c r="AU785">
        <f>$H$785*$AA$785</f>
        <v>291.75</v>
      </c>
      <c r="AV785">
        <f>$H$785*$AB$785</f>
        <v>291.75</v>
      </c>
      <c r="AW785">
        <f>$H$785*$AC$785</f>
        <v>291.75</v>
      </c>
      <c r="AX785">
        <f>$H$785*$AD$785</f>
        <v>291.75</v>
      </c>
      <c r="AY785">
        <f>$H$785*$AE$785</f>
        <v>291.75</v>
      </c>
      <c r="AZ785">
        <f>$H$785*$AF$785</f>
        <v>291.75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32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280</v>
      </c>
      <c r="B2">
        <v>98.34</v>
      </c>
      <c r="D2" t="s">
        <v>648</v>
      </c>
      <c r="E2">
        <v>9</v>
      </c>
      <c r="F2">
        <v>11</v>
      </c>
      <c r="G2">
        <v>9</v>
      </c>
      <c r="H2">
        <v>11</v>
      </c>
      <c r="I2">
        <v>8</v>
      </c>
      <c r="J2">
        <v>0</v>
      </c>
    </row>
    <row r="3" spans="1:10" x14ac:dyDescent="0.25">
      <c r="A3" t="s">
        <v>291</v>
      </c>
      <c r="B3">
        <v>118.17</v>
      </c>
      <c r="D3" t="s">
        <v>649</v>
      </c>
      <c r="E3">
        <v>11</v>
      </c>
      <c r="F3">
        <v>11</v>
      </c>
      <c r="G3">
        <v>9</v>
      </c>
      <c r="H3">
        <v>11</v>
      </c>
      <c r="I3">
        <v>8</v>
      </c>
      <c r="J3">
        <v>0</v>
      </c>
    </row>
    <row r="4" spans="1:10" x14ac:dyDescent="0.25">
      <c r="A4" t="s">
        <v>292</v>
      </c>
      <c r="B4">
        <v>78.510000000000005</v>
      </c>
      <c r="D4" t="s">
        <v>650</v>
      </c>
      <c r="E4">
        <v>9</v>
      </c>
      <c r="F4">
        <v>11</v>
      </c>
      <c r="G4">
        <v>7</v>
      </c>
      <c r="H4">
        <v>11</v>
      </c>
      <c r="I4">
        <v>8</v>
      </c>
      <c r="J4">
        <v>0</v>
      </c>
    </row>
    <row r="5" spans="1:10" x14ac:dyDescent="0.25">
      <c r="A5" t="s">
        <v>258</v>
      </c>
      <c r="B5">
        <v>38.92</v>
      </c>
      <c r="D5" t="s">
        <v>651</v>
      </c>
      <c r="E5">
        <v>7</v>
      </c>
      <c r="F5">
        <v>11</v>
      </c>
      <c r="G5">
        <v>4</v>
      </c>
      <c r="H5">
        <v>11</v>
      </c>
      <c r="I5">
        <v>8</v>
      </c>
      <c r="J5">
        <v>0</v>
      </c>
    </row>
    <row r="6" spans="1:10" x14ac:dyDescent="0.25">
      <c r="A6" t="s">
        <v>266</v>
      </c>
      <c r="B6">
        <v>38.92</v>
      </c>
      <c r="D6" t="s">
        <v>651</v>
      </c>
      <c r="E6">
        <v>7</v>
      </c>
      <c r="F6">
        <v>11</v>
      </c>
      <c r="G6">
        <v>4</v>
      </c>
      <c r="H6">
        <v>11</v>
      </c>
      <c r="I6">
        <v>8</v>
      </c>
      <c r="J6">
        <v>0</v>
      </c>
    </row>
    <row r="7" spans="1:10" x14ac:dyDescent="0.25">
      <c r="A7" t="s">
        <v>263</v>
      </c>
      <c r="B7">
        <v>78.510000000000005</v>
      </c>
      <c r="D7" t="s">
        <v>650</v>
      </c>
      <c r="E7">
        <v>9</v>
      </c>
      <c r="F7">
        <v>11</v>
      </c>
      <c r="G7">
        <v>7</v>
      </c>
      <c r="H7">
        <v>11</v>
      </c>
      <c r="I7">
        <v>8</v>
      </c>
      <c r="J7">
        <v>0</v>
      </c>
    </row>
    <row r="8" spans="1:10" x14ac:dyDescent="0.25">
      <c r="A8" t="s">
        <v>293</v>
      </c>
      <c r="B8">
        <v>78.510000000000005</v>
      </c>
      <c r="D8" t="s">
        <v>650</v>
      </c>
      <c r="E8">
        <v>9</v>
      </c>
      <c r="F8">
        <v>11</v>
      </c>
      <c r="G8">
        <v>7</v>
      </c>
      <c r="H8">
        <v>11</v>
      </c>
      <c r="I8">
        <v>8</v>
      </c>
      <c r="J8">
        <v>0</v>
      </c>
    </row>
    <row r="9" spans="1:10" x14ac:dyDescent="0.25">
      <c r="A9" t="s">
        <v>274</v>
      </c>
      <c r="B9">
        <v>276.01</v>
      </c>
      <c r="D9" t="s">
        <v>652</v>
      </c>
      <c r="E9">
        <v>19</v>
      </c>
      <c r="F9">
        <v>10</v>
      </c>
      <c r="G9">
        <v>13</v>
      </c>
      <c r="H9">
        <v>11</v>
      </c>
      <c r="I9">
        <v>8</v>
      </c>
      <c r="J9">
        <v>0</v>
      </c>
    </row>
    <row r="10" spans="1:10" x14ac:dyDescent="0.25">
      <c r="A10" t="s">
        <v>4</v>
      </c>
      <c r="B10">
        <v>98.34</v>
      </c>
      <c r="D10" t="s">
        <v>648</v>
      </c>
      <c r="E10">
        <v>9</v>
      </c>
      <c r="F10">
        <v>11</v>
      </c>
      <c r="G10">
        <v>9</v>
      </c>
      <c r="H10">
        <v>11</v>
      </c>
      <c r="I10">
        <v>8</v>
      </c>
      <c r="J10">
        <v>0</v>
      </c>
    </row>
    <row r="11" spans="1:10" x14ac:dyDescent="0.25">
      <c r="A11" t="s">
        <v>5</v>
      </c>
      <c r="B11">
        <v>98.34</v>
      </c>
      <c r="D11" t="s">
        <v>648</v>
      </c>
      <c r="E11">
        <v>9</v>
      </c>
      <c r="F11">
        <v>11</v>
      </c>
      <c r="G11">
        <v>9</v>
      </c>
      <c r="H11">
        <v>11</v>
      </c>
      <c r="I11">
        <v>8</v>
      </c>
      <c r="J11">
        <v>0</v>
      </c>
    </row>
    <row r="12" spans="1:10" x14ac:dyDescent="0.25">
      <c r="A12" t="s">
        <v>275</v>
      </c>
      <c r="B12">
        <v>276.01</v>
      </c>
      <c r="D12" t="s">
        <v>652</v>
      </c>
      <c r="E12">
        <v>19</v>
      </c>
      <c r="F12">
        <v>10</v>
      </c>
      <c r="G12">
        <v>13</v>
      </c>
      <c r="H12">
        <v>11</v>
      </c>
      <c r="I12">
        <v>8</v>
      </c>
      <c r="J12">
        <v>0</v>
      </c>
    </row>
    <row r="13" spans="1:10" x14ac:dyDescent="0.25">
      <c r="A13" t="s">
        <v>6</v>
      </c>
      <c r="B13">
        <v>87.76</v>
      </c>
      <c r="D13" t="s">
        <v>653</v>
      </c>
      <c r="E13">
        <v>14</v>
      </c>
      <c r="F13">
        <v>10</v>
      </c>
      <c r="G13">
        <v>5</v>
      </c>
      <c r="H13">
        <v>11</v>
      </c>
      <c r="I13">
        <v>8</v>
      </c>
      <c r="J13">
        <v>0</v>
      </c>
    </row>
    <row r="14" spans="1:10" x14ac:dyDescent="0.25">
      <c r="A14" t="s">
        <v>278</v>
      </c>
      <c r="B14">
        <v>276.01</v>
      </c>
      <c r="D14" t="s">
        <v>652</v>
      </c>
      <c r="E14">
        <v>19</v>
      </c>
      <c r="F14">
        <v>10</v>
      </c>
      <c r="G14">
        <v>13</v>
      </c>
      <c r="H14">
        <v>11</v>
      </c>
      <c r="I14">
        <v>8</v>
      </c>
      <c r="J14">
        <v>0</v>
      </c>
    </row>
    <row r="15" spans="1:10" x14ac:dyDescent="0.25">
      <c r="A15" t="s">
        <v>488</v>
      </c>
      <c r="B15">
        <v>200.69</v>
      </c>
      <c r="D15" t="s">
        <v>654</v>
      </c>
      <c r="E15">
        <v>14</v>
      </c>
      <c r="F15">
        <v>2</v>
      </c>
      <c r="G15">
        <v>14</v>
      </c>
      <c r="H15">
        <v>2</v>
      </c>
      <c r="I15">
        <v>8</v>
      </c>
      <c r="J15">
        <v>0</v>
      </c>
    </row>
    <row r="16" spans="1:10" x14ac:dyDescent="0.25">
      <c r="A16" t="s">
        <v>261</v>
      </c>
      <c r="B16">
        <v>38.92</v>
      </c>
      <c r="D16" t="s">
        <v>651</v>
      </c>
      <c r="E16">
        <v>7</v>
      </c>
      <c r="F16">
        <v>11</v>
      </c>
      <c r="G16">
        <v>4</v>
      </c>
      <c r="H16">
        <v>11</v>
      </c>
      <c r="I16">
        <v>8</v>
      </c>
      <c r="J16">
        <v>0</v>
      </c>
    </row>
    <row r="17" spans="1:10" x14ac:dyDescent="0.25">
      <c r="A17" t="s">
        <v>282</v>
      </c>
      <c r="B17">
        <v>78.510000000000005</v>
      </c>
      <c r="D17" t="s">
        <v>650</v>
      </c>
      <c r="E17">
        <v>9</v>
      </c>
      <c r="F17">
        <v>11</v>
      </c>
      <c r="G17">
        <v>7</v>
      </c>
      <c r="H17">
        <v>11</v>
      </c>
      <c r="I17">
        <v>8</v>
      </c>
      <c r="J17">
        <v>0</v>
      </c>
    </row>
    <row r="18" spans="1:10" x14ac:dyDescent="0.25">
      <c r="A18" t="s">
        <v>286</v>
      </c>
      <c r="B18">
        <v>118.17</v>
      </c>
      <c r="D18" t="s">
        <v>649</v>
      </c>
      <c r="E18">
        <v>11</v>
      </c>
      <c r="F18">
        <v>11</v>
      </c>
      <c r="G18">
        <v>9</v>
      </c>
      <c r="H18">
        <v>11</v>
      </c>
      <c r="I18">
        <v>8</v>
      </c>
      <c r="J18">
        <v>0</v>
      </c>
    </row>
    <row r="19" spans="1:10" x14ac:dyDescent="0.25">
      <c r="A19" t="s">
        <v>288</v>
      </c>
      <c r="B19">
        <v>34.01</v>
      </c>
      <c r="D19" t="s">
        <v>655</v>
      </c>
      <c r="E19">
        <v>6</v>
      </c>
      <c r="F19">
        <v>11</v>
      </c>
      <c r="G19">
        <v>4</v>
      </c>
      <c r="H19">
        <v>11</v>
      </c>
      <c r="I19">
        <v>8</v>
      </c>
      <c r="J19">
        <v>0</v>
      </c>
    </row>
    <row r="20" spans="1:10" x14ac:dyDescent="0.25">
      <c r="A20" t="s">
        <v>289</v>
      </c>
      <c r="B20">
        <v>118.17</v>
      </c>
      <c r="D20" t="s">
        <v>649</v>
      </c>
      <c r="E20">
        <v>11</v>
      </c>
      <c r="F20">
        <v>11</v>
      </c>
      <c r="G20">
        <v>9</v>
      </c>
      <c r="H20">
        <v>11</v>
      </c>
      <c r="I20">
        <v>8</v>
      </c>
      <c r="J20">
        <v>0</v>
      </c>
    </row>
    <row r="21" spans="1:10" x14ac:dyDescent="0.25">
      <c r="A21" t="s">
        <v>267</v>
      </c>
      <c r="B21">
        <v>165.84</v>
      </c>
      <c r="D21" t="s">
        <v>656</v>
      </c>
      <c r="E21">
        <v>13</v>
      </c>
      <c r="F21">
        <v>11</v>
      </c>
      <c r="G21">
        <v>11</v>
      </c>
      <c r="H21">
        <v>11</v>
      </c>
      <c r="I21">
        <v>8</v>
      </c>
      <c r="J21">
        <v>0</v>
      </c>
    </row>
    <row r="22" spans="1:10" x14ac:dyDescent="0.25">
      <c r="A22" t="s">
        <v>7</v>
      </c>
      <c r="B22">
        <v>161.93</v>
      </c>
      <c r="D22" t="s">
        <v>657</v>
      </c>
      <c r="E22">
        <v>14</v>
      </c>
      <c r="F22">
        <v>10</v>
      </c>
      <c r="G22">
        <v>10</v>
      </c>
      <c r="H22">
        <v>11</v>
      </c>
      <c r="I22">
        <v>8</v>
      </c>
      <c r="J22">
        <v>0</v>
      </c>
    </row>
    <row r="23" spans="1:10" x14ac:dyDescent="0.25">
      <c r="A23" t="s">
        <v>268</v>
      </c>
      <c r="B23">
        <v>165.84</v>
      </c>
      <c r="D23" t="s">
        <v>656</v>
      </c>
      <c r="E23">
        <v>13</v>
      </c>
      <c r="F23">
        <v>11</v>
      </c>
      <c r="G23">
        <v>11</v>
      </c>
      <c r="H23">
        <v>11</v>
      </c>
      <c r="I23">
        <v>8</v>
      </c>
      <c r="J23">
        <v>0</v>
      </c>
    </row>
    <row r="24" spans="1:10" x14ac:dyDescent="0.25">
      <c r="A24" t="s">
        <v>272</v>
      </c>
      <c r="B24">
        <v>165.84</v>
      </c>
      <c r="D24" t="s">
        <v>656</v>
      </c>
      <c r="E24">
        <v>13</v>
      </c>
      <c r="F24">
        <v>11</v>
      </c>
      <c r="G24">
        <v>11</v>
      </c>
      <c r="H24">
        <v>11</v>
      </c>
      <c r="I24">
        <v>8</v>
      </c>
      <c r="J24">
        <v>0</v>
      </c>
    </row>
    <row r="25" spans="1:10" x14ac:dyDescent="0.25">
      <c r="A25" t="s">
        <v>285</v>
      </c>
      <c r="B25">
        <v>59.33</v>
      </c>
      <c r="D25" t="s">
        <v>658</v>
      </c>
      <c r="E25">
        <v>14</v>
      </c>
      <c r="F25">
        <v>10</v>
      </c>
      <c r="G25">
        <v>4</v>
      </c>
      <c r="H25">
        <v>0</v>
      </c>
      <c r="I25">
        <v>8</v>
      </c>
      <c r="J25">
        <v>0</v>
      </c>
    </row>
    <row r="26" spans="1:10" x14ac:dyDescent="0.25">
      <c r="A26" t="s">
        <v>284</v>
      </c>
      <c r="B26">
        <v>87.76</v>
      </c>
      <c r="D26" t="s">
        <v>653</v>
      </c>
      <c r="E26">
        <v>14</v>
      </c>
      <c r="F26">
        <v>10</v>
      </c>
      <c r="G26">
        <v>5</v>
      </c>
      <c r="H26">
        <v>11</v>
      </c>
      <c r="I26">
        <v>8</v>
      </c>
      <c r="J26">
        <v>0</v>
      </c>
    </row>
    <row r="27" spans="1:10" x14ac:dyDescent="0.25">
      <c r="A27" t="s">
        <v>273</v>
      </c>
      <c r="B27">
        <v>165.84</v>
      </c>
      <c r="D27" t="s">
        <v>656</v>
      </c>
      <c r="E27">
        <v>13</v>
      </c>
      <c r="F27">
        <v>11</v>
      </c>
      <c r="G27">
        <v>11</v>
      </c>
      <c r="H27">
        <v>11</v>
      </c>
      <c r="I27">
        <v>8</v>
      </c>
      <c r="J27">
        <v>0</v>
      </c>
    </row>
    <row r="28" spans="1:10" x14ac:dyDescent="0.25">
      <c r="A28" t="s">
        <v>269</v>
      </c>
      <c r="B28">
        <v>220.35</v>
      </c>
      <c r="D28" t="s">
        <v>659</v>
      </c>
      <c r="E28">
        <v>15</v>
      </c>
      <c r="F28">
        <v>10</v>
      </c>
      <c r="G28">
        <v>13</v>
      </c>
      <c r="H28">
        <v>11</v>
      </c>
      <c r="I28">
        <v>8</v>
      </c>
      <c r="J28">
        <v>0</v>
      </c>
    </row>
    <row r="29" spans="1:10" x14ac:dyDescent="0.25">
      <c r="A29" t="s">
        <v>271</v>
      </c>
      <c r="B29">
        <v>165.84</v>
      </c>
      <c r="D29" t="s">
        <v>656</v>
      </c>
      <c r="E29">
        <v>13</v>
      </c>
      <c r="F29">
        <v>11</v>
      </c>
      <c r="G29">
        <v>11</v>
      </c>
      <c r="H29">
        <v>11</v>
      </c>
      <c r="I29">
        <v>8</v>
      </c>
      <c r="J29">
        <v>0</v>
      </c>
    </row>
    <row r="30" spans="1:10" x14ac:dyDescent="0.25">
      <c r="A30" t="s">
        <v>277</v>
      </c>
      <c r="B30">
        <v>276.01</v>
      </c>
      <c r="D30" t="s">
        <v>652</v>
      </c>
      <c r="E30">
        <v>19</v>
      </c>
      <c r="F30">
        <v>10</v>
      </c>
      <c r="G30">
        <v>13</v>
      </c>
      <c r="H30">
        <v>11</v>
      </c>
      <c r="I30">
        <v>8</v>
      </c>
      <c r="J30">
        <v>0</v>
      </c>
    </row>
    <row r="31" spans="1:10" x14ac:dyDescent="0.25">
      <c r="A31" t="s">
        <v>532</v>
      </c>
      <c r="B31">
        <v>250.69</v>
      </c>
      <c r="D31" t="s">
        <v>660</v>
      </c>
      <c r="E31">
        <v>15</v>
      </c>
      <c r="F31">
        <v>10</v>
      </c>
      <c r="G31">
        <v>15</v>
      </c>
      <c r="H31">
        <v>10</v>
      </c>
      <c r="I31">
        <v>8</v>
      </c>
      <c r="J31">
        <v>0</v>
      </c>
    </row>
    <row r="32" spans="1:10" x14ac:dyDescent="0.25">
      <c r="A32" t="s">
        <v>276</v>
      </c>
      <c r="B32">
        <v>138.01</v>
      </c>
      <c r="D32" t="s">
        <v>661</v>
      </c>
      <c r="E32">
        <v>13</v>
      </c>
      <c r="F32">
        <v>11</v>
      </c>
      <c r="G32">
        <v>9</v>
      </c>
      <c r="H32">
        <v>11</v>
      </c>
      <c r="I32">
        <v>8</v>
      </c>
      <c r="J32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2"/>
  <sheetViews>
    <sheetView workbookViewId="0">
      <selection activeCell="G3" sqref="G3:O34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662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09:53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549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538</v>
      </c>
      <c r="H4" s="66" t="s">
        <v>189</v>
      </c>
      <c r="I4" s="66">
        <v>139.3545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4041.2804999999998</v>
      </c>
    </row>
    <row r="5" spans="1:16" x14ac:dyDescent="0.25">
      <c r="A5" s="41"/>
      <c r="B5" s="41"/>
      <c r="C5" s="41"/>
      <c r="D5" s="41"/>
      <c r="E5" s="41"/>
      <c r="G5" s="65" t="s">
        <v>567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280</v>
      </c>
      <c r="H6" s="65">
        <v>98.34</v>
      </c>
      <c r="I6" s="65">
        <v>9.14</v>
      </c>
      <c r="J6" s="65" t="s">
        <v>12</v>
      </c>
      <c r="K6" s="65" t="s">
        <v>281</v>
      </c>
      <c r="L6" s="65" t="s">
        <v>663</v>
      </c>
      <c r="M6" s="65" t="s">
        <v>124</v>
      </c>
      <c r="N6" s="89">
        <v>119</v>
      </c>
      <c r="O6" s="89">
        <v>1087.6600000000001</v>
      </c>
      <c r="P6" s="93"/>
    </row>
    <row r="7" spans="1:16" x14ac:dyDescent="0.25">
      <c r="A7" s="2" t="s">
        <v>17</v>
      </c>
      <c r="B7" s="67">
        <v>3000</v>
      </c>
      <c r="C7" s="69">
        <v>278.70999999999998</v>
      </c>
      <c r="D7" s="1"/>
      <c r="E7" s="1"/>
      <c r="G7" s="65" t="s">
        <v>293</v>
      </c>
      <c r="H7" s="65">
        <v>78.510000000000005</v>
      </c>
      <c r="I7" s="65">
        <v>7.29</v>
      </c>
      <c r="J7" s="65" t="s">
        <v>12</v>
      </c>
      <c r="K7" s="65" t="s">
        <v>293</v>
      </c>
      <c r="L7" s="65" t="s">
        <v>668</v>
      </c>
      <c r="M7" s="65" t="s">
        <v>124</v>
      </c>
      <c r="N7" s="89">
        <v>119</v>
      </c>
      <c r="O7" s="89">
        <v>867.51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274</v>
      </c>
      <c r="H8" s="65">
        <v>276.01</v>
      </c>
      <c r="I8" s="65">
        <v>25.64</v>
      </c>
      <c r="J8" s="65" t="s">
        <v>12</v>
      </c>
      <c r="K8" s="65" t="s">
        <v>14</v>
      </c>
      <c r="L8" s="65" t="s">
        <v>669</v>
      </c>
      <c r="M8" s="65" t="s">
        <v>124</v>
      </c>
      <c r="N8" s="89">
        <v>119</v>
      </c>
      <c r="O8" s="89">
        <v>3051.16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5</v>
      </c>
      <c r="H9" s="65">
        <v>98.34</v>
      </c>
      <c r="I9" s="65">
        <v>9.14</v>
      </c>
      <c r="J9" s="65" t="s">
        <v>12</v>
      </c>
      <c r="K9" s="65" t="s">
        <v>5</v>
      </c>
      <c r="L9" s="65" t="s">
        <v>671</v>
      </c>
      <c r="M9" s="65" t="s">
        <v>124</v>
      </c>
      <c r="N9" s="89">
        <v>119</v>
      </c>
      <c r="O9" s="89">
        <v>1087.6600000000001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275</v>
      </c>
      <c r="H10" s="65">
        <v>276.01</v>
      </c>
      <c r="I10" s="65">
        <v>25.64</v>
      </c>
      <c r="J10" s="65" t="s">
        <v>12</v>
      </c>
      <c r="K10" s="65" t="s">
        <v>14</v>
      </c>
      <c r="L10" s="65" t="s">
        <v>669</v>
      </c>
      <c r="M10" s="65" t="s">
        <v>124</v>
      </c>
      <c r="N10" s="89">
        <v>119</v>
      </c>
      <c r="O10" s="89">
        <v>3051.16</v>
      </c>
    </row>
    <row r="11" spans="1:16" x14ac:dyDescent="0.25">
      <c r="A11" s="1" t="s">
        <v>57</v>
      </c>
      <c r="B11" s="42">
        <f>C14</f>
        <v>1500</v>
      </c>
      <c r="C11" s="42">
        <f>C16</f>
        <v>139.3545</v>
      </c>
      <c r="D11" s="1"/>
      <c r="E11" s="1"/>
      <c r="G11" s="65" t="s">
        <v>278</v>
      </c>
      <c r="H11" s="65">
        <v>276.01</v>
      </c>
      <c r="I11" s="65">
        <v>25.64</v>
      </c>
      <c r="J11" s="65" t="s">
        <v>12</v>
      </c>
      <c r="K11" s="65" t="s">
        <v>279</v>
      </c>
      <c r="L11" s="65" t="s">
        <v>673</v>
      </c>
      <c r="M11" s="65" t="s">
        <v>124</v>
      </c>
      <c r="N11" s="89">
        <v>119</v>
      </c>
      <c r="O11" s="89">
        <v>3051.16</v>
      </c>
    </row>
    <row r="12" spans="1:16" x14ac:dyDescent="0.25">
      <c r="A12" s="1"/>
      <c r="B12" s="1"/>
      <c r="C12" s="1"/>
      <c r="D12" s="1"/>
      <c r="E12" s="1"/>
      <c r="G12" s="65" t="s">
        <v>261</v>
      </c>
      <c r="H12" s="65">
        <v>38.92</v>
      </c>
      <c r="I12" s="65">
        <v>3.62</v>
      </c>
      <c r="J12" s="65" t="s">
        <v>12</v>
      </c>
      <c r="K12" s="65" t="s">
        <v>262</v>
      </c>
      <c r="L12" s="65" t="s">
        <v>674</v>
      </c>
      <c r="M12" s="65" t="s">
        <v>128</v>
      </c>
      <c r="N12" s="89">
        <v>238</v>
      </c>
      <c r="O12" s="89">
        <v>861.56000000000006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7</v>
      </c>
      <c r="H13" s="65">
        <v>161.93</v>
      </c>
      <c r="I13" s="65">
        <v>15.04</v>
      </c>
      <c r="J13" s="65" t="s">
        <v>12</v>
      </c>
      <c r="K13" s="65" t="s">
        <v>7</v>
      </c>
      <c r="L13" s="65" t="s">
        <v>679</v>
      </c>
      <c r="M13" s="65" t="s">
        <v>128</v>
      </c>
      <c r="N13" s="89">
        <v>238</v>
      </c>
      <c r="O13" s="89">
        <v>3579.52</v>
      </c>
    </row>
    <row r="14" spans="1:16" x14ac:dyDescent="0.25">
      <c r="A14" s="4" t="s">
        <v>49</v>
      </c>
      <c r="B14" s="42">
        <f>C14+D14+E14</f>
        <v>4500</v>
      </c>
      <c r="C14" s="42">
        <f>B7/B8</f>
        <v>1500</v>
      </c>
      <c r="D14" s="42">
        <f>C14*B9</f>
        <v>1500</v>
      </c>
      <c r="E14" s="42">
        <f>B7-C14</f>
        <v>1500</v>
      </c>
      <c r="F14"/>
      <c r="G14" s="65" t="s">
        <v>284</v>
      </c>
      <c r="H14" s="65">
        <v>87.76</v>
      </c>
      <c r="I14" s="65">
        <v>8.15</v>
      </c>
      <c r="J14" s="65" t="s">
        <v>12</v>
      </c>
      <c r="K14" s="65" t="s">
        <v>6</v>
      </c>
      <c r="L14" s="65" t="s">
        <v>672</v>
      </c>
      <c r="M14" s="65" t="s">
        <v>124</v>
      </c>
      <c r="N14" s="89">
        <v>119</v>
      </c>
      <c r="O14" s="89">
        <v>969.85</v>
      </c>
    </row>
    <row r="15" spans="1:16" x14ac:dyDescent="0.25">
      <c r="A15" s="4" t="s">
        <v>50</v>
      </c>
      <c r="B15" s="42">
        <f>SUMIFS(H:H,G:G,"&lt;&gt;mech_single",G:G,"&lt;&gt;general",G:G,"&lt;&gt;general_main")</f>
        <v>3802.7200000000016</v>
      </c>
      <c r="C15" s="42">
        <f>SUMIFS(H:H,G:G,"&lt;&gt;general_main",J:J,C13)</f>
        <v>1391.8300000000002</v>
      </c>
      <c r="D15" s="42">
        <f>SUMIF($J:$J,D13,$H:$H)</f>
        <v>1122.31</v>
      </c>
      <c r="E15" s="42">
        <f>SUMIF($J:$J,E13,$H:$H)</f>
        <v>1288.58</v>
      </c>
      <c r="F15"/>
      <c r="G15" s="65" t="s">
        <v>292</v>
      </c>
      <c r="H15" s="65">
        <v>78.510000000000005</v>
      </c>
      <c r="I15" s="65">
        <v>7.29</v>
      </c>
      <c r="J15" s="65" t="s">
        <v>11</v>
      </c>
      <c r="K15" s="65" t="s">
        <v>290</v>
      </c>
      <c r="L15" s="65" t="s">
        <v>665</v>
      </c>
      <c r="M15" s="65" t="s">
        <v>124</v>
      </c>
      <c r="N15" s="89">
        <v>119</v>
      </c>
      <c r="O15" s="89">
        <v>867.51</v>
      </c>
    </row>
    <row r="16" spans="1:16" x14ac:dyDescent="0.25">
      <c r="A16" s="4" t="s">
        <v>59</v>
      </c>
      <c r="B16" s="42">
        <f>B14*0.092903</f>
        <v>418.06349999999998</v>
      </c>
      <c r="C16" s="42">
        <f t="shared" ref="C16:E17" si="0">C14*0.092903</f>
        <v>139.3545</v>
      </c>
      <c r="D16" s="42">
        <f t="shared" si="0"/>
        <v>139.3545</v>
      </c>
      <c r="E16" s="42">
        <f t="shared" si="0"/>
        <v>139.3545</v>
      </c>
      <c r="F16"/>
      <c r="G16" s="65" t="s">
        <v>266</v>
      </c>
      <c r="H16" s="65">
        <v>38.92</v>
      </c>
      <c r="I16" s="65">
        <v>3.62</v>
      </c>
      <c r="J16" s="65" t="s">
        <v>11</v>
      </c>
      <c r="K16" s="65" t="s">
        <v>13</v>
      </c>
      <c r="L16" s="65" t="s">
        <v>666</v>
      </c>
      <c r="M16" s="65" t="s">
        <v>128</v>
      </c>
      <c r="N16" s="89">
        <v>238</v>
      </c>
      <c r="O16" s="89">
        <v>861.56000000000006</v>
      </c>
    </row>
    <row r="17" spans="1:15" x14ac:dyDescent="0.25">
      <c r="A17" s="4" t="s">
        <v>60</v>
      </c>
      <c r="B17" s="42">
        <f>B15*0.092903</f>
        <v>353.28409616000016</v>
      </c>
      <c r="C17" s="42">
        <f t="shared" si="0"/>
        <v>129.30518249000002</v>
      </c>
      <c r="D17" s="42">
        <f t="shared" si="0"/>
        <v>104.26596592999999</v>
      </c>
      <c r="E17" s="42">
        <f t="shared" si="0"/>
        <v>119.71294773999999</v>
      </c>
      <c r="F17"/>
      <c r="G17" s="65" t="s">
        <v>288</v>
      </c>
      <c r="H17" s="65">
        <v>34.01</v>
      </c>
      <c r="I17" s="65">
        <v>3.16</v>
      </c>
      <c r="J17" s="65" t="s">
        <v>11</v>
      </c>
      <c r="K17" s="65" t="s">
        <v>15</v>
      </c>
      <c r="L17" s="65" t="s">
        <v>677</v>
      </c>
      <c r="M17" s="65" t="s">
        <v>124</v>
      </c>
      <c r="N17" s="89">
        <v>119</v>
      </c>
      <c r="O17" s="89">
        <v>376.04</v>
      </c>
    </row>
    <row r="18" spans="1:15" x14ac:dyDescent="0.25">
      <c r="A18" s="4" t="s">
        <v>44</v>
      </c>
      <c r="B18" s="43">
        <f>IF(B14&gt;0,B15/B14,"")</f>
        <v>0.84504888888888929</v>
      </c>
      <c r="C18" s="43">
        <f t="shared" ref="C18:E18" si="1">IF(C14&gt;0,C15/C14,"")</f>
        <v>0.92788666666666675</v>
      </c>
      <c r="D18" s="43">
        <f t="shared" si="1"/>
        <v>0.74820666666666658</v>
      </c>
      <c r="E18" s="43">
        <f t="shared" si="1"/>
        <v>0.85905333333333334</v>
      </c>
      <c r="F18"/>
      <c r="G18" s="65" t="s">
        <v>272</v>
      </c>
      <c r="H18" s="65">
        <v>165.84</v>
      </c>
      <c r="I18" s="65">
        <v>15.41</v>
      </c>
      <c r="J18" s="65" t="s">
        <v>11</v>
      </c>
      <c r="K18" s="65" t="s">
        <v>4</v>
      </c>
      <c r="L18" s="65" t="s">
        <v>678</v>
      </c>
      <c r="M18" s="65" t="s">
        <v>124</v>
      </c>
      <c r="N18" s="89">
        <v>119</v>
      </c>
      <c r="O18" s="89">
        <v>1833.79</v>
      </c>
    </row>
    <row r="19" spans="1:15" x14ac:dyDescent="0.25">
      <c r="A19" s="1"/>
      <c r="B19" s="1"/>
      <c r="C19" s="1"/>
      <c r="D19" s="1"/>
      <c r="E19" s="1"/>
      <c r="F19"/>
      <c r="G19" s="65" t="s">
        <v>285</v>
      </c>
      <c r="H19" s="65">
        <v>59.33</v>
      </c>
      <c r="I19" s="65">
        <v>5.51</v>
      </c>
      <c r="J19" s="65" t="s">
        <v>11</v>
      </c>
      <c r="K19" s="65" t="s">
        <v>6</v>
      </c>
      <c r="L19" s="65" t="s">
        <v>680</v>
      </c>
      <c r="M19" s="65" t="s">
        <v>124</v>
      </c>
      <c r="N19" s="89">
        <v>119</v>
      </c>
      <c r="O19" s="89">
        <v>655.68999999999994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273</v>
      </c>
      <c r="H20" s="65">
        <v>165.84</v>
      </c>
      <c r="I20" s="65">
        <v>15.41</v>
      </c>
      <c r="J20" s="65" t="s">
        <v>11</v>
      </c>
      <c r="K20" s="65" t="s">
        <v>4</v>
      </c>
      <c r="L20" s="65" t="s">
        <v>678</v>
      </c>
      <c r="M20" s="65" t="s">
        <v>124</v>
      </c>
      <c r="N20" s="89">
        <v>119</v>
      </c>
      <c r="O20" s="89">
        <v>1833.79</v>
      </c>
    </row>
    <row r="21" spans="1:15" x14ac:dyDescent="0.25">
      <c r="A21" s="71" t="s">
        <v>129</v>
      </c>
      <c r="B21" s="90">
        <f>SUM(C21:E21)</f>
        <v>12123.841499999999</v>
      </c>
      <c r="C21" s="90">
        <f>C16*VLOOKUP($A21,$M$3:$N$37,2,FALSE)</f>
        <v>4041.2804999999998</v>
      </c>
      <c r="D21" s="90">
        <f t="shared" ref="D21:E21" si="2">D16*VLOOKUP($A21,$M$3:$N$37,2,FALSE)</f>
        <v>4041.2804999999998</v>
      </c>
      <c r="E21" s="90">
        <f t="shared" si="2"/>
        <v>4041.2804999999998</v>
      </c>
      <c r="F21"/>
      <c r="G21" s="65" t="s">
        <v>271</v>
      </c>
      <c r="H21" s="65">
        <v>165.84</v>
      </c>
      <c r="I21" s="65">
        <v>15.41</v>
      </c>
      <c r="J21" s="65" t="s">
        <v>11</v>
      </c>
      <c r="K21" s="65" t="s">
        <v>4</v>
      </c>
      <c r="L21" s="65" t="s">
        <v>678</v>
      </c>
      <c r="M21" s="65" t="s">
        <v>124</v>
      </c>
      <c r="N21" s="89">
        <v>119</v>
      </c>
      <c r="O21" s="89">
        <v>1833.79</v>
      </c>
    </row>
    <row r="22" spans="1:15" x14ac:dyDescent="0.25">
      <c r="A22" s="71" t="s">
        <v>128</v>
      </c>
      <c r="B22" s="90">
        <f t="shared" ref="B22:B24" si="3">SUM(C22:E22)</f>
        <v>7899.22</v>
      </c>
      <c r="C22" s="90">
        <f>SUMIFS($O$3:$O$37,$J$3:$J$37,C$20,$M$3:$M$37,$A22)</f>
        <v>4441.08</v>
      </c>
      <c r="D22" s="90">
        <f t="shared" ref="D22:E24" si="4">SUMIFS($O$3:$O$37,$J$3:$J$37,D$20,$M$3:$M$37,$A22)</f>
        <v>861.56000000000006</v>
      </c>
      <c r="E22" s="90">
        <f t="shared" si="4"/>
        <v>2596.58</v>
      </c>
      <c r="F22"/>
      <c r="G22" s="65" t="s">
        <v>277</v>
      </c>
      <c r="H22" s="65">
        <v>276.01</v>
      </c>
      <c r="I22" s="65">
        <v>25.64</v>
      </c>
      <c r="J22" s="65" t="s">
        <v>11</v>
      </c>
      <c r="K22" s="65" t="s">
        <v>14</v>
      </c>
      <c r="L22" s="65" t="s">
        <v>669</v>
      </c>
      <c r="M22" s="65" t="s">
        <v>124</v>
      </c>
      <c r="N22" s="89">
        <v>119</v>
      </c>
      <c r="O22" s="89">
        <v>3051.16</v>
      </c>
    </row>
    <row r="23" spans="1:15" x14ac:dyDescent="0.25">
      <c r="A23" s="71" t="s">
        <v>124</v>
      </c>
      <c r="B23" s="90">
        <f t="shared" si="3"/>
        <v>38091.9</v>
      </c>
      <c r="C23" s="90">
        <f t="shared" ref="C23:C24" si="5">SUMIFS($O$3:$O$37,$J$3:$J$37,C$20,$M$3:$M$37,$A23)</f>
        <v>13166.16</v>
      </c>
      <c r="D23" s="90">
        <f t="shared" si="4"/>
        <v>11977.35</v>
      </c>
      <c r="E23" s="90">
        <f t="shared" si="4"/>
        <v>12948.39</v>
      </c>
      <c r="F23"/>
      <c r="G23" s="65" t="s">
        <v>276</v>
      </c>
      <c r="H23" s="65">
        <v>138.01</v>
      </c>
      <c r="I23" s="65">
        <v>12.82</v>
      </c>
      <c r="J23" s="65" t="s">
        <v>11</v>
      </c>
      <c r="K23" s="65" t="s">
        <v>14</v>
      </c>
      <c r="L23" s="65" t="s">
        <v>682</v>
      </c>
      <c r="M23" s="65" t="s">
        <v>124</v>
      </c>
      <c r="N23" s="89">
        <v>119</v>
      </c>
      <c r="O23" s="89">
        <v>1525.58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291</v>
      </c>
      <c r="H24" s="65">
        <v>118.17</v>
      </c>
      <c r="I24" s="65">
        <v>10.98</v>
      </c>
      <c r="J24" s="65" t="s">
        <v>51</v>
      </c>
      <c r="K24" s="65" t="s">
        <v>290</v>
      </c>
      <c r="L24" s="65" t="s">
        <v>664</v>
      </c>
      <c r="M24" s="65" t="s">
        <v>124</v>
      </c>
      <c r="N24" s="89">
        <v>119</v>
      </c>
      <c r="O24" s="89">
        <v>1306.6200000000001</v>
      </c>
    </row>
    <row r="25" spans="1:15" x14ac:dyDescent="0.25">
      <c r="A25" s="87" t="s">
        <v>1</v>
      </c>
      <c r="B25" s="90">
        <f>SUM(B21:B24)</f>
        <v>58114.961500000005</v>
      </c>
      <c r="C25" s="92">
        <f t="shared" ref="C25:E25" si="6">SUM(C21:C24)</f>
        <v>21648.520499999999</v>
      </c>
      <c r="D25" s="92">
        <f t="shared" si="6"/>
        <v>16880.190500000001</v>
      </c>
      <c r="E25" s="92">
        <f t="shared" si="6"/>
        <v>19586.250499999998</v>
      </c>
      <c r="F25"/>
      <c r="G25" s="65" t="s">
        <v>258</v>
      </c>
      <c r="H25" s="65">
        <v>38.92</v>
      </c>
      <c r="I25" s="65">
        <v>3.62</v>
      </c>
      <c r="J25" s="65" t="s">
        <v>51</v>
      </c>
      <c r="K25" s="65" t="s">
        <v>13</v>
      </c>
      <c r="L25" s="65" t="s">
        <v>666</v>
      </c>
      <c r="M25" s="65" t="s">
        <v>128</v>
      </c>
      <c r="N25" s="89">
        <v>238</v>
      </c>
      <c r="O25" s="89">
        <v>861.56000000000006</v>
      </c>
    </row>
    <row r="26" spans="1:15" x14ac:dyDescent="0.25">
      <c r="A26" s="87" t="s">
        <v>132</v>
      </c>
      <c r="B26" s="90">
        <f>IF(B16&gt;0,B25/B16,"")</f>
        <v>139.00989084194148</v>
      </c>
      <c r="C26" s="90">
        <f t="shared" ref="C26:E26" si="7">IF(C16&gt;0,C25/C16,"")</f>
        <v>155.34855709718738</v>
      </c>
      <c r="D26" s="90">
        <f t="shared" si="7"/>
        <v>121.13129105985095</v>
      </c>
      <c r="E26" s="90">
        <f t="shared" si="7"/>
        <v>140.54982436878606</v>
      </c>
      <c r="F26"/>
      <c r="G26" s="65" t="s">
        <v>263</v>
      </c>
      <c r="H26" s="65">
        <v>78.510000000000005</v>
      </c>
      <c r="I26" s="65">
        <v>7.29</v>
      </c>
      <c r="J26" s="65" t="s">
        <v>51</v>
      </c>
      <c r="K26" s="65" t="s">
        <v>264</v>
      </c>
      <c r="L26" s="65" t="s">
        <v>667</v>
      </c>
      <c r="M26" s="65" t="s">
        <v>128</v>
      </c>
      <c r="N26" s="89">
        <v>238</v>
      </c>
      <c r="O26" s="89">
        <v>1735.02</v>
      </c>
    </row>
    <row r="27" spans="1:15" x14ac:dyDescent="0.25">
      <c r="F27"/>
      <c r="G27" s="65" t="s">
        <v>4</v>
      </c>
      <c r="H27" s="65">
        <v>98.34</v>
      </c>
      <c r="I27" s="65">
        <v>9.14</v>
      </c>
      <c r="J27" s="65" t="s">
        <v>51</v>
      </c>
      <c r="K27" s="65" t="s">
        <v>4</v>
      </c>
      <c r="L27" s="65" t="s">
        <v>670</v>
      </c>
      <c r="M27" s="65" t="s">
        <v>124</v>
      </c>
      <c r="N27" s="89">
        <v>119</v>
      </c>
      <c r="O27" s="89">
        <v>1087.6600000000001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6</v>
      </c>
      <c r="H28" s="65">
        <v>87.76</v>
      </c>
      <c r="I28" s="65">
        <v>8.15</v>
      </c>
      <c r="J28" s="65" t="s">
        <v>51</v>
      </c>
      <c r="K28" s="65" t="s">
        <v>6</v>
      </c>
      <c r="L28" s="65" t="s">
        <v>672</v>
      </c>
      <c r="M28" s="65" t="s">
        <v>124</v>
      </c>
      <c r="N28" s="89">
        <v>119</v>
      </c>
      <c r="O28" s="89">
        <v>969.85</v>
      </c>
    </row>
    <row r="29" spans="1:15" x14ac:dyDescent="0.25">
      <c r="A29" s="95" t="s">
        <v>281</v>
      </c>
      <c r="B29" s="95">
        <v>1</v>
      </c>
      <c r="C29" s="95">
        <v>1</v>
      </c>
      <c r="D29" s="95">
        <v>0</v>
      </c>
      <c r="E29" s="95">
        <v>0</v>
      </c>
      <c r="F29"/>
      <c r="G29" s="65" t="s">
        <v>282</v>
      </c>
      <c r="H29" s="65">
        <v>78.510000000000005</v>
      </c>
      <c r="I29" s="65">
        <v>7.29</v>
      </c>
      <c r="J29" s="65" t="s">
        <v>51</v>
      </c>
      <c r="K29" s="65" t="s">
        <v>283</v>
      </c>
      <c r="L29" s="65" t="s">
        <v>675</v>
      </c>
      <c r="M29" s="65" t="s">
        <v>124</v>
      </c>
      <c r="N29" s="89">
        <v>119</v>
      </c>
      <c r="O29" s="89">
        <v>867.51</v>
      </c>
    </row>
    <row r="30" spans="1:15" x14ac:dyDescent="0.25">
      <c r="A30" s="95" t="s">
        <v>290</v>
      </c>
      <c r="B30" s="95">
        <v>3</v>
      </c>
      <c r="C30" s="95">
        <v>0</v>
      </c>
      <c r="D30" s="95">
        <v>1</v>
      </c>
      <c r="E30" s="95">
        <v>2</v>
      </c>
      <c r="F30"/>
      <c r="G30" s="65" t="s">
        <v>286</v>
      </c>
      <c r="H30" s="65">
        <v>118.17</v>
      </c>
      <c r="I30" s="65">
        <v>10.98</v>
      </c>
      <c r="J30" s="65" t="s">
        <v>51</v>
      </c>
      <c r="K30" s="65" t="s">
        <v>15</v>
      </c>
      <c r="L30" s="65" t="s">
        <v>676</v>
      </c>
      <c r="M30" s="65" t="s">
        <v>124</v>
      </c>
      <c r="N30" s="89">
        <v>119</v>
      </c>
      <c r="O30" s="89">
        <v>1306.6200000000001</v>
      </c>
    </row>
    <row r="31" spans="1:15" x14ac:dyDescent="0.25">
      <c r="A31" s="95" t="s">
        <v>13</v>
      </c>
      <c r="B31" s="95">
        <v>2</v>
      </c>
      <c r="C31" s="95">
        <v>0</v>
      </c>
      <c r="D31" s="95">
        <v>1</v>
      </c>
      <c r="E31" s="95">
        <v>1</v>
      </c>
      <c r="F31"/>
      <c r="G31" s="65" t="s">
        <v>289</v>
      </c>
      <c r="H31" s="65">
        <v>118.17</v>
      </c>
      <c r="I31" s="65">
        <v>10.98</v>
      </c>
      <c r="J31" s="65" t="s">
        <v>51</v>
      </c>
      <c r="K31" s="65" t="s">
        <v>290</v>
      </c>
      <c r="L31" s="65" t="s">
        <v>664</v>
      </c>
      <c r="M31" s="65" t="s">
        <v>124</v>
      </c>
      <c r="N31" s="89">
        <v>119</v>
      </c>
      <c r="O31" s="89">
        <v>1306.6200000000001</v>
      </c>
    </row>
    <row r="32" spans="1:15" x14ac:dyDescent="0.25">
      <c r="A32" s="95" t="s">
        <v>264</v>
      </c>
      <c r="B32" s="95">
        <v>1</v>
      </c>
      <c r="C32" s="95">
        <v>0</v>
      </c>
      <c r="D32" s="95">
        <v>0</v>
      </c>
      <c r="E32" s="95">
        <v>1</v>
      </c>
      <c r="G32" s="65" t="s">
        <v>267</v>
      </c>
      <c r="H32" s="65">
        <v>165.84</v>
      </c>
      <c r="I32" s="65">
        <v>15.41</v>
      </c>
      <c r="J32" s="65" t="s">
        <v>51</v>
      </c>
      <c r="K32" s="65" t="s">
        <v>4</v>
      </c>
      <c r="L32" s="65" t="s">
        <v>678</v>
      </c>
      <c r="M32" s="65" t="s">
        <v>124</v>
      </c>
      <c r="N32" s="89">
        <v>119</v>
      </c>
      <c r="O32" s="89">
        <v>1833.79</v>
      </c>
    </row>
    <row r="33" spans="1:15" x14ac:dyDescent="0.25">
      <c r="A33" s="95" t="s">
        <v>293</v>
      </c>
      <c r="B33" s="95">
        <v>1</v>
      </c>
      <c r="C33" s="95">
        <v>1</v>
      </c>
      <c r="D33" s="95">
        <v>0</v>
      </c>
      <c r="E33" s="95">
        <v>0</v>
      </c>
      <c r="G33" s="65" t="s">
        <v>268</v>
      </c>
      <c r="H33" s="65">
        <v>165.84</v>
      </c>
      <c r="I33" s="65">
        <v>15.41</v>
      </c>
      <c r="J33" s="65" t="s">
        <v>51</v>
      </c>
      <c r="K33" s="65" t="s">
        <v>4</v>
      </c>
      <c r="L33" s="65" t="s">
        <v>678</v>
      </c>
      <c r="M33" s="65" t="s">
        <v>124</v>
      </c>
      <c r="N33" s="89">
        <v>119</v>
      </c>
      <c r="O33" s="89">
        <v>1833.79</v>
      </c>
    </row>
    <row r="34" spans="1:15" x14ac:dyDescent="0.25">
      <c r="A34" s="95" t="s">
        <v>14</v>
      </c>
      <c r="B34" s="95">
        <v>4</v>
      </c>
      <c r="C34" s="95">
        <v>2</v>
      </c>
      <c r="D34" s="95">
        <v>2</v>
      </c>
      <c r="E34" s="95">
        <v>0</v>
      </c>
      <c r="G34" s="65" t="s">
        <v>269</v>
      </c>
      <c r="H34" s="65">
        <v>220.35</v>
      </c>
      <c r="I34" s="65">
        <v>20.47</v>
      </c>
      <c r="J34" s="65" t="s">
        <v>51</v>
      </c>
      <c r="K34" s="65" t="s">
        <v>4</v>
      </c>
      <c r="L34" s="65" t="s">
        <v>681</v>
      </c>
      <c r="M34" s="65" t="s">
        <v>124</v>
      </c>
      <c r="N34" s="89">
        <v>119</v>
      </c>
      <c r="O34" s="89">
        <v>2435.9299999999998</v>
      </c>
    </row>
    <row r="35" spans="1:15" x14ac:dyDescent="0.25">
      <c r="A35" s="95" t="s">
        <v>4</v>
      </c>
      <c r="B35" s="95">
        <v>7</v>
      </c>
      <c r="C35" s="95">
        <v>0</v>
      </c>
      <c r="D35" s="95">
        <v>3</v>
      </c>
      <c r="E35" s="95">
        <v>4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5</v>
      </c>
      <c r="B36" s="95">
        <v>1</v>
      </c>
      <c r="C36" s="95">
        <v>1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6</v>
      </c>
      <c r="B37" s="95">
        <v>3</v>
      </c>
      <c r="C37" s="95">
        <v>1</v>
      </c>
      <c r="D37" s="95">
        <v>1</v>
      </c>
      <c r="E37" s="95">
        <v>1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279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262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283</v>
      </c>
      <c r="B40">
        <v>1</v>
      </c>
      <c r="C40">
        <v>0</v>
      </c>
      <c r="D40">
        <v>0</v>
      </c>
      <c r="E40">
        <v>1</v>
      </c>
    </row>
    <row r="41" spans="1:15" x14ac:dyDescent="0.25">
      <c r="A41" t="s">
        <v>15</v>
      </c>
      <c r="B41">
        <v>2</v>
      </c>
      <c r="C41">
        <v>0</v>
      </c>
      <c r="D41">
        <v>1</v>
      </c>
      <c r="E41">
        <v>1</v>
      </c>
    </row>
    <row r="42" spans="1:15" x14ac:dyDescent="0.25">
      <c r="A42" t="s">
        <v>7</v>
      </c>
      <c r="B42">
        <v>1</v>
      </c>
      <c r="C42">
        <v>1</v>
      </c>
      <c r="D42">
        <v>0</v>
      </c>
      <c r="E42">
        <v>0</v>
      </c>
    </row>
  </sheetData>
  <sortState xmlns:xlrd2="http://schemas.microsoft.com/office/spreadsheetml/2017/richdata2" ref="G3:O34">
    <sortCondition ref="J3:J34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7.570312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13.85546875" style="1" bestFit="1" customWidth="1"/>
    <col min="14" max="14" width="8" style="1" bestFit="1" customWidth="1"/>
    <col min="15" max="15" width="6.7109375" style="1" bestFit="1" customWidth="1"/>
    <col min="16" max="16" width="12.28515625" style="1" bestFit="1" customWidth="1"/>
    <col min="17" max="17" width="9" style="1" bestFit="1" customWidth="1"/>
    <col min="18" max="18" width="13.7109375" style="1" bestFit="1" customWidth="1"/>
    <col min="19" max="19" width="11.285156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51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25344.679999999986</v>
      </c>
      <c r="C10" s="8">
        <v>0</v>
      </c>
      <c r="D10" s="8">
        <v>4269.09</v>
      </c>
      <c r="E10" s="8">
        <v>22904.26500000001</v>
      </c>
      <c r="F10" s="8">
        <v>28019.150000000012</v>
      </c>
      <c r="G10" s="8">
        <v>80537.185000000012</v>
      </c>
    </row>
    <row r="11" spans="1:7" x14ac:dyDescent="0.25">
      <c r="A11" s="3" t="s">
        <v>31</v>
      </c>
      <c r="B11" s="8">
        <v>39960.279999999984</v>
      </c>
      <c r="C11" s="8">
        <v>0</v>
      </c>
      <c r="D11" s="8">
        <v>5950.32</v>
      </c>
      <c r="E11" s="8">
        <v>31557.545000000027</v>
      </c>
      <c r="F11" s="8">
        <v>40778.62999999999</v>
      </c>
      <c r="G11" s="8">
        <v>118246.77500000001</v>
      </c>
    </row>
    <row r="12" spans="1:7" x14ac:dyDescent="0.25">
      <c r="A12" s="3" t="s">
        <v>32</v>
      </c>
      <c r="B12" s="8">
        <v>44434.639999999992</v>
      </c>
      <c r="C12" s="8">
        <v>1754.44</v>
      </c>
      <c r="D12" s="8">
        <v>5950.32</v>
      </c>
      <c r="E12" s="8">
        <v>31557.545000000027</v>
      </c>
      <c r="F12" s="8">
        <v>40778.62999999999</v>
      </c>
      <c r="G12" s="8">
        <v>124475.57500000001</v>
      </c>
    </row>
    <row r="13" spans="1:7" x14ac:dyDescent="0.25">
      <c r="A13" s="3" t="s">
        <v>33</v>
      </c>
      <c r="B13" s="8">
        <v>47562.389999999992</v>
      </c>
      <c r="C13" s="8">
        <v>11861.820000000002</v>
      </c>
      <c r="D13" s="8">
        <v>5950.32</v>
      </c>
      <c r="E13" s="8">
        <v>31557.545000000027</v>
      </c>
      <c r="F13" s="8">
        <v>40818.35</v>
      </c>
      <c r="G13" s="8">
        <v>137750.42500000002</v>
      </c>
    </row>
    <row r="14" spans="1:7" x14ac:dyDescent="0.25">
      <c r="A14" s="3" t="s">
        <v>34</v>
      </c>
      <c r="B14" s="8">
        <v>52482.579999999994</v>
      </c>
      <c r="C14" s="8">
        <v>11861.820000000002</v>
      </c>
      <c r="D14" s="8">
        <v>5950.32</v>
      </c>
      <c r="E14" s="8">
        <v>35856.62000000001</v>
      </c>
      <c r="F14" s="8">
        <v>46122.820000000014</v>
      </c>
      <c r="G14" s="8">
        <v>152274.16000000003</v>
      </c>
    </row>
    <row r="15" spans="1:7" x14ac:dyDescent="0.25">
      <c r="A15" s="3" t="s">
        <v>35</v>
      </c>
      <c r="B15" s="8">
        <v>53443.231999999982</v>
      </c>
      <c r="C15" s="8">
        <v>11861.820000000002</v>
      </c>
      <c r="D15" s="8">
        <v>22671.563999999995</v>
      </c>
      <c r="E15" s="8">
        <v>36615.74000000002</v>
      </c>
      <c r="F15" s="8">
        <v>46882.210000000014</v>
      </c>
      <c r="G15" s="8">
        <v>171474.56600000002</v>
      </c>
    </row>
    <row r="16" spans="1:7" x14ac:dyDescent="0.25">
      <c r="A16" s="3" t="s">
        <v>36</v>
      </c>
      <c r="B16" s="8">
        <v>54173.061999999976</v>
      </c>
      <c r="C16" s="8">
        <v>11861.820000000002</v>
      </c>
      <c r="D16" s="8">
        <v>23458.433999999994</v>
      </c>
      <c r="E16" s="8">
        <v>38449.910000000018</v>
      </c>
      <c r="F16" s="8">
        <v>54628.080000000009</v>
      </c>
      <c r="G16" s="8">
        <v>182571.30600000001</v>
      </c>
    </row>
    <row r="17" spans="1:23" x14ac:dyDescent="0.25">
      <c r="A17" s="3" t="s">
        <v>37</v>
      </c>
      <c r="B17" s="8">
        <v>64114.931999999993</v>
      </c>
      <c r="C17" s="8">
        <v>11861.820000000002</v>
      </c>
      <c r="D17" s="8">
        <v>25091.843999999997</v>
      </c>
      <c r="E17" s="8">
        <v>39954.340000000026</v>
      </c>
      <c r="F17" s="8">
        <v>56407.71</v>
      </c>
      <c r="G17" s="8">
        <v>197430.64600000001</v>
      </c>
    </row>
    <row r="18" spans="1:23" x14ac:dyDescent="0.25">
      <c r="A18" s="3" t="s">
        <v>38</v>
      </c>
      <c r="B18" s="8">
        <v>79299.962000000043</v>
      </c>
      <c r="C18" s="8">
        <v>13648.630000000001</v>
      </c>
      <c r="D18" s="8">
        <v>27872.523999999998</v>
      </c>
      <c r="E18" s="8">
        <v>53306.620000000017</v>
      </c>
      <c r="F18" s="8">
        <v>76875.87</v>
      </c>
      <c r="G18" s="8">
        <v>251003.60600000006</v>
      </c>
    </row>
    <row r="19" spans="1:23" x14ac:dyDescent="0.25">
      <c r="A19" s="3" t="s">
        <v>39</v>
      </c>
      <c r="B19" s="8">
        <v>83331.762000000061</v>
      </c>
      <c r="C19" s="8">
        <v>13648.630000000001</v>
      </c>
      <c r="D19" s="8">
        <v>37066.814000000013</v>
      </c>
      <c r="E19" s="8">
        <v>53306.620000000017</v>
      </c>
      <c r="F19" s="8">
        <v>77836.66</v>
      </c>
      <c r="G19" s="8">
        <v>265190.48600000009</v>
      </c>
    </row>
    <row r="20" spans="1:23" x14ac:dyDescent="0.25">
      <c r="A20" s="3" t="s">
        <v>40</v>
      </c>
      <c r="B20" s="8">
        <v>83955.772000000055</v>
      </c>
      <c r="C20" s="8">
        <v>13648.630000000001</v>
      </c>
      <c r="D20" s="8">
        <v>37797.51400000001</v>
      </c>
      <c r="E20" s="8">
        <v>53489.060000000019</v>
      </c>
      <c r="F20" s="8">
        <v>78190.12</v>
      </c>
      <c r="G20" s="8">
        <v>267081.09600000014</v>
      </c>
    </row>
    <row r="21" spans="1:23" x14ac:dyDescent="0.25">
      <c r="A21" s="3" t="s">
        <v>41</v>
      </c>
      <c r="B21" s="8">
        <v>86727.260000000038</v>
      </c>
      <c r="C21" s="8">
        <v>13648.630000000001</v>
      </c>
      <c r="D21" s="8">
        <v>38009.044000000016</v>
      </c>
      <c r="E21" s="8">
        <v>55566.680000000008</v>
      </c>
      <c r="F21" s="8">
        <v>80968.95</v>
      </c>
      <c r="G21" s="8">
        <v>274920.56400000007</v>
      </c>
    </row>
    <row r="22" spans="1:23" x14ac:dyDescent="0.25">
      <c r="A22" s="3" t="s">
        <v>42</v>
      </c>
      <c r="B22" s="8">
        <v>86727.260000000038</v>
      </c>
      <c r="C22" s="8">
        <v>30082.59</v>
      </c>
      <c r="D22" s="8">
        <v>38009.044000000016</v>
      </c>
      <c r="E22" s="8">
        <v>55566.680000000008</v>
      </c>
      <c r="F22" s="8">
        <v>80968.95</v>
      </c>
      <c r="G22" s="8">
        <v>291354.52400000009</v>
      </c>
    </row>
    <row r="23" spans="1:23" x14ac:dyDescent="0.25">
      <c r="A23" s="3" t="s">
        <v>43</v>
      </c>
      <c r="B23" s="8">
        <v>86727.260000000038</v>
      </c>
      <c r="C23" s="8">
        <v>30082.59</v>
      </c>
      <c r="D23" s="8">
        <v>38009.044000000016</v>
      </c>
      <c r="E23" s="8">
        <v>55566.680000000008</v>
      </c>
      <c r="F23" s="8">
        <v>80968.95</v>
      </c>
      <c r="G23" s="8">
        <v>291354.52400000009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281</v>
      </c>
      <c r="M31" t="s">
        <v>290</v>
      </c>
      <c r="N31" t="s">
        <v>264</v>
      </c>
      <c r="O31" t="s">
        <v>293</v>
      </c>
      <c r="P31" t="s">
        <v>279</v>
      </c>
      <c r="Q31" t="s">
        <v>262</v>
      </c>
      <c r="R31" t="s">
        <v>283</v>
      </c>
      <c r="S31" t="s">
        <v>28</v>
      </c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 s="8">
        <v>0</v>
      </c>
      <c r="S32" s="8">
        <v>0</v>
      </c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 s="8">
        <v>0</v>
      </c>
      <c r="S33" s="8">
        <v>0</v>
      </c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 s="8">
        <v>0</v>
      </c>
      <c r="S34" s="8">
        <v>0</v>
      </c>
      <c r="T34"/>
      <c r="U34"/>
      <c r="V34"/>
      <c r="W34"/>
    </row>
    <row r="35" spans="1:23" x14ac:dyDescent="0.25">
      <c r="A35" s="3" t="s">
        <v>30</v>
      </c>
      <c r="B35" s="8">
        <v>4269.09</v>
      </c>
      <c r="C35" s="8">
        <v>0</v>
      </c>
      <c r="D35" s="8">
        <v>0</v>
      </c>
      <c r="E35" s="8">
        <v>3402.6700000000005</v>
      </c>
      <c r="F35" s="8">
        <v>3436.2950000000005</v>
      </c>
      <c r="G35" s="8">
        <v>22677.340000000007</v>
      </c>
      <c r="H35" s="8">
        <v>2920.3800000000006</v>
      </c>
      <c r="I35" s="8">
        <v>1927.8925000000002</v>
      </c>
      <c r="J35" s="8">
        <v>16397.717499999999</v>
      </c>
      <c r="K35" s="8">
        <v>5059.4349999999995</v>
      </c>
      <c r="L35" s="8">
        <v>1927.8925000000002</v>
      </c>
      <c r="M35" s="8">
        <v>6604.2400000000007</v>
      </c>
      <c r="N35" s="8">
        <v>2617.0800000000004</v>
      </c>
      <c r="O35" s="8">
        <v>1781.8899999999999</v>
      </c>
      <c r="P35" s="8">
        <v>4613.5074999999997</v>
      </c>
      <c r="Q35" s="8">
        <v>1119.865</v>
      </c>
      <c r="R35" s="8">
        <v>1781.8899999999999</v>
      </c>
      <c r="S35" s="8">
        <v>80537.184999999998</v>
      </c>
      <c r="T35"/>
      <c r="U35"/>
      <c r="V35"/>
      <c r="W35"/>
    </row>
    <row r="36" spans="1:23" x14ac:dyDescent="0.25">
      <c r="A36" s="3" t="s">
        <v>31</v>
      </c>
      <c r="B36" s="8">
        <v>5950.32</v>
      </c>
      <c r="C36" s="8">
        <v>0</v>
      </c>
      <c r="D36" s="8">
        <v>435.21</v>
      </c>
      <c r="E36" s="8">
        <v>6427.170000000001</v>
      </c>
      <c r="F36" s="8">
        <v>4945.9550000000008</v>
      </c>
      <c r="G36" s="8">
        <v>32598.650000000023</v>
      </c>
      <c r="H36" s="8">
        <v>11771.640000000001</v>
      </c>
      <c r="I36" s="8">
        <v>2301.0725000000002</v>
      </c>
      <c r="J36" s="8">
        <v>18751.2775</v>
      </c>
      <c r="K36" s="8">
        <v>6194.6749999999993</v>
      </c>
      <c r="L36" s="8">
        <v>2301.0725000000002</v>
      </c>
      <c r="M36" s="8">
        <v>9075.7099999999991</v>
      </c>
      <c r="N36" s="8">
        <v>4500.97</v>
      </c>
      <c r="O36" s="8">
        <v>2556.85</v>
      </c>
      <c r="P36" s="8">
        <v>5248.5474999999988</v>
      </c>
      <c r="Q36" s="8">
        <v>2632.1150000000002</v>
      </c>
      <c r="R36" s="8">
        <v>2555.5400000000004</v>
      </c>
      <c r="S36" s="8">
        <v>118246.77500000004</v>
      </c>
      <c r="T36"/>
      <c r="U36"/>
      <c r="V36"/>
      <c r="W36"/>
    </row>
    <row r="37" spans="1:23" x14ac:dyDescent="0.25">
      <c r="A37" s="3" t="s">
        <v>32</v>
      </c>
      <c r="B37" s="8">
        <v>5950.32</v>
      </c>
      <c r="C37" s="8">
        <v>1754.44</v>
      </c>
      <c r="D37" s="8">
        <v>4909.5700000000006</v>
      </c>
      <c r="E37" s="8">
        <v>6427.170000000001</v>
      </c>
      <c r="F37" s="8">
        <v>4945.9550000000008</v>
      </c>
      <c r="G37" s="8">
        <v>32598.650000000023</v>
      </c>
      <c r="H37" s="8">
        <v>11771.640000000001</v>
      </c>
      <c r="I37" s="8">
        <v>2301.0725000000002</v>
      </c>
      <c r="J37" s="8">
        <v>18751.2775</v>
      </c>
      <c r="K37" s="8">
        <v>6194.6749999999993</v>
      </c>
      <c r="L37" s="8">
        <v>2301.0725000000002</v>
      </c>
      <c r="M37" s="8">
        <v>9075.7099999999991</v>
      </c>
      <c r="N37" s="8">
        <v>4500.97</v>
      </c>
      <c r="O37" s="8">
        <v>2556.85</v>
      </c>
      <c r="P37" s="8">
        <v>5248.5474999999988</v>
      </c>
      <c r="Q37" s="8">
        <v>2632.1150000000002</v>
      </c>
      <c r="R37" s="8">
        <v>2555.5400000000004</v>
      </c>
      <c r="S37" s="8">
        <v>124475.57500000003</v>
      </c>
      <c r="T37"/>
      <c r="U37"/>
      <c r="V37"/>
      <c r="W37"/>
    </row>
    <row r="38" spans="1:23" x14ac:dyDescent="0.25">
      <c r="A38" s="3" t="s">
        <v>33</v>
      </c>
      <c r="B38" s="8">
        <v>5950.32</v>
      </c>
      <c r="C38" s="8">
        <v>11861.820000000002</v>
      </c>
      <c r="D38" s="8">
        <v>4909.5700000000006</v>
      </c>
      <c r="E38" s="8">
        <v>6427.170000000001</v>
      </c>
      <c r="F38" s="8">
        <v>4945.9550000000008</v>
      </c>
      <c r="G38" s="8">
        <v>32598.650000000023</v>
      </c>
      <c r="H38" s="8">
        <v>14899.39</v>
      </c>
      <c r="I38" s="8">
        <v>2301.0725000000002</v>
      </c>
      <c r="J38" s="8">
        <v>18751.2775</v>
      </c>
      <c r="K38" s="8">
        <v>6194.6749999999993</v>
      </c>
      <c r="L38" s="8">
        <v>2301.0725000000002</v>
      </c>
      <c r="M38" s="8">
        <v>9075.7099999999991</v>
      </c>
      <c r="N38" s="8">
        <v>4500.97</v>
      </c>
      <c r="O38" s="8">
        <v>2556.85</v>
      </c>
      <c r="P38" s="8">
        <v>5248.5474999999988</v>
      </c>
      <c r="Q38" s="8">
        <v>2632.1150000000002</v>
      </c>
      <c r="R38" s="8">
        <v>2595.2599999999998</v>
      </c>
      <c r="S38" s="8">
        <v>137750.42499999999</v>
      </c>
      <c r="T38"/>
      <c r="U38"/>
      <c r="V38"/>
      <c r="W38"/>
    </row>
    <row r="39" spans="1:23" x14ac:dyDescent="0.25">
      <c r="A39" s="3" t="s">
        <v>34</v>
      </c>
      <c r="B39" s="8">
        <v>5950.32</v>
      </c>
      <c r="C39" s="8">
        <v>11861.820000000002</v>
      </c>
      <c r="D39" s="8">
        <v>4909.5700000000006</v>
      </c>
      <c r="E39" s="8">
        <v>6919.58</v>
      </c>
      <c r="F39" s="8">
        <v>5642.33</v>
      </c>
      <c r="G39" s="8">
        <v>36638.580000000016</v>
      </c>
      <c r="H39" s="8">
        <v>15477.91</v>
      </c>
      <c r="I39" s="8">
        <v>2720.0649999999996</v>
      </c>
      <c r="J39" s="8">
        <v>21742.385000000002</v>
      </c>
      <c r="K39" s="8">
        <v>7404.4600000000009</v>
      </c>
      <c r="L39" s="8">
        <v>2720.0649999999996</v>
      </c>
      <c r="M39" s="8">
        <v>10384.949999999999</v>
      </c>
      <c r="N39" s="8">
        <v>5067.1100000000006</v>
      </c>
      <c r="O39" s="8">
        <v>2923.6000000000008</v>
      </c>
      <c r="P39" s="8">
        <v>6071.0849999999991</v>
      </c>
      <c r="Q39" s="8">
        <v>2878.32</v>
      </c>
      <c r="R39" s="8">
        <v>2962.0100000000007</v>
      </c>
      <c r="S39" s="8">
        <v>152274.16000000003</v>
      </c>
      <c r="T39"/>
      <c r="U39"/>
      <c r="V39"/>
      <c r="W39"/>
    </row>
    <row r="40" spans="1:23" x14ac:dyDescent="0.25">
      <c r="A40" s="3" t="s">
        <v>35</v>
      </c>
      <c r="B40" s="8">
        <v>22671.563999999995</v>
      </c>
      <c r="C40" s="8">
        <v>11861.820000000002</v>
      </c>
      <c r="D40" s="8">
        <v>5044.510000000002</v>
      </c>
      <c r="E40" s="8">
        <v>7036.5400000000009</v>
      </c>
      <c r="F40" s="8">
        <v>5833.4100000000008</v>
      </c>
      <c r="G40" s="8">
        <v>37307.360000000022</v>
      </c>
      <c r="H40" s="8">
        <v>15735.581999999999</v>
      </c>
      <c r="I40" s="8">
        <v>2783.7649999999994</v>
      </c>
      <c r="J40" s="8">
        <v>22251.985000000001</v>
      </c>
      <c r="K40" s="8">
        <v>7499.98</v>
      </c>
      <c r="L40" s="8">
        <v>2751.9049999999997</v>
      </c>
      <c r="M40" s="8">
        <v>10480.469999999999</v>
      </c>
      <c r="N40" s="8">
        <v>5152.2300000000005</v>
      </c>
      <c r="O40" s="8">
        <v>2955.44</v>
      </c>
      <c r="P40" s="8">
        <v>6166.625</v>
      </c>
      <c r="Q40" s="8">
        <v>2936.8</v>
      </c>
      <c r="R40" s="8">
        <v>3004.5800000000004</v>
      </c>
      <c r="S40" s="8">
        <v>171474.56600000002</v>
      </c>
      <c r="T40"/>
      <c r="U40"/>
      <c r="V40"/>
      <c r="W40"/>
    </row>
    <row r="41" spans="1:23" x14ac:dyDescent="0.25">
      <c r="A41" s="3" t="s">
        <v>36</v>
      </c>
      <c r="B41" s="8">
        <v>23458.433999999994</v>
      </c>
      <c r="C41" s="8">
        <v>11861.820000000002</v>
      </c>
      <c r="D41" s="8">
        <v>5044.510000000002</v>
      </c>
      <c r="E41" s="8">
        <v>10704.88</v>
      </c>
      <c r="F41" s="8">
        <v>5833.4100000000008</v>
      </c>
      <c r="G41" s="8">
        <v>37307.360000000022</v>
      </c>
      <c r="H41" s="8">
        <v>15735.581999999999</v>
      </c>
      <c r="I41" s="8">
        <v>2783.7649999999994</v>
      </c>
      <c r="J41" s="8">
        <v>22251.985000000001</v>
      </c>
      <c r="K41" s="8">
        <v>7499.98</v>
      </c>
      <c r="L41" s="8">
        <v>2751.9049999999997</v>
      </c>
      <c r="M41" s="8">
        <v>10480.469999999999</v>
      </c>
      <c r="N41" s="8">
        <v>10022.579999999998</v>
      </c>
      <c r="O41" s="8">
        <v>2955.44</v>
      </c>
      <c r="P41" s="8">
        <v>6166.625</v>
      </c>
      <c r="Q41" s="8">
        <v>3666.63</v>
      </c>
      <c r="R41" s="8">
        <v>4045.93</v>
      </c>
      <c r="S41" s="8">
        <v>182571.30600000001</v>
      </c>
      <c r="T41"/>
      <c r="U41"/>
      <c r="V41"/>
      <c r="W41"/>
    </row>
    <row r="42" spans="1:23" x14ac:dyDescent="0.25">
      <c r="A42" s="3" t="s">
        <v>37</v>
      </c>
      <c r="B42" s="8">
        <v>25091.843999999997</v>
      </c>
      <c r="C42" s="8">
        <v>11861.820000000002</v>
      </c>
      <c r="D42" s="8">
        <v>5044.510000000002</v>
      </c>
      <c r="E42" s="8">
        <v>13713.740000000003</v>
      </c>
      <c r="F42" s="8">
        <v>5833.4100000000008</v>
      </c>
      <c r="G42" s="8">
        <v>37307.360000000022</v>
      </c>
      <c r="H42" s="8">
        <v>21929.072</v>
      </c>
      <c r="I42" s="8">
        <v>2783.7649999999994</v>
      </c>
      <c r="J42" s="8">
        <v>22251.985000000001</v>
      </c>
      <c r="K42" s="8">
        <v>7499.98</v>
      </c>
      <c r="L42" s="8">
        <v>2751.9049999999997</v>
      </c>
      <c r="M42" s="8">
        <v>10480.469999999999</v>
      </c>
      <c r="N42" s="8">
        <v>10297.779999999999</v>
      </c>
      <c r="O42" s="8">
        <v>6497.4300000000012</v>
      </c>
      <c r="P42" s="8">
        <v>6166.625</v>
      </c>
      <c r="Q42" s="8">
        <v>3873.02</v>
      </c>
      <c r="R42" s="8">
        <v>4045.93</v>
      </c>
      <c r="S42" s="8">
        <v>197430.64600000004</v>
      </c>
      <c r="T42"/>
      <c r="U42"/>
      <c r="V42"/>
      <c r="W42"/>
    </row>
    <row r="43" spans="1:23" x14ac:dyDescent="0.25">
      <c r="A43" s="3" t="s">
        <v>38</v>
      </c>
      <c r="B43" s="8">
        <v>27872.523999999998</v>
      </c>
      <c r="C43" s="8">
        <v>13648.630000000001</v>
      </c>
      <c r="D43" s="8">
        <v>5422.5400000000009</v>
      </c>
      <c r="E43" s="8">
        <v>21980.959999999992</v>
      </c>
      <c r="F43" s="8">
        <v>7955.300000000002</v>
      </c>
      <c r="G43" s="8">
        <v>46461.79000000003</v>
      </c>
      <c r="H43" s="8">
        <v>24583.171999999999</v>
      </c>
      <c r="I43" s="8">
        <v>3621.7499999999995</v>
      </c>
      <c r="J43" s="8">
        <v>28234.200000000008</v>
      </c>
      <c r="K43" s="8">
        <v>9919.5500000000011</v>
      </c>
      <c r="L43" s="8">
        <v>3589.8899999999994</v>
      </c>
      <c r="M43" s="8">
        <v>14403.739999999996</v>
      </c>
      <c r="N43" s="8">
        <v>15594.949999999999</v>
      </c>
      <c r="O43" s="8">
        <v>8184.9400000000014</v>
      </c>
      <c r="P43" s="8">
        <v>7811.6999999999989</v>
      </c>
      <c r="Q43" s="8">
        <v>6880.9800000000005</v>
      </c>
      <c r="R43" s="8">
        <v>4836.9900000000007</v>
      </c>
      <c r="S43" s="8">
        <v>251003.606</v>
      </c>
      <c r="T43"/>
      <c r="U43"/>
      <c r="V43"/>
      <c r="W43"/>
    </row>
    <row r="44" spans="1:23" x14ac:dyDescent="0.25">
      <c r="A44" s="3" t="s">
        <v>39</v>
      </c>
      <c r="B44" s="8">
        <v>37066.814000000013</v>
      </c>
      <c r="C44" s="8">
        <v>13648.630000000001</v>
      </c>
      <c r="D44" s="8">
        <v>5422.5400000000009</v>
      </c>
      <c r="E44" s="8">
        <v>21980.959999999992</v>
      </c>
      <c r="F44" s="8">
        <v>7955.300000000002</v>
      </c>
      <c r="G44" s="8">
        <v>46461.79000000003</v>
      </c>
      <c r="H44" s="8">
        <v>28614.972000000002</v>
      </c>
      <c r="I44" s="8">
        <v>3621.7499999999995</v>
      </c>
      <c r="J44" s="8">
        <v>28234.200000000008</v>
      </c>
      <c r="K44" s="8">
        <v>9919.5500000000011</v>
      </c>
      <c r="L44" s="8">
        <v>3589.8899999999994</v>
      </c>
      <c r="M44" s="8">
        <v>14403.739999999996</v>
      </c>
      <c r="N44" s="8">
        <v>15594.949999999999</v>
      </c>
      <c r="O44" s="8">
        <v>8184.9400000000014</v>
      </c>
      <c r="P44" s="8">
        <v>7811.6999999999989</v>
      </c>
      <c r="Q44" s="8">
        <v>6880.9800000000005</v>
      </c>
      <c r="R44" s="8">
        <v>5797.7800000000016</v>
      </c>
      <c r="S44" s="8">
        <v>265190.48600000009</v>
      </c>
      <c r="T44"/>
      <c r="U44"/>
      <c r="V44"/>
      <c r="W44"/>
    </row>
    <row r="45" spans="1:23" x14ac:dyDescent="0.25">
      <c r="A45" s="3" t="s">
        <v>40</v>
      </c>
      <c r="B45" s="8">
        <v>37797.51400000001</v>
      </c>
      <c r="C45" s="8">
        <v>13648.630000000001</v>
      </c>
      <c r="D45" s="8">
        <v>5422.5400000000009</v>
      </c>
      <c r="E45" s="8">
        <v>21980.959999999992</v>
      </c>
      <c r="F45" s="8">
        <v>7955.300000000002</v>
      </c>
      <c r="G45" s="8">
        <v>46661.36000000003</v>
      </c>
      <c r="H45" s="8">
        <v>29238.982</v>
      </c>
      <c r="I45" s="8">
        <v>3621.7499999999995</v>
      </c>
      <c r="J45" s="8">
        <v>28234.200000000008</v>
      </c>
      <c r="K45" s="8">
        <v>9919.5500000000011</v>
      </c>
      <c r="L45" s="8">
        <v>3589.8899999999994</v>
      </c>
      <c r="M45" s="8">
        <v>14740.069999999994</v>
      </c>
      <c r="N45" s="8">
        <v>15594.949999999999</v>
      </c>
      <c r="O45" s="8">
        <v>8184.9400000000014</v>
      </c>
      <c r="P45" s="8">
        <v>7811.6999999999989</v>
      </c>
      <c r="Q45" s="8">
        <v>6880.9800000000005</v>
      </c>
      <c r="R45" s="8">
        <v>5797.7800000000016</v>
      </c>
      <c r="S45" s="8">
        <v>267081.09600000008</v>
      </c>
      <c r="T45"/>
      <c r="U45"/>
      <c r="V45"/>
      <c r="W45"/>
    </row>
    <row r="46" spans="1:23" x14ac:dyDescent="0.25">
      <c r="A46" s="3" t="s">
        <v>41</v>
      </c>
      <c r="B46" s="8">
        <v>38009.044000000016</v>
      </c>
      <c r="C46" s="8">
        <v>13648.630000000001</v>
      </c>
      <c r="D46" s="8">
        <v>5915.71</v>
      </c>
      <c r="E46" s="8">
        <v>22772.939999999991</v>
      </c>
      <c r="F46" s="8">
        <v>8185.7200000000021</v>
      </c>
      <c r="G46" s="8">
        <v>48570.020000000019</v>
      </c>
      <c r="H46" s="8">
        <v>29608.539999999997</v>
      </c>
      <c r="I46" s="8">
        <v>3753.7799999999993</v>
      </c>
      <c r="J46" s="8">
        <v>29269.400000000005</v>
      </c>
      <c r="K46" s="8">
        <v>10543.180000000002</v>
      </c>
      <c r="L46" s="8">
        <v>3740.4499999999994</v>
      </c>
      <c r="M46" s="8">
        <v>15151.169999999996</v>
      </c>
      <c r="N46" s="8">
        <v>16100.41</v>
      </c>
      <c r="O46" s="8">
        <v>8362.880000000001</v>
      </c>
      <c r="P46" s="8">
        <v>8096.58</v>
      </c>
      <c r="Q46" s="8">
        <v>7259.53</v>
      </c>
      <c r="R46" s="8">
        <v>5932.5800000000017</v>
      </c>
      <c r="S46" s="8">
        <v>274920.56400000001</v>
      </c>
      <c r="T46"/>
      <c r="U46"/>
      <c r="V46"/>
      <c r="W46"/>
    </row>
    <row r="47" spans="1:23" x14ac:dyDescent="0.25">
      <c r="A47" s="3" t="s">
        <v>42</v>
      </c>
      <c r="B47" s="8">
        <v>38009.044000000016</v>
      </c>
      <c r="C47" s="8">
        <v>30082.59</v>
      </c>
      <c r="D47" s="8">
        <v>5915.71</v>
      </c>
      <c r="E47" s="8">
        <v>22772.939999999991</v>
      </c>
      <c r="F47" s="8">
        <v>8185.7200000000021</v>
      </c>
      <c r="G47" s="8">
        <v>48570.020000000019</v>
      </c>
      <c r="H47" s="8">
        <v>29608.539999999997</v>
      </c>
      <c r="I47" s="8">
        <v>3753.7799999999993</v>
      </c>
      <c r="J47" s="8">
        <v>29269.400000000005</v>
      </c>
      <c r="K47" s="8">
        <v>10543.180000000002</v>
      </c>
      <c r="L47" s="8">
        <v>3740.4499999999994</v>
      </c>
      <c r="M47" s="8">
        <v>15151.169999999996</v>
      </c>
      <c r="N47" s="8">
        <v>16100.41</v>
      </c>
      <c r="O47" s="8">
        <v>8362.880000000001</v>
      </c>
      <c r="P47" s="8">
        <v>8096.58</v>
      </c>
      <c r="Q47" s="8">
        <v>7259.53</v>
      </c>
      <c r="R47" s="8">
        <v>5932.5800000000017</v>
      </c>
      <c r="S47" s="8">
        <v>291354.52400000009</v>
      </c>
      <c r="T47"/>
      <c r="U47"/>
      <c r="V47"/>
      <c r="W47"/>
    </row>
    <row r="48" spans="1:23" x14ac:dyDescent="0.25">
      <c r="A48" s="3" t="s">
        <v>43</v>
      </c>
      <c r="B48" s="8">
        <v>38009.044000000016</v>
      </c>
      <c r="C48" s="8">
        <v>30082.59</v>
      </c>
      <c r="D48" s="8">
        <v>5915.71</v>
      </c>
      <c r="E48" s="8">
        <v>22772.939999999991</v>
      </c>
      <c r="F48" s="8">
        <v>8185.7200000000021</v>
      </c>
      <c r="G48" s="8">
        <v>48570.020000000019</v>
      </c>
      <c r="H48" s="8">
        <v>29608.539999999997</v>
      </c>
      <c r="I48" s="8">
        <v>3753.7799999999993</v>
      </c>
      <c r="J48" s="8">
        <v>29269.400000000005</v>
      </c>
      <c r="K48" s="8">
        <v>10543.180000000002</v>
      </c>
      <c r="L48" s="8">
        <v>3740.4499999999994</v>
      </c>
      <c r="M48" s="8">
        <v>15151.169999999996</v>
      </c>
      <c r="N48" s="8">
        <v>16100.41</v>
      </c>
      <c r="O48" s="8">
        <v>8362.880000000001</v>
      </c>
      <c r="P48" s="8">
        <v>8096.58</v>
      </c>
      <c r="Q48" s="8">
        <v>7259.53</v>
      </c>
      <c r="R48" s="8">
        <v>5932.5800000000017</v>
      </c>
      <c r="S48" s="8">
        <v>291354.52400000009</v>
      </c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1796-C94F-4B14-A2C2-AD57319010BB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6" customWidth="1"/>
    <col min="3" max="10" width="10.7109375" style="109" customWidth="1"/>
    <col min="11" max="11" width="14.5703125" style="109" customWidth="1"/>
    <col min="12" max="12" width="13.7109375" style="132" customWidth="1"/>
    <col min="13" max="13" width="12.7109375" style="132" customWidth="1"/>
    <col min="14" max="14" width="10.7109375" style="132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1" t="s">
        <v>690</v>
      </c>
      <c r="E3" s="151"/>
      <c r="F3" s="151"/>
      <c r="G3" s="151"/>
      <c r="H3" s="151"/>
      <c r="I3" s="151"/>
      <c r="J3" s="151"/>
      <c r="K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2" t="s">
        <v>145</v>
      </c>
      <c r="E4" s="153" t="s">
        <v>12</v>
      </c>
      <c r="F4" s="153" t="s">
        <v>26</v>
      </c>
      <c r="G4" s="153" t="s">
        <v>27</v>
      </c>
      <c r="H4" s="153" t="s">
        <v>11</v>
      </c>
      <c r="I4" s="153" t="s">
        <v>51</v>
      </c>
      <c r="J4" s="154" t="s">
        <v>28</v>
      </c>
      <c r="K4" s="122"/>
      <c r="L4" s="123"/>
      <c r="M4" s="124" t="s">
        <v>149</v>
      </c>
      <c r="N4" s="125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6" t="s">
        <v>11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8">
        <v>0</v>
      </c>
      <c r="J5" s="128">
        <v>0</v>
      </c>
      <c r="K5" s="117"/>
      <c r="L5" s="127">
        <f>-B14</f>
        <v>-2.7</v>
      </c>
      <c r="M5" s="128">
        <f>(F7+G7/2+H7)*$B$9</f>
        <v>0</v>
      </c>
      <c r="N5" s="128">
        <f t="shared" ref="N5:N33" si="0">M5/$B$7</f>
        <v>0</v>
      </c>
      <c r="O5" s="117"/>
      <c r="P5" s="129" t="str">
        <f t="shared" ref="P5:R33" ca="1" si="1">_xlfn.FORMULATEXT(L5)</f>
        <v>=-B14</v>
      </c>
      <c r="Q5" s="129" t="str">
        <f t="shared" ca="1" si="1"/>
        <v>=(F7+G7/2+H7)*$B$9</v>
      </c>
      <c r="R5" s="129" t="str">
        <f t="shared" ca="1" si="1"/>
        <v>=M5/$B$7</v>
      </c>
    </row>
    <row r="6" spans="1:18" x14ac:dyDescent="0.25">
      <c r="A6" s="109" t="s">
        <v>152</v>
      </c>
      <c r="B6" s="126" t="s">
        <v>11</v>
      </c>
      <c r="D6" s="127">
        <v>-0.46</v>
      </c>
      <c r="E6" s="128">
        <v>0</v>
      </c>
      <c r="F6" s="128">
        <v>0</v>
      </c>
      <c r="G6" s="128">
        <v>0</v>
      </c>
      <c r="H6" s="128">
        <v>0</v>
      </c>
      <c r="I6" s="128">
        <v>0</v>
      </c>
      <c r="J6" s="128">
        <v>0</v>
      </c>
      <c r="K6" s="117"/>
      <c r="L6" s="127">
        <f t="shared" ref="L6:L18" si="2">L$5+D8</f>
        <v>-2.6700000000000004</v>
      </c>
      <c r="M6" s="128">
        <f t="shared" ref="M6:M19" si="3">(F8+G8/2+H8+$B$18)*$B$9</f>
        <v>41919.000500000009</v>
      </c>
      <c r="N6" s="128">
        <f t="shared" si="0"/>
        <v>300.80837360831555</v>
      </c>
      <c r="O6" s="117"/>
      <c r="P6" s="129" t="str">
        <f t="shared" ca="1" si="1"/>
        <v>=L$5+D8</v>
      </c>
      <c r="Q6" s="129" t="str">
        <f t="shared" ca="1" si="1"/>
        <v>=(F8+G8/2+H8+$B$18)*$B$9</v>
      </c>
      <c r="R6" s="129" t="str">
        <f t="shared" ca="1" si="1"/>
        <v>=M6/$B$7</v>
      </c>
    </row>
    <row r="7" spans="1:18" x14ac:dyDescent="0.25">
      <c r="A7" s="109" t="s">
        <v>153</v>
      </c>
      <c r="B7" s="130">
        <v>139.3545</v>
      </c>
      <c r="D7" s="127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0</v>
      </c>
      <c r="K7" s="117"/>
      <c r="L7" s="127">
        <f t="shared" si="2"/>
        <v>-2.6500000000000004</v>
      </c>
      <c r="M7" s="128">
        <f t="shared" si="3"/>
        <v>51412.895500000028</v>
      </c>
      <c r="N7" s="128">
        <f t="shared" si="0"/>
        <v>368.93602646487932</v>
      </c>
      <c r="O7" s="117"/>
      <c r="P7" s="129" t="str">
        <f t="shared" ca="1" si="1"/>
        <v>=L$5+D9</v>
      </c>
      <c r="Q7" s="129" t="str">
        <f t="shared" ca="1" si="1"/>
        <v>=(F9+G9/2+H9+$B$18)*$B$9</v>
      </c>
      <c r="R7" s="129" t="str">
        <f t="shared" ca="1" si="1"/>
        <v>=M7/$B$7</v>
      </c>
    </row>
    <row r="8" spans="1:18" x14ac:dyDescent="0.25">
      <c r="A8" s="109" t="s">
        <v>154</v>
      </c>
      <c r="B8" s="126" t="s">
        <v>155</v>
      </c>
      <c r="D8" s="127">
        <v>0.03</v>
      </c>
      <c r="E8" s="128">
        <v>25344.679999999986</v>
      </c>
      <c r="F8" s="128">
        <v>0</v>
      </c>
      <c r="G8" s="128">
        <v>4269.09</v>
      </c>
      <c r="H8" s="128">
        <v>22904.26500000001</v>
      </c>
      <c r="I8" s="128">
        <v>28019.150000000012</v>
      </c>
      <c r="J8" s="128">
        <v>80537.185000000012</v>
      </c>
      <c r="K8" s="117"/>
      <c r="L8" s="127">
        <f t="shared" si="2"/>
        <v>-2.6</v>
      </c>
      <c r="M8" s="128">
        <f t="shared" si="3"/>
        <v>53167.33550000003</v>
      </c>
      <c r="N8" s="128">
        <f t="shared" si="0"/>
        <v>381.52578854647703</v>
      </c>
      <c r="O8" s="117"/>
      <c r="P8" s="129" t="str">
        <f t="shared" ca="1" si="1"/>
        <v>=L$5+D10</v>
      </c>
      <c r="Q8" s="129" t="str">
        <f t="shared" ca="1" si="1"/>
        <v>=(F10+G10/2+H10+$B$18)*$B$9</v>
      </c>
      <c r="R8" s="129" t="str">
        <f t="shared" ca="1" si="1"/>
        <v>=M8/$B$7</v>
      </c>
    </row>
    <row r="9" spans="1:18" x14ac:dyDescent="0.25">
      <c r="A9" s="109" t="s">
        <v>156</v>
      </c>
      <c r="B9" s="126">
        <v>1</v>
      </c>
      <c r="D9" s="127">
        <v>0.05</v>
      </c>
      <c r="E9" s="128">
        <v>39960.279999999984</v>
      </c>
      <c r="F9" s="128">
        <v>0</v>
      </c>
      <c r="G9" s="128">
        <v>5950.32</v>
      </c>
      <c r="H9" s="128">
        <v>31557.545000000027</v>
      </c>
      <c r="I9" s="128">
        <v>40778.62999999999</v>
      </c>
      <c r="J9" s="128">
        <v>118246.77500000001</v>
      </c>
      <c r="K9" s="117"/>
      <c r="L9" s="127">
        <f t="shared" si="2"/>
        <v>-2.5500000000000003</v>
      </c>
      <c r="M9" s="128">
        <f t="shared" si="3"/>
        <v>63274.715500000035</v>
      </c>
      <c r="N9" s="128">
        <f t="shared" si="0"/>
        <v>454.05577501982378</v>
      </c>
      <c r="O9" s="117"/>
      <c r="P9" s="129" t="str">
        <f t="shared" ca="1" si="1"/>
        <v>=L$5+D11</v>
      </c>
      <c r="Q9" s="129" t="str">
        <f t="shared" ca="1" si="1"/>
        <v>=(F11+G11/2+H11+$B$18)*$B$9</v>
      </c>
      <c r="R9" s="129" t="str">
        <f t="shared" ca="1" si="1"/>
        <v>=M9/$B$7</v>
      </c>
    </row>
    <row r="10" spans="1:18" x14ac:dyDescent="0.25">
      <c r="A10" s="109" t="s">
        <v>157</v>
      </c>
      <c r="B10" s="131" t="b">
        <f>(J21-I21+B17+B18)*B9=M33</f>
        <v>1</v>
      </c>
      <c r="D10" s="127">
        <v>0.1</v>
      </c>
      <c r="E10" s="128">
        <v>44434.639999999992</v>
      </c>
      <c r="F10" s="128">
        <v>1754.44</v>
      </c>
      <c r="G10" s="128">
        <v>5950.32</v>
      </c>
      <c r="H10" s="128">
        <v>31557.545000000027</v>
      </c>
      <c r="I10" s="128">
        <v>40778.62999999999</v>
      </c>
      <c r="J10" s="128">
        <v>124475.57500000001</v>
      </c>
      <c r="K10" s="117"/>
      <c r="L10" s="127">
        <f t="shared" si="2"/>
        <v>-2.4000000000000004</v>
      </c>
      <c r="M10" s="128">
        <f t="shared" si="3"/>
        <v>67573.790500000017</v>
      </c>
      <c r="N10" s="128">
        <f t="shared" si="0"/>
        <v>484.90569375226505</v>
      </c>
      <c r="O10" s="117"/>
      <c r="P10" s="129" t="str">
        <f t="shared" ca="1" si="1"/>
        <v>=L$5+D12</v>
      </c>
      <c r="Q10" s="129" t="str">
        <f t="shared" ca="1" si="1"/>
        <v>=(F12+G12/2+H12+$B$18)*$B$9</v>
      </c>
      <c r="R10" s="129" t="str">
        <f t="shared" ca="1" si="1"/>
        <v>=M10/$B$7</v>
      </c>
    </row>
    <row r="11" spans="1:18" x14ac:dyDescent="0.25">
      <c r="D11" s="127">
        <v>0.15</v>
      </c>
      <c r="E11" s="128">
        <v>47562.389999999992</v>
      </c>
      <c r="F11" s="128">
        <v>11861.820000000002</v>
      </c>
      <c r="G11" s="128">
        <v>5950.32</v>
      </c>
      <c r="H11" s="128">
        <v>31557.545000000027</v>
      </c>
      <c r="I11" s="128">
        <v>40818.35</v>
      </c>
      <c r="J11" s="128">
        <v>137750.42500000002</v>
      </c>
      <c r="K11" s="117"/>
      <c r="L11" s="127">
        <f t="shared" si="2"/>
        <v>-2.2400000000000002</v>
      </c>
      <c r="M11" s="128">
        <f t="shared" si="3"/>
        <v>76693.532500000016</v>
      </c>
      <c r="N11" s="128">
        <f t="shared" si="0"/>
        <v>550.34844587006535</v>
      </c>
      <c r="O11" s="117"/>
      <c r="P11" s="129" t="str">
        <f t="shared" ca="1" si="1"/>
        <v>=L$5+D13</v>
      </c>
      <c r="Q11" s="129" t="str">
        <f t="shared" ca="1" si="1"/>
        <v>=(F13+G13/2+H13+$B$18)*$B$9</v>
      </c>
      <c r="R11" s="129" t="str">
        <f t="shared" ca="1" si="1"/>
        <v>=M11/$B$7</v>
      </c>
    </row>
    <row r="12" spans="1:18" x14ac:dyDescent="0.25">
      <c r="A12" s="109" t="s">
        <v>158</v>
      </c>
      <c r="B12" s="126">
        <v>8</v>
      </c>
      <c r="D12" s="127">
        <v>0.3</v>
      </c>
      <c r="E12" s="128">
        <v>52482.579999999994</v>
      </c>
      <c r="F12" s="128">
        <v>11861.820000000002</v>
      </c>
      <c r="G12" s="128">
        <v>5950.32</v>
      </c>
      <c r="H12" s="128">
        <v>35856.62000000001</v>
      </c>
      <c r="I12" s="128">
        <v>46122.820000000014</v>
      </c>
      <c r="J12" s="128">
        <v>152274.16000000003</v>
      </c>
      <c r="K12" s="117"/>
      <c r="L12" s="127">
        <f t="shared" si="2"/>
        <v>-2.0900000000000003</v>
      </c>
      <c r="M12" s="128">
        <f t="shared" si="3"/>
        <v>78921.137500000012</v>
      </c>
      <c r="N12" s="128">
        <f t="shared" si="0"/>
        <v>566.33361319512471</v>
      </c>
      <c r="O12" s="117"/>
      <c r="P12" s="129" t="str">
        <f t="shared" ca="1" si="1"/>
        <v>=L$5+D14</v>
      </c>
      <c r="Q12" s="129" t="str">
        <f t="shared" ca="1" si="1"/>
        <v>=(F14+G14/2+H14+$B$18)*$B$9</v>
      </c>
      <c r="R12" s="129" t="str">
        <f t="shared" ca="1" si="1"/>
        <v>=M12/$B$7</v>
      </c>
    </row>
    <row r="13" spans="1:18" x14ac:dyDescent="0.25">
      <c r="A13" s="109" t="s">
        <v>159</v>
      </c>
      <c r="B13" s="126" t="s">
        <v>160</v>
      </c>
      <c r="D13" s="127">
        <v>0.46</v>
      </c>
      <c r="E13" s="128">
        <v>53443.231999999982</v>
      </c>
      <c r="F13" s="128">
        <v>11861.820000000002</v>
      </c>
      <c r="G13" s="128">
        <v>22671.563999999995</v>
      </c>
      <c r="H13" s="128">
        <v>36615.74000000002</v>
      </c>
      <c r="I13" s="128">
        <v>46882.210000000014</v>
      </c>
      <c r="J13" s="128">
        <v>171474.56600000002</v>
      </c>
      <c r="K13" s="117"/>
      <c r="L13" s="127">
        <f t="shared" si="2"/>
        <v>-1.9400000000000002</v>
      </c>
      <c r="M13" s="128">
        <f t="shared" si="3"/>
        <v>81242.272500000021</v>
      </c>
      <c r="N13" s="128">
        <f t="shared" si="0"/>
        <v>582.98994650334237</v>
      </c>
      <c r="O13" s="117"/>
      <c r="P13" s="129" t="str">
        <f t="shared" ca="1" si="1"/>
        <v>=L$5+D15</v>
      </c>
      <c r="Q13" s="129" t="str">
        <f t="shared" ca="1" si="1"/>
        <v>=(F15+G15/2+H15+$B$18)*$B$9</v>
      </c>
      <c r="R13" s="129" t="str">
        <f t="shared" ca="1" si="1"/>
        <v>=M13/$B$7</v>
      </c>
    </row>
    <row r="14" spans="1:18" x14ac:dyDescent="0.25">
      <c r="A14" s="109" t="s">
        <v>161</v>
      </c>
      <c r="B14" s="126">
        <v>2.7</v>
      </c>
      <c r="D14" s="127">
        <v>0.61</v>
      </c>
      <c r="E14" s="128">
        <v>54173.061999999976</v>
      </c>
      <c r="F14" s="128">
        <v>11861.820000000002</v>
      </c>
      <c r="G14" s="128">
        <v>23458.433999999994</v>
      </c>
      <c r="H14" s="128">
        <v>38449.910000000018</v>
      </c>
      <c r="I14" s="128">
        <v>54628.080000000009</v>
      </c>
      <c r="J14" s="128">
        <v>182571.30600000001</v>
      </c>
      <c r="K14" s="117"/>
      <c r="L14" s="127">
        <f t="shared" si="2"/>
        <v>-1.79</v>
      </c>
      <c r="M14" s="128">
        <f t="shared" si="3"/>
        <v>97771.702500000014</v>
      </c>
      <c r="N14" s="128">
        <f t="shared" si="0"/>
        <v>701.60420007965308</v>
      </c>
      <c r="O14" s="117"/>
      <c r="P14" s="129" t="str">
        <f t="shared" ca="1" si="1"/>
        <v>=L$5+D16</v>
      </c>
      <c r="Q14" s="129" t="str">
        <f t="shared" ca="1" si="1"/>
        <v>=(F16+G16/2+H16+$B$18)*$B$9</v>
      </c>
      <c r="R14" s="129" t="str">
        <f t="shared" ca="1" si="1"/>
        <v>=M14/$B$7</v>
      </c>
    </row>
    <row r="15" spans="1:18" x14ac:dyDescent="0.25">
      <c r="D15" s="127">
        <v>0.76</v>
      </c>
      <c r="E15" s="128">
        <v>64114.931999999993</v>
      </c>
      <c r="F15" s="128">
        <v>11861.820000000002</v>
      </c>
      <c r="G15" s="128">
        <v>25091.843999999997</v>
      </c>
      <c r="H15" s="128">
        <v>39954.340000000026</v>
      </c>
      <c r="I15" s="128">
        <v>56407.71</v>
      </c>
      <c r="J15" s="128">
        <v>197430.64600000001</v>
      </c>
      <c r="K15" s="117"/>
      <c r="L15" s="127">
        <f t="shared" si="2"/>
        <v>-1.6800000000000002</v>
      </c>
      <c r="M15" s="128">
        <f t="shared" si="3"/>
        <v>102368.84750000002</v>
      </c>
      <c r="N15" s="128">
        <f t="shared" si="0"/>
        <v>734.59305225163178</v>
      </c>
      <c r="O15" s="117"/>
      <c r="P15" s="129" t="str">
        <f t="shared" ca="1" si="1"/>
        <v>=L$5+D17</v>
      </c>
      <c r="Q15" s="129" t="str">
        <f t="shared" ca="1" si="1"/>
        <v>=(F17+G17/2+H17+$B$18)*$B$9</v>
      </c>
      <c r="R15" s="129" t="str">
        <f t="shared" ca="1" si="1"/>
        <v>=M15/$B$7</v>
      </c>
    </row>
    <row r="16" spans="1:18" x14ac:dyDescent="0.25">
      <c r="A16" s="115" t="s">
        <v>162</v>
      </c>
      <c r="D16" s="127">
        <v>0.91</v>
      </c>
      <c r="E16" s="128">
        <v>79299.962000000043</v>
      </c>
      <c r="F16" s="128">
        <v>13648.630000000001</v>
      </c>
      <c r="G16" s="128">
        <v>27872.523999999998</v>
      </c>
      <c r="H16" s="128">
        <v>53306.620000000017</v>
      </c>
      <c r="I16" s="128">
        <v>76875.87</v>
      </c>
      <c r="J16" s="128">
        <v>251003.60600000006</v>
      </c>
      <c r="K16" s="117"/>
      <c r="L16" s="127">
        <f t="shared" si="2"/>
        <v>-1.4800000000000002</v>
      </c>
      <c r="M16" s="128">
        <f t="shared" si="3"/>
        <v>102916.63750000003</v>
      </c>
      <c r="N16" s="128">
        <f t="shared" si="0"/>
        <v>738.52396226888993</v>
      </c>
      <c r="O16" s="117"/>
      <c r="P16" s="129" t="str">
        <f t="shared" ca="1" si="1"/>
        <v>=L$5+D18</v>
      </c>
      <c r="Q16" s="129" t="str">
        <f t="shared" ca="1" si="1"/>
        <v>=(F18+G18/2+H18+$B$18)*$B$9</v>
      </c>
      <c r="R16" s="129" t="str">
        <f t="shared" ca="1" si="1"/>
        <v>=M16/$B$7</v>
      </c>
    </row>
    <row r="17" spans="1:18" x14ac:dyDescent="0.25">
      <c r="A17" s="109" t="s">
        <v>163</v>
      </c>
      <c r="B17" s="131">
        <v>21648.520499999999</v>
      </c>
      <c r="D17" s="127">
        <v>1.02</v>
      </c>
      <c r="E17" s="128">
        <v>83331.762000000061</v>
      </c>
      <c r="F17" s="128">
        <v>13648.630000000001</v>
      </c>
      <c r="G17" s="128">
        <v>37066.814000000013</v>
      </c>
      <c r="H17" s="128">
        <v>53306.620000000017</v>
      </c>
      <c r="I17" s="128">
        <v>77836.66</v>
      </c>
      <c r="J17" s="128">
        <v>265190.48600000009</v>
      </c>
      <c r="K17" s="117"/>
      <c r="L17" s="127">
        <f t="shared" si="2"/>
        <v>-1.1800000000000002</v>
      </c>
      <c r="M17" s="128">
        <f t="shared" si="3"/>
        <v>105100.02250000002</v>
      </c>
      <c r="N17" s="128">
        <f t="shared" si="0"/>
        <v>754.19180937824058</v>
      </c>
      <c r="O17" s="117"/>
      <c r="P17" s="129" t="str">
        <f t="shared" ca="1" si="1"/>
        <v>=L$5+D19</v>
      </c>
      <c r="Q17" s="129" t="str">
        <f t="shared" ca="1" si="1"/>
        <v>=(F19+G19/2+H19+$B$18)*$B$9</v>
      </c>
      <c r="R17" s="129" t="str">
        <f t="shared" ca="1" si="1"/>
        <v>=M17/$B$7</v>
      </c>
    </row>
    <row r="18" spans="1:18" x14ac:dyDescent="0.25">
      <c r="A18" s="109" t="s">
        <v>164</v>
      </c>
      <c r="B18" s="131">
        <v>16880.190500000001</v>
      </c>
      <c r="D18" s="127">
        <v>1.22</v>
      </c>
      <c r="E18" s="128">
        <v>83955.772000000055</v>
      </c>
      <c r="F18" s="128">
        <v>13648.630000000001</v>
      </c>
      <c r="G18" s="128">
        <v>37797.51400000001</v>
      </c>
      <c r="H18" s="128">
        <v>53489.060000000019</v>
      </c>
      <c r="I18" s="128">
        <v>78190.12</v>
      </c>
      <c r="J18" s="128">
        <v>267081.09600000014</v>
      </c>
      <c r="K18" s="117"/>
      <c r="L18" s="127">
        <f t="shared" si="2"/>
        <v>-0.87000000000000011</v>
      </c>
      <c r="M18" s="128">
        <f t="shared" si="3"/>
        <v>121533.98250000001</v>
      </c>
      <c r="N18" s="128">
        <f t="shared" si="0"/>
        <v>872.12097564126032</v>
      </c>
      <c r="O18" s="117"/>
      <c r="P18" s="129" t="str">
        <f t="shared" ca="1" si="1"/>
        <v>=L$5+D20</v>
      </c>
      <c r="Q18" s="129" t="str">
        <f t="shared" ca="1" si="1"/>
        <v>=(F20+G20/2+H20+$B$18)*$B$9</v>
      </c>
      <c r="R18" s="129" t="str">
        <f t="shared" ca="1" si="1"/>
        <v>=M18/$B$7</v>
      </c>
    </row>
    <row r="19" spans="1:18" x14ac:dyDescent="0.25">
      <c r="A19" s="109" t="s">
        <v>165</v>
      </c>
      <c r="B19" s="131">
        <v>19586.250499999998</v>
      </c>
      <c r="D19" s="127">
        <v>1.52</v>
      </c>
      <c r="E19" s="128">
        <v>86727.260000000038</v>
      </c>
      <c r="F19" s="128">
        <v>13648.630000000001</v>
      </c>
      <c r="G19" s="128">
        <v>38009.044000000016</v>
      </c>
      <c r="H19" s="128">
        <v>55566.680000000008</v>
      </c>
      <c r="I19" s="128">
        <v>80968.95</v>
      </c>
      <c r="J19" s="128">
        <v>274920.56400000007</v>
      </c>
      <c r="K19" s="117"/>
      <c r="L19" s="127">
        <f t="shared" ref="L19:L33" si="4">D7</f>
        <v>0</v>
      </c>
      <c r="M19" s="128">
        <f t="shared" si="3"/>
        <v>121533.98250000001</v>
      </c>
      <c r="N19" s="128">
        <f t="shared" si="0"/>
        <v>872.12097564126032</v>
      </c>
      <c r="O19" s="109" t="s">
        <v>166</v>
      </c>
      <c r="P19" s="129" t="str">
        <f t="shared" ca="1" si="1"/>
        <v>=D7</v>
      </c>
      <c r="Q19" s="129" t="str">
        <f t="shared" ca="1" si="1"/>
        <v>=(F21+G21/2+H21+$B$18)*$B$9</v>
      </c>
      <c r="R19" s="129" t="str">
        <f t="shared" ca="1" si="1"/>
        <v>=M19/$B$7</v>
      </c>
    </row>
    <row r="20" spans="1:18" x14ac:dyDescent="0.25">
      <c r="D20" s="127">
        <v>1.83</v>
      </c>
      <c r="E20" s="128">
        <v>86727.260000000038</v>
      </c>
      <c r="F20" s="128">
        <v>30082.59</v>
      </c>
      <c r="G20" s="128">
        <v>38009.044000000016</v>
      </c>
      <c r="H20" s="128">
        <v>55566.680000000008</v>
      </c>
      <c r="I20" s="128">
        <v>80968.95</v>
      </c>
      <c r="J20" s="128">
        <v>291354.52400000009</v>
      </c>
      <c r="K20" s="117"/>
      <c r="L20" s="127">
        <f t="shared" si="4"/>
        <v>0.03</v>
      </c>
      <c r="M20" s="128">
        <f t="shared" ref="M20:M33" si="5">M$19+(E8+G8/2+$B$17)*$B$9</f>
        <v>170661.728</v>
      </c>
      <c r="N20" s="128">
        <f t="shared" si="0"/>
        <v>1224.6588951199997</v>
      </c>
      <c r="O20" s="117"/>
      <c r="P20" s="129" t="str">
        <f t="shared" ca="1" si="1"/>
        <v>=D8</v>
      </c>
      <c r="Q20" s="129" t="str">
        <f t="shared" ca="1" si="1"/>
        <v>=M$19+(E8+G8/2+$B$17)*$B$9</v>
      </c>
      <c r="R20" s="129" t="str">
        <f t="shared" ca="1" si="1"/>
        <v>=M20/$B$7</v>
      </c>
    </row>
    <row r="21" spans="1:18" x14ac:dyDescent="0.25">
      <c r="D21" s="127">
        <v>2.7</v>
      </c>
      <c r="E21" s="128">
        <v>86727.260000000038</v>
      </c>
      <c r="F21" s="128">
        <v>30082.59</v>
      </c>
      <c r="G21" s="128">
        <v>38009.044000000016</v>
      </c>
      <c r="H21" s="128">
        <v>55566.680000000008</v>
      </c>
      <c r="I21" s="128">
        <v>80968.95</v>
      </c>
      <c r="J21" s="128">
        <v>291354.52400000009</v>
      </c>
      <c r="K21" s="117"/>
      <c r="L21" s="127">
        <f t="shared" si="4"/>
        <v>0.05</v>
      </c>
      <c r="M21" s="128">
        <f t="shared" si="5"/>
        <v>186117.943</v>
      </c>
      <c r="N21" s="128">
        <f t="shared" si="0"/>
        <v>1335.5718186352074</v>
      </c>
      <c r="O21" s="117"/>
      <c r="P21" s="129" t="str">
        <f t="shared" ca="1" si="1"/>
        <v>=D9</v>
      </c>
      <c r="Q21" s="129" t="str">
        <f t="shared" ca="1" si="1"/>
        <v>=M$19+(E9+G9/2+$B$17)*$B$9</v>
      </c>
      <c r="R21" s="129" t="str">
        <f t="shared" ca="1" si="1"/>
        <v>=M21/$B$7</v>
      </c>
    </row>
    <row r="22" spans="1:18" x14ac:dyDescent="0.25">
      <c r="L22" s="127">
        <f t="shared" si="4"/>
        <v>0.1</v>
      </c>
      <c r="M22" s="128">
        <f t="shared" si="5"/>
        <v>190592.30300000001</v>
      </c>
      <c r="N22" s="128">
        <f t="shared" si="0"/>
        <v>1367.6795726008131</v>
      </c>
      <c r="O22" s="117"/>
      <c r="P22" s="129" t="str">
        <f t="shared" ca="1" si="1"/>
        <v>=D10</v>
      </c>
      <c r="Q22" s="129" t="str">
        <f t="shared" ca="1" si="1"/>
        <v>=M$19+(E10+G10/2+$B$17)*$B$9</v>
      </c>
      <c r="R22" s="129" t="str">
        <f t="shared" ca="1" si="1"/>
        <v>=M22/$B$7</v>
      </c>
    </row>
    <row r="23" spans="1:18" x14ac:dyDescent="0.25">
      <c r="L23" s="127">
        <f t="shared" si="4"/>
        <v>0.15</v>
      </c>
      <c r="M23" s="128">
        <f t="shared" si="5"/>
        <v>193720.05300000001</v>
      </c>
      <c r="N23" s="128">
        <f t="shared" si="0"/>
        <v>1390.1241294683703</v>
      </c>
      <c r="O23" s="117"/>
      <c r="P23" s="129" t="str">
        <f t="shared" ca="1" si="1"/>
        <v>=D11</v>
      </c>
      <c r="Q23" s="129" t="str">
        <f t="shared" ca="1" si="1"/>
        <v>=M$19+(E11+G11/2+$B$17)*$B$9</v>
      </c>
      <c r="R23" s="129" t="str">
        <f t="shared" ca="1" si="1"/>
        <v>=M23/$B$7</v>
      </c>
    </row>
    <row r="24" spans="1:18" x14ac:dyDescent="0.25">
      <c r="L24" s="127">
        <f t="shared" si="4"/>
        <v>0.3</v>
      </c>
      <c r="M24" s="128">
        <f t="shared" si="5"/>
        <v>198640.24300000002</v>
      </c>
      <c r="N24" s="128">
        <f t="shared" si="0"/>
        <v>1425.4311342654885</v>
      </c>
      <c r="O24" s="117"/>
      <c r="P24" s="129" t="str">
        <f t="shared" ca="1" si="1"/>
        <v>=D12</v>
      </c>
      <c r="Q24" s="129" t="str">
        <f t="shared" ca="1" si="1"/>
        <v>=M$19+(E12+G12/2+$B$17)*$B$9</v>
      </c>
      <c r="R24" s="129" t="str">
        <f t="shared" ca="1" si="1"/>
        <v>=M24/$B$7</v>
      </c>
    </row>
    <row r="25" spans="1:18" x14ac:dyDescent="0.25">
      <c r="L25" s="127">
        <f t="shared" si="4"/>
        <v>0.46</v>
      </c>
      <c r="M25" s="128">
        <f t="shared" si="5"/>
        <v>207961.51699999999</v>
      </c>
      <c r="N25" s="128">
        <f t="shared" si="0"/>
        <v>1492.3200686020184</v>
      </c>
      <c r="O25" s="117"/>
      <c r="P25" s="129" t="str">
        <f t="shared" ca="1" si="1"/>
        <v>=D13</v>
      </c>
      <c r="Q25" s="129" t="str">
        <f t="shared" ca="1" si="1"/>
        <v>=M$19+(E13+G13/2+$B$17)*$B$9</v>
      </c>
      <c r="R25" s="129" t="str">
        <f t="shared" ca="1" si="1"/>
        <v>=M25/$B$7</v>
      </c>
    </row>
    <row r="26" spans="1:18" x14ac:dyDescent="0.25">
      <c r="L26" s="127">
        <f t="shared" si="4"/>
        <v>0.61</v>
      </c>
      <c r="M26" s="128">
        <f t="shared" si="5"/>
        <v>209084.78200000001</v>
      </c>
      <c r="N26" s="128">
        <f t="shared" si="0"/>
        <v>1500.3805546286628</v>
      </c>
      <c r="O26" s="117"/>
      <c r="P26" s="129" t="str">
        <f t="shared" ca="1" si="1"/>
        <v>=D14</v>
      </c>
      <c r="Q26" s="129" t="str">
        <f t="shared" ca="1" si="1"/>
        <v>=M$19+(E14+G14/2+$B$17)*$B$9</v>
      </c>
      <c r="R26" s="129" t="str">
        <f t="shared" ca="1" si="1"/>
        <v>=M26/$B$7</v>
      </c>
    </row>
    <row r="27" spans="1:18" x14ac:dyDescent="0.25">
      <c r="L27" s="127">
        <f t="shared" si="4"/>
        <v>0.76</v>
      </c>
      <c r="M27" s="128">
        <f t="shared" si="5"/>
        <v>219843.35700000002</v>
      </c>
      <c r="N27" s="128">
        <f t="shared" si="0"/>
        <v>1577.5834795431795</v>
      </c>
      <c r="O27" s="117"/>
      <c r="P27" s="129" t="str">
        <f t="shared" ca="1" si="1"/>
        <v>=D15</v>
      </c>
      <c r="Q27" s="129" t="str">
        <f t="shared" ca="1" si="1"/>
        <v>=M$19+(E15+G15/2+$B$17)*$B$9</v>
      </c>
      <c r="R27" s="129" t="str">
        <f t="shared" ca="1" si="1"/>
        <v>=M27/$B$7</v>
      </c>
    </row>
    <row r="28" spans="1:18" x14ac:dyDescent="0.25">
      <c r="L28" s="127">
        <f t="shared" si="4"/>
        <v>0.91</v>
      </c>
      <c r="M28" s="128">
        <f t="shared" si="5"/>
        <v>236418.72700000007</v>
      </c>
      <c r="N28" s="128">
        <f t="shared" si="0"/>
        <v>1696.5273959577917</v>
      </c>
      <c r="O28" s="117"/>
      <c r="P28" s="129" t="str">
        <f t="shared" ca="1" si="1"/>
        <v>=D16</v>
      </c>
      <c r="Q28" s="129" t="str">
        <f t="shared" ca="1" si="1"/>
        <v>=M$19+(E16+G16/2+$B$17)*$B$9</v>
      </c>
      <c r="R28" s="129" t="str">
        <f t="shared" ca="1" si="1"/>
        <v>=M28/$B$7</v>
      </c>
    </row>
    <row r="29" spans="1:18" x14ac:dyDescent="0.25">
      <c r="L29" s="127">
        <f t="shared" si="4"/>
        <v>1.02</v>
      </c>
      <c r="M29" s="128">
        <f t="shared" si="5"/>
        <v>245047.67200000008</v>
      </c>
      <c r="N29" s="128">
        <f t="shared" si="0"/>
        <v>1758.4482165986751</v>
      </c>
      <c r="O29" s="117"/>
      <c r="P29" s="129" t="str">
        <f t="shared" ca="1" si="1"/>
        <v>=D17</v>
      </c>
      <c r="Q29" s="129" t="str">
        <f t="shared" ca="1" si="1"/>
        <v>=M$19+(E17+G17/2+$B$17)*$B$9</v>
      </c>
      <c r="R29" s="129" t="str">
        <f t="shared" ca="1" si="1"/>
        <v>=M29/$B$7</v>
      </c>
    </row>
    <row r="30" spans="1:18" x14ac:dyDescent="0.25">
      <c r="L30" s="127">
        <f t="shared" si="4"/>
        <v>1.22</v>
      </c>
      <c r="M30" s="128">
        <f t="shared" si="5"/>
        <v>246037.03200000006</v>
      </c>
      <c r="N30" s="128">
        <f t="shared" si="0"/>
        <v>1765.5478079287002</v>
      </c>
      <c r="O30" s="117"/>
      <c r="P30" s="129" t="str">
        <f t="shared" ca="1" si="1"/>
        <v>=D18</v>
      </c>
      <c r="Q30" s="129" t="str">
        <f t="shared" ca="1" si="1"/>
        <v>=M$19+(E18+G18/2+$B$17)*$B$9</v>
      </c>
      <c r="R30" s="129" t="str">
        <f t="shared" ca="1" si="1"/>
        <v>=M30/$B$7</v>
      </c>
    </row>
    <row r="31" spans="1:18" x14ac:dyDescent="0.25">
      <c r="L31" s="127">
        <f t="shared" si="4"/>
        <v>1.52</v>
      </c>
      <c r="M31" s="128">
        <f t="shared" si="5"/>
        <v>248914.28500000006</v>
      </c>
      <c r="N31" s="128">
        <f t="shared" si="0"/>
        <v>1786.19481251054</v>
      </c>
      <c r="O31" s="117"/>
      <c r="P31" s="129" t="str">
        <f t="shared" ca="1" si="1"/>
        <v>=D19</v>
      </c>
      <c r="Q31" s="129" t="str">
        <f t="shared" ca="1" si="1"/>
        <v>=M$19+(E19+G19/2+$B$17)*$B$9</v>
      </c>
      <c r="R31" s="129" t="str">
        <f t="shared" ca="1" si="1"/>
        <v>=M31/$B$7</v>
      </c>
    </row>
    <row r="32" spans="1:18" x14ac:dyDescent="0.25">
      <c r="L32" s="127">
        <f t="shared" si="4"/>
        <v>1.83</v>
      </c>
      <c r="M32" s="128">
        <f t="shared" si="5"/>
        <v>248914.28500000006</v>
      </c>
      <c r="N32" s="128">
        <f t="shared" si="0"/>
        <v>1786.19481251054</v>
      </c>
      <c r="O32" s="117"/>
      <c r="P32" s="129" t="str">
        <f t="shared" ca="1" si="1"/>
        <v>=D20</v>
      </c>
      <c r="Q32" s="129" t="str">
        <f t="shared" ca="1" si="1"/>
        <v>=M$19+(E20+G20/2+$B$17)*$B$9</v>
      </c>
      <c r="R32" s="129" t="str">
        <f t="shared" ca="1" si="1"/>
        <v>=M32/$B$7</v>
      </c>
    </row>
    <row r="33" spans="12:18" x14ac:dyDescent="0.25">
      <c r="L33" s="127">
        <f t="shared" si="4"/>
        <v>2.7</v>
      </c>
      <c r="M33" s="128">
        <f t="shared" si="5"/>
        <v>248914.28500000006</v>
      </c>
      <c r="N33" s="128">
        <f t="shared" si="0"/>
        <v>1786.19481251054</v>
      </c>
      <c r="O33" s="117"/>
      <c r="P33" s="129" t="str">
        <f t="shared" ca="1" si="1"/>
        <v>=D21</v>
      </c>
      <c r="Q33" s="129" t="str">
        <f t="shared" ca="1" si="1"/>
        <v>=M$19+(E21+G21/2+$B$17)*$B$9</v>
      </c>
      <c r="R33" s="129" t="str">
        <f t="shared" ca="1" si="1"/>
        <v>=M33/$B$7</v>
      </c>
    </row>
  </sheetData>
  <mergeCells count="7">
    <mergeCell ref="A1:I2"/>
    <mergeCell ref="K1:L1"/>
    <mergeCell ref="M1:N1"/>
    <mergeCell ref="L2:N2"/>
    <mergeCell ref="D3:J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AE7B2104-8E6B-4880-BF19-B358264EED21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W21"/>
  <sheetViews>
    <sheetView workbookViewId="0">
      <selection activeCell="D3" sqref="D3:V21"/>
    </sheetView>
  </sheetViews>
  <sheetFormatPr defaultRowHeight="15" x14ac:dyDescent="0.25"/>
  <cols>
    <col min="3" max="22" width="10.7109375" customWidth="1"/>
  </cols>
  <sheetData>
    <row r="3" spans="4:23" x14ac:dyDescent="0.25">
      <c r="D3" s="155" t="s">
        <v>691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8"/>
    </row>
    <row r="4" spans="4:23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281</v>
      </c>
      <c r="P4" s="158" t="s">
        <v>290</v>
      </c>
      <c r="Q4" s="158" t="s">
        <v>264</v>
      </c>
      <c r="R4" s="158" t="s">
        <v>293</v>
      </c>
      <c r="S4" s="158" t="s">
        <v>279</v>
      </c>
      <c r="T4" s="158" t="s">
        <v>262</v>
      </c>
      <c r="U4" s="158" t="s">
        <v>283</v>
      </c>
      <c r="V4" s="158" t="s">
        <v>28</v>
      </c>
      <c r="W4" s="8"/>
    </row>
    <row r="5" spans="4:23" x14ac:dyDescent="0.25">
      <c r="D5" s="143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159">
        <v>0</v>
      </c>
      <c r="S5" s="159">
        <v>0</v>
      </c>
      <c r="T5" s="159">
        <v>0</v>
      </c>
      <c r="U5" s="159">
        <v>0</v>
      </c>
      <c r="V5" s="159">
        <v>0</v>
      </c>
      <c r="W5" s="8"/>
    </row>
    <row r="6" spans="4:23" x14ac:dyDescent="0.25">
      <c r="D6" s="143">
        <v>-0.46</v>
      </c>
      <c r="E6" s="159">
        <v>0</v>
      </c>
      <c r="F6" s="159">
        <v>0</v>
      </c>
      <c r="G6" s="159">
        <v>0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159">
        <v>0</v>
      </c>
      <c r="S6" s="159">
        <v>0</v>
      </c>
      <c r="T6" s="159">
        <v>0</v>
      </c>
      <c r="U6" s="159">
        <v>0</v>
      </c>
      <c r="V6" s="159">
        <v>0</v>
      </c>
      <c r="W6" s="8"/>
    </row>
    <row r="7" spans="4:23" x14ac:dyDescent="0.25">
      <c r="D7" s="143">
        <v>0</v>
      </c>
      <c r="E7" s="159">
        <v>0</v>
      </c>
      <c r="F7" s="159">
        <v>0</v>
      </c>
      <c r="G7" s="159">
        <v>0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159">
        <v>0</v>
      </c>
      <c r="S7" s="159">
        <v>0</v>
      </c>
      <c r="T7" s="159">
        <v>0</v>
      </c>
      <c r="U7" s="159">
        <v>0</v>
      </c>
      <c r="V7" s="159">
        <v>0</v>
      </c>
      <c r="W7" s="8"/>
    </row>
    <row r="8" spans="4:23" x14ac:dyDescent="0.25">
      <c r="D8" s="143">
        <v>0.03</v>
      </c>
      <c r="E8" s="159">
        <v>4269.09</v>
      </c>
      <c r="F8" s="159">
        <v>0</v>
      </c>
      <c r="G8" s="159">
        <v>0</v>
      </c>
      <c r="H8" s="159">
        <v>3402.6700000000005</v>
      </c>
      <c r="I8" s="159">
        <v>3436.2950000000005</v>
      </c>
      <c r="J8" s="159">
        <v>22677.340000000007</v>
      </c>
      <c r="K8" s="159">
        <v>2920.3800000000006</v>
      </c>
      <c r="L8" s="159">
        <v>1927.8925000000002</v>
      </c>
      <c r="M8" s="159">
        <v>16397.717499999999</v>
      </c>
      <c r="N8" s="159">
        <v>5059.4349999999995</v>
      </c>
      <c r="O8" s="159">
        <v>1927.8925000000002</v>
      </c>
      <c r="P8" s="159">
        <v>6604.2400000000007</v>
      </c>
      <c r="Q8" s="159">
        <v>2617.0800000000004</v>
      </c>
      <c r="R8" s="159">
        <v>1781.8899999999999</v>
      </c>
      <c r="S8" s="159">
        <v>4613.5074999999997</v>
      </c>
      <c r="T8" s="159">
        <v>1119.865</v>
      </c>
      <c r="U8" s="159">
        <v>1781.8899999999999</v>
      </c>
      <c r="V8" s="159">
        <v>80537.184999999998</v>
      </c>
      <c r="W8" s="8"/>
    </row>
    <row r="9" spans="4:23" x14ac:dyDescent="0.25">
      <c r="D9" s="143">
        <v>0.05</v>
      </c>
      <c r="E9" s="159">
        <v>5950.32</v>
      </c>
      <c r="F9" s="159">
        <v>0</v>
      </c>
      <c r="G9" s="159">
        <v>435.21</v>
      </c>
      <c r="H9" s="159">
        <v>6427.170000000001</v>
      </c>
      <c r="I9" s="159">
        <v>4945.9550000000008</v>
      </c>
      <c r="J9" s="159">
        <v>32598.650000000023</v>
      </c>
      <c r="K9" s="159">
        <v>11771.640000000001</v>
      </c>
      <c r="L9" s="159">
        <v>2301.0725000000002</v>
      </c>
      <c r="M9" s="159">
        <v>18751.2775</v>
      </c>
      <c r="N9" s="159">
        <v>6194.6749999999993</v>
      </c>
      <c r="O9" s="159">
        <v>2301.0725000000002</v>
      </c>
      <c r="P9" s="159">
        <v>9075.7099999999991</v>
      </c>
      <c r="Q9" s="159">
        <v>4500.97</v>
      </c>
      <c r="R9" s="159">
        <v>2556.85</v>
      </c>
      <c r="S9" s="159">
        <v>5248.5474999999988</v>
      </c>
      <c r="T9" s="159">
        <v>2632.1150000000002</v>
      </c>
      <c r="U9" s="159">
        <v>2555.5400000000004</v>
      </c>
      <c r="V9" s="159">
        <v>118246.77500000004</v>
      </c>
      <c r="W9" s="8"/>
    </row>
    <row r="10" spans="4:23" x14ac:dyDescent="0.25">
      <c r="D10" s="143">
        <v>0.1</v>
      </c>
      <c r="E10" s="159">
        <v>5950.32</v>
      </c>
      <c r="F10" s="159">
        <v>1754.44</v>
      </c>
      <c r="G10" s="159">
        <v>4909.5700000000006</v>
      </c>
      <c r="H10" s="159">
        <v>6427.170000000001</v>
      </c>
      <c r="I10" s="159">
        <v>4945.9550000000008</v>
      </c>
      <c r="J10" s="159">
        <v>32598.650000000023</v>
      </c>
      <c r="K10" s="159">
        <v>11771.640000000001</v>
      </c>
      <c r="L10" s="159">
        <v>2301.0725000000002</v>
      </c>
      <c r="M10" s="159">
        <v>18751.2775</v>
      </c>
      <c r="N10" s="159">
        <v>6194.6749999999993</v>
      </c>
      <c r="O10" s="159">
        <v>2301.0725000000002</v>
      </c>
      <c r="P10" s="159">
        <v>9075.7099999999991</v>
      </c>
      <c r="Q10" s="159">
        <v>4500.97</v>
      </c>
      <c r="R10" s="159">
        <v>2556.85</v>
      </c>
      <c r="S10" s="159">
        <v>5248.5474999999988</v>
      </c>
      <c r="T10" s="159">
        <v>2632.1150000000002</v>
      </c>
      <c r="U10" s="159">
        <v>2555.5400000000004</v>
      </c>
      <c r="V10" s="159">
        <v>124475.57500000003</v>
      </c>
      <c r="W10" s="8"/>
    </row>
    <row r="11" spans="4:23" x14ac:dyDescent="0.25">
      <c r="D11" s="143">
        <v>0.15</v>
      </c>
      <c r="E11" s="159">
        <v>5950.32</v>
      </c>
      <c r="F11" s="159">
        <v>11861.820000000002</v>
      </c>
      <c r="G11" s="159">
        <v>4909.5700000000006</v>
      </c>
      <c r="H11" s="159">
        <v>6427.170000000001</v>
      </c>
      <c r="I11" s="159">
        <v>4945.9550000000008</v>
      </c>
      <c r="J11" s="159">
        <v>32598.650000000023</v>
      </c>
      <c r="K11" s="159">
        <v>14899.39</v>
      </c>
      <c r="L11" s="159">
        <v>2301.0725000000002</v>
      </c>
      <c r="M11" s="159">
        <v>18751.2775</v>
      </c>
      <c r="N11" s="159">
        <v>6194.6749999999993</v>
      </c>
      <c r="O11" s="159">
        <v>2301.0725000000002</v>
      </c>
      <c r="P11" s="159">
        <v>9075.7099999999991</v>
      </c>
      <c r="Q11" s="159">
        <v>4500.97</v>
      </c>
      <c r="R11" s="159">
        <v>2556.85</v>
      </c>
      <c r="S11" s="159">
        <v>5248.5474999999988</v>
      </c>
      <c r="T11" s="159">
        <v>2632.1150000000002</v>
      </c>
      <c r="U11" s="159">
        <v>2595.2599999999998</v>
      </c>
      <c r="V11" s="159">
        <v>137750.42499999999</v>
      </c>
      <c r="W11" s="8"/>
    </row>
    <row r="12" spans="4:23" x14ac:dyDescent="0.25">
      <c r="D12" s="143">
        <v>0.3</v>
      </c>
      <c r="E12" s="159">
        <v>5950.32</v>
      </c>
      <c r="F12" s="159">
        <v>11861.820000000002</v>
      </c>
      <c r="G12" s="159">
        <v>4909.5700000000006</v>
      </c>
      <c r="H12" s="159">
        <v>6919.58</v>
      </c>
      <c r="I12" s="159">
        <v>5642.33</v>
      </c>
      <c r="J12" s="159">
        <v>36638.580000000016</v>
      </c>
      <c r="K12" s="159">
        <v>15477.91</v>
      </c>
      <c r="L12" s="159">
        <v>2720.0649999999996</v>
      </c>
      <c r="M12" s="159">
        <v>21742.385000000002</v>
      </c>
      <c r="N12" s="159">
        <v>7404.4600000000009</v>
      </c>
      <c r="O12" s="159">
        <v>2720.0649999999996</v>
      </c>
      <c r="P12" s="159">
        <v>10384.949999999999</v>
      </c>
      <c r="Q12" s="159">
        <v>5067.1100000000006</v>
      </c>
      <c r="R12" s="159">
        <v>2923.6000000000008</v>
      </c>
      <c r="S12" s="159">
        <v>6071.0849999999991</v>
      </c>
      <c r="T12" s="159">
        <v>2878.32</v>
      </c>
      <c r="U12" s="159">
        <v>2962.0100000000007</v>
      </c>
      <c r="V12" s="159">
        <v>152274.16000000003</v>
      </c>
      <c r="W12" s="8"/>
    </row>
    <row r="13" spans="4:23" x14ac:dyDescent="0.25">
      <c r="D13" s="143">
        <v>0.46</v>
      </c>
      <c r="E13" s="159">
        <v>22671.563999999995</v>
      </c>
      <c r="F13" s="159">
        <v>11861.820000000002</v>
      </c>
      <c r="G13" s="159">
        <v>5044.510000000002</v>
      </c>
      <c r="H13" s="159">
        <v>7036.5400000000009</v>
      </c>
      <c r="I13" s="159">
        <v>5833.4100000000008</v>
      </c>
      <c r="J13" s="159">
        <v>37307.360000000022</v>
      </c>
      <c r="K13" s="159">
        <v>15735.581999999999</v>
      </c>
      <c r="L13" s="159">
        <v>2783.7649999999994</v>
      </c>
      <c r="M13" s="159">
        <v>22251.985000000001</v>
      </c>
      <c r="N13" s="159">
        <v>7499.98</v>
      </c>
      <c r="O13" s="159">
        <v>2751.9049999999997</v>
      </c>
      <c r="P13" s="159">
        <v>10480.469999999999</v>
      </c>
      <c r="Q13" s="159">
        <v>5152.2300000000005</v>
      </c>
      <c r="R13" s="159">
        <v>2955.44</v>
      </c>
      <c r="S13" s="159">
        <v>6166.625</v>
      </c>
      <c r="T13" s="159">
        <v>2936.8</v>
      </c>
      <c r="U13" s="159">
        <v>3004.5800000000004</v>
      </c>
      <c r="V13" s="159">
        <v>171474.56600000002</v>
      </c>
      <c r="W13" s="8"/>
    </row>
    <row r="14" spans="4:23" x14ac:dyDescent="0.25">
      <c r="D14" s="143">
        <v>0.61</v>
      </c>
      <c r="E14" s="159">
        <v>23458.433999999994</v>
      </c>
      <c r="F14" s="159">
        <v>11861.820000000002</v>
      </c>
      <c r="G14" s="159">
        <v>5044.510000000002</v>
      </c>
      <c r="H14" s="159">
        <v>10704.88</v>
      </c>
      <c r="I14" s="159">
        <v>5833.4100000000008</v>
      </c>
      <c r="J14" s="159">
        <v>37307.360000000022</v>
      </c>
      <c r="K14" s="159">
        <v>15735.581999999999</v>
      </c>
      <c r="L14" s="159">
        <v>2783.7649999999994</v>
      </c>
      <c r="M14" s="159">
        <v>22251.985000000001</v>
      </c>
      <c r="N14" s="159">
        <v>7499.98</v>
      </c>
      <c r="O14" s="159">
        <v>2751.9049999999997</v>
      </c>
      <c r="P14" s="159">
        <v>10480.469999999999</v>
      </c>
      <c r="Q14" s="159">
        <v>10022.579999999998</v>
      </c>
      <c r="R14" s="159">
        <v>2955.44</v>
      </c>
      <c r="S14" s="159">
        <v>6166.625</v>
      </c>
      <c r="T14" s="159">
        <v>3666.63</v>
      </c>
      <c r="U14" s="159">
        <v>4045.93</v>
      </c>
      <c r="V14" s="159">
        <v>182571.30600000001</v>
      </c>
      <c r="W14" s="8"/>
    </row>
    <row r="15" spans="4:23" x14ac:dyDescent="0.25">
      <c r="D15" s="143">
        <v>0.76</v>
      </c>
      <c r="E15" s="159">
        <v>25091.843999999997</v>
      </c>
      <c r="F15" s="159">
        <v>11861.820000000002</v>
      </c>
      <c r="G15" s="159">
        <v>5044.510000000002</v>
      </c>
      <c r="H15" s="159">
        <v>13713.740000000003</v>
      </c>
      <c r="I15" s="159">
        <v>5833.4100000000008</v>
      </c>
      <c r="J15" s="159">
        <v>37307.360000000022</v>
      </c>
      <c r="K15" s="159">
        <v>21929.072</v>
      </c>
      <c r="L15" s="159">
        <v>2783.7649999999994</v>
      </c>
      <c r="M15" s="159">
        <v>22251.985000000001</v>
      </c>
      <c r="N15" s="159">
        <v>7499.98</v>
      </c>
      <c r="O15" s="159">
        <v>2751.9049999999997</v>
      </c>
      <c r="P15" s="159">
        <v>10480.469999999999</v>
      </c>
      <c r="Q15" s="159">
        <v>10297.779999999999</v>
      </c>
      <c r="R15" s="159">
        <v>6497.4300000000012</v>
      </c>
      <c r="S15" s="159">
        <v>6166.625</v>
      </c>
      <c r="T15" s="159">
        <v>3873.02</v>
      </c>
      <c r="U15" s="159">
        <v>4045.93</v>
      </c>
      <c r="V15" s="159">
        <v>197430.64600000004</v>
      </c>
      <c r="W15" s="8"/>
    </row>
    <row r="16" spans="4:23" x14ac:dyDescent="0.25">
      <c r="D16" s="143">
        <v>0.91</v>
      </c>
      <c r="E16" s="159">
        <v>27872.523999999998</v>
      </c>
      <c r="F16" s="159">
        <v>13648.630000000001</v>
      </c>
      <c r="G16" s="159">
        <v>5422.5400000000009</v>
      </c>
      <c r="H16" s="159">
        <v>21980.959999999992</v>
      </c>
      <c r="I16" s="159">
        <v>7955.300000000002</v>
      </c>
      <c r="J16" s="159">
        <v>46461.79000000003</v>
      </c>
      <c r="K16" s="159">
        <v>24583.171999999999</v>
      </c>
      <c r="L16" s="159">
        <v>3621.7499999999995</v>
      </c>
      <c r="M16" s="159">
        <v>28234.200000000008</v>
      </c>
      <c r="N16" s="159">
        <v>9919.5500000000011</v>
      </c>
      <c r="O16" s="159">
        <v>3589.8899999999994</v>
      </c>
      <c r="P16" s="159">
        <v>14403.739999999996</v>
      </c>
      <c r="Q16" s="159">
        <v>15594.949999999999</v>
      </c>
      <c r="R16" s="159">
        <v>8184.9400000000014</v>
      </c>
      <c r="S16" s="159">
        <v>7811.6999999999989</v>
      </c>
      <c r="T16" s="159">
        <v>6880.9800000000005</v>
      </c>
      <c r="U16" s="159">
        <v>4836.9900000000007</v>
      </c>
      <c r="V16" s="159">
        <v>251003.606</v>
      </c>
      <c r="W16" s="8"/>
    </row>
    <row r="17" spans="4:23" x14ac:dyDescent="0.25">
      <c r="D17" s="143">
        <v>1.02</v>
      </c>
      <c r="E17" s="159">
        <v>37066.814000000013</v>
      </c>
      <c r="F17" s="159">
        <v>13648.630000000001</v>
      </c>
      <c r="G17" s="159">
        <v>5422.5400000000009</v>
      </c>
      <c r="H17" s="159">
        <v>21980.959999999992</v>
      </c>
      <c r="I17" s="159">
        <v>7955.300000000002</v>
      </c>
      <c r="J17" s="159">
        <v>46461.79000000003</v>
      </c>
      <c r="K17" s="159">
        <v>28614.972000000002</v>
      </c>
      <c r="L17" s="159">
        <v>3621.7499999999995</v>
      </c>
      <c r="M17" s="159">
        <v>28234.200000000008</v>
      </c>
      <c r="N17" s="159">
        <v>9919.5500000000011</v>
      </c>
      <c r="O17" s="159">
        <v>3589.8899999999994</v>
      </c>
      <c r="P17" s="159">
        <v>14403.739999999996</v>
      </c>
      <c r="Q17" s="159">
        <v>15594.949999999999</v>
      </c>
      <c r="R17" s="159">
        <v>8184.9400000000014</v>
      </c>
      <c r="S17" s="159">
        <v>7811.6999999999989</v>
      </c>
      <c r="T17" s="159">
        <v>6880.9800000000005</v>
      </c>
      <c r="U17" s="159">
        <v>5797.7800000000016</v>
      </c>
      <c r="V17" s="159">
        <v>265190.48600000009</v>
      </c>
      <c r="W17" s="8"/>
    </row>
    <row r="18" spans="4:23" x14ac:dyDescent="0.25">
      <c r="D18" s="143">
        <v>1.22</v>
      </c>
      <c r="E18" s="159">
        <v>37797.51400000001</v>
      </c>
      <c r="F18" s="159">
        <v>13648.630000000001</v>
      </c>
      <c r="G18" s="159">
        <v>5422.5400000000009</v>
      </c>
      <c r="H18" s="159">
        <v>21980.959999999992</v>
      </c>
      <c r="I18" s="159">
        <v>7955.300000000002</v>
      </c>
      <c r="J18" s="159">
        <v>46661.36000000003</v>
      </c>
      <c r="K18" s="159">
        <v>29238.982</v>
      </c>
      <c r="L18" s="159">
        <v>3621.7499999999995</v>
      </c>
      <c r="M18" s="159">
        <v>28234.200000000008</v>
      </c>
      <c r="N18" s="159">
        <v>9919.5500000000011</v>
      </c>
      <c r="O18" s="159">
        <v>3589.8899999999994</v>
      </c>
      <c r="P18" s="159">
        <v>14740.069999999994</v>
      </c>
      <c r="Q18" s="159">
        <v>15594.949999999999</v>
      </c>
      <c r="R18" s="159">
        <v>8184.9400000000014</v>
      </c>
      <c r="S18" s="159">
        <v>7811.6999999999989</v>
      </c>
      <c r="T18" s="159">
        <v>6880.9800000000005</v>
      </c>
      <c r="U18" s="159">
        <v>5797.7800000000016</v>
      </c>
      <c r="V18" s="159">
        <v>267081.09600000008</v>
      </c>
      <c r="W18" s="8"/>
    </row>
    <row r="19" spans="4:23" x14ac:dyDescent="0.25">
      <c r="D19" s="143">
        <v>1.52</v>
      </c>
      <c r="E19" s="159">
        <v>38009.044000000016</v>
      </c>
      <c r="F19" s="159">
        <v>13648.630000000001</v>
      </c>
      <c r="G19" s="159">
        <v>5915.71</v>
      </c>
      <c r="H19" s="159">
        <v>22772.939999999991</v>
      </c>
      <c r="I19" s="159">
        <v>8185.7200000000021</v>
      </c>
      <c r="J19" s="159">
        <v>48570.020000000019</v>
      </c>
      <c r="K19" s="159">
        <v>29608.539999999997</v>
      </c>
      <c r="L19" s="159">
        <v>3753.7799999999993</v>
      </c>
      <c r="M19" s="159">
        <v>29269.400000000005</v>
      </c>
      <c r="N19" s="159">
        <v>10543.180000000002</v>
      </c>
      <c r="O19" s="159">
        <v>3740.4499999999994</v>
      </c>
      <c r="P19" s="159">
        <v>15151.169999999996</v>
      </c>
      <c r="Q19" s="159">
        <v>16100.41</v>
      </c>
      <c r="R19" s="159">
        <v>8362.880000000001</v>
      </c>
      <c r="S19" s="159">
        <v>8096.58</v>
      </c>
      <c r="T19" s="159">
        <v>7259.53</v>
      </c>
      <c r="U19" s="159">
        <v>5932.5800000000017</v>
      </c>
      <c r="V19" s="159">
        <v>274920.56400000001</v>
      </c>
      <c r="W19" s="8"/>
    </row>
    <row r="20" spans="4:23" x14ac:dyDescent="0.25">
      <c r="D20" s="143">
        <v>1.83</v>
      </c>
      <c r="E20" s="159">
        <v>38009.044000000016</v>
      </c>
      <c r="F20" s="159">
        <v>30082.59</v>
      </c>
      <c r="G20" s="159">
        <v>5915.71</v>
      </c>
      <c r="H20" s="159">
        <v>22772.939999999991</v>
      </c>
      <c r="I20" s="159">
        <v>8185.7200000000021</v>
      </c>
      <c r="J20" s="159">
        <v>48570.020000000019</v>
      </c>
      <c r="K20" s="159">
        <v>29608.539999999997</v>
      </c>
      <c r="L20" s="159">
        <v>3753.7799999999993</v>
      </c>
      <c r="M20" s="159">
        <v>29269.400000000005</v>
      </c>
      <c r="N20" s="159">
        <v>10543.180000000002</v>
      </c>
      <c r="O20" s="159">
        <v>3740.4499999999994</v>
      </c>
      <c r="P20" s="159">
        <v>15151.169999999996</v>
      </c>
      <c r="Q20" s="159">
        <v>16100.41</v>
      </c>
      <c r="R20" s="159">
        <v>8362.880000000001</v>
      </c>
      <c r="S20" s="159">
        <v>8096.58</v>
      </c>
      <c r="T20" s="159">
        <v>7259.53</v>
      </c>
      <c r="U20" s="159">
        <v>5932.5800000000017</v>
      </c>
      <c r="V20" s="159">
        <v>291354.52400000009</v>
      </c>
      <c r="W20" s="8"/>
    </row>
    <row r="21" spans="4:23" x14ac:dyDescent="0.25">
      <c r="D21" s="143">
        <v>2.7</v>
      </c>
      <c r="E21" s="159">
        <v>38009.044000000016</v>
      </c>
      <c r="F21" s="159">
        <v>30082.59</v>
      </c>
      <c r="G21" s="159">
        <v>5915.71</v>
      </c>
      <c r="H21" s="159">
        <v>22772.939999999991</v>
      </c>
      <c r="I21" s="159">
        <v>8185.7200000000021</v>
      </c>
      <c r="J21" s="159">
        <v>48570.020000000019</v>
      </c>
      <c r="K21" s="159">
        <v>29608.539999999997</v>
      </c>
      <c r="L21" s="159">
        <v>3753.7799999999993</v>
      </c>
      <c r="M21" s="159">
        <v>29269.400000000005</v>
      </c>
      <c r="N21" s="159">
        <v>10543.180000000002</v>
      </c>
      <c r="O21" s="159">
        <v>3740.4499999999994</v>
      </c>
      <c r="P21" s="159">
        <v>15151.169999999996</v>
      </c>
      <c r="Q21" s="159">
        <v>16100.41</v>
      </c>
      <c r="R21" s="159">
        <v>8362.880000000001</v>
      </c>
      <c r="S21" s="159">
        <v>8096.58</v>
      </c>
      <c r="T21" s="159">
        <v>7259.53</v>
      </c>
      <c r="U21" s="159">
        <v>5932.5800000000017</v>
      </c>
      <c r="V21" s="159">
        <v>291354.52400000009</v>
      </c>
      <c r="W21" s="8"/>
    </row>
  </sheetData>
  <mergeCells count="1">
    <mergeCell ref="D3:V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697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294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647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3000</v>
      </c>
    </row>
    <row r="17" spans="1:2" x14ac:dyDescent="0.25">
      <c r="A17" s="33" t="s">
        <v>114</v>
      </c>
      <c r="B17" s="55">
        <v>278.70999999999998</v>
      </c>
    </row>
    <row r="18" spans="1:2" x14ac:dyDescent="0.25">
      <c r="A18" s="33" t="s">
        <v>115</v>
      </c>
      <c r="B18" s="55" t="s">
        <v>693</v>
      </c>
    </row>
    <row r="19" spans="1:2" x14ac:dyDescent="0.25">
      <c r="A19" s="33" t="s">
        <v>116</v>
      </c>
      <c r="B19" s="55" t="s">
        <v>694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695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300.80837360831555</v>
      </c>
    </row>
    <row r="28" spans="1:2" x14ac:dyDescent="0.25">
      <c r="A28" s="54">
        <v>-2.6500000000000004</v>
      </c>
      <c r="B28" s="53">
        <v>368.93602646487932</v>
      </c>
    </row>
    <row r="29" spans="1:2" x14ac:dyDescent="0.25">
      <c r="A29" s="54">
        <v>-2.6</v>
      </c>
      <c r="B29" s="53">
        <v>381.52578854647703</v>
      </c>
    </row>
    <row r="30" spans="1:2" x14ac:dyDescent="0.25">
      <c r="A30" s="54">
        <v>-2.5500000000000003</v>
      </c>
      <c r="B30" s="53">
        <v>454.05577501982378</v>
      </c>
    </row>
    <row r="31" spans="1:2" x14ac:dyDescent="0.25">
      <c r="A31" s="54">
        <v>-2.4000000000000004</v>
      </c>
      <c r="B31" s="53">
        <v>484.90569375226505</v>
      </c>
    </row>
    <row r="32" spans="1:2" x14ac:dyDescent="0.25">
      <c r="A32" s="54">
        <v>-2.2400000000000002</v>
      </c>
      <c r="B32" s="53">
        <v>550.34844587006535</v>
      </c>
    </row>
    <row r="33" spans="1:2" x14ac:dyDescent="0.25">
      <c r="A33" s="54">
        <v>-2.0900000000000003</v>
      </c>
      <c r="B33" s="53">
        <v>566.33361319512471</v>
      </c>
    </row>
    <row r="34" spans="1:2" x14ac:dyDescent="0.25">
      <c r="A34" s="54">
        <v>-1.9400000000000002</v>
      </c>
      <c r="B34" s="53">
        <v>582.98994650334237</v>
      </c>
    </row>
    <row r="35" spans="1:2" x14ac:dyDescent="0.25">
      <c r="A35" s="54">
        <v>-1.79</v>
      </c>
      <c r="B35" s="53">
        <v>701.60420007965308</v>
      </c>
    </row>
    <row r="36" spans="1:2" x14ac:dyDescent="0.25">
      <c r="A36" s="54">
        <v>-1.6800000000000002</v>
      </c>
      <c r="B36" s="53">
        <v>734.59305225163178</v>
      </c>
    </row>
    <row r="37" spans="1:2" x14ac:dyDescent="0.25">
      <c r="A37" s="54">
        <v>-1.4800000000000002</v>
      </c>
      <c r="B37" s="53">
        <v>738.52396226888993</v>
      </c>
    </row>
    <row r="38" spans="1:2" x14ac:dyDescent="0.25">
      <c r="A38" s="54">
        <v>-1.1800000000000002</v>
      </c>
      <c r="B38" s="53">
        <v>754.19180937824058</v>
      </c>
    </row>
    <row r="39" spans="1:2" x14ac:dyDescent="0.25">
      <c r="A39" s="54">
        <v>-0.87000000000000011</v>
      </c>
      <c r="B39" s="53">
        <v>872.12097564126032</v>
      </c>
    </row>
    <row r="40" spans="1:2" x14ac:dyDescent="0.25">
      <c r="A40" s="54">
        <v>0</v>
      </c>
      <c r="B40" s="53">
        <v>872.12097564126032</v>
      </c>
    </row>
    <row r="41" spans="1:2" x14ac:dyDescent="0.25">
      <c r="A41" s="54">
        <v>0.03</v>
      </c>
      <c r="B41" s="53">
        <v>1224.6588951199997</v>
      </c>
    </row>
    <row r="42" spans="1:2" x14ac:dyDescent="0.25">
      <c r="A42" s="54">
        <v>0.05</v>
      </c>
      <c r="B42" s="53">
        <v>1335.5718186352074</v>
      </c>
    </row>
    <row r="43" spans="1:2" x14ac:dyDescent="0.25">
      <c r="A43" s="54">
        <v>0.1</v>
      </c>
      <c r="B43" s="53">
        <v>1367.6795726008131</v>
      </c>
    </row>
    <row r="44" spans="1:2" x14ac:dyDescent="0.25">
      <c r="A44" s="54">
        <v>0.15</v>
      </c>
      <c r="B44" s="53">
        <v>1390.1241294683703</v>
      </c>
    </row>
    <row r="45" spans="1:2" x14ac:dyDescent="0.25">
      <c r="A45" s="54">
        <v>0.3</v>
      </c>
      <c r="B45" s="53">
        <v>1425.4311342654885</v>
      </c>
    </row>
    <row r="46" spans="1:2" x14ac:dyDescent="0.25">
      <c r="A46" s="54">
        <v>0.46</v>
      </c>
      <c r="B46" s="53">
        <v>1492.3200686020184</v>
      </c>
    </row>
    <row r="47" spans="1:2" x14ac:dyDescent="0.25">
      <c r="A47" s="54">
        <v>0.61</v>
      </c>
      <c r="B47" s="53">
        <v>1500.3805546286628</v>
      </c>
    </row>
    <row r="48" spans="1:2" x14ac:dyDescent="0.25">
      <c r="A48" s="54">
        <v>0.76</v>
      </c>
      <c r="B48" s="53">
        <v>1577.5834795431795</v>
      </c>
    </row>
    <row r="49" spans="1:2" x14ac:dyDescent="0.25">
      <c r="A49" s="54">
        <v>0.91</v>
      </c>
      <c r="B49" s="53">
        <v>1696.5273959577917</v>
      </c>
    </row>
    <row r="50" spans="1:2" x14ac:dyDescent="0.25">
      <c r="A50" s="54">
        <v>1.02</v>
      </c>
      <c r="B50" s="53">
        <v>1758.4482165986751</v>
      </c>
    </row>
    <row r="51" spans="1:2" x14ac:dyDescent="0.25">
      <c r="A51" s="54">
        <v>1.22</v>
      </c>
      <c r="B51" s="53">
        <v>1765.5478079287002</v>
      </c>
    </row>
    <row r="52" spans="1:2" x14ac:dyDescent="0.25">
      <c r="A52" s="54">
        <v>1.52</v>
      </c>
      <c r="B52" s="53">
        <v>1786.19481251054</v>
      </c>
    </row>
    <row r="53" spans="1:2" x14ac:dyDescent="0.25">
      <c r="A53" s="54">
        <v>1.83</v>
      </c>
      <c r="B53" s="53">
        <v>1786.19481251054</v>
      </c>
    </row>
    <row r="54" spans="1:2" x14ac:dyDescent="0.25">
      <c r="A54" s="77">
        <v>2.7</v>
      </c>
      <c r="B54" s="72">
        <v>1786.19481251054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Props1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R_2-L-BD-ST_info</vt:lpstr>
      <vt:lpstr>R_2-L-BD-ST_NBFR_struct</vt:lpstr>
      <vt:lpstr>R_2-L-BD-ST_NBFR_m2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2023-09-18T15:55:55Z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