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M-C-ST_ABCA\"/>
    </mc:Choice>
  </mc:AlternateContent>
  <xr:revisionPtr revIDLastSave="0" documentId="13_ncr:1_{532BEA3C-A579-4645-AFF4-633E635455D1}" xr6:coauthVersionLast="47" xr6:coauthVersionMax="47" xr10:uidLastSave="{00000000-0000-0000-0000-000000000000}"/>
  <bookViews>
    <workbookView xWindow="-120" yWindow="-120" windowWidth="25440" windowHeight="15390" tabRatio="813" activeTab="1" xr2:uid="{7C5655A8-2A5B-4B20-ABA5-441C5835F3C9}"/>
  </bookViews>
  <sheets>
    <sheet name="R_1-M-C-ST_info" sheetId="58" r:id="rId1"/>
    <sheet name="Home" sheetId="29" r:id="rId2"/>
    <sheet name="Rooms_Rpt" sheetId="20" r:id="rId3"/>
    <sheet name="Groups-Layout" sheetId="2" r:id="rId4"/>
    <sheet name="Pivot_Tables" sheetId="33" r:id="rId5"/>
    <sheet name="DDFwrk_grp2" sheetId="57" r:id="rId6"/>
    <sheet name="DDFwrk_grp3" sheetId="42" r:id="rId7"/>
    <sheet name="lists" sheetId="43" r:id="rId8"/>
    <sheet name="CanFlood_DDF" sheetId="48" r:id="rId9"/>
  </sheets>
  <functionGroups builtInGroupCount="19"/>
  <definedNames>
    <definedName name="_xlnm._FilterDatabase" localSheetId="3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4" r:id="rId10"/>
    <pivotCache cacheId="15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57" l="1"/>
  <c r="M10" i="57"/>
  <c r="M11" i="57"/>
  <c r="M12" i="57"/>
  <c r="M13" i="57"/>
  <c r="M14" i="57"/>
  <c r="M15" i="57"/>
  <c r="M16" i="57"/>
  <c r="M17" i="57"/>
  <c r="M18" i="57"/>
  <c r="M19" i="57"/>
  <c r="M20" i="57"/>
  <c r="M21" i="57"/>
  <c r="B10" i="57" s="1"/>
  <c r="M8" i="57"/>
  <c r="M6" i="57"/>
  <c r="M5" i="57"/>
  <c r="M7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Q5" i="57"/>
  <c r="P7" i="57"/>
  <c r="Q6" i="57"/>
  <c r="Q18" i="57"/>
  <c r="Q16" i="57"/>
  <c r="R17" i="57"/>
  <c r="P9" i="57"/>
  <c r="Q8" i="57"/>
  <c r="P15" i="57"/>
  <c r="Q7" i="57"/>
  <c r="P13" i="57"/>
  <c r="R15" i="57"/>
  <c r="R6" i="57"/>
  <c r="Q20" i="57"/>
  <c r="Q21" i="57"/>
  <c r="R14" i="57"/>
  <c r="R12" i="57"/>
  <c r="P16" i="57"/>
  <c r="R13" i="57"/>
  <c r="R21" i="57"/>
  <c r="R18" i="57"/>
  <c r="P19" i="57"/>
  <c r="Q12" i="57"/>
  <c r="P11" i="57"/>
  <c r="P17" i="57"/>
  <c r="R7" i="57"/>
  <c r="P21" i="57"/>
  <c r="Q13" i="57"/>
  <c r="Q17" i="57"/>
  <c r="R16" i="57"/>
  <c r="R20" i="57"/>
  <c r="Q14" i="57"/>
  <c r="P8" i="57"/>
  <c r="Q11" i="57"/>
  <c r="P10" i="57"/>
  <c r="R8" i="57"/>
  <c r="P12" i="57"/>
  <c r="R19" i="57"/>
  <c r="R11" i="57"/>
  <c r="P20" i="57"/>
  <c r="Q10" i="57"/>
  <c r="P18" i="57"/>
  <c r="Q15" i="57"/>
  <c r="R5" i="57"/>
  <c r="R9" i="57"/>
  <c r="P14" i="57"/>
  <c r="Q19" i="57"/>
  <c r="Q9" i="57"/>
  <c r="R10" i="57"/>
  <c r="P6" i="57"/>
  <c r="P5" i="57"/>
  <c r="B24" i="2" l="1"/>
  <c r="B22" i="2"/>
  <c r="B23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6" i="2"/>
  <c r="D21" i="2"/>
  <c r="D25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<sst xmlns="http://schemas.openxmlformats.org/spreadsheetml/2006/main" count="457" uniqueCount="283">
  <si>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</si>
  <si>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</si>
  <si>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</si>
  <si>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</si>
  <si>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</si>
  <si>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</si>
  <si>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</si>
  <si>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</si>
  <si>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</si>
  <si>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</si>
  <si>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</si>
  <si>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</si>
  <si>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</si>
  <si>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</si>
  <si>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</si>
  <si>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</si>
  <si>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</si>
  <si>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</si>
  <si>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</si>
  <si>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</si>
  <si>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</si>
  <si>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</si>
  <si>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</si>
  <si>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</si>
  <si>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</si>
  <si>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</si>
  <si>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</si>
  <si>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</si>
  <si>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</si>
  <si>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</si>
  <si>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</si>
  <si>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</si>
  <si>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</si>
  <si>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</si>
  <si>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</si>
  <si>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</si>
  <si>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</si>
  <si>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</si>
  <si>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</si>
  <si>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</si>
  <si>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</si>
  <si>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</si>
  <si>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</si>
  <si>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</si>
  <si>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</si>
  <si>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</si>
  <si>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</si>
  <si>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</si>
  <si>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</si>
  <si>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</si>
  <si>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</si>
  <si>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</si>
  <si>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</si>
  <si>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</si>
  <si>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</si>
  <si>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</si>
  <si>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</si>
  <si>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</si>
  <si>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</si>
  <si>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</si>
  <si>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</si>
  <si>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</si>
  <si>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</si>
  <si>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</si>
  <si>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</si>
  <si>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</si>
  <si>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</si>
  <si>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</si>
  <si>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</si>
  <si>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</si>
  <si>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</si>
  <si>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</si>
  <si>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</si>
  <si>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</si>
  <si>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</si>
  <si>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</si>
  <si>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</si>
  <si>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</si>
  <si>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</si>
  <si>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</si>
  <si>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</si>
  <si>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</si>
  <si>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</si>
  <si>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</si>
  <si>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</si>
  <si>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</si>
  <si>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</si>
  <si>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</si>
  <si>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</si>
  <si>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</si>
  <si>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</si>
  <si>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</si>
  <si>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</si>
  <si>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</si>
  <si>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</si>
  <si>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</si>
  <si>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</si>
  <si>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</si>
  <si>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</si>
  <si>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</si>
  <si>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</si>
  <si>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</si>
  <si>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</si>
  <si>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</si>
  <si>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</si>
  <si>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</si>
  <si>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</si>
  <si>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</si>
  <si>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</si>
  <si>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</si>
  <si>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</si>
  <si>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</si>
  <si>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</si>
  <si>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</si>
  <si>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</si>
  <si>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</si>
  <si>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</si>
  <si>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</si>
  <si>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</si>
  <si>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</si>
  <si>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</si>
  <si>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</si>
  <si>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</si>
  <si>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</si>
  <si>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</si>
  <si>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</si>
  <si>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</si>
  <si>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</si>
  <si>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</si>
  <si>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</si>
  <si>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</si>
  <si>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</si>
  <si>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</si>
  <si>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</si>
  <si>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</si>
  <si>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</si>
  <si>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</si>
  <si>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</si>
  <si>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</si>
  <si>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</si>
  <si>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</si>
  <si>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</si>
  <si>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</si>
  <si>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</si>
  <si>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</si>
  <si>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</si>
  <si>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</si>
  <si>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</si>
  <si>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</si>
  <si>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</si>
  <si>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</si>
  <si>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</si>
  <si>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</si>
  <si>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</si>
  <si>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</si>
  <si>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</si>
  <si>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</si>
  <si>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</si>
  <si>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</si>
  <si>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</si>
  <si>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</si>
  <si>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</si>
  <si>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</si>
  <si>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$/structure</t>
  </si>
  <si>
    <t>R_1-C</t>
  </si>
  <si>
    <t>Copy of group_3 pivot</t>
  </si>
  <si>
    <t>exposure</t>
  </si>
  <si>
    <t>R_1-M-C-ST_ABCA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</si>
  <si>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</si>
  <si>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</si>
  <si>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</si>
  <si>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</si>
  <si>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</si>
  <si>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</si>
  <si>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</si>
  <si>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</si>
  <si>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R_1-M-C-St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</si>
  <si>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</si>
  <si>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</si>
  <si>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</si>
  <si>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</si>
  <si>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</si>
  <si>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</si>
  <si>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</si>
  <si>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</si>
  <si>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</si>
  <si>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</si>
  <si>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</si>
  <si>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</si>
  <si>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</si>
  <si>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</si>
  <si>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</si>
  <si>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</si>
  <si>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</si>
  <si>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</si>
  <si>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</si>
  <si>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</si>
  <si>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</si>
  <si>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</si>
  <si>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</si>
  <si>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</si>
  <si>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</si>
  <si>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</si>
  <si>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</si>
  <si>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</si>
  <si>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</si>
  <si>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</si>
  <si>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</si>
  <si>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</si>
  <si>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</si>
  <si>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</si>
  <si>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</si>
  <si>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</si>
  <si>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</si>
  <si>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</si>
  <si>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</si>
  <si>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</si>
  <si>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</si>
  <si>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</si>
  <si>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</si>
  <si>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</si>
  <si>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</si>
  <si>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</si>
  <si>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</si>
  <si>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</si>
  <si>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</si>
  <si>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</si>
  <si>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</si>
  <si>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</si>
  <si>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</si>
  <si>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</si>
  <si>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</si>
  <si>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</si>
  <si>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</si>
  <si>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</si>
  <si>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</si>
  <si>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</si>
  <si>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</si>
  <si>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</si>
  <si>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</si>
  <si>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</si>
  <si>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</si>
  <si>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</si>
  <si>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</si>
  <si>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</si>
  <si>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</si>
  <si>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</si>
  <si>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</si>
  <si>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</si>
  <si>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</si>
  <si>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</si>
  <si>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</si>
  <si>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</si>
  <si>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</si>
  <si>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</si>
  <si>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</si>
  <si>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</si>
  <si>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</si>
  <si>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</si>
  <si>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</si>
  <si>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</si>
  <si>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</si>
  <si>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</si>
  <si>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</si>
  <si>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</si>
  <si>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</si>
  <si>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</si>
  <si>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</si>
  <si>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</si>
  <si>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</si>
  <si>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</si>
  <si>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</si>
  <si>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</si>
  <si>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</si>
  <si>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</si>
  <si>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</si>
  <si>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</si>
  <si>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</si>
  <si>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Walk-In Closet</t>
  </si>
  <si>
    <t>Calgary, Alberta</t>
  </si>
  <si>
    <t>R_1-M-C-ST_info</t>
  </si>
  <si>
    <t>R_1-M-C-ST_ABCA.xlsx</t>
  </si>
  <si>
    <t>R_1-M-C-ST_ABCA_rep.xlsx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</si>
</sst>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326295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4" fontId="4" fillId="0" borderId="0" xfId="5" applyNumberFormat="1" applyFont="1" applyFill="1" applyBorder="1" applyAlignment="1"/>
    <xf numFmtId="0" fontId="1" fillId="0" borderId="0" xfId="1" applyFill="1" applyBorder="1" applyAlignment="1">
      <alignment wrapText="1"/>
    </xf>
    <xf numFmtId="0" fontId="4" fillId="3" borderId="11" xfId="0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0" fontId="14" fillId="0" borderId="11" xfId="0" applyFont="1" applyBorder="1" applyAlignment="1">
      <alignment horizontal="center"/>
    </xf>
    <xf numFmtId="0" fontId="4" fillId="0" borderId="0" xfId="5" applyFont="1" applyFill="1" applyBorder="1" applyAlignment="1">
      <alignment horizontal="center" wrapText="1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4" fillId="3" borderId="11" xfId="0" applyFont="1" applyFill="1" applyBorder="1" applyAlignment="1">
      <alignment horizontal="center"/>
    </xf>
    <xf numFmtId="164" fontId="4" fillId="3" borderId="11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.sol/Documents/NRCAN/R1%202023-07-15/DDF_data/R_1-C_DDFwork_Template_2023-09-06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.sol/Documents/NRCAN/R1%202023-07-15/DDF_data/R_1-C_DDFwork_Template_2023-09-06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20921296295" createdVersion="3" refreshedVersion="8" minRefreshableVersion="3" recordCount="199" xr:uid="{2668A3D3-1B2A-493C-904F-D4DC525E41E9}">
  <cacheSource type="worksheet">
    <worksheetSource ref="AH2:AZ201" sheet="LineItems" r:id="rId2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30.17"/>
    </cacheField>
    <cacheField name="0" numFmtId="0">
      <sharedItems containsSemiMixedTypes="0" containsString="0" containsNumber="1" minValue="0" maxValue="4730.17"/>
    </cacheField>
    <cacheField name="0.03" numFmtId="0">
      <sharedItems containsSemiMixedTypes="0" containsString="0" containsNumber="1" minValue="0" maxValue="4730.17"/>
    </cacheField>
    <cacheField name="0.05" numFmtId="0">
      <sharedItems containsSemiMixedTypes="0" containsString="0" containsNumber="1" minValue="0" maxValue="4730.17"/>
    </cacheField>
    <cacheField name="0.1" numFmtId="0">
      <sharedItems containsSemiMixedTypes="0" containsString="0" containsNumber="1" minValue="0" maxValue="4730.17"/>
    </cacheField>
    <cacheField name="0.15" numFmtId="0">
      <sharedItems containsSemiMixedTypes="0" containsString="0" containsNumber="1" minValue="0" maxValue="4730.17"/>
    </cacheField>
    <cacheField name="0.3" numFmtId="0">
      <sharedItems containsSemiMixedTypes="0" containsString="0" containsNumber="1" minValue="0" maxValue="4730.17"/>
    </cacheField>
    <cacheField name="0.46" numFmtId="0">
      <sharedItems containsSemiMixedTypes="0" containsString="0" containsNumber="1" minValue="0" maxValue="4730.17"/>
    </cacheField>
    <cacheField name="0.61" numFmtId="0">
      <sharedItems containsSemiMixedTypes="0" containsString="0" containsNumber="1" minValue="0" maxValue="4730.17"/>
    </cacheField>
    <cacheField name="0.76" numFmtId="0">
      <sharedItems containsSemiMixedTypes="0" containsString="0" containsNumber="1" minValue="0" maxValue="4730.17"/>
    </cacheField>
    <cacheField name="0.91" numFmtId="0">
      <sharedItems containsSemiMixedTypes="0" containsString="0" containsNumber="1" minValue="0" maxValue="4730.17"/>
    </cacheField>
    <cacheField name="1.02" numFmtId="0">
      <sharedItems containsSemiMixedTypes="0" containsString="0" containsNumber="1" minValue="0" maxValue="4730.17"/>
    </cacheField>
    <cacheField name="1.22" numFmtId="0">
      <sharedItems containsSemiMixedTypes="0" containsString="0" containsNumber="1" minValue="0" maxValue="4730.17"/>
    </cacheField>
    <cacheField name="1.52" numFmtId="0">
      <sharedItems containsSemiMixedTypes="0" containsString="0" containsNumber="1" minValue="19.3" maxValue="4730.17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20921990741" createdVersion="3" refreshedVersion="8" minRefreshableVersion="3" recordCount="199" xr:uid="{8BDE2BA5-F0B1-48E8-88B2-45AFE9D748DA}">
  <cacheSource type="worksheet">
    <worksheetSource ref="AH2:AZ201" sheet="LineItems" r:id="rId2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30.17"/>
    </cacheField>
    <cacheField name="0" numFmtId="0">
      <sharedItems containsSemiMixedTypes="0" containsString="0" containsNumber="1" minValue="0" maxValue="4730.17"/>
    </cacheField>
    <cacheField name="0.03" numFmtId="0">
      <sharedItems containsSemiMixedTypes="0" containsString="0" containsNumber="1" minValue="0" maxValue="4730.17"/>
    </cacheField>
    <cacheField name="0.05" numFmtId="0">
      <sharedItems containsSemiMixedTypes="0" containsString="0" containsNumber="1" minValue="0" maxValue="4730.17"/>
    </cacheField>
    <cacheField name="0.1" numFmtId="0">
      <sharedItems containsSemiMixedTypes="0" containsString="0" containsNumber="1" minValue="0" maxValue="4730.17"/>
    </cacheField>
    <cacheField name="0.15" numFmtId="0">
      <sharedItems containsSemiMixedTypes="0" containsString="0" containsNumber="1" minValue="0" maxValue="4730.17"/>
    </cacheField>
    <cacheField name="0.3" numFmtId="0">
      <sharedItems containsSemiMixedTypes="0" containsString="0" containsNumber="1" minValue="0" maxValue="4730.17"/>
    </cacheField>
    <cacheField name="0.46" numFmtId="0">
      <sharedItems containsSemiMixedTypes="0" containsString="0" containsNumber="1" minValue="0" maxValue="4730.17"/>
    </cacheField>
    <cacheField name="0.61" numFmtId="0">
      <sharedItems containsSemiMixedTypes="0" containsString="0" containsNumber="1" minValue="0" maxValue="4730.17"/>
    </cacheField>
    <cacheField name="0.76" numFmtId="0">
      <sharedItems containsSemiMixedTypes="0" containsString="0" containsNumber="1" minValue="0" maxValue="4730.17"/>
    </cacheField>
    <cacheField name="0.91" numFmtId="0">
      <sharedItems containsSemiMixedTypes="0" containsString="0" containsNumber="1" minValue="0" maxValue="4730.17"/>
    </cacheField>
    <cacheField name="1.02" numFmtId="0">
      <sharedItems containsSemiMixedTypes="0" containsString="0" containsNumber="1" minValue="0" maxValue="4730.17"/>
    </cacheField>
    <cacheField name="1.22" numFmtId="0">
      <sharedItems containsSemiMixedTypes="0" containsString="0" containsNumber="1" minValue="0" maxValue="4730.17"/>
    </cacheField>
    <cacheField name="1.52" numFmtId="0">
      <sharedItems containsSemiMixedTypes="0" containsString="0" containsNumber="1" minValue="19.3" maxValue="4730.17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s v="split"/>
    <x v="0"/>
    <n v="0"/>
    <n v="0"/>
    <n v="0"/>
    <n v="0"/>
    <n v="0"/>
    <n v="0"/>
    <n v="0"/>
    <n v="0"/>
    <n v="0"/>
    <n v="0"/>
    <n v="0"/>
    <n v="147.84"/>
    <n v="147.84"/>
    <n v="147.84"/>
    <n v="147.84"/>
    <n v="147.84"/>
    <n v="147.84"/>
  </r>
  <r>
    <s v="split"/>
    <x v="0"/>
    <n v="0"/>
    <n v="0"/>
    <n v="0"/>
    <n v="0"/>
    <n v="0"/>
    <n v="0"/>
    <n v="0"/>
    <n v="0"/>
    <n v="0"/>
    <n v="0"/>
    <n v="0"/>
    <n v="129.69999999999999"/>
    <n v="129.69999999999999"/>
    <n v="129.69999999999999"/>
    <n v="129.69999999999999"/>
    <n v="129.69999999999999"/>
    <n v="129.69999999999999"/>
  </r>
  <r>
    <s v="split"/>
    <x v="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split"/>
    <x v="0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split"/>
    <x v="0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2"/>
    <n v="0"/>
    <n v="1183.27"/>
    <n v="1183.27"/>
    <n v="1479.0875000000001"/>
    <n v="1479.0875000000001"/>
    <n v="1479.0875000000001"/>
    <n v="1479.0875000000001"/>
    <n v="1479.0875000000001"/>
    <n v="1774.905"/>
    <n v="1774.905"/>
    <n v="1774.905"/>
    <n v="1774.905"/>
    <n v="2366.54"/>
    <n v="2366.54"/>
    <n v="2366.54"/>
    <n v="2366.54"/>
    <n v="2366.54"/>
  </r>
  <r>
    <s v="main"/>
    <x v="2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s v="mechanical"/>
    <x v="1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s v="mechanical"/>
    <x v="1"/>
    <n v="0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3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main"/>
    <x v="3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main"/>
    <x v="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3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main"/>
    <x v="3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s v="main"/>
    <x v="3"/>
    <n v="0"/>
    <n v="0"/>
    <n v="0"/>
    <n v="110.02"/>
    <n v="110.02"/>
    <n v="110.02"/>
    <n v="110.02"/>
    <n v="110.02"/>
    <n v="110.02"/>
    <n v="110.02"/>
    <n v="110.02"/>
    <n v="110.02"/>
    <n v="110.02"/>
    <n v="110.02"/>
    <n v="110.02"/>
    <n v="110.02"/>
    <n v="110.02"/>
  </r>
  <r>
    <s v="main"/>
    <x v="3"/>
    <n v="0"/>
    <n v="0"/>
    <n v="0"/>
    <n v="35.28"/>
    <n v="35.28"/>
    <n v="35.28"/>
    <n v="35.28"/>
    <n v="35.28"/>
    <n v="70.56"/>
    <n v="70.56"/>
    <n v="70.56"/>
    <n v="141.12"/>
    <n v="141.12"/>
    <n v="141.12"/>
    <n v="141.12"/>
    <n v="141.12"/>
    <n v="141.12"/>
  </r>
  <r>
    <s v="main"/>
    <x v="3"/>
    <n v="0"/>
    <n v="0"/>
    <n v="0"/>
    <n v="0"/>
    <n v="0"/>
    <n v="0"/>
    <n v="0"/>
    <n v="0"/>
    <n v="0"/>
    <n v="0"/>
    <n v="0"/>
    <n v="0"/>
    <n v="0"/>
    <n v="0"/>
    <n v="44.52"/>
    <n v="44.52"/>
    <n v="44.52"/>
  </r>
  <r>
    <s v="main"/>
    <x v="3"/>
    <n v="0"/>
    <n v="0"/>
    <n v="0"/>
    <n v="47.04"/>
    <n v="47.04"/>
    <n v="47.04"/>
    <n v="47.04"/>
    <n v="47.04"/>
    <n v="47.04"/>
    <n v="47.04"/>
    <n v="47.04"/>
    <n v="47.04"/>
    <n v="47.04"/>
    <n v="47.04"/>
    <n v="47.04"/>
    <n v="47.04"/>
    <n v="47.04"/>
  </r>
  <r>
    <s v="main"/>
    <x v="3"/>
    <n v="0"/>
    <n v="0"/>
    <n v="0"/>
    <n v="28.79"/>
    <n v="28.79"/>
    <n v="28.79"/>
    <n v="28.79"/>
    <n v="28.79"/>
    <n v="28.79"/>
    <n v="28.79"/>
    <n v="28.79"/>
    <n v="28.79"/>
    <n v="28.79"/>
    <n v="28.79"/>
    <n v="28.79"/>
    <n v="28.79"/>
    <n v="28.79"/>
  </r>
  <r>
    <s v="main"/>
    <x v="3"/>
    <n v="0"/>
    <n v="0"/>
    <n v="0"/>
    <n v="22.03"/>
    <n v="22.03"/>
    <n v="22.03"/>
    <n v="22.03"/>
    <n v="22.03"/>
    <n v="22.03"/>
    <n v="22.03"/>
    <n v="22.03"/>
    <n v="22.03"/>
    <n v="22.03"/>
    <n v="22.03"/>
    <n v="22.03"/>
    <n v="22.03"/>
    <n v="22.03"/>
  </r>
  <r>
    <s v="main"/>
    <x v="3"/>
    <n v="0"/>
    <n v="0"/>
    <n v="0"/>
    <n v="96.98"/>
    <n v="96.98"/>
    <n v="96.98"/>
    <n v="96.98"/>
    <n v="96.98"/>
    <n v="96.98"/>
    <n v="96.98"/>
    <n v="96.98"/>
    <n v="96.98"/>
    <n v="96.98"/>
    <n v="96.98"/>
    <n v="96.98"/>
    <n v="96.98"/>
    <n v="96.98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main"/>
    <x v="4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s v="main"/>
    <x v="4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s v="main"/>
    <x v="4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s v="main"/>
    <x v="4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s v="main"/>
    <x v="4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s v="main"/>
    <x v="4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s v="main"/>
    <x v="4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s v="main"/>
    <x v="4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s v="main"/>
    <x v="5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5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5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5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5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5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5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5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5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s v="main"/>
    <x v="5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s v="main"/>
    <x v="5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s v="main"/>
    <x v="5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5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5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5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5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s v="main"/>
    <x v="5"/>
    <n v="0"/>
    <n v="0"/>
    <n v="0"/>
    <n v="0"/>
    <n v="658.39"/>
    <n v="658.39"/>
    <n v="658.39"/>
    <n v="658.39"/>
    <n v="658.39"/>
    <n v="658.39"/>
    <n v="658.39"/>
    <n v="658.39"/>
    <n v="658.39"/>
    <n v="658.39"/>
    <n v="658.39"/>
    <n v="658.39"/>
    <n v="658.39"/>
  </r>
  <r>
    <s v="main"/>
    <x v="5"/>
    <n v="0"/>
    <n v="0"/>
    <n v="0"/>
    <n v="341.3775"/>
    <n v="341.3775"/>
    <n v="341.3775"/>
    <n v="341.3775"/>
    <n v="341.3775"/>
    <n v="682.755"/>
    <n v="682.755"/>
    <n v="682.755"/>
    <n v="1365.51"/>
    <n v="1365.51"/>
    <n v="1365.51"/>
    <n v="1365.51"/>
    <n v="1365.51"/>
    <n v="1365.51"/>
  </r>
  <r>
    <s v="main"/>
    <x v="5"/>
    <n v="0"/>
    <n v="0"/>
    <n v="0"/>
    <n v="41.16"/>
    <n v="41.16"/>
    <n v="41.16"/>
    <n v="41.16"/>
    <n v="41.16"/>
    <n v="41.16"/>
    <n v="41.16"/>
    <n v="41.16"/>
    <n v="41.16"/>
    <n v="41.16"/>
    <n v="41.16"/>
    <n v="41.16"/>
    <n v="41.16"/>
    <n v="41.16"/>
  </r>
  <r>
    <s v="main"/>
    <x v="5"/>
    <n v="0"/>
    <n v="0"/>
    <n v="0"/>
    <n v="97.05"/>
    <n v="97.05"/>
    <n v="97.05"/>
    <n v="97.05"/>
    <n v="97.05"/>
    <n v="97.05"/>
    <n v="97.05"/>
    <n v="97.05"/>
    <n v="97.05"/>
    <n v="97.05"/>
    <n v="97.05"/>
    <n v="97.05"/>
    <n v="97.05"/>
    <n v="97.05"/>
  </r>
  <r>
    <s v="main"/>
    <x v="5"/>
    <n v="0"/>
    <n v="0"/>
    <n v="0"/>
    <n v="112.6525"/>
    <n v="112.6525"/>
    <n v="112.6525"/>
    <n v="112.6525"/>
    <n v="112.6525"/>
    <n v="225.30500000000001"/>
    <n v="225.30500000000001"/>
    <n v="225.30500000000001"/>
    <n v="450.61"/>
    <n v="450.61"/>
    <n v="450.61"/>
    <n v="450.61"/>
    <n v="450.61"/>
    <n v="450.61"/>
  </r>
  <r>
    <s v="main"/>
    <x v="5"/>
    <n v="0"/>
    <n v="0"/>
    <n v="0"/>
    <n v="0"/>
    <n v="0"/>
    <n v="0"/>
    <n v="0"/>
    <n v="0"/>
    <n v="0"/>
    <n v="0"/>
    <n v="0"/>
    <n v="0"/>
    <n v="0"/>
    <n v="0"/>
    <n v="142.16999999999999"/>
    <n v="142.16999999999999"/>
    <n v="142.16999999999999"/>
  </r>
  <r>
    <s v="main"/>
    <x v="5"/>
    <n v="0"/>
    <n v="0"/>
    <n v="0"/>
    <n v="150.21"/>
    <n v="150.21"/>
    <n v="150.21"/>
    <n v="150.21"/>
    <n v="150.21"/>
    <n v="150.21"/>
    <n v="150.21"/>
    <n v="150.21"/>
    <n v="150.21"/>
    <n v="150.21"/>
    <n v="150.21"/>
    <n v="150.21"/>
    <n v="150.21"/>
    <n v="150.21"/>
  </r>
  <r>
    <s v="main"/>
    <x v="5"/>
    <n v="0"/>
    <n v="0"/>
    <n v="0"/>
    <n v="91.91"/>
    <n v="91.91"/>
    <n v="91.91"/>
    <n v="91.91"/>
    <n v="91.91"/>
    <n v="91.91"/>
    <n v="91.91"/>
    <n v="91.91"/>
    <n v="91.91"/>
    <n v="91.91"/>
    <n v="91.91"/>
    <n v="91.91"/>
    <n v="91.91"/>
    <n v="91.91"/>
  </r>
  <r>
    <s v="main"/>
    <x v="5"/>
    <n v="0"/>
    <n v="0"/>
    <n v="0"/>
    <n v="70.33"/>
    <n v="70.33"/>
    <n v="70.33"/>
    <n v="70.33"/>
    <n v="70.33"/>
    <n v="70.33"/>
    <n v="70.33"/>
    <n v="70.33"/>
    <n v="70.33"/>
    <n v="70.33"/>
    <n v="70.33"/>
    <n v="70.33"/>
    <n v="70.33"/>
    <n v="70.33"/>
  </r>
  <r>
    <s v="main"/>
    <x v="5"/>
    <n v="0"/>
    <n v="0"/>
    <n v="0"/>
    <n v="309.7"/>
    <n v="309.7"/>
    <n v="309.7"/>
    <n v="309.7"/>
    <n v="309.7"/>
    <n v="309.7"/>
    <n v="309.7"/>
    <n v="309.7"/>
    <n v="309.7"/>
    <n v="309.7"/>
    <n v="309.7"/>
    <n v="309.7"/>
    <n v="309.7"/>
    <n v="309.7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main"/>
    <x v="4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s v="main"/>
    <x v="4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s v="main"/>
    <x v="4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s v="main"/>
    <x v="4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s v="main"/>
    <x v="4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s v="main"/>
    <x v="4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s v="main"/>
    <x v="4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s v="main"/>
    <x v="4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435.46"/>
    <n v="435.46"/>
    <n v="435.46"/>
    <n v="435.46"/>
    <n v="435.46"/>
    <n v="435.46"/>
    <n v="435.46"/>
    <n v="435.46"/>
    <n v="435.46"/>
    <n v="435.46"/>
    <n v="435.46"/>
    <n v="435.46"/>
    <n v="435.46"/>
  </r>
  <r>
    <s v="main"/>
    <x v="6"/>
    <n v="0"/>
    <n v="0"/>
    <n v="0"/>
    <n v="225.79"/>
    <n v="225.79"/>
    <n v="225.79"/>
    <n v="225.79"/>
    <n v="225.79"/>
    <n v="451.58"/>
    <n v="451.58"/>
    <n v="451.58"/>
    <n v="903.16"/>
    <n v="903.16"/>
    <n v="903.16"/>
    <n v="903.16"/>
    <n v="903.16"/>
    <n v="903.16"/>
  </r>
  <r>
    <s v="main"/>
    <x v="6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6"/>
    <n v="0"/>
    <n v="0"/>
    <n v="0"/>
    <n v="48.384999999999998"/>
    <n v="48.384999999999998"/>
    <n v="48.384999999999998"/>
    <n v="48.384999999999998"/>
    <n v="48.384999999999998"/>
    <n v="96.77"/>
    <n v="96.77"/>
    <n v="96.77"/>
    <n v="193.54"/>
    <n v="193.54"/>
    <n v="193.54"/>
    <n v="193.54"/>
    <n v="193.54"/>
    <n v="193.54"/>
  </r>
  <r>
    <s v="main"/>
    <x v="6"/>
    <n v="0"/>
    <n v="0"/>
    <n v="0"/>
    <n v="0"/>
    <n v="0"/>
    <n v="0"/>
    <n v="0"/>
    <n v="0"/>
    <n v="0"/>
    <n v="0"/>
    <n v="0"/>
    <n v="0"/>
    <n v="0"/>
    <n v="0"/>
    <n v="61.06"/>
    <n v="61.06"/>
    <n v="61.06"/>
  </r>
  <r>
    <s v="main"/>
    <x v="6"/>
    <n v="0"/>
    <n v="0"/>
    <n v="0"/>
    <n v="64.52"/>
    <n v="64.52"/>
    <n v="64.52"/>
    <n v="64.52"/>
    <n v="64.52"/>
    <n v="64.52"/>
    <n v="64.52"/>
    <n v="64.52"/>
    <n v="64.52"/>
    <n v="64.52"/>
    <n v="64.52"/>
    <n v="64.52"/>
    <n v="64.52"/>
    <n v="64.52"/>
  </r>
  <r>
    <s v="main"/>
    <x v="6"/>
    <n v="0"/>
    <n v="0"/>
    <n v="0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</r>
  <r>
    <s v="main"/>
    <x v="6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main"/>
    <x v="6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s v="main"/>
    <x v="7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s v="main"/>
    <x v="7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s v="main"/>
    <x v="7"/>
    <n v="0"/>
    <n v="0"/>
    <n v="0"/>
    <n v="220.25749999999999"/>
    <n v="220.25749999999999"/>
    <n v="220.25749999999999"/>
    <n v="220.25749999999999"/>
    <n v="220.25749999999999"/>
    <n v="440.51499999999999"/>
    <n v="440.51499999999999"/>
    <n v="440.51499999999999"/>
    <n v="881.03"/>
    <n v="881.03"/>
    <n v="881.03"/>
    <n v="881.03"/>
    <n v="881.03"/>
    <n v="881.03"/>
  </r>
  <r>
    <s v="main"/>
    <x v="7"/>
    <n v="0"/>
    <n v="0"/>
    <n v="0"/>
    <n v="0"/>
    <n v="0"/>
    <n v="0"/>
    <n v="0"/>
    <n v="0"/>
    <n v="0"/>
    <n v="0"/>
    <n v="0"/>
    <n v="0"/>
    <n v="0"/>
    <n v="0"/>
    <n v="277.94"/>
    <n v="277.94"/>
    <n v="277.94"/>
  </r>
  <r>
    <s v="main"/>
    <x v="7"/>
    <n v="0"/>
    <n v="0"/>
    <n v="0"/>
    <n v="293.67"/>
    <n v="293.67"/>
    <n v="293.67"/>
    <n v="293.67"/>
    <n v="293.67"/>
    <n v="293.67"/>
    <n v="293.67"/>
    <n v="293.67"/>
    <n v="293.67"/>
    <n v="293.67"/>
    <n v="293.67"/>
    <n v="293.67"/>
    <n v="293.67"/>
    <n v="293.67"/>
  </r>
  <r>
    <s v="main"/>
    <x v="7"/>
    <n v="0"/>
    <n v="0"/>
    <n v="0"/>
    <n v="179.73"/>
    <n v="179.73"/>
    <n v="179.73"/>
    <n v="179.73"/>
    <n v="179.73"/>
    <n v="179.73"/>
    <n v="179.73"/>
    <n v="179.73"/>
    <n v="179.73"/>
    <n v="179.73"/>
    <n v="179.73"/>
    <n v="179.73"/>
    <n v="179.73"/>
    <n v="179.73"/>
  </r>
  <r>
    <s v="main"/>
    <x v="7"/>
    <n v="0"/>
    <n v="0"/>
    <n v="0"/>
    <n v="137.51"/>
    <n v="137.51"/>
    <n v="137.51"/>
    <n v="137.51"/>
    <n v="137.51"/>
    <n v="137.51"/>
    <n v="137.51"/>
    <n v="137.51"/>
    <n v="137.51"/>
    <n v="137.51"/>
    <n v="137.51"/>
    <n v="137.51"/>
    <n v="137.51"/>
    <n v="137.51"/>
  </r>
  <r>
    <s v="main"/>
    <x v="7"/>
    <n v="0"/>
    <n v="0"/>
    <n v="0"/>
    <n v="605.51"/>
    <n v="605.51"/>
    <n v="605.51"/>
    <n v="605.51"/>
    <n v="605.51"/>
    <n v="605.51"/>
    <n v="605.51"/>
    <n v="605.51"/>
    <n v="605.51"/>
    <n v="605.51"/>
    <n v="605.51"/>
    <n v="605.51"/>
    <n v="605.51"/>
    <n v="605.51"/>
  </r>
  <r>
    <s v="main"/>
    <x v="8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8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8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8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8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8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8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8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8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main"/>
    <x v="8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8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8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8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8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8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8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8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8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8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8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main"/>
    <x v="8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s v="main"/>
    <x v="8"/>
    <n v="0"/>
    <n v="0"/>
    <n v="0"/>
    <n v="25.28"/>
    <n v="25.28"/>
    <n v="25.28"/>
    <n v="25.28"/>
    <n v="25.28"/>
    <n v="25.28"/>
    <n v="25.28"/>
    <n v="25.28"/>
    <n v="25.28"/>
    <n v="25.28"/>
    <n v="25.28"/>
    <n v="25.28"/>
    <n v="25.28"/>
    <n v="25.28"/>
  </r>
  <r>
    <s v="main"/>
    <x v="8"/>
    <n v="0"/>
    <n v="0"/>
    <n v="0"/>
    <n v="59.6"/>
    <n v="59.6"/>
    <n v="59.6"/>
    <n v="59.6"/>
    <n v="59.6"/>
    <n v="59.6"/>
    <n v="59.6"/>
    <n v="59.6"/>
    <n v="59.6"/>
    <n v="59.6"/>
    <n v="59.6"/>
    <n v="59.6"/>
    <n v="59.6"/>
    <n v="59.6"/>
  </r>
  <r>
    <s v="main"/>
    <x v="8"/>
    <n v="0"/>
    <n v="0"/>
    <n v="0"/>
    <n v="40.32"/>
    <n v="40.32"/>
    <n v="40.32"/>
    <n v="40.32"/>
    <n v="40.32"/>
    <n v="80.64"/>
    <n v="80.64"/>
    <n v="80.64"/>
    <n v="161.28"/>
    <n v="161.28"/>
    <n v="161.28"/>
    <n v="161.28"/>
    <n v="161.28"/>
    <n v="161.28"/>
  </r>
  <r>
    <s v="main"/>
    <x v="8"/>
    <n v="0"/>
    <n v="0"/>
    <n v="0"/>
    <n v="0"/>
    <n v="0"/>
    <n v="0"/>
    <n v="0"/>
    <n v="0"/>
    <n v="0"/>
    <n v="0"/>
    <n v="0"/>
    <n v="0"/>
    <n v="0"/>
    <n v="0"/>
    <n v="50.88"/>
    <n v="50.88"/>
    <n v="50.88"/>
  </r>
  <r>
    <s v="main"/>
    <x v="8"/>
    <n v="0"/>
    <n v="0"/>
    <n v="0"/>
    <n v="53.76"/>
    <n v="53.76"/>
    <n v="53.76"/>
    <n v="53.76"/>
    <n v="53.76"/>
    <n v="53.76"/>
    <n v="53.76"/>
    <n v="53.76"/>
    <n v="53.76"/>
    <n v="53.76"/>
    <n v="53.76"/>
    <n v="53.76"/>
    <n v="53.76"/>
    <n v="53.76"/>
  </r>
  <r>
    <s v="main"/>
    <x v="8"/>
    <n v="0"/>
    <n v="0"/>
    <n v="0"/>
    <n v="32.9"/>
    <n v="32.9"/>
    <n v="32.9"/>
    <n v="32.9"/>
    <n v="32.9"/>
    <n v="32.9"/>
    <n v="32.9"/>
    <n v="32.9"/>
    <n v="32.9"/>
    <n v="32.9"/>
    <n v="32.9"/>
    <n v="32.9"/>
    <n v="32.9"/>
    <n v="32.9"/>
  </r>
  <r>
    <s v="main"/>
    <x v="8"/>
    <n v="0"/>
    <n v="0"/>
    <n v="0"/>
    <n v="25.18"/>
    <n v="25.18"/>
    <n v="25.18"/>
    <n v="25.18"/>
    <n v="25.18"/>
    <n v="25.18"/>
    <n v="25.18"/>
    <n v="25.18"/>
    <n v="25.18"/>
    <n v="25.18"/>
    <n v="25.18"/>
    <n v="25.18"/>
    <n v="25.18"/>
    <n v="25.18"/>
  </r>
  <r>
    <s v="main"/>
    <x v="8"/>
    <n v="0"/>
    <n v="0"/>
    <n v="0"/>
    <n v="110.85"/>
    <n v="110.85"/>
    <n v="110.85"/>
    <n v="110.85"/>
    <n v="110.85"/>
    <n v="110.85"/>
    <n v="110.85"/>
    <n v="110.85"/>
    <n v="110.85"/>
    <n v="110.85"/>
    <n v="110.85"/>
    <n v="110.85"/>
    <n v="110.85"/>
    <n v="110.85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s v="main"/>
    <x v="9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s v="main"/>
    <x v="9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s v="main"/>
    <x v="9"/>
    <n v="0"/>
    <n v="0"/>
    <n v="0"/>
    <n v="60.8125"/>
    <n v="60.8125"/>
    <n v="60.8125"/>
    <n v="60.8125"/>
    <n v="60.8125"/>
    <n v="121.625"/>
    <n v="121.625"/>
    <n v="121.625"/>
    <n v="243.25"/>
    <n v="243.25"/>
    <n v="243.25"/>
    <n v="243.25"/>
    <n v="243.25"/>
    <n v="243.25"/>
  </r>
  <r>
    <s v="main"/>
    <x v="9"/>
    <n v="0"/>
    <n v="0"/>
    <n v="0"/>
    <n v="0"/>
    <n v="0"/>
    <n v="0"/>
    <n v="0"/>
    <n v="0"/>
    <n v="0"/>
    <n v="0"/>
    <n v="0"/>
    <n v="0"/>
    <n v="0"/>
    <n v="0"/>
    <n v="76.75"/>
    <n v="76.75"/>
    <n v="76.75"/>
  </r>
  <r>
    <s v="main"/>
    <x v="9"/>
    <n v="0"/>
    <n v="0"/>
    <n v="0"/>
    <n v="81.09"/>
    <n v="81.09"/>
    <n v="81.09"/>
    <n v="81.09"/>
    <n v="81.09"/>
    <n v="81.09"/>
    <n v="81.09"/>
    <n v="81.09"/>
    <n v="81.09"/>
    <n v="81.09"/>
    <n v="81.09"/>
    <n v="81.09"/>
    <n v="81.09"/>
    <n v="81.09"/>
  </r>
  <r>
    <s v="main"/>
    <x v="9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9"/>
    <n v="0"/>
    <n v="0"/>
    <n v="0"/>
    <n v="37.96"/>
    <n v="37.96"/>
    <n v="37.96"/>
    <n v="37.96"/>
    <n v="37.96"/>
    <n v="37.96"/>
    <n v="37.96"/>
    <n v="37.96"/>
    <n v="37.96"/>
    <n v="37.96"/>
    <n v="37.96"/>
    <n v="37.96"/>
    <n v="37.96"/>
    <n v="37.96"/>
  </r>
  <r>
    <s v="main"/>
    <x v="9"/>
    <n v="0"/>
    <n v="0"/>
    <n v="0"/>
    <n v="167.19"/>
    <n v="167.19"/>
    <n v="167.19"/>
    <n v="167.19"/>
    <n v="167.19"/>
    <n v="167.19"/>
    <n v="167.19"/>
    <n v="167.19"/>
    <n v="167.19"/>
    <n v="167.19"/>
    <n v="167.19"/>
    <n v="167.19"/>
    <n v="167.19"/>
    <n v="167.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s v="general-split"/>
    <n v="0"/>
    <n v="0"/>
    <n v="0"/>
    <n v="0"/>
    <n v="0"/>
    <n v="0"/>
    <n v="0"/>
    <n v="0"/>
    <n v="0"/>
    <n v="0"/>
    <n v="0"/>
    <n v="147.84"/>
    <n v="147.84"/>
    <n v="147.84"/>
    <n v="147.84"/>
    <n v="147.84"/>
    <n v="147.84"/>
  </r>
  <r>
    <x v="0"/>
    <s v="general-split"/>
    <n v="0"/>
    <n v="0"/>
    <n v="0"/>
    <n v="0"/>
    <n v="0"/>
    <n v="0"/>
    <n v="0"/>
    <n v="0"/>
    <n v="0"/>
    <n v="0"/>
    <n v="0"/>
    <n v="129.69999999999999"/>
    <n v="129.69999999999999"/>
    <n v="129.69999999999999"/>
    <n v="129.69999999999999"/>
    <n v="129.69999999999999"/>
    <n v="129.699999999999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0"/>
    <s v="general-split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general-main"/>
    <n v="0"/>
    <n v="1183.27"/>
    <n v="1183.27"/>
    <n v="1479.0875000000001"/>
    <n v="1479.0875000000001"/>
    <n v="1479.0875000000001"/>
    <n v="1479.0875000000001"/>
    <n v="1479.0875000000001"/>
    <n v="1774.905"/>
    <n v="1774.905"/>
    <n v="1774.905"/>
    <n v="1774.905"/>
    <n v="2366.54"/>
    <n v="2366.54"/>
    <n v="2366.54"/>
    <n v="2366.54"/>
    <n v="2366.54"/>
  </r>
  <r>
    <x v="2"/>
    <s v="general-main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x v="1"/>
    <s v="general-mechanical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x v="1"/>
    <s v="general-mechanical"/>
    <n v="0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2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2"/>
    <s v="Utility Room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x v="2"/>
    <s v="Utility Room"/>
    <n v="0"/>
    <n v="0"/>
    <n v="0"/>
    <n v="110.02"/>
    <n v="110.02"/>
    <n v="110.02"/>
    <n v="110.02"/>
    <n v="110.02"/>
    <n v="110.02"/>
    <n v="110.02"/>
    <n v="110.02"/>
    <n v="110.02"/>
    <n v="110.02"/>
    <n v="110.02"/>
    <n v="110.02"/>
    <n v="110.02"/>
    <n v="110.02"/>
  </r>
  <r>
    <x v="2"/>
    <s v="Utility Room"/>
    <n v="0"/>
    <n v="0"/>
    <n v="0"/>
    <n v="35.28"/>
    <n v="35.28"/>
    <n v="35.28"/>
    <n v="35.28"/>
    <n v="35.28"/>
    <n v="70.56"/>
    <n v="70.56"/>
    <n v="70.56"/>
    <n v="141.12"/>
    <n v="141.12"/>
    <n v="141.12"/>
    <n v="141.12"/>
    <n v="141.12"/>
    <n v="141.12"/>
  </r>
  <r>
    <x v="2"/>
    <s v="Utility Room"/>
    <n v="0"/>
    <n v="0"/>
    <n v="0"/>
    <n v="0"/>
    <n v="0"/>
    <n v="0"/>
    <n v="0"/>
    <n v="0"/>
    <n v="0"/>
    <n v="0"/>
    <n v="0"/>
    <n v="0"/>
    <n v="0"/>
    <n v="0"/>
    <n v="44.52"/>
    <n v="44.52"/>
    <n v="44.52"/>
  </r>
  <r>
    <x v="2"/>
    <s v="Utility Room"/>
    <n v="0"/>
    <n v="0"/>
    <n v="0"/>
    <n v="47.04"/>
    <n v="47.04"/>
    <n v="47.04"/>
    <n v="47.04"/>
    <n v="47.04"/>
    <n v="47.04"/>
    <n v="47.04"/>
    <n v="47.04"/>
    <n v="47.04"/>
    <n v="47.04"/>
    <n v="47.04"/>
    <n v="47.04"/>
    <n v="47.04"/>
    <n v="47.04"/>
  </r>
  <r>
    <x v="2"/>
    <s v="Utility Room"/>
    <n v="0"/>
    <n v="0"/>
    <n v="0"/>
    <n v="28.79"/>
    <n v="28.79"/>
    <n v="28.79"/>
    <n v="28.79"/>
    <n v="28.79"/>
    <n v="28.79"/>
    <n v="28.79"/>
    <n v="28.79"/>
    <n v="28.79"/>
    <n v="28.79"/>
    <n v="28.79"/>
    <n v="28.79"/>
    <n v="28.79"/>
    <n v="28.79"/>
  </r>
  <r>
    <x v="2"/>
    <s v="Utility Room"/>
    <n v="0"/>
    <n v="0"/>
    <n v="0"/>
    <n v="22.03"/>
    <n v="22.03"/>
    <n v="22.03"/>
    <n v="22.03"/>
    <n v="22.03"/>
    <n v="22.03"/>
    <n v="22.03"/>
    <n v="22.03"/>
    <n v="22.03"/>
    <n v="22.03"/>
    <n v="22.03"/>
    <n v="22.03"/>
    <n v="22.03"/>
    <n v="22.03"/>
  </r>
  <r>
    <x v="2"/>
    <s v="Utility Room"/>
    <n v="0"/>
    <n v="0"/>
    <n v="0"/>
    <n v="96.98"/>
    <n v="96.98"/>
    <n v="96.98"/>
    <n v="96.98"/>
    <n v="96.98"/>
    <n v="96.98"/>
    <n v="96.98"/>
    <n v="96.98"/>
    <n v="96.98"/>
    <n v="96.98"/>
    <n v="96.98"/>
    <n v="96.98"/>
    <n v="96.98"/>
    <n v="96.98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2"/>
    <s v="Bedroom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x v="2"/>
    <s v="Bedroom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x v="2"/>
    <s v="Bedroom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x v="2"/>
    <s v="Bedroom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x v="2"/>
    <s v="Bedroom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x v="2"/>
    <s v="Bedroom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x v="2"/>
    <s v="Bedroom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x v="2"/>
    <s v="Bedroom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x v="2"/>
    <s v="Kitchen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x v="2"/>
    <s v="Kitchen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x v="2"/>
    <s v="Kitchen"/>
    <n v="0"/>
    <n v="0"/>
    <n v="0"/>
    <n v="0"/>
    <n v="658.39"/>
    <n v="658.39"/>
    <n v="658.39"/>
    <n v="658.39"/>
    <n v="658.39"/>
    <n v="658.39"/>
    <n v="658.39"/>
    <n v="658.39"/>
    <n v="658.39"/>
    <n v="658.39"/>
    <n v="658.39"/>
    <n v="658.39"/>
    <n v="658.39"/>
  </r>
  <r>
    <x v="2"/>
    <s v="Kitchen"/>
    <n v="0"/>
    <n v="0"/>
    <n v="0"/>
    <n v="341.3775"/>
    <n v="341.3775"/>
    <n v="341.3775"/>
    <n v="341.3775"/>
    <n v="341.3775"/>
    <n v="682.755"/>
    <n v="682.755"/>
    <n v="682.755"/>
    <n v="1365.51"/>
    <n v="1365.51"/>
    <n v="1365.51"/>
    <n v="1365.51"/>
    <n v="1365.51"/>
    <n v="1365.51"/>
  </r>
  <r>
    <x v="2"/>
    <s v="Kitchen"/>
    <n v="0"/>
    <n v="0"/>
    <n v="0"/>
    <n v="41.16"/>
    <n v="41.16"/>
    <n v="41.16"/>
    <n v="41.16"/>
    <n v="41.16"/>
    <n v="41.16"/>
    <n v="41.16"/>
    <n v="41.16"/>
    <n v="41.16"/>
    <n v="41.16"/>
    <n v="41.16"/>
    <n v="41.16"/>
    <n v="41.16"/>
    <n v="41.16"/>
  </r>
  <r>
    <x v="2"/>
    <s v="Kitchen"/>
    <n v="0"/>
    <n v="0"/>
    <n v="0"/>
    <n v="97.05"/>
    <n v="97.05"/>
    <n v="97.05"/>
    <n v="97.05"/>
    <n v="97.05"/>
    <n v="97.05"/>
    <n v="97.05"/>
    <n v="97.05"/>
    <n v="97.05"/>
    <n v="97.05"/>
    <n v="97.05"/>
    <n v="97.05"/>
    <n v="97.05"/>
    <n v="97.05"/>
  </r>
  <r>
    <x v="2"/>
    <s v="Kitchen"/>
    <n v="0"/>
    <n v="0"/>
    <n v="0"/>
    <n v="112.6525"/>
    <n v="112.6525"/>
    <n v="112.6525"/>
    <n v="112.6525"/>
    <n v="112.6525"/>
    <n v="225.30500000000001"/>
    <n v="225.30500000000001"/>
    <n v="225.30500000000001"/>
    <n v="450.61"/>
    <n v="450.61"/>
    <n v="450.61"/>
    <n v="450.61"/>
    <n v="450.61"/>
    <n v="450.61"/>
  </r>
  <r>
    <x v="2"/>
    <s v="Kitchen"/>
    <n v="0"/>
    <n v="0"/>
    <n v="0"/>
    <n v="0"/>
    <n v="0"/>
    <n v="0"/>
    <n v="0"/>
    <n v="0"/>
    <n v="0"/>
    <n v="0"/>
    <n v="0"/>
    <n v="0"/>
    <n v="0"/>
    <n v="0"/>
    <n v="142.16999999999999"/>
    <n v="142.16999999999999"/>
    <n v="142.16999999999999"/>
  </r>
  <r>
    <x v="2"/>
    <s v="Kitchen"/>
    <n v="0"/>
    <n v="0"/>
    <n v="0"/>
    <n v="150.21"/>
    <n v="150.21"/>
    <n v="150.21"/>
    <n v="150.21"/>
    <n v="150.21"/>
    <n v="150.21"/>
    <n v="150.21"/>
    <n v="150.21"/>
    <n v="150.21"/>
    <n v="150.21"/>
    <n v="150.21"/>
    <n v="150.21"/>
    <n v="150.21"/>
    <n v="150.21"/>
  </r>
  <r>
    <x v="2"/>
    <s v="Kitchen"/>
    <n v="0"/>
    <n v="0"/>
    <n v="0"/>
    <n v="91.91"/>
    <n v="91.91"/>
    <n v="91.91"/>
    <n v="91.91"/>
    <n v="91.91"/>
    <n v="91.91"/>
    <n v="91.91"/>
    <n v="91.91"/>
    <n v="91.91"/>
    <n v="91.91"/>
    <n v="91.91"/>
    <n v="91.91"/>
    <n v="91.91"/>
    <n v="91.91"/>
  </r>
  <r>
    <x v="2"/>
    <s v="Kitchen"/>
    <n v="0"/>
    <n v="0"/>
    <n v="0"/>
    <n v="70.33"/>
    <n v="70.33"/>
    <n v="70.33"/>
    <n v="70.33"/>
    <n v="70.33"/>
    <n v="70.33"/>
    <n v="70.33"/>
    <n v="70.33"/>
    <n v="70.33"/>
    <n v="70.33"/>
    <n v="70.33"/>
    <n v="70.33"/>
    <n v="70.33"/>
    <n v="70.33"/>
  </r>
  <r>
    <x v="2"/>
    <s v="Kitchen"/>
    <n v="0"/>
    <n v="0"/>
    <n v="0"/>
    <n v="309.7"/>
    <n v="309.7"/>
    <n v="309.7"/>
    <n v="309.7"/>
    <n v="309.7"/>
    <n v="309.7"/>
    <n v="309.7"/>
    <n v="309.7"/>
    <n v="309.7"/>
    <n v="309.7"/>
    <n v="309.7"/>
    <n v="309.7"/>
    <n v="309.7"/>
    <n v="309.7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2"/>
    <s v="Bedroom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x v="2"/>
    <s v="Bedroom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x v="2"/>
    <s v="Bedroom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x v="2"/>
    <s v="Bedroom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x v="2"/>
    <s v="Bedroom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x v="2"/>
    <s v="Bedroom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x v="2"/>
    <s v="Bedroom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x v="2"/>
    <s v="Bedroom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435.46"/>
    <n v="435.46"/>
    <n v="435.46"/>
    <n v="435.46"/>
    <n v="435.46"/>
    <n v="435.46"/>
    <n v="435.46"/>
    <n v="435.46"/>
    <n v="435.46"/>
    <n v="435.46"/>
    <n v="435.46"/>
    <n v="435.46"/>
    <n v="435.46"/>
  </r>
  <r>
    <x v="2"/>
    <s v="Nook"/>
    <n v="0"/>
    <n v="0"/>
    <n v="0"/>
    <n v="225.79"/>
    <n v="225.79"/>
    <n v="225.79"/>
    <n v="225.79"/>
    <n v="225.79"/>
    <n v="451.58"/>
    <n v="451.58"/>
    <n v="451.58"/>
    <n v="903.16"/>
    <n v="903.16"/>
    <n v="903.16"/>
    <n v="903.16"/>
    <n v="903.16"/>
    <n v="903.16"/>
  </r>
  <r>
    <x v="2"/>
    <s v="Nook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Nook"/>
    <n v="0"/>
    <n v="0"/>
    <n v="0"/>
    <n v="48.384999999999998"/>
    <n v="48.384999999999998"/>
    <n v="48.384999999999998"/>
    <n v="48.384999999999998"/>
    <n v="48.384999999999998"/>
    <n v="96.77"/>
    <n v="96.77"/>
    <n v="96.77"/>
    <n v="193.54"/>
    <n v="193.54"/>
    <n v="193.54"/>
    <n v="193.54"/>
    <n v="193.54"/>
    <n v="193.54"/>
  </r>
  <r>
    <x v="2"/>
    <s v="Nook"/>
    <n v="0"/>
    <n v="0"/>
    <n v="0"/>
    <n v="0"/>
    <n v="0"/>
    <n v="0"/>
    <n v="0"/>
    <n v="0"/>
    <n v="0"/>
    <n v="0"/>
    <n v="0"/>
    <n v="0"/>
    <n v="0"/>
    <n v="0"/>
    <n v="61.06"/>
    <n v="61.06"/>
    <n v="61.06"/>
  </r>
  <r>
    <x v="2"/>
    <s v="Nook"/>
    <n v="0"/>
    <n v="0"/>
    <n v="0"/>
    <n v="64.52"/>
    <n v="64.52"/>
    <n v="64.52"/>
    <n v="64.52"/>
    <n v="64.52"/>
    <n v="64.52"/>
    <n v="64.52"/>
    <n v="64.52"/>
    <n v="64.52"/>
    <n v="64.52"/>
    <n v="64.52"/>
    <n v="64.52"/>
    <n v="64.52"/>
    <n v="64.52"/>
  </r>
  <r>
    <x v="2"/>
    <s v="Nook"/>
    <n v="0"/>
    <n v="0"/>
    <n v="0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</r>
  <r>
    <x v="2"/>
    <s v="Nook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2"/>
    <s v="Nook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x v="2"/>
    <s v="Living Area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x v="2"/>
    <s v="Living Area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x v="2"/>
    <s v="Living Area"/>
    <n v="0"/>
    <n v="0"/>
    <n v="0"/>
    <n v="220.25749999999999"/>
    <n v="220.25749999999999"/>
    <n v="220.25749999999999"/>
    <n v="220.25749999999999"/>
    <n v="220.25749999999999"/>
    <n v="440.51499999999999"/>
    <n v="440.51499999999999"/>
    <n v="440.51499999999999"/>
    <n v="881.03"/>
    <n v="881.03"/>
    <n v="881.03"/>
    <n v="881.03"/>
    <n v="881.03"/>
    <n v="881.03"/>
  </r>
  <r>
    <x v="2"/>
    <s v="Living Area"/>
    <n v="0"/>
    <n v="0"/>
    <n v="0"/>
    <n v="0"/>
    <n v="0"/>
    <n v="0"/>
    <n v="0"/>
    <n v="0"/>
    <n v="0"/>
    <n v="0"/>
    <n v="0"/>
    <n v="0"/>
    <n v="0"/>
    <n v="0"/>
    <n v="277.94"/>
    <n v="277.94"/>
    <n v="277.94"/>
  </r>
  <r>
    <x v="2"/>
    <s v="Living Area"/>
    <n v="0"/>
    <n v="0"/>
    <n v="0"/>
    <n v="293.67"/>
    <n v="293.67"/>
    <n v="293.67"/>
    <n v="293.67"/>
    <n v="293.67"/>
    <n v="293.67"/>
    <n v="293.67"/>
    <n v="293.67"/>
    <n v="293.67"/>
    <n v="293.67"/>
    <n v="293.67"/>
    <n v="293.67"/>
    <n v="293.67"/>
    <n v="293.67"/>
  </r>
  <r>
    <x v="2"/>
    <s v="Living Area"/>
    <n v="0"/>
    <n v="0"/>
    <n v="0"/>
    <n v="179.73"/>
    <n v="179.73"/>
    <n v="179.73"/>
    <n v="179.73"/>
    <n v="179.73"/>
    <n v="179.73"/>
    <n v="179.73"/>
    <n v="179.73"/>
    <n v="179.73"/>
    <n v="179.73"/>
    <n v="179.73"/>
    <n v="179.73"/>
    <n v="179.73"/>
    <n v="179.73"/>
  </r>
  <r>
    <x v="2"/>
    <s v="Living Area"/>
    <n v="0"/>
    <n v="0"/>
    <n v="0"/>
    <n v="137.51"/>
    <n v="137.51"/>
    <n v="137.51"/>
    <n v="137.51"/>
    <n v="137.51"/>
    <n v="137.51"/>
    <n v="137.51"/>
    <n v="137.51"/>
    <n v="137.51"/>
    <n v="137.51"/>
    <n v="137.51"/>
    <n v="137.51"/>
    <n v="137.51"/>
    <n v="137.51"/>
  </r>
  <r>
    <x v="2"/>
    <s v="Living Area"/>
    <n v="0"/>
    <n v="0"/>
    <n v="0"/>
    <n v="605.51"/>
    <n v="605.51"/>
    <n v="605.51"/>
    <n v="605.51"/>
    <n v="605.51"/>
    <n v="605.51"/>
    <n v="605.51"/>
    <n v="605.51"/>
    <n v="605.51"/>
    <n v="605.51"/>
    <n v="605.51"/>
    <n v="605.51"/>
    <n v="605.51"/>
    <n v="605.51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2"/>
    <s v="Full Bath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x v="2"/>
    <s v="Full Bath"/>
    <n v="0"/>
    <n v="0"/>
    <n v="0"/>
    <n v="25.28"/>
    <n v="25.28"/>
    <n v="25.28"/>
    <n v="25.28"/>
    <n v="25.28"/>
    <n v="25.28"/>
    <n v="25.28"/>
    <n v="25.28"/>
    <n v="25.28"/>
    <n v="25.28"/>
    <n v="25.28"/>
    <n v="25.28"/>
    <n v="25.28"/>
    <n v="25.28"/>
  </r>
  <r>
    <x v="2"/>
    <s v="Full Bath"/>
    <n v="0"/>
    <n v="0"/>
    <n v="0"/>
    <n v="59.6"/>
    <n v="59.6"/>
    <n v="59.6"/>
    <n v="59.6"/>
    <n v="59.6"/>
    <n v="59.6"/>
    <n v="59.6"/>
    <n v="59.6"/>
    <n v="59.6"/>
    <n v="59.6"/>
    <n v="59.6"/>
    <n v="59.6"/>
    <n v="59.6"/>
    <n v="59.6"/>
  </r>
  <r>
    <x v="2"/>
    <s v="Full Bath"/>
    <n v="0"/>
    <n v="0"/>
    <n v="0"/>
    <n v="40.32"/>
    <n v="40.32"/>
    <n v="40.32"/>
    <n v="40.32"/>
    <n v="40.32"/>
    <n v="80.64"/>
    <n v="80.64"/>
    <n v="80.64"/>
    <n v="161.28"/>
    <n v="161.28"/>
    <n v="161.28"/>
    <n v="161.28"/>
    <n v="161.28"/>
    <n v="161.28"/>
  </r>
  <r>
    <x v="2"/>
    <s v="Full Bath"/>
    <n v="0"/>
    <n v="0"/>
    <n v="0"/>
    <n v="0"/>
    <n v="0"/>
    <n v="0"/>
    <n v="0"/>
    <n v="0"/>
    <n v="0"/>
    <n v="0"/>
    <n v="0"/>
    <n v="0"/>
    <n v="0"/>
    <n v="0"/>
    <n v="50.88"/>
    <n v="50.88"/>
    <n v="50.88"/>
  </r>
  <r>
    <x v="2"/>
    <s v="Full Bath"/>
    <n v="0"/>
    <n v="0"/>
    <n v="0"/>
    <n v="53.76"/>
    <n v="53.76"/>
    <n v="53.76"/>
    <n v="53.76"/>
    <n v="53.76"/>
    <n v="53.76"/>
    <n v="53.76"/>
    <n v="53.76"/>
    <n v="53.76"/>
    <n v="53.76"/>
    <n v="53.76"/>
    <n v="53.76"/>
    <n v="53.76"/>
    <n v="53.76"/>
  </r>
  <r>
    <x v="2"/>
    <s v="Full Bath"/>
    <n v="0"/>
    <n v="0"/>
    <n v="0"/>
    <n v="32.9"/>
    <n v="32.9"/>
    <n v="32.9"/>
    <n v="32.9"/>
    <n v="32.9"/>
    <n v="32.9"/>
    <n v="32.9"/>
    <n v="32.9"/>
    <n v="32.9"/>
    <n v="32.9"/>
    <n v="32.9"/>
    <n v="32.9"/>
    <n v="32.9"/>
    <n v="32.9"/>
  </r>
  <r>
    <x v="2"/>
    <s v="Full Bath"/>
    <n v="0"/>
    <n v="0"/>
    <n v="0"/>
    <n v="25.18"/>
    <n v="25.18"/>
    <n v="25.18"/>
    <n v="25.18"/>
    <n v="25.18"/>
    <n v="25.18"/>
    <n v="25.18"/>
    <n v="25.18"/>
    <n v="25.18"/>
    <n v="25.18"/>
    <n v="25.18"/>
    <n v="25.18"/>
    <n v="25.18"/>
    <n v="25.18"/>
  </r>
  <r>
    <x v="2"/>
    <s v="Full Bath"/>
    <n v="0"/>
    <n v="0"/>
    <n v="0"/>
    <n v="110.85"/>
    <n v="110.85"/>
    <n v="110.85"/>
    <n v="110.85"/>
    <n v="110.85"/>
    <n v="110.85"/>
    <n v="110.85"/>
    <n v="110.85"/>
    <n v="110.85"/>
    <n v="110.85"/>
    <n v="110.85"/>
    <n v="110.85"/>
    <n v="110.85"/>
    <n v="110.85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x v="2"/>
    <s v="Hallway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x v="2"/>
    <s v="Hallway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x v="2"/>
    <s v="Hallway"/>
    <n v="0"/>
    <n v="0"/>
    <n v="0"/>
    <n v="60.8125"/>
    <n v="60.8125"/>
    <n v="60.8125"/>
    <n v="60.8125"/>
    <n v="60.8125"/>
    <n v="121.625"/>
    <n v="121.625"/>
    <n v="121.625"/>
    <n v="243.25"/>
    <n v="243.25"/>
    <n v="243.25"/>
    <n v="243.25"/>
    <n v="243.25"/>
    <n v="243.25"/>
  </r>
  <r>
    <x v="2"/>
    <s v="Hallway"/>
    <n v="0"/>
    <n v="0"/>
    <n v="0"/>
    <n v="0"/>
    <n v="0"/>
    <n v="0"/>
    <n v="0"/>
    <n v="0"/>
    <n v="0"/>
    <n v="0"/>
    <n v="0"/>
    <n v="0"/>
    <n v="0"/>
    <n v="0"/>
    <n v="76.75"/>
    <n v="76.75"/>
    <n v="76.75"/>
  </r>
  <r>
    <x v="2"/>
    <s v="Hallway"/>
    <n v="0"/>
    <n v="0"/>
    <n v="0"/>
    <n v="81.09"/>
    <n v="81.09"/>
    <n v="81.09"/>
    <n v="81.09"/>
    <n v="81.09"/>
    <n v="81.09"/>
    <n v="81.09"/>
    <n v="81.09"/>
    <n v="81.09"/>
    <n v="81.09"/>
    <n v="81.09"/>
    <n v="81.09"/>
    <n v="81.09"/>
    <n v="81.09"/>
  </r>
  <r>
    <x v="2"/>
    <s v="Hallway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Hallway"/>
    <n v="0"/>
    <n v="0"/>
    <n v="0"/>
    <n v="37.96"/>
    <n v="37.96"/>
    <n v="37.96"/>
    <n v="37.96"/>
    <n v="37.96"/>
    <n v="37.96"/>
    <n v="37.96"/>
    <n v="37.96"/>
    <n v="37.96"/>
    <n v="37.96"/>
    <n v="37.96"/>
    <n v="37.96"/>
    <n v="37.96"/>
    <n v="37.96"/>
  </r>
  <r>
    <x v="2"/>
    <s v="Hallway"/>
    <n v="0"/>
    <n v="0"/>
    <n v="0"/>
    <n v="167.19"/>
    <n v="167.19"/>
    <n v="167.19"/>
    <n v="167.19"/>
    <n v="167.19"/>
    <n v="167.19"/>
    <n v="167.19"/>
    <n v="167.19"/>
    <n v="167.19"/>
    <n v="167.19"/>
    <n v="167.19"/>
    <n v="167.19"/>
    <n v="167.19"/>
    <n v="167.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C0FB7-39CA-417B-935E-7F500939CD77}" name="grp3pivot" cacheId="1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87EFF-16EA-44D0-BB1D-BD7AA311DF26}" name="grp2pivot" cacheId="1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33ACE-C93F-47ED-8A10-E131BEC96660}">
  <sheetPr codeName="Sheet2"/>
  <dimension ref="A1:J80"/>
  <sheetViews>
    <sheetView workbookViewId="0">
      <selection activeCell="D19" sqref="D19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41" customWidth="1"/>
    <col min="5" max="5" width="20.42578125" customWidth="1"/>
    <col min="7" max="7" width="26.42578125" style="142" customWidth="1"/>
    <col min="8" max="8" width="30.5703125" style="142" customWidth="1"/>
    <col min="9" max="9" width="17.42578125" customWidth="1"/>
    <col min="10" max="10" width="15.5703125" style="142" customWidth="1"/>
  </cols>
  <sheetData>
    <row r="1" spans="1:9" x14ac:dyDescent="0.25">
      <c r="C1" t="s">
        <v>168</v>
      </c>
      <c r="D1" s="141" t="s">
        <v>169</v>
      </c>
      <c r="E1" t="s">
        <v>170</v>
      </c>
      <c r="F1" t="s">
        <v>171</v>
      </c>
      <c r="G1" s="142" t="s">
        <v>172</v>
      </c>
      <c r="H1" s="142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43" t="s">
        <v>177</v>
      </c>
      <c r="E2">
        <v>1</v>
      </c>
      <c r="F2" t="s">
        <v>178</v>
      </c>
      <c r="G2" s="142" t="s">
        <v>60</v>
      </c>
      <c r="H2" s="142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44"/>
      <c r="D6" s="143"/>
    </row>
    <row r="7" spans="1:9" x14ac:dyDescent="0.25">
      <c r="B7" t="s">
        <v>182</v>
      </c>
      <c r="C7" s="144" t="s">
        <v>183</v>
      </c>
    </row>
    <row r="8" spans="1:9" x14ac:dyDescent="0.25">
      <c r="B8" t="s">
        <v>184</v>
      </c>
      <c r="C8" s="3" t="s">
        <v>141</v>
      </c>
    </row>
    <row r="9" spans="1:9" x14ac:dyDescent="0.25">
      <c r="B9" t="s">
        <v>185</v>
      </c>
      <c r="C9" s="145">
        <v>0.1</v>
      </c>
    </row>
    <row r="10" spans="1:9" x14ac:dyDescent="0.25">
      <c r="B10" t="s">
        <v>186</v>
      </c>
      <c r="C10" s="145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41">
        <v>2000</v>
      </c>
    </row>
    <row r="17" spans="3:5" x14ac:dyDescent="0.25">
      <c r="C17" s="3" t="s">
        <v>189</v>
      </c>
      <c r="D17" s="141" t="s">
        <v>142</v>
      </c>
    </row>
    <row r="18" spans="3:5" x14ac:dyDescent="0.25">
      <c r="C18" s="3" t="s">
        <v>190</v>
      </c>
      <c r="D18" s="146">
        <v>1600</v>
      </c>
    </row>
    <row r="19" spans="3:5" x14ac:dyDescent="0.25">
      <c r="C19" s="3" t="s">
        <v>191</v>
      </c>
      <c r="D19" s="141" t="s">
        <v>192</v>
      </c>
    </row>
    <row r="20" spans="3:5" x14ac:dyDescent="0.25">
      <c r="C20" s="3" t="s">
        <v>193</v>
      </c>
      <c r="D20" s="141" t="s">
        <v>192</v>
      </c>
    </row>
    <row r="21" spans="3:5" x14ac:dyDescent="0.25">
      <c r="C21" s="3" t="s">
        <v>194</v>
      </c>
      <c r="D21" s="141" t="s">
        <v>192</v>
      </c>
    </row>
    <row r="22" spans="3:5" x14ac:dyDescent="0.25">
      <c r="C22" s="3" t="s">
        <v>195</v>
      </c>
      <c r="D22" s="141" t="s">
        <v>192</v>
      </c>
    </row>
    <row r="24" spans="3:5" x14ac:dyDescent="0.25">
      <c r="C24" s="3" t="s">
        <v>196</v>
      </c>
      <c r="D24" s="141" t="s">
        <v>197</v>
      </c>
    </row>
    <row r="25" spans="3:5" x14ac:dyDescent="0.25">
      <c r="C25" s="3" t="s">
        <v>10</v>
      </c>
      <c r="D25" s="141">
        <v>1</v>
      </c>
    </row>
    <row r="26" spans="3:5" x14ac:dyDescent="0.25">
      <c r="C26" s="3" t="s">
        <v>198</v>
      </c>
      <c r="D26" s="141" t="s">
        <v>60</v>
      </c>
      <c r="E26" s="147">
        <v>1</v>
      </c>
    </row>
    <row r="27" spans="3:5" x14ac:dyDescent="0.25">
      <c r="C27" s="3" t="s">
        <v>199</v>
      </c>
      <c r="D27" s="148" t="s">
        <v>142</v>
      </c>
    </row>
    <row r="28" spans="3:5" x14ac:dyDescent="0.25">
      <c r="C28" s="3" t="s">
        <v>200</v>
      </c>
      <c r="D28" s="141" t="s">
        <v>142</v>
      </c>
    </row>
    <row r="29" spans="3:5" x14ac:dyDescent="0.25">
      <c r="C29" s="3" t="s">
        <v>201</v>
      </c>
      <c r="D29" s="141" t="s">
        <v>179</v>
      </c>
    </row>
    <row r="30" spans="3:5" x14ac:dyDescent="0.25">
      <c r="C30" s="3" t="s">
        <v>202</v>
      </c>
      <c r="D30" s="141" t="s">
        <v>203</v>
      </c>
    </row>
    <row r="31" spans="3:5" x14ac:dyDescent="0.25">
      <c r="C31" s="3" t="s">
        <v>204</v>
      </c>
      <c r="D31" s="141" t="s">
        <v>205</v>
      </c>
    </row>
    <row r="32" spans="3:5" ht="30" x14ac:dyDescent="0.25">
      <c r="C32" s="3" t="s">
        <v>206</v>
      </c>
      <c r="D32" s="141" t="s">
        <v>207</v>
      </c>
    </row>
    <row r="33" spans="1:4" x14ac:dyDescent="0.25">
      <c r="C33" s="3" t="s">
        <v>208</v>
      </c>
      <c r="D33" s="141" t="s">
        <v>209</v>
      </c>
    </row>
    <row r="34" spans="1:4" x14ac:dyDescent="0.25">
      <c r="C34" s="3" t="s">
        <v>210</v>
      </c>
      <c r="D34" s="141" t="s">
        <v>211</v>
      </c>
    </row>
    <row r="35" spans="1:4" x14ac:dyDescent="0.25">
      <c r="C35" s="3" t="s">
        <v>212</v>
      </c>
      <c r="D35" s="141" t="s">
        <v>213</v>
      </c>
    </row>
    <row r="36" spans="1:4" x14ac:dyDescent="0.25">
      <c r="C36" s="3" t="s">
        <v>214</v>
      </c>
      <c r="D36" s="141" t="s">
        <v>141</v>
      </c>
    </row>
    <row r="37" spans="1:4" ht="45" x14ac:dyDescent="0.25">
      <c r="C37" s="3" t="s">
        <v>215</v>
      </c>
      <c r="D37" s="141" t="s">
        <v>216</v>
      </c>
    </row>
    <row r="38" spans="1:4" x14ac:dyDescent="0.25">
      <c r="C38" s="3" t="s">
        <v>217</v>
      </c>
      <c r="D38" s="141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41" t="s">
        <v>221</v>
      </c>
    </row>
    <row r="42" spans="1:4" x14ac:dyDescent="0.25">
      <c r="C42" s="3" t="s">
        <v>222</v>
      </c>
      <c r="D42" s="141" t="s">
        <v>223</v>
      </c>
    </row>
    <row r="43" spans="1:4" x14ac:dyDescent="0.25">
      <c r="C43" s="3" t="s">
        <v>224</v>
      </c>
      <c r="D43" s="141" t="s">
        <v>141</v>
      </c>
    </row>
    <row r="44" spans="1:4" x14ac:dyDescent="0.25">
      <c r="C44" s="3" t="s">
        <v>225</v>
      </c>
      <c r="D44" s="141" t="s">
        <v>141</v>
      </c>
    </row>
    <row r="45" spans="1:4" ht="30" x14ac:dyDescent="0.25">
      <c r="C45" s="3" t="s">
        <v>226</v>
      </c>
      <c r="D45" s="141" t="s">
        <v>227</v>
      </c>
    </row>
    <row r="46" spans="1:4" x14ac:dyDescent="0.25">
      <c r="C46" s="3" t="s">
        <v>228</v>
      </c>
      <c r="D46" s="141" t="s">
        <v>141</v>
      </c>
    </row>
    <row r="47" spans="1:4" x14ac:dyDescent="0.25">
      <c r="C47" s="3" t="s">
        <v>229</v>
      </c>
      <c r="D47" s="141" t="s">
        <v>141</v>
      </c>
    </row>
    <row r="48" spans="1:4" x14ac:dyDescent="0.25">
      <c r="A48" t="s">
        <v>219</v>
      </c>
    </row>
    <row r="49" spans="1:10" x14ac:dyDescent="0.25">
      <c r="C49" s="3" t="s">
        <v>230</v>
      </c>
      <c r="D49" s="141">
        <v>8</v>
      </c>
    </row>
    <row r="50" spans="1:10" x14ac:dyDescent="0.25">
      <c r="C50" s="3" t="s">
        <v>231</v>
      </c>
      <c r="D50" s="141" t="s">
        <v>232</v>
      </c>
    </row>
    <row r="51" spans="1:10" x14ac:dyDescent="0.25">
      <c r="C51" s="3" t="s">
        <v>233</v>
      </c>
      <c r="D51" s="141" t="s">
        <v>234</v>
      </c>
    </row>
    <row r="52" spans="1:10" x14ac:dyDescent="0.25">
      <c r="C52" s="3" t="s">
        <v>235</v>
      </c>
      <c r="D52" s="141" t="s">
        <v>234</v>
      </c>
    </row>
    <row r="53" spans="1:10" x14ac:dyDescent="0.25">
      <c r="C53" s="3" t="s">
        <v>236</v>
      </c>
      <c r="D53" s="141" t="s">
        <v>237</v>
      </c>
      <c r="E53" s="3" t="s">
        <v>12</v>
      </c>
    </row>
    <row r="54" spans="1:10" x14ac:dyDescent="0.25">
      <c r="C54" s="3" t="s">
        <v>238</v>
      </c>
      <c r="D54" s="141" t="s">
        <v>239</v>
      </c>
    </row>
    <row r="55" spans="1:10" x14ac:dyDescent="0.25">
      <c r="C55" s="3" t="s">
        <v>240</v>
      </c>
      <c r="D55" s="141" t="s">
        <v>141</v>
      </c>
    </row>
    <row r="56" spans="1:10" x14ac:dyDescent="0.25">
      <c r="C56" s="3" t="s">
        <v>241</v>
      </c>
      <c r="D56" s="141" t="s">
        <v>242</v>
      </c>
    </row>
    <row r="57" spans="1:10" x14ac:dyDescent="0.25">
      <c r="C57" s="3" t="s">
        <v>243</v>
      </c>
      <c r="D57" s="141" t="s">
        <v>141</v>
      </c>
    </row>
    <row r="58" spans="1:10" x14ac:dyDescent="0.25">
      <c r="C58" s="3" t="s">
        <v>244</v>
      </c>
      <c r="D58" s="141" t="s">
        <v>141</v>
      </c>
    </row>
    <row r="59" spans="1:10" x14ac:dyDescent="0.25">
      <c r="C59" s="3" t="s">
        <v>245</v>
      </c>
      <c r="D59" s="141" t="s">
        <v>141</v>
      </c>
    </row>
    <row r="60" spans="1:10" x14ac:dyDescent="0.25">
      <c r="C60" s="3" t="s">
        <v>246</v>
      </c>
      <c r="D60" s="141" t="s">
        <v>141</v>
      </c>
    </row>
    <row r="61" spans="1:10" x14ac:dyDescent="0.25">
      <c r="C61" s="3" t="s">
        <v>247</v>
      </c>
      <c r="D61" s="141" t="s">
        <v>141</v>
      </c>
    </row>
    <row r="63" spans="1:10" x14ac:dyDescent="0.25">
      <c r="A63" t="s">
        <v>143</v>
      </c>
      <c r="C63" s="3"/>
    </row>
    <row r="64" spans="1:10" ht="30" x14ac:dyDescent="0.25">
      <c r="B64" s="149" t="s">
        <v>248</v>
      </c>
      <c r="C64" s="149" t="s">
        <v>249</v>
      </c>
      <c r="D64" s="150" t="s">
        <v>169</v>
      </c>
      <c r="E64" s="150" t="s">
        <v>171</v>
      </c>
      <c r="F64" s="149" t="s">
        <v>250</v>
      </c>
      <c r="G64" s="150" t="s">
        <v>251</v>
      </c>
      <c r="H64" s="150" t="s">
        <v>252</v>
      </c>
      <c r="I64" s="149" t="s">
        <v>253</v>
      </c>
      <c r="J64" s="150" t="s">
        <v>254</v>
      </c>
    </row>
    <row r="65" spans="1:10" ht="45" x14ac:dyDescent="0.25">
      <c r="B65" t="s">
        <v>7</v>
      </c>
      <c r="C65" s="3" t="s">
        <v>12</v>
      </c>
      <c r="D65" s="141" t="s">
        <v>7</v>
      </c>
      <c r="E65" t="s">
        <v>178</v>
      </c>
      <c r="F65" t="s">
        <v>141</v>
      </c>
      <c r="G65" s="142" t="s">
        <v>141</v>
      </c>
      <c r="H65" s="142" t="s">
        <v>255</v>
      </c>
      <c r="I65" t="s">
        <v>256</v>
      </c>
      <c r="J65" s="142" t="s">
        <v>257</v>
      </c>
    </row>
    <row r="66" spans="1:10" ht="30" x14ac:dyDescent="0.25">
      <c r="B66" t="s">
        <v>258</v>
      </c>
      <c r="C66" s="3" t="s">
        <v>12</v>
      </c>
      <c r="D66" s="141" t="s">
        <v>13</v>
      </c>
      <c r="E66" t="s">
        <v>178</v>
      </c>
      <c r="F66" t="s">
        <v>141</v>
      </c>
      <c r="G66" s="142" t="s">
        <v>141</v>
      </c>
      <c r="H66" s="142" t="s">
        <v>259</v>
      </c>
      <c r="I66" t="s">
        <v>256</v>
      </c>
      <c r="J66" s="142" t="s">
        <v>141</v>
      </c>
    </row>
    <row r="67" spans="1:10" ht="30" x14ac:dyDescent="0.25">
      <c r="B67" t="s">
        <v>260</v>
      </c>
      <c r="C67" s="3" t="s">
        <v>12</v>
      </c>
      <c r="D67" s="141" t="s">
        <v>13</v>
      </c>
      <c r="E67" t="s">
        <v>178</v>
      </c>
      <c r="F67" t="s">
        <v>141</v>
      </c>
      <c r="G67" s="142" t="s">
        <v>141</v>
      </c>
      <c r="H67" s="142" t="s">
        <v>259</v>
      </c>
      <c r="I67" t="s">
        <v>256</v>
      </c>
      <c r="J67" s="142" t="s">
        <v>141</v>
      </c>
    </row>
    <row r="68" spans="1:10" x14ac:dyDescent="0.25">
      <c r="B68" t="s">
        <v>261</v>
      </c>
      <c r="C68" s="3" t="s">
        <v>12</v>
      </c>
      <c r="D68" s="141" t="s">
        <v>262</v>
      </c>
      <c r="E68" t="s">
        <v>263</v>
      </c>
      <c r="F68" t="s">
        <v>141</v>
      </c>
      <c r="G68" s="142" t="s">
        <v>141</v>
      </c>
      <c r="I68" t="s">
        <v>256</v>
      </c>
      <c r="J68" s="142" t="s">
        <v>141</v>
      </c>
    </row>
    <row r="69" spans="1:10" x14ac:dyDescent="0.25">
      <c r="B69" t="s">
        <v>4</v>
      </c>
      <c r="C69" s="3" t="s">
        <v>12</v>
      </c>
      <c r="D69" s="141" t="s">
        <v>4</v>
      </c>
      <c r="E69" t="s">
        <v>178</v>
      </c>
      <c r="F69" t="s">
        <v>141</v>
      </c>
      <c r="G69" t="s">
        <v>141</v>
      </c>
    </row>
    <row r="70" spans="1:10" x14ac:dyDescent="0.25">
      <c r="B70" t="s">
        <v>264</v>
      </c>
      <c r="C70" s="3" t="s">
        <v>12</v>
      </c>
      <c r="D70" s="141" t="s">
        <v>4</v>
      </c>
      <c r="E70" t="s">
        <v>265</v>
      </c>
      <c r="F70" t="s">
        <v>141</v>
      </c>
      <c r="G70" t="s">
        <v>141</v>
      </c>
    </row>
    <row r="71" spans="1:10" x14ac:dyDescent="0.25">
      <c r="B71" t="s">
        <v>266</v>
      </c>
      <c r="C71" s="3" t="s">
        <v>12</v>
      </c>
      <c r="D71" s="141" t="s">
        <v>4</v>
      </c>
      <c r="E71" t="s">
        <v>267</v>
      </c>
      <c r="F71" t="s">
        <v>141</v>
      </c>
      <c r="G71" t="s">
        <v>141</v>
      </c>
    </row>
    <row r="72" spans="1:10" x14ac:dyDescent="0.25">
      <c r="B72" t="s">
        <v>268</v>
      </c>
      <c r="C72" s="3" t="s">
        <v>12</v>
      </c>
      <c r="D72" s="141" t="s">
        <v>14</v>
      </c>
      <c r="E72" t="s">
        <v>263</v>
      </c>
      <c r="F72" t="s">
        <v>141</v>
      </c>
      <c r="G72" t="s">
        <v>141</v>
      </c>
    </row>
    <row r="73" spans="1:10" x14ac:dyDescent="0.25">
      <c r="B73" t="s">
        <v>269</v>
      </c>
      <c r="C73" s="3" t="s">
        <v>12</v>
      </c>
      <c r="D73" s="141" t="s">
        <v>14</v>
      </c>
      <c r="E73" t="s">
        <v>265</v>
      </c>
      <c r="F73" t="s">
        <v>141</v>
      </c>
      <c r="G73" t="s">
        <v>141</v>
      </c>
    </row>
    <row r="74" spans="1:10" x14ac:dyDescent="0.25">
      <c r="B74" t="s">
        <v>270</v>
      </c>
      <c r="C74" s="3" t="s">
        <v>12</v>
      </c>
      <c r="D74" s="141" t="s">
        <v>271</v>
      </c>
      <c r="E74" t="s">
        <v>178</v>
      </c>
      <c r="F74" t="s">
        <v>141</v>
      </c>
      <c r="G74" t="s">
        <v>141</v>
      </c>
    </row>
    <row r="75" spans="1:10" x14ac:dyDescent="0.25">
      <c r="B75" t="s">
        <v>272</v>
      </c>
      <c r="C75" s="3" t="s">
        <v>12</v>
      </c>
      <c r="D75" t="s">
        <v>273</v>
      </c>
      <c r="E75" t="s">
        <v>263</v>
      </c>
      <c r="F75" t="s">
        <v>141</v>
      </c>
      <c r="G75" t="s">
        <v>141</v>
      </c>
    </row>
    <row r="76" spans="1:10" s="142" customFormat="1" x14ac:dyDescent="0.25">
      <c r="A76"/>
      <c r="B76" t="s">
        <v>274</v>
      </c>
      <c r="C76" s="3" t="s">
        <v>12</v>
      </c>
      <c r="D76" t="s">
        <v>275</v>
      </c>
      <c r="E76" t="s">
        <v>263</v>
      </c>
      <c r="F76" t="s">
        <v>141</v>
      </c>
      <c r="G76" t="s">
        <v>141</v>
      </c>
      <c r="I76"/>
    </row>
    <row r="77" spans="1:10" s="142" customFormat="1" x14ac:dyDescent="0.25">
      <c r="A77"/>
      <c r="B77" t="s">
        <v>6</v>
      </c>
      <c r="C77" s="3" t="s">
        <v>12</v>
      </c>
      <c r="D77" s="141" t="s">
        <v>6</v>
      </c>
      <c r="E77" t="s">
        <v>265</v>
      </c>
      <c r="F77" t="s">
        <v>141</v>
      </c>
      <c r="G77" t="s">
        <v>141</v>
      </c>
      <c r="I77"/>
    </row>
    <row r="78" spans="1:10" s="142" customFormat="1" x14ac:dyDescent="0.25">
      <c r="A78"/>
      <c r="B78" t="s">
        <v>5</v>
      </c>
      <c r="C78" s="3" t="s">
        <v>12</v>
      </c>
      <c r="D78" s="141" t="s">
        <v>5</v>
      </c>
      <c r="E78" t="s">
        <v>178</v>
      </c>
      <c r="F78" t="s">
        <v>141</v>
      </c>
      <c r="G78" t="s">
        <v>141</v>
      </c>
      <c r="I78"/>
    </row>
    <row r="79" spans="1:10" s="142" customFormat="1" x14ac:dyDescent="0.25">
      <c r="A79"/>
      <c r="B79" t="s">
        <v>276</v>
      </c>
      <c r="C79" s="3" t="s">
        <v>12</v>
      </c>
      <c r="D79" s="141" t="s">
        <v>15</v>
      </c>
      <c r="E79" t="s">
        <v>178</v>
      </c>
      <c r="F79" t="s">
        <v>141</v>
      </c>
      <c r="G79" t="s">
        <v>141</v>
      </c>
      <c r="I79"/>
    </row>
    <row r="80" spans="1:10" s="142" customFormat="1" x14ac:dyDescent="0.25">
      <c r="A80"/>
      <c r="B80" s="151" t="s">
        <v>277</v>
      </c>
      <c r="C80" s="142" t="s">
        <v>12</v>
      </c>
      <c r="D80" s="142" t="s">
        <v>278</v>
      </c>
      <c r="E80" s="142" t="s">
        <v>178</v>
      </c>
      <c r="F80" s="142" t="s">
        <v>141</v>
      </c>
      <c r="G80" s="142" t="s">
        <v>141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3" workbookViewId="0">
      <selection activeCell="H3" sqref="H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80</v>
      </c>
      <c r="D6" s="44" t="s">
        <v>167</v>
      </c>
      <c r="E6" s="21" t="b">
        <f>COUNTIF(E8:E14,TRUE)&gt;0</f>
        <v>1</v>
      </c>
      <c r="F6" s="51"/>
      <c r="H6" s="15"/>
    </row>
    <row r="7" spans="1:8" ht="20.100000000000001" customHeight="1" x14ac:dyDescent="0.25">
      <c r="A7" s="23"/>
      <c r="B7" s="12"/>
      <c r="C7" s="24" t="s">
        <v>81</v>
      </c>
      <c r="D7" s="24" t="s">
        <v>78</v>
      </c>
      <c r="E7" s="21" t="b">
        <v>1</v>
      </c>
      <c r="F7" s="34" t="str">
        <f>IF(E7,lists!G2,lists!G3)</f>
        <v>Rule Book open at last check</v>
      </c>
      <c r="G7" t="s">
        <v>93</v>
      </c>
    </row>
    <row r="8" spans="1:8" x14ac:dyDescent="0.25">
      <c r="A8" s="122"/>
      <c r="B8" s="121"/>
      <c r="C8" s="16" t="s">
        <v>75</v>
      </c>
      <c r="D8" s="87" t="s">
        <v>280</v>
      </c>
      <c r="E8" s="21" t="b">
        <v>1</v>
      </c>
      <c r="F8" s="123" t="s">
        <v>73</v>
      </c>
      <c r="G8" t="s">
        <v>91</v>
      </c>
    </row>
    <row r="9" spans="1:8" x14ac:dyDescent="0.25">
      <c r="A9" s="122"/>
      <c r="B9" s="121"/>
      <c r="C9" s="16" t="s">
        <v>79</v>
      </c>
      <c r="D9" s="87" t="s">
        <v>279</v>
      </c>
      <c r="E9" s="21" t="b">
        <v>1</v>
      </c>
      <c r="F9" s="124"/>
      <c r="G9" t="s">
        <v>90</v>
      </c>
    </row>
    <row r="10" spans="1:8" x14ac:dyDescent="0.25">
      <c r="A10" s="122"/>
      <c r="B10" s="121"/>
      <c r="C10" s="16" t="s">
        <v>70</v>
      </c>
      <c r="D10" s="89">
        <v>1</v>
      </c>
      <c r="E10" s="21" t="b">
        <v>1</v>
      </c>
      <c r="F10" s="125" t="s">
        <v>92</v>
      </c>
      <c r="G10" t="s">
        <v>90</v>
      </c>
    </row>
    <row r="11" spans="1:8" x14ac:dyDescent="0.25">
      <c r="A11" s="122"/>
      <c r="B11" s="121"/>
      <c r="C11" s="16" t="s">
        <v>71</v>
      </c>
      <c r="D11" s="89" t="s">
        <v>60</v>
      </c>
      <c r="E11" s="21" t="b">
        <v>1</v>
      </c>
      <c r="F11" s="125"/>
      <c r="G11" t="s">
        <v>90</v>
      </c>
    </row>
    <row r="12" spans="1:8" x14ac:dyDescent="0.25">
      <c r="A12" s="122"/>
      <c r="B12" s="121"/>
      <c r="C12" s="16" t="s">
        <v>69</v>
      </c>
      <c r="D12" s="89" t="s">
        <v>12</v>
      </c>
      <c r="E12" s="21" t="b">
        <v>1</v>
      </c>
      <c r="F12" s="125"/>
      <c r="G12" t="s">
        <v>90</v>
      </c>
    </row>
    <row r="13" spans="1:8" x14ac:dyDescent="0.25">
      <c r="A13" s="122"/>
      <c r="B13" s="121"/>
      <c r="C13" s="16" t="s">
        <v>87</v>
      </c>
      <c r="D13" s="89" t="s">
        <v>281</v>
      </c>
      <c r="E13" s="21" t="b">
        <v>1</v>
      </c>
      <c r="F13" s="120" t="s">
        <v>74</v>
      </c>
      <c r="G13" t="s">
        <v>91</v>
      </c>
    </row>
    <row r="14" spans="1:8" x14ac:dyDescent="0.25">
      <c r="A14" s="122"/>
      <c r="B14" s="121"/>
      <c r="C14" s="16" t="s">
        <v>72</v>
      </c>
      <c r="D14" s="89" t="s">
        <v>282</v>
      </c>
      <c r="E14" s="21" t="b">
        <v>1</v>
      </c>
      <c r="F14" s="120"/>
      <c r="G14" t="s">
        <v>91</v>
      </c>
    </row>
    <row r="15" spans="1:8" ht="15" customHeight="1" x14ac:dyDescent="0.25">
      <c r="C15" s="30" t="s">
        <v>88</v>
      </c>
      <c r="D15" s="118" t="s">
        <v>89</v>
      </c>
      <c r="E15" s="31"/>
      <c r="F15" s="35" t="s">
        <v>131</v>
      </c>
      <c r="G15" t="s">
        <v>89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86</v>
      </c>
      <c r="D18" s="50"/>
      <c r="E18" s="21"/>
      <c r="F18" s="37"/>
    </row>
    <row r="20" spans="2:8" ht="30" customHeight="1" x14ac:dyDescent="0.25">
      <c r="B20" s="59">
        <v>3</v>
      </c>
      <c r="C20" s="40" t="s">
        <v>23</v>
      </c>
      <c r="D20" s="50"/>
      <c r="E20" s="21"/>
      <c r="F20" s="37"/>
      <c r="H20" s="19"/>
    </row>
    <row r="22" spans="2:8" ht="30" customHeight="1" x14ac:dyDescent="0.25">
      <c r="B22" s="58">
        <v>4</v>
      </c>
      <c r="C22" s="40" t="s">
        <v>68</v>
      </c>
      <c r="D22" s="50"/>
      <c r="E22" s="45"/>
      <c r="F22" s="37"/>
      <c r="H22" s="111" t="s">
        <v>153</v>
      </c>
    </row>
    <row r="24" spans="2:8" ht="30" customHeight="1" x14ac:dyDescent="0.25">
      <c r="B24" s="58">
        <v>5</v>
      </c>
      <c r="C24" s="40" t="s">
        <v>62</v>
      </c>
      <c r="D24" s="50"/>
      <c r="E24" s="21"/>
      <c r="F24" s="37"/>
    </row>
    <row r="26" spans="2:8" ht="30" customHeight="1" x14ac:dyDescent="0.25">
      <c r="B26" s="58">
        <v>6</v>
      </c>
      <c r="C26" s="40" t="s">
        <v>22</v>
      </c>
      <c r="D26" s="50"/>
      <c r="E26" s="21"/>
      <c r="F26" s="37"/>
      <c r="H26" s="19"/>
    </row>
    <row r="28" spans="2:8" ht="30" customHeight="1" x14ac:dyDescent="0.25">
      <c r="B28" s="58">
        <v>7</v>
      </c>
      <c r="C28" s="40" t="s">
        <v>63</v>
      </c>
      <c r="D28" s="50"/>
      <c r="E28" s="21"/>
      <c r="F28" s="37"/>
    </row>
    <row r="30" spans="2:8" ht="30" customHeight="1" x14ac:dyDescent="0.25">
      <c r="B30" s="58">
        <v>8</v>
      </c>
      <c r="C30" s="40" t="s">
        <v>64</v>
      </c>
      <c r="D30" s="50"/>
      <c r="E30" s="21"/>
      <c r="F30" s="37"/>
    </row>
    <row r="31" spans="2:8" x14ac:dyDescent="0.25">
      <c r="D31" s="38"/>
    </row>
    <row r="32" spans="2:8" ht="30" customHeight="1" x14ac:dyDescent="0.25">
      <c r="B32" s="58">
        <v>9</v>
      </c>
      <c r="C32" s="39" t="s">
        <v>111</v>
      </c>
      <c r="D32" s="50"/>
      <c r="E32" s="21"/>
      <c r="F32" s="37"/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"/>
  <sheetViews>
    <sheetView workbookViewId="0">
      <selection activeCell="A2" sqref="A2:J9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37"/>
  <sheetViews>
    <sheetView workbookViewId="0">
      <selection activeCell="K17" sqref="K1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26" t="s">
        <v>0</v>
      </c>
      <c r="B1" s="126"/>
      <c r="C1" s="126"/>
      <c r="D1" s="126"/>
      <c r="E1" s="126"/>
      <c r="F1" s="62" t="s">
        <v>101</v>
      </c>
      <c r="G1" s="129" t="s">
        <v>52</v>
      </c>
      <c r="H1" s="130"/>
      <c r="I1" s="130"/>
      <c r="J1" s="130"/>
      <c r="K1" s="130"/>
      <c r="L1" s="130"/>
      <c r="M1" s="130"/>
      <c r="N1" s="130"/>
      <c r="O1" s="130"/>
    </row>
    <row r="2" spans="1:15" ht="52.5" customHeight="1" x14ac:dyDescent="0.25">
      <c r="A2" s="70"/>
      <c r="B2" s="128"/>
      <c r="C2" s="128"/>
      <c r="D2" s="127">
        <f>Home!F22</f>
        <v>0</v>
      </c>
      <c r="E2" s="127"/>
      <c r="F2" s="49">
        <f>Home!E22</f>
        <v>0</v>
      </c>
      <c r="G2" s="103" t="s">
        <v>57</v>
      </c>
      <c r="H2" s="103" t="s">
        <v>44</v>
      </c>
      <c r="I2" s="103" t="s">
        <v>45</v>
      </c>
      <c r="J2" s="105" t="s">
        <v>46</v>
      </c>
      <c r="K2" s="103" t="s">
        <v>47</v>
      </c>
      <c r="L2" s="104" t="s">
        <v>144</v>
      </c>
      <c r="M2" s="104" t="s">
        <v>145</v>
      </c>
      <c r="N2" s="104" t="s">
        <v>146</v>
      </c>
      <c r="O2" s="104" t="s">
        <v>151</v>
      </c>
    </row>
    <row r="3" spans="1:15" x14ac:dyDescent="0.25">
      <c r="A3" s="46"/>
      <c r="B3" s="46"/>
      <c r="C3" s="46"/>
      <c r="D3" s="47"/>
      <c r="E3" s="48"/>
      <c r="F3" s="47"/>
      <c r="G3" s="65"/>
      <c r="H3" s="66"/>
      <c r="I3" s="66"/>
      <c r="J3" s="65"/>
      <c r="K3" s="65"/>
      <c r="L3" s="65"/>
      <c r="M3" s="65"/>
      <c r="N3" s="109"/>
      <c r="O3" s="109"/>
    </row>
    <row r="4" spans="1:15" x14ac:dyDescent="0.25">
      <c r="A4" s="46"/>
      <c r="B4" s="46"/>
      <c r="C4" s="46"/>
      <c r="D4" s="1"/>
      <c r="E4" s="1"/>
      <c r="G4" s="65"/>
      <c r="H4" s="66"/>
      <c r="I4" s="66"/>
      <c r="J4" s="65"/>
      <c r="K4" s="65"/>
      <c r="L4" s="65"/>
      <c r="M4" s="65"/>
      <c r="N4" s="109"/>
      <c r="O4" s="109"/>
    </row>
    <row r="5" spans="1:15" x14ac:dyDescent="0.25">
      <c r="A5" s="41"/>
      <c r="B5" s="41"/>
      <c r="C5" s="41"/>
      <c r="D5" s="41"/>
      <c r="E5" s="41"/>
      <c r="G5" s="65"/>
      <c r="H5" s="66"/>
      <c r="I5" s="66"/>
      <c r="J5" s="65"/>
      <c r="K5" s="65"/>
      <c r="L5" s="65"/>
      <c r="M5" s="65"/>
      <c r="N5" s="109"/>
      <c r="O5" s="109"/>
    </row>
    <row r="6" spans="1:15" x14ac:dyDescent="0.25">
      <c r="A6" s="1"/>
      <c r="B6" s="5" t="s">
        <v>2</v>
      </c>
      <c r="C6" s="5" t="s">
        <v>3</v>
      </c>
      <c r="D6" s="1"/>
      <c r="E6" s="1"/>
      <c r="G6" s="65"/>
      <c r="H6" s="65"/>
      <c r="I6" s="65"/>
      <c r="J6" s="65"/>
      <c r="K6" s="65"/>
      <c r="L6" s="65"/>
      <c r="M6" s="65"/>
      <c r="N6" s="109"/>
      <c r="O6" s="109"/>
    </row>
    <row r="7" spans="1:15" x14ac:dyDescent="0.25">
      <c r="A7" s="2" t="s">
        <v>17</v>
      </c>
      <c r="B7" s="67"/>
      <c r="C7" s="69"/>
      <c r="D7" s="1"/>
      <c r="E7" s="1"/>
      <c r="G7" s="65"/>
      <c r="H7" s="65"/>
      <c r="I7" s="65"/>
      <c r="J7" s="65"/>
      <c r="K7" s="65"/>
      <c r="L7" s="65"/>
      <c r="M7" s="65"/>
      <c r="N7" s="109"/>
      <c r="O7" s="109"/>
    </row>
    <row r="8" spans="1:15" x14ac:dyDescent="0.25">
      <c r="A8" s="2" t="s">
        <v>10</v>
      </c>
      <c r="B8" s="67"/>
      <c r="C8" s="1"/>
      <c r="D8" s="1"/>
      <c r="E8" s="1"/>
      <c r="G8" s="65"/>
      <c r="H8" s="65"/>
      <c r="I8" s="65"/>
      <c r="J8" s="65"/>
      <c r="K8" s="65"/>
      <c r="L8" s="65"/>
      <c r="M8" s="65"/>
      <c r="N8" s="109"/>
      <c r="O8" s="109"/>
    </row>
    <row r="9" spans="1:15" x14ac:dyDescent="0.25">
      <c r="A9" s="2" t="s">
        <v>18</v>
      </c>
      <c r="B9" s="68"/>
      <c r="C9" s="1"/>
      <c r="D9" s="1"/>
      <c r="E9" s="1"/>
      <c r="G9" s="65"/>
      <c r="H9" s="65"/>
      <c r="I9" s="65"/>
      <c r="J9" s="65"/>
      <c r="K9" s="65"/>
      <c r="L9" s="65"/>
      <c r="M9" s="65"/>
      <c r="N9" s="109"/>
      <c r="O9" s="109"/>
    </row>
    <row r="10" spans="1:15" x14ac:dyDescent="0.25">
      <c r="A10" s="115" t="s">
        <v>115</v>
      </c>
      <c r="B10" s="68"/>
      <c r="C10" s="1"/>
      <c r="D10" s="1"/>
      <c r="E10" s="1"/>
      <c r="G10" s="65"/>
      <c r="H10" s="65"/>
      <c r="I10" s="65"/>
      <c r="J10" s="65"/>
      <c r="K10" s="65"/>
      <c r="L10" s="65"/>
      <c r="M10" s="65"/>
      <c r="N10" s="109"/>
      <c r="O10" s="109"/>
    </row>
    <row r="11" spans="1:15" x14ac:dyDescent="0.25">
      <c r="A11" s="1" t="s">
        <v>56</v>
      </c>
      <c r="B11" s="42" t="e">
        <f>C14</f>
        <v>#DIV/0!</v>
      </c>
      <c r="C11" s="42" t="e">
        <f>C16</f>
        <v>#DIV/0!</v>
      </c>
      <c r="D11" s="1"/>
      <c r="E11" s="1"/>
      <c r="G11" s="65"/>
      <c r="H11" s="65"/>
      <c r="I11" s="65"/>
      <c r="J11" s="65"/>
      <c r="K11" s="65"/>
      <c r="L11" s="65"/>
      <c r="M11" s="65"/>
      <c r="N11" s="109"/>
      <c r="O11" s="109"/>
    </row>
    <row r="12" spans="1:15" x14ac:dyDescent="0.25">
      <c r="A12" s="1"/>
      <c r="B12" s="1"/>
      <c r="C12" s="1"/>
      <c r="D12" s="1"/>
      <c r="E12" s="1"/>
      <c r="G12" s="65"/>
      <c r="H12" s="65"/>
      <c r="I12" s="65"/>
      <c r="J12" s="65"/>
      <c r="K12" s="65"/>
      <c r="L12" s="65"/>
      <c r="M12" s="65"/>
      <c r="N12" s="109"/>
      <c r="O12" s="109"/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50</v>
      </c>
      <c r="F13"/>
      <c r="G13" s="65"/>
      <c r="H13" s="65"/>
      <c r="I13" s="65"/>
      <c r="J13" s="65"/>
      <c r="K13" s="65"/>
      <c r="L13" s="65"/>
      <c r="M13" s="65"/>
      <c r="N13" s="109"/>
      <c r="O13" s="109"/>
    </row>
    <row r="14" spans="1:15" x14ac:dyDescent="0.25">
      <c r="A14" s="4" t="s">
        <v>48</v>
      </c>
      <c r="B14" s="42" t="e">
        <f>C14+D14+E14</f>
        <v>#DIV/0!</v>
      </c>
      <c r="C14" s="42" t="e">
        <f>B7/B8</f>
        <v>#DIV/0!</v>
      </c>
      <c r="D14" s="42" t="e">
        <f>C14*B9</f>
        <v>#DIV/0!</v>
      </c>
      <c r="E14" s="42" t="e">
        <f>B7-C14</f>
        <v>#DIV/0!</v>
      </c>
      <c r="F14"/>
      <c r="G14" s="65"/>
      <c r="H14" s="65"/>
      <c r="I14" s="65"/>
      <c r="J14" s="65"/>
      <c r="K14" s="65"/>
      <c r="L14" s="65"/>
      <c r="M14" s="65"/>
      <c r="N14" s="109"/>
      <c r="O14" s="109"/>
    </row>
    <row r="15" spans="1:15" x14ac:dyDescent="0.25">
      <c r="A15" s="4" t="s">
        <v>49</v>
      </c>
      <c r="B15" s="42">
        <f>SUMIFS(H:H,G:G,"&lt;&gt;mech_single",G:G,"&lt;&gt;general",G:G,"&lt;&gt;general_main")</f>
        <v>0</v>
      </c>
      <c r="C15" s="42">
        <f>SUMIFS(H:H,G:G,"&lt;&gt;general_main",J:J,C13)</f>
        <v>0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109"/>
      <c r="O15" s="109"/>
    </row>
    <row r="16" spans="1:15" x14ac:dyDescent="0.25">
      <c r="A16" s="4" t="s">
        <v>58</v>
      </c>
      <c r="B16" s="42" t="e">
        <f>B14*0.092903</f>
        <v>#DIV/0!</v>
      </c>
      <c r="C16" s="42" t="e">
        <f t="shared" ref="C16:E17" si="0">C14*0.092903</f>
        <v>#DIV/0!</v>
      </c>
      <c r="D16" s="42" t="e">
        <f t="shared" si="0"/>
        <v>#DIV/0!</v>
      </c>
      <c r="E16" s="42" t="e">
        <f t="shared" si="0"/>
        <v>#DIV/0!</v>
      </c>
      <c r="F16"/>
      <c r="G16" s="65"/>
      <c r="H16" s="65"/>
      <c r="I16" s="65"/>
      <c r="J16" s="65"/>
      <c r="K16" s="65"/>
      <c r="L16" s="65"/>
      <c r="M16" s="65"/>
      <c r="N16" s="109"/>
      <c r="O16" s="109"/>
    </row>
    <row r="17" spans="1:15" x14ac:dyDescent="0.25">
      <c r="A17" s="4" t="s">
        <v>59</v>
      </c>
      <c r="B17" s="42">
        <f>B15*0.092903</f>
        <v>0</v>
      </c>
      <c r="C17" s="42">
        <f t="shared" si="0"/>
        <v>0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109"/>
      <c r="O17" s="109"/>
    </row>
    <row r="18" spans="1:15" x14ac:dyDescent="0.25">
      <c r="A18" s="4" t="s">
        <v>43</v>
      </c>
      <c r="B18" s="43" t="e">
        <f>IF(B14&gt;0,B15/B14,"")</f>
        <v>#DIV/0!</v>
      </c>
      <c r="C18" s="43" t="e">
        <f t="shared" ref="C18:E18" si="1">IF(C14&gt;0,C15/C14,"")</f>
        <v>#DIV/0!</v>
      </c>
      <c r="D18" s="43" t="e">
        <f t="shared" si="1"/>
        <v>#DIV/0!</v>
      </c>
      <c r="E18" s="43" t="e">
        <f t="shared" si="1"/>
        <v>#DIV/0!</v>
      </c>
      <c r="F18"/>
      <c r="G18" s="65"/>
      <c r="H18" s="65"/>
      <c r="I18" s="65"/>
      <c r="J18" s="65"/>
      <c r="K18" s="65"/>
      <c r="L18" s="65"/>
      <c r="M18" s="65"/>
      <c r="N18" s="109"/>
      <c r="O18" s="10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9"/>
      <c r="O19" s="109"/>
    </row>
    <row r="20" spans="1:15" x14ac:dyDescent="0.25">
      <c r="A20" s="108" t="s">
        <v>148</v>
      </c>
      <c r="B20" s="106" t="s">
        <v>1</v>
      </c>
      <c r="C20" s="106" t="s">
        <v>12</v>
      </c>
      <c r="D20" s="106" t="s">
        <v>11</v>
      </c>
      <c r="E20" s="106" t="s">
        <v>50</v>
      </c>
      <c r="F20"/>
      <c r="G20" s="65"/>
      <c r="H20" s="65"/>
      <c r="I20" s="65"/>
      <c r="J20" s="65"/>
      <c r="K20" s="65"/>
      <c r="L20" s="65"/>
      <c r="M20" s="65"/>
      <c r="N20" s="109"/>
      <c r="O20" s="109"/>
    </row>
    <row r="21" spans="1:15" x14ac:dyDescent="0.25">
      <c r="A21" s="87" t="s">
        <v>149</v>
      </c>
      <c r="B21" s="110" t="e">
        <f>SUM(C21:E21)</f>
        <v>#DIV/0!</v>
      </c>
      <c r="C21" s="110" t="e">
        <f>C16*VLOOKUP($A21,$M$3:$N$37,2,FALSE)</f>
        <v>#DIV/0!</v>
      </c>
      <c r="D21" s="110" t="e">
        <f t="shared" ref="D21:E21" si="2">D16*VLOOKUP($A21,$M$3:$N$37,2,FALSE)</f>
        <v>#DIV/0!</v>
      </c>
      <c r="E21" s="110" t="e">
        <f t="shared" si="2"/>
        <v>#DIV/0!</v>
      </c>
      <c r="F21"/>
      <c r="G21" s="65"/>
      <c r="H21" s="65"/>
      <c r="I21" s="65"/>
      <c r="J21" s="65"/>
      <c r="K21" s="65"/>
      <c r="L21" s="65"/>
      <c r="M21" s="65"/>
      <c r="N21" s="109"/>
      <c r="O21" s="109"/>
    </row>
    <row r="22" spans="1:15" x14ac:dyDescent="0.25">
      <c r="A22" s="87" t="s">
        <v>147</v>
      </c>
      <c r="B22" s="110">
        <f t="shared" ref="B22:B24" si="3">SUM(C22:E22)</f>
        <v>0</v>
      </c>
      <c r="C22" s="110">
        <f>SUMIFS($O$3:$O$37,$J$3:$J$37,C$20,$M$3:$M$37,$A22)</f>
        <v>0</v>
      </c>
      <c r="D22" s="110">
        <f t="shared" ref="D22:E24" si="4">SUMIFS($O$3:$O$37,$J$3:$J$37,D$20,$M$3:$M$37,$A22)</f>
        <v>0</v>
      </c>
      <c r="E22" s="11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9"/>
      <c r="O22" s="109"/>
    </row>
    <row r="23" spans="1:15" x14ac:dyDescent="0.25">
      <c r="A23" s="87" t="s">
        <v>143</v>
      </c>
      <c r="B23" s="110">
        <f t="shared" si="3"/>
        <v>0</v>
      </c>
      <c r="C23" s="110">
        <f t="shared" ref="C23:C24" si="5">SUMIFS($O$3:$O$37,$J$3:$J$37,C$20,$M$3:$M$37,$A23)</f>
        <v>0</v>
      </c>
      <c r="D23" s="110">
        <f t="shared" si="4"/>
        <v>0</v>
      </c>
      <c r="E23" s="11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9"/>
      <c r="O23" s="109"/>
    </row>
    <row r="24" spans="1:15" x14ac:dyDescent="0.25">
      <c r="A24" s="87" t="s">
        <v>150</v>
      </c>
      <c r="B24" s="110">
        <f t="shared" si="3"/>
        <v>0</v>
      </c>
      <c r="C24" s="110">
        <f t="shared" si="5"/>
        <v>0</v>
      </c>
      <c r="D24" s="110">
        <f t="shared" si="4"/>
        <v>0</v>
      </c>
      <c r="E24" s="11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9"/>
      <c r="O24" s="109"/>
    </row>
    <row r="25" spans="1:15" x14ac:dyDescent="0.25">
      <c r="A25" s="107" t="s">
        <v>1</v>
      </c>
      <c r="B25" s="110" t="e">
        <f>SUM(B21:B24)</f>
        <v>#DIV/0!</v>
      </c>
      <c r="C25" s="112" t="e">
        <f t="shared" ref="C25:E25" si="6">SUM(C21:C24)</f>
        <v>#DIV/0!</v>
      </c>
      <c r="D25" s="112" t="e">
        <f t="shared" si="6"/>
        <v>#DIV/0!</v>
      </c>
      <c r="E25" s="112" t="e">
        <f t="shared" si="6"/>
        <v>#DIV/0!</v>
      </c>
      <c r="F25"/>
      <c r="G25" s="65"/>
      <c r="H25" s="65"/>
      <c r="I25" s="65"/>
      <c r="J25" s="65"/>
      <c r="K25" s="65"/>
      <c r="L25" s="65"/>
      <c r="M25" s="65"/>
      <c r="N25" s="109"/>
      <c r="O25" s="109"/>
    </row>
    <row r="26" spans="1:15" x14ac:dyDescent="0.25">
      <c r="A26" s="107" t="s">
        <v>152</v>
      </c>
      <c r="B26" s="110" t="e">
        <f>IF(B16&gt;0,B25/B16,"")</f>
        <v>#DIV/0!</v>
      </c>
      <c r="C26" s="110" t="e">
        <f t="shared" ref="C26:E26" si="7">IF(C16&gt;0,C25/C16,"")</f>
        <v>#DIV/0!</v>
      </c>
      <c r="D26" s="110" t="e">
        <f t="shared" si="7"/>
        <v>#DIV/0!</v>
      </c>
      <c r="E26" s="110" t="e">
        <f t="shared" si="7"/>
        <v>#DIV/0!</v>
      </c>
      <c r="F26"/>
      <c r="G26" s="65"/>
      <c r="H26" s="65"/>
      <c r="I26" s="65"/>
      <c r="J26" s="65"/>
      <c r="K26" s="65"/>
      <c r="L26" s="65"/>
      <c r="M26" s="65"/>
      <c r="N26" s="109"/>
      <c r="O26" s="10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9"/>
      <c r="O27" s="109"/>
    </row>
    <row r="28" spans="1:15" x14ac:dyDescent="0.25">
      <c r="A28" s="52" t="s">
        <v>51</v>
      </c>
      <c r="B28" s="52" t="s">
        <v>1</v>
      </c>
      <c r="C28" s="52" t="s">
        <v>12</v>
      </c>
      <c r="D28" s="52" t="s">
        <v>11</v>
      </c>
      <c r="E28" s="52" t="s">
        <v>50</v>
      </c>
      <c r="F28"/>
      <c r="G28" s="65"/>
      <c r="H28" s="65"/>
      <c r="I28" s="65"/>
      <c r="J28" s="65"/>
      <c r="K28" s="65"/>
      <c r="L28" s="65"/>
      <c r="M28" s="65"/>
      <c r="N28" s="109"/>
      <c r="O28" s="109"/>
    </row>
    <row r="29" spans="1:15" x14ac:dyDescent="0.25">
      <c r="F29"/>
      <c r="G29" s="65"/>
      <c r="H29" s="65"/>
      <c r="I29" s="65"/>
      <c r="J29" s="65"/>
      <c r="K29" s="65"/>
      <c r="L29" s="65"/>
      <c r="M29" s="65"/>
      <c r="N29" s="109"/>
      <c r="O29" s="109"/>
    </row>
    <row r="30" spans="1:15" x14ac:dyDescent="0.25">
      <c r="F30"/>
      <c r="G30" s="65"/>
      <c r="H30" s="65"/>
      <c r="I30" s="65"/>
      <c r="J30" s="65"/>
      <c r="K30" s="65"/>
      <c r="L30" s="65"/>
      <c r="M30" s="65"/>
      <c r="N30" s="109"/>
      <c r="O30" s="109"/>
    </row>
    <row r="31" spans="1:15" x14ac:dyDescent="0.25">
      <c r="F31"/>
      <c r="G31" s="65"/>
      <c r="H31" s="65"/>
      <c r="I31" s="65"/>
      <c r="J31" s="65"/>
      <c r="K31" s="65"/>
      <c r="L31" s="65"/>
      <c r="M31" s="65"/>
      <c r="N31" s="109"/>
      <c r="O31" s="109"/>
    </row>
    <row r="32" spans="1:15" x14ac:dyDescent="0.25">
      <c r="G32" s="65"/>
      <c r="H32" s="65"/>
      <c r="I32" s="65"/>
      <c r="J32" s="65"/>
      <c r="K32" s="65"/>
      <c r="L32" s="65"/>
      <c r="M32" s="65"/>
      <c r="N32" s="109"/>
      <c r="O32" s="109"/>
    </row>
    <row r="33" spans="7:15" x14ac:dyDescent="0.25">
      <c r="G33" s="65"/>
      <c r="H33" s="65"/>
      <c r="I33" s="65"/>
      <c r="J33" s="65"/>
      <c r="K33" s="65"/>
      <c r="L33" s="65"/>
      <c r="M33" s="65"/>
      <c r="N33" s="109"/>
      <c r="O33" s="109"/>
    </row>
    <row r="34" spans="7:15" x14ac:dyDescent="0.25">
      <c r="G34" s="65"/>
      <c r="H34" s="65"/>
      <c r="I34" s="65"/>
      <c r="J34" s="65"/>
      <c r="K34" s="65"/>
      <c r="L34" s="65"/>
      <c r="M34" s="65"/>
      <c r="N34" s="109"/>
      <c r="O34" s="109"/>
    </row>
    <row r="35" spans="7:15" x14ac:dyDescent="0.25">
      <c r="G35" s="65"/>
      <c r="H35" s="65"/>
      <c r="I35" s="65"/>
      <c r="J35" s="65"/>
      <c r="K35" s="65"/>
      <c r="L35" s="65"/>
      <c r="M35" s="65"/>
      <c r="N35" s="109"/>
      <c r="O35" s="109"/>
    </row>
    <row r="36" spans="7:15" x14ac:dyDescent="0.25">
      <c r="G36" s="65"/>
      <c r="H36" s="65"/>
      <c r="I36" s="65"/>
      <c r="J36" s="65"/>
      <c r="K36" s="65"/>
      <c r="L36" s="65"/>
      <c r="M36" s="65"/>
      <c r="N36" s="109"/>
      <c r="O36" s="109"/>
    </row>
    <row r="37" spans="7:15" x14ac:dyDescent="0.25">
      <c r="G37" s="65"/>
      <c r="H37" s="65"/>
      <c r="I37" s="65"/>
      <c r="J37" s="65"/>
      <c r="K37" s="65"/>
      <c r="L37" s="65"/>
      <c r="M37" s="65"/>
      <c r="N37" s="109"/>
      <c r="O37" s="109"/>
    </row>
  </sheetData>
  <sortState xmlns:xlrd2="http://schemas.microsoft.com/office/spreadsheetml/2017/richdata2" ref="G3:O13">
    <sortCondition ref="J3:J13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2.28515625" style="1" bestFit="1" customWidth="1"/>
    <col min="14" max="14" width="11.28515625" style="1" bestFit="1" customWidth="1"/>
    <col min="15" max="15" width="16.140625" style="1" bestFit="1" customWidth="1"/>
    <col min="16" max="16" width="16.57031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53</v>
      </c>
      <c r="C5"/>
      <c r="D5"/>
      <c r="E5"/>
      <c r="F5"/>
      <c r="G5"/>
    </row>
    <row r="6" spans="1:7" x14ac:dyDescent="0.25">
      <c r="A6" s="7" t="s">
        <v>24</v>
      </c>
      <c r="B6" t="s">
        <v>12</v>
      </c>
      <c r="C6" t="s">
        <v>25</v>
      </c>
      <c r="D6" t="s">
        <v>26</v>
      </c>
      <c r="E6" t="s">
        <v>27</v>
      </c>
      <c r="F6"/>
      <c r="G6"/>
    </row>
    <row r="7" spans="1:7" x14ac:dyDescent="0.25">
      <c r="A7" s="3" t="s">
        <v>55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54</v>
      </c>
      <c r="B8" s="8">
        <v>2776.27</v>
      </c>
      <c r="C8" s="8">
        <v>4730.17</v>
      </c>
      <c r="D8" s="8">
        <v>0</v>
      </c>
      <c r="E8" s="8">
        <v>7506.4400000000005</v>
      </c>
      <c r="F8"/>
      <c r="G8"/>
    </row>
    <row r="9" spans="1:7" x14ac:dyDescent="0.25">
      <c r="A9" s="3" t="s">
        <v>28</v>
      </c>
      <c r="B9" s="8">
        <v>2776.27</v>
      </c>
      <c r="C9" s="8">
        <v>4730.17</v>
      </c>
      <c r="D9" s="8">
        <v>0</v>
      </c>
      <c r="E9" s="8">
        <v>7506.4400000000005</v>
      </c>
      <c r="F9"/>
      <c r="G9"/>
    </row>
    <row r="10" spans="1:7" x14ac:dyDescent="0.25">
      <c r="A10" s="3" t="s">
        <v>29</v>
      </c>
      <c r="B10" s="8">
        <v>12887.717499999995</v>
      </c>
      <c r="C10" s="8">
        <v>4730.17</v>
      </c>
      <c r="D10" s="8">
        <v>709.98</v>
      </c>
      <c r="E10" s="8">
        <v>18327.867499999997</v>
      </c>
      <c r="F10"/>
      <c r="G10"/>
    </row>
    <row r="11" spans="1:7" x14ac:dyDescent="0.25">
      <c r="A11" s="3" t="s">
        <v>30</v>
      </c>
      <c r="B11" s="8">
        <v>23531.287499999984</v>
      </c>
      <c r="C11" s="8">
        <v>4730.17</v>
      </c>
      <c r="D11" s="8">
        <v>2031.02</v>
      </c>
      <c r="E11" s="8">
        <v>30292.477499999983</v>
      </c>
      <c r="F11"/>
      <c r="G11"/>
    </row>
    <row r="12" spans="1:7" x14ac:dyDescent="0.25">
      <c r="A12" s="3" t="s">
        <v>31</v>
      </c>
      <c r="B12" s="8">
        <v>25381.547499999982</v>
      </c>
      <c r="C12" s="8">
        <v>6307.1900000000005</v>
      </c>
      <c r="D12" s="8">
        <v>2031.02</v>
      </c>
      <c r="E12" s="8">
        <v>33719.757499999978</v>
      </c>
      <c r="F12"/>
      <c r="G12"/>
    </row>
    <row r="13" spans="1:7" x14ac:dyDescent="0.25">
      <c r="A13" s="3" t="s">
        <v>32</v>
      </c>
      <c r="B13" s="8">
        <v>28093.827499999989</v>
      </c>
      <c r="C13" s="8">
        <v>10052.24</v>
      </c>
      <c r="D13" s="8">
        <v>2031.02</v>
      </c>
      <c r="E13" s="8">
        <v>40177.087499999987</v>
      </c>
      <c r="F13"/>
      <c r="G13"/>
    </row>
    <row r="14" spans="1:7" x14ac:dyDescent="0.25">
      <c r="A14" s="3" t="s">
        <v>33</v>
      </c>
      <c r="B14" s="8">
        <v>28093.827499999989</v>
      </c>
      <c r="C14" s="8">
        <v>10052.24</v>
      </c>
      <c r="D14" s="8">
        <v>2031.02</v>
      </c>
      <c r="E14" s="8">
        <v>40177.087499999987</v>
      </c>
      <c r="F14"/>
      <c r="G14"/>
    </row>
    <row r="15" spans="1:7" x14ac:dyDescent="0.25">
      <c r="A15" s="3" t="s">
        <v>34</v>
      </c>
      <c r="B15" s="8">
        <v>32847.694999999992</v>
      </c>
      <c r="C15" s="8">
        <v>10052.24</v>
      </c>
      <c r="D15" s="8">
        <v>5159.26</v>
      </c>
      <c r="E15" s="8">
        <v>48059.194999999992</v>
      </c>
      <c r="F15"/>
      <c r="G15"/>
    </row>
    <row r="16" spans="1:7" x14ac:dyDescent="0.25">
      <c r="A16" s="3" t="s">
        <v>35</v>
      </c>
      <c r="B16" s="8">
        <v>34425.834999999992</v>
      </c>
      <c r="C16" s="8">
        <v>10052.24</v>
      </c>
      <c r="D16" s="8">
        <v>5159.26</v>
      </c>
      <c r="E16" s="8">
        <v>49637.334999999992</v>
      </c>
      <c r="F16"/>
      <c r="G16"/>
    </row>
    <row r="17" spans="1:23" x14ac:dyDescent="0.25">
      <c r="A17" s="3" t="s">
        <v>36</v>
      </c>
      <c r="B17" s="8">
        <v>38740.864999999991</v>
      </c>
      <c r="C17" s="8">
        <v>10052.24</v>
      </c>
      <c r="D17" s="8">
        <v>5258.3200000000006</v>
      </c>
      <c r="E17" s="8">
        <v>54051.424999999988</v>
      </c>
      <c r="F17"/>
      <c r="G17"/>
    </row>
    <row r="18" spans="1:23" x14ac:dyDescent="0.25">
      <c r="A18" s="3" t="s">
        <v>37</v>
      </c>
      <c r="B18" s="8">
        <v>50910.314999999988</v>
      </c>
      <c r="C18" s="8">
        <v>11153.38</v>
      </c>
      <c r="D18" s="8">
        <v>6284.2</v>
      </c>
      <c r="E18" s="8">
        <v>68347.89499999999</v>
      </c>
      <c r="F18"/>
      <c r="G18"/>
    </row>
    <row r="19" spans="1:23" x14ac:dyDescent="0.25">
      <c r="A19" s="3" t="s">
        <v>38</v>
      </c>
      <c r="B19" s="8">
        <v>52420.859999999993</v>
      </c>
      <c r="C19" s="8">
        <v>11153.38</v>
      </c>
      <c r="D19" s="8">
        <v>6284.2</v>
      </c>
      <c r="E19" s="8">
        <v>69858.439999999988</v>
      </c>
      <c r="F19"/>
      <c r="G19"/>
    </row>
    <row r="20" spans="1:23" x14ac:dyDescent="0.25">
      <c r="A20" s="3" t="s">
        <v>39</v>
      </c>
      <c r="B20" s="8">
        <v>52686.609999999993</v>
      </c>
      <c r="C20" s="8">
        <v>11153.38</v>
      </c>
      <c r="D20" s="8">
        <v>6429.46</v>
      </c>
      <c r="E20" s="8">
        <v>70269.45</v>
      </c>
      <c r="F20"/>
      <c r="G20"/>
    </row>
    <row r="21" spans="1:23" x14ac:dyDescent="0.25">
      <c r="A21" s="3" t="s">
        <v>40</v>
      </c>
      <c r="B21" s="8">
        <v>54887.689999999995</v>
      </c>
      <c r="C21" s="8">
        <v>11153.38</v>
      </c>
      <c r="D21" s="8">
        <v>6613.7699999999995</v>
      </c>
      <c r="E21" s="8">
        <v>72654.84</v>
      </c>
      <c r="F21"/>
      <c r="G21"/>
    </row>
    <row r="22" spans="1:23" x14ac:dyDescent="0.25">
      <c r="A22" s="3" t="s">
        <v>41</v>
      </c>
      <c r="B22" s="8">
        <v>54887.689999999995</v>
      </c>
      <c r="C22" s="8">
        <v>11153.38</v>
      </c>
      <c r="D22" s="8">
        <v>6613.7699999999995</v>
      </c>
      <c r="E22" s="8">
        <v>72654.84</v>
      </c>
      <c r="F22"/>
      <c r="G22"/>
    </row>
    <row r="23" spans="1:23" x14ac:dyDescent="0.25">
      <c r="A23" s="3" t="s">
        <v>42</v>
      </c>
      <c r="B23" s="8">
        <v>54887.689999999995</v>
      </c>
      <c r="C23" s="8">
        <v>11153.38</v>
      </c>
      <c r="D23" s="8">
        <v>6613.7699999999995</v>
      </c>
      <c r="E23" s="8">
        <v>72654.84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53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24</v>
      </c>
      <c r="B31" t="s">
        <v>65</v>
      </c>
      <c r="C31" t="s">
        <v>66</v>
      </c>
      <c r="D31" t="s">
        <v>67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55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54</v>
      </c>
      <c r="B33" s="8">
        <v>0</v>
      </c>
      <c r="C33" s="8">
        <v>4730.17</v>
      </c>
      <c r="D33" s="8">
        <v>2776.27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7506.4400000000005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28</v>
      </c>
      <c r="B34" s="8">
        <v>0</v>
      </c>
      <c r="C34" s="8">
        <v>4730.17</v>
      </c>
      <c r="D34" s="8">
        <v>2776.27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7506.4400000000005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29</v>
      </c>
      <c r="B35" s="8">
        <v>709.98</v>
      </c>
      <c r="C35" s="8">
        <v>4730.17</v>
      </c>
      <c r="D35" s="8">
        <v>3470.3375000000001</v>
      </c>
      <c r="E35" s="8">
        <v>708.97500000000002</v>
      </c>
      <c r="F35" s="8">
        <v>685.09499999999991</v>
      </c>
      <c r="G35" s="8">
        <v>3059.9700000000003</v>
      </c>
      <c r="H35" s="8">
        <v>1214.3900000000001</v>
      </c>
      <c r="I35" s="8">
        <v>669.745</v>
      </c>
      <c r="J35" s="8">
        <v>2199.77</v>
      </c>
      <c r="K35" s="8">
        <v>879.43499999999995</v>
      </c>
      <c r="L35" s="8">
        <v>18327.8675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30</v>
      </c>
      <c r="B36" s="8">
        <v>2031.02</v>
      </c>
      <c r="C36" s="8">
        <v>4730.17</v>
      </c>
      <c r="D36" s="8">
        <v>3470.3375000000001</v>
      </c>
      <c r="E36" s="8">
        <v>2050.1149999999998</v>
      </c>
      <c r="F36" s="8">
        <v>1551.675</v>
      </c>
      <c r="G36" s="8">
        <v>6270.63</v>
      </c>
      <c r="H36" s="8">
        <v>4472.26</v>
      </c>
      <c r="I36" s="8">
        <v>1105.2049999999999</v>
      </c>
      <c r="J36" s="8">
        <v>3138.08</v>
      </c>
      <c r="K36" s="8">
        <v>1472.9850000000001</v>
      </c>
      <c r="L36" s="8">
        <v>30292.477500000001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31</v>
      </c>
      <c r="B37" s="8">
        <v>2031.02</v>
      </c>
      <c r="C37" s="8">
        <v>6307.1900000000005</v>
      </c>
      <c r="D37" s="8">
        <v>5320.5974999999999</v>
      </c>
      <c r="E37" s="8">
        <v>2050.1149999999998</v>
      </c>
      <c r="F37" s="8">
        <v>1551.675</v>
      </c>
      <c r="G37" s="8">
        <v>6270.63</v>
      </c>
      <c r="H37" s="8">
        <v>4472.26</v>
      </c>
      <c r="I37" s="8">
        <v>1105.2049999999999</v>
      </c>
      <c r="J37" s="8">
        <v>3138.08</v>
      </c>
      <c r="K37" s="8">
        <v>1472.9850000000001</v>
      </c>
      <c r="L37" s="8">
        <v>33719.757500000007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32</v>
      </c>
      <c r="B38" s="8">
        <v>2031.02</v>
      </c>
      <c r="C38" s="8">
        <v>10052.24</v>
      </c>
      <c r="D38" s="8">
        <v>5320.5974999999999</v>
      </c>
      <c r="E38" s="8">
        <v>2050.1149999999998</v>
      </c>
      <c r="F38" s="8">
        <v>1551.675</v>
      </c>
      <c r="G38" s="8">
        <v>6270.63</v>
      </c>
      <c r="H38" s="8">
        <v>7184.54</v>
      </c>
      <c r="I38" s="8">
        <v>1105.2049999999999</v>
      </c>
      <c r="J38" s="8">
        <v>3138.08</v>
      </c>
      <c r="K38" s="8">
        <v>1472.9850000000001</v>
      </c>
      <c r="L38" s="8">
        <v>40177.087500000001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33</v>
      </c>
      <c r="B39" s="8">
        <v>2031.02</v>
      </c>
      <c r="C39" s="8">
        <v>10052.24</v>
      </c>
      <c r="D39" s="8">
        <v>5320.5974999999999</v>
      </c>
      <c r="E39" s="8">
        <v>2050.1149999999998</v>
      </c>
      <c r="F39" s="8">
        <v>1551.675</v>
      </c>
      <c r="G39" s="8">
        <v>6270.63</v>
      </c>
      <c r="H39" s="8">
        <v>7184.54</v>
      </c>
      <c r="I39" s="8">
        <v>1105.2049999999999</v>
      </c>
      <c r="J39" s="8">
        <v>3138.08</v>
      </c>
      <c r="K39" s="8">
        <v>1472.9850000000001</v>
      </c>
      <c r="L39" s="8">
        <v>40177.087500000001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34</v>
      </c>
      <c r="B40" s="8">
        <v>5159.26</v>
      </c>
      <c r="C40" s="8">
        <v>10052.24</v>
      </c>
      <c r="D40" s="8">
        <v>6117.3490000000002</v>
      </c>
      <c r="E40" s="8">
        <v>2365.5439999999999</v>
      </c>
      <c r="F40" s="8">
        <v>1896.2699999999998</v>
      </c>
      <c r="G40" s="8">
        <v>7319.06</v>
      </c>
      <c r="H40" s="8">
        <v>7871.3920000000007</v>
      </c>
      <c r="I40" s="8">
        <v>1456.56</v>
      </c>
      <c r="J40" s="8">
        <v>3960.6500000000005</v>
      </c>
      <c r="K40" s="8">
        <v>1860.8700000000001</v>
      </c>
      <c r="L40" s="8">
        <v>48059.195000000007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35</v>
      </c>
      <c r="B41" s="8">
        <v>5159.26</v>
      </c>
      <c r="C41" s="8">
        <v>10052.24</v>
      </c>
      <c r="D41" s="8">
        <v>6117.3490000000002</v>
      </c>
      <c r="E41" s="8">
        <v>3943.6840000000007</v>
      </c>
      <c r="F41" s="8">
        <v>1896.2699999999998</v>
      </c>
      <c r="G41" s="8">
        <v>7319.06</v>
      </c>
      <c r="H41" s="8">
        <v>7871.3920000000007</v>
      </c>
      <c r="I41" s="8">
        <v>1456.56</v>
      </c>
      <c r="J41" s="8">
        <v>3960.6500000000005</v>
      </c>
      <c r="K41" s="8">
        <v>1860.8700000000001</v>
      </c>
      <c r="L41" s="8">
        <v>49637.335000000006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36</v>
      </c>
      <c r="B42" s="8">
        <v>5258.3200000000006</v>
      </c>
      <c r="C42" s="8">
        <v>10052.24</v>
      </c>
      <c r="D42" s="8">
        <v>6117.3490000000002</v>
      </c>
      <c r="E42" s="8">
        <v>4657.4940000000024</v>
      </c>
      <c r="F42" s="8">
        <v>1896.2699999999998</v>
      </c>
      <c r="G42" s="8">
        <v>7319.06</v>
      </c>
      <c r="H42" s="8">
        <v>11472.611999999997</v>
      </c>
      <c r="I42" s="8">
        <v>1456.56</v>
      </c>
      <c r="J42" s="8">
        <v>3960.6500000000005</v>
      </c>
      <c r="K42" s="8">
        <v>1860.8700000000001</v>
      </c>
      <c r="L42" s="8">
        <v>54051.425000000003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37</v>
      </c>
      <c r="B43" s="8">
        <v>6284.2</v>
      </c>
      <c r="C43" s="8">
        <v>11153.38</v>
      </c>
      <c r="D43" s="8">
        <v>6372.9690000000001</v>
      </c>
      <c r="E43" s="8">
        <v>8728.2840000000015</v>
      </c>
      <c r="F43" s="8">
        <v>2684.06</v>
      </c>
      <c r="G43" s="8">
        <v>9345.0999999999985</v>
      </c>
      <c r="H43" s="8">
        <v>13802.722</v>
      </c>
      <c r="I43" s="8">
        <v>2004.9099999999999</v>
      </c>
      <c r="J43" s="8">
        <v>5374.2300000000005</v>
      </c>
      <c r="K43" s="8">
        <v>2598.04</v>
      </c>
      <c r="L43" s="8">
        <v>68347.89499999999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38</v>
      </c>
      <c r="B44" s="8">
        <v>6284.2</v>
      </c>
      <c r="C44" s="8">
        <v>11153.38</v>
      </c>
      <c r="D44" s="8">
        <v>7761.1040000000003</v>
      </c>
      <c r="E44" s="8">
        <v>8728.2840000000015</v>
      </c>
      <c r="F44" s="8">
        <v>2684.06</v>
      </c>
      <c r="G44" s="8">
        <v>9345.0999999999985</v>
      </c>
      <c r="H44" s="8">
        <v>13925.132</v>
      </c>
      <c r="I44" s="8">
        <v>2004.9099999999999</v>
      </c>
      <c r="J44" s="8">
        <v>5374.2300000000005</v>
      </c>
      <c r="K44" s="8">
        <v>2598.04</v>
      </c>
      <c r="L44" s="8">
        <v>69858.439999999988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39</v>
      </c>
      <c r="B45" s="8">
        <v>6429.46</v>
      </c>
      <c r="C45" s="8">
        <v>11153.38</v>
      </c>
      <c r="D45" s="8">
        <v>7761.1040000000003</v>
      </c>
      <c r="E45" s="8">
        <v>8728.2840000000015</v>
      </c>
      <c r="F45" s="8">
        <v>2684.06</v>
      </c>
      <c r="G45" s="8">
        <v>9398.0999999999985</v>
      </c>
      <c r="H45" s="8">
        <v>14137.882</v>
      </c>
      <c r="I45" s="8">
        <v>2004.9099999999999</v>
      </c>
      <c r="J45" s="8">
        <v>5374.2300000000005</v>
      </c>
      <c r="K45" s="8">
        <v>2598.04</v>
      </c>
      <c r="L45" s="8">
        <v>70269.449999999983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40</v>
      </c>
      <c r="B46" s="8">
        <v>6613.7699999999995</v>
      </c>
      <c r="C46" s="8">
        <v>11153.38</v>
      </c>
      <c r="D46" s="8">
        <v>8052.99</v>
      </c>
      <c r="E46" s="8">
        <v>9135.5800000000017</v>
      </c>
      <c r="F46" s="8">
        <v>2795.45</v>
      </c>
      <c r="G46" s="8">
        <v>9898.1999999999989</v>
      </c>
      <c r="H46" s="8">
        <v>14358.079999999998</v>
      </c>
      <c r="I46" s="8">
        <v>2132.84</v>
      </c>
      <c r="J46" s="8">
        <v>5719.04</v>
      </c>
      <c r="K46" s="8">
        <v>2795.5099999999998</v>
      </c>
      <c r="L46" s="8">
        <v>72654.839999999982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41</v>
      </c>
      <c r="B47" s="8">
        <v>6613.7699999999995</v>
      </c>
      <c r="C47" s="8">
        <v>11153.38</v>
      </c>
      <c r="D47" s="8">
        <v>8052.99</v>
      </c>
      <c r="E47" s="8">
        <v>9135.5800000000017</v>
      </c>
      <c r="F47" s="8">
        <v>2795.45</v>
      </c>
      <c r="G47" s="8">
        <v>9898.1999999999989</v>
      </c>
      <c r="H47" s="8">
        <v>14358.079999999998</v>
      </c>
      <c r="I47" s="8">
        <v>2132.84</v>
      </c>
      <c r="J47" s="8">
        <v>5719.04</v>
      </c>
      <c r="K47" s="8">
        <v>2795.5099999999998</v>
      </c>
      <c r="L47" s="8">
        <v>72654.839999999982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42</v>
      </c>
      <c r="B48" s="8">
        <v>6613.7699999999995</v>
      </c>
      <c r="C48" s="8">
        <v>11153.38</v>
      </c>
      <c r="D48" s="8">
        <v>8052.99</v>
      </c>
      <c r="E48" s="8">
        <v>9135.5800000000017</v>
      </c>
      <c r="F48" s="8">
        <v>2795.45</v>
      </c>
      <c r="G48" s="8">
        <v>9898.1999999999989</v>
      </c>
      <c r="H48" s="8">
        <v>14358.079999999998</v>
      </c>
      <c r="I48" s="8">
        <v>2132.84</v>
      </c>
      <c r="J48" s="8">
        <v>5719.04</v>
      </c>
      <c r="K48" s="8">
        <v>2795.5099999999998</v>
      </c>
      <c r="L48" s="8">
        <v>72654.839999999982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B7" sqref="B7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31" t="s">
        <v>158</v>
      </c>
      <c r="B1" s="131"/>
      <c r="C1" s="131"/>
      <c r="D1" s="131"/>
      <c r="E1" s="131"/>
      <c r="F1" s="131"/>
      <c r="G1" s="131"/>
      <c r="H1" s="131"/>
      <c r="I1" s="131"/>
      <c r="K1" s="132" t="s">
        <v>161</v>
      </c>
      <c r="L1" s="133"/>
      <c r="M1" s="134" t="s">
        <v>160</v>
      </c>
      <c r="N1" s="134"/>
      <c r="O1" s="113" t="s">
        <v>162</v>
      </c>
    </row>
    <row r="2" spans="1:18" ht="30" customHeight="1" x14ac:dyDescent="0.25">
      <c r="A2" s="131"/>
      <c r="B2" s="131"/>
      <c r="C2" s="131"/>
      <c r="D2" s="131"/>
      <c r="E2" s="131"/>
      <c r="F2" s="131"/>
      <c r="G2" s="131"/>
      <c r="H2" s="131"/>
      <c r="I2" s="131"/>
      <c r="L2" s="135" t="s">
        <v>138</v>
      </c>
      <c r="M2" s="135"/>
      <c r="N2" s="135"/>
    </row>
    <row r="3" spans="1:18" ht="15" customHeight="1" x14ac:dyDescent="0.25">
      <c r="A3" s="72" t="s">
        <v>132</v>
      </c>
      <c r="B3" s="73" t="s">
        <v>164</v>
      </c>
      <c r="C3" s="72"/>
      <c r="D3" s="114"/>
      <c r="E3" s="114"/>
      <c r="F3" s="114"/>
      <c r="G3" s="114"/>
      <c r="H3" s="114"/>
      <c r="I3" s="114"/>
      <c r="J3" s="99"/>
      <c r="L3" s="136" t="s">
        <v>106</v>
      </c>
      <c r="M3" s="138" t="s">
        <v>110</v>
      </c>
      <c r="N3" s="138"/>
      <c r="O3" s="74"/>
      <c r="P3" s="71" t="s">
        <v>134</v>
      </c>
    </row>
    <row r="4" spans="1:18" ht="30" customHeight="1" x14ac:dyDescent="0.25">
      <c r="A4" s="71" t="s">
        <v>103</v>
      </c>
      <c r="B4" s="76">
        <v>1</v>
      </c>
      <c r="C4" s="76"/>
      <c r="D4" s="119"/>
      <c r="E4" s="100"/>
      <c r="F4" s="100"/>
      <c r="G4" s="100"/>
      <c r="H4" s="100"/>
      <c r="I4" s="100"/>
      <c r="J4" s="100"/>
      <c r="L4" s="137"/>
      <c r="M4" s="78" t="s">
        <v>163</v>
      </c>
      <c r="N4" s="77" t="s">
        <v>135</v>
      </c>
      <c r="O4" s="74"/>
      <c r="P4" s="73" t="s">
        <v>106</v>
      </c>
      <c r="Q4" s="73" t="s">
        <v>110</v>
      </c>
      <c r="R4" s="73" t="s">
        <v>135</v>
      </c>
    </row>
    <row r="5" spans="1:18" x14ac:dyDescent="0.25">
      <c r="A5" s="71" t="s">
        <v>104</v>
      </c>
      <c r="B5" s="75" t="s">
        <v>60</v>
      </c>
      <c r="D5" s="101"/>
      <c r="E5" s="102"/>
      <c r="F5" s="102"/>
      <c r="G5" s="102"/>
      <c r="H5" s="102"/>
      <c r="I5" s="102"/>
      <c r="J5" s="102"/>
      <c r="L5" s="79">
        <f>D5</f>
        <v>0</v>
      </c>
      <c r="M5" s="80">
        <f>(E5+F5+G5)*$B$9</f>
        <v>0</v>
      </c>
      <c r="N5" s="80" t="e">
        <f>M5/$B$7</f>
        <v>#DIV/0!</v>
      </c>
      <c r="O5" s="81"/>
      <c r="P5" s="82" t="str">
        <f ca="1">_xlfn.FORMULATEXT(L5)</f>
        <v>=D5</v>
      </c>
      <c r="Q5" s="82" t="str">
        <f ca="1">_xlfn.FORMULATEXT(M5)</f>
        <v>=(E5+F5+G5)*$B$9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12</v>
      </c>
      <c r="D6" s="101"/>
      <c r="E6" s="102"/>
      <c r="F6" s="102"/>
      <c r="G6" s="102"/>
      <c r="H6" s="102"/>
      <c r="I6" s="102"/>
      <c r="J6" s="102"/>
      <c r="L6" s="79">
        <f t="shared" ref="L6:L21" si="0">D6</f>
        <v>0</v>
      </c>
      <c r="M6" s="80">
        <f>(E6+F6+G6)*$B$9</f>
        <v>0</v>
      </c>
      <c r="N6" s="80" t="e">
        <f t="shared" ref="N6:N21" si="1">M6/$B$7</f>
        <v>#DIV/0!</v>
      </c>
      <c r="O6" s="81"/>
      <c r="P6" s="82" t="str">
        <f t="shared" ref="P6:P21" ca="1" si="2">_xlfn.FORMULATEXT(L6)</f>
        <v>=D6</v>
      </c>
      <c r="Q6" s="82" t="str">
        <f t="shared" ref="Q6:Q21" ca="1" si="3">_xlfn.FORMULATEXT(M6)</f>
        <v>=(E6+F6+G6)*$B$9</v>
      </c>
      <c r="R6" s="82" t="str">
        <f t="shared" ref="R6:R21" ca="1" si="4">_xlfn.FORMULATEXT(N6)</f>
        <v>=M6/$B$7</v>
      </c>
    </row>
    <row r="7" spans="1:18" x14ac:dyDescent="0.25">
      <c r="A7" s="71" t="s">
        <v>136</v>
      </c>
      <c r="B7" s="84" t="e">
        <f>GFAcell</f>
        <v>#DIV/0!</v>
      </c>
      <c r="D7" s="101"/>
      <c r="E7" s="102"/>
      <c r="F7" s="102"/>
      <c r="G7" s="102"/>
      <c r="H7" s="102"/>
      <c r="I7" s="102"/>
      <c r="J7" s="102"/>
      <c r="L7" s="79">
        <f t="shared" si="0"/>
        <v>0</v>
      </c>
      <c r="M7" s="80">
        <f t="shared" ref="M7" si="5">(E7+F7+G7/2)*$B$9</f>
        <v>0</v>
      </c>
      <c r="N7" s="80" t="e">
        <f t="shared" si="1"/>
        <v>#DIV/0!</v>
      </c>
      <c r="O7" s="81"/>
      <c r="P7" s="82" t="str">
        <f t="shared" ca="1" si="2"/>
        <v>=D7</v>
      </c>
      <c r="Q7" s="82" t="str">
        <f t="shared" ca="1" si="3"/>
        <v>=(E7+F7+G7/2)*$B$9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141</v>
      </c>
      <c r="D8" s="101"/>
      <c r="E8" s="102"/>
      <c r="F8" s="102"/>
      <c r="G8" s="102"/>
      <c r="H8" s="102"/>
      <c r="I8" s="102"/>
      <c r="J8" s="102"/>
      <c r="L8" s="79">
        <f t="shared" si="0"/>
        <v>0</v>
      </c>
      <c r="M8" s="80">
        <f>(E8+F8+G8+$B$17)*$B$9</f>
        <v>0</v>
      </c>
      <c r="N8" s="80" t="e">
        <f t="shared" si="1"/>
        <v>#DIV/0!</v>
      </c>
      <c r="O8" s="81"/>
      <c r="P8" s="82" t="str">
        <f t="shared" ca="1" si="2"/>
        <v>=D8</v>
      </c>
      <c r="Q8" s="82" t="str">
        <f t="shared" ca="1" si="3"/>
        <v>=(E8+F8+G8+$B$17)*$B$9</v>
      </c>
      <c r="R8" s="82" t="str">
        <f t="shared" ca="1" si="4"/>
        <v>=M8/$B$7</v>
      </c>
    </row>
    <row r="9" spans="1:18" x14ac:dyDescent="0.25">
      <c r="A9" s="71" t="s">
        <v>126</v>
      </c>
      <c r="B9" s="75">
        <v>1</v>
      </c>
      <c r="D9" s="101"/>
      <c r="E9" s="102"/>
      <c r="F9" s="102"/>
      <c r="G9" s="102"/>
      <c r="H9" s="102"/>
      <c r="I9" s="102"/>
      <c r="J9" s="102"/>
      <c r="L9" s="79">
        <f t="shared" si="0"/>
        <v>0</v>
      </c>
      <c r="M9" s="80">
        <f t="shared" ref="M9:M21" si="6">(E9+F9+G9+$B$17)*$B$9</f>
        <v>0</v>
      </c>
      <c r="N9" s="80" t="e">
        <f t="shared" si="1"/>
        <v>#DIV/0!</v>
      </c>
      <c r="O9" s="81"/>
      <c r="P9" s="82" t="str">
        <f t="shared" ca="1" si="2"/>
        <v>=D9</v>
      </c>
      <c r="Q9" s="82" t="str">
        <f t="shared" ca="1" si="3"/>
        <v>=(E9+F9+G9+$B$17)*$B$9</v>
      </c>
      <c r="R9" s="82" t="str">
        <f t="shared" ca="1" si="4"/>
        <v>=M9/$B$7</v>
      </c>
    </row>
    <row r="10" spans="1:18" x14ac:dyDescent="0.25">
      <c r="A10" s="71" t="s">
        <v>94</v>
      </c>
      <c r="B10" s="85" t="b">
        <f>(H21+B17)*B9=M21</f>
        <v>1</v>
      </c>
      <c r="D10" s="101"/>
      <c r="E10" s="102"/>
      <c r="F10" s="102"/>
      <c r="G10" s="102"/>
      <c r="H10" s="102"/>
      <c r="I10" s="102"/>
      <c r="J10" s="102"/>
      <c r="L10" s="79">
        <f t="shared" si="0"/>
        <v>0</v>
      </c>
      <c r="M10" s="80">
        <f t="shared" si="6"/>
        <v>0</v>
      </c>
      <c r="N10" s="80" t="e">
        <f t="shared" si="1"/>
        <v>#DIV/0!</v>
      </c>
      <c r="O10" s="81"/>
      <c r="P10" s="82" t="str">
        <f t="shared" ca="1" si="2"/>
        <v>=D10</v>
      </c>
      <c r="Q10" s="82" t="str">
        <f t="shared" ca="1" si="3"/>
        <v>=(E10+F10+G10+$B$17)*$B$9</v>
      </c>
      <c r="R10" s="82" t="str">
        <f t="shared" ca="1" si="4"/>
        <v>=M10/$B$7</v>
      </c>
    </row>
    <row r="11" spans="1:18" x14ac:dyDescent="0.25">
      <c r="D11" s="101"/>
      <c r="E11" s="102"/>
      <c r="F11" s="102"/>
      <c r="G11" s="102"/>
      <c r="H11" s="102"/>
      <c r="I11" s="102"/>
      <c r="J11" s="102"/>
      <c r="L11" s="79">
        <f t="shared" si="0"/>
        <v>0</v>
      </c>
      <c r="M11" s="80">
        <f t="shared" si="6"/>
        <v>0</v>
      </c>
      <c r="N11" s="80" t="e">
        <f t="shared" si="1"/>
        <v>#DIV/0!</v>
      </c>
      <c r="O11" s="81"/>
      <c r="P11" s="82" t="str">
        <f t="shared" ca="1" si="2"/>
        <v>=D11</v>
      </c>
      <c r="Q11" s="82" t="str">
        <f t="shared" ca="1" si="3"/>
        <v>=(E11+F11+G11+$B$17)*$B$9</v>
      </c>
      <c r="R11" s="82" t="str">
        <f t="shared" ca="1" si="4"/>
        <v>=M11/$B$7</v>
      </c>
    </row>
    <row r="12" spans="1:18" x14ac:dyDescent="0.25">
      <c r="A12" s="71" t="s">
        <v>107</v>
      </c>
      <c r="B12" s="75" t="s">
        <v>142</v>
      </c>
      <c r="D12" s="101"/>
      <c r="E12" s="102"/>
      <c r="F12" s="102"/>
      <c r="G12" s="102"/>
      <c r="H12" s="102"/>
      <c r="I12" s="102"/>
      <c r="J12" s="102"/>
      <c r="L12" s="79">
        <f t="shared" si="0"/>
        <v>0</v>
      </c>
      <c r="M12" s="80">
        <f t="shared" si="6"/>
        <v>0</v>
      </c>
      <c r="N12" s="80" t="e">
        <f t="shared" si="1"/>
        <v>#DIV/0!</v>
      </c>
      <c r="O12" s="81"/>
      <c r="P12" s="82" t="str">
        <f t="shared" ca="1" si="2"/>
        <v>=D12</v>
      </c>
      <c r="Q12" s="82" t="str">
        <f t="shared" ca="1" si="3"/>
        <v>=(E12+F12+G12+$B$17)*$B$9</v>
      </c>
      <c r="R12" s="82" t="str">
        <f t="shared" ca="1" si="4"/>
        <v>=M12/$B$7</v>
      </c>
    </row>
    <row r="13" spans="1:18" x14ac:dyDescent="0.25">
      <c r="A13" s="71" t="s">
        <v>108</v>
      </c>
      <c r="B13" s="75" t="s">
        <v>142</v>
      </c>
      <c r="D13" s="101"/>
      <c r="E13" s="102"/>
      <c r="F13" s="102"/>
      <c r="G13" s="102"/>
      <c r="H13" s="102"/>
      <c r="I13" s="102"/>
      <c r="J13" s="102"/>
      <c r="L13" s="79">
        <f t="shared" si="0"/>
        <v>0</v>
      </c>
      <c r="M13" s="80">
        <f t="shared" si="6"/>
        <v>0</v>
      </c>
      <c r="N13" s="80" t="e">
        <f t="shared" si="1"/>
        <v>#DIV/0!</v>
      </c>
      <c r="O13" s="81"/>
      <c r="P13" s="82" t="str">
        <f t="shared" ca="1" si="2"/>
        <v>=D13</v>
      </c>
      <c r="Q13" s="82" t="str">
        <f t="shared" ca="1" si="3"/>
        <v>=(E13+F13+G13+$B$17)*$B$9</v>
      </c>
      <c r="R13" s="82" t="str">
        <f t="shared" ca="1" si="4"/>
        <v>=M13/$B$7</v>
      </c>
    </row>
    <row r="14" spans="1:18" x14ac:dyDescent="0.25">
      <c r="A14" s="71" t="s">
        <v>109</v>
      </c>
      <c r="B14" s="75" t="s">
        <v>142</v>
      </c>
      <c r="D14" s="101"/>
      <c r="E14" s="102"/>
      <c r="F14" s="102"/>
      <c r="G14" s="102"/>
      <c r="H14" s="102"/>
      <c r="I14" s="102"/>
      <c r="J14" s="102"/>
      <c r="L14" s="79">
        <f t="shared" si="0"/>
        <v>0</v>
      </c>
      <c r="M14" s="80">
        <f t="shared" si="6"/>
        <v>0</v>
      </c>
      <c r="N14" s="80" t="e">
        <f t="shared" si="1"/>
        <v>#DIV/0!</v>
      </c>
      <c r="O14" s="81"/>
      <c r="P14" s="82" t="str">
        <f t="shared" ca="1" si="2"/>
        <v>=D14</v>
      </c>
      <c r="Q14" s="82" t="str">
        <f t="shared" ca="1" si="3"/>
        <v>=(E14+F14+G14+$B$17)*$B$9</v>
      </c>
      <c r="R14" s="82" t="str">
        <f t="shared" ca="1" si="4"/>
        <v>=M14/$B$7</v>
      </c>
    </row>
    <row r="15" spans="1:18" x14ac:dyDescent="0.25">
      <c r="D15" s="101"/>
      <c r="E15" s="102"/>
      <c r="F15" s="102"/>
      <c r="G15" s="102"/>
      <c r="H15" s="102"/>
      <c r="I15" s="102"/>
      <c r="J15" s="102"/>
      <c r="L15" s="79">
        <f t="shared" si="0"/>
        <v>0</v>
      </c>
      <c r="M15" s="80">
        <f t="shared" si="6"/>
        <v>0</v>
      </c>
      <c r="N15" s="80" t="e">
        <f t="shared" si="1"/>
        <v>#DIV/0!</v>
      </c>
      <c r="O15" s="81"/>
      <c r="P15" s="82" t="str">
        <f t="shared" ca="1" si="2"/>
        <v>=D15</v>
      </c>
      <c r="Q15" s="82" t="str">
        <f t="shared" ca="1" si="3"/>
        <v>=(E15+F15+G15+$B$17)*$B$9</v>
      </c>
      <c r="R15" s="82" t="str">
        <f t="shared" ca="1" si="4"/>
        <v>=M15/$B$7</v>
      </c>
    </row>
    <row r="16" spans="1:18" x14ac:dyDescent="0.25">
      <c r="A16" s="72" t="s">
        <v>157</v>
      </c>
      <c r="D16" s="101"/>
      <c r="E16" s="102"/>
      <c r="F16" s="102"/>
      <c r="G16" s="102"/>
      <c r="H16" s="102"/>
      <c r="I16" s="102"/>
      <c r="J16" s="102"/>
      <c r="L16" s="79">
        <f t="shared" si="0"/>
        <v>0</v>
      </c>
      <c r="M16" s="80">
        <f t="shared" si="6"/>
        <v>0</v>
      </c>
      <c r="N16" s="80" t="e">
        <f t="shared" si="1"/>
        <v>#DIV/0!</v>
      </c>
      <c r="O16" s="81"/>
      <c r="P16" s="82" t="str">
        <f t="shared" ca="1" si="2"/>
        <v>=D16</v>
      </c>
      <c r="Q16" s="82" t="str">
        <f t="shared" ca="1" si="3"/>
        <v>=(E16+F16+G16+$B$17)*$B$9</v>
      </c>
      <c r="R16" s="82" t="str">
        <f t="shared" ca="1" si="4"/>
        <v>=M16/$B$7</v>
      </c>
    </row>
    <row r="17" spans="1:18" x14ac:dyDescent="0.25">
      <c r="A17" s="71" t="s">
        <v>154</v>
      </c>
      <c r="B17" s="85"/>
      <c r="D17" s="101"/>
      <c r="E17" s="102"/>
      <c r="F17" s="102"/>
      <c r="G17" s="102"/>
      <c r="H17" s="102"/>
      <c r="I17" s="102"/>
      <c r="J17" s="102"/>
      <c r="L17" s="79">
        <f t="shared" si="0"/>
        <v>0</v>
      </c>
      <c r="M17" s="80">
        <f t="shared" si="6"/>
        <v>0</v>
      </c>
      <c r="N17" s="80" t="e">
        <f t="shared" si="1"/>
        <v>#DIV/0!</v>
      </c>
      <c r="O17" s="81"/>
      <c r="P17" s="82" t="str">
        <f t="shared" ca="1" si="2"/>
        <v>=D17</v>
      </c>
      <c r="Q17" s="82" t="str">
        <f t="shared" ca="1" si="3"/>
        <v>=(E17+F17+G17+$B$17)*$B$9</v>
      </c>
      <c r="R17" s="82" t="str">
        <f t="shared" ca="1" si="4"/>
        <v>=M17/$B$7</v>
      </c>
    </row>
    <row r="18" spans="1:18" x14ac:dyDescent="0.25">
      <c r="A18" s="71" t="s">
        <v>155</v>
      </c>
      <c r="B18" s="85"/>
      <c r="D18" s="101"/>
      <c r="E18" s="102"/>
      <c r="F18" s="102"/>
      <c r="G18" s="102"/>
      <c r="H18" s="102"/>
      <c r="I18" s="102"/>
      <c r="J18" s="102"/>
      <c r="L18" s="79">
        <f t="shared" si="0"/>
        <v>0</v>
      </c>
      <c r="M18" s="80">
        <f t="shared" si="6"/>
        <v>0</v>
      </c>
      <c r="N18" s="80" t="e">
        <f t="shared" si="1"/>
        <v>#DIV/0!</v>
      </c>
      <c r="O18" s="81"/>
      <c r="P18" s="82" t="str">
        <f t="shared" ca="1" si="2"/>
        <v>=D18</v>
      </c>
      <c r="Q18" s="82" t="str">
        <f t="shared" ca="1" si="3"/>
        <v>=(E18+F18+G18+$B$17)*$B$9</v>
      </c>
      <c r="R18" s="82" t="str">
        <f t="shared" ca="1" si="4"/>
        <v>=M18/$B$7</v>
      </c>
    </row>
    <row r="19" spans="1:18" x14ac:dyDescent="0.25">
      <c r="A19" s="71" t="s">
        <v>156</v>
      </c>
      <c r="B19" s="85"/>
      <c r="D19" s="101"/>
      <c r="E19" s="102"/>
      <c r="F19" s="102"/>
      <c r="G19" s="102"/>
      <c r="H19" s="102"/>
      <c r="I19" s="102"/>
      <c r="J19" s="102"/>
      <c r="L19" s="79">
        <f t="shared" si="0"/>
        <v>0</v>
      </c>
      <c r="M19" s="80">
        <f t="shared" si="6"/>
        <v>0</v>
      </c>
      <c r="N19" s="80" t="e">
        <f t="shared" si="1"/>
        <v>#DIV/0!</v>
      </c>
      <c r="O19" s="81"/>
      <c r="P19" s="82" t="str">
        <f t="shared" ca="1" si="2"/>
        <v>=D19</v>
      </c>
      <c r="Q19" s="82" t="str">
        <f t="shared" ca="1" si="3"/>
        <v>=(E19+F19+G19+$B$17)*$B$9</v>
      </c>
      <c r="R19" s="82" t="str">
        <f t="shared" ca="1" si="4"/>
        <v>=M19/$B$7</v>
      </c>
    </row>
    <row r="20" spans="1:18" x14ac:dyDescent="0.25">
      <c r="D20" s="101"/>
      <c r="E20" s="102"/>
      <c r="F20" s="102"/>
      <c r="G20" s="102"/>
      <c r="H20" s="102"/>
      <c r="I20" s="102"/>
      <c r="J20" s="102"/>
      <c r="L20" s="79">
        <f t="shared" si="0"/>
        <v>0</v>
      </c>
      <c r="M20" s="80">
        <f t="shared" si="6"/>
        <v>0</v>
      </c>
      <c r="N20" s="80" t="e">
        <f t="shared" si="1"/>
        <v>#DIV/0!</v>
      </c>
      <c r="O20" s="81"/>
      <c r="P20" s="82" t="str">
        <f t="shared" ca="1" si="2"/>
        <v>=D20</v>
      </c>
      <c r="Q20" s="82" t="str">
        <f t="shared" ca="1" si="3"/>
        <v>=(E20+F20+G20+$B$17)*$B$9</v>
      </c>
      <c r="R20" s="82" t="str">
        <f t="shared" ca="1" si="4"/>
        <v>=M20/$B$7</v>
      </c>
    </row>
    <row r="21" spans="1:18" x14ac:dyDescent="0.25">
      <c r="D21" s="101"/>
      <c r="E21" s="102"/>
      <c r="F21" s="102"/>
      <c r="G21" s="102"/>
      <c r="H21" s="102"/>
      <c r="I21" s="102"/>
      <c r="J21" s="102"/>
      <c r="L21" s="79">
        <f t="shared" si="0"/>
        <v>0</v>
      </c>
      <c r="M21" s="80">
        <f t="shared" si="6"/>
        <v>0</v>
      </c>
      <c r="N21" s="80" t="e">
        <f t="shared" si="1"/>
        <v>#DIV/0!</v>
      </c>
      <c r="O21" s="81"/>
      <c r="P21" s="82" t="str">
        <f t="shared" ca="1" si="2"/>
        <v>=D21</v>
      </c>
      <c r="Q21" s="82" t="str">
        <f t="shared" ca="1" si="3"/>
        <v>=(E21+F21+G21+$B$17)*$B$9</v>
      </c>
      <c r="R21" s="82" t="str">
        <f t="shared" ca="1" si="4"/>
        <v>=M21/$B$7</v>
      </c>
    </row>
    <row r="22" spans="1:18" x14ac:dyDescent="0.25">
      <c r="D22" s="101"/>
      <c r="E22" s="101"/>
      <c r="F22" s="101"/>
      <c r="G22" s="101"/>
      <c r="H22" s="101"/>
      <c r="I22" s="101"/>
      <c r="J22" s="101"/>
      <c r="L22" s="79"/>
      <c r="M22" s="80"/>
      <c r="N22" s="80"/>
      <c r="O22" s="81"/>
      <c r="P22" s="82"/>
      <c r="Q22" s="82"/>
      <c r="R22" s="83"/>
    </row>
    <row r="23" spans="1:18" x14ac:dyDescent="0.25">
      <c r="D23" s="101"/>
      <c r="E23" s="101"/>
      <c r="F23" s="101"/>
      <c r="G23" s="101"/>
      <c r="H23" s="101"/>
      <c r="I23" s="101"/>
      <c r="J23" s="101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6">
    <mergeCell ref="A1:I2"/>
    <mergeCell ref="K1:L1"/>
    <mergeCell ref="M1:N1"/>
    <mergeCell ref="L2:N2"/>
    <mergeCell ref="L3:L4"/>
    <mergeCell ref="M3:N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16" x14ac:dyDescent="0.25">
      <c r="D3" s="139" t="s">
        <v>165</v>
      </c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8"/>
    </row>
    <row r="4" spans="4:16" ht="45" x14ac:dyDescent="0.25">
      <c r="D4" s="116" t="s">
        <v>106</v>
      </c>
      <c r="E4" s="117" t="s">
        <v>65</v>
      </c>
      <c r="F4" s="117" t="s">
        <v>66</v>
      </c>
      <c r="G4" s="117" t="s">
        <v>67</v>
      </c>
      <c r="H4" s="117" t="s">
        <v>13</v>
      </c>
      <c r="I4" s="117" t="s">
        <v>15</v>
      </c>
      <c r="J4" s="117" t="s">
        <v>4</v>
      </c>
      <c r="K4" s="117" t="s">
        <v>7</v>
      </c>
      <c r="L4" s="117" t="s">
        <v>5</v>
      </c>
      <c r="M4" s="117" t="s">
        <v>14</v>
      </c>
      <c r="N4" s="117" t="s">
        <v>6</v>
      </c>
      <c r="O4" s="117" t="s">
        <v>27</v>
      </c>
      <c r="P4" s="8"/>
    </row>
    <row r="5" spans="4:16" x14ac:dyDescent="0.25">
      <c r="D5" s="87">
        <v>-0.9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  <c r="P5" s="8"/>
    </row>
    <row r="6" spans="4:16" x14ac:dyDescent="0.25">
      <c r="D6" s="87">
        <v>-0.46</v>
      </c>
      <c r="E6" s="88">
        <v>0</v>
      </c>
      <c r="F6" s="88">
        <v>4730.17</v>
      </c>
      <c r="G6" s="88">
        <v>2776.27</v>
      </c>
      <c r="H6" s="88">
        <v>0</v>
      </c>
      <c r="I6" s="88">
        <v>0</v>
      </c>
      <c r="J6" s="88">
        <v>0</v>
      </c>
      <c r="K6" s="88">
        <v>0</v>
      </c>
      <c r="L6" s="88">
        <v>0</v>
      </c>
      <c r="M6" s="88">
        <v>0</v>
      </c>
      <c r="N6" s="88">
        <v>0</v>
      </c>
      <c r="O6" s="88">
        <v>7506.4400000000005</v>
      </c>
      <c r="P6" s="8"/>
    </row>
    <row r="7" spans="4:16" x14ac:dyDescent="0.25">
      <c r="D7" s="87">
        <v>0</v>
      </c>
      <c r="E7" s="88">
        <v>0</v>
      </c>
      <c r="F7" s="88">
        <v>4730.17</v>
      </c>
      <c r="G7" s="88">
        <v>2776.27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7506.4400000000005</v>
      </c>
      <c r="P7" s="8"/>
    </row>
    <row r="8" spans="4:16" x14ac:dyDescent="0.25">
      <c r="D8" s="87">
        <v>0.03</v>
      </c>
      <c r="E8" s="88">
        <v>709.98</v>
      </c>
      <c r="F8" s="88">
        <v>4730.17</v>
      </c>
      <c r="G8" s="88">
        <v>3470.3375000000001</v>
      </c>
      <c r="H8" s="88">
        <v>708.97500000000002</v>
      </c>
      <c r="I8" s="88">
        <v>685.09499999999991</v>
      </c>
      <c r="J8" s="88">
        <v>3059.9700000000003</v>
      </c>
      <c r="K8" s="88">
        <v>1214.3900000000001</v>
      </c>
      <c r="L8" s="88">
        <v>669.745</v>
      </c>
      <c r="M8" s="88">
        <v>2199.77</v>
      </c>
      <c r="N8" s="88">
        <v>879.43499999999995</v>
      </c>
      <c r="O8" s="88">
        <v>18327.8675</v>
      </c>
      <c r="P8" s="8"/>
    </row>
    <row r="9" spans="4:16" x14ac:dyDescent="0.25">
      <c r="D9" s="87">
        <v>0.05</v>
      </c>
      <c r="E9" s="88">
        <v>2031.02</v>
      </c>
      <c r="F9" s="88">
        <v>4730.17</v>
      </c>
      <c r="G9" s="88">
        <v>3470.3375000000001</v>
      </c>
      <c r="H9" s="88">
        <v>2050.1149999999998</v>
      </c>
      <c r="I9" s="88">
        <v>1551.675</v>
      </c>
      <c r="J9" s="88">
        <v>6270.63</v>
      </c>
      <c r="K9" s="88">
        <v>4472.26</v>
      </c>
      <c r="L9" s="88">
        <v>1105.2049999999999</v>
      </c>
      <c r="M9" s="88">
        <v>3138.08</v>
      </c>
      <c r="N9" s="88">
        <v>1472.9850000000001</v>
      </c>
      <c r="O9" s="88">
        <v>30292.477500000001</v>
      </c>
      <c r="P9" s="8"/>
    </row>
    <row r="10" spans="4:16" x14ac:dyDescent="0.25">
      <c r="D10" s="87">
        <v>0.1</v>
      </c>
      <c r="E10" s="88">
        <v>2031.02</v>
      </c>
      <c r="F10" s="88">
        <v>6307.1900000000005</v>
      </c>
      <c r="G10" s="88">
        <v>5320.5974999999999</v>
      </c>
      <c r="H10" s="88">
        <v>2050.1149999999998</v>
      </c>
      <c r="I10" s="88">
        <v>1551.675</v>
      </c>
      <c r="J10" s="88">
        <v>6270.63</v>
      </c>
      <c r="K10" s="88">
        <v>4472.26</v>
      </c>
      <c r="L10" s="88">
        <v>1105.2049999999999</v>
      </c>
      <c r="M10" s="88">
        <v>3138.08</v>
      </c>
      <c r="N10" s="88">
        <v>1472.9850000000001</v>
      </c>
      <c r="O10" s="88">
        <v>33719.757500000007</v>
      </c>
      <c r="P10" s="8"/>
    </row>
    <row r="11" spans="4:16" x14ac:dyDescent="0.25">
      <c r="D11" s="87">
        <v>0.15</v>
      </c>
      <c r="E11" s="88">
        <v>2031.02</v>
      </c>
      <c r="F11" s="88">
        <v>10052.24</v>
      </c>
      <c r="G11" s="88">
        <v>5320.5974999999999</v>
      </c>
      <c r="H11" s="88">
        <v>2050.1149999999998</v>
      </c>
      <c r="I11" s="88">
        <v>1551.675</v>
      </c>
      <c r="J11" s="88">
        <v>6270.63</v>
      </c>
      <c r="K11" s="88">
        <v>7184.54</v>
      </c>
      <c r="L11" s="88">
        <v>1105.2049999999999</v>
      </c>
      <c r="M11" s="88">
        <v>3138.08</v>
      </c>
      <c r="N11" s="88">
        <v>1472.9850000000001</v>
      </c>
      <c r="O11" s="88">
        <v>40177.087500000001</v>
      </c>
      <c r="P11" s="8"/>
    </row>
    <row r="12" spans="4:16" x14ac:dyDescent="0.25">
      <c r="D12" s="87">
        <v>0.3</v>
      </c>
      <c r="E12" s="88">
        <v>2031.02</v>
      </c>
      <c r="F12" s="88">
        <v>10052.24</v>
      </c>
      <c r="G12" s="88">
        <v>5320.5974999999999</v>
      </c>
      <c r="H12" s="88">
        <v>2050.1149999999998</v>
      </c>
      <c r="I12" s="88">
        <v>1551.675</v>
      </c>
      <c r="J12" s="88">
        <v>6270.63</v>
      </c>
      <c r="K12" s="88">
        <v>7184.54</v>
      </c>
      <c r="L12" s="88">
        <v>1105.2049999999999</v>
      </c>
      <c r="M12" s="88">
        <v>3138.08</v>
      </c>
      <c r="N12" s="88">
        <v>1472.9850000000001</v>
      </c>
      <c r="O12" s="88">
        <v>40177.087500000001</v>
      </c>
      <c r="P12" s="8"/>
    </row>
    <row r="13" spans="4:16" x14ac:dyDescent="0.25">
      <c r="D13" s="87">
        <v>0.46</v>
      </c>
      <c r="E13" s="88">
        <v>5159.26</v>
      </c>
      <c r="F13" s="88">
        <v>10052.24</v>
      </c>
      <c r="G13" s="88">
        <v>6117.3490000000002</v>
      </c>
      <c r="H13" s="88">
        <v>2365.5439999999999</v>
      </c>
      <c r="I13" s="88">
        <v>1896.2699999999998</v>
      </c>
      <c r="J13" s="88">
        <v>7319.06</v>
      </c>
      <c r="K13" s="88">
        <v>7871.3920000000007</v>
      </c>
      <c r="L13" s="88">
        <v>1456.56</v>
      </c>
      <c r="M13" s="88">
        <v>3960.6500000000005</v>
      </c>
      <c r="N13" s="88">
        <v>1860.8700000000001</v>
      </c>
      <c r="O13" s="88">
        <v>48059.195000000007</v>
      </c>
      <c r="P13" s="8"/>
    </row>
    <row r="14" spans="4:16" x14ac:dyDescent="0.25">
      <c r="D14" s="87">
        <v>0.61</v>
      </c>
      <c r="E14" s="88">
        <v>5159.26</v>
      </c>
      <c r="F14" s="88">
        <v>10052.24</v>
      </c>
      <c r="G14" s="88">
        <v>6117.3490000000002</v>
      </c>
      <c r="H14" s="88">
        <v>3943.6840000000007</v>
      </c>
      <c r="I14" s="88">
        <v>1896.2699999999998</v>
      </c>
      <c r="J14" s="88">
        <v>7319.06</v>
      </c>
      <c r="K14" s="88">
        <v>7871.3920000000007</v>
      </c>
      <c r="L14" s="88">
        <v>1456.56</v>
      </c>
      <c r="M14" s="88">
        <v>3960.6500000000005</v>
      </c>
      <c r="N14" s="88">
        <v>1860.8700000000001</v>
      </c>
      <c r="O14" s="88">
        <v>49637.335000000006</v>
      </c>
      <c r="P14" s="8"/>
    </row>
    <row r="15" spans="4:16" x14ac:dyDescent="0.25">
      <c r="D15" s="87">
        <v>0.76</v>
      </c>
      <c r="E15" s="88">
        <v>5258.3200000000006</v>
      </c>
      <c r="F15" s="88">
        <v>10052.24</v>
      </c>
      <c r="G15" s="88">
        <v>6117.3490000000002</v>
      </c>
      <c r="H15" s="88">
        <v>4657.4940000000024</v>
      </c>
      <c r="I15" s="88">
        <v>1896.2699999999998</v>
      </c>
      <c r="J15" s="88">
        <v>7319.06</v>
      </c>
      <c r="K15" s="88">
        <v>11472.611999999997</v>
      </c>
      <c r="L15" s="88">
        <v>1456.56</v>
      </c>
      <c r="M15" s="88">
        <v>3960.6500000000005</v>
      </c>
      <c r="N15" s="88">
        <v>1860.8700000000001</v>
      </c>
      <c r="O15" s="88">
        <v>54051.425000000003</v>
      </c>
      <c r="P15" s="8"/>
    </row>
    <row r="16" spans="4:16" x14ac:dyDescent="0.25">
      <c r="D16" s="87">
        <v>0.91</v>
      </c>
      <c r="E16" s="88">
        <v>6284.2</v>
      </c>
      <c r="F16" s="88">
        <v>11153.38</v>
      </c>
      <c r="G16" s="88">
        <v>6372.9690000000001</v>
      </c>
      <c r="H16" s="88">
        <v>8728.2840000000015</v>
      </c>
      <c r="I16" s="88">
        <v>2684.06</v>
      </c>
      <c r="J16" s="88">
        <v>9345.0999999999985</v>
      </c>
      <c r="K16" s="88">
        <v>13802.722</v>
      </c>
      <c r="L16" s="88">
        <v>2004.9099999999999</v>
      </c>
      <c r="M16" s="88">
        <v>5374.2300000000005</v>
      </c>
      <c r="N16" s="88">
        <v>2598.04</v>
      </c>
      <c r="O16" s="88">
        <v>68347.89499999999</v>
      </c>
      <c r="P16" s="8"/>
    </row>
    <row r="17" spans="4:16" x14ac:dyDescent="0.25">
      <c r="D17" s="87">
        <v>1.02</v>
      </c>
      <c r="E17" s="88">
        <v>6284.2</v>
      </c>
      <c r="F17" s="88">
        <v>11153.38</v>
      </c>
      <c r="G17" s="88">
        <v>7761.1040000000003</v>
      </c>
      <c r="H17" s="88">
        <v>8728.2840000000015</v>
      </c>
      <c r="I17" s="88">
        <v>2684.06</v>
      </c>
      <c r="J17" s="88">
        <v>9345.0999999999985</v>
      </c>
      <c r="K17" s="88">
        <v>13925.132</v>
      </c>
      <c r="L17" s="88">
        <v>2004.9099999999999</v>
      </c>
      <c r="M17" s="88">
        <v>5374.2300000000005</v>
      </c>
      <c r="N17" s="88">
        <v>2598.04</v>
      </c>
      <c r="O17" s="88">
        <v>69858.439999999988</v>
      </c>
      <c r="P17" s="8"/>
    </row>
    <row r="18" spans="4:16" x14ac:dyDescent="0.25">
      <c r="D18" s="87">
        <v>1.22</v>
      </c>
      <c r="E18" s="88">
        <v>6429.46</v>
      </c>
      <c r="F18" s="88">
        <v>11153.38</v>
      </c>
      <c r="G18" s="88">
        <v>7761.1040000000003</v>
      </c>
      <c r="H18" s="88">
        <v>8728.2840000000015</v>
      </c>
      <c r="I18" s="88">
        <v>2684.06</v>
      </c>
      <c r="J18" s="88">
        <v>9398.0999999999985</v>
      </c>
      <c r="K18" s="88">
        <v>14137.882</v>
      </c>
      <c r="L18" s="88">
        <v>2004.9099999999999</v>
      </c>
      <c r="M18" s="88">
        <v>5374.2300000000005</v>
      </c>
      <c r="N18" s="88">
        <v>2598.04</v>
      </c>
      <c r="O18" s="88">
        <v>70269.449999999983</v>
      </c>
      <c r="P18" s="8"/>
    </row>
    <row r="19" spans="4:16" x14ac:dyDescent="0.25">
      <c r="D19" s="87">
        <v>1.52</v>
      </c>
      <c r="E19" s="88">
        <v>6613.7699999999995</v>
      </c>
      <c r="F19" s="88">
        <v>11153.38</v>
      </c>
      <c r="G19" s="88">
        <v>8052.99</v>
      </c>
      <c r="H19" s="88">
        <v>9135.5800000000017</v>
      </c>
      <c r="I19" s="88">
        <v>2795.45</v>
      </c>
      <c r="J19" s="88">
        <v>9898.1999999999989</v>
      </c>
      <c r="K19" s="88">
        <v>14358.079999999998</v>
      </c>
      <c r="L19" s="88">
        <v>2132.84</v>
      </c>
      <c r="M19" s="88">
        <v>5719.04</v>
      </c>
      <c r="N19" s="88">
        <v>2795.5099999999998</v>
      </c>
      <c r="O19" s="88">
        <v>72654.839999999982</v>
      </c>
      <c r="P19" s="8"/>
    </row>
    <row r="20" spans="4:16" x14ac:dyDescent="0.25">
      <c r="D20" s="87">
        <v>1.83</v>
      </c>
      <c r="E20" s="88">
        <v>6613.7699999999995</v>
      </c>
      <c r="F20" s="88">
        <v>11153.38</v>
      </c>
      <c r="G20" s="88">
        <v>8052.99</v>
      </c>
      <c r="H20" s="88">
        <v>9135.5800000000017</v>
      </c>
      <c r="I20" s="88">
        <v>2795.45</v>
      </c>
      <c r="J20" s="88">
        <v>9898.1999999999989</v>
      </c>
      <c r="K20" s="88">
        <v>14358.079999999998</v>
      </c>
      <c r="L20" s="88">
        <v>2132.84</v>
      </c>
      <c r="M20" s="88">
        <v>5719.04</v>
      </c>
      <c r="N20" s="88">
        <v>2795.5099999999998</v>
      </c>
      <c r="O20" s="88">
        <v>72654.839999999982</v>
      </c>
      <c r="P20" s="8"/>
    </row>
    <row r="21" spans="4:16" x14ac:dyDescent="0.25">
      <c r="D21" s="87">
        <v>2.7</v>
      </c>
      <c r="E21" s="88">
        <v>6613.7699999999995</v>
      </c>
      <c r="F21" s="88">
        <v>11153.38</v>
      </c>
      <c r="G21" s="88">
        <v>8052.99</v>
      </c>
      <c r="H21" s="88">
        <v>9135.5800000000017</v>
      </c>
      <c r="I21" s="88">
        <v>2795.45</v>
      </c>
      <c r="J21" s="88">
        <v>9898.1999999999989</v>
      </c>
      <c r="K21" s="88">
        <v>14358.079999999998</v>
      </c>
      <c r="L21" s="88">
        <v>2132.84</v>
      </c>
      <c r="M21" s="88">
        <v>5719.04</v>
      </c>
      <c r="N21" s="88">
        <v>2795.5099999999998</v>
      </c>
      <c r="O21" s="88">
        <v>72654.839999999982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61</v>
      </c>
      <c r="C1" t="s">
        <v>76</v>
      </c>
      <c r="E1" t="s">
        <v>77</v>
      </c>
      <c r="G1" t="s">
        <v>83</v>
      </c>
      <c r="I1" t="s">
        <v>137</v>
      </c>
    </row>
    <row r="2" spans="1:9" x14ac:dyDescent="0.25">
      <c r="A2" t="s">
        <v>60</v>
      </c>
      <c r="C2" t="s">
        <v>81</v>
      </c>
      <c r="E2" t="s">
        <v>78</v>
      </c>
      <c r="G2" t="s">
        <v>84</v>
      </c>
      <c r="I2" t="s">
        <v>159</v>
      </c>
    </row>
    <row r="3" spans="1:9" x14ac:dyDescent="0.25">
      <c r="A3" t="s">
        <v>11</v>
      </c>
      <c r="C3" t="s">
        <v>82</v>
      </c>
      <c r="G3" t="s">
        <v>85</v>
      </c>
      <c r="I3" t="s">
        <v>160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K13" sqref="K12:K13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/>
    </row>
    <row r="2" spans="1:2" x14ac:dyDescent="0.25">
      <c r="A2" s="33" t="s">
        <v>112</v>
      </c>
      <c r="B2" s="55"/>
    </row>
    <row r="3" spans="1:2" x14ac:dyDescent="0.25">
      <c r="A3" s="33" t="s">
        <v>102</v>
      </c>
      <c r="B3" s="55"/>
    </row>
    <row r="4" spans="1:2" x14ac:dyDescent="0.25">
      <c r="A4" s="33" t="s">
        <v>114</v>
      </c>
      <c r="B4" s="55"/>
    </row>
    <row r="5" spans="1:2" x14ac:dyDescent="0.25">
      <c r="A5" s="33" t="s">
        <v>113</v>
      </c>
      <c r="B5" s="55"/>
    </row>
    <row r="6" spans="1:2" x14ac:dyDescent="0.25">
      <c r="A6" s="33" t="s">
        <v>115</v>
      </c>
      <c r="B6" s="55"/>
    </row>
    <row r="7" spans="1:2" x14ac:dyDescent="0.25">
      <c r="A7" s="33" t="s">
        <v>116</v>
      </c>
      <c r="B7" s="55"/>
    </row>
    <row r="8" spans="1:2" x14ac:dyDescent="0.25">
      <c r="A8" s="33" t="s">
        <v>21</v>
      </c>
      <c r="B8" s="55"/>
    </row>
    <row r="9" spans="1:2" x14ac:dyDescent="0.25">
      <c r="A9" s="33" t="s">
        <v>20</v>
      </c>
      <c r="B9" s="55"/>
    </row>
    <row r="10" spans="1:2" x14ac:dyDescent="0.25">
      <c r="A10" s="33" t="s">
        <v>117</v>
      </c>
      <c r="B10" s="55"/>
    </row>
    <row r="11" spans="1:2" x14ac:dyDescent="0.25">
      <c r="A11" s="33" t="s">
        <v>118</v>
      </c>
      <c r="B11" s="56"/>
    </row>
    <row r="12" spans="1:2" x14ac:dyDescent="0.25">
      <c r="A12" s="33" t="s">
        <v>119</v>
      </c>
      <c r="B12" s="55"/>
    </row>
    <row r="13" spans="1:2" x14ac:dyDescent="0.25">
      <c r="A13" s="90" t="s">
        <v>140</v>
      </c>
      <c r="B13" s="55"/>
    </row>
    <row r="14" spans="1:2" x14ac:dyDescent="0.25">
      <c r="A14" s="33" t="s">
        <v>120</v>
      </c>
      <c r="B14" s="55"/>
    </row>
    <row r="15" spans="1:2" x14ac:dyDescent="0.25">
      <c r="A15" s="33" t="s">
        <v>121</v>
      </c>
      <c r="B15" s="55"/>
    </row>
    <row r="16" spans="1:2" x14ac:dyDescent="0.25">
      <c r="A16" s="33" t="s">
        <v>122</v>
      </c>
      <c r="B16" s="55"/>
    </row>
    <row r="17" spans="1:2" x14ac:dyDescent="0.25">
      <c r="A17" s="33" t="s">
        <v>123</v>
      </c>
      <c r="B17" s="55"/>
    </row>
    <row r="18" spans="1:2" x14ac:dyDescent="0.25">
      <c r="A18" s="33" t="s">
        <v>124</v>
      </c>
      <c r="B18" s="55"/>
    </row>
    <row r="19" spans="1:2" x14ac:dyDescent="0.25">
      <c r="A19" s="33" t="s">
        <v>125</v>
      </c>
      <c r="B19" s="55"/>
    </row>
    <row r="20" spans="1:2" x14ac:dyDescent="0.25">
      <c r="A20" s="33" t="s">
        <v>127</v>
      </c>
      <c r="B20" s="55"/>
    </row>
    <row r="21" spans="1:2" x14ac:dyDescent="0.25">
      <c r="A21" s="33" t="s">
        <v>128</v>
      </c>
      <c r="B21" s="55"/>
    </row>
    <row r="22" spans="1:2" x14ac:dyDescent="0.25">
      <c r="A22" s="33" t="s">
        <v>129</v>
      </c>
      <c r="B22" s="55"/>
    </row>
    <row r="23" spans="1:2" x14ac:dyDescent="0.25">
      <c r="A23" s="33" t="s">
        <v>130</v>
      </c>
      <c r="B23" s="61"/>
    </row>
    <row r="24" spans="1:2" x14ac:dyDescent="0.25">
      <c r="A24" s="60" t="s">
        <v>139</v>
      </c>
      <c r="B24" s="89"/>
    </row>
    <row r="25" spans="1:2" x14ac:dyDescent="0.25">
      <c r="A25" s="63" t="s">
        <v>166</v>
      </c>
      <c r="B25" s="63"/>
    </row>
    <row r="26" spans="1:2" x14ac:dyDescent="0.25">
      <c r="A26" s="54"/>
      <c r="B26" s="53"/>
    </row>
    <row r="27" spans="1:2" x14ac:dyDescent="0.25">
      <c r="A27" s="54"/>
      <c r="B27" s="53"/>
    </row>
    <row r="28" spans="1:2" x14ac:dyDescent="0.25">
      <c r="A28" s="54"/>
      <c r="B28" s="53"/>
    </row>
    <row r="29" spans="1:2" x14ac:dyDescent="0.25">
      <c r="A29" s="54"/>
      <c r="B29" s="53"/>
    </row>
    <row r="30" spans="1:2" x14ac:dyDescent="0.25">
      <c r="A30" s="54"/>
      <c r="B30" s="53"/>
    </row>
    <row r="31" spans="1:2" x14ac:dyDescent="0.25">
      <c r="A31" s="54"/>
      <c r="B31" s="53"/>
    </row>
    <row r="32" spans="1:2" x14ac:dyDescent="0.25">
      <c r="A32" s="54"/>
      <c r="B32" s="53"/>
    </row>
    <row r="33" spans="1:2" x14ac:dyDescent="0.25">
      <c r="A33" s="54"/>
      <c r="B33" s="53"/>
    </row>
    <row r="34" spans="1:2" x14ac:dyDescent="0.25">
      <c r="A34" s="54"/>
      <c r="B34" s="53"/>
    </row>
    <row r="35" spans="1:2" x14ac:dyDescent="0.25">
      <c r="A35" s="54"/>
      <c r="B35" s="53"/>
    </row>
    <row r="36" spans="1:2" x14ac:dyDescent="0.25">
      <c r="A36" s="54"/>
      <c r="B36" s="53"/>
    </row>
    <row r="37" spans="1:2" x14ac:dyDescent="0.25">
      <c r="A37" s="54"/>
      <c r="B37" s="53"/>
    </row>
    <row r="38" spans="1:2" x14ac:dyDescent="0.25">
      <c r="A38" s="54"/>
      <c r="B38" s="53"/>
    </row>
    <row r="39" spans="1:2" x14ac:dyDescent="0.25">
      <c r="A39" s="54"/>
      <c r="B39" s="53"/>
    </row>
    <row r="40" spans="1:2" x14ac:dyDescent="0.25">
      <c r="A40" s="54"/>
      <c r="B40" s="53"/>
    </row>
    <row r="41" spans="1:2" x14ac:dyDescent="0.25">
      <c r="A41" s="54"/>
      <c r="B41" s="53"/>
    </row>
    <row r="42" spans="1:2" x14ac:dyDescent="0.25">
      <c r="A42" s="54"/>
      <c r="B42" s="53"/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R_1-M-C-ST_info</vt:lpstr>
      <vt:lpstr>Home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2023-09-08T04:09:04Z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