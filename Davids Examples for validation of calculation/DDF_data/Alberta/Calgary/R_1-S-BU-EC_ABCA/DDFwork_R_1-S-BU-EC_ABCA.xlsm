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1-S-BU-EC_ABCA\"/>
    </mc:Choice>
  </mc:AlternateContent>
  <xr:revisionPtr revIDLastSave="0" documentId="13_ncr:1_{7DE57583-178D-4F04-BBB2-9738E888783B}" xr6:coauthVersionLast="47" xr6:coauthVersionMax="47" xr10:uidLastSave="{00000000-0000-0000-0000-000000000000}"/>
  <bookViews>
    <workbookView xWindow="-120" yWindow="-120" windowWidth="25440" windowHeight="15390" tabRatio="813" activeTab="4" xr2:uid="{7C5655A8-2A5B-4B20-ABA5-441C5835F3C9}"/>
  </bookViews>
  <sheets>
    <sheet name="R_1-S-BU-EC_info" sheetId="59" r:id="rId1"/>
    <sheet name="R_1-S-BU-EC_ABCA_struct" sheetId="61" r:id="rId2"/>
    <sheet name="R_1-S-BU-EC_ABCA_m2" sheetId="62" r:id="rId3"/>
    <sheet name="Home" sheetId="29" r:id="rId4"/>
    <sheet name="LineItems" sheetId="60" r:id="rId5"/>
    <sheet name="Rooms_Rpt" sheetId="20" r:id="rId6"/>
    <sheet name="Groups-Layout" sheetId="2" r:id="rId7"/>
    <sheet name="Pivot_Tables" sheetId="33" r:id="rId8"/>
    <sheet name="DDFwrk_grp2" sheetId="57" r:id="rId9"/>
    <sheet name="DDFwrk_grp3" sheetId="42" r:id="rId10"/>
    <sheet name="lists" sheetId="43" r:id="rId11"/>
    <sheet name="CanFlood_DDF" sheetId="48" r:id="rId12"/>
  </sheets>
  <functionGroups builtInGroupCount="19"/>
  <externalReferences>
    <externalReference r:id="rId13"/>
  </externalReferences>
  <definedNames>
    <definedName name="_xlnm._FilterDatabase" localSheetId="6" hidden="1">'Groups-Layout'!$G$2:$K$2</definedName>
    <definedName name="EstimateName">Home!$D$6</definedName>
    <definedName name="GFAcell" localSheetId="0">'[1]Groups-Layout'!$C$11</definedName>
    <definedName name="GFAcell">'Groups-Layout'!$C$11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201" r:id="rId14"/>
    <pivotCache cacheId="207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3" i="57" l="1"/>
  <c r="M7" i="57"/>
  <c r="M8" i="57"/>
  <c r="M9" i="57"/>
  <c r="M10" i="57"/>
  <c r="M11" i="57"/>
  <c r="M12" i="57"/>
  <c r="M13" i="57"/>
  <c r="M14" i="57"/>
  <c r="M15" i="57"/>
  <c r="M16" i="57"/>
  <c r="M17" i="57"/>
  <c r="M18" i="57"/>
  <c r="M19" i="57"/>
  <c r="M6" i="57"/>
  <c r="M5" i="57"/>
  <c r="AZ203" i="60"/>
  <c r="AY203" i="60"/>
  <c r="AX203" i="60"/>
  <c r="AW203" i="60"/>
  <c r="AV203" i="60"/>
  <c r="AU203" i="60"/>
  <c r="AT203" i="60"/>
  <c r="AS203" i="60"/>
  <c r="AR203" i="60"/>
  <c r="AQ203" i="60"/>
  <c r="AP203" i="60"/>
  <c r="AO203" i="60"/>
  <c r="AN203" i="60"/>
  <c r="AM203" i="60"/>
  <c r="AL203" i="60"/>
  <c r="AK203" i="60"/>
  <c r="AJ203" i="60"/>
  <c r="AZ202" i="60"/>
  <c r="AY202" i="60"/>
  <c r="AX202" i="60"/>
  <c r="AW202" i="60"/>
  <c r="AV202" i="60"/>
  <c r="AU202" i="60"/>
  <c r="AT202" i="60"/>
  <c r="AS202" i="60"/>
  <c r="AR202" i="60"/>
  <c r="AQ202" i="60"/>
  <c r="AP202" i="60"/>
  <c r="AO202" i="60"/>
  <c r="AN202" i="60"/>
  <c r="AM202" i="60"/>
  <c r="AL202" i="60"/>
  <c r="AK202" i="60"/>
  <c r="AJ202" i="60"/>
  <c r="AZ201" i="60"/>
  <c r="AY201" i="60"/>
  <c r="AX201" i="60"/>
  <c r="AW201" i="60"/>
  <c r="AV201" i="60"/>
  <c r="AU201" i="60"/>
  <c r="AT201" i="60"/>
  <c r="AS201" i="60"/>
  <c r="AR201" i="60"/>
  <c r="AQ201" i="60"/>
  <c r="AP201" i="60"/>
  <c r="AO201" i="60"/>
  <c r="AN201" i="60"/>
  <c r="AM201" i="60"/>
  <c r="AL201" i="60"/>
  <c r="AK201" i="60"/>
  <c r="AJ201" i="60"/>
  <c r="AZ200" i="60"/>
  <c r="AY200" i="60"/>
  <c r="AX200" i="60"/>
  <c r="AW200" i="60"/>
  <c r="AV200" i="60"/>
  <c r="AU200" i="60"/>
  <c r="AT200" i="60"/>
  <c r="AS200" i="60"/>
  <c r="AR200" i="60"/>
  <c r="AQ200" i="60"/>
  <c r="AP200" i="60"/>
  <c r="AO200" i="60"/>
  <c r="AN200" i="60"/>
  <c r="AM200" i="60"/>
  <c r="AL200" i="60"/>
  <c r="AK200" i="60"/>
  <c r="AJ200" i="60"/>
  <c r="AZ199" i="60"/>
  <c r="AY199" i="60"/>
  <c r="AX199" i="60"/>
  <c r="AW199" i="60"/>
  <c r="AV199" i="60"/>
  <c r="AU199" i="60"/>
  <c r="AT199" i="60"/>
  <c r="AS199" i="60"/>
  <c r="AR199" i="60"/>
  <c r="AQ199" i="60"/>
  <c r="AP199" i="60"/>
  <c r="AO199" i="60"/>
  <c r="AN199" i="60"/>
  <c r="AM199" i="60"/>
  <c r="AL199" i="60"/>
  <c r="AK199" i="60"/>
  <c r="AJ199" i="60"/>
  <c r="AZ198" i="60"/>
  <c r="AY198" i="60"/>
  <c r="AX198" i="60"/>
  <c r="AW198" i="60"/>
  <c r="AV198" i="60"/>
  <c r="AU198" i="60"/>
  <c r="AT198" i="60"/>
  <c r="AS198" i="60"/>
  <c r="AR198" i="60"/>
  <c r="AQ198" i="60"/>
  <c r="AP198" i="60"/>
  <c r="AO198" i="60"/>
  <c r="AN198" i="60"/>
  <c r="AM198" i="60"/>
  <c r="AL198" i="60"/>
  <c r="AK198" i="60"/>
  <c r="AJ198" i="60"/>
  <c r="AZ197" i="60"/>
  <c r="AY197" i="60"/>
  <c r="AX197" i="60"/>
  <c r="AW197" i="60"/>
  <c r="AV197" i="60"/>
  <c r="AU197" i="60"/>
  <c r="AT197" i="60"/>
  <c r="AS197" i="60"/>
  <c r="AR197" i="60"/>
  <c r="AQ197" i="60"/>
  <c r="AP197" i="60"/>
  <c r="AO197" i="60"/>
  <c r="AN197" i="60"/>
  <c r="AM197" i="60"/>
  <c r="AL197" i="60"/>
  <c r="AK197" i="60"/>
  <c r="AJ197" i="60"/>
  <c r="AZ196" i="60"/>
  <c r="AY196" i="60"/>
  <c r="AX196" i="60"/>
  <c r="AW196" i="60"/>
  <c r="AV196" i="60"/>
  <c r="AU196" i="60"/>
  <c r="AT196" i="60"/>
  <c r="AS196" i="60"/>
  <c r="AR196" i="60"/>
  <c r="AQ196" i="60"/>
  <c r="AP196" i="60"/>
  <c r="AO196" i="60"/>
  <c r="AN196" i="60"/>
  <c r="AM196" i="60"/>
  <c r="AL196" i="60"/>
  <c r="AK196" i="60"/>
  <c r="AJ196" i="60"/>
  <c r="AZ195" i="60"/>
  <c r="AY195" i="60"/>
  <c r="AX195" i="60"/>
  <c r="AW195" i="60"/>
  <c r="AV195" i="60"/>
  <c r="AU195" i="60"/>
  <c r="AT195" i="60"/>
  <c r="AS195" i="60"/>
  <c r="AR195" i="60"/>
  <c r="AQ195" i="60"/>
  <c r="AP195" i="60"/>
  <c r="AO195" i="60"/>
  <c r="AN195" i="60"/>
  <c r="AM195" i="60"/>
  <c r="AL195" i="60"/>
  <c r="AK195" i="60"/>
  <c r="AJ195" i="60"/>
  <c r="AZ194" i="60"/>
  <c r="AY194" i="60"/>
  <c r="AX194" i="60"/>
  <c r="AW194" i="60"/>
  <c r="AV194" i="60"/>
  <c r="AU194" i="60"/>
  <c r="AT194" i="60"/>
  <c r="AS194" i="60"/>
  <c r="AR194" i="60"/>
  <c r="AQ194" i="60"/>
  <c r="AP194" i="60"/>
  <c r="AO194" i="60"/>
  <c r="AN194" i="60"/>
  <c r="AM194" i="60"/>
  <c r="AL194" i="60"/>
  <c r="AK194" i="60"/>
  <c r="AJ194" i="60"/>
  <c r="AZ193" i="60"/>
  <c r="AY193" i="60"/>
  <c r="AX193" i="60"/>
  <c r="AW193" i="60"/>
  <c r="AV193" i="60"/>
  <c r="AU193" i="60"/>
  <c r="AT193" i="60"/>
  <c r="AS193" i="60"/>
  <c r="AR193" i="60"/>
  <c r="AQ193" i="60"/>
  <c r="AP193" i="60"/>
  <c r="AO193" i="60"/>
  <c r="AN193" i="60"/>
  <c r="AM193" i="60"/>
  <c r="AL193" i="60"/>
  <c r="AK193" i="60"/>
  <c r="AJ193" i="60"/>
  <c r="AZ192" i="60"/>
  <c r="AY192" i="60"/>
  <c r="AX192" i="60"/>
  <c r="AW192" i="60"/>
  <c r="AV192" i="60"/>
  <c r="AU192" i="60"/>
  <c r="AT192" i="60"/>
  <c r="AS192" i="60"/>
  <c r="AR192" i="60"/>
  <c r="AQ192" i="60"/>
  <c r="AP192" i="60"/>
  <c r="AO192" i="60"/>
  <c r="AN192" i="60"/>
  <c r="AM192" i="60"/>
  <c r="AL192" i="60"/>
  <c r="AK192" i="60"/>
  <c r="AJ192" i="60"/>
  <c r="AZ191" i="60"/>
  <c r="AY191" i="60"/>
  <c r="AX191" i="60"/>
  <c r="AW191" i="60"/>
  <c r="AV191" i="60"/>
  <c r="AU191" i="60"/>
  <c r="AT191" i="60"/>
  <c r="AS191" i="60"/>
  <c r="AR191" i="60"/>
  <c r="AQ191" i="60"/>
  <c r="AP191" i="60"/>
  <c r="AO191" i="60"/>
  <c r="AN191" i="60"/>
  <c r="AM191" i="60"/>
  <c r="AL191" i="60"/>
  <c r="AK191" i="60"/>
  <c r="AJ191" i="60"/>
  <c r="AZ190" i="60"/>
  <c r="AY190" i="60"/>
  <c r="AX190" i="60"/>
  <c r="AW190" i="60"/>
  <c r="AV190" i="60"/>
  <c r="AU190" i="60"/>
  <c r="AT190" i="60"/>
  <c r="AS190" i="60"/>
  <c r="AR190" i="60"/>
  <c r="AQ190" i="60"/>
  <c r="AP190" i="60"/>
  <c r="AO190" i="60"/>
  <c r="AN190" i="60"/>
  <c r="AM190" i="60"/>
  <c r="AL190" i="60"/>
  <c r="AK190" i="60"/>
  <c r="AJ190" i="60"/>
  <c r="AZ189" i="60"/>
  <c r="AY189" i="60"/>
  <c r="AX189" i="60"/>
  <c r="AW189" i="60"/>
  <c r="AV189" i="60"/>
  <c r="AU189" i="60"/>
  <c r="AT189" i="60"/>
  <c r="AS189" i="60"/>
  <c r="AR189" i="60"/>
  <c r="AQ189" i="60"/>
  <c r="AP189" i="60"/>
  <c r="AO189" i="60"/>
  <c r="AN189" i="60"/>
  <c r="AM189" i="60"/>
  <c r="AL189" i="60"/>
  <c r="AK189" i="60"/>
  <c r="AJ189" i="60"/>
  <c r="AZ188" i="60"/>
  <c r="AY188" i="60"/>
  <c r="AX188" i="60"/>
  <c r="AW188" i="60"/>
  <c r="AV188" i="60"/>
  <c r="AU188" i="60"/>
  <c r="AT188" i="60"/>
  <c r="AS188" i="60"/>
  <c r="AR188" i="60"/>
  <c r="AQ188" i="60"/>
  <c r="AP188" i="60"/>
  <c r="AO188" i="60"/>
  <c r="AN188" i="60"/>
  <c r="AM188" i="60"/>
  <c r="AL188" i="60"/>
  <c r="AK188" i="60"/>
  <c r="AJ188" i="60"/>
  <c r="AZ187" i="60"/>
  <c r="AY187" i="60"/>
  <c r="AX187" i="60"/>
  <c r="AW187" i="60"/>
  <c r="AV187" i="60"/>
  <c r="AU187" i="60"/>
  <c r="AT187" i="60"/>
  <c r="AS187" i="60"/>
  <c r="AR187" i="60"/>
  <c r="AQ187" i="60"/>
  <c r="AP187" i="60"/>
  <c r="AO187" i="60"/>
  <c r="AN187" i="60"/>
  <c r="AM187" i="60"/>
  <c r="AL187" i="60"/>
  <c r="AK187" i="60"/>
  <c r="AJ187" i="60"/>
  <c r="AZ186" i="60"/>
  <c r="AY186" i="60"/>
  <c r="AX186" i="60"/>
  <c r="AW186" i="60"/>
  <c r="AV186" i="60"/>
  <c r="AU186" i="60"/>
  <c r="AT186" i="60"/>
  <c r="AS186" i="60"/>
  <c r="AR186" i="60"/>
  <c r="AQ186" i="60"/>
  <c r="AP186" i="60"/>
  <c r="AO186" i="60"/>
  <c r="AN186" i="60"/>
  <c r="AM186" i="60"/>
  <c r="AL186" i="60"/>
  <c r="AK186" i="60"/>
  <c r="AJ186" i="60"/>
  <c r="AZ185" i="60"/>
  <c r="AY185" i="60"/>
  <c r="AX185" i="60"/>
  <c r="AW185" i="60"/>
  <c r="AV185" i="60"/>
  <c r="AU185" i="60"/>
  <c r="AT185" i="60"/>
  <c r="AS185" i="60"/>
  <c r="AR185" i="60"/>
  <c r="AQ185" i="60"/>
  <c r="AP185" i="60"/>
  <c r="AO185" i="60"/>
  <c r="AN185" i="60"/>
  <c r="AM185" i="60"/>
  <c r="AL185" i="60"/>
  <c r="AK185" i="60"/>
  <c r="AJ185" i="60"/>
  <c r="AZ184" i="60"/>
  <c r="AY184" i="60"/>
  <c r="AX184" i="60"/>
  <c r="AW184" i="60"/>
  <c r="AV184" i="60"/>
  <c r="AU184" i="60"/>
  <c r="AT184" i="60"/>
  <c r="AS184" i="60"/>
  <c r="AR184" i="60"/>
  <c r="AQ184" i="60"/>
  <c r="AP184" i="60"/>
  <c r="AO184" i="60"/>
  <c r="AN184" i="60"/>
  <c r="AM184" i="60"/>
  <c r="AL184" i="60"/>
  <c r="AK184" i="60"/>
  <c r="AJ184" i="60"/>
  <c r="AZ183" i="60"/>
  <c r="AY183" i="60"/>
  <c r="AX183" i="60"/>
  <c r="AW183" i="60"/>
  <c r="AV183" i="60"/>
  <c r="AU183" i="60"/>
  <c r="AT183" i="60"/>
  <c r="AS183" i="60"/>
  <c r="AR183" i="60"/>
  <c r="AQ183" i="60"/>
  <c r="AP183" i="60"/>
  <c r="AO183" i="60"/>
  <c r="AN183" i="60"/>
  <c r="AM183" i="60"/>
  <c r="AL183" i="60"/>
  <c r="AK183" i="60"/>
  <c r="AJ183" i="60"/>
  <c r="AZ182" i="60"/>
  <c r="AY182" i="60"/>
  <c r="AX182" i="60"/>
  <c r="AW182" i="60"/>
  <c r="AV182" i="60"/>
  <c r="AU182" i="60"/>
  <c r="AT182" i="60"/>
  <c r="AS182" i="60"/>
  <c r="AR182" i="60"/>
  <c r="AQ182" i="60"/>
  <c r="AP182" i="60"/>
  <c r="AO182" i="60"/>
  <c r="AN182" i="60"/>
  <c r="AM182" i="60"/>
  <c r="AL182" i="60"/>
  <c r="AK182" i="60"/>
  <c r="AJ182" i="60"/>
  <c r="AZ181" i="60"/>
  <c r="AY181" i="60"/>
  <c r="AX181" i="60"/>
  <c r="AW181" i="60"/>
  <c r="AV181" i="60"/>
  <c r="AU181" i="60"/>
  <c r="AT181" i="60"/>
  <c r="AS181" i="60"/>
  <c r="AR181" i="60"/>
  <c r="AQ181" i="60"/>
  <c r="AP181" i="60"/>
  <c r="AO181" i="60"/>
  <c r="AN181" i="60"/>
  <c r="AM181" i="60"/>
  <c r="AL181" i="60"/>
  <c r="AK181" i="60"/>
  <c r="AJ181" i="60"/>
  <c r="AZ180" i="60"/>
  <c r="AY180" i="60"/>
  <c r="AX180" i="60"/>
  <c r="AW180" i="60"/>
  <c r="AV180" i="60"/>
  <c r="AU180" i="60"/>
  <c r="AT180" i="60"/>
  <c r="AS180" i="60"/>
  <c r="AR180" i="60"/>
  <c r="AQ180" i="60"/>
  <c r="AP180" i="60"/>
  <c r="AO180" i="60"/>
  <c r="AN180" i="60"/>
  <c r="AM180" i="60"/>
  <c r="AL180" i="60"/>
  <c r="AK180" i="60"/>
  <c r="AJ180" i="60"/>
  <c r="AZ179" i="60"/>
  <c r="AY179" i="60"/>
  <c r="AX179" i="60"/>
  <c r="AW179" i="60"/>
  <c r="AV179" i="60"/>
  <c r="AU179" i="60"/>
  <c r="AT179" i="60"/>
  <c r="AS179" i="60"/>
  <c r="AR179" i="60"/>
  <c r="AQ179" i="60"/>
  <c r="AP179" i="60"/>
  <c r="AO179" i="60"/>
  <c r="AN179" i="60"/>
  <c r="AM179" i="60"/>
  <c r="AL179" i="60"/>
  <c r="AK179" i="60"/>
  <c r="AJ179" i="60"/>
  <c r="AZ178" i="60"/>
  <c r="AY178" i="60"/>
  <c r="AX178" i="60"/>
  <c r="AW178" i="60"/>
  <c r="AV178" i="60"/>
  <c r="AU178" i="60"/>
  <c r="AT178" i="60"/>
  <c r="AS178" i="60"/>
  <c r="AR178" i="60"/>
  <c r="AQ178" i="60"/>
  <c r="AP178" i="60"/>
  <c r="AO178" i="60"/>
  <c r="AN178" i="60"/>
  <c r="AM178" i="60"/>
  <c r="AL178" i="60"/>
  <c r="AK178" i="60"/>
  <c r="AJ178" i="60"/>
  <c r="AZ177" i="60"/>
  <c r="AY177" i="60"/>
  <c r="AX177" i="60"/>
  <c r="AW177" i="60"/>
  <c r="AV177" i="60"/>
  <c r="AU177" i="60"/>
  <c r="AT177" i="60"/>
  <c r="AS177" i="60"/>
  <c r="AR177" i="60"/>
  <c r="AQ177" i="60"/>
  <c r="AP177" i="60"/>
  <c r="AO177" i="60"/>
  <c r="AN177" i="60"/>
  <c r="AM177" i="60"/>
  <c r="AL177" i="60"/>
  <c r="AK177" i="60"/>
  <c r="AJ177" i="60"/>
  <c r="AZ176" i="60"/>
  <c r="AY176" i="60"/>
  <c r="AX176" i="60"/>
  <c r="AW176" i="60"/>
  <c r="AV176" i="60"/>
  <c r="AU176" i="60"/>
  <c r="AT176" i="60"/>
  <c r="AS176" i="60"/>
  <c r="AR176" i="60"/>
  <c r="AQ176" i="60"/>
  <c r="AP176" i="60"/>
  <c r="AO176" i="60"/>
  <c r="AN176" i="60"/>
  <c r="AM176" i="60"/>
  <c r="AL176" i="60"/>
  <c r="AK176" i="60"/>
  <c r="AJ176" i="60"/>
  <c r="AZ175" i="60"/>
  <c r="AY175" i="60"/>
  <c r="AX175" i="60"/>
  <c r="AW175" i="60"/>
  <c r="AV175" i="60"/>
  <c r="AU175" i="60"/>
  <c r="AT175" i="60"/>
  <c r="AS175" i="60"/>
  <c r="AR175" i="60"/>
  <c r="AQ175" i="60"/>
  <c r="AP175" i="60"/>
  <c r="AO175" i="60"/>
  <c r="AN175" i="60"/>
  <c r="AM175" i="60"/>
  <c r="AL175" i="60"/>
  <c r="AK175" i="60"/>
  <c r="AJ175" i="60"/>
  <c r="AZ174" i="60"/>
  <c r="AY174" i="60"/>
  <c r="AX174" i="60"/>
  <c r="AW174" i="60"/>
  <c r="AV174" i="60"/>
  <c r="AU174" i="60"/>
  <c r="AT174" i="60"/>
  <c r="AS174" i="60"/>
  <c r="AR174" i="60"/>
  <c r="AQ174" i="60"/>
  <c r="AP174" i="60"/>
  <c r="AO174" i="60"/>
  <c r="AN174" i="60"/>
  <c r="AM174" i="60"/>
  <c r="AL174" i="60"/>
  <c r="AK174" i="60"/>
  <c r="AJ174" i="60"/>
  <c r="AZ173" i="60"/>
  <c r="AY173" i="60"/>
  <c r="AX173" i="60"/>
  <c r="AW173" i="60"/>
  <c r="AV173" i="60"/>
  <c r="AU173" i="60"/>
  <c r="AT173" i="60"/>
  <c r="AS173" i="60"/>
  <c r="AR173" i="60"/>
  <c r="AQ173" i="60"/>
  <c r="AP173" i="60"/>
  <c r="AO173" i="60"/>
  <c r="AN173" i="60"/>
  <c r="AM173" i="60"/>
  <c r="AL173" i="60"/>
  <c r="AK173" i="60"/>
  <c r="AJ173" i="60"/>
  <c r="AZ172" i="60"/>
  <c r="AY172" i="60"/>
  <c r="AX172" i="60"/>
  <c r="AW172" i="60"/>
  <c r="AV172" i="60"/>
  <c r="AU172" i="60"/>
  <c r="AT172" i="60"/>
  <c r="AS172" i="60"/>
  <c r="AR172" i="60"/>
  <c r="AQ172" i="60"/>
  <c r="AP172" i="60"/>
  <c r="AO172" i="60"/>
  <c r="AN172" i="60"/>
  <c r="AM172" i="60"/>
  <c r="AL172" i="60"/>
  <c r="AK172" i="60"/>
  <c r="AJ172" i="60"/>
  <c r="AZ171" i="60"/>
  <c r="AY171" i="60"/>
  <c r="AX171" i="60"/>
  <c r="AW171" i="60"/>
  <c r="AV171" i="60"/>
  <c r="AU171" i="60"/>
  <c r="AT171" i="60"/>
  <c r="AS171" i="60"/>
  <c r="AR171" i="60"/>
  <c r="AQ171" i="60"/>
  <c r="AP171" i="60"/>
  <c r="AO171" i="60"/>
  <c r="AN171" i="60"/>
  <c r="AM171" i="60"/>
  <c r="AL171" i="60"/>
  <c r="AK171" i="60"/>
  <c r="AJ171" i="60"/>
  <c r="AZ170" i="60"/>
  <c r="AY170" i="60"/>
  <c r="AX170" i="60"/>
  <c r="AW170" i="60"/>
  <c r="AV170" i="60"/>
  <c r="AU170" i="60"/>
  <c r="AT170" i="60"/>
  <c r="AS170" i="60"/>
  <c r="AR170" i="60"/>
  <c r="AQ170" i="60"/>
  <c r="AP170" i="60"/>
  <c r="AO170" i="60"/>
  <c r="AN170" i="60"/>
  <c r="AM170" i="60"/>
  <c r="AL170" i="60"/>
  <c r="AK170" i="60"/>
  <c r="AJ170" i="60"/>
  <c r="AZ169" i="60"/>
  <c r="AY169" i="60"/>
  <c r="AX169" i="60"/>
  <c r="AW169" i="60"/>
  <c r="AV169" i="60"/>
  <c r="AU169" i="60"/>
  <c r="AT169" i="60"/>
  <c r="AS169" i="60"/>
  <c r="AR169" i="60"/>
  <c r="AQ169" i="60"/>
  <c r="AP169" i="60"/>
  <c r="AO169" i="60"/>
  <c r="AN169" i="60"/>
  <c r="AM169" i="60"/>
  <c r="AL169" i="60"/>
  <c r="AK169" i="60"/>
  <c r="AJ169" i="60"/>
  <c r="AZ168" i="60"/>
  <c r="AY168" i="60"/>
  <c r="AX168" i="60"/>
  <c r="AW168" i="60"/>
  <c r="AV168" i="60"/>
  <c r="AU168" i="60"/>
  <c r="AT168" i="60"/>
  <c r="AS168" i="60"/>
  <c r="AR168" i="60"/>
  <c r="AQ168" i="60"/>
  <c r="AP168" i="60"/>
  <c r="AO168" i="60"/>
  <c r="AN168" i="60"/>
  <c r="AM168" i="60"/>
  <c r="AL168" i="60"/>
  <c r="AK168" i="60"/>
  <c r="AJ168" i="60"/>
  <c r="AZ167" i="60"/>
  <c r="AY167" i="60"/>
  <c r="AX167" i="60"/>
  <c r="AW167" i="60"/>
  <c r="AV167" i="60"/>
  <c r="AU167" i="60"/>
  <c r="AT167" i="60"/>
  <c r="AS167" i="60"/>
  <c r="AR167" i="60"/>
  <c r="AQ167" i="60"/>
  <c r="AP167" i="60"/>
  <c r="AO167" i="60"/>
  <c r="AN167" i="60"/>
  <c r="AM167" i="60"/>
  <c r="AL167" i="60"/>
  <c r="AK167" i="60"/>
  <c r="AJ167" i="60"/>
  <c r="AZ166" i="60"/>
  <c r="AY166" i="60"/>
  <c r="AX166" i="60"/>
  <c r="AW166" i="60"/>
  <c r="AV166" i="60"/>
  <c r="AU166" i="60"/>
  <c r="AT166" i="60"/>
  <c r="AS166" i="60"/>
  <c r="AR166" i="60"/>
  <c r="AQ166" i="60"/>
  <c r="AP166" i="60"/>
  <c r="AO166" i="60"/>
  <c r="AN166" i="60"/>
  <c r="AM166" i="60"/>
  <c r="AL166" i="60"/>
  <c r="AK166" i="60"/>
  <c r="AJ166" i="60"/>
  <c r="AZ165" i="60"/>
  <c r="AY165" i="60"/>
  <c r="AX165" i="60"/>
  <c r="AW165" i="60"/>
  <c r="AV165" i="60"/>
  <c r="AU165" i="60"/>
  <c r="AT165" i="60"/>
  <c r="AS165" i="60"/>
  <c r="AR165" i="60"/>
  <c r="AQ165" i="60"/>
  <c r="AP165" i="60"/>
  <c r="AO165" i="60"/>
  <c r="AN165" i="60"/>
  <c r="AM165" i="60"/>
  <c r="AL165" i="60"/>
  <c r="AK165" i="60"/>
  <c r="AJ165" i="60"/>
  <c r="AZ164" i="60"/>
  <c r="AY164" i="60"/>
  <c r="AX164" i="60"/>
  <c r="AW164" i="60"/>
  <c r="AV164" i="60"/>
  <c r="AU164" i="60"/>
  <c r="AT164" i="60"/>
  <c r="AS164" i="60"/>
  <c r="AR164" i="60"/>
  <c r="AQ164" i="60"/>
  <c r="AP164" i="60"/>
  <c r="AO164" i="60"/>
  <c r="AN164" i="60"/>
  <c r="AM164" i="60"/>
  <c r="AL164" i="60"/>
  <c r="AK164" i="60"/>
  <c r="AJ164" i="60"/>
  <c r="AZ163" i="60"/>
  <c r="AY163" i="60"/>
  <c r="AX163" i="60"/>
  <c r="AW163" i="60"/>
  <c r="AV163" i="60"/>
  <c r="AU163" i="60"/>
  <c r="AT163" i="60"/>
  <c r="AS163" i="60"/>
  <c r="AR163" i="60"/>
  <c r="AQ163" i="60"/>
  <c r="AP163" i="60"/>
  <c r="AO163" i="60"/>
  <c r="AN163" i="60"/>
  <c r="AM163" i="60"/>
  <c r="AL163" i="60"/>
  <c r="AK163" i="60"/>
  <c r="AJ163" i="60"/>
  <c r="AZ162" i="60"/>
  <c r="AY162" i="60"/>
  <c r="AX162" i="60"/>
  <c r="AW162" i="60"/>
  <c r="AV162" i="60"/>
  <c r="AU162" i="60"/>
  <c r="AT162" i="60"/>
  <c r="AS162" i="60"/>
  <c r="AR162" i="60"/>
  <c r="AQ162" i="60"/>
  <c r="AP162" i="60"/>
  <c r="AO162" i="60"/>
  <c r="AN162" i="60"/>
  <c r="AM162" i="60"/>
  <c r="AL162" i="60"/>
  <c r="AK162" i="60"/>
  <c r="AJ162" i="60"/>
  <c r="AZ161" i="60"/>
  <c r="AY161" i="60"/>
  <c r="AX161" i="60"/>
  <c r="AW161" i="60"/>
  <c r="AV161" i="60"/>
  <c r="AU161" i="60"/>
  <c r="AT161" i="60"/>
  <c r="AS161" i="60"/>
  <c r="AR161" i="60"/>
  <c r="AQ161" i="60"/>
  <c r="AP161" i="60"/>
  <c r="AO161" i="60"/>
  <c r="AN161" i="60"/>
  <c r="AM161" i="60"/>
  <c r="AL161" i="60"/>
  <c r="AK161" i="60"/>
  <c r="AJ161" i="60"/>
  <c r="AZ160" i="60"/>
  <c r="AY160" i="60"/>
  <c r="AX160" i="60"/>
  <c r="AW160" i="60"/>
  <c r="AV160" i="60"/>
  <c r="AU160" i="60"/>
  <c r="AT160" i="60"/>
  <c r="AS160" i="60"/>
  <c r="AR160" i="60"/>
  <c r="AQ160" i="60"/>
  <c r="AP160" i="60"/>
  <c r="AO160" i="60"/>
  <c r="AN160" i="60"/>
  <c r="AM160" i="60"/>
  <c r="AL160" i="60"/>
  <c r="AK160" i="60"/>
  <c r="AJ160" i="60"/>
  <c r="AZ159" i="60"/>
  <c r="AY159" i="60"/>
  <c r="AX159" i="60"/>
  <c r="AW159" i="60"/>
  <c r="AV159" i="60"/>
  <c r="AU159" i="60"/>
  <c r="AT159" i="60"/>
  <c r="AS159" i="60"/>
  <c r="AR159" i="60"/>
  <c r="AQ159" i="60"/>
  <c r="AP159" i="60"/>
  <c r="AO159" i="60"/>
  <c r="AN159" i="60"/>
  <c r="AM159" i="60"/>
  <c r="AL159" i="60"/>
  <c r="AK159" i="60"/>
  <c r="AJ159" i="60"/>
  <c r="AZ158" i="60"/>
  <c r="AY158" i="60"/>
  <c r="AX158" i="60"/>
  <c r="AW158" i="60"/>
  <c r="AV158" i="60"/>
  <c r="AU158" i="60"/>
  <c r="AT158" i="60"/>
  <c r="AS158" i="60"/>
  <c r="AR158" i="60"/>
  <c r="AQ158" i="60"/>
  <c r="AP158" i="60"/>
  <c r="AO158" i="60"/>
  <c r="AN158" i="60"/>
  <c r="AM158" i="60"/>
  <c r="AL158" i="60"/>
  <c r="AK158" i="60"/>
  <c r="AJ158" i="60"/>
  <c r="AZ157" i="60"/>
  <c r="AY157" i="60"/>
  <c r="AX157" i="60"/>
  <c r="AW157" i="60"/>
  <c r="AV157" i="60"/>
  <c r="AU157" i="60"/>
  <c r="AT157" i="60"/>
  <c r="AS157" i="60"/>
  <c r="AR157" i="60"/>
  <c r="AQ157" i="60"/>
  <c r="AP157" i="60"/>
  <c r="AO157" i="60"/>
  <c r="AN157" i="60"/>
  <c r="AM157" i="60"/>
  <c r="AL157" i="60"/>
  <c r="AK157" i="60"/>
  <c r="AJ157" i="60"/>
  <c r="AZ156" i="60"/>
  <c r="AY156" i="60"/>
  <c r="AX156" i="60"/>
  <c r="AW156" i="60"/>
  <c r="AV156" i="60"/>
  <c r="AU156" i="60"/>
  <c r="AT156" i="60"/>
  <c r="AS156" i="60"/>
  <c r="AR156" i="60"/>
  <c r="AQ156" i="60"/>
  <c r="AP156" i="60"/>
  <c r="AO156" i="60"/>
  <c r="AN156" i="60"/>
  <c r="AM156" i="60"/>
  <c r="AL156" i="60"/>
  <c r="AK156" i="60"/>
  <c r="AJ156" i="60"/>
  <c r="AZ155" i="60"/>
  <c r="AY155" i="60"/>
  <c r="AX155" i="60"/>
  <c r="AW155" i="60"/>
  <c r="AV155" i="60"/>
  <c r="AU155" i="60"/>
  <c r="AT155" i="60"/>
  <c r="AS155" i="60"/>
  <c r="AR155" i="60"/>
  <c r="AQ155" i="60"/>
  <c r="AP155" i="60"/>
  <c r="AO155" i="60"/>
  <c r="AN155" i="60"/>
  <c r="AM155" i="60"/>
  <c r="AL155" i="60"/>
  <c r="AK155" i="60"/>
  <c r="AJ155" i="60"/>
  <c r="AZ154" i="60"/>
  <c r="AY154" i="60"/>
  <c r="AX154" i="60"/>
  <c r="AW154" i="60"/>
  <c r="AV154" i="60"/>
  <c r="AU154" i="60"/>
  <c r="AT154" i="60"/>
  <c r="AS154" i="60"/>
  <c r="AR154" i="60"/>
  <c r="AQ154" i="60"/>
  <c r="AP154" i="60"/>
  <c r="AO154" i="60"/>
  <c r="AN154" i="60"/>
  <c r="AM154" i="60"/>
  <c r="AL154" i="60"/>
  <c r="AK154" i="60"/>
  <c r="AJ154" i="60"/>
  <c r="AZ153" i="60"/>
  <c r="AY153" i="60"/>
  <c r="AX153" i="60"/>
  <c r="AW153" i="60"/>
  <c r="AV153" i="60"/>
  <c r="AU153" i="60"/>
  <c r="AT153" i="60"/>
  <c r="AS153" i="60"/>
  <c r="AR153" i="60"/>
  <c r="AQ153" i="60"/>
  <c r="AP153" i="60"/>
  <c r="AO153" i="60"/>
  <c r="AN153" i="60"/>
  <c r="AM153" i="60"/>
  <c r="AL153" i="60"/>
  <c r="AK153" i="60"/>
  <c r="AJ153" i="60"/>
  <c r="AZ152" i="60"/>
  <c r="AY152" i="60"/>
  <c r="AX152" i="60"/>
  <c r="AW152" i="60"/>
  <c r="AV152" i="60"/>
  <c r="AU152" i="60"/>
  <c r="AT152" i="60"/>
  <c r="AS152" i="60"/>
  <c r="AR152" i="60"/>
  <c r="AQ152" i="60"/>
  <c r="AP152" i="60"/>
  <c r="AO152" i="60"/>
  <c r="AN152" i="60"/>
  <c r="AM152" i="60"/>
  <c r="AL152" i="60"/>
  <c r="AK152" i="60"/>
  <c r="AJ152" i="60"/>
  <c r="AZ151" i="60"/>
  <c r="AY151" i="60"/>
  <c r="AX151" i="60"/>
  <c r="AW151" i="60"/>
  <c r="AV151" i="60"/>
  <c r="AU151" i="60"/>
  <c r="AT151" i="60"/>
  <c r="AS151" i="60"/>
  <c r="AR151" i="60"/>
  <c r="AQ151" i="60"/>
  <c r="AP151" i="60"/>
  <c r="AO151" i="60"/>
  <c r="AN151" i="60"/>
  <c r="AM151" i="60"/>
  <c r="AL151" i="60"/>
  <c r="AK151" i="60"/>
  <c r="AJ151" i="60"/>
  <c r="AZ150" i="60"/>
  <c r="AY150" i="60"/>
  <c r="AX150" i="60"/>
  <c r="AW150" i="60"/>
  <c r="AV150" i="60"/>
  <c r="AU150" i="60"/>
  <c r="AT150" i="60"/>
  <c r="AS150" i="60"/>
  <c r="AR150" i="60"/>
  <c r="AQ150" i="60"/>
  <c r="AP150" i="60"/>
  <c r="AO150" i="60"/>
  <c r="AN150" i="60"/>
  <c r="AM150" i="60"/>
  <c r="AL150" i="60"/>
  <c r="AK150" i="60"/>
  <c r="AJ150" i="60"/>
  <c r="AZ149" i="60"/>
  <c r="AY149" i="60"/>
  <c r="AX149" i="60"/>
  <c r="AW149" i="60"/>
  <c r="AV149" i="60"/>
  <c r="AU149" i="60"/>
  <c r="AT149" i="60"/>
  <c r="AS149" i="60"/>
  <c r="AR149" i="60"/>
  <c r="AQ149" i="60"/>
  <c r="AP149" i="60"/>
  <c r="AO149" i="60"/>
  <c r="AN149" i="60"/>
  <c r="AM149" i="60"/>
  <c r="AL149" i="60"/>
  <c r="AK149" i="60"/>
  <c r="AJ149" i="60"/>
  <c r="AZ148" i="60"/>
  <c r="AY148" i="60"/>
  <c r="AX148" i="60"/>
  <c r="AW148" i="60"/>
  <c r="AV148" i="60"/>
  <c r="AU148" i="60"/>
  <c r="AT148" i="60"/>
  <c r="AS148" i="60"/>
  <c r="AR148" i="60"/>
  <c r="AQ148" i="60"/>
  <c r="AP148" i="60"/>
  <c r="AO148" i="60"/>
  <c r="AN148" i="60"/>
  <c r="AM148" i="60"/>
  <c r="AL148" i="60"/>
  <c r="AK148" i="60"/>
  <c r="AJ148" i="60"/>
  <c r="AZ147" i="60"/>
  <c r="AY147" i="60"/>
  <c r="AX147" i="60"/>
  <c r="AW147" i="60"/>
  <c r="AV147" i="60"/>
  <c r="AU147" i="60"/>
  <c r="AT147" i="60"/>
  <c r="AS147" i="60"/>
  <c r="AR147" i="60"/>
  <c r="AQ147" i="60"/>
  <c r="AP147" i="60"/>
  <c r="AO147" i="60"/>
  <c r="AN147" i="60"/>
  <c r="AM147" i="60"/>
  <c r="AL147" i="60"/>
  <c r="AK147" i="60"/>
  <c r="AJ147" i="60"/>
  <c r="AZ146" i="60"/>
  <c r="AY146" i="60"/>
  <c r="AX146" i="60"/>
  <c r="AW146" i="60"/>
  <c r="AV146" i="60"/>
  <c r="AU146" i="60"/>
  <c r="AT146" i="60"/>
  <c r="AS146" i="60"/>
  <c r="AR146" i="60"/>
  <c r="AQ146" i="60"/>
  <c r="AP146" i="60"/>
  <c r="AO146" i="60"/>
  <c r="AN146" i="60"/>
  <c r="AM146" i="60"/>
  <c r="AL146" i="60"/>
  <c r="AK146" i="60"/>
  <c r="AJ146" i="60"/>
  <c r="AZ145" i="60"/>
  <c r="AY145" i="60"/>
  <c r="AX145" i="60"/>
  <c r="AW145" i="60"/>
  <c r="AV145" i="60"/>
  <c r="AU145" i="60"/>
  <c r="AT145" i="60"/>
  <c r="AS145" i="60"/>
  <c r="AR145" i="60"/>
  <c r="AQ145" i="60"/>
  <c r="AP145" i="60"/>
  <c r="AO145" i="60"/>
  <c r="AN145" i="60"/>
  <c r="AM145" i="60"/>
  <c r="AL145" i="60"/>
  <c r="AK145" i="60"/>
  <c r="AJ145" i="60"/>
  <c r="AZ144" i="60"/>
  <c r="AY144" i="60"/>
  <c r="AX144" i="60"/>
  <c r="AW144" i="60"/>
  <c r="AV144" i="60"/>
  <c r="AU144" i="60"/>
  <c r="AT144" i="60"/>
  <c r="AS144" i="60"/>
  <c r="AR144" i="60"/>
  <c r="AQ144" i="60"/>
  <c r="AP144" i="60"/>
  <c r="AO144" i="60"/>
  <c r="AN144" i="60"/>
  <c r="AM144" i="60"/>
  <c r="AL144" i="60"/>
  <c r="AK144" i="60"/>
  <c r="AJ144" i="60"/>
  <c r="AZ143" i="60"/>
  <c r="AY143" i="60"/>
  <c r="AX143" i="60"/>
  <c r="AW143" i="60"/>
  <c r="AV143" i="60"/>
  <c r="AU143" i="60"/>
  <c r="AT143" i="60"/>
  <c r="AS143" i="60"/>
  <c r="AR143" i="60"/>
  <c r="AQ143" i="60"/>
  <c r="AP143" i="60"/>
  <c r="AO143" i="60"/>
  <c r="AN143" i="60"/>
  <c r="AM143" i="60"/>
  <c r="AL143" i="60"/>
  <c r="AK143" i="60"/>
  <c r="AJ143" i="60"/>
  <c r="AZ142" i="60"/>
  <c r="AY142" i="60"/>
  <c r="AX142" i="60"/>
  <c r="AW142" i="60"/>
  <c r="AV142" i="60"/>
  <c r="AU142" i="60"/>
  <c r="AT142" i="60"/>
  <c r="AS142" i="60"/>
  <c r="AR142" i="60"/>
  <c r="AQ142" i="60"/>
  <c r="AP142" i="60"/>
  <c r="AO142" i="60"/>
  <c r="AN142" i="60"/>
  <c r="AM142" i="60"/>
  <c r="AL142" i="60"/>
  <c r="AK142" i="60"/>
  <c r="AJ142" i="60"/>
  <c r="AZ141" i="60"/>
  <c r="AY141" i="60"/>
  <c r="AX141" i="60"/>
  <c r="AW141" i="60"/>
  <c r="AV141" i="60"/>
  <c r="AU141" i="60"/>
  <c r="AT141" i="60"/>
  <c r="AS141" i="60"/>
  <c r="AR141" i="60"/>
  <c r="AQ141" i="60"/>
  <c r="AP141" i="60"/>
  <c r="AO141" i="60"/>
  <c r="AN141" i="60"/>
  <c r="AM141" i="60"/>
  <c r="AL141" i="60"/>
  <c r="AK141" i="60"/>
  <c r="AJ141" i="60"/>
  <c r="AZ140" i="60"/>
  <c r="AY140" i="60"/>
  <c r="AX140" i="60"/>
  <c r="AW140" i="60"/>
  <c r="AV140" i="60"/>
  <c r="AU140" i="60"/>
  <c r="AT140" i="60"/>
  <c r="AS140" i="60"/>
  <c r="AR140" i="60"/>
  <c r="AQ140" i="60"/>
  <c r="AP140" i="60"/>
  <c r="AO140" i="60"/>
  <c r="AN140" i="60"/>
  <c r="AM140" i="60"/>
  <c r="AL140" i="60"/>
  <c r="AK140" i="60"/>
  <c r="AJ140" i="60"/>
  <c r="AZ139" i="60"/>
  <c r="AY139" i="60"/>
  <c r="AX139" i="60"/>
  <c r="AW139" i="60"/>
  <c r="AV139" i="60"/>
  <c r="AU139" i="60"/>
  <c r="AT139" i="60"/>
  <c r="AS139" i="60"/>
  <c r="AR139" i="60"/>
  <c r="AQ139" i="60"/>
  <c r="AP139" i="60"/>
  <c r="AO139" i="60"/>
  <c r="AN139" i="60"/>
  <c r="AM139" i="60"/>
  <c r="AL139" i="60"/>
  <c r="AK139" i="60"/>
  <c r="AJ139" i="60"/>
  <c r="AZ138" i="60"/>
  <c r="AY138" i="60"/>
  <c r="AX138" i="60"/>
  <c r="AW138" i="60"/>
  <c r="AV138" i="60"/>
  <c r="AU138" i="60"/>
  <c r="AT138" i="60"/>
  <c r="AS138" i="60"/>
  <c r="AR138" i="60"/>
  <c r="AQ138" i="60"/>
  <c r="AP138" i="60"/>
  <c r="AO138" i="60"/>
  <c r="AN138" i="60"/>
  <c r="AM138" i="60"/>
  <c r="AL138" i="60"/>
  <c r="AK138" i="60"/>
  <c r="AJ138" i="60"/>
  <c r="AZ137" i="60"/>
  <c r="AY137" i="60"/>
  <c r="AX137" i="60"/>
  <c r="AW137" i="60"/>
  <c r="AV137" i="60"/>
  <c r="AU137" i="60"/>
  <c r="AT137" i="60"/>
  <c r="AS137" i="60"/>
  <c r="AR137" i="60"/>
  <c r="AQ137" i="60"/>
  <c r="AP137" i="60"/>
  <c r="AO137" i="60"/>
  <c r="AN137" i="60"/>
  <c r="AM137" i="60"/>
  <c r="AL137" i="60"/>
  <c r="AK137" i="60"/>
  <c r="AJ137" i="60"/>
  <c r="AZ136" i="60"/>
  <c r="AY136" i="60"/>
  <c r="AX136" i="60"/>
  <c r="AW136" i="60"/>
  <c r="AV136" i="60"/>
  <c r="AU136" i="60"/>
  <c r="AT136" i="60"/>
  <c r="AS136" i="60"/>
  <c r="AR136" i="60"/>
  <c r="AQ136" i="60"/>
  <c r="AP136" i="60"/>
  <c r="AO136" i="60"/>
  <c r="AN136" i="60"/>
  <c r="AM136" i="60"/>
  <c r="AL136" i="60"/>
  <c r="AK136" i="60"/>
  <c r="AJ136" i="60"/>
  <c r="AZ135" i="60"/>
  <c r="AY135" i="60"/>
  <c r="AX135" i="60"/>
  <c r="AW135" i="60"/>
  <c r="AV135" i="60"/>
  <c r="AU135" i="60"/>
  <c r="AT135" i="60"/>
  <c r="AS135" i="60"/>
  <c r="AR135" i="60"/>
  <c r="AQ135" i="60"/>
  <c r="AP135" i="60"/>
  <c r="AO135" i="60"/>
  <c r="AN135" i="60"/>
  <c r="AM135" i="60"/>
  <c r="AL135" i="60"/>
  <c r="AK135" i="60"/>
  <c r="AJ135" i="60"/>
  <c r="AZ134" i="60"/>
  <c r="AY134" i="60"/>
  <c r="AX134" i="60"/>
  <c r="AW134" i="60"/>
  <c r="AV134" i="60"/>
  <c r="AU134" i="60"/>
  <c r="AT134" i="60"/>
  <c r="AS134" i="60"/>
  <c r="AR134" i="60"/>
  <c r="AQ134" i="60"/>
  <c r="AP134" i="60"/>
  <c r="AO134" i="60"/>
  <c r="AN134" i="60"/>
  <c r="AM134" i="60"/>
  <c r="AL134" i="60"/>
  <c r="AK134" i="60"/>
  <c r="AJ134" i="60"/>
  <c r="AZ133" i="60"/>
  <c r="AY133" i="60"/>
  <c r="AX133" i="60"/>
  <c r="AW133" i="60"/>
  <c r="AV133" i="60"/>
  <c r="AU133" i="60"/>
  <c r="AT133" i="60"/>
  <c r="AS133" i="60"/>
  <c r="AR133" i="60"/>
  <c r="AQ133" i="60"/>
  <c r="AP133" i="60"/>
  <c r="AO133" i="60"/>
  <c r="AN133" i="60"/>
  <c r="AM133" i="60"/>
  <c r="AL133" i="60"/>
  <c r="AK133" i="60"/>
  <c r="AJ133" i="60"/>
  <c r="AZ132" i="60"/>
  <c r="AY132" i="60"/>
  <c r="AX132" i="60"/>
  <c r="AW132" i="60"/>
  <c r="AV132" i="60"/>
  <c r="AU132" i="60"/>
  <c r="AT132" i="60"/>
  <c r="AS132" i="60"/>
  <c r="AR132" i="60"/>
  <c r="AQ132" i="60"/>
  <c r="AP132" i="60"/>
  <c r="AO132" i="60"/>
  <c r="AN132" i="60"/>
  <c r="AM132" i="60"/>
  <c r="AL132" i="60"/>
  <c r="AK132" i="60"/>
  <c r="AJ132" i="60"/>
  <c r="AZ131" i="60"/>
  <c r="AY131" i="60"/>
  <c r="AX131" i="60"/>
  <c r="AW131" i="60"/>
  <c r="AV131" i="60"/>
  <c r="AU131" i="60"/>
  <c r="AT131" i="60"/>
  <c r="AS131" i="60"/>
  <c r="AR131" i="60"/>
  <c r="AQ131" i="60"/>
  <c r="AP131" i="60"/>
  <c r="AO131" i="60"/>
  <c r="AN131" i="60"/>
  <c r="AM131" i="60"/>
  <c r="AL131" i="60"/>
  <c r="AK131" i="60"/>
  <c r="AJ131" i="60"/>
  <c r="AZ130" i="60"/>
  <c r="AY130" i="60"/>
  <c r="AX130" i="60"/>
  <c r="AW130" i="60"/>
  <c r="AV130" i="60"/>
  <c r="AU130" i="60"/>
  <c r="AT130" i="60"/>
  <c r="AS130" i="60"/>
  <c r="AR130" i="60"/>
  <c r="AQ130" i="60"/>
  <c r="AP130" i="60"/>
  <c r="AO130" i="60"/>
  <c r="AN130" i="60"/>
  <c r="AM130" i="60"/>
  <c r="AL130" i="60"/>
  <c r="AK130" i="60"/>
  <c r="AJ130" i="60"/>
  <c r="AZ129" i="60"/>
  <c r="AY129" i="60"/>
  <c r="AX129" i="60"/>
  <c r="AW129" i="60"/>
  <c r="AV129" i="60"/>
  <c r="AU129" i="60"/>
  <c r="AT129" i="60"/>
  <c r="AS129" i="60"/>
  <c r="AR129" i="60"/>
  <c r="AQ129" i="60"/>
  <c r="AP129" i="60"/>
  <c r="AO129" i="60"/>
  <c r="AN129" i="60"/>
  <c r="AM129" i="60"/>
  <c r="AL129" i="60"/>
  <c r="AK129" i="60"/>
  <c r="AJ129" i="60"/>
  <c r="AZ128" i="60"/>
  <c r="AY128" i="60"/>
  <c r="AX128" i="60"/>
  <c r="AW128" i="60"/>
  <c r="AV128" i="60"/>
  <c r="AU128" i="60"/>
  <c r="AT128" i="60"/>
  <c r="AS128" i="60"/>
  <c r="AR128" i="60"/>
  <c r="AQ128" i="60"/>
  <c r="AP128" i="60"/>
  <c r="AO128" i="60"/>
  <c r="AN128" i="60"/>
  <c r="AM128" i="60"/>
  <c r="AL128" i="60"/>
  <c r="AK128" i="60"/>
  <c r="AJ128" i="60"/>
  <c r="AZ127" i="60"/>
  <c r="AY127" i="60"/>
  <c r="AX127" i="60"/>
  <c r="AW127" i="60"/>
  <c r="AV127" i="60"/>
  <c r="AU127" i="60"/>
  <c r="AT127" i="60"/>
  <c r="AS127" i="60"/>
  <c r="AR127" i="60"/>
  <c r="AQ127" i="60"/>
  <c r="AP127" i="60"/>
  <c r="AO127" i="60"/>
  <c r="AN127" i="60"/>
  <c r="AM127" i="60"/>
  <c r="AL127" i="60"/>
  <c r="AK127" i="60"/>
  <c r="AJ127" i="60"/>
  <c r="AZ126" i="60"/>
  <c r="AY126" i="60"/>
  <c r="AX126" i="60"/>
  <c r="AW126" i="60"/>
  <c r="AV126" i="60"/>
  <c r="AU126" i="60"/>
  <c r="AT126" i="60"/>
  <c r="AS126" i="60"/>
  <c r="AR126" i="60"/>
  <c r="AQ126" i="60"/>
  <c r="AP126" i="60"/>
  <c r="AO126" i="60"/>
  <c r="AN126" i="60"/>
  <c r="AM126" i="60"/>
  <c r="AL126" i="60"/>
  <c r="AK126" i="60"/>
  <c r="AJ126" i="60"/>
  <c r="AZ125" i="60"/>
  <c r="AY125" i="60"/>
  <c r="AX125" i="60"/>
  <c r="AW125" i="60"/>
  <c r="AV125" i="60"/>
  <c r="AU125" i="60"/>
  <c r="AT125" i="60"/>
  <c r="AS125" i="60"/>
  <c r="AR125" i="60"/>
  <c r="AQ125" i="60"/>
  <c r="AP125" i="60"/>
  <c r="AO125" i="60"/>
  <c r="AN125" i="60"/>
  <c r="AM125" i="60"/>
  <c r="AL125" i="60"/>
  <c r="AK125" i="60"/>
  <c r="AJ125" i="60"/>
  <c r="AZ124" i="60"/>
  <c r="AY124" i="60"/>
  <c r="AX124" i="60"/>
  <c r="AW124" i="60"/>
  <c r="AV124" i="60"/>
  <c r="AU124" i="60"/>
  <c r="AT124" i="60"/>
  <c r="AS124" i="60"/>
  <c r="AR124" i="60"/>
  <c r="AQ124" i="60"/>
  <c r="AP124" i="60"/>
  <c r="AO124" i="60"/>
  <c r="AN124" i="60"/>
  <c r="AM124" i="60"/>
  <c r="AL124" i="60"/>
  <c r="AK124" i="60"/>
  <c r="AJ124" i="60"/>
  <c r="AZ123" i="60"/>
  <c r="AY123" i="60"/>
  <c r="AX123" i="60"/>
  <c r="AW123" i="60"/>
  <c r="AV123" i="60"/>
  <c r="AU123" i="60"/>
  <c r="AT123" i="60"/>
  <c r="AS123" i="60"/>
  <c r="AR123" i="60"/>
  <c r="AQ123" i="60"/>
  <c r="AP123" i="60"/>
  <c r="AO123" i="60"/>
  <c r="AN123" i="60"/>
  <c r="AM123" i="60"/>
  <c r="AL123" i="60"/>
  <c r="AK123" i="60"/>
  <c r="AJ123" i="60"/>
  <c r="AZ122" i="60"/>
  <c r="AY122" i="60"/>
  <c r="AX122" i="60"/>
  <c r="AW122" i="60"/>
  <c r="AV122" i="60"/>
  <c r="AU122" i="60"/>
  <c r="AT122" i="60"/>
  <c r="AS122" i="60"/>
  <c r="AR122" i="60"/>
  <c r="AQ122" i="60"/>
  <c r="AP122" i="60"/>
  <c r="AO122" i="60"/>
  <c r="AN122" i="60"/>
  <c r="AM122" i="60"/>
  <c r="AL122" i="60"/>
  <c r="AK122" i="60"/>
  <c r="AJ122" i="60"/>
  <c r="AZ121" i="60"/>
  <c r="AY121" i="60"/>
  <c r="AX121" i="60"/>
  <c r="AW121" i="60"/>
  <c r="AV121" i="60"/>
  <c r="AU121" i="60"/>
  <c r="AT121" i="60"/>
  <c r="AS121" i="60"/>
  <c r="AR121" i="60"/>
  <c r="AQ121" i="60"/>
  <c r="AP121" i="60"/>
  <c r="AO121" i="60"/>
  <c r="AN121" i="60"/>
  <c r="AM121" i="60"/>
  <c r="AL121" i="60"/>
  <c r="AK121" i="60"/>
  <c r="AJ121" i="60"/>
  <c r="AZ120" i="60"/>
  <c r="AY120" i="60"/>
  <c r="AX120" i="60"/>
  <c r="AW120" i="60"/>
  <c r="AV120" i="60"/>
  <c r="AU120" i="60"/>
  <c r="AT120" i="60"/>
  <c r="AS120" i="60"/>
  <c r="AR120" i="60"/>
  <c r="AQ120" i="60"/>
  <c r="AP120" i="60"/>
  <c r="AO120" i="60"/>
  <c r="AN120" i="60"/>
  <c r="AM120" i="60"/>
  <c r="AL120" i="60"/>
  <c r="AK120" i="60"/>
  <c r="AJ120" i="60"/>
  <c r="AZ119" i="60"/>
  <c r="AY119" i="60"/>
  <c r="AX119" i="60"/>
  <c r="AW119" i="60"/>
  <c r="AV119" i="60"/>
  <c r="AU119" i="60"/>
  <c r="AT119" i="60"/>
  <c r="AS119" i="60"/>
  <c r="AR119" i="60"/>
  <c r="AQ119" i="60"/>
  <c r="AP119" i="60"/>
  <c r="AO119" i="60"/>
  <c r="AN119" i="60"/>
  <c r="AM119" i="60"/>
  <c r="AL119" i="60"/>
  <c r="AK119" i="60"/>
  <c r="AJ119" i="60"/>
  <c r="AZ118" i="60"/>
  <c r="AY118" i="60"/>
  <c r="AX118" i="60"/>
  <c r="AW118" i="60"/>
  <c r="AV118" i="60"/>
  <c r="AU118" i="60"/>
  <c r="AT118" i="60"/>
  <c r="AS118" i="60"/>
  <c r="AR118" i="60"/>
  <c r="AQ118" i="60"/>
  <c r="AP118" i="60"/>
  <c r="AO118" i="60"/>
  <c r="AN118" i="60"/>
  <c r="AM118" i="60"/>
  <c r="AL118" i="60"/>
  <c r="AK118" i="60"/>
  <c r="AJ118" i="60"/>
  <c r="AZ117" i="60"/>
  <c r="AY117" i="60"/>
  <c r="AX117" i="60"/>
  <c r="AW117" i="60"/>
  <c r="AV117" i="60"/>
  <c r="AU117" i="60"/>
  <c r="AT117" i="60"/>
  <c r="AS117" i="60"/>
  <c r="AR117" i="60"/>
  <c r="AQ117" i="60"/>
  <c r="AP117" i="60"/>
  <c r="AO117" i="60"/>
  <c r="AN117" i="60"/>
  <c r="AM117" i="60"/>
  <c r="AL117" i="60"/>
  <c r="AK117" i="60"/>
  <c r="AJ117" i="60"/>
  <c r="AZ116" i="60"/>
  <c r="AY116" i="60"/>
  <c r="AX116" i="60"/>
  <c r="AW116" i="60"/>
  <c r="AV116" i="60"/>
  <c r="AU116" i="60"/>
  <c r="AT116" i="60"/>
  <c r="AS116" i="60"/>
  <c r="AR116" i="60"/>
  <c r="AQ116" i="60"/>
  <c r="AP116" i="60"/>
  <c r="AO116" i="60"/>
  <c r="AN116" i="60"/>
  <c r="AM116" i="60"/>
  <c r="AL116" i="60"/>
  <c r="AK116" i="60"/>
  <c r="AJ116" i="60"/>
  <c r="AZ115" i="60"/>
  <c r="AY115" i="60"/>
  <c r="AX115" i="60"/>
  <c r="AW115" i="60"/>
  <c r="AV115" i="60"/>
  <c r="AU115" i="60"/>
  <c r="AT115" i="60"/>
  <c r="AS115" i="60"/>
  <c r="AR115" i="60"/>
  <c r="AQ115" i="60"/>
  <c r="AP115" i="60"/>
  <c r="AO115" i="60"/>
  <c r="AN115" i="60"/>
  <c r="AM115" i="60"/>
  <c r="AL115" i="60"/>
  <c r="AK115" i="60"/>
  <c r="AJ115" i="60"/>
  <c r="AZ114" i="60"/>
  <c r="AY114" i="60"/>
  <c r="AX114" i="60"/>
  <c r="AW114" i="60"/>
  <c r="AV114" i="60"/>
  <c r="AU114" i="60"/>
  <c r="AT114" i="60"/>
  <c r="AS114" i="60"/>
  <c r="AR114" i="60"/>
  <c r="AQ114" i="60"/>
  <c r="AP114" i="60"/>
  <c r="AO114" i="60"/>
  <c r="AN114" i="60"/>
  <c r="AM114" i="60"/>
  <c r="AL114" i="60"/>
  <c r="AK114" i="60"/>
  <c r="AJ114" i="60"/>
  <c r="AZ113" i="60"/>
  <c r="AY113" i="60"/>
  <c r="AX113" i="60"/>
  <c r="AW113" i="60"/>
  <c r="AV113" i="60"/>
  <c r="AU113" i="60"/>
  <c r="AT113" i="60"/>
  <c r="AS113" i="60"/>
  <c r="AR113" i="60"/>
  <c r="AQ113" i="60"/>
  <c r="AP113" i="60"/>
  <c r="AO113" i="60"/>
  <c r="AN113" i="60"/>
  <c r="AM113" i="60"/>
  <c r="AL113" i="60"/>
  <c r="AK113" i="60"/>
  <c r="AJ113" i="60"/>
  <c r="AZ112" i="60"/>
  <c r="AY112" i="60"/>
  <c r="AX112" i="60"/>
  <c r="AW112" i="60"/>
  <c r="AV112" i="60"/>
  <c r="AU112" i="60"/>
  <c r="AT112" i="60"/>
  <c r="AS112" i="60"/>
  <c r="AR112" i="60"/>
  <c r="AQ112" i="60"/>
  <c r="AP112" i="60"/>
  <c r="AO112" i="60"/>
  <c r="AN112" i="60"/>
  <c r="AM112" i="60"/>
  <c r="AL112" i="60"/>
  <c r="AK112" i="60"/>
  <c r="AJ112" i="60"/>
  <c r="AZ111" i="60"/>
  <c r="AY111" i="60"/>
  <c r="AX111" i="60"/>
  <c r="AW111" i="60"/>
  <c r="AV111" i="60"/>
  <c r="AU111" i="60"/>
  <c r="AT111" i="60"/>
  <c r="AS111" i="60"/>
  <c r="AR111" i="60"/>
  <c r="AQ111" i="60"/>
  <c r="AP111" i="60"/>
  <c r="AO111" i="60"/>
  <c r="AN111" i="60"/>
  <c r="AM111" i="60"/>
  <c r="AL111" i="60"/>
  <c r="AK111" i="60"/>
  <c r="AJ111" i="60"/>
  <c r="AZ110" i="60"/>
  <c r="AY110" i="60"/>
  <c r="AX110" i="60"/>
  <c r="AW110" i="60"/>
  <c r="AV110" i="60"/>
  <c r="AU110" i="60"/>
  <c r="AT110" i="60"/>
  <c r="AS110" i="60"/>
  <c r="AR110" i="60"/>
  <c r="AQ110" i="60"/>
  <c r="AP110" i="60"/>
  <c r="AO110" i="60"/>
  <c r="AN110" i="60"/>
  <c r="AM110" i="60"/>
  <c r="AL110" i="60"/>
  <c r="AK110" i="60"/>
  <c r="AJ110" i="60"/>
  <c r="AZ109" i="60"/>
  <c r="AY109" i="60"/>
  <c r="AX109" i="60"/>
  <c r="AW109" i="60"/>
  <c r="AV109" i="60"/>
  <c r="AU109" i="60"/>
  <c r="AT109" i="60"/>
  <c r="AS109" i="60"/>
  <c r="AR109" i="60"/>
  <c r="AQ109" i="60"/>
  <c r="AP109" i="60"/>
  <c r="AO109" i="60"/>
  <c r="AN109" i="60"/>
  <c r="AM109" i="60"/>
  <c r="AL109" i="60"/>
  <c r="AK109" i="60"/>
  <c r="AJ109" i="60"/>
  <c r="AZ108" i="60"/>
  <c r="AY108" i="60"/>
  <c r="AX108" i="60"/>
  <c r="AW108" i="60"/>
  <c r="AV108" i="60"/>
  <c r="AU108" i="60"/>
  <c r="AT108" i="60"/>
  <c r="AS108" i="60"/>
  <c r="AR108" i="60"/>
  <c r="AQ108" i="60"/>
  <c r="AP108" i="60"/>
  <c r="AO108" i="60"/>
  <c r="AN108" i="60"/>
  <c r="AM108" i="60"/>
  <c r="AL108" i="60"/>
  <c r="AK108" i="60"/>
  <c r="AJ108" i="60"/>
  <c r="AZ107" i="60"/>
  <c r="AY107" i="60"/>
  <c r="AX107" i="60"/>
  <c r="AW107" i="60"/>
  <c r="AV107" i="60"/>
  <c r="AU107" i="60"/>
  <c r="AT107" i="60"/>
  <c r="AS107" i="60"/>
  <c r="AR107" i="60"/>
  <c r="AQ107" i="60"/>
  <c r="AP107" i="60"/>
  <c r="AO107" i="60"/>
  <c r="AN107" i="60"/>
  <c r="AM107" i="60"/>
  <c r="AL107" i="60"/>
  <c r="AK107" i="60"/>
  <c r="AJ107" i="60"/>
  <c r="AZ106" i="60"/>
  <c r="AY106" i="60"/>
  <c r="AX106" i="60"/>
  <c r="AW106" i="60"/>
  <c r="AV106" i="60"/>
  <c r="AU106" i="60"/>
  <c r="AT106" i="60"/>
  <c r="AS106" i="60"/>
  <c r="AR106" i="60"/>
  <c r="AQ106" i="60"/>
  <c r="AP106" i="60"/>
  <c r="AO106" i="60"/>
  <c r="AN106" i="60"/>
  <c r="AM106" i="60"/>
  <c r="AL106" i="60"/>
  <c r="AK106" i="60"/>
  <c r="AJ106" i="60"/>
  <c r="AZ105" i="60"/>
  <c r="AY105" i="60"/>
  <c r="AX105" i="60"/>
  <c r="AW105" i="60"/>
  <c r="AV105" i="60"/>
  <c r="AU105" i="60"/>
  <c r="AT105" i="60"/>
  <c r="AS105" i="60"/>
  <c r="AR105" i="60"/>
  <c r="AQ105" i="60"/>
  <c r="AP105" i="60"/>
  <c r="AO105" i="60"/>
  <c r="AN105" i="60"/>
  <c r="AM105" i="60"/>
  <c r="AL105" i="60"/>
  <c r="AK105" i="60"/>
  <c r="AJ105" i="60"/>
  <c r="AZ104" i="60"/>
  <c r="AY104" i="60"/>
  <c r="AX104" i="60"/>
  <c r="AW104" i="60"/>
  <c r="AV104" i="60"/>
  <c r="AU104" i="60"/>
  <c r="AT104" i="60"/>
  <c r="AS104" i="60"/>
  <c r="AR104" i="60"/>
  <c r="AQ104" i="60"/>
  <c r="AP104" i="60"/>
  <c r="AO104" i="60"/>
  <c r="AN104" i="60"/>
  <c r="AM104" i="60"/>
  <c r="AL104" i="60"/>
  <c r="AK104" i="60"/>
  <c r="AJ104" i="60"/>
  <c r="AZ103" i="60"/>
  <c r="AY103" i="60"/>
  <c r="AX103" i="60"/>
  <c r="AW103" i="60"/>
  <c r="AV103" i="60"/>
  <c r="AU103" i="60"/>
  <c r="AT103" i="60"/>
  <c r="AS103" i="60"/>
  <c r="AR103" i="60"/>
  <c r="AQ103" i="60"/>
  <c r="AP103" i="60"/>
  <c r="AO103" i="60"/>
  <c r="AN103" i="60"/>
  <c r="AM103" i="60"/>
  <c r="AL103" i="60"/>
  <c r="AK103" i="60"/>
  <c r="AJ103" i="60"/>
  <c r="AZ102" i="60"/>
  <c r="AY102" i="60"/>
  <c r="AX102" i="60"/>
  <c r="AW102" i="60"/>
  <c r="AV102" i="60"/>
  <c r="AU102" i="60"/>
  <c r="AT102" i="60"/>
  <c r="AS102" i="60"/>
  <c r="AR102" i="60"/>
  <c r="AQ102" i="60"/>
  <c r="AP102" i="60"/>
  <c r="AO102" i="60"/>
  <c r="AN102" i="60"/>
  <c r="AM102" i="60"/>
  <c r="AL102" i="60"/>
  <c r="AK102" i="60"/>
  <c r="AJ102" i="60"/>
  <c r="AZ101" i="60"/>
  <c r="AY101" i="60"/>
  <c r="AX101" i="60"/>
  <c r="AW101" i="60"/>
  <c r="AV101" i="60"/>
  <c r="AU101" i="60"/>
  <c r="AT101" i="60"/>
  <c r="AS101" i="60"/>
  <c r="AR101" i="60"/>
  <c r="AQ101" i="60"/>
  <c r="AP101" i="60"/>
  <c r="AO101" i="60"/>
  <c r="AN101" i="60"/>
  <c r="AM101" i="60"/>
  <c r="AL101" i="60"/>
  <c r="AK101" i="60"/>
  <c r="AJ101" i="60"/>
  <c r="AZ100" i="60"/>
  <c r="AY100" i="60"/>
  <c r="AX100" i="60"/>
  <c r="AW100" i="60"/>
  <c r="AV100" i="60"/>
  <c r="AU100" i="60"/>
  <c r="AT100" i="60"/>
  <c r="AS100" i="60"/>
  <c r="AR100" i="60"/>
  <c r="AQ100" i="60"/>
  <c r="AP100" i="60"/>
  <c r="AO100" i="60"/>
  <c r="AN100" i="60"/>
  <c r="AM100" i="60"/>
  <c r="AL100" i="60"/>
  <c r="AK100" i="60"/>
  <c r="AJ100" i="60"/>
  <c r="AZ99" i="60"/>
  <c r="AY99" i="60"/>
  <c r="AX99" i="60"/>
  <c r="AW99" i="60"/>
  <c r="AV99" i="60"/>
  <c r="AU99" i="60"/>
  <c r="AT99" i="60"/>
  <c r="AS99" i="60"/>
  <c r="AR99" i="60"/>
  <c r="AQ99" i="60"/>
  <c r="AP99" i="60"/>
  <c r="AO99" i="60"/>
  <c r="AN99" i="60"/>
  <c r="AM99" i="60"/>
  <c r="AL99" i="60"/>
  <c r="AK99" i="60"/>
  <c r="AJ99" i="60"/>
  <c r="AZ98" i="60"/>
  <c r="AY98" i="60"/>
  <c r="AX98" i="60"/>
  <c r="AW98" i="60"/>
  <c r="AV98" i="60"/>
  <c r="AU98" i="60"/>
  <c r="AT98" i="60"/>
  <c r="AS98" i="60"/>
  <c r="AR98" i="60"/>
  <c r="AQ98" i="60"/>
  <c r="AP98" i="60"/>
  <c r="AO98" i="60"/>
  <c r="AN98" i="60"/>
  <c r="AM98" i="60"/>
  <c r="AL98" i="60"/>
  <c r="AK98" i="60"/>
  <c r="AJ98" i="60"/>
  <c r="AZ97" i="60"/>
  <c r="AY97" i="60"/>
  <c r="AX97" i="60"/>
  <c r="AW97" i="60"/>
  <c r="AV97" i="60"/>
  <c r="AU97" i="60"/>
  <c r="AT97" i="60"/>
  <c r="AS97" i="60"/>
  <c r="AR97" i="60"/>
  <c r="AQ97" i="60"/>
  <c r="AP97" i="60"/>
  <c r="AO97" i="60"/>
  <c r="AN97" i="60"/>
  <c r="AM97" i="60"/>
  <c r="AL97" i="60"/>
  <c r="AK97" i="60"/>
  <c r="AJ97" i="60"/>
  <c r="AZ96" i="60"/>
  <c r="AY96" i="60"/>
  <c r="AX96" i="60"/>
  <c r="AW96" i="60"/>
  <c r="AV96" i="60"/>
  <c r="AU96" i="60"/>
  <c r="AT96" i="60"/>
  <c r="AS96" i="60"/>
  <c r="AR96" i="60"/>
  <c r="AQ96" i="60"/>
  <c r="AP96" i="60"/>
  <c r="AO96" i="60"/>
  <c r="AN96" i="60"/>
  <c r="AM96" i="60"/>
  <c r="AL96" i="60"/>
  <c r="AK96" i="60"/>
  <c r="AJ96" i="60"/>
  <c r="AZ95" i="60"/>
  <c r="AY95" i="60"/>
  <c r="AX95" i="60"/>
  <c r="AW95" i="60"/>
  <c r="AV95" i="60"/>
  <c r="AU95" i="60"/>
  <c r="AT95" i="60"/>
  <c r="AS95" i="60"/>
  <c r="AR95" i="60"/>
  <c r="AQ95" i="60"/>
  <c r="AP95" i="60"/>
  <c r="AO95" i="60"/>
  <c r="AN95" i="60"/>
  <c r="AM95" i="60"/>
  <c r="AL95" i="60"/>
  <c r="AK95" i="60"/>
  <c r="AJ95" i="60"/>
  <c r="AZ94" i="60"/>
  <c r="AY94" i="60"/>
  <c r="AX94" i="60"/>
  <c r="AW94" i="60"/>
  <c r="AV94" i="60"/>
  <c r="AU94" i="60"/>
  <c r="AT94" i="60"/>
  <c r="AS94" i="60"/>
  <c r="AR94" i="60"/>
  <c r="AQ94" i="60"/>
  <c r="AP94" i="60"/>
  <c r="AO94" i="60"/>
  <c r="AN94" i="60"/>
  <c r="AM94" i="60"/>
  <c r="AL94" i="60"/>
  <c r="AK94" i="60"/>
  <c r="AJ94" i="60"/>
  <c r="AZ93" i="60"/>
  <c r="AY93" i="60"/>
  <c r="AX93" i="60"/>
  <c r="AW93" i="60"/>
  <c r="AV93" i="60"/>
  <c r="AU93" i="60"/>
  <c r="AT93" i="60"/>
  <c r="AS93" i="60"/>
  <c r="AR93" i="60"/>
  <c r="AQ93" i="60"/>
  <c r="AP93" i="60"/>
  <c r="AO93" i="60"/>
  <c r="AN93" i="60"/>
  <c r="AM93" i="60"/>
  <c r="AL93" i="60"/>
  <c r="AK93" i="60"/>
  <c r="AJ93" i="60"/>
  <c r="AZ92" i="60"/>
  <c r="AY92" i="60"/>
  <c r="AX92" i="60"/>
  <c r="AW92" i="60"/>
  <c r="AV92" i="60"/>
  <c r="AU92" i="60"/>
  <c r="AT92" i="60"/>
  <c r="AS92" i="60"/>
  <c r="AR92" i="60"/>
  <c r="AQ92" i="60"/>
  <c r="AP92" i="60"/>
  <c r="AO92" i="60"/>
  <c r="AN92" i="60"/>
  <c r="AM92" i="60"/>
  <c r="AL92" i="60"/>
  <c r="AK92" i="60"/>
  <c r="AJ92" i="60"/>
  <c r="AZ91" i="60"/>
  <c r="AY91" i="60"/>
  <c r="AX91" i="60"/>
  <c r="AW91" i="60"/>
  <c r="AV91" i="60"/>
  <c r="AU91" i="60"/>
  <c r="AT91" i="60"/>
  <c r="AS91" i="60"/>
  <c r="AR91" i="60"/>
  <c r="AQ91" i="60"/>
  <c r="AP91" i="60"/>
  <c r="AO91" i="60"/>
  <c r="AN91" i="60"/>
  <c r="AM91" i="60"/>
  <c r="AL91" i="60"/>
  <c r="AK91" i="60"/>
  <c r="AJ91" i="60"/>
  <c r="AZ90" i="60"/>
  <c r="AY90" i="60"/>
  <c r="AX90" i="60"/>
  <c r="AW90" i="60"/>
  <c r="AV90" i="60"/>
  <c r="AU90" i="60"/>
  <c r="AT90" i="60"/>
  <c r="AS90" i="60"/>
  <c r="AR90" i="60"/>
  <c r="AQ90" i="60"/>
  <c r="AP90" i="60"/>
  <c r="AO90" i="60"/>
  <c r="AN90" i="60"/>
  <c r="AM90" i="60"/>
  <c r="AL90" i="60"/>
  <c r="AK90" i="60"/>
  <c r="AJ90" i="60"/>
  <c r="AZ89" i="60"/>
  <c r="AY89" i="60"/>
  <c r="AX89" i="60"/>
  <c r="AW89" i="60"/>
  <c r="AV89" i="60"/>
  <c r="AU89" i="60"/>
  <c r="AT89" i="60"/>
  <c r="AS89" i="60"/>
  <c r="AR89" i="60"/>
  <c r="AQ89" i="60"/>
  <c r="AP89" i="60"/>
  <c r="AO89" i="60"/>
  <c r="AN89" i="60"/>
  <c r="AM89" i="60"/>
  <c r="AL89" i="60"/>
  <c r="AK89" i="60"/>
  <c r="AJ89" i="60"/>
  <c r="AZ88" i="60"/>
  <c r="AY88" i="60"/>
  <c r="AX88" i="60"/>
  <c r="AW88" i="60"/>
  <c r="AV88" i="60"/>
  <c r="AU88" i="60"/>
  <c r="AT88" i="60"/>
  <c r="AS88" i="60"/>
  <c r="AR88" i="60"/>
  <c r="AQ88" i="60"/>
  <c r="AP88" i="60"/>
  <c r="AO88" i="60"/>
  <c r="AN88" i="60"/>
  <c r="AM88" i="60"/>
  <c r="AL88" i="60"/>
  <c r="AK88" i="60"/>
  <c r="AJ88" i="60"/>
  <c r="AZ87" i="60"/>
  <c r="AY87" i="60"/>
  <c r="AX87" i="60"/>
  <c r="AW87" i="60"/>
  <c r="AV87" i="60"/>
  <c r="AU87" i="60"/>
  <c r="AT87" i="60"/>
  <c r="AS87" i="60"/>
  <c r="AR87" i="60"/>
  <c r="AQ87" i="60"/>
  <c r="AP87" i="60"/>
  <c r="AO87" i="60"/>
  <c r="AN87" i="60"/>
  <c r="AM87" i="60"/>
  <c r="AL87" i="60"/>
  <c r="AK87" i="60"/>
  <c r="AJ87" i="60"/>
  <c r="AZ86" i="60"/>
  <c r="AY86" i="60"/>
  <c r="AX86" i="60"/>
  <c r="AW86" i="60"/>
  <c r="AV86" i="60"/>
  <c r="AU86" i="60"/>
  <c r="AT86" i="60"/>
  <c r="AS86" i="60"/>
  <c r="AR86" i="60"/>
  <c r="AQ86" i="60"/>
  <c r="AP86" i="60"/>
  <c r="AO86" i="60"/>
  <c r="AN86" i="60"/>
  <c r="AM86" i="60"/>
  <c r="AL86" i="60"/>
  <c r="AK86" i="60"/>
  <c r="AJ86" i="60"/>
  <c r="AZ85" i="60"/>
  <c r="AY85" i="60"/>
  <c r="AX85" i="60"/>
  <c r="AW85" i="60"/>
  <c r="AV85" i="60"/>
  <c r="AU85" i="60"/>
  <c r="AT85" i="60"/>
  <c r="AS85" i="60"/>
  <c r="AR85" i="60"/>
  <c r="AQ85" i="60"/>
  <c r="AP85" i="60"/>
  <c r="AO85" i="60"/>
  <c r="AN85" i="60"/>
  <c r="AM85" i="60"/>
  <c r="AL85" i="60"/>
  <c r="AK85" i="60"/>
  <c r="AJ85" i="60"/>
  <c r="AZ84" i="60"/>
  <c r="AY84" i="60"/>
  <c r="AX84" i="60"/>
  <c r="AW84" i="60"/>
  <c r="AV84" i="60"/>
  <c r="AU84" i="60"/>
  <c r="AT84" i="60"/>
  <c r="AS84" i="60"/>
  <c r="AR84" i="60"/>
  <c r="AQ84" i="60"/>
  <c r="AP84" i="60"/>
  <c r="AO84" i="60"/>
  <c r="AN84" i="60"/>
  <c r="AM84" i="60"/>
  <c r="AL84" i="60"/>
  <c r="AK84" i="60"/>
  <c r="AJ84" i="60"/>
  <c r="AZ83" i="60"/>
  <c r="AY83" i="60"/>
  <c r="AX83" i="60"/>
  <c r="AW83" i="60"/>
  <c r="AV83" i="60"/>
  <c r="AU83" i="60"/>
  <c r="AT83" i="60"/>
  <c r="AS83" i="60"/>
  <c r="AR83" i="60"/>
  <c r="AQ83" i="60"/>
  <c r="AP83" i="60"/>
  <c r="AO83" i="60"/>
  <c r="AN83" i="60"/>
  <c r="AM83" i="60"/>
  <c r="AL83" i="60"/>
  <c r="AK83" i="60"/>
  <c r="AJ83" i="60"/>
  <c r="AZ82" i="60"/>
  <c r="AY82" i="60"/>
  <c r="AX82" i="60"/>
  <c r="AW82" i="60"/>
  <c r="AV82" i="60"/>
  <c r="AU82" i="60"/>
  <c r="AT82" i="60"/>
  <c r="AS82" i="60"/>
  <c r="AR82" i="60"/>
  <c r="AQ82" i="60"/>
  <c r="AP82" i="60"/>
  <c r="AO82" i="60"/>
  <c r="AN82" i="60"/>
  <c r="AM82" i="60"/>
  <c r="AL82" i="60"/>
  <c r="AK82" i="60"/>
  <c r="AJ82" i="60"/>
  <c r="AZ81" i="60"/>
  <c r="AY81" i="60"/>
  <c r="AX81" i="60"/>
  <c r="AW81" i="60"/>
  <c r="AV81" i="60"/>
  <c r="AU81" i="60"/>
  <c r="AT81" i="60"/>
  <c r="AS81" i="60"/>
  <c r="AR81" i="60"/>
  <c r="AQ81" i="60"/>
  <c r="AP81" i="60"/>
  <c r="AO81" i="60"/>
  <c r="AN81" i="60"/>
  <c r="AM81" i="60"/>
  <c r="AL81" i="60"/>
  <c r="AK81" i="60"/>
  <c r="AJ81" i="60"/>
  <c r="AZ80" i="60"/>
  <c r="AY80" i="60"/>
  <c r="AX80" i="60"/>
  <c r="AW80" i="60"/>
  <c r="AV80" i="60"/>
  <c r="AU80" i="60"/>
  <c r="AT80" i="60"/>
  <c r="AS80" i="60"/>
  <c r="AR80" i="60"/>
  <c r="AQ80" i="60"/>
  <c r="AP80" i="60"/>
  <c r="AO80" i="60"/>
  <c r="AN80" i="60"/>
  <c r="AM80" i="60"/>
  <c r="AL80" i="60"/>
  <c r="AK80" i="60"/>
  <c r="AJ80" i="60"/>
  <c r="AZ79" i="60"/>
  <c r="AY79" i="60"/>
  <c r="AX79" i="60"/>
  <c r="AW79" i="60"/>
  <c r="AV79" i="60"/>
  <c r="AU79" i="60"/>
  <c r="AT79" i="60"/>
  <c r="AS79" i="60"/>
  <c r="AR79" i="60"/>
  <c r="AQ79" i="60"/>
  <c r="AP79" i="60"/>
  <c r="AO79" i="60"/>
  <c r="AN79" i="60"/>
  <c r="AM79" i="60"/>
  <c r="AL79" i="60"/>
  <c r="AK79" i="60"/>
  <c r="AJ79" i="60"/>
  <c r="AZ78" i="60"/>
  <c r="AY78" i="60"/>
  <c r="AX78" i="60"/>
  <c r="AW78" i="60"/>
  <c r="AV78" i="60"/>
  <c r="AU78" i="60"/>
  <c r="AT78" i="60"/>
  <c r="AS78" i="60"/>
  <c r="AR78" i="60"/>
  <c r="AQ78" i="60"/>
  <c r="AP78" i="60"/>
  <c r="AO78" i="60"/>
  <c r="AN78" i="60"/>
  <c r="AM78" i="60"/>
  <c r="AL78" i="60"/>
  <c r="AK78" i="60"/>
  <c r="AJ78" i="60"/>
  <c r="AZ77" i="60"/>
  <c r="AY77" i="60"/>
  <c r="AX77" i="60"/>
  <c r="AW77" i="60"/>
  <c r="AV77" i="60"/>
  <c r="AU77" i="60"/>
  <c r="AT77" i="60"/>
  <c r="AS77" i="60"/>
  <c r="AR77" i="60"/>
  <c r="AQ77" i="60"/>
  <c r="AP77" i="60"/>
  <c r="AO77" i="60"/>
  <c r="AN77" i="60"/>
  <c r="AM77" i="60"/>
  <c r="AL77" i="60"/>
  <c r="AK77" i="60"/>
  <c r="AJ77" i="60"/>
  <c r="AZ76" i="60"/>
  <c r="AY76" i="60"/>
  <c r="AX76" i="60"/>
  <c r="AW76" i="60"/>
  <c r="AV76" i="60"/>
  <c r="AU76" i="60"/>
  <c r="AT76" i="60"/>
  <c r="AS76" i="60"/>
  <c r="AR76" i="60"/>
  <c r="AQ76" i="60"/>
  <c r="AP76" i="60"/>
  <c r="AO76" i="60"/>
  <c r="AN76" i="60"/>
  <c r="AM76" i="60"/>
  <c r="AL76" i="60"/>
  <c r="AK76" i="60"/>
  <c r="AJ76" i="60"/>
  <c r="AZ75" i="60"/>
  <c r="AY75" i="60"/>
  <c r="AX75" i="60"/>
  <c r="AW75" i="60"/>
  <c r="AV75" i="60"/>
  <c r="AU75" i="60"/>
  <c r="AT75" i="60"/>
  <c r="AS75" i="60"/>
  <c r="AR75" i="60"/>
  <c r="AQ75" i="60"/>
  <c r="AP75" i="60"/>
  <c r="AO75" i="60"/>
  <c r="AN75" i="60"/>
  <c r="AM75" i="60"/>
  <c r="AL75" i="60"/>
  <c r="AK75" i="60"/>
  <c r="AJ75" i="60"/>
  <c r="AZ74" i="60"/>
  <c r="AY74" i="60"/>
  <c r="AX74" i="60"/>
  <c r="AW74" i="60"/>
  <c r="AV74" i="60"/>
  <c r="AU74" i="60"/>
  <c r="AT74" i="60"/>
  <c r="AS74" i="60"/>
  <c r="AR74" i="60"/>
  <c r="AQ74" i="60"/>
  <c r="AP74" i="60"/>
  <c r="AO74" i="60"/>
  <c r="AN74" i="60"/>
  <c r="AM74" i="60"/>
  <c r="AL74" i="60"/>
  <c r="AK74" i="60"/>
  <c r="AJ74" i="60"/>
  <c r="AZ73" i="60"/>
  <c r="AY73" i="60"/>
  <c r="AX73" i="60"/>
  <c r="AW73" i="60"/>
  <c r="AV73" i="60"/>
  <c r="AU73" i="60"/>
  <c r="AT73" i="60"/>
  <c r="AS73" i="60"/>
  <c r="AR73" i="60"/>
  <c r="AQ73" i="60"/>
  <c r="AP73" i="60"/>
  <c r="AO73" i="60"/>
  <c r="AN73" i="60"/>
  <c r="AM73" i="60"/>
  <c r="AL73" i="60"/>
  <c r="AK73" i="60"/>
  <c r="AJ73" i="60"/>
  <c r="AZ72" i="60"/>
  <c r="AY72" i="60"/>
  <c r="AX72" i="60"/>
  <c r="AW72" i="60"/>
  <c r="AV72" i="60"/>
  <c r="AU72" i="60"/>
  <c r="AT72" i="60"/>
  <c r="AS72" i="60"/>
  <c r="AR72" i="60"/>
  <c r="AQ72" i="60"/>
  <c r="AP72" i="60"/>
  <c r="AO72" i="60"/>
  <c r="AN72" i="60"/>
  <c r="AM72" i="60"/>
  <c r="AL72" i="60"/>
  <c r="AK72" i="60"/>
  <c r="AJ72" i="60"/>
  <c r="AZ71" i="60"/>
  <c r="AY71" i="60"/>
  <c r="AX71" i="60"/>
  <c r="AW71" i="60"/>
  <c r="AV71" i="60"/>
  <c r="AU71" i="60"/>
  <c r="AT71" i="60"/>
  <c r="AS71" i="60"/>
  <c r="AR71" i="60"/>
  <c r="AQ71" i="60"/>
  <c r="AP71" i="60"/>
  <c r="AO71" i="60"/>
  <c r="AN71" i="60"/>
  <c r="AM71" i="60"/>
  <c r="AL71" i="60"/>
  <c r="AK71" i="60"/>
  <c r="AJ71" i="60"/>
  <c r="AZ70" i="60"/>
  <c r="AY70" i="60"/>
  <c r="AX70" i="60"/>
  <c r="AW70" i="60"/>
  <c r="AV70" i="60"/>
  <c r="AU70" i="60"/>
  <c r="AT70" i="60"/>
  <c r="AS70" i="60"/>
  <c r="AR70" i="60"/>
  <c r="AQ70" i="60"/>
  <c r="AP70" i="60"/>
  <c r="AO70" i="60"/>
  <c r="AN70" i="60"/>
  <c r="AM70" i="60"/>
  <c r="AL70" i="60"/>
  <c r="AK70" i="60"/>
  <c r="AJ70" i="60"/>
  <c r="AZ69" i="60"/>
  <c r="AY69" i="60"/>
  <c r="AX69" i="60"/>
  <c r="AW69" i="60"/>
  <c r="AV69" i="60"/>
  <c r="AU69" i="60"/>
  <c r="AT69" i="60"/>
  <c r="AS69" i="60"/>
  <c r="AR69" i="60"/>
  <c r="AQ69" i="60"/>
  <c r="AP69" i="60"/>
  <c r="AO69" i="60"/>
  <c r="AN69" i="60"/>
  <c r="AM69" i="60"/>
  <c r="AL69" i="60"/>
  <c r="AK69" i="60"/>
  <c r="AJ69" i="60"/>
  <c r="AZ68" i="60"/>
  <c r="AY68" i="60"/>
  <c r="AX68" i="60"/>
  <c r="AW68" i="60"/>
  <c r="AV68" i="60"/>
  <c r="AU68" i="60"/>
  <c r="AT68" i="60"/>
  <c r="AS68" i="60"/>
  <c r="AR68" i="60"/>
  <c r="AQ68" i="60"/>
  <c r="AP68" i="60"/>
  <c r="AO68" i="60"/>
  <c r="AN68" i="60"/>
  <c r="AM68" i="60"/>
  <c r="AL68" i="60"/>
  <c r="AK68" i="60"/>
  <c r="AJ68" i="60"/>
  <c r="AZ67" i="60"/>
  <c r="AY67" i="60"/>
  <c r="AX67" i="60"/>
  <c r="AW67" i="60"/>
  <c r="AV67" i="60"/>
  <c r="AU67" i="60"/>
  <c r="AT67" i="60"/>
  <c r="AS67" i="60"/>
  <c r="AR67" i="60"/>
  <c r="AQ67" i="60"/>
  <c r="AP67" i="60"/>
  <c r="AO67" i="60"/>
  <c r="AN67" i="60"/>
  <c r="AM67" i="60"/>
  <c r="AL67" i="60"/>
  <c r="AK67" i="60"/>
  <c r="AJ67" i="60"/>
  <c r="AZ66" i="60"/>
  <c r="AY66" i="60"/>
  <c r="AX66" i="60"/>
  <c r="AW66" i="60"/>
  <c r="AV66" i="60"/>
  <c r="AU66" i="60"/>
  <c r="AT66" i="60"/>
  <c r="AS66" i="60"/>
  <c r="AR66" i="60"/>
  <c r="AQ66" i="60"/>
  <c r="AP66" i="60"/>
  <c r="AO66" i="60"/>
  <c r="AN66" i="60"/>
  <c r="AM66" i="60"/>
  <c r="AL66" i="60"/>
  <c r="AK66" i="60"/>
  <c r="AJ66" i="60"/>
  <c r="AZ65" i="60"/>
  <c r="AY65" i="60"/>
  <c r="AX65" i="60"/>
  <c r="AW65" i="60"/>
  <c r="AV65" i="60"/>
  <c r="AU65" i="60"/>
  <c r="AT65" i="60"/>
  <c r="AS65" i="60"/>
  <c r="AR65" i="60"/>
  <c r="AQ65" i="60"/>
  <c r="AP65" i="60"/>
  <c r="AO65" i="60"/>
  <c r="AN65" i="60"/>
  <c r="AM65" i="60"/>
  <c r="AL65" i="60"/>
  <c r="AK65" i="60"/>
  <c r="AJ65" i="60"/>
  <c r="AZ64" i="60"/>
  <c r="AY64" i="60"/>
  <c r="AX64" i="60"/>
  <c r="AW64" i="60"/>
  <c r="AV64" i="60"/>
  <c r="AU64" i="60"/>
  <c r="AT64" i="60"/>
  <c r="AS64" i="60"/>
  <c r="AR64" i="60"/>
  <c r="AQ64" i="60"/>
  <c r="AP64" i="60"/>
  <c r="AO64" i="60"/>
  <c r="AN64" i="60"/>
  <c r="AM64" i="60"/>
  <c r="AL64" i="60"/>
  <c r="AK64" i="60"/>
  <c r="AJ64" i="60"/>
  <c r="AZ63" i="60"/>
  <c r="AY63" i="60"/>
  <c r="AX63" i="60"/>
  <c r="AW63" i="60"/>
  <c r="AV63" i="60"/>
  <c r="AU63" i="60"/>
  <c r="AT63" i="60"/>
  <c r="AS63" i="60"/>
  <c r="AR63" i="60"/>
  <c r="AQ63" i="60"/>
  <c r="AP63" i="60"/>
  <c r="AO63" i="60"/>
  <c r="AN63" i="60"/>
  <c r="AM63" i="60"/>
  <c r="AL63" i="60"/>
  <c r="AK63" i="60"/>
  <c r="AJ63" i="60"/>
  <c r="AZ62" i="60"/>
  <c r="AY62" i="60"/>
  <c r="AX62" i="60"/>
  <c r="AW62" i="60"/>
  <c r="AV62" i="60"/>
  <c r="AU62" i="60"/>
  <c r="AT62" i="60"/>
  <c r="AS62" i="60"/>
  <c r="AR62" i="60"/>
  <c r="AQ62" i="60"/>
  <c r="AP62" i="60"/>
  <c r="AO62" i="60"/>
  <c r="AN62" i="60"/>
  <c r="AM62" i="60"/>
  <c r="AL62" i="60"/>
  <c r="AK62" i="60"/>
  <c r="AJ62" i="60"/>
  <c r="AZ61" i="60"/>
  <c r="AY61" i="60"/>
  <c r="AX61" i="60"/>
  <c r="AW61" i="60"/>
  <c r="AV61" i="60"/>
  <c r="AU61" i="60"/>
  <c r="AT61" i="60"/>
  <c r="AS61" i="60"/>
  <c r="AR61" i="60"/>
  <c r="AQ61" i="60"/>
  <c r="AP61" i="60"/>
  <c r="AO61" i="60"/>
  <c r="AN61" i="60"/>
  <c r="AM61" i="60"/>
  <c r="AL61" i="60"/>
  <c r="AK61" i="60"/>
  <c r="AJ61" i="60"/>
  <c r="AZ60" i="60"/>
  <c r="AY60" i="60"/>
  <c r="AX60" i="60"/>
  <c r="AW60" i="60"/>
  <c r="AV60" i="60"/>
  <c r="AU60" i="60"/>
  <c r="AT60" i="60"/>
  <c r="AS60" i="60"/>
  <c r="AR60" i="60"/>
  <c r="AQ60" i="60"/>
  <c r="AP60" i="60"/>
  <c r="AO60" i="60"/>
  <c r="AN60" i="60"/>
  <c r="AM60" i="60"/>
  <c r="AL60" i="60"/>
  <c r="AK60" i="60"/>
  <c r="AJ60" i="60"/>
  <c r="AZ59" i="60"/>
  <c r="AY59" i="60"/>
  <c r="AX59" i="60"/>
  <c r="AW59" i="60"/>
  <c r="AV59" i="60"/>
  <c r="AU59" i="60"/>
  <c r="AT59" i="60"/>
  <c r="AS59" i="60"/>
  <c r="AR59" i="60"/>
  <c r="AQ59" i="60"/>
  <c r="AP59" i="60"/>
  <c r="AO59" i="60"/>
  <c r="AN59" i="60"/>
  <c r="AM59" i="60"/>
  <c r="AL59" i="60"/>
  <c r="AK59" i="60"/>
  <c r="AJ59" i="60"/>
  <c r="AZ58" i="60"/>
  <c r="AY58" i="60"/>
  <c r="AX58" i="60"/>
  <c r="AW58" i="60"/>
  <c r="AV58" i="60"/>
  <c r="AU58" i="60"/>
  <c r="AT58" i="60"/>
  <c r="AS58" i="60"/>
  <c r="AR58" i="60"/>
  <c r="AQ58" i="60"/>
  <c r="AP58" i="60"/>
  <c r="AO58" i="60"/>
  <c r="AN58" i="60"/>
  <c r="AM58" i="60"/>
  <c r="AL58" i="60"/>
  <c r="AK58" i="60"/>
  <c r="AJ58" i="60"/>
  <c r="AZ57" i="60"/>
  <c r="AY57" i="60"/>
  <c r="AX57" i="60"/>
  <c r="AW57" i="60"/>
  <c r="AV57" i="60"/>
  <c r="AU57" i="60"/>
  <c r="AT57" i="60"/>
  <c r="AS57" i="60"/>
  <c r="AR57" i="60"/>
  <c r="AQ57" i="60"/>
  <c r="AP57" i="60"/>
  <c r="AO57" i="60"/>
  <c r="AN57" i="60"/>
  <c r="AM57" i="60"/>
  <c r="AL57" i="60"/>
  <c r="AK57" i="60"/>
  <c r="AJ57" i="60"/>
  <c r="AZ56" i="60"/>
  <c r="AY56" i="60"/>
  <c r="AX56" i="60"/>
  <c r="AW56" i="60"/>
  <c r="AV56" i="60"/>
  <c r="AU56" i="60"/>
  <c r="AT56" i="60"/>
  <c r="AS56" i="60"/>
  <c r="AR56" i="60"/>
  <c r="AQ56" i="60"/>
  <c r="AP56" i="60"/>
  <c r="AO56" i="60"/>
  <c r="AN56" i="60"/>
  <c r="AM56" i="60"/>
  <c r="AL56" i="60"/>
  <c r="AK56" i="60"/>
  <c r="AJ56" i="60"/>
  <c r="AZ55" i="60"/>
  <c r="AY55" i="60"/>
  <c r="AX55" i="60"/>
  <c r="AW55" i="60"/>
  <c r="AV55" i="60"/>
  <c r="AU55" i="60"/>
  <c r="AT55" i="60"/>
  <c r="AS55" i="60"/>
  <c r="AR55" i="60"/>
  <c r="AQ55" i="60"/>
  <c r="AP55" i="60"/>
  <c r="AO55" i="60"/>
  <c r="AN55" i="60"/>
  <c r="AM55" i="60"/>
  <c r="AL55" i="60"/>
  <c r="AK55" i="60"/>
  <c r="AJ55" i="60"/>
  <c r="AZ54" i="60"/>
  <c r="AY54" i="60"/>
  <c r="AX54" i="60"/>
  <c r="AW54" i="60"/>
  <c r="AV54" i="60"/>
  <c r="AU54" i="60"/>
  <c r="AT54" i="60"/>
  <c r="AS54" i="60"/>
  <c r="AR54" i="60"/>
  <c r="AQ54" i="60"/>
  <c r="AP54" i="60"/>
  <c r="AO54" i="60"/>
  <c r="AN54" i="60"/>
  <c r="AM54" i="60"/>
  <c r="AL54" i="60"/>
  <c r="AK54" i="60"/>
  <c r="AJ54" i="60"/>
  <c r="AZ53" i="60"/>
  <c r="AY53" i="60"/>
  <c r="AX53" i="60"/>
  <c r="AW53" i="60"/>
  <c r="AV53" i="60"/>
  <c r="AU53" i="60"/>
  <c r="AT53" i="60"/>
  <c r="AS53" i="60"/>
  <c r="AR53" i="60"/>
  <c r="AQ53" i="60"/>
  <c r="AP53" i="60"/>
  <c r="AO53" i="60"/>
  <c r="AN53" i="60"/>
  <c r="AM53" i="60"/>
  <c r="AL53" i="60"/>
  <c r="AK53" i="60"/>
  <c r="AJ53" i="60"/>
  <c r="AZ52" i="60"/>
  <c r="AY52" i="60"/>
  <c r="AX52" i="60"/>
  <c r="AW52" i="60"/>
  <c r="AV52" i="60"/>
  <c r="AU52" i="60"/>
  <c r="AT52" i="60"/>
  <c r="AS52" i="60"/>
  <c r="AR52" i="60"/>
  <c r="AQ52" i="60"/>
  <c r="AP52" i="60"/>
  <c r="AO52" i="60"/>
  <c r="AN52" i="60"/>
  <c r="AM52" i="60"/>
  <c r="AL52" i="60"/>
  <c r="AK52" i="60"/>
  <c r="AJ52" i="60"/>
  <c r="AZ51" i="60"/>
  <c r="AY51" i="60"/>
  <c r="AX51" i="60"/>
  <c r="AW51" i="60"/>
  <c r="AV51" i="60"/>
  <c r="AU51" i="60"/>
  <c r="AT51" i="60"/>
  <c r="AS51" i="60"/>
  <c r="AR51" i="60"/>
  <c r="AQ51" i="60"/>
  <c r="AP51" i="60"/>
  <c r="AO51" i="60"/>
  <c r="AN51" i="60"/>
  <c r="AM51" i="60"/>
  <c r="AL51" i="60"/>
  <c r="AK51" i="60"/>
  <c r="AJ51" i="60"/>
  <c r="AZ50" i="60"/>
  <c r="AY50" i="60"/>
  <c r="AX50" i="60"/>
  <c r="AW50" i="60"/>
  <c r="AV50" i="60"/>
  <c r="AU50" i="60"/>
  <c r="AT50" i="60"/>
  <c r="AS50" i="60"/>
  <c r="AR50" i="60"/>
  <c r="AQ50" i="60"/>
  <c r="AP50" i="60"/>
  <c r="AO50" i="60"/>
  <c r="AN50" i="60"/>
  <c r="AM50" i="60"/>
  <c r="AL50" i="60"/>
  <c r="AK50" i="60"/>
  <c r="AJ50" i="60"/>
  <c r="AZ49" i="60"/>
  <c r="AY49" i="60"/>
  <c r="AX49" i="60"/>
  <c r="AW49" i="60"/>
  <c r="AV49" i="60"/>
  <c r="AU49" i="60"/>
  <c r="AT49" i="60"/>
  <c r="AS49" i="60"/>
  <c r="AR49" i="60"/>
  <c r="AQ49" i="60"/>
  <c r="AP49" i="60"/>
  <c r="AO49" i="60"/>
  <c r="AN49" i="60"/>
  <c r="AM49" i="60"/>
  <c r="AL49" i="60"/>
  <c r="AK49" i="60"/>
  <c r="AJ49" i="60"/>
  <c r="AZ48" i="60"/>
  <c r="AY48" i="60"/>
  <c r="AX48" i="60"/>
  <c r="AW48" i="60"/>
  <c r="AV48" i="60"/>
  <c r="AU48" i="60"/>
  <c r="AT48" i="60"/>
  <c r="AS48" i="60"/>
  <c r="AR48" i="60"/>
  <c r="AQ48" i="60"/>
  <c r="AP48" i="60"/>
  <c r="AO48" i="60"/>
  <c r="AN48" i="60"/>
  <c r="AM48" i="60"/>
  <c r="AL48" i="60"/>
  <c r="AK48" i="60"/>
  <c r="AJ48" i="60"/>
  <c r="AZ47" i="60"/>
  <c r="AY47" i="60"/>
  <c r="AX47" i="60"/>
  <c r="AW47" i="60"/>
  <c r="AV47" i="60"/>
  <c r="AU47" i="60"/>
  <c r="AT47" i="60"/>
  <c r="AS47" i="60"/>
  <c r="AR47" i="60"/>
  <c r="AQ47" i="60"/>
  <c r="AP47" i="60"/>
  <c r="AO47" i="60"/>
  <c r="AN47" i="60"/>
  <c r="AM47" i="60"/>
  <c r="AL47" i="60"/>
  <c r="AK47" i="60"/>
  <c r="AJ47" i="60"/>
  <c r="AZ46" i="60"/>
  <c r="AY46" i="60"/>
  <c r="AX46" i="60"/>
  <c r="AW46" i="60"/>
  <c r="AV46" i="60"/>
  <c r="AU46" i="60"/>
  <c r="AT46" i="60"/>
  <c r="AS46" i="60"/>
  <c r="AR46" i="60"/>
  <c r="AQ46" i="60"/>
  <c r="AP46" i="60"/>
  <c r="AO46" i="60"/>
  <c r="AN46" i="60"/>
  <c r="AM46" i="60"/>
  <c r="AL46" i="60"/>
  <c r="AK46" i="60"/>
  <c r="AJ46" i="60"/>
  <c r="AZ45" i="60"/>
  <c r="AY45" i="60"/>
  <c r="AX45" i="60"/>
  <c r="AW45" i="60"/>
  <c r="AV45" i="60"/>
  <c r="AU45" i="60"/>
  <c r="AT45" i="60"/>
  <c r="AS45" i="60"/>
  <c r="AR45" i="60"/>
  <c r="AQ45" i="60"/>
  <c r="AP45" i="60"/>
  <c r="AO45" i="60"/>
  <c r="AN45" i="60"/>
  <c r="AM45" i="60"/>
  <c r="AL45" i="60"/>
  <c r="AK45" i="60"/>
  <c r="AJ45" i="60"/>
  <c r="AZ44" i="60"/>
  <c r="AY44" i="60"/>
  <c r="AX44" i="60"/>
  <c r="AW44" i="60"/>
  <c r="AV44" i="60"/>
  <c r="AU44" i="60"/>
  <c r="AT44" i="60"/>
  <c r="AS44" i="60"/>
  <c r="AR44" i="60"/>
  <c r="AQ44" i="60"/>
  <c r="AP44" i="60"/>
  <c r="AO44" i="60"/>
  <c r="AN44" i="60"/>
  <c r="AM44" i="60"/>
  <c r="AL44" i="60"/>
  <c r="AK44" i="60"/>
  <c r="AJ44" i="60"/>
  <c r="AZ43" i="60"/>
  <c r="AY43" i="60"/>
  <c r="AX43" i="60"/>
  <c r="AW43" i="60"/>
  <c r="AV43" i="60"/>
  <c r="AU43" i="60"/>
  <c r="AT43" i="60"/>
  <c r="AS43" i="60"/>
  <c r="AR43" i="60"/>
  <c r="AQ43" i="60"/>
  <c r="AP43" i="60"/>
  <c r="AO43" i="60"/>
  <c r="AN43" i="60"/>
  <c r="AM43" i="60"/>
  <c r="AL43" i="60"/>
  <c r="AK43" i="60"/>
  <c r="AJ43" i="60"/>
  <c r="AZ42" i="60"/>
  <c r="AY42" i="60"/>
  <c r="AX42" i="60"/>
  <c r="AW42" i="60"/>
  <c r="AV42" i="60"/>
  <c r="AU42" i="60"/>
  <c r="AT42" i="60"/>
  <c r="AS42" i="60"/>
  <c r="AR42" i="60"/>
  <c r="AQ42" i="60"/>
  <c r="AP42" i="60"/>
  <c r="AO42" i="60"/>
  <c r="AN42" i="60"/>
  <c r="AM42" i="60"/>
  <c r="AL42" i="60"/>
  <c r="AK42" i="60"/>
  <c r="AJ42" i="60"/>
  <c r="AZ41" i="60"/>
  <c r="AY41" i="60"/>
  <c r="AX41" i="60"/>
  <c r="AW41" i="60"/>
  <c r="AV41" i="60"/>
  <c r="AU41" i="60"/>
  <c r="AT41" i="60"/>
  <c r="AS41" i="60"/>
  <c r="AR41" i="60"/>
  <c r="AQ41" i="60"/>
  <c r="AP41" i="60"/>
  <c r="AO41" i="60"/>
  <c r="AN41" i="60"/>
  <c r="AM41" i="60"/>
  <c r="AL41" i="60"/>
  <c r="AK41" i="60"/>
  <c r="AJ41" i="60"/>
  <c r="AZ40" i="60"/>
  <c r="AY40" i="60"/>
  <c r="AX40" i="60"/>
  <c r="AW40" i="60"/>
  <c r="AV40" i="60"/>
  <c r="AU40" i="60"/>
  <c r="AT40" i="60"/>
  <c r="AS40" i="60"/>
  <c r="AR40" i="60"/>
  <c r="AQ40" i="60"/>
  <c r="AP40" i="60"/>
  <c r="AO40" i="60"/>
  <c r="AN40" i="60"/>
  <c r="AM40" i="60"/>
  <c r="AL40" i="60"/>
  <c r="AK40" i="60"/>
  <c r="AJ40" i="60"/>
  <c r="AZ39" i="60"/>
  <c r="AY39" i="60"/>
  <c r="AX39" i="60"/>
  <c r="AW39" i="60"/>
  <c r="AV39" i="60"/>
  <c r="AU39" i="60"/>
  <c r="AT39" i="60"/>
  <c r="AS39" i="60"/>
  <c r="AR39" i="60"/>
  <c r="AQ39" i="60"/>
  <c r="AP39" i="60"/>
  <c r="AO39" i="60"/>
  <c r="AN39" i="60"/>
  <c r="AM39" i="60"/>
  <c r="AL39" i="60"/>
  <c r="AK39" i="60"/>
  <c r="AJ39" i="60"/>
  <c r="AZ38" i="60"/>
  <c r="AY38" i="60"/>
  <c r="AX38" i="60"/>
  <c r="AW38" i="60"/>
  <c r="AV38" i="60"/>
  <c r="AU38" i="60"/>
  <c r="AT38" i="60"/>
  <c r="AS38" i="60"/>
  <c r="AR38" i="60"/>
  <c r="AQ38" i="60"/>
  <c r="AP38" i="60"/>
  <c r="AO38" i="60"/>
  <c r="AN38" i="60"/>
  <c r="AM38" i="60"/>
  <c r="AL38" i="60"/>
  <c r="AK38" i="60"/>
  <c r="AJ38" i="60"/>
  <c r="AZ37" i="60"/>
  <c r="AY37" i="60"/>
  <c r="AX37" i="60"/>
  <c r="AW37" i="60"/>
  <c r="AV37" i="60"/>
  <c r="AU37" i="60"/>
  <c r="AT37" i="60"/>
  <c r="AS37" i="60"/>
  <c r="AR37" i="60"/>
  <c r="AQ37" i="60"/>
  <c r="AP37" i="60"/>
  <c r="AO37" i="60"/>
  <c r="AN37" i="60"/>
  <c r="AM37" i="60"/>
  <c r="AL37" i="60"/>
  <c r="AK37" i="60"/>
  <c r="AJ37" i="60"/>
  <c r="AZ36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AM36" i="60"/>
  <c r="AL36" i="60"/>
  <c r="AK36" i="60"/>
  <c r="AJ36" i="60"/>
  <c r="AZ35" i="60"/>
  <c r="AY35" i="60"/>
  <c r="AX35" i="60"/>
  <c r="AW35" i="60"/>
  <c r="AV35" i="60"/>
  <c r="AU35" i="60"/>
  <c r="AT35" i="60"/>
  <c r="AS35" i="60"/>
  <c r="AR35" i="60"/>
  <c r="AQ35" i="60"/>
  <c r="AP35" i="60"/>
  <c r="AO35" i="60"/>
  <c r="AN35" i="60"/>
  <c r="AM35" i="60"/>
  <c r="AL35" i="60"/>
  <c r="AK35" i="60"/>
  <c r="AJ35" i="60"/>
  <c r="AZ34" i="60"/>
  <c r="AY34" i="60"/>
  <c r="AX34" i="60"/>
  <c r="AW34" i="60"/>
  <c r="AV34" i="60"/>
  <c r="AU34" i="60"/>
  <c r="AT34" i="60"/>
  <c r="AS34" i="60"/>
  <c r="AR34" i="60"/>
  <c r="AQ34" i="60"/>
  <c r="AP34" i="60"/>
  <c r="AO34" i="60"/>
  <c r="AN34" i="60"/>
  <c r="AM34" i="60"/>
  <c r="AL34" i="60"/>
  <c r="AK34" i="60"/>
  <c r="AJ34" i="60"/>
  <c r="AZ33" i="60"/>
  <c r="AY33" i="60"/>
  <c r="AX33" i="60"/>
  <c r="AW33" i="60"/>
  <c r="AV33" i="60"/>
  <c r="AU33" i="60"/>
  <c r="AT33" i="60"/>
  <c r="AS33" i="60"/>
  <c r="AR33" i="60"/>
  <c r="AQ33" i="60"/>
  <c r="AP33" i="60"/>
  <c r="AO33" i="60"/>
  <c r="AN33" i="60"/>
  <c r="AM33" i="60"/>
  <c r="AL33" i="60"/>
  <c r="AK33" i="60"/>
  <c r="AJ33" i="60"/>
  <c r="AZ32" i="60"/>
  <c r="AY32" i="60"/>
  <c r="AX32" i="60"/>
  <c r="AW32" i="60"/>
  <c r="AV32" i="60"/>
  <c r="AU32" i="60"/>
  <c r="AT32" i="60"/>
  <c r="AS32" i="60"/>
  <c r="AR32" i="60"/>
  <c r="AQ32" i="60"/>
  <c r="AP32" i="60"/>
  <c r="AO32" i="60"/>
  <c r="AN32" i="60"/>
  <c r="AM32" i="60"/>
  <c r="AL32" i="60"/>
  <c r="AK32" i="60"/>
  <c r="AJ32" i="60"/>
  <c r="AZ31" i="60"/>
  <c r="AY31" i="60"/>
  <c r="AX31" i="60"/>
  <c r="AW31" i="60"/>
  <c r="AV31" i="60"/>
  <c r="AU31" i="60"/>
  <c r="AT31" i="60"/>
  <c r="AS31" i="60"/>
  <c r="AR31" i="60"/>
  <c r="AQ31" i="60"/>
  <c r="AP31" i="60"/>
  <c r="AO31" i="60"/>
  <c r="AN31" i="60"/>
  <c r="AM31" i="60"/>
  <c r="AL31" i="60"/>
  <c r="AK31" i="60"/>
  <c r="AJ31" i="60"/>
  <c r="AZ30" i="60"/>
  <c r="AY30" i="60"/>
  <c r="AX30" i="60"/>
  <c r="AW30" i="60"/>
  <c r="AV30" i="60"/>
  <c r="AU30" i="60"/>
  <c r="AT30" i="60"/>
  <c r="AS30" i="60"/>
  <c r="AR30" i="60"/>
  <c r="AQ30" i="60"/>
  <c r="AP30" i="60"/>
  <c r="AO30" i="60"/>
  <c r="AN30" i="60"/>
  <c r="AM30" i="60"/>
  <c r="AL30" i="60"/>
  <c r="AK30" i="60"/>
  <c r="AJ30" i="60"/>
  <c r="AZ29" i="60"/>
  <c r="AY29" i="60"/>
  <c r="AX29" i="60"/>
  <c r="AW29" i="60"/>
  <c r="AV29" i="60"/>
  <c r="AU29" i="60"/>
  <c r="AT29" i="60"/>
  <c r="AS29" i="60"/>
  <c r="AR29" i="60"/>
  <c r="AQ29" i="60"/>
  <c r="AP29" i="60"/>
  <c r="AO29" i="60"/>
  <c r="AN29" i="60"/>
  <c r="AM29" i="60"/>
  <c r="AL29" i="60"/>
  <c r="AK29" i="60"/>
  <c r="AJ29" i="60"/>
  <c r="AZ28" i="60"/>
  <c r="AY28" i="60"/>
  <c r="AX28" i="60"/>
  <c r="AW28" i="60"/>
  <c r="AV28" i="60"/>
  <c r="AU28" i="60"/>
  <c r="AT28" i="60"/>
  <c r="AS28" i="60"/>
  <c r="AR28" i="60"/>
  <c r="AQ28" i="60"/>
  <c r="AP28" i="60"/>
  <c r="AO28" i="60"/>
  <c r="AN28" i="60"/>
  <c r="AM28" i="60"/>
  <c r="AL28" i="60"/>
  <c r="AK28" i="60"/>
  <c r="AJ28" i="60"/>
  <c r="AZ27" i="60"/>
  <c r="AY27" i="60"/>
  <c r="AX27" i="60"/>
  <c r="AW27" i="60"/>
  <c r="AV27" i="60"/>
  <c r="AU27" i="60"/>
  <c r="AT27" i="60"/>
  <c r="AS27" i="60"/>
  <c r="AR27" i="60"/>
  <c r="AQ27" i="60"/>
  <c r="AP27" i="60"/>
  <c r="AO27" i="60"/>
  <c r="AN27" i="60"/>
  <c r="AM27" i="60"/>
  <c r="AL27" i="60"/>
  <c r="AK27" i="60"/>
  <c r="AJ27" i="60"/>
  <c r="AZ26" i="60"/>
  <c r="AY26" i="60"/>
  <c r="AX26" i="60"/>
  <c r="AW26" i="60"/>
  <c r="AV26" i="60"/>
  <c r="AU26" i="60"/>
  <c r="AT26" i="60"/>
  <c r="AS26" i="60"/>
  <c r="AR26" i="60"/>
  <c r="AQ26" i="60"/>
  <c r="AP26" i="60"/>
  <c r="AO26" i="60"/>
  <c r="AN26" i="60"/>
  <c r="AM26" i="60"/>
  <c r="AL26" i="60"/>
  <c r="AK26" i="60"/>
  <c r="AJ26" i="60"/>
  <c r="AZ25" i="60"/>
  <c r="AY25" i="60"/>
  <c r="AX25" i="60"/>
  <c r="AW25" i="60"/>
  <c r="AV25" i="60"/>
  <c r="AU25" i="60"/>
  <c r="AT25" i="60"/>
  <c r="AS25" i="60"/>
  <c r="AR25" i="60"/>
  <c r="AQ25" i="60"/>
  <c r="AP25" i="60"/>
  <c r="AO25" i="60"/>
  <c r="AN25" i="60"/>
  <c r="AM25" i="60"/>
  <c r="AL25" i="60"/>
  <c r="AK25" i="60"/>
  <c r="AJ25" i="60"/>
  <c r="AZ24" i="60"/>
  <c r="AY24" i="60"/>
  <c r="AX24" i="60"/>
  <c r="AW24" i="60"/>
  <c r="AV24" i="60"/>
  <c r="AU24" i="60"/>
  <c r="AT24" i="60"/>
  <c r="AS24" i="60"/>
  <c r="AR24" i="60"/>
  <c r="AQ24" i="60"/>
  <c r="AP24" i="60"/>
  <c r="AO24" i="60"/>
  <c r="AN24" i="60"/>
  <c r="AM24" i="60"/>
  <c r="AL24" i="60"/>
  <c r="AK24" i="60"/>
  <c r="AJ24" i="60"/>
  <c r="AZ23" i="60"/>
  <c r="AY23" i="60"/>
  <c r="AX23" i="60"/>
  <c r="AW23" i="60"/>
  <c r="AV23" i="60"/>
  <c r="AU23" i="60"/>
  <c r="AT23" i="60"/>
  <c r="AS23" i="60"/>
  <c r="AR23" i="60"/>
  <c r="AQ23" i="60"/>
  <c r="AP23" i="60"/>
  <c r="AO23" i="60"/>
  <c r="AN23" i="60"/>
  <c r="AM23" i="60"/>
  <c r="AL23" i="60"/>
  <c r="AK23" i="60"/>
  <c r="AJ23" i="60"/>
  <c r="AZ22" i="60"/>
  <c r="AY22" i="60"/>
  <c r="AX22" i="60"/>
  <c r="AW22" i="60"/>
  <c r="AV22" i="60"/>
  <c r="AU22" i="60"/>
  <c r="AT22" i="60"/>
  <c r="AS22" i="60"/>
  <c r="AR22" i="60"/>
  <c r="AQ22" i="60"/>
  <c r="AP22" i="60"/>
  <c r="AO22" i="60"/>
  <c r="AN22" i="60"/>
  <c r="AM22" i="60"/>
  <c r="AL22" i="60"/>
  <c r="AK22" i="60"/>
  <c r="AJ22" i="60"/>
  <c r="AZ21" i="60"/>
  <c r="AY21" i="60"/>
  <c r="AX21" i="60"/>
  <c r="AW21" i="60"/>
  <c r="AV21" i="60"/>
  <c r="AU21" i="60"/>
  <c r="AT21" i="60"/>
  <c r="AS21" i="60"/>
  <c r="AR21" i="60"/>
  <c r="AQ21" i="60"/>
  <c r="AP21" i="60"/>
  <c r="AO21" i="60"/>
  <c r="AN21" i="60"/>
  <c r="AM21" i="60"/>
  <c r="AL21" i="60"/>
  <c r="AK21" i="60"/>
  <c r="AJ21" i="60"/>
  <c r="AZ20" i="60"/>
  <c r="AY20" i="60"/>
  <c r="AX20" i="60"/>
  <c r="AW20" i="60"/>
  <c r="AV20" i="60"/>
  <c r="AU20" i="60"/>
  <c r="AT20" i="60"/>
  <c r="AS20" i="60"/>
  <c r="AR20" i="60"/>
  <c r="AQ20" i="60"/>
  <c r="AP20" i="60"/>
  <c r="AO20" i="60"/>
  <c r="AN20" i="60"/>
  <c r="AM20" i="60"/>
  <c r="AL20" i="60"/>
  <c r="AK20" i="60"/>
  <c r="AJ20" i="60"/>
  <c r="AZ19" i="60"/>
  <c r="AY19" i="60"/>
  <c r="AX19" i="60"/>
  <c r="AW19" i="60"/>
  <c r="AV19" i="60"/>
  <c r="AU19" i="60"/>
  <c r="AT19" i="60"/>
  <c r="AS19" i="60"/>
  <c r="AR19" i="60"/>
  <c r="AQ19" i="60"/>
  <c r="AP19" i="60"/>
  <c r="AO19" i="60"/>
  <c r="AN19" i="60"/>
  <c r="AM19" i="60"/>
  <c r="AL19" i="60"/>
  <c r="AK19" i="60"/>
  <c r="AJ19" i="60"/>
  <c r="AZ18" i="60"/>
  <c r="AY18" i="60"/>
  <c r="AX18" i="60"/>
  <c r="AW18" i="60"/>
  <c r="AV18" i="60"/>
  <c r="AU18" i="60"/>
  <c r="AT18" i="60"/>
  <c r="AS18" i="60"/>
  <c r="AR18" i="60"/>
  <c r="AQ18" i="60"/>
  <c r="AP18" i="60"/>
  <c r="AO18" i="60"/>
  <c r="AN18" i="60"/>
  <c r="AM18" i="60"/>
  <c r="AL18" i="60"/>
  <c r="AK18" i="60"/>
  <c r="AJ18" i="60"/>
  <c r="AZ17" i="60"/>
  <c r="AY17" i="60"/>
  <c r="AX17" i="60"/>
  <c r="AW17" i="60"/>
  <c r="AV17" i="60"/>
  <c r="AU17" i="60"/>
  <c r="AT17" i="60"/>
  <c r="AS17" i="60"/>
  <c r="AR17" i="60"/>
  <c r="AQ17" i="60"/>
  <c r="AP17" i="60"/>
  <c r="AO17" i="60"/>
  <c r="AN17" i="60"/>
  <c r="AM17" i="60"/>
  <c r="AL17" i="60"/>
  <c r="AK17" i="60"/>
  <c r="AJ17" i="60"/>
  <c r="AZ16" i="60"/>
  <c r="AY16" i="60"/>
  <c r="AX16" i="60"/>
  <c r="AW16" i="60"/>
  <c r="AV16" i="60"/>
  <c r="AU16" i="60"/>
  <c r="AT16" i="60"/>
  <c r="AS16" i="60"/>
  <c r="AR16" i="60"/>
  <c r="AQ16" i="60"/>
  <c r="AP16" i="60"/>
  <c r="AO16" i="60"/>
  <c r="AN16" i="60"/>
  <c r="AM16" i="60"/>
  <c r="AL16" i="60"/>
  <c r="AK16" i="60"/>
  <c r="AJ16" i="60"/>
  <c r="AZ15" i="60"/>
  <c r="AY15" i="60"/>
  <c r="AX15" i="60"/>
  <c r="AW15" i="60"/>
  <c r="AV15" i="60"/>
  <c r="AU15" i="60"/>
  <c r="AT15" i="60"/>
  <c r="AS15" i="60"/>
  <c r="AR15" i="60"/>
  <c r="AQ15" i="60"/>
  <c r="AP15" i="60"/>
  <c r="AO15" i="60"/>
  <c r="AN15" i="60"/>
  <c r="AM15" i="60"/>
  <c r="AL15" i="60"/>
  <c r="AK15" i="60"/>
  <c r="AJ15" i="60"/>
  <c r="AZ14" i="60"/>
  <c r="AY14" i="60"/>
  <c r="AX14" i="60"/>
  <c r="AW14" i="60"/>
  <c r="AV14" i="60"/>
  <c r="AU14" i="60"/>
  <c r="AT14" i="60"/>
  <c r="AS14" i="60"/>
  <c r="AR14" i="60"/>
  <c r="AQ14" i="60"/>
  <c r="AP14" i="60"/>
  <c r="AO14" i="60"/>
  <c r="AN14" i="60"/>
  <c r="AM14" i="60"/>
  <c r="AL14" i="60"/>
  <c r="AK14" i="60"/>
  <c r="AJ14" i="60"/>
  <c r="AZ13" i="60"/>
  <c r="AY13" i="60"/>
  <c r="AX13" i="60"/>
  <c r="AW13" i="60"/>
  <c r="AV13" i="60"/>
  <c r="AU13" i="60"/>
  <c r="AT13" i="60"/>
  <c r="AS13" i="60"/>
  <c r="AR13" i="60"/>
  <c r="AQ13" i="60"/>
  <c r="AP13" i="60"/>
  <c r="AO13" i="60"/>
  <c r="AN13" i="60"/>
  <c r="AM13" i="60"/>
  <c r="AL13" i="60"/>
  <c r="AK13" i="60"/>
  <c r="AJ13" i="60"/>
  <c r="AZ12" i="60"/>
  <c r="AY12" i="60"/>
  <c r="AX12" i="60"/>
  <c r="AW12" i="60"/>
  <c r="AV12" i="60"/>
  <c r="AU12" i="60"/>
  <c r="AT12" i="60"/>
  <c r="AS12" i="60"/>
  <c r="AR12" i="60"/>
  <c r="AQ12" i="60"/>
  <c r="AP12" i="60"/>
  <c r="AO12" i="60"/>
  <c r="AN12" i="60"/>
  <c r="AM12" i="60"/>
  <c r="AL12" i="60"/>
  <c r="AK12" i="60"/>
  <c r="AJ12" i="60"/>
  <c r="AZ11" i="60"/>
  <c r="AY11" i="60"/>
  <c r="AX11" i="60"/>
  <c r="AW11" i="60"/>
  <c r="AV11" i="60"/>
  <c r="AU11" i="60"/>
  <c r="AT11" i="60"/>
  <c r="AS11" i="60"/>
  <c r="AR11" i="60"/>
  <c r="AQ11" i="60"/>
  <c r="AP11" i="60"/>
  <c r="AO11" i="60"/>
  <c r="AN11" i="60"/>
  <c r="AM11" i="60"/>
  <c r="AL11" i="60"/>
  <c r="AK11" i="60"/>
  <c r="AJ11" i="60"/>
  <c r="AZ10" i="60"/>
  <c r="AY10" i="60"/>
  <c r="AX10" i="60"/>
  <c r="AW10" i="60"/>
  <c r="AV10" i="60"/>
  <c r="AU10" i="60"/>
  <c r="AT10" i="60"/>
  <c r="AS10" i="60"/>
  <c r="AR10" i="60"/>
  <c r="AQ10" i="60"/>
  <c r="AP10" i="60"/>
  <c r="AO10" i="60"/>
  <c r="AN10" i="60"/>
  <c r="AM10" i="60"/>
  <c r="AL10" i="60"/>
  <c r="AK10" i="60"/>
  <c r="AJ10" i="60"/>
  <c r="AZ9" i="60"/>
  <c r="AY9" i="60"/>
  <c r="AX9" i="60"/>
  <c r="AW9" i="60"/>
  <c r="AV9" i="60"/>
  <c r="AU9" i="60"/>
  <c r="AT9" i="60"/>
  <c r="AS9" i="60"/>
  <c r="AR9" i="60"/>
  <c r="AQ9" i="60"/>
  <c r="AP9" i="60"/>
  <c r="AO9" i="60"/>
  <c r="AN9" i="60"/>
  <c r="AM9" i="60"/>
  <c r="AL9" i="60"/>
  <c r="AK9" i="60"/>
  <c r="AJ9" i="60"/>
  <c r="AZ8" i="60"/>
  <c r="AY8" i="60"/>
  <c r="AX8" i="60"/>
  <c r="AW8" i="60"/>
  <c r="AV8" i="60"/>
  <c r="AU8" i="60"/>
  <c r="AT8" i="60"/>
  <c r="AS8" i="60"/>
  <c r="AR8" i="60"/>
  <c r="AQ8" i="60"/>
  <c r="AP8" i="60"/>
  <c r="AO8" i="60"/>
  <c r="AN8" i="60"/>
  <c r="AM8" i="60"/>
  <c r="AL8" i="60"/>
  <c r="AK8" i="60"/>
  <c r="AJ8" i="60"/>
  <c r="AZ7" i="60"/>
  <c r="AY7" i="60"/>
  <c r="AX7" i="60"/>
  <c r="AW7" i="60"/>
  <c r="AV7" i="60"/>
  <c r="AU7" i="60"/>
  <c r="AT7" i="60"/>
  <c r="AS7" i="60"/>
  <c r="AR7" i="60"/>
  <c r="AQ7" i="60"/>
  <c r="AP7" i="60"/>
  <c r="AO7" i="60"/>
  <c r="AN7" i="60"/>
  <c r="AM7" i="60"/>
  <c r="AL7" i="60"/>
  <c r="AK7" i="60"/>
  <c r="AJ7" i="60"/>
  <c r="AZ6" i="60"/>
  <c r="AY6" i="60"/>
  <c r="AX6" i="60"/>
  <c r="AW6" i="60"/>
  <c r="AV6" i="60"/>
  <c r="AU6" i="60"/>
  <c r="AT6" i="60"/>
  <c r="AS6" i="60"/>
  <c r="AR6" i="60"/>
  <c r="AQ6" i="60"/>
  <c r="AP6" i="60"/>
  <c r="AO6" i="60"/>
  <c r="AN6" i="60"/>
  <c r="AM6" i="60"/>
  <c r="AL6" i="60"/>
  <c r="AK6" i="60"/>
  <c r="AJ6" i="60"/>
  <c r="AZ5" i="60"/>
  <c r="AY5" i="60"/>
  <c r="AX5" i="60"/>
  <c r="AW5" i="60"/>
  <c r="AV5" i="60"/>
  <c r="AU5" i="60"/>
  <c r="AT5" i="60"/>
  <c r="AS5" i="60"/>
  <c r="AR5" i="60"/>
  <c r="AQ5" i="60"/>
  <c r="AP5" i="60"/>
  <c r="AO5" i="60"/>
  <c r="AN5" i="60"/>
  <c r="AM5" i="60"/>
  <c r="AL5" i="60"/>
  <c r="AK5" i="60"/>
  <c r="AJ5" i="60"/>
  <c r="AZ4" i="60"/>
  <c r="AY4" i="60"/>
  <c r="AX4" i="60"/>
  <c r="AW4" i="60"/>
  <c r="AV4" i="60"/>
  <c r="AU4" i="60"/>
  <c r="AT4" i="60"/>
  <c r="AS4" i="60"/>
  <c r="AR4" i="60"/>
  <c r="AQ4" i="60"/>
  <c r="AP4" i="60"/>
  <c r="AO4" i="60"/>
  <c r="AN4" i="60"/>
  <c r="AM4" i="60"/>
  <c r="AL4" i="60"/>
  <c r="AK4" i="60"/>
  <c r="AJ4" i="60"/>
  <c r="AZ3" i="60"/>
  <c r="AY3" i="60"/>
  <c r="AX3" i="60"/>
  <c r="AW3" i="60"/>
  <c r="AV3" i="60"/>
  <c r="AU3" i="60"/>
  <c r="AT3" i="60"/>
  <c r="AS3" i="60"/>
  <c r="AR3" i="60"/>
  <c r="AQ3" i="60"/>
  <c r="AP3" i="60"/>
  <c r="AO3" i="60"/>
  <c r="AN3" i="60"/>
  <c r="AM3" i="60"/>
  <c r="AL3" i="60"/>
  <c r="AK3" i="60"/>
  <c r="AJ3" i="60"/>
  <c r="M28" i="57"/>
  <c r="L20" i="57"/>
  <c r="L21" i="57"/>
  <c r="L22" i="57"/>
  <c r="L23" i="57"/>
  <c r="L24" i="57"/>
  <c r="L25" i="57"/>
  <c r="L26" i="57"/>
  <c r="L27" i="57"/>
  <c r="L28" i="57"/>
  <c r="L29" i="57"/>
  <c r="L30" i="57"/>
  <c r="L31" i="57"/>
  <c r="L32" i="57"/>
  <c r="L33" i="57"/>
  <c r="L19" i="57"/>
  <c r="R25" i="57"/>
  <c r="P33" i="57"/>
  <c r="P26" i="57"/>
  <c r="P22" i="57"/>
  <c r="Q29" i="57"/>
  <c r="Q25" i="57"/>
  <c r="R24" i="57"/>
  <c r="R30" i="57"/>
  <c r="Q33" i="57"/>
  <c r="Q22" i="57"/>
  <c r="Q27" i="57"/>
  <c r="R26" i="57"/>
  <c r="R23" i="57"/>
  <c r="Q32" i="57"/>
  <c r="P31" i="57"/>
  <c r="P24" i="57"/>
  <c r="P29" i="57"/>
  <c r="Q30" i="57"/>
  <c r="Q31" i="57"/>
  <c r="Q23" i="57"/>
  <c r="P23" i="57"/>
  <c r="R22" i="57"/>
  <c r="P28" i="57"/>
  <c r="P30" i="57"/>
  <c r="R33" i="57"/>
  <c r="R28" i="57"/>
  <c r="Q26" i="57"/>
  <c r="Q24" i="57"/>
  <c r="P25" i="57"/>
  <c r="R31" i="57"/>
  <c r="P27" i="57"/>
  <c r="R27" i="57"/>
  <c r="P32" i="57"/>
  <c r="Q28" i="57"/>
  <c r="R29" i="57"/>
  <c r="R32" i="57"/>
  <c r="M20" i="57" l="1"/>
  <c r="B10" i="57"/>
  <c r="M27" i="57"/>
  <c r="M26" i="57"/>
  <c r="M25" i="57"/>
  <c r="M32" i="57"/>
  <c r="M24" i="57"/>
  <c r="M31" i="57"/>
  <c r="M23" i="57"/>
  <c r="M30" i="57"/>
  <c r="M22" i="57"/>
  <c r="M29" i="57"/>
  <c r="M21" i="57"/>
  <c r="L5" i="57"/>
  <c r="L18" i="57" s="1"/>
  <c r="L6" i="57" l="1"/>
  <c r="L12" i="57"/>
  <c r="L10" i="57"/>
  <c r="L11" i="57"/>
  <c r="L17" i="57"/>
  <c r="L9" i="57"/>
  <c r="L16" i="57"/>
  <c r="L8" i="57"/>
  <c r="L15" i="57"/>
  <c r="L7" i="57"/>
  <c r="L14" i="57"/>
  <c r="L13" i="57"/>
  <c r="C23" i="2"/>
  <c r="D23" i="2"/>
  <c r="E23" i="2"/>
  <c r="C24" i="2"/>
  <c r="D24" i="2"/>
  <c r="E24" i="2"/>
  <c r="D22" i="2"/>
  <c r="E22" i="2"/>
  <c r="C22" i="2"/>
  <c r="Q6" i="57"/>
  <c r="Q16" i="57"/>
  <c r="P12" i="57"/>
  <c r="P11" i="57"/>
  <c r="P20" i="57"/>
  <c r="P14" i="57"/>
  <c r="R10" i="57"/>
  <c r="Q15" i="57"/>
  <c r="P17" i="57"/>
  <c r="Q17" i="57"/>
  <c r="R6" i="57"/>
  <c r="P10" i="57"/>
  <c r="P15" i="57"/>
  <c r="R7" i="57"/>
  <c r="R17" i="57"/>
  <c r="P6" i="57"/>
  <c r="Q5" i="57"/>
  <c r="Q12" i="57"/>
  <c r="P7" i="57"/>
  <c r="Q8" i="57"/>
  <c r="Q20" i="57"/>
  <c r="Q7" i="57"/>
  <c r="P19" i="57"/>
  <c r="Q14" i="57"/>
  <c r="Q11" i="57"/>
  <c r="P13" i="57"/>
  <c r="Q19" i="57"/>
  <c r="Q10" i="57"/>
  <c r="R11" i="57"/>
  <c r="P9" i="57"/>
  <c r="Q21" i="57"/>
  <c r="P18" i="57"/>
  <c r="Q18" i="57"/>
  <c r="R16" i="57"/>
  <c r="Q9" i="57"/>
  <c r="P5" i="57"/>
  <c r="R15" i="57"/>
  <c r="R18" i="57"/>
  <c r="R21" i="57"/>
  <c r="R19" i="57"/>
  <c r="P8" i="57"/>
  <c r="R9" i="57"/>
  <c r="R14" i="57"/>
  <c r="R13" i="57"/>
  <c r="R5" i="57"/>
  <c r="Q13" i="57"/>
  <c r="P16" i="57"/>
  <c r="P21" i="57"/>
  <c r="R8" i="57"/>
  <c r="R12" i="57"/>
  <c r="R20" i="57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B7" i="57" s="1"/>
  <c r="C21" i="2"/>
  <c r="E14" i="2"/>
  <c r="N25" i="57" l="1"/>
  <c r="N24" i="57"/>
  <c r="N32" i="57"/>
  <c r="N22" i="57"/>
  <c r="N31" i="57"/>
  <c r="N29" i="57"/>
  <c r="N28" i="57"/>
  <c r="N23" i="57"/>
  <c r="N33" i="57"/>
  <c r="N26" i="57"/>
  <c r="N27" i="57"/>
  <c r="N30" i="57"/>
  <c r="C25" i="2"/>
  <c r="C26" i="2" s="1"/>
  <c r="E16" i="2"/>
  <c r="E21" i="2" s="1"/>
  <c r="E25" i="2" s="1"/>
  <c r="E26" i="2" s="1"/>
  <c r="E18" i="2"/>
  <c r="D21" i="2"/>
  <c r="D25" i="2" s="1"/>
  <c r="D26" i="2" s="1"/>
  <c r="N18" i="57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19" i="57"/>
  <c r="N20" i="57"/>
  <c r="B14" i="2"/>
  <c r="B18" i="2" s="1"/>
  <c r="B21" i="2" l="1"/>
  <c r="B25" i="2" s="1"/>
  <c r="B16" i="2"/>
  <c r="B26" i="2" l="1"/>
  <c r="C17" i="2"/>
  <c r="B17" i="2"/>
  <c r="N21" i="57" l="1"/>
</calcChain>
</file>

<file path=xl/sharedStrings.xml><?xml version="1.0" encoding="utf-8"?>
<sst xmlns="http://schemas.openxmlformats.org/spreadsheetml/2006/main" count="3246" uniqueCount="564">
  <si>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</si>
  <si>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</si>
  <si>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</si>
  <si>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</si>
  <si>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</si>
  <si>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</si>
  <si>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</si>
  <si>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</si>
  <si>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</si>
  <si>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</si>
  <si>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</si>
  <si>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</si>
  <si>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</si>
  <si>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</si>
  <si>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</si>
  <si>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</si>
  <si>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</si>
  <si>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</si>
  <si>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</si>
  <si>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</si>
  <si>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</si>
  <si>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</si>
  <si>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</si>
  <si>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</si>
  <si>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</si>
  <si>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</si>
  <si>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</si>
  <si>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</si>
  <si>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</si>
  <si>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</si>
  <si>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</si>
  <si>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</si>
  <si>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</si>
  <si>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</si>
  <si>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</si>
  <si>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</si>
  <si>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</si>
  <si>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</si>
  <si>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</si>
  <si>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</si>
  <si>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</si>
  <si>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</si>
  <si>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</si>
  <si>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</si>
  <si>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</si>
  <si>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</si>
  <si>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</si>
  <si>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</si>
  <si>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</si>
  <si>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</si>
  <si>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</si>
  <si>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</si>
  <si>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</si>
  <si>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</si>
  <si>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</si>
  <si>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</si>
  <si>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</si>
  <si>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</si>
  <si>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</si>
  <si>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</si>
  <si>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</si>
  <si>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</si>
  <si>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</si>
  <si>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</si>
  <si>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</si>
  <si>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</si>
  <si>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</si>
  <si>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</si>
  <si>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</si>
  <si>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</si>
  <si>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</si>
  <si>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</si>
  <si>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</si>
  <si>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</si>
  <si>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</si>
  <si>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</si>
  <si>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</si>
  <si>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</si>
  <si>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</si>
  <si>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</si>
  <si>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</si>
  <si>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</si>
  <si>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</si>
  <si>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</si>
  <si>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</si>
  <si>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</si>
  <si>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</si>
  <si>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</si>
  <si>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</si>
  <si>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</si>
  <si>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</si>
  <si>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</si>
  <si>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</si>
  <si>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</si>
  <si>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</si>
  <si>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</si>
  <si>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</si>
  <si>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</si>
  <si>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</si>
  <si>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</si>
  <si>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</si>
  <si>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</si>
  <si>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</si>
  <si>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</si>
  <si>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</si>
  <si>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</si>
  <si>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</si>
  <si>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</si>
  <si>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2x8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</si>
  <si>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</si>
  <si>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</si>
  <si>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</si>
  <si>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</si>
  <si>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</si>
  <si>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</si>
  <si>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</si>
  <si>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</si>
  <si>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</si>
  <si>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</si>
  <si>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</si>
  <si>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</si>
  <si>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</si>
  <si>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</si>
  <si>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</si>
  <si>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</si>
  <si>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</si>
  <si>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</si>
  <si>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</si>
  <si>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</si>
  <si>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</si>
  <si>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</si>
  <si>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</si>
  <si>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 xml:space="preserve">This Worksheet Template: </t>
  </si>
  <si>
    <t>Factor description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</si>
  <si>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</si>
  <si>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</si>
  <si>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</si>
  <si>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</si>
  <si>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</si>
  <si>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</si>
  <si>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</si>
  <si>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>none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</si>
  <si>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</si>
  <si>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</si>
  <si>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</si>
  <si>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</si>
  <si>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</si>
  <si>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</si>
  <si>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</si>
  <si>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</si>
  <si>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</si>
  <si>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</si>
  <si>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Main</t>
  </si>
  <si>
    <t>Basement</t>
  </si>
  <si>
    <t>Upper</t>
  </si>
  <si>
    <t xml:space="preserve">Total Response Costs: </t>
  </si>
  <si>
    <t>total (composite)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</si>
  <si>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</si>
  <si>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</si>
  <si>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</si>
  <si>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</si>
  <si>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</si>
  <si>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R_1-B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</si>
  <si>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</si>
  <si>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</si>
  <si>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</si>
  <si>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</si>
  <si>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</si>
  <si>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</si>
  <si>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</si>
  <si>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</si>
  <si>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</si>
  <si>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residential</t>
  </si>
  <si>
    <t>medium</t>
  </si>
  <si>
    <t>yes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</si>
  <si>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</si>
  <si>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</si>
  <si>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</si>
  <si>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</si>
  <si>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</si>
  <si>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</si>
  <si>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</si>
  <si>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</si>
  <si>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</si>
  <si>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</si>
  <si>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</si>
  <si>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</si>
  <si>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</si>
  <si>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</si>
  <si>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</si>
  <si>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</si>
  <si>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</si>
  <si>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</si>
  <si>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</si>
  <si>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</si>
  <si>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</si>
  <si>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</si>
  <si>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</si>
  <si>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</si>
  <si>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Exterior Wall Finish</t>
  </si>
  <si>
    <t xml:space="preserve">Exterior Wall Construction </t>
  </si>
  <si>
    <t>wood framing 100%</t>
  </si>
  <si>
    <t>Roof Cover</t>
  </si>
  <si>
    <t>rRoof Shape</t>
  </si>
  <si>
    <t>gable</t>
  </si>
  <si>
    <t>Garage/Carport</t>
  </si>
  <si>
    <t>Floor Coverings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</si>
  <si>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</si>
  <si>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</si>
  <si>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</si>
  <si>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</si>
  <si>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</si>
  <si>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</si>
  <si>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</si>
  <si>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</si>
  <si>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</si>
  <si>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</si>
  <si>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</si>
  <si>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</si>
  <si>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</si>
  <si>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</si>
  <si>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</si>
  <si>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>interior wall finish</t>
  </si>
  <si>
    <t>ceiling finish</t>
  </si>
  <si>
    <t>paint 100%</t>
  </si>
  <si>
    <t>heating system</t>
  </si>
  <si>
    <t xml:space="preserve">forced air </t>
  </si>
  <si>
    <t xml:space="preserve">cooling system </t>
  </si>
  <si>
    <t>specitaly systems</t>
  </si>
  <si>
    <t>electrical service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</si>
  <si>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</si>
  <si>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</si>
  <si>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</si>
  <si>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</si>
  <si>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</si>
  <si>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</si>
  <si>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</si>
  <si>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</si>
  <si>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</si>
  <si>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</si>
  <si>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</si>
  <si>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</si>
  <si>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Bath</t>
  </si>
  <si>
    <t>small</t>
  </si>
  <si>
    <t>Bedroom2</t>
  </si>
  <si>
    <t>LivingRoom</t>
  </si>
  <si>
    <t>UtilityRoom</t>
  </si>
  <si>
    <t>&lt;- should  match estimate location suffix</t>
  </si>
  <si>
    <t>(performed with various routines)</t>
  </si>
  <si>
    <t>Response Category</t>
  </si>
  <si>
    <t>R_1-S-Bu-Ec</t>
  </si>
  <si>
    <t>economy</t>
  </si>
  <si>
    <t>Economy</t>
  </si>
  <si>
    <t>4-5 Corners - Square/Rectangle</t>
  </si>
  <si>
    <t>Siding - Vinyl</t>
  </si>
  <si>
    <t>composition - 3 Tab Shingle</t>
  </si>
  <si>
    <t>Carpet 80%, Sheet Vinyl 20%</t>
  </si>
  <si>
    <t xml:space="preserve">drywall </t>
  </si>
  <si>
    <t>100 amp</t>
  </si>
  <si>
    <t>Dishwasher, Range Hood, Free Standing Range, Free Standing Refrigerator</t>
  </si>
  <si>
    <t>Plastic Laminate</t>
  </si>
  <si>
    <t>Acrylic/Fiberglass Tub/Shower Surround</t>
  </si>
  <si>
    <t>R_1-S-BU-EC_ABCA</t>
  </si>
  <si>
    <t>Calgary, Alberta</t>
  </si>
  <si>
    <t>R_1-S-BU-EC_info</t>
  </si>
  <si>
    <t>R_1-S-BU-EC_ABCA.xlsx</t>
  </si>
  <si>
    <t>R_1-S-BU-EC_ABCA_rep.xlsx</t>
  </si>
  <si>
    <t>david.sol at 2023-09-07 15:38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</si>
  <si>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</si>
  <si>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</si>
  <si>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</si>
  <si>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</si>
  <si>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</si>
  <si>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</si>
  <si>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</si>
  <si>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</si>
  <si>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</si>
  <si>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</si>
  <si>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</si>
  <si>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</si>
  <si>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</si>
  <si>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</si>
  <si>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</si>
  <si>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</si>
  <si>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</si>
  <si>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</si>
  <si>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 - Standard grade</t>
  </si>
  <si>
    <t>ELE</t>
  </si>
  <si>
    <t>SMOKE-</t>
  </si>
  <si>
    <t>Fluorescent - one tube - 4' - fixture w/lens</t>
  </si>
  <si>
    <t>LIT</t>
  </si>
  <si>
    <t>FL1-4+</t>
  </si>
  <si>
    <t>Clothes dryer vent - installed</t>
  </si>
  <si>
    <t>HVC</t>
  </si>
  <si>
    <t>DVENT</t>
  </si>
  <si>
    <t>Paint handrail - wall mounted</t>
  </si>
  <si>
    <t>HR</t>
  </si>
  <si>
    <t>Handrail - round / oval - softwood - wall mounted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</si>
  <si>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</si>
  <si>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</si>
  <si>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</si>
  <si>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</si>
  <si>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</si>
  <si>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</si>
  <si>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</si>
  <si>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</si>
  <si>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</si>
  <si>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</si>
  <si>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ready for texture</t>
  </si>
  <si>
    <t>DRY</t>
  </si>
  <si>
    <t>1/2-</t>
  </si>
  <si>
    <t>Door knob - interior - Standard grade</t>
  </si>
  <si>
    <t>FNH</t>
  </si>
  <si>
    <t>DORH-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</si>
  <si>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</si>
  <si>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</si>
  <si>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</si>
  <si>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</si>
  <si>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</si>
  <si>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</si>
  <si>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Batt insulation - 6" - R19 - paper / foil faced</t>
  </si>
  <si>
    <t>INS</t>
  </si>
  <si>
    <t>BTF6</t>
  </si>
  <si>
    <t>Batt insulation - 10" - R30 - paper / foil faced</t>
  </si>
  <si>
    <t>BTF10</t>
  </si>
  <si>
    <t>Thermostat - Standard grade</t>
  </si>
  <si>
    <t>TS-</t>
  </si>
  <si>
    <t>Furnace - forced air - 60 - 75,000 BTU</t>
  </si>
  <si>
    <t>FRFA&lt;</t>
  </si>
  <si>
    <t>Ductwork system - hot or cold air - up to 900 SF home</t>
  </si>
  <si>
    <t>DCT&lt;&lt;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</si>
  <si>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</si>
  <si>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</si>
  <si>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</si>
  <si>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</si>
  <si>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</si>
  <si>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</si>
  <si>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</si>
  <si>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</si>
  <si>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- 100 amp</t>
  </si>
  <si>
    <t>BPNL100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</si>
  <si>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</si>
  <si>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</si>
  <si>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</si>
  <si>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</si>
  <si>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</si>
  <si>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</si>
  <si>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</si>
  <si>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</si>
  <si>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</si>
  <si>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</si>
  <si>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Outlet</t>
  </si>
  <si>
    <t>OS</t>
  </si>
  <si>
    <t>Light fixture - Standard grade</t>
  </si>
  <si>
    <t>AV-</t>
  </si>
  <si>
    <t>Door knob - interior</t>
  </si>
  <si>
    <t>DORH</t>
  </si>
  <si>
    <t>1/2" drywall - hung, taped, floated, ready for paint</t>
  </si>
  <si>
    <t>1/2</t>
  </si>
  <si>
    <t>Baseboard - 2 1/4"</t>
  </si>
  <si>
    <t>B</t>
  </si>
  <si>
    <t>Seal the surface area w/latex based stain blocker - one coat</t>
  </si>
  <si>
    <t>S</t>
  </si>
  <si>
    <t>Paint the surface area - one coat</t>
  </si>
  <si>
    <t>P</t>
  </si>
  <si>
    <t>Vinyl floor covering (sheet goods) - Economy grade</t>
  </si>
  <si>
    <t>FCV</t>
  </si>
  <si>
    <t>AV--</t>
  </si>
  <si>
    <t>Carpet pad - Standard grade</t>
  </si>
  <si>
    <t>FCC</t>
  </si>
  <si>
    <t>PAD-</t>
  </si>
  <si>
    <t>Carpet - Economy grade</t>
  </si>
  <si>
    <t>Paint bifold door set - slab only - 2 coats (per side)</t>
  </si>
  <si>
    <t>BF</t>
  </si>
  <si>
    <t>Bifold door set - lauan/mahogany - Double</t>
  </si>
  <si>
    <t>BF-</t>
  </si>
  <si>
    <t>220 volt outlet</t>
  </si>
  <si>
    <t>OL220</t>
  </si>
  <si>
    <t>Ground fault interrupter (GFI) outlet</t>
  </si>
  <si>
    <t>GFI</t>
  </si>
  <si>
    <t>Rough in plumbing - per fixture - w/PEX - Branch system</t>
  </si>
  <si>
    <t>RFIXP-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</si>
  <si>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</si>
  <si>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</si>
  <si>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</si>
  <si>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</si>
  <si>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</si>
  <si>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</si>
  <si>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Appliance water line - 1/4"</t>
  </si>
  <si>
    <t>APP</t>
  </si>
  <si>
    <t>WL</t>
  </si>
  <si>
    <t>Cabinet knob or pull</t>
  </si>
  <si>
    <t>CAB</t>
  </si>
  <si>
    <t>KNPL</t>
  </si>
  <si>
    <t>Cabinetry - laminate upper (wall) units - Standard grade</t>
  </si>
  <si>
    <t>FUP-</t>
  </si>
  <si>
    <t>Cabinetry - laminate lower (base) units - Standard grade</t>
  </si>
  <si>
    <t>FLOW-</t>
  </si>
  <si>
    <t>Countertop - post formed plastic laminate</t>
  </si>
  <si>
    <t>CTPF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</si>
  <si>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</si>
  <si>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</si>
  <si>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</si>
  <si>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</si>
  <si>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</si>
  <si>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</si>
  <si>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</si>
  <si>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</si>
  <si>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- 14 to 18 cf</t>
  </si>
  <si>
    <t>RF14</t>
  </si>
  <si>
    <t>Paint baseboard - one coat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</si>
  <si>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</si>
  <si>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</si>
  <si>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</si>
  <si>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</si>
  <si>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</si>
  <si>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</si>
  <si>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Mirror - 1/4" plate glass</t>
  </si>
  <si>
    <t>MSD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</si>
  <si>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</si>
  <si>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</si>
  <si>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</si>
  <si>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</si>
  <si>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</si>
  <si>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</si>
  <si>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</si>
  <si>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</si>
  <si>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Fibreglass tub surround only - Standard grade</t>
  </si>
  <si>
    <t>TUBS-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</si>
  <si>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</si>
  <si>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</si>
  <si>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</si>
  <si>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</si>
  <si>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</si>
  <si>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</si>
  <si>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</si>
  <si>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</si>
  <si>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</si>
  <si>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Vanity - Standard grade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</si>
  <si>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</si>
  <si>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</si>
  <si>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</si>
  <si>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</si>
  <si>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</si>
  <si>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</si>
  <si>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</si>
  <si>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</si>
  <si>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</si>
  <si>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Patio</t>
  </si>
  <si>
    <t>Cat.Sel</t>
  </si>
  <si>
    <t>group_1</t>
  </si>
  <si>
    <t>PNT.SILL</t>
  </si>
  <si>
    <t>general</t>
  </si>
  <si>
    <t>FNC.SILL</t>
  </si>
  <si>
    <t>ELE.SMOKE-</t>
  </si>
  <si>
    <t>LIT.FL1-4+</t>
  </si>
  <si>
    <t>HVC.DVENT</t>
  </si>
  <si>
    <t>PNT.HR</t>
  </si>
  <si>
    <t>FNC.HR</t>
  </si>
  <si>
    <t>PLM.WH40</t>
  </si>
  <si>
    <t>mech_single</t>
  </si>
  <si>
    <t>PNT.SHW</t>
  </si>
  <si>
    <t>FNC.SH16</t>
  </si>
  <si>
    <t>PNT.SP</t>
  </si>
  <si>
    <t>DRY.1/2-</t>
  </si>
  <si>
    <t>FNH.DORH-</t>
  </si>
  <si>
    <t>DOR.AV</t>
  </si>
  <si>
    <t>PNT.DORT</t>
  </si>
  <si>
    <t>PNT.DOR</t>
  </si>
  <si>
    <t>INS.BTF6_b1</t>
  </si>
  <si>
    <t>INS.BTF10_b1</t>
  </si>
  <si>
    <t>HVC.TS-</t>
  </si>
  <si>
    <t>HVC.FRFA&lt;</t>
  </si>
  <si>
    <t>HVC.DCT&lt;&lt;_b1</t>
  </si>
  <si>
    <t>LIT.X-</t>
  </si>
  <si>
    <t>general_main</t>
  </si>
  <si>
    <t>FNH.DBX</t>
  </si>
  <si>
    <t>DOR.X-</t>
  </si>
  <si>
    <t>WDP.6M</t>
  </si>
  <si>
    <t>ELE.BPNL100</t>
  </si>
  <si>
    <t>ELE.OL</t>
  </si>
  <si>
    <t>ELE.XOS</t>
  </si>
  <si>
    <t>ELE.REWIRE</t>
  </si>
  <si>
    <t>ELE.LV</t>
  </si>
  <si>
    <t>FNC.CLROD</t>
  </si>
  <si>
    <t>ELE.OS</t>
  </si>
  <si>
    <t>LIT.AV-</t>
  </si>
  <si>
    <t>FNH.DORH</t>
  </si>
  <si>
    <t>DRY.1/2</t>
  </si>
  <si>
    <t>FNC.B</t>
  </si>
  <si>
    <t>PNT.S</t>
  </si>
  <si>
    <t>PNT.P</t>
  </si>
  <si>
    <t>FCV.AV--</t>
  </si>
  <si>
    <t>FCC.PAD-</t>
  </si>
  <si>
    <t>FCC.AV--</t>
  </si>
  <si>
    <t>PNT.BF</t>
  </si>
  <si>
    <t>DOR.BF-</t>
  </si>
  <si>
    <t>ELE.OL220</t>
  </si>
  <si>
    <t>ELE.GFI</t>
  </si>
  <si>
    <t>PLM.RFIXP-</t>
  </si>
  <si>
    <t>PLM.FAU-</t>
  </si>
  <si>
    <t>PLM.SNKD-</t>
  </si>
  <si>
    <t>LIT.FL2-4</t>
  </si>
  <si>
    <t>APP.WL</t>
  </si>
  <si>
    <t>CAB.KNPL</t>
  </si>
  <si>
    <t>CAB.FUP-</t>
  </si>
  <si>
    <t>CAB.FLOW-</t>
  </si>
  <si>
    <t>CAB.CTPF</t>
  </si>
  <si>
    <t>ELE.110</t>
  </si>
  <si>
    <t>APP.HD-</t>
  </si>
  <si>
    <t>APP.DW-</t>
  </si>
  <si>
    <t>APP.RG-</t>
  </si>
  <si>
    <t>APP.RF14</t>
  </si>
  <si>
    <t>PNT.B</t>
  </si>
  <si>
    <t>FNH.TR-</t>
  </si>
  <si>
    <t>FNH.TP-</t>
  </si>
  <si>
    <t>FNH.TBAR-</t>
  </si>
  <si>
    <t>MSD.AV</t>
  </si>
  <si>
    <t>PLM.TLTS-</t>
  </si>
  <si>
    <t>PLM.TLT-</t>
  </si>
  <si>
    <t>PLM.TUB-</t>
  </si>
  <si>
    <t>FNH.SROD</t>
  </si>
  <si>
    <t>PLM.TUBS-</t>
  </si>
  <si>
    <t>PLM.TSFAU-</t>
  </si>
  <si>
    <t>HVC.DCTFN3</t>
  </si>
  <si>
    <t>HVC.BVENT-</t>
  </si>
  <si>
    <t>LIT.BAR4</t>
  </si>
  <si>
    <t>DOR.AV-</t>
  </si>
  <si>
    <t>CAB.VAN-</t>
  </si>
  <si>
    <t>CAB.CTFSPL4</t>
  </si>
  <si>
    <t>CAB.CTFL-</t>
  </si>
  <si>
    <t>PLM.FAUBA-</t>
  </si>
  <si>
    <t>PLM.SNK-</t>
  </si>
  <si>
    <t>ABCA8X_AUG23</t>
  </si>
  <si>
    <t>6' 10" x 4' 11" x 8'</t>
  </si>
  <si>
    <t>9' 9" x 9' 9" x 8'</t>
  </si>
  <si>
    <t>10' 9" x 9' 9" x 8'</t>
  </si>
  <si>
    <t>7' 10" x 5' 10" x 8'</t>
  </si>
  <si>
    <t>17' 7" x 11' 9" x 8'</t>
  </si>
  <si>
    <t>7' 10" x 4' 11" x 8'</t>
  </si>
  <si>
    <t>14' 8" x 3' 11" x 8'</t>
  </si>
  <si>
    <t>Utility Room-small</t>
  </si>
  <si>
    <t>Bedroom-medium</t>
  </si>
  <si>
    <t>Kitchen-medium</t>
  </si>
  <si>
    <t>Nook-small</t>
  </si>
  <si>
    <t>Living Area-medium</t>
  </si>
  <si>
    <t>Full Bath-medium</t>
  </si>
  <si>
    <t>Hallway-medium</t>
  </si>
  <si>
    <t>david.sol at 2023-09-07 15:40</t>
  </si>
  <si>
    <t>group_2</t>
  </si>
  <si>
    <t>group_3</t>
  </si>
  <si>
    <t>raw_est</t>
  </si>
  <si>
    <t>level</t>
  </si>
  <si>
    <t>Depth-Replacement</t>
  </si>
  <si>
    <t>Depth-Cost</t>
  </si>
  <si>
    <t>david.sol at 2023-09-07 15:41</t>
  </si>
  <si>
    <t>Copy of group_2 pivot</t>
  </si>
  <si>
    <t>Copy of group_3 pivot</t>
  </si>
  <si>
    <t>R_1-S-BU-EC_ABCA_struct</t>
  </si>
  <si>
    <t>DDFwork_R_1-S-BU-EC_ABCA.xlsm</t>
  </si>
  <si>
    <t>david.sol</t>
  </si>
  <si>
    <t>impact</t>
  </si>
  <si>
    <t>david.sol at 2023-09-07 15:44</t>
  </si>
  <si>
    <t>R_1-S-BU-EC_ABCA_m2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</si>
</sst>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74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ont="1" applyFill="1" applyBorder="1" applyAlignment="1">
      <alignment horizontal="left"/>
    </xf>
    <xf numFmtId="3" fontId="1" fillId="8" borderId="1" xfId="1" applyNumberFormat="1" applyFon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Fill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3" fillId="3" borderId="10" xfId="5" applyNumberFormat="1" applyFill="1" applyBorder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164" fontId="4" fillId="0" borderId="0" xfId="5" applyNumberFormat="1" applyFont="1" applyFill="1" applyBorder="1"/>
    <xf numFmtId="0" fontId="3" fillId="0" borderId="0" xfId="5" applyFill="1" applyBorder="1"/>
    <xf numFmtId="164" fontId="3" fillId="0" borderId="0" xfId="5" applyNumberFormat="1" applyFill="1" applyBorder="1"/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on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9" borderId="11" xfId="0" applyNumberFormat="1" applyFill="1" applyBorder="1"/>
    <xf numFmtId="0" fontId="3" fillId="0" borderId="0" xfId="5" applyAlignment="1">
      <alignment vertical="center"/>
    </xf>
    <xf numFmtId="165" fontId="1" fillId="0" borderId="0" xfId="1" applyNumberFormat="1"/>
    <xf numFmtId="164" fontId="14" fillId="0" borderId="14" xfId="5" applyNumberFormat="1" applyFont="1" applyFill="1" applyBorder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Fill="1" applyBorder="1" applyAlignment="1">
      <alignment wrapText="1"/>
    </xf>
    <xf numFmtId="164" fontId="4" fillId="3" borderId="15" xfId="0" applyNumberFormat="1" applyFont="1" applyFill="1" applyBorder="1" applyAlignment="1">
      <alignment horizontal="center" wrapText="1"/>
    </xf>
    <xf numFmtId="0" fontId="0" fillId="0" borderId="15" xfId="0" applyBorder="1"/>
    <xf numFmtId="164" fontId="0" fillId="0" borderId="15" xfId="0" applyNumberFormat="1" applyBorder="1"/>
    <xf numFmtId="164" fontId="4" fillId="3" borderId="15" xfId="0" applyNumberFormat="1" applyFont="1" applyFill="1" applyBorder="1" applyAlignment="1">
      <alignment horizontal="center"/>
    </xf>
    <xf numFmtId="0" fontId="8" fillId="0" borderId="5" xfId="1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8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7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0" fontId="0" fillId="0" borderId="15" xfId="0" applyBorder="1" applyAlignment="1">
      <alignment horizontal="left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64" fontId="4" fillId="3" borderId="3" xfId="5" applyNumberFormat="1" applyFont="1" applyFill="1" applyBorder="1" applyAlignment="1">
      <alignment horizontal="center"/>
    </xf>
    <xf numFmtId="164" fontId="4" fillId="3" borderId="16" xfId="5" applyNumberFormat="1" applyFont="1" applyFill="1" applyBorder="1" applyAlignment="1">
      <alignment horizontal="center"/>
    </xf>
    <xf numFmtId="0" fontId="4" fillId="3" borderId="16" xfId="5" applyFont="1" applyFill="1" applyBorder="1" applyAlignment="1">
      <alignment horizontal="center" wrapText="1"/>
    </xf>
    <xf numFmtId="164" fontId="4" fillId="3" borderId="16" xfId="5" applyNumberFormat="1" applyFont="1" applyFill="1" applyBorder="1" applyAlignment="1">
      <alignment horizontal="center" wrapText="1"/>
    </xf>
    <xf numFmtId="0" fontId="3" fillId="0" borderId="16" xfId="5" applyFill="1" applyBorder="1"/>
    <xf numFmtId="164" fontId="3" fillId="0" borderId="16" xfId="5" applyNumberFormat="1" applyFill="1" applyBorder="1"/>
    <xf numFmtId="0" fontId="4" fillId="3" borderId="16" xfId="0" applyFont="1" applyFill="1" applyBorder="1" applyAlignment="1">
      <alignment horizontal="center"/>
    </xf>
    <xf numFmtId="164" fontId="4" fillId="3" borderId="16" xfId="0" applyNumberFormat="1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164" fontId="4" fillId="3" borderId="16" xfId="0" applyNumberFormat="1" applyFont="1" applyFill="1" applyBorder="1" applyAlignment="1">
      <alignment horizontal="center" wrapText="1"/>
    </xf>
    <xf numFmtId="0" fontId="0" fillId="0" borderId="16" xfId="0" applyBorder="1"/>
    <xf numFmtId="164" fontId="0" fillId="0" borderId="16" xfId="0" applyNumberFormat="1" applyBorder="1"/>
    <xf numFmtId="164" fontId="4" fillId="3" borderId="3" xfId="5" applyNumberFormat="1" applyFont="1" applyFill="1" applyBorder="1" applyAlignment="1">
      <alignment horizontal="center" wrapText="1"/>
    </xf>
    <xf numFmtId="164" fontId="3" fillId="0" borderId="3" xfId="5" applyNumberFormat="1" applyFill="1" applyBorder="1"/>
    <xf numFmtId="164" fontId="14" fillId="0" borderId="0" xfId="5" applyNumberFormat="1" applyFont="1" applyFill="1" applyBorder="1" applyAlignment="1">
      <alignment wrapText="1"/>
    </xf>
    <xf numFmtId="164" fontId="4" fillId="0" borderId="0" xfId="5" applyNumberFormat="1" applyFont="1" applyFill="1" applyBorder="1" applyAlignment="1">
      <alignment horizontal="center"/>
    </xf>
    <xf numFmtId="164" fontId="4" fillId="0" borderId="0" xfId="5" applyNumberFormat="1" applyFont="1" applyFill="1" applyBorder="1" applyAlignment="1">
      <alignment horizontal="center" wrapText="1"/>
    </xf>
    <xf numFmtId="164" fontId="4" fillId="3" borderId="15" xfId="5" applyNumberFormat="1" applyFont="1" applyFill="1" applyBorder="1" applyAlignment="1">
      <alignment horizontal="center" wrapText="1"/>
    </xf>
    <xf numFmtId="164" fontId="3" fillId="0" borderId="15" xfId="5" applyNumberFormat="1" applyFill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.sol/Documents/NRCAN/R1%202023-07-15/DDF_data/Alberta/Calgary/Incomplete/R_1-S-BD-EC_ABCA/DDFwork_R_1-S-BD-EC_ABC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_1-S-BD-EC_info"/>
      <sheetName val="R_1-S-BD-EC_ABCA_struct"/>
      <sheetName val="R_1-S-BD-EC_ABCA_m2"/>
      <sheetName val="Home"/>
      <sheetName val="LineItems"/>
      <sheetName val="Rooms_Rpt"/>
      <sheetName val="Groups-Layout"/>
      <sheetName val="Pivot_Tables"/>
      <sheetName val="DDFwrk_grp2"/>
      <sheetName val="DDFwrk_grp3"/>
      <sheetName val="lists"/>
      <sheetName val="CanFlood_DDF"/>
    </sheetNames>
    <sheetDataSet>
      <sheetData sheetId="0"/>
      <sheetData sheetId="1"/>
      <sheetData sheetId="2"/>
      <sheetData sheetId="3"/>
      <sheetData sheetId="4"/>
      <sheetData sheetId="5"/>
      <sheetData sheetId="6">
        <row r="11">
          <cell r="C11">
            <v>83.612700000000004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653498148145" createdVersion="3" refreshedVersion="8" minRefreshableVersion="3" recordCount="201" xr:uid="{5E4EA1E6-A558-426B-9FDD-DB9743F4DCC5}">
  <cacheSource type="worksheet">
    <worksheetSource ref="AH2:AZ203" sheet="LineItems"/>
  </cacheSource>
  <cacheFields count="19">
    <cacheField name="level" numFmtId="0">
      <sharedItems/>
    </cacheField>
    <cacheField name="type" numFmtId="0">
      <sharedItems count="10">
        <s v="general-split"/>
        <s v="general-mechanical"/>
        <s v="general-main"/>
        <s v="Utility Room"/>
        <s v="Bedroom"/>
        <s v="Kitchen"/>
        <s v="Nook"/>
        <s v="Living Area"/>
        <s v="Full Bath"/>
        <s v="Hallway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796.5"/>
    </cacheField>
    <cacheField name="0.05" numFmtId="0">
      <sharedItems containsSemiMixedTypes="0" containsString="0" containsNumber="1" minValue="0" maxValue="2599.48"/>
    </cacheField>
    <cacheField name="0.1" numFmtId="0">
      <sharedItems containsSemiMixedTypes="0" containsString="0" containsNumber="1" minValue="0" maxValue="2599.48"/>
    </cacheField>
    <cacheField name="0.15" numFmtId="0">
      <sharedItems containsSemiMixedTypes="0" containsString="0" containsNumber="1" minValue="0" maxValue="3745.05"/>
    </cacheField>
    <cacheField name="0.3" numFmtId="0">
      <sharedItems containsSemiMixedTypes="0" containsString="0" containsNumber="1" minValue="0" maxValue="3745.05"/>
    </cacheField>
    <cacheField name="0.46" numFmtId="0">
      <sharedItems containsSemiMixedTypes="0" containsString="0" containsNumber="1" minValue="0" maxValue="3745.05"/>
    </cacheField>
    <cacheField name="0.61" numFmtId="0">
      <sharedItems containsSemiMixedTypes="0" containsString="0" containsNumber="1" minValue="0" maxValue="3745.05"/>
    </cacheField>
    <cacheField name="0.76" numFmtId="0">
      <sharedItems containsSemiMixedTypes="0" containsString="0" containsNumber="1" minValue="0" maxValue="3745.05"/>
    </cacheField>
    <cacheField name="0.91" numFmtId="0">
      <sharedItems containsSemiMixedTypes="0" containsString="0" containsNumber="1" minValue="0" maxValue="3745.05"/>
    </cacheField>
    <cacheField name="1.02" numFmtId="0">
      <sharedItems containsSemiMixedTypes="0" containsString="0" containsNumber="1" minValue="0" maxValue="3745.05"/>
    </cacheField>
    <cacheField name="1.22" numFmtId="0">
      <sharedItems containsSemiMixedTypes="0" containsString="0" containsNumber="1" minValue="0" maxValue="3745.05"/>
    </cacheField>
    <cacheField name="1.52" numFmtId="0">
      <sharedItems containsSemiMixedTypes="0" containsString="0" containsNumber="1" minValue="0" maxValue="3745.05"/>
    </cacheField>
    <cacheField name="1.83" numFmtId="0">
      <sharedItems containsSemiMixedTypes="0" containsString="0" containsNumber="1" minValue="19.3" maxValue="4730.17"/>
    </cacheField>
    <cacheField name="2.7" numFmtId="0">
      <sharedItems containsSemiMixedTypes="0" containsString="0" containsNumber="1" minValue="19.3" maxValue="4730.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653499074077" createdVersion="3" refreshedVersion="8" minRefreshableVersion="3" recordCount="201" xr:uid="{AFB9C3A5-E34F-4D26-A5EF-D0190E090B4B}">
  <cacheSource type="worksheet">
    <worksheetSource ref="AH2:AZ203" sheet="LineItems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796.5"/>
    </cacheField>
    <cacheField name="0.05" numFmtId="0">
      <sharedItems containsSemiMixedTypes="0" containsString="0" containsNumber="1" minValue="0" maxValue="2599.48"/>
    </cacheField>
    <cacheField name="0.1" numFmtId="0">
      <sharedItems containsSemiMixedTypes="0" containsString="0" containsNumber="1" minValue="0" maxValue="2599.48"/>
    </cacheField>
    <cacheField name="0.15" numFmtId="0">
      <sharedItems containsSemiMixedTypes="0" containsString="0" containsNumber="1" minValue="0" maxValue="3745.05"/>
    </cacheField>
    <cacheField name="0.3" numFmtId="0">
      <sharedItems containsSemiMixedTypes="0" containsString="0" containsNumber="1" minValue="0" maxValue="3745.05"/>
    </cacheField>
    <cacheField name="0.46" numFmtId="0">
      <sharedItems containsSemiMixedTypes="0" containsString="0" containsNumber="1" minValue="0" maxValue="3745.05"/>
    </cacheField>
    <cacheField name="0.61" numFmtId="0">
      <sharedItems containsSemiMixedTypes="0" containsString="0" containsNumber="1" minValue="0" maxValue="3745.05"/>
    </cacheField>
    <cacheField name="0.76" numFmtId="0">
      <sharedItems containsSemiMixedTypes="0" containsString="0" containsNumber="1" minValue="0" maxValue="3745.05"/>
    </cacheField>
    <cacheField name="0.91" numFmtId="0">
      <sharedItems containsSemiMixedTypes="0" containsString="0" containsNumber="1" minValue="0" maxValue="3745.05"/>
    </cacheField>
    <cacheField name="1.02" numFmtId="0">
      <sharedItems containsSemiMixedTypes="0" containsString="0" containsNumber="1" minValue="0" maxValue="3745.05"/>
    </cacheField>
    <cacheField name="1.22" numFmtId="0">
      <sharedItems containsSemiMixedTypes="0" containsString="0" containsNumber="1" minValue="0" maxValue="3745.05"/>
    </cacheField>
    <cacheField name="1.52" numFmtId="0">
      <sharedItems containsSemiMixedTypes="0" containsString="0" containsNumber="1" minValue="0" maxValue="3745.05"/>
    </cacheField>
    <cacheField name="1.83" numFmtId="0">
      <sharedItems containsSemiMixedTypes="0" containsString="0" containsNumber="1" minValue="19.3" maxValue="4730.17"/>
    </cacheField>
    <cacheField name="2.7" numFmtId="0">
      <sharedItems containsSemiMixedTypes="0" containsString="0" containsNumber="1" minValue="19.3" maxValue="4730.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">
  <r>
    <s v="split"/>
    <x v="0"/>
    <n v="0"/>
    <n v="0"/>
    <n v="0"/>
    <n v="0"/>
    <n v="0"/>
    <n v="0"/>
    <n v="0"/>
    <n v="0"/>
    <n v="0"/>
    <n v="0"/>
    <n v="0"/>
    <n v="232.32"/>
    <n v="232.32"/>
    <n v="232.32"/>
    <n v="232.32"/>
    <n v="232.32"/>
    <n v="232.32"/>
  </r>
  <r>
    <s v="split"/>
    <x v="0"/>
    <n v="0"/>
    <n v="0"/>
    <n v="0"/>
    <n v="0"/>
    <n v="0"/>
    <n v="0"/>
    <n v="0"/>
    <n v="0"/>
    <n v="0"/>
    <n v="0"/>
    <n v="0"/>
    <n v="203.8"/>
    <n v="203.8"/>
    <n v="203.8"/>
    <n v="203.8"/>
    <n v="203.8"/>
    <n v="203.8"/>
  </r>
  <r>
    <s v="split"/>
    <x v="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split"/>
    <x v="0"/>
    <n v="0"/>
    <n v="0"/>
    <n v="0"/>
    <n v="0"/>
    <n v="0"/>
    <n v="0"/>
    <n v="0"/>
    <n v="0"/>
    <n v="0"/>
    <n v="0"/>
    <n v="0"/>
    <n v="0"/>
    <n v="0"/>
    <n v="0"/>
    <n v="130.46"/>
    <n v="130.46"/>
    <n v="130.46"/>
  </r>
  <r>
    <s v="split"/>
    <x v="0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s v="split"/>
    <x v="0"/>
    <n v="0"/>
    <n v="0"/>
    <n v="0"/>
    <n v="0"/>
    <n v="0"/>
    <n v="0"/>
    <n v="0"/>
    <n v="0"/>
    <n v="0"/>
    <n v="0"/>
    <n v="0"/>
    <n v="34.39"/>
    <n v="34.39"/>
    <n v="34.39"/>
    <n v="34.39"/>
    <n v="34.39"/>
    <n v="34.39"/>
  </r>
  <r>
    <s v="split"/>
    <x v="0"/>
    <n v="0"/>
    <n v="0"/>
    <n v="0"/>
    <n v="0"/>
    <n v="0"/>
    <n v="0"/>
    <n v="0"/>
    <n v="0"/>
    <n v="0"/>
    <n v="0"/>
    <n v="0"/>
    <n v="0"/>
    <n v="0"/>
    <n v="280.8"/>
    <n v="280.8"/>
    <n v="280.8"/>
    <n v="280.8"/>
  </r>
  <r>
    <s v="mechanical"/>
    <x v="1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s v="split"/>
    <x v="0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split"/>
    <x v="0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split"/>
    <x v="0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s v="split"/>
    <x v="0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s v="split"/>
    <x v="0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split"/>
    <x v="0"/>
    <n v="0"/>
    <n v="0"/>
    <n v="0"/>
    <n v="591.63499999999999"/>
    <n v="591.63499999999999"/>
    <n v="591.63499999999999"/>
    <n v="591.63499999999999"/>
    <n v="591.63499999999999"/>
    <n v="1183.27"/>
    <n v="1183.27"/>
    <n v="1183.27"/>
    <n v="1183.27"/>
    <n v="2366.54"/>
    <n v="2366.54"/>
    <n v="2366.54"/>
    <n v="2366.54"/>
    <n v="2366.54"/>
  </r>
  <r>
    <s v="split"/>
    <x v="0"/>
    <n v="0"/>
    <n v="0"/>
    <n v="0"/>
    <n v="796.5"/>
    <n v="796.5"/>
    <n v="796.5"/>
    <n v="796.5"/>
    <n v="796.5"/>
    <n v="1593"/>
    <n v="1593"/>
    <n v="1593"/>
    <n v="1593"/>
    <n v="3186"/>
    <n v="3186"/>
    <n v="3186"/>
    <n v="3186"/>
    <n v="3186"/>
  </r>
  <r>
    <s v="split"/>
    <x v="0"/>
    <n v="0"/>
    <n v="0"/>
    <n v="0"/>
    <n v="0"/>
    <n v="0"/>
    <n v="0"/>
    <n v="0"/>
    <n v="0"/>
    <n v="0"/>
    <n v="0"/>
    <n v="0"/>
    <n v="0"/>
    <n v="0"/>
    <n v="125.38"/>
    <n v="125.38"/>
    <n v="125.38"/>
    <n v="125.38"/>
  </r>
  <r>
    <s v="mechanical"/>
    <x v="1"/>
    <n v="0"/>
    <n v="0"/>
    <n v="0"/>
    <n v="0"/>
    <n v="0"/>
    <n v="0"/>
    <n v="3745.05"/>
    <n v="3745.05"/>
    <n v="3745.05"/>
    <n v="3745.05"/>
    <n v="3745.05"/>
    <n v="3745.05"/>
    <n v="3745.05"/>
    <n v="3745.05"/>
    <n v="3745.05"/>
    <n v="3745.05"/>
    <n v="3745.05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4730.17"/>
    <n v="4730.17"/>
  </r>
  <r>
    <s v="main"/>
    <x v="2"/>
    <n v="0"/>
    <n v="0"/>
    <n v="0"/>
    <n v="0"/>
    <n v="0"/>
    <n v="0"/>
    <n v="0"/>
    <n v="0"/>
    <n v="0"/>
    <n v="0"/>
    <n v="0"/>
    <n v="0"/>
    <n v="0"/>
    <n v="0"/>
    <n v="182.66"/>
    <n v="182.66"/>
    <n v="182.66"/>
  </r>
  <r>
    <s v="main"/>
    <x v="2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s v="main"/>
    <x v="2"/>
    <n v="0"/>
    <n v="0"/>
    <n v="0"/>
    <n v="0"/>
    <n v="0"/>
    <n v="967.18"/>
    <n v="967.18"/>
    <n v="967.18"/>
    <n v="967.18"/>
    <n v="967.18"/>
    <n v="967.18"/>
    <n v="967.18"/>
    <n v="967.18"/>
    <n v="967.18"/>
    <n v="967.18"/>
    <n v="967.18"/>
    <n v="967.18"/>
  </r>
  <r>
    <s v="main"/>
    <x v="2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s v="mechanical"/>
    <x v="1"/>
    <n v="0"/>
    <n v="0"/>
    <n v="0"/>
    <n v="0"/>
    <n v="0"/>
    <n v="0"/>
    <n v="0"/>
    <n v="0"/>
    <n v="0"/>
    <n v="0"/>
    <n v="0"/>
    <n v="1101.1400000000001"/>
    <n v="1101.1400000000001"/>
    <n v="1101.1400000000001"/>
    <n v="1101.1400000000001"/>
    <n v="1101.1400000000001"/>
    <n v="1101.1400000000001"/>
  </r>
  <r>
    <s v="split"/>
    <x v="0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s v="main"/>
    <x v="2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s v="split"/>
    <x v="0"/>
    <n v="0"/>
    <n v="0"/>
    <n v="0"/>
    <n v="0"/>
    <n v="0"/>
    <n v="0"/>
    <n v="0"/>
    <n v="0"/>
    <n v="2741.0399999999995"/>
    <n v="2741.0399999999995"/>
    <n v="2741.0399999999995"/>
    <n v="2741.0399999999995"/>
    <n v="2741.0399999999995"/>
    <n v="2741.0399999999995"/>
    <n v="2741.0399999999995"/>
    <n v="2741.0399999999995"/>
    <n v="2741.0399999999995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s v="split"/>
    <x v="0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s v="split"/>
    <x v="0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s v="split"/>
    <x v="0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s v="split"/>
    <x v="0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s v="split"/>
    <x v="0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3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3"/>
    <n v="0"/>
    <n v="0"/>
    <n v="0"/>
    <n v="0"/>
    <n v="0"/>
    <n v="0"/>
    <n v="0"/>
    <n v="0"/>
    <n v="0"/>
    <n v="0"/>
    <n v="0"/>
    <n v="102.03"/>
    <n v="102.03"/>
    <n v="102.03"/>
    <n v="102.03"/>
    <n v="102.03"/>
    <n v="102.03"/>
  </r>
  <r>
    <s v="main"/>
    <x v="3"/>
    <n v="0"/>
    <n v="0"/>
    <n v="0"/>
    <n v="0"/>
    <n v="0"/>
    <n v="0"/>
    <n v="0"/>
    <n v="0"/>
    <n v="0"/>
    <n v="0"/>
    <n v="0"/>
    <n v="169.22"/>
    <n v="169.22"/>
    <n v="169.22"/>
    <n v="169.22"/>
    <n v="169.22"/>
    <n v="169.22"/>
  </r>
  <r>
    <s v="main"/>
    <x v="3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3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3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3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3"/>
    <n v="0"/>
    <n v="0"/>
    <n v="0"/>
    <n v="0"/>
    <n v="365.48"/>
    <n v="365.48"/>
    <n v="365.48"/>
    <n v="365.48"/>
    <n v="365.48"/>
    <n v="365.48"/>
    <n v="365.48"/>
    <n v="365.48"/>
    <n v="365.48"/>
    <n v="365.48"/>
    <n v="365.48"/>
    <n v="365.48"/>
    <n v="365.48"/>
  </r>
  <r>
    <s v="main"/>
    <x v="3"/>
    <n v="0"/>
    <n v="0"/>
    <n v="0"/>
    <n v="189.505"/>
    <n v="189.505"/>
    <n v="189.505"/>
    <n v="189.505"/>
    <n v="189.505"/>
    <n v="379.01"/>
    <n v="379.01"/>
    <n v="379.01"/>
    <n v="758.02"/>
    <n v="758.02"/>
    <n v="758.02"/>
    <n v="758.02"/>
    <n v="758.02"/>
    <n v="758.02"/>
  </r>
  <r>
    <s v="main"/>
    <x v="3"/>
    <n v="0"/>
    <n v="0"/>
    <n v="0"/>
    <n v="107.73"/>
    <n v="107.73"/>
    <n v="107.73"/>
    <n v="107.73"/>
    <n v="107.73"/>
    <n v="107.73"/>
    <n v="107.73"/>
    <n v="107.73"/>
    <n v="107.73"/>
    <n v="107.73"/>
    <n v="107.73"/>
    <n v="107.73"/>
    <n v="107.73"/>
    <n v="107.73"/>
  </r>
  <r>
    <s v="main"/>
    <x v="3"/>
    <n v="0"/>
    <n v="0"/>
    <n v="0"/>
    <n v="33.869999999999997"/>
    <n v="33.869999999999997"/>
    <n v="33.869999999999997"/>
    <n v="33.869999999999997"/>
    <n v="33.869999999999997"/>
    <n v="67.739999999999995"/>
    <n v="67.739999999999995"/>
    <n v="67.739999999999995"/>
    <n v="135.47999999999999"/>
    <n v="135.47999999999999"/>
    <n v="135.47999999999999"/>
    <n v="135.47999999999999"/>
    <n v="135.47999999999999"/>
    <n v="135.47999999999999"/>
  </r>
  <r>
    <s v="main"/>
    <x v="3"/>
    <n v="0"/>
    <n v="0"/>
    <n v="0"/>
    <n v="0"/>
    <n v="0"/>
    <n v="0"/>
    <n v="0"/>
    <n v="0"/>
    <n v="0"/>
    <n v="0"/>
    <n v="0"/>
    <n v="0"/>
    <n v="0"/>
    <n v="0"/>
    <n v="42.74"/>
    <n v="42.74"/>
    <n v="42.74"/>
  </r>
  <r>
    <s v="main"/>
    <x v="3"/>
    <n v="0"/>
    <n v="0"/>
    <n v="0"/>
    <n v="45.15"/>
    <n v="45.15"/>
    <n v="45.15"/>
    <n v="45.15"/>
    <n v="45.15"/>
    <n v="45.15"/>
    <n v="45.15"/>
    <n v="45.15"/>
    <n v="45.15"/>
    <n v="45.15"/>
    <n v="45.15"/>
    <n v="45.15"/>
    <n v="45.15"/>
    <n v="45.15"/>
  </r>
  <r>
    <s v="main"/>
    <x v="3"/>
    <n v="0"/>
    <n v="0"/>
    <n v="0"/>
    <n v="27.64"/>
    <n v="27.64"/>
    <n v="27.64"/>
    <n v="27.64"/>
    <n v="27.64"/>
    <n v="27.64"/>
    <n v="27.64"/>
    <n v="27.64"/>
    <n v="27.64"/>
    <n v="27.64"/>
    <n v="27.64"/>
    <n v="27.64"/>
    <n v="27.64"/>
    <n v="27.64"/>
  </r>
  <r>
    <s v="main"/>
    <x v="3"/>
    <n v="0"/>
    <n v="0"/>
    <n v="0"/>
    <n v="21.14"/>
    <n v="21.14"/>
    <n v="21.14"/>
    <n v="21.14"/>
    <n v="21.14"/>
    <n v="21.14"/>
    <n v="21.14"/>
    <n v="21.14"/>
    <n v="21.14"/>
    <n v="21.14"/>
    <n v="21.14"/>
    <n v="21.14"/>
    <n v="21.14"/>
    <n v="21.14"/>
  </r>
  <r>
    <s v="main"/>
    <x v="3"/>
    <n v="0"/>
    <n v="0"/>
    <n v="0"/>
    <n v="93.1"/>
    <n v="93.1"/>
    <n v="93.1"/>
    <n v="93.1"/>
    <n v="93.1"/>
    <n v="93.1"/>
    <n v="93.1"/>
    <n v="93.1"/>
    <n v="93.1"/>
    <n v="93.1"/>
    <n v="93.1"/>
    <n v="93.1"/>
    <n v="93.1"/>
    <n v="93.1"/>
  </r>
  <r>
    <s v="main"/>
    <x v="4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4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main"/>
    <x v="4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main"/>
    <x v="4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main"/>
    <x v="4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4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4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4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4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main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4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4"/>
    <n v="0"/>
    <n v="0"/>
    <n v="0"/>
    <n v="0"/>
    <n v="606.52"/>
    <n v="606.52"/>
    <n v="606.52"/>
    <n v="606.52"/>
    <n v="606.52"/>
    <n v="606.52"/>
    <n v="606.52"/>
    <n v="606.52"/>
    <n v="606.52"/>
    <n v="606.52"/>
    <n v="606.52"/>
    <n v="606.52"/>
    <n v="606.52"/>
  </r>
  <r>
    <s v="main"/>
    <x v="4"/>
    <n v="0"/>
    <n v="0"/>
    <n v="0"/>
    <n v="314.495"/>
    <n v="314.495"/>
    <n v="314.495"/>
    <n v="314.495"/>
    <n v="314.495"/>
    <n v="628.99"/>
    <n v="628.99"/>
    <n v="628.99"/>
    <n v="1257.98"/>
    <n v="1257.98"/>
    <n v="1257.98"/>
    <n v="1257.98"/>
    <n v="1257.98"/>
    <n v="1257.98"/>
  </r>
  <r>
    <s v="main"/>
    <x v="4"/>
    <n v="0"/>
    <n v="0"/>
    <n v="0"/>
    <n v="178.78"/>
    <n v="178.78"/>
    <n v="178.78"/>
    <n v="178.78"/>
    <n v="178.78"/>
    <n v="178.78"/>
    <n v="178.78"/>
    <n v="178.78"/>
    <n v="178.78"/>
    <n v="178.78"/>
    <n v="178.78"/>
    <n v="178.78"/>
    <n v="178.78"/>
    <n v="178.78"/>
  </r>
  <r>
    <s v="main"/>
    <x v="4"/>
    <n v="0"/>
    <n v="0"/>
    <n v="0"/>
    <n v="95.82"/>
    <n v="95.82"/>
    <n v="95.82"/>
    <n v="95.82"/>
    <n v="95.82"/>
    <n v="191.64"/>
    <n v="191.64"/>
    <n v="191.64"/>
    <n v="383.28"/>
    <n v="383.28"/>
    <n v="383.28"/>
    <n v="383.28"/>
    <n v="383.28"/>
    <n v="383.28"/>
  </r>
  <r>
    <s v="main"/>
    <x v="4"/>
    <n v="0"/>
    <n v="0"/>
    <n v="0"/>
    <n v="0"/>
    <n v="0"/>
    <n v="0"/>
    <n v="0"/>
    <n v="0"/>
    <n v="0"/>
    <n v="0"/>
    <n v="0"/>
    <n v="0"/>
    <n v="0"/>
    <n v="0"/>
    <n v="120.92"/>
    <n v="120.92"/>
    <n v="120.92"/>
  </r>
  <r>
    <s v="main"/>
    <x v="4"/>
    <n v="0"/>
    <n v="0"/>
    <n v="0"/>
    <n v="127.77"/>
    <n v="127.77"/>
    <n v="127.77"/>
    <n v="127.77"/>
    <n v="127.77"/>
    <n v="127.77"/>
    <n v="127.77"/>
    <n v="127.77"/>
    <n v="127.77"/>
    <n v="127.77"/>
    <n v="127.77"/>
    <n v="127.77"/>
    <n v="127.77"/>
    <n v="127.77"/>
  </r>
  <r>
    <s v="main"/>
    <x v="4"/>
    <n v="0"/>
    <n v="0"/>
    <n v="0"/>
    <n v="78.16"/>
    <n v="78.16"/>
    <n v="78.16"/>
    <n v="78.16"/>
    <n v="78.16"/>
    <n v="78.16"/>
    <n v="78.16"/>
    <n v="78.16"/>
    <n v="78.16"/>
    <n v="78.16"/>
    <n v="78.16"/>
    <n v="78.16"/>
    <n v="78.16"/>
    <n v="78.16"/>
  </r>
  <r>
    <s v="main"/>
    <x v="4"/>
    <n v="0"/>
    <n v="0"/>
    <n v="0"/>
    <n v="59.83"/>
    <n v="59.83"/>
    <n v="59.83"/>
    <n v="59.83"/>
    <n v="59.83"/>
    <n v="59.83"/>
    <n v="59.83"/>
    <n v="59.83"/>
    <n v="59.83"/>
    <n v="59.83"/>
    <n v="59.83"/>
    <n v="59.83"/>
    <n v="59.83"/>
    <n v="59.83"/>
  </r>
  <r>
    <s v="main"/>
    <x v="4"/>
    <n v="0"/>
    <n v="0"/>
    <n v="0"/>
    <n v="263.42"/>
    <n v="263.42"/>
    <n v="263.42"/>
    <n v="263.42"/>
    <n v="263.42"/>
    <n v="263.42"/>
    <n v="263.42"/>
    <n v="263.42"/>
    <n v="263.42"/>
    <n v="263.42"/>
    <n v="263.42"/>
    <n v="263.42"/>
    <n v="263.42"/>
    <n v="263.42"/>
  </r>
  <r>
    <s v="main"/>
    <x v="5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5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s v="main"/>
    <x v="5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5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5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s v="main"/>
    <x v="5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s v="main"/>
    <x v="5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s v="main"/>
    <x v="5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s v="main"/>
    <x v="5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5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s v="main"/>
    <x v="5"/>
    <n v="0"/>
    <n v="0"/>
    <n v="0"/>
    <n v="0"/>
    <n v="0"/>
    <n v="0"/>
    <n v="0"/>
    <n v="0"/>
    <n v="0"/>
    <n v="0"/>
    <n v="1863.46"/>
    <n v="1863.46"/>
    <n v="1863.46"/>
    <n v="1863.46"/>
    <n v="1863.46"/>
    <n v="1863.46"/>
    <n v="1863.46"/>
  </r>
  <r>
    <s v="main"/>
    <x v="5"/>
    <n v="0"/>
    <n v="0"/>
    <n v="0"/>
    <n v="0"/>
    <n v="2599.48"/>
    <n v="2599.48"/>
    <n v="2599.48"/>
    <n v="2599.48"/>
    <n v="2599.48"/>
    <n v="2599.48"/>
    <n v="2599.48"/>
    <n v="2599.48"/>
    <n v="2599.48"/>
    <n v="2599.48"/>
    <n v="2599.48"/>
    <n v="2599.48"/>
    <n v="2599.48"/>
  </r>
  <r>
    <s v="main"/>
    <x v="5"/>
    <n v="0"/>
    <n v="0"/>
    <n v="0"/>
    <n v="0"/>
    <n v="0"/>
    <n v="0"/>
    <n v="0"/>
    <n v="0"/>
    <n v="0"/>
    <n v="0"/>
    <n v="1373.54"/>
    <n v="1373.54"/>
    <n v="1373.54"/>
    <n v="1373.54"/>
    <n v="1373.54"/>
    <n v="1373.54"/>
    <n v="1373.54"/>
  </r>
  <r>
    <s v="main"/>
    <x v="5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5"/>
    <n v="0"/>
    <n v="0"/>
    <n v="0"/>
    <n v="0"/>
    <n v="0"/>
    <n v="0"/>
    <n v="0"/>
    <n v="0"/>
    <n v="0"/>
    <n v="0"/>
    <n v="0"/>
    <n v="0"/>
    <n v="0"/>
    <n v="212.75"/>
    <n v="212.75"/>
    <n v="212.75"/>
    <n v="212.75"/>
  </r>
  <r>
    <s v="main"/>
    <x v="5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s v="main"/>
    <x v="5"/>
    <n v="0"/>
    <n v="0"/>
    <n v="0"/>
    <n v="0"/>
    <n v="0"/>
    <n v="0"/>
    <n v="887.78"/>
    <n v="887.78"/>
    <n v="887.78"/>
    <n v="887.78"/>
    <n v="887.78"/>
    <n v="887.78"/>
    <n v="887.78"/>
    <n v="887.78"/>
    <n v="887.78"/>
    <n v="887.78"/>
    <n v="887.78"/>
  </r>
  <r>
    <s v="main"/>
    <x v="5"/>
    <n v="0"/>
    <n v="0"/>
    <n v="0"/>
    <n v="0"/>
    <n v="0"/>
    <n v="0"/>
    <n v="1034.55"/>
    <n v="1034.55"/>
    <n v="1034.55"/>
    <n v="1034.55"/>
    <n v="1034.55"/>
    <n v="1034.55"/>
    <n v="1034.55"/>
    <n v="1034.55"/>
    <n v="1034.55"/>
    <n v="1034.55"/>
    <n v="1034.55"/>
  </r>
  <r>
    <s v="main"/>
    <x v="5"/>
    <n v="0"/>
    <n v="0"/>
    <n v="0"/>
    <n v="0"/>
    <n v="637.64"/>
    <n v="637.64"/>
    <n v="637.64"/>
    <n v="637.64"/>
    <n v="637.64"/>
    <n v="637.64"/>
    <n v="637.64"/>
    <n v="637.64"/>
    <n v="637.64"/>
    <n v="637.64"/>
    <n v="637.64"/>
    <n v="637.64"/>
    <n v="637.64"/>
  </r>
  <r>
    <s v="main"/>
    <x v="5"/>
    <n v="0"/>
    <n v="0"/>
    <n v="0"/>
    <n v="330.625"/>
    <n v="330.625"/>
    <n v="330.625"/>
    <n v="330.625"/>
    <n v="330.625"/>
    <n v="661.25"/>
    <n v="661.25"/>
    <n v="661.25"/>
    <n v="1322.5"/>
    <n v="1322.5"/>
    <n v="1322.5"/>
    <n v="1322.5"/>
    <n v="1322.5"/>
    <n v="1322.5"/>
  </r>
  <r>
    <s v="main"/>
    <x v="5"/>
    <n v="0"/>
    <n v="0"/>
    <n v="0"/>
    <n v="39.85"/>
    <n v="39.85"/>
    <n v="39.85"/>
    <n v="39.85"/>
    <n v="39.85"/>
    <n v="39.85"/>
    <n v="39.85"/>
    <n v="39.85"/>
    <n v="39.85"/>
    <n v="39.85"/>
    <n v="39.85"/>
    <n v="39.85"/>
    <n v="39.85"/>
    <n v="39.85"/>
  </r>
  <r>
    <s v="main"/>
    <x v="5"/>
    <n v="0"/>
    <n v="0"/>
    <n v="0"/>
    <n v="93.97"/>
    <n v="93.97"/>
    <n v="93.97"/>
    <n v="93.97"/>
    <n v="93.97"/>
    <n v="93.97"/>
    <n v="93.97"/>
    <n v="93.97"/>
    <n v="93.97"/>
    <n v="93.97"/>
    <n v="93.97"/>
    <n v="93.97"/>
    <n v="93.97"/>
    <n v="93.97"/>
  </r>
  <r>
    <s v="main"/>
    <x v="5"/>
    <n v="0"/>
    <n v="0"/>
    <n v="0"/>
    <n v="105.65"/>
    <n v="105.65"/>
    <n v="105.65"/>
    <n v="105.65"/>
    <n v="105.65"/>
    <n v="211.3"/>
    <n v="211.3"/>
    <n v="211.3"/>
    <n v="422.6"/>
    <n v="422.6"/>
    <n v="422.6"/>
    <n v="422.6"/>
    <n v="422.6"/>
    <n v="422.6"/>
  </r>
  <r>
    <s v="main"/>
    <x v="5"/>
    <n v="0"/>
    <n v="0"/>
    <n v="0"/>
    <n v="0"/>
    <n v="0"/>
    <n v="0"/>
    <n v="0"/>
    <n v="0"/>
    <n v="0"/>
    <n v="0"/>
    <n v="0"/>
    <n v="0"/>
    <n v="0"/>
    <n v="0"/>
    <n v="133.32"/>
    <n v="133.32"/>
    <n v="133.32"/>
  </r>
  <r>
    <s v="main"/>
    <x v="5"/>
    <n v="0"/>
    <n v="0"/>
    <n v="0"/>
    <n v="140.87"/>
    <n v="140.87"/>
    <n v="140.87"/>
    <n v="140.87"/>
    <n v="140.87"/>
    <n v="140.87"/>
    <n v="140.87"/>
    <n v="140.87"/>
    <n v="140.87"/>
    <n v="140.87"/>
    <n v="140.87"/>
    <n v="140.87"/>
    <n v="140.87"/>
    <n v="140.87"/>
  </r>
  <r>
    <s v="main"/>
    <x v="5"/>
    <n v="0"/>
    <n v="0"/>
    <n v="0"/>
    <n v="86.23"/>
    <n v="86.23"/>
    <n v="86.23"/>
    <n v="86.23"/>
    <n v="86.23"/>
    <n v="86.23"/>
    <n v="86.23"/>
    <n v="86.23"/>
    <n v="86.23"/>
    <n v="86.23"/>
    <n v="86.23"/>
    <n v="86.23"/>
    <n v="86.23"/>
    <n v="86.23"/>
  </r>
  <r>
    <s v="main"/>
    <x v="5"/>
    <n v="0"/>
    <n v="0"/>
    <n v="0"/>
    <n v="65.97"/>
    <n v="65.97"/>
    <n v="65.97"/>
    <n v="65.97"/>
    <n v="65.97"/>
    <n v="65.97"/>
    <n v="65.97"/>
    <n v="65.97"/>
    <n v="65.97"/>
    <n v="65.97"/>
    <n v="65.97"/>
    <n v="65.97"/>
    <n v="65.97"/>
    <n v="65.97"/>
  </r>
  <r>
    <s v="main"/>
    <x v="5"/>
    <n v="0"/>
    <n v="0"/>
    <n v="0"/>
    <n v="290.44"/>
    <n v="290.44"/>
    <n v="290.44"/>
    <n v="290.44"/>
    <n v="290.44"/>
    <n v="290.44"/>
    <n v="290.44"/>
    <n v="290.44"/>
    <n v="290.44"/>
    <n v="290.44"/>
    <n v="290.44"/>
    <n v="290.44"/>
    <n v="290.44"/>
    <n v="290.44"/>
  </r>
  <r>
    <s v="main"/>
    <x v="4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4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main"/>
    <x v="4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main"/>
    <x v="4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main"/>
    <x v="4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4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4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4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4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main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4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4"/>
    <n v="0"/>
    <n v="0"/>
    <n v="0"/>
    <n v="0"/>
    <n v="606.52"/>
    <n v="606.52"/>
    <n v="606.52"/>
    <n v="606.52"/>
    <n v="606.52"/>
    <n v="606.52"/>
    <n v="606.52"/>
    <n v="606.52"/>
    <n v="606.52"/>
    <n v="606.52"/>
    <n v="606.52"/>
    <n v="606.52"/>
    <n v="606.52"/>
  </r>
  <r>
    <s v="main"/>
    <x v="4"/>
    <n v="0"/>
    <n v="0"/>
    <n v="0"/>
    <n v="314.495"/>
    <n v="314.495"/>
    <n v="314.495"/>
    <n v="314.495"/>
    <n v="314.495"/>
    <n v="628.99"/>
    <n v="628.99"/>
    <n v="628.99"/>
    <n v="1257.98"/>
    <n v="1257.98"/>
    <n v="1257.98"/>
    <n v="1257.98"/>
    <n v="1257.98"/>
    <n v="1257.98"/>
  </r>
  <r>
    <s v="main"/>
    <x v="4"/>
    <n v="0"/>
    <n v="0"/>
    <n v="0"/>
    <n v="178.78"/>
    <n v="178.78"/>
    <n v="178.78"/>
    <n v="178.78"/>
    <n v="178.78"/>
    <n v="178.78"/>
    <n v="178.78"/>
    <n v="178.78"/>
    <n v="178.78"/>
    <n v="178.78"/>
    <n v="178.78"/>
    <n v="178.78"/>
    <n v="178.78"/>
    <n v="178.78"/>
  </r>
  <r>
    <s v="main"/>
    <x v="4"/>
    <n v="0"/>
    <n v="0"/>
    <n v="0"/>
    <n v="95.82"/>
    <n v="95.82"/>
    <n v="95.82"/>
    <n v="95.82"/>
    <n v="95.82"/>
    <n v="191.64"/>
    <n v="191.64"/>
    <n v="191.64"/>
    <n v="383.28"/>
    <n v="383.28"/>
    <n v="383.28"/>
    <n v="383.28"/>
    <n v="383.28"/>
    <n v="383.28"/>
  </r>
  <r>
    <s v="main"/>
    <x v="4"/>
    <n v="0"/>
    <n v="0"/>
    <n v="0"/>
    <n v="0"/>
    <n v="0"/>
    <n v="0"/>
    <n v="0"/>
    <n v="0"/>
    <n v="0"/>
    <n v="0"/>
    <n v="0"/>
    <n v="0"/>
    <n v="0"/>
    <n v="0"/>
    <n v="120.92"/>
    <n v="120.92"/>
    <n v="120.92"/>
  </r>
  <r>
    <s v="main"/>
    <x v="4"/>
    <n v="0"/>
    <n v="0"/>
    <n v="0"/>
    <n v="127.77"/>
    <n v="127.77"/>
    <n v="127.77"/>
    <n v="127.77"/>
    <n v="127.77"/>
    <n v="127.77"/>
    <n v="127.77"/>
    <n v="127.77"/>
    <n v="127.77"/>
    <n v="127.77"/>
    <n v="127.77"/>
    <n v="127.77"/>
    <n v="127.77"/>
    <n v="127.77"/>
  </r>
  <r>
    <s v="main"/>
    <x v="4"/>
    <n v="0"/>
    <n v="0"/>
    <n v="0"/>
    <n v="78.16"/>
    <n v="78.16"/>
    <n v="78.16"/>
    <n v="78.16"/>
    <n v="78.16"/>
    <n v="78.16"/>
    <n v="78.16"/>
    <n v="78.16"/>
    <n v="78.16"/>
    <n v="78.16"/>
    <n v="78.16"/>
    <n v="78.16"/>
    <n v="78.16"/>
    <n v="78.16"/>
  </r>
  <r>
    <s v="main"/>
    <x v="4"/>
    <n v="0"/>
    <n v="0"/>
    <n v="0"/>
    <n v="59.83"/>
    <n v="59.83"/>
    <n v="59.83"/>
    <n v="59.83"/>
    <n v="59.83"/>
    <n v="59.83"/>
    <n v="59.83"/>
    <n v="59.83"/>
    <n v="59.83"/>
    <n v="59.83"/>
    <n v="59.83"/>
    <n v="59.83"/>
    <n v="59.83"/>
    <n v="59.83"/>
  </r>
  <r>
    <s v="main"/>
    <x v="4"/>
    <n v="0"/>
    <n v="0"/>
    <n v="0"/>
    <n v="263.42"/>
    <n v="263.42"/>
    <n v="263.42"/>
    <n v="263.42"/>
    <n v="263.42"/>
    <n v="263.42"/>
    <n v="263.42"/>
    <n v="263.42"/>
    <n v="263.42"/>
    <n v="263.42"/>
    <n v="263.42"/>
    <n v="263.42"/>
    <n v="263.42"/>
    <n v="263.42"/>
  </r>
  <r>
    <s v="main"/>
    <x v="6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6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6"/>
    <n v="0"/>
    <n v="0"/>
    <n v="0"/>
    <n v="0"/>
    <n v="425.11"/>
    <n v="425.11"/>
    <n v="425.11"/>
    <n v="425.11"/>
    <n v="425.11"/>
    <n v="425.11"/>
    <n v="425.11"/>
    <n v="425.11"/>
    <n v="425.11"/>
    <n v="425.11"/>
    <n v="425.11"/>
    <n v="425.11"/>
    <n v="425.11"/>
  </r>
  <r>
    <s v="main"/>
    <x v="6"/>
    <n v="0"/>
    <n v="0"/>
    <n v="0"/>
    <n v="220.41749999999999"/>
    <n v="220.41749999999999"/>
    <n v="220.41749999999999"/>
    <n v="220.41749999999999"/>
    <n v="220.41749999999999"/>
    <n v="440.83499999999998"/>
    <n v="440.83499999999998"/>
    <n v="440.83499999999998"/>
    <n v="881.67"/>
    <n v="881.67"/>
    <n v="881.67"/>
    <n v="881.67"/>
    <n v="881.67"/>
    <n v="881.67"/>
  </r>
  <r>
    <s v="main"/>
    <x v="6"/>
    <n v="0"/>
    <n v="0"/>
    <n v="0"/>
    <n v="125.28"/>
    <n v="125.28"/>
    <n v="125.28"/>
    <n v="125.28"/>
    <n v="125.28"/>
    <n v="125.28"/>
    <n v="125.28"/>
    <n v="125.28"/>
    <n v="125.28"/>
    <n v="125.28"/>
    <n v="125.28"/>
    <n v="125.28"/>
    <n v="125.28"/>
    <n v="125.28"/>
  </r>
  <r>
    <s v="main"/>
    <x v="6"/>
    <n v="0"/>
    <n v="0"/>
    <n v="0"/>
    <n v="46.055"/>
    <n v="46.055"/>
    <n v="46.055"/>
    <n v="46.055"/>
    <n v="46.055"/>
    <n v="92.11"/>
    <n v="92.11"/>
    <n v="92.11"/>
    <n v="184.22"/>
    <n v="184.22"/>
    <n v="184.22"/>
    <n v="184.22"/>
    <n v="184.22"/>
    <n v="184.22"/>
  </r>
  <r>
    <s v="main"/>
    <x v="6"/>
    <n v="0"/>
    <n v="0"/>
    <n v="0"/>
    <n v="0"/>
    <n v="0"/>
    <n v="0"/>
    <n v="0"/>
    <n v="0"/>
    <n v="0"/>
    <n v="0"/>
    <n v="0"/>
    <n v="0"/>
    <n v="0"/>
    <n v="0"/>
    <n v="58.11"/>
    <n v="58.11"/>
    <n v="58.11"/>
  </r>
  <r>
    <s v="main"/>
    <x v="6"/>
    <n v="0"/>
    <n v="0"/>
    <n v="0"/>
    <n v="61.41"/>
    <n v="61.41"/>
    <n v="61.41"/>
    <n v="61.41"/>
    <n v="61.41"/>
    <n v="61.41"/>
    <n v="61.41"/>
    <n v="61.41"/>
    <n v="61.41"/>
    <n v="61.41"/>
    <n v="61.41"/>
    <n v="61.41"/>
    <n v="61.41"/>
    <n v="61.41"/>
  </r>
  <r>
    <s v="main"/>
    <x v="6"/>
    <n v="0"/>
    <n v="0"/>
    <n v="0"/>
    <n v="37.58"/>
    <n v="37.58"/>
    <n v="37.58"/>
    <n v="37.58"/>
    <n v="37.58"/>
    <n v="37.58"/>
    <n v="37.58"/>
    <n v="37.58"/>
    <n v="37.58"/>
    <n v="37.58"/>
    <n v="37.58"/>
    <n v="37.58"/>
    <n v="37.58"/>
    <n v="37.58"/>
  </r>
  <r>
    <s v="main"/>
    <x v="6"/>
    <n v="0"/>
    <n v="0"/>
    <n v="0"/>
    <n v="28.76"/>
    <n v="28.76"/>
    <n v="28.76"/>
    <n v="28.76"/>
    <n v="28.76"/>
    <n v="28.76"/>
    <n v="28.76"/>
    <n v="28.76"/>
    <n v="28.76"/>
    <n v="28.76"/>
    <n v="28.76"/>
    <n v="28.76"/>
    <n v="28.76"/>
    <n v="28.76"/>
  </r>
  <r>
    <s v="main"/>
    <x v="6"/>
    <n v="0"/>
    <n v="0"/>
    <n v="0"/>
    <n v="126.62"/>
    <n v="126.62"/>
    <n v="126.62"/>
    <n v="126.62"/>
    <n v="126.62"/>
    <n v="126.62"/>
    <n v="126.62"/>
    <n v="126.62"/>
    <n v="126.62"/>
    <n v="126.62"/>
    <n v="126.62"/>
    <n v="126.62"/>
    <n v="126.62"/>
    <n v="126.62"/>
  </r>
  <r>
    <s v="main"/>
    <x v="7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7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7"/>
    <n v="0"/>
    <n v="0"/>
    <n v="0"/>
    <n v="0"/>
    <n v="912.37"/>
    <n v="912.37"/>
    <n v="912.37"/>
    <n v="912.37"/>
    <n v="912.37"/>
    <n v="912.37"/>
    <n v="912.37"/>
    <n v="912.37"/>
    <n v="912.37"/>
    <n v="912.37"/>
    <n v="912.37"/>
    <n v="912.37"/>
    <n v="912.37"/>
  </r>
  <r>
    <s v="main"/>
    <x v="7"/>
    <n v="0"/>
    <n v="0"/>
    <n v="0"/>
    <n v="473.08749999999998"/>
    <n v="473.08749999999998"/>
    <n v="473.08749999999998"/>
    <n v="473.08749999999998"/>
    <n v="473.08749999999998"/>
    <n v="946.17499999999995"/>
    <n v="946.17499999999995"/>
    <n v="946.17499999999995"/>
    <n v="1892.35"/>
    <n v="1892.35"/>
    <n v="1892.35"/>
    <n v="1892.35"/>
    <n v="1892.35"/>
    <n v="1892.35"/>
  </r>
  <r>
    <s v="main"/>
    <x v="7"/>
    <n v="0"/>
    <n v="0"/>
    <n v="0"/>
    <n v="268.94"/>
    <n v="268.94"/>
    <n v="268.94"/>
    <n v="268.94"/>
    <n v="268.94"/>
    <n v="268.94"/>
    <n v="268.94"/>
    <n v="268.94"/>
    <n v="268.94"/>
    <n v="268.94"/>
    <n v="268.94"/>
    <n v="268.94"/>
    <n v="268.94"/>
    <n v="268.94"/>
  </r>
  <r>
    <s v="main"/>
    <x v="7"/>
    <n v="0"/>
    <n v="0"/>
    <n v="0"/>
    <n v="208.255"/>
    <n v="208.255"/>
    <n v="208.255"/>
    <n v="208.255"/>
    <n v="208.255"/>
    <n v="416.51"/>
    <n v="416.51"/>
    <n v="416.51"/>
    <n v="833.02"/>
    <n v="833.02"/>
    <n v="833.02"/>
    <n v="833.02"/>
    <n v="833.02"/>
    <n v="833.02"/>
  </r>
  <r>
    <s v="main"/>
    <x v="7"/>
    <n v="0"/>
    <n v="0"/>
    <n v="0"/>
    <n v="0"/>
    <n v="0"/>
    <n v="0"/>
    <n v="0"/>
    <n v="0"/>
    <n v="0"/>
    <n v="0"/>
    <n v="0"/>
    <n v="0"/>
    <n v="0"/>
    <n v="0"/>
    <n v="262.8"/>
    <n v="262.8"/>
    <n v="262.8"/>
  </r>
  <r>
    <s v="main"/>
    <x v="7"/>
    <n v="0"/>
    <n v="0"/>
    <n v="0"/>
    <n v="277.67"/>
    <n v="277.67"/>
    <n v="277.67"/>
    <n v="277.67"/>
    <n v="277.67"/>
    <n v="277.67"/>
    <n v="277.67"/>
    <n v="277.67"/>
    <n v="277.67"/>
    <n v="277.67"/>
    <n v="277.67"/>
    <n v="277.67"/>
    <n v="277.67"/>
    <n v="277.67"/>
  </r>
  <r>
    <s v="main"/>
    <x v="7"/>
    <n v="0"/>
    <n v="0"/>
    <n v="0"/>
    <n v="169.93"/>
    <n v="169.93"/>
    <n v="169.93"/>
    <n v="169.93"/>
    <n v="169.93"/>
    <n v="169.93"/>
    <n v="169.93"/>
    <n v="169.93"/>
    <n v="169.93"/>
    <n v="169.93"/>
    <n v="169.93"/>
    <n v="169.93"/>
    <n v="169.93"/>
    <n v="169.93"/>
  </r>
  <r>
    <s v="main"/>
    <x v="7"/>
    <n v="0"/>
    <n v="0"/>
    <n v="0"/>
    <n v="130.03"/>
    <n v="130.03"/>
    <n v="130.03"/>
    <n v="130.03"/>
    <n v="130.03"/>
    <n v="130.03"/>
    <n v="130.03"/>
    <n v="130.03"/>
    <n v="130.03"/>
    <n v="130.03"/>
    <n v="130.03"/>
    <n v="130.03"/>
    <n v="130.03"/>
    <n v="130.03"/>
  </r>
  <r>
    <s v="main"/>
    <x v="7"/>
    <n v="0"/>
    <n v="0"/>
    <n v="0"/>
    <n v="572.52"/>
    <n v="572.52"/>
    <n v="572.52"/>
    <n v="572.52"/>
    <n v="572.52"/>
    <n v="572.52"/>
    <n v="572.52"/>
    <n v="572.52"/>
    <n v="572.52"/>
    <n v="572.52"/>
    <n v="572.52"/>
    <n v="572.52"/>
    <n v="572.52"/>
    <n v="572.52"/>
  </r>
  <r>
    <s v="main"/>
    <x v="8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main"/>
    <x v="8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main"/>
    <x v="8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main"/>
    <x v="8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main"/>
    <x v="8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main"/>
    <x v="8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8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8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8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8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8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8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main"/>
    <x v="8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main"/>
    <x v="8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main"/>
    <x v="8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main"/>
    <x v="8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s v="main"/>
    <x v="8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main"/>
    <x v="8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8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main"/>
    <x v="8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main"/>
    <x v="8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main"/>
    <x v="8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8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main"/>
    <x v="8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8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main"/>
    <x v="8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main"/>
    <x v="8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main"/>
    <x v="8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main"/>
    <x v="8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8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8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main"/>
    <x v="8"/>
    <n v="0"/>
    <n v="0"/>
    <n v="0"/>
    <n v="0"/>
    <n v="396.58"/>
    <n v="396.58"/>
    <n v="396.58"/>
    <n v="396.58"/>
    <n v="396.58"/>
    <n v="396.58"/>
    <n v="396.58"/>
    <n v="396.58"/>
    <n v="396.58"/>
    <n v="396.58"/>
    <n v="396.58"/>
    <n v="396.58"/>
    <n v="396.58"/>
  </r>
  <r>
    <s v="main"/>
    <x v="8"/>
    <n v="0"/>
    <n v="0"/>
    <n v="0"/>
    <n v="205.63"/>
    <n v="205.63"/>
    <n v="205.63"/>
    <n v="205.63"/>
    <n v="205.63"/>
    <n v="411.26"/>
    <n v="411.26"/>
    <n v="411.26"/>
    <n v="822.52"/>
    <n v="822.52"/>
    <n v="822.52"/>
    <n v="822.52"/>
    <n v="822.52"/>
    <n v="822.52"/>
  </r>
  <r>
    <s v="main"/>
    <x v="8"/>
    <n v="0"/>
    <n v="0"/>
    <n v="0"/>
    <n v="24.8"/>
    <n v="24.8"/>
    <n v="24.8"/>
    <n v="24.8"/>
    <n v="24.8"/>
    <n v="24.8"/>
    <n v="24.8"/>
    <n v="24.8"/>
    <n v="24.8"/>
    <n v="24.8"/>
    <n v="24.8"/>
    <n v="24.8"/>
    <n v="24.8"/>
    <n v="24.8"/>
  </r>
  <r>
    <s v="main"/>
    <x v="8"/>
    <n v="0"/>
    <n v="0"/>
    <n v="0"/>
    <n v="58.45"/>
    <n v="58.45"/>
    <n v="58.45"/>
    <n v="58.45"/>
    <n v="58.45"/>
    <n v="58.45"/>
    <n v="58.45"/>
    <n v="58.45"/>
    <n v="58.45"/>
    <n v="58.45"/>
    <n v="58.45"/>
    <n v="58.45"/>
    <n v="58.45"/>
    <n v="58.45"/>
  </r>
  <r>
    <s v="main"/>
    <x v="8"/>
    <n v="0"/>
    <n v="0"/>
    <n v="0"/>
    <n v="38.817500000000003"/>
    <n v="38.817500000000003"/>
    <n v="38.817500000000003"/>
    <n v="38.817500000000003"/>
    <n v="38.817500000000003"/>
    <n v="77.635000000000005"/>
    <n v="77.635000000000005"/>
    <n v="77.635000000000005"/>
    <n v="155.27000000000001"/>
    <n v="155.27000000000001"/>
    <n v="155.27000000000001"/>
    <n v="155.27000000000001"/>
    <n v="155.27000000000001"/>
    <n v="155.27000000000001"/>
  </r>
  <r>
    <s v="main"/>
    <x v="8"/>
    <n v="0"/>
    <n v="0"/>
    <n v="0"/>
    <n v="0"/>
    <n v="0"/>
    <n v="0"/>
    <n v="0"/>
    <n v="0"/>
    <n v="0"/>
    <n v="0"/>
    <n v="0"/>
    <n v="0"/>
    <n v="0"/>
    <n v="0"/>
    <n v="48.98"/>
    <n v="48.98"/>
    <n v="48.98"/>
  </r>
  <r>
    <s v="main"/>
    <x v="8"/>
    <n v="0"/>
    <n v="0"/>
    <n v="0"/>
    <n v="51.75"/>
    <n v="51.75"/>
    <n v="51.75"/>
    <n v="51.75"/>
    <n v="51.75"/>
    <n v="51.75"/>
    <n v="51.75"/>
    <n v="51.75"/>
    <n v="51.75"/>
    <n v="51.75"/>
    <n v="51.75"/>
    <n v="51.75"/>
    <n v="51.75"/>
    <n v="51.75"/>
  </r>
  <r>
    <s v="main"/>
    <x v="8"/>
    <n v="0"/>
    <n v="0"/>
    <n v="0"/>
    <n v="31.68"/>
    <n v="31.68"/>
    <n v="31.68"/>
    <n v="31.68"/>
    <n v="31.68"/>
    <n v="31.68"/>
    <n v="31.68"/>
    <n v="31.68"/>
    <n v="31.68"/>
    <n v="31.68"/>
    <n v="31.68"/>
    <n v="31.68"/>
    <n v="31.68"/>
    <n v="31.68"/>
  </r>
  <r>
    <s v="main"/>
    <x v="8"/>
    <n v="0"/>
    <n v="0"/>
    <n v="0"/>
    <n v="24.24"/>
    <n v="24.24"/>
    <n v="24.24"/>
    <n v="24.24"/>
    <n v="24.24"/>
    <n v="24.24"/>
    <n v="24.24"/>
    <n v="24.24"/>
    <n v="24.24"/>
    <n v="24.24"/>
    <n v="24.24"/>
    <n v="24.24"/>
    <n v="24.24"/>
    <n v="24.24"/>
  </r>
  <r>
    <s v="main"/>
    <x v="8"/>
    <n v="0"/>
    <n v="0"/>
    <n v="0"/>
    <n v="106.71"/>
    <n v="106.71"/>
    <n v="106.71"/>
    <n v="106.71"/>
    <n v="106.71"/>
    <n v="106.71"/>
    <n v="106.71"/>
    <n v="106.71"/>
    <n v="106.71"/>
    <n v="106.71"/>
    <n v="106.71"/>
    <n v="106.71"/>
    <n v="106.71"/>
    <n v="106.71"/>
  </r>
  <r>
    <s v="main"/>
    <x v="2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2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2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s v="main"/>
    <x v="9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9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9"/>
    <n v="0"/>
    <n v="0"/>
    <n v="0"/>
    <n v="0"/>
    <n v="578.01"/>
    <n v="578.01"/>
    <n v="578.01"/>
    <n v="578.01"/>
    <n v="578.01"/>
    <n v="578.01"/>
    <n v="578.01"/>
    <n v="578.01"/>
    <n v="578.01"/>
    <n v="578.01"/>
    <n v="578.01"/>
    <n v="578.01"/>
    <n v="578.01"/>
  </r>
  <r>
    <s v="main"/>
    <x v="9"/>
    <n v="0"/>
    <n v="0"/>
    <n v="0"/>
    <n v="299.70749999999998"/>
    <n v="299.70749999999998"/>
    <n v="299.70749999999998"/>
    <n v="299.70749999999998"/>
    <n v="299.70749999999998"/>
    <n v="599.41499999999996"/>
    <n v="599.41499999999996"/>
    <n v="599.41499999999996"/>
    <n v="1198.83"/>
    <n v="1198.83"/>
    <n v="1198.83"/>
    <n v="1198.83"/>
    <n v="1198.83"/>
    <n v="1198.83"/>
  </r>
  <r>
    <s v="main"/>
    <x v="9"/>
    <n v="0"/>
    <n v="0"/>
    <n v="0"/>
    <n v="170.39"/>
    <n v="170.39"/>
    <n v="170.39"/>
    <n v="170.39"/>
    <n v="170.39"/>
    <n v="170.39"/>
    <n v="170.39"/>
    <n v="170.39"/>
    <n v="170.39"/>
    <n v="170.39"/>
    <n v="170.39"/>
    <n v="170.39"/>
    <n v="170.39"/>
    <n v="170.39"/>
  </r>
  <r>
    <s v="main"/>
    <x v="9"/>
    <n v="0"/>
    <n v="0"/>
    <n v="0"/>
    <n v="57.9"/>
    <n v="57.9"/>
    <n v="57.9"/>
    <n v="57.9"/>
    <n v="57.9"/>
    <n v="115.8"/>
    <n v="115.8"/>
    <n v="115.8"/>
    <n v="231.6"/>
    <n v="231.6"/>
    <n v="231.6"/>
    <n v="231.6"/>
    <n v="231.6"/>
    <n v="231.6"/>
  </r>
  <r>
    <s v="main"/>
    <x v="9"/>
    <n v="0"/>
    <n v="0"/>
    <n v="0"/>
    <n v="0"/>
    <n v="0"/>
    <n v="0"/>
    <n v="0"/>
    <n v="0"/>
    <n v="0"/>
    <n v="0"/>
    <n v="0"/>
    <n v="0"/>
    <n v="0"/>
    <n v="0"/>
    <n v="73.069999999999993"/>
    <n v="73.069999999999993"/>
    <n v="73.069999999999993"/>
  </r>
  <r>
    <s v="main"/>
    <x v="9"/>
    <n v="0"/>
    <n v="0"/>
    <n v="0"/>
    <n v="77.19"/>
    <n v="77.19"/>
    <n v="77.19"/>
    <n v="77.19"/>
    <n v="77.19"/>
    <n v="77.19"/>
    <n v="77.19"/>
    <n v="77.19"/>
    <n v="77.19"/>
    <n v="77.19"/>
    <n v="77.19"/>
    <n v="77.19"/>
    <n v="77.19"/>
    <n v="77.19"/>
  </r>
  <r>
    <s v="main"/>
    <x v="9"/>
    <n v="0"/>
    <n v="0"/>
    <n v="0"/>
    <n v="47.25"/>
    <n v="47.25"/>
    <n v="47.25"/>
    <n v="47.25"/>
    <n v="47.25"/>
    <n v="47.25"/>
    <n v="47.25"/>
    <n v="47.25"/>
    <n v="47.25"/>
    <n v="47.25"/>
    <n v="47.25"/>
    <n v="47.25"/>
    <n v="47.25"/>
    <n v="47.25"/>
  </r>
  <r>
    <s v="main"/>
    <x v="9"/>
    <n v="0"/>
    <n v="0"/>
    <n v="0"/>
    <n v="36.14"/>
    <n v="36.14"/>
    <n v="36.14"/>
    <n v="36.14"/>
    <n v="36.14"/>
    <n v="36.14"/>
    <n v="36.14"/>
    <n v="36.14"/>
    <n v="36.14"/>
    <n v="36.14"/>
    <n v="36.14"/>
    <n v="36.14"/>
    <n v="36.14"/>
    <n v="36.14"/>
  </r>
  <r>
    <s v="main"/>
    <x v="9"/>
    <n v="0"/>
    <n v="0"/>
    <n v="0"/>
    <n v="159.19"/>
    <n v="159.19"/>
    <n v="159.19"/>
    <n v="159.19"/>
    <n v="159.19"/>
    <n v="159.19"/>
    <n v="159.19"/>
    <n v="159.19"/>
    <n v="159.19"/>
    <n v="159.19"/>
    <n v="159.19"/>
    <n v="159.19"/>
    <n v="159.19"/>
    <n v="159.1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">
  <r>
    <x v="0"/>
    <s v="general-split"/>
    <n v="0"/>
    <n v="0"/>
    <n v="0"/>
    <n v="0"/>
    <n v="0"/>
    <n v="0"/>
    <n v="0"/>
    <n v="0"/>
    <n v="0"/>
    <n v="0"/>
    <n v="0"/>
    <n v="232.32"/>
    <n v="232.32"/>
    <n v="232.32"/>
    <n v="232.32"/>
    <n v="232.32"/>
    <n v="232.32"/>
  </r>
  <r>
    <x v="0"/>
    <s v="general-split"/>
    <n v="0"/>
    <n v="0"/>
    <n v="0"/>
    <n v="0"/>
    <n v="0"/>
    <n v="0"/>
    <n v="0"/>
    <n v="0"/>
    <n v="0"/>
    <n v="0"/>
    <n v="0"/>
    <n v="203.8"/>
    <n v="203.8"/>
    <n v="203.8"/>
    <n v="203.8"/>
    <n v="203.8"/>
    <n v="203.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0.46"/>
    <n v="130.46"/>
    <n v="130.46"/>
  </r>
  <r>
    <x v="0"/>
    <s v="general-split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x v="0"/>
    <s v="general-split"/>
    <n v="0"/>
    <n v="0"/>
    <n v="0"/>
    <n v="0"/>
    <n v="0"/>
    <n v="0"/>
    <n v="0"/>
    <n v="0"/>
    <n v="0"/>
    <n v="0"/>
    <n v="0"/>
    <n v="34.39"/>
    <n v="34.39"/>
    <n v="34.39"/>
    <n v="34.39"/>
    <n v="34.39"/>
    <n v="34.39"/>
  </r>
  <r>
    <x v="0"/>
    <s v="general-split"/>
    <n v="0"/>
    <n v="0"/>
    <n v="0"/>
    <n v="0"/>
    <n v="0"/>
    <n v="0"/>
    <n v="0"/>
    <n v="0"/>
    <n v="0"/>
    <n v="0"/>
    <n v="0"/>
    <n v="0"/>
    <n v="0"/>
    <n v="280.8"/>
    <n v="280.8"/>
    <n v="280.8"/>
    <n v="280.8"/>
  </r>
  <r>
    <x v="1"/>
    <s v="general-mechanical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x v="0"/>
    <s v="general-split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0"/>
    <s v="general-split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0"/>
    <s v="general-split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x v="0"/>
    <s v="general-split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x v="0"/>
    <s v="general-split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0"/>
    <s v="general-split"/>
    <n v="0"/>
    <n v="0"/>
    <n v="0"/>
    <n v="591.63499999999999"/>
    <n v="591.63499999999999"/>
    <n v="591.63499999999999"/>
    <n v="591.63499999999999"/>
    <n v="591.63499999999999"/>
    <n v="1183.27"/>
    <n v="1183.27"/>
    <n v="1183.27"/>
    <n v="1183.27"/>
    <n v="2366.54"/>
    <n v="2366.54"/>
    <n v="2366.54"/>
    <n v="2366.54"/>
    <n v="2366.54"/>
  </r>
  <r>
    <x v="0"/>
    <s v="general-split"/>
    <n v="0"/>
    <n v="0"/>
    <n v="0"/>
    <n v="796.5"/>
    <n v="796.5"/>
    <n v="796.5"/>
    <n v="796.5"/>
    <n v="796.5"/>
    <n v="1593"/>
    <n v="1593"/>
    <n v="1593"/>
    <n v="1593"/>
    <n v="3186"/>
    <n v="3186"/>
    <n v="3186"/>
    <n v="3186"/>
    <n v="3186"/>
  </r>
  <r>
    <x v="0"/>
    <s v="general-split"/>
    <n v="0"/>
    <n v="0"/>
    <n v="0"/>
    <n v="0"/>
    <n v="0"/>
    <n v="0"/>
    <n v="0"/>
    <n v="0"/>
    <n v="0"/>
    <n v="0"/>
    <n v="0"/>
    <n v="0"/>
    <n v="0"/>
    <n v="125.38"/>
    <n v="125.38"/>
    <n v="125.38"/>
    <n v="125.38"/>
  </r>
  <r>
    <x v="1"/>
    <s v="general-mechanical"/>
    <n v="0"/>
    <n v="0"/>
    <n v="0"/>
    <n v="0"/>
    <n v="0"/>
    <n v="0"/>
    <n v="3745.05"/>
    <n v="3745.05"/>
    <n v="3745.05"/>
    <n v="3745.05"/>
    <n v="3745.05"/>
    <n v="3745.05"/>
    <n v="3745.05"/>
    <n v="3745.05"/>
    <n v="3745.05"/>
    <n v="3745.05"/>
    <n v="3745.05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4730.17"/>
    <n v="4730.17"/>
  </r>
  <r>
    <x v="2"/>
    <s v="general-main"/>
    <n v="0"/>
    <n v="0"/>
    <n v="0"/>
    <n v="0"/>
    <n v="0"/>
    <n v="0"/>
    <n v="0"/>
    <n v="0"/>
    <n v="0"/>
    <n v="0"/>
    <n v="0"/>
    <n v="0"/>
    <n v="0"/>
    <n v="0"/>
    <n v="182.66"/>
    <n v="182.66"/>
    <n v="182.66"/>
  </r>
  <r>
    <x v="2"/>
    <s v="general-main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x v="2"/>
    <s v="general-main"/>
    <n v="0"/>
    <n v="0"/>
    <n v="0"/>
    <n v="0"/>
    <n v="0"/>
    <n v="967.18"/>
    <n v="967.18"/>
    <n v="967.18"/>
    <n v="967.18"/>
    <n v="967.18"/>
    <n v="967.18"/>
    <n v="967.18"/>
    <n v="967.18"/>
    <n v="967.18"/>
    <n v="967.18"/>
    <n v="967.18"/>
    <n v="967.18"/>
  </r>
  <r>
    <x v="2"/>
    <s v="general-main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x v="1"/>
    <s v="general-mechanical"/>
    <n v="0"/>
    <n v="0"/>
    <n v="0"/>
    <n v="0"/>
    <n v="0"/>
    <n v="0"/>
    <n v="0"/>
    <n v="0"/>
    <n v="0"/>
    <n v="0"/>
    <n v="0"/>
    <n v="1101.1400000000001"/>
    <n v="1101.1400000000001"/>
    <n v="1101.1400000000001"/>
    <n v="1101.1400000000001"/>
    <n v="1101.1400000000001"/>
    <n v="1101.1400000000001"/>
  </r>
  <r>
    <x v="0"/>
    <s v="general-split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x v="2"/>
    <s v="general-main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x v="0"/>
    <s v="general-split"/>
    <n v="0"/>
    <n v="0"/>
    <n v="0"/>
    <n v="0"/>
    <n v="0"/>
    <n v="0"/>
    <n v="0"/>
    <n v="0"/>
    <n v="2741.0399999999995"/>
    <n v="2741.0399999999995"/>
    <n v="2741.0399999999995"/>
    <n v="2741.0399999999995"/>
    <n v="2741.0399999999995"/>
    <n v="2741.0399999999995"/>
    <n v="2741.0399999999995"/>
    <n v="2741.0399999999995"/>
    <n v="2741.0399999999995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x v="0"/>
    <s v="general-split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x v="0"/>
    <s v="general-split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x v="0"/>
    <s v="general-split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x v="0"/>
    <s v="general-split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x v="0"/>
    <s v="general-split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Utility Room"/>
    <n v="0"/>
    <n v="0"/>
    <n v="0"/>
    <n v="0"/>
    <n v="0"/>
    <n v="0"/>
    <n v="0"/>
    <n v="0"/>
    <n v="0"/>
    <n v="0"/>
    <n v="0"/>
    <n v="102.03"/>
    <n v="102.03"/>
    <n v="102.03"/>
    <n v="102.03"/>
    <n v="102.03"/>
    <n v="102.03"/>
  </r>
  <r>
    <x v="2"/>
    <s v="Utility Room"/>
    <n v="0"/>
    <n v="0"/>
    <n v="0"/>
    <n v="0"/>
    <n v="0"/>
    <n v="0"/>
    <n v="0"/>
    <n v="0"/>
    <n v="0"/>
    <n v="0"/>
    <n v="0"/>
    <n v="169.22"/>
    <n v="169.22"/>
    <n v="169.22"/>
    <n v="169.22"/>
    <n v="169.22"/>
    <n v="169.22"/>
  </r>
  <r>
    <x v="2"/>
    <s v="Utilit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Utilit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Utilit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Utility Room"/>
    <n v="0"/>
    <n v="0"/>
    <n v="0"/>
    <n v="0"/>
    <n v="365.48"/>
    <n v="365.48"/>
    <n v="365.48"/>
    <n v="365.48"/>
    <n v="365.48"/>
    <n v="365.48"/>
    <n v="365.48"/>
    <n v="365.48"/>
    <n v="365.48"/>
    <n v="365.48"/>
    <n v="365.48"/>
    <n v="365.48"/>
    <n v="365.48"/>
  </r>
  <r>
    <x v="2"/>
    <s v="Utility Room"/>
    <n v="0"/>
    <n v="0"/>
    <n v="0"/>
    <n v="189.505"/>
    <n v="189.505"/>
    <n v="189.505"/>
    <n v="189.505"/>
    <n v="189.505"/>
    <n v="379.01"/>
    <n v="379.01"/>
    <n v="379.01"/>
    <n v="758.02"/>
    <n v="758.02"/>
    <n v="758.02"/>
    <n v="758.02"/>
    <n v="758.02"/>
    <n v="758.02"/>
  </r>
  <r>
    <x v="2"/>
    <s v="Utility Room"/>
    <n v="0"/>
    <n v="0"/>
    <n v="0"/>
    <n v="107.73"/>
    <n v="107.73"/>
    <n v="107.73"/>
    <n v="107.73"/>
    <n v="107.73"/>
    <n v="107.73"/>
    <n v="107.73"/>
    <n v="107.73"/>
    <n v="107.73"/>
    <n v="107.73"/>
    <n v="107.73"/>
    <n v="107.73"/>
    <n v="107.73"/>
    <n v="107.73"/>
  </r>
  <r>
    <x v="2"/>
    <s v="Utility Room"/>
    <n v="0"/>
    <n v="0"/>
    <n v="0"/>
    <n v="33.869999999999997"/>
    <n v="33.869999999999997"/>
    <n v="33.869999999999997"/>
    <n v="33.869999999999997"/>
    <n v="33.869999999999997"/>
    <n v="67.739999999999995"/>
    <n v="67.739999999999995"/>
    <n v="67.739999999999995"/>
    <n v="135.47999999999999"/>
    <n v="135.47999999999999"/>
    <n v="135.47999999999999"/>
    <n v="135.47999999999999"/>
    <n v="135.47999999999999"/>
    <n v="135.47999999999999"/>
  </r>
  <r>
    <x v="2"/>
    <s v="Utility Room"/>
    <n v="0"/>
    <n v="0"/>
    <n v="0"/>
    <n v="0"/>
    <n v="0"/>
    <n v="0"/>
    <n v="0"/>
    <n v="0"/>
    <n v="0"/>
    <n v="0"/>
    <n v="0"/>
    <n v="0"/>
    <n v="0"/>
    <n v="0"/>
    <n v="42.74"/>
    <n v="42.74"/>
    <n v="42.74"/>
  </r>
  <r>
    <x v="2"/>
    <s v="Utility Room"/>
    <n v="0"/>
    <n v="0"/>
    <n v="0"/>
    <n v="45.15"/>
    <n v="45.15"/>
    <n v="45.15"/>
    <n v="45.15"/>
    <n v="45.15"/>
    <n v="45.15"/>
    <n v="45.15"/>
    <n v="45.15"/>
    <n v="45.15"/>
    <n v="45.15"/>
    <n v="45.15"/>
    <n v="45.15"/>
    <n v="45.15"/>
    <n v="45.15"/>
  </r>
  <r>
    <x v="2"/>
    <s v="Utility Room"/>
    <n v="0"/>
    <n v="0"/>
    <n v="0"/>
    <n v="27.64"/>
    <n v="27.64"/>
    <n v="27.64"/>
    <n v="27.64"/>
    <n v="27.64"/>
    <n v="27.64"/>
    <n v="27.64"/>
    <n v="27.64"/>
    <n v="27.64"/>
    <n v="27.64"/>
    <n v="27.64"/>
    <n v="27.64"/>
    <n v="27.64"/>
    <n v="27.64"/>
  </r>
  <r>
    <x v="2"/>
    <s v="Utility Room"/>
    <n v="0"/>
    <n v="0"/>
    <n v="0"/>
    <n v="21.14"/>
    <n v="21.14"/>
    <n v="21.14"/>
    <n v="21.14"/>
    <n v="21.14"/>
    <n v="21.14"/>
    <n v="21.14"/>
    <n v="21.14"/>
    <n v="21.14"/>
    <n v="21.14"/>
    <n v="21.14"/>
    <n v="21.14"/>
    <n v="21.14"/>
    <n v="21.14"/>
  </r>
  <r>
    <x v="2"/>
    <s v="Utility Room"/>
    <n v="0"/>
    <n v="0"/>
    <n v="0"/>
    <n v="93.1"/>
    <n v="93.1"/>
    <n v="93.1"/>
    <n v="93.1"/>
    <n v="93.1"/>
    <n v="93.1"/>
    <n v="93.1"/>
    <n v="93.1"/>
    <n v="93.1"/>
    <n v="93.1"/>
    <n v="93.1"/>
    <n v="93.1"/>
    <n v="93.1"/>
    <n v="93.1"/>
  </r>
  <r>
    <x v="2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2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2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2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Bedroom"/>
    <n v="0"/>
    <n v="0"/>
    <n v="0"/>
    <n v="0"/>
    <n v="606.52"/>
    <n v="606.52"/>
    <n v="606.52"/>
    <n v="606.52"/>
    <n v="606.52"/>
    <n v="606.52"/>
    <n v="606.52"/>
    <n v="606.52"/>
    <n v="606.52"/>
    <n v="606.52"/>
    <n v="606.52"/>
    <n v="606.52"/>
    <n v="606.52"/>
  </r>
  <r>
    <x v="2"/>
    <s v="Bedroom"/>
    <n v="0"/>
    <n v="0"/>
    <n v="0"/>
    <n v="314.495"/>
    <n v="314.495"/>
    <n v="314.495"/>
    <n v="314.495"/>
    <n v="314.495"/>
    <n v="628.99"/>
    <n v="628.99"/>
    <n v="628.99"/>
    <n v="1257.98"/>
    <n v="1257.98"/>
    <n v="1257.98"/>
    <n v="1257.98"/>
    <n v="1257.98"/>
    <n v="1257.98"/>
  </r>
  <r>
    <x v="2"/>
    <s v="Bedroom"/>
    <n v="0"/>
    <n v="0"/>
    <n v="0"/>
    <n v="178.78"/>
    <n v="178.78"/>
    <n v="178.78"/>
    <n v="178.78"/>
    <n v="178.78"/>
    <n v="178.78"/>
    <n v="178.78"/>
    <n v="178.78"/>
    <n v="178.78"/>
    <n v="178.78"/>
    <n v="178.78"/>
    <n v="178.78"/>
    <n v="178.78"/>
    <n v="178.78"/>
  </r>
  <r>
    <x v="2"/>
    <s v="Bedroom"/>
    <n v="0"/>
    <n v="0"/>
    <n v="0"/>
    <n v="95.82"/>
    <n v="95.82"/>
    <n v="95.82"/>
    <n v="95.82"/>
    <n v="95.82"/>
    <n v="191.64"/>
    <n v="191.64"/>
    <n v="191.64"/>
    <n v="383.28"/>
    <n v="383.28"/>
    <n v="383.28"/>
    <n v="383.28"/>
    <n v="383.28"/>
    <n v="383.28"/>
  </r>
  <r>
    <x v="2"/>
    <s v="Bedroom"/>
    <n v="0"/>
    <n v="0"/>
    <n v="0"/>
    <n v="0"/>
    <n v="0"/>
    <n v="0"/>
    <n v="0"/>
    <n v="0"/>
    <n v="0"/>
    <n v="0"/>
    <n v="0"/>
    <n v="0"/>
    <n v="0"/>
    <n v="0"/>
    <n v="120.92"/>
    <n v="120.92"/>
    <n v="120.92"/>
  </r>
  <r>
    <x v="2"/>
    <s v="Bedroom"/>
    <n v="0"/>
    <n v="0"/>
    <n v="0"/>
    <n v="127.77"/>
    <n v="127.77"/>
    <n v="127.77"/>
    <n v="127.77"/>
    <n v="127.77"/>
    <n v="127.77"/>
    <n v="127.77"/>
    <n v="127.77"/>
    <n v="127.77"/>
    <n v="127.77"/>
    <n v="127.77"/>
    <n v="127.77"/>
    <n v="127.77"/>
    <n v="127.77"/>
  </r>
  <r>
    <x v="2"/>
    <s v="Bedroom"/>
    <n v="0"/>
    <n v="0"/>
    <n v="0"/>
    <n v="78.16"/>
    <n v="78.16"/>
    <n v="78.16"/>
    <n v="78.16"/>
    <n v="78.16"/>
    <n v="78.16"/>
    <n v="78.16"/>
    <n v="78.16"/>
    <n v="78.16"/>
    <n v="78.16"/>
    <n v="78.16"/>
    <n v="78.16"/>
    <n v="78.16"/>
    <n v="78.16"/>
  </r>
  <r>
    <x v="2"/>
    <s v="Bedroom"/>
    <n v="0"/>
    <n v="0"/>
    <n v="0"/>
    <n v="59.83"/>
    <n v="59.83"/>
    <n v="59.83"/>
    <n v="59.83"/>
    <n v="59.83"/>
    <n v="59.83"/>
    <n v="59.83"/>
    <n v="59.83"/>
    <n v="59.83"/>
    <n v="59.83"/>
    <n v="59.83"/>
    <n v="59.83"/>
    <n v="59.83"/>
    <n v="59.83"/>
  </r>
  <r>
    <x v="2"/>
    <s v="Bedroom"/>
    <n v="0"/>
    <n v="0"/>
    <n v="0"/>
    <n v="263.42"/>
    <n v="263.42"/>
    <n v="263.42"/>
    <n v="263.42"/>
    <n v="263.42"/>
    <n v="263.42"/>
    <n v="263.42"/>
    <n v="263.42"/>
    <n v="263.42"/>
    <n v="263.42"/>
    <n v="263.42"/>
    <n v="263.42"/>
    <n v="263.42"/>
    <n v="263.42"/>
  </r>
  <r>
    <x v="2"/>
    <s v="Kitchen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Kitchen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x v="2"/>
    <s v="Kitchen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Kitchen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Kitchen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x v="2"/>
    <s v="Kitchen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x v="2"/>
    <s v="Kitchen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x v="2"/>
    <s v="Kitchen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x v="2"/>
    <s v="Kitchen"/>
    <n v="0"/>
    <n v="0"/>
    <n v="0"/>
    <n v="0"/>
    <n v="0"/>
    <n v="0"/>
    <n v="0"/>
    <n v="0"/>
    <n v="0"/>
    <n v="0"/>
    <n v="1863.46"/>
    <n v="1863.46"/>
    <n v="1863.46"/>
    <n v="1863.46"/>
    <n v="1863.46"/>
    <n v="1863.46"/>
    <n v="1863.46"/>
  </r>
  <r>
    <x v="2"/>
    <s v="Kitchen"/>
    <n v="0"/>
    <n v="0"/>
    <n v="0"/>
    <n v="0"/>
    <n v="2599.48"/>
    <n v="2599.48"/>
    <n v="2599.48"/>
    <n v="2599.48"/>
    <n v="2599.48"/>
    <n v="2599.48"/>
    <n v="2599.48"/>
    <n v="2599.48"/>
    <n v="2599.48"/>
    <n v="2599.48"/>
    <n v="2599.48"/>
    <n v="2599.48"/>
    <n v="2599.48"/>
  </r>
  <r>
    <x v="2"/>
    <s v="Kitchen"/>
    <n v="0"/>
    <n v="0"/>
    <n v="0"/>
    <n v="0"/>
    <n v="0"/>
    <n v="0"/>
    <n v="0"/>
    <n v="0"/>
    <n v="0"/>
    <n v="0"/>
    <n v="1373.54"/>
    <n v="1373.54"/>
    <n v="1373.54"/>
    <n v="1373.54"/>
    <n v="1373.54"/>
    <n v="1373.54"/>
    <n v="1373.54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0"/>
    <n v="0"/>
    <n v="0"/>
    <n v="0"/>
    <n v="0"/>
    <n v="0"/>
    <n v="0"/>
    <n v="212.75"/>
    <n v="212.75"/>
    <n v="212.75"/>
    <n v="212.75"/>
  </r>
  <r>
    <x v="2"/>
    <s v="Kitchen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x v="2"/>
    <s v="Kitchen"/>
    <n v="0"/>
    <n v="0"/>
    <n v="0"/>
    <n v="0"/>
    <n v="0"/>
    <n v="0"/>
    <n v="887.78"/>
    <n v="887.78"/>
    <n v="887.78"/>
    <n v="887.78"/>
    <n v="887.78"/>
    <n v="887.78"/>
    <n v="887.78"/>
    <n v="887.78"/>
    <n v="887.78"/>
    <n v="887.78"/>
    <n v="887.78"/>
  </r>
  <r>
    <x v="2"/>
    <s v="Kitchen"/>
    <n v="0"/>
    <n v="0"/>
    <n v="0"/>
    <n v="0"/>
    <n v="0"/>
    <n v="0"/>
    <n v="1034.55"/>
    <n v="1034.55"/>
    <n v="1034.55"/>
    <n v="1034.55"/>
    <n v="1034.55"/>
    <n v="1034.55"/>
    <n v="1034.55"/>
    <n v="1034.55"/>
    <n v="1034.55"/>
    <n v="1034.55"/>
    <n v="1034.55"/>
  </r>
  <r>
    <x v="2"/>
    <s v="Kitchen"/>
    <n v="0"/>
    <n v="0"/>
    <n v="0"/>
    <n v="0"/>
    <n v="637.64"/>
    <n v="637.64"/>
    <n v="637.64"/>
    <n v="637.64"/>
    <n v="637.64"/>
    <n v="637.64"/>
    <n v="637.64"/>
    <n v="637.64"/>
    <n v="637.64"/>
    <n v="637.64"/>
    <n v="637.64"/>
    <n v="637.64"/>
    <n v="637.64"/>
  </r>
  <r>
    <x v="2"/>
    <s v="Kitchen"/>
    <n v="0"/>
    <n v="0"/>
    <n v="0"/>
    <n v="330.625"/>
    <n v="330.625"/>
    <n v="330.625"/>
    <n v="330.625"/>
    <n v="330.625"/>
    <n v="661.25"/>
    <n v="661.25"/>
    <n v="661.25"/>
    <n v="1322.5"/>
    <n v="1322.5"/>
    <n v="1322.5"/>
    <n v="1322.5"/>
    <n v="1322.5"/>
    <n v="1322.5"/>
  </r>
  <r>
    <x v="2"/>
    <s v="Kitchen"/>
    <n v="0"/>
    <n v="0"/>
    <n v="0"/>
    <n v="39.85"/>
    <n v="39.85"/>
    <n v="39.85"/>
    <n v="39.85"/>
    <n v="39.85"/>
    <n v="39.85"/>
    <n v="39.85"/>
    <n v="39.85"/>
    <n v="39.85"/>
    <n v="39.85"/>
    <n v="39.85"/>
    <n v="39.85"/>
    <n v="39.85"/>
    <n v="39.85"/>
  </r>
  <r>
    <x v="2"/>
    <s v="Kitchen"/>
    <n v="0"/>
    <n v="0"/>
    <n v="0"/>
    <n v="93.97"/>
    <n v="93.97"/>
    <n v="93.97"/>
    <n v="93.97"/>
    <n v="93.97"/>
    <n v="93.97"/>
    <n v="93.97"/>
    <n v="93.97"/>
    <n v="93.97"/>
    <n v="93.97"/>
    <n v="93.97"/>
    <n v="93.97"/>
    <n v="93.97"/>
    <n v="93.97"/>
  </r>
  <r>
    <x v="2"/>
    <s v="Kitchen"/>
    <n v="0"/>
    <n v="0"/>
    <n v="0"/>
    <n v="105.65"/>
    <n v="105.65"/>
    <n v="105.65"/>
    <n v="105.65"/>
    <n v="105.65"/>
    <n v="211.3"/>
    <n v="211.3"/>
    <n v="211.3"/>
    <n v="422.6"/>
    <n v="422.6"/>
    <n v="422.6"/>
    <n v="422.6"/>
    <n v="422.6"/>
    <n v="422.6"/>
  </r>
  <r>
    <x v="2"/>
    <s v="Kitchen"/>
    <n v="0"/>
    <n v="0"/>
    <n v="0"/>
    <n v="0"/>
    <n v="0"/>
    <n v="0"/>
    <n v="0"/>
    <n v="0"/>
    <n v="0"/>
    <n v="0"/>
    <n v="0"/>
    <n v="0"/>
    <n v="0"/>
    <n v="0"/>
    <n v="133.32"/>
    <n v="133.32"/>
    <n v="133.32"/>
  </r>
  <r>
    <x v="2"/>
    <s v="Kitchen"/>
    <n v="0"/>
    <n v="0"/>
    <n v="0"/>
    <n v="140.87"/>
    <n v="140.87"/>
    <n v="140.87"/>
    <n v="140.87"/>
    <n v="140.87"/>
    <n v="140.87"/>
    <n v="140.87"/>
    <n v="140.87"/>
    <n v="140.87"/>
    <n v="140.87"/>
    <n v="140.87"/>
    <n v="140.87"/>
    <n v="140.87"/>
    <n v="140.87"/>
  </r>
  <r>
    <x v="2"/>
    <s v="Kitchen"/>
    <n v="0"/>
    <n v="0"/>
    <n v="0"/>
    <n v="86.23"/>
    <n v="86.23"/>
    <n v="86.23"/>
    <n v="86.23"/>
    <n v="86.23"/>
    <n v="86.23"/>
    <n v="86.23"/>
    <n v="86.23"/>
    <n v="86.23"/>
    <n v="86.23"/>
    <n v="86.23"/>
    <n v="86.23"/>
    <n v="86.23"/>
    <n v="86.23"/>
  </r>
  <r>
    <x v="2"/>
    <s v="Kitchen"/>
    <n v="0"/>
    <n v="0"/>
    <n v="0"/>
    <n v="65.97"/>
    <n v="65.97"/>
    <n v="65.97"/>
    <n v="65.97"/>
    <n v="65.97"/>
    <n v="65.97"/>
    <n v="65.97"/>
    <n v="65.97"/>
    <n v="65.97"/>
    <n v="65.97"/>
    <n v="65.97"/>
    <n v="65.97"/>
    <n v="65.97"/>
    <n v="65.97"/>
  </r>
  <r>
    <x v="2"/>
    <s v="Kitchen"/>
    <n v="0"/>
    <n v="0"/>
    <n v="0"/>
    <n v="290.44"/>
    <n v="290.44"/>
    <n v="290.44"/>
    <n v="290.44"/>
    <n v="290.44"/>
    <n v="290.44"/>
    <n v="290.44"/>
    <n v="290.44"/>
    <n v="290.44"/>
    <n v="290.44"/>
    <n v="290.44"/>
    <n v="290.44"/>
    <n v="290.44"/>
    <n v="290.44"/>
  </r>
  <r>
    <x v="2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2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2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2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Bedroom"/>
    <n v="0"/>
    <n v="0"/>
    <n v="0"/>
    <n v="0"/>
    <n v="606.52"/>
    <n v="606.52"/>
    <n v="606.52"/>
    <n v="606.52"/>
    <n v="606.52"/>
    <n v="606.52"/>
    <n v="606.52"/>
    <n v="606.52"/>
    <n v="606.52"/>
    <n v="606.52"/>
    <n v="606.52"/>
    <n v="606.52"/>
    <n v="606.52"/>
  </r>
  <r>
    <x v="2"/>
    <s v="Bedroom"/>
    <n v="0"/>
    <n v="0"/>
    <n v="0"/>
    <n v="314.495"/>
    <n v="314.495"/>
    <n v="314.495"/>
    <n v="314.495"/>
    <n v="314.495"/>
    <n v="628.99"/>
    <n v="628.99"/>
    <n v="628.99"/>
    <n v="1257.98"/>
    <n v="1257.98"/>
    <n v="1257.98"/>
    <n v="1257.98"/>
    <n v="1257.98"/>
    <n v="1257.98"/>
  </r>
  <r>
    <x v="2"/>
    <s v="Bedroom"/>
    <n v="0"/>
    <n v="0"/>
    <n v="0"/>
    <n v="178.78"/>
    <n v="178.78"/>
    <n v="178.78"/>
    <n v="178.78"/>
    <n v="178.78"/>
    <n v="178.78"/>
    <n v="178.78"/>
    <n v="178.78"/>
    <n v="178.78"/>
    <n v="178.78"/>
    <n v="178.78"/>
    <n v="178.78"/>
    <n v="178.78"/>
    <n v="178.78"/>
  </r>
  <r>
    <x v="2"/>
    <s v="Bedroom"/>
    <n v="0"/>
    <n v="0"/>
    <n v="0"/>
    <n v="95.82"/>
    <n v="95.82"/>
    <n v="95.82"/>
    <n v="95.82"/>
    <n v="95.82"/>
    <n v="191.64"/>
    <n v="191.64"/>
    <n v="191.64"/>
    <n v="383.28"/>
    <n v="383.28"/>
    <n v="383.28"/>
    <n v="383.28"/>
    <n v="383.28"/>
    <n v="383.28"/>
  </r>
  <r>
    <x v="2"/>
    <s v="Bedroom"/>
    <n v="0"/>
    <n v="0"/>
    <n v="0"/>
    <n v="0"/>
    <n v="0"/>
    <n v="0"/>
    <n v="0"/>
    <n v="0"/>
    <n v="0"/>
    <n v="0"/>
    <n v="0"/>
    <n v="0"/>
    <n v="0"/>
    <n v="0"/>
    <n v="120.92"/>
    <n v="120.92"/>
    <n v="120.92"/>
  </r>
  <r>
    <x v="2"/>
    <s v="Bedroom"/>
    <n v="0"/>
    <n v="0"/>
    <n v="0"/>
    <n v="127.77"/>
    <n v="127.77"/>
    <n v="127.77"/>
    <n v="127.77"/>
    <n v="127.77"/>
    <n v="127.77"/>
    <n v="127.77"/>
    <n v="127.77"/>
    <n v="127.77"/>
    <n v="127.77"/>
    <n v="127.77"/>
    <n v="127.77"/>
    <n v="127.77"/>
    <n v="127.77"/>
  </r>
  <r>
    <x v="2"/>
    <s v="Bedroom"/>
    <n v="0"/>
    <n v="0"/>
    <n v="0"/>
    <n v="78.16"/>
    <n v="78.16"/>
    <n v="78.16"/>
    <n v="78.16"/>
    <n v="78.16"/>
    <n v="78.16"/>
    <n v="78.16"/>
    <n v="78.16"/>
    <n v="78.16"/>
    <n v="78.16"/>
    <n v="78.16"/>
    <n v="78.16"/>
    <n v="78.16"/>
    <n v="78.16"/>
  </r>
  <r>
    <x v="2"/>
    <s v="Bedroom"/>
    <n v="0"/>
    <n v="0"/>
    <n v="0"/>
    <n v="59.83"/>
    <n v="59.83"/>
    <n v="59.83"/>
    <n v="59.83"/>
    <n v="59.83"/>
    <n v="59.83"/>
    <n v="59.83"/>
    <n v="59.83"/>
    <n v="59.83"/>
    <n v="59.83"/>
    <n v="59.83"/>
    <n v="59.83"/>
    <n v="59.83"/>
    <n v="59.83"/>
  </r>
  <r>
    <x v="2"/>
    <s v="Bedroom"/>
    <n v="0"/>
    <n v="0"/>
    <n v="0"/>
    <n v="263.42"/>
    <n v="263.42"/>
    <n v="263.42"/>
    <n v="263.42"/>
    <n v="263.42"/>
    <n v="263.42"/>
    <n v="263.42"/>
    <n v="263.42"/>
    <n v="263.42"/>
    <n v="263.42"/>
    <n v="263.42"/>
    <n v="263.42"/>
    <n v="263.42"/>
    <n v="263.42"/>
  </r>
  <r>
    <x v="2"/>
    <s v="Nook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Nook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Nook"/>
    <n v="0"/>
    <n v="0"/>
    <n v="0"/>
    <n v="0"/>
    <n v="425.11"/>
    <n v="425.11"/>
    <n v="425.11"/>
    <n v="425.11"/>
    <n v="425.11"/>
    <n v="425.11"/>
    <n v="425.11"/>
    <n v="425.11"/>
    <n v="425.11"/>
    <n v="425.11"/>
    <n v="425.11"/>
    <n v="425.11"/>
    <n v="425.11"/>
  </r>
  <r>
    <x v="2"/>
    <s v="Nook"/>
    <n v="0"/>
    <n v="0"/>
    <n v="0"/>
    <n v="220.41749999999999"/>
    <n v="220.41749999999999"/>
    <n v="220.41749999999999"/>
    <n v="220.41749999999999"/>
    <n v="220.41749999999999"/>
    <n v="440.83499999999998"/>
    <n v="440.83499999999998"/>
    <n v="440.83499999999998"/>
    <n v="881.67"/>
    <n v="881.67"/>
    <n v="881.67"/>
    <n v="881.67"/>
    <n v="881.67"/>
    <n v="881.67"/>
  </r>
  <r>
    <x v="2"/>
    <s v="Nook"/>
    <n v="0"/>
    <n v="0"/>
    <n v="0"/>
    <n v="125.28"/>
    <n v="125.28"/>
    <n v="125.28"/>
    <n v="125.28"/>
    <n v="125.28"/>
    <n v="125.28"/>
    <n v="125.28"/>
    <n v="125.28"/>
    <n v="125.28"/>
    <n v="125.28"/>
    <n v="125.28"/>
    <n v="125.28"/>
    <n v="125.28"/>
    <n v="125.28"/>
  </r>
  <r>
    <x v="2"/>
    <s v="Nook"/>
    <n v="0"/>
    <n v="0"/>
    <n v="0"/>
    <n v="46.055"/>
    <n v="46.055"/>
    <n v="46.055"/>
    <n v="46.055"/>
    <n v="46.055"/>
    <n v="92.11"/>
    <n v="92.11"/>
    <n v="92.11"/>
    <n v="184.22"/>
    <n v="184.22"/>
    <n v="184.22"/>
    <n v="184.22"/>
    <n v="184.22"/>
    <n v="184.22"/>
  </r>
  <r>
    <x v="2"/>
    <s v="Nook"/>
    <n v="0"/>
    <n v="0"/>
    <n v="0"/>
    <n v="0"/>
    <n v="0"/>
    <n v="0"/>
    <n v="0"/>
    <n v="0"/>
    <n v="0"/>
    <n v="0"/>
    <n v="0"/>
    <n v="0"/>
    <n v="0"/>
    <n v="0"/>
    <n v="58.11"/>
    <n v="58.11"/>
    <n v="58.11"/>
  </r>
  <r>
    <x v="2"/>
    <s v="Nook"/>
    <n v="0"/>
    <n v="0"/>
    <n v="0"/>
    <n v="61.41"/>
    <n v="61.41"/>
    <n v="61.41"/>
    <n v="61.41"/>
    <n v="61.41"/>
    <n v="61.41"/>
    <n v="61.41"/>
    <n v="61.41"/>
    <n v="61.41"/>
    <n v="61.41"/>
    <n v="61.41"/>
    <n v="61.41"/>
    <n v="61.41"/>
    <n v="61.41"/>
  </r>
  <r>
    <x v="2"/>
    <s v="Nook"/>
    <n v="0"/>
    <n v="0"/>
    <n v="0"/>
    <n v="37.58"/>
    <n v="37.58"/>
    <n v="37.58"/>
    <n v="37.58"/>
    <n v="37.58"/>
    <n v="37.58"/>
    <n v="37.58"/>
    <n v="37.58"/>
    <n v="37.58"/>
    <n v="37.58"/>
    <n v="37.58"/>
    <n v="37.58"/>
    <n v="37.58"/>
    <n v="37.58"/>
  </r>
  <r>
    <x v="2"/>
    <s v="Nook"/>
    <n v="0"/>
    <n v="0"/>
    <n v="0"/>
    <n v="28.76"/>
    <n v="28.76"/>
    <n v="28.76"/>
    <n v="28.76"/>
    <n v="28.76"/>
    <n v="28.76"/>
    <n v="28.76"/>
    <n v="28.76"/>
    <n v="28.76"/>
    <n v="28.76"/>
    <n v="28.76"/>
    <n v="28.76"/>
    <n v="28.76"/>
    <n v="28.76"/>
  </r>
  <r>
    <x v="2"/>
    <s v="Nook"/>
    <n v="0"/>
    <n v="0"/>
    <n v="0"/>
    <n v="126.62"/>
    <n v="126.62"/>
    <n v="126.62"/>
    <n v="126.62"/>
    <n v="126.62"/>
    <n v="126.62"/>
    <n v="126.62"/>
    <n v="126.62"/>
    <n v="126.62"/>
    <n v="126.62"/>
    <n v="126.62"/>
    <n v="126.62"/>
    <n v="126.62"/>
    <n v="126.62"/>
  </r>
  <r>
    <x v="2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Living Area"/>
    <n v="0"/>
    <n v="0"/>
    <n v="0"/>
    <n v="0"/>
    <n v="912.37"/>
    <n v="912.37"/>
    <n v="912.37"/>
    <n v="912.37"/>
    <n v="912.37"/>
    <n v="912.37"/>
    <n v="912.37"/>
    <n v="912.37"/>
    <n v="912.37"/>
    <n v="912.37"/>
    <n v="912.37"/>
    <n v="912.37"/>
    <n v="912.37"/>
  </r>
  <r>
    <x v="2"/>
    <s v="Living Area"/>
    <n v="0"/>
    <n v="0"/>
    <n v="0"/>
    <n v="473.08749999999998"/>
    <n v="473.08749999999998"/>
    <n v="473.08749999999998"/>
    <n v="473.08749999999998"/>
    <n v="473.08749999999998"/>
    <n v="946.17499999999995"/>
    <n v="946.17499999999995"/>
    <n v="946.17499999999995"/>
    <n v="1892.35"/>
    <n v="1892.35"/>
    <n v="1892.35"/>
    <n v="1892.35"/>
    <n v="1892.35"/>
    <n v="1892.35"/>
  </r>
  <r>
    <x v="2"/>
    <s v="Living Area"/>
    <n v="0"/>
    <n v="0"/>
    <n v="0"/>
    <n v="268.94"/>
    <n v="268.94"/>
    <n v="268.94"/>
    <n v="268.94"/>
    <n v="268.94"/>
    <n v="268.94"/>
    <n v="268.94"/>
    <n v="268.94"/>
    <n v="268.94"/>
    <n v="268.94"/>
    <n v="268.94"/>
    <n v="268.94"/>
    <n v="268.94"/>
    <n v="268.94"/>
  </r>
  <r>
    <x v="2"/>
    <s v="Living Area"/>
    <n v="0"/>
    <n v="0"/>
    <n v="0"/>
    <n v="208.255"/>
    <n v="208.255"/>
    <n v="208.255"/>
    <n v="208.255"/>
    <n v="208.255"/>
    <n v="416.51"/>
    <n v="416.51"/>
    <n v="416.51"/>
    <n v="833.02"/>
    <n v="833.02"/>
    <n v="833.02"/>
    <n v="833.02"/>
    <n v="833.02"/>
    <n v="833.02"/>
  </r>
  <r>
    <x v="2"/>
    <s v="Living Area"/>
    <n v="0"/>
    <n v="0"/>
    <n v="0"/>
    <n v="0"/>
    <n v="0"/>
    <n v="0"/>
    <n v="0"/>
    <n v="0"/>
    <n v="0"/>
    <n v="0"/>
    <n v="0"/>
    <n v="0"/>
    <n v="0"/>
    <n v="0"/>
    <n v="262.8"/>
    <n v="262.8"/>
    <n v="262.8"/>
  </r>
  <r>
    <x v="2"/>
    <s v="Living Area"/>
    <n v="0"/>
    <n v="0"/>
    <n v="0"/>
    <n v="277.67"/>
    <n v="277.67"/>
    <n v="277.67"/>
    <n v="277.67"/>
    <n v="277.67"/>
    <n v="277.67"/>
    <n v="277.67"/>
    <n v="277.67"/>
    <n v="277.67"/>
    <n v="277.67"/>
    <n v="277.67"/>
    <n v="277.67"/>
    <n v="277.67"/>
    <n v="277.67"/>
  </r>
  <r>
    <x v="2"/>
    <s v="Living Area"/>
    <n v="0"/>
    <n v="0"/>
    <n v="0"/>
    <n v="169.93"/>
    <n v="169.93"/>
    <n v="169.93"/>
    <n v="169.93"/>
    <n v="169.93"/>
    <n v="169.93"/>
    <n v="169.93"/>
    <n v="169.93"/>
    <n v="169.93"/>
    <n v="169.93"/>
    <n v="169.93"/>
    <n v="169.93"/>
    <n v="169.93"/>
    <n v="169.93"/>
  </r>
  <r>
    <x v="2"/>
    <s v="Living Area"/>
    <n v="0"/>
    <n v="0"/>
    <n v="0"/>
    <n v="130.03"/>
    <n v="130.03"/>
    <n v="130.03"/>
    <n v="130.03"/>
    <n v="130.03"/>
    <n v="130.03"/>
    <n v="130.03"/>
    <n v="130.03"/>
    <n v="130.03"/>
    <n v="130.03"/>
    <n v="130.03"/>
    <n v="130.03"/>
    <n v="130.03"/>
    <n v="130.03"/>
  </r>
  <r>
    <x v="2"/>
    <s v="Living Area"/>
    <n v="0"/>
    <n v="0"/>
    <n v="0"/>
    <n v="572.52"/>
    <n v="572.52"/>
    <n v="572.52"/>
    <n v="572.52"/>
    <n v="572.52"/>
    <n v="572.52"/>
    <n v="572.52"/>
    <n v="572.52"/>
    <n v="572.52"/>
    <n v="572.52"/>
    <n v="572.52"/>
    <n v="572.52"/>
    <n v="572.52"/>
    <n v="572.52"/>
  </r>
  <r>
    <x v="2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2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2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2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2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2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2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2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2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2"/>
    <s v="Full Bath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x v="2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2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2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2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2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2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2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2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2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2"/>
    <s v="Full Bath"/>
    <n v="0"/>
    <n v="0"/>
    <n v="0"/>
    <n v="0"/>
    <n v="396.58"/>
    <n v="396.58"/>
    <n v="396.58"/>
    <n v="396.58"/>
    <n v="396.58"/>
    <n v="396.58"/>
    <n v="396.58"/>
    <n v="396.58"/>
    <n v="396.58"/>
    <n v="396.58"/>
    <n v="396.58"/>
    <n v="396.58"/>
    <n v="396.58"/>
  </r>
  <r>
    <x v="2"/>
    <s v="Full Bath"/>
    <n v="0"/>
    <n v="0"/>
    <n v="0"/>
    <n v="205.63"/>
    <n v="205.63"/>
    <n v="205.63"/>
    <n v="205.63"/>
    <n v="205.63"/>
    <n v="411.26"/>
    <n v="411.26"/>
    <n v="411.26"/>
    <n v="822.52"/>
    <n v="822.52"/>
    <n v="822.52"/>
    <n v="822.52"/>
    <n v="822.52"/>
    <n v="822.52"/>
  </r>
  <r>
    <x v="2"/>
    <s v="Full Bath"/>
    <n v="0"/>
    <n v="0"/>
    <n v="0"/>
    <n v="24.8"/>
    <n v="24.8"/>
    <n v="24.8"/>
    <n v="24.8"/>
    <n v="24.8"/>
    <n v="24.8"/>
    <n v="24.8"/>
    <n v="24.8"/>
    <n v="24.8"/>
    <n v="24.8"/>
    <n v="24.8"/>
    <n v="24.8"/>
    <n v="24.8"/>
    <n v="24.8"/>
  </r>
  <r>
    <x v="2"/>
    <s v="Full Bath"/>
    <n v="0"/>
    <n v="0"/>
    <n v="0"/>
    <n v="58.45"/>
    <n v="58.45"/>
    <n v="58.45"/>
    <n v="58.45"/>
    <n v="58.45"/>
    <n v="58.45"/>
    <n v="58.45"/>
    <n v="58.45"/>
    <n v="58.45"/>
    <n v="58.45"/>
    <n v="58.45"/>
    <n v="58.45"/>
    <n v="58.45"/>
    <n v="58.45"/>
  </r>
  <r>
    <x v="2"/>
    <s v="Full Bath"/>
    <n v="0"/>
    <n v="0"/>
    <n v="0"/>
    <n v="38.817500000000003"/>
    <n v="38.817500000000003"/>
    <n v="38.817500000000003"/>
    <n v="38.817500000000003"/>
    <n v="38.817500000000003"/>
    <n v="77.635000000000005"/>
    <n v="77.635000000000005"/>
    <n v="77.635000000000005"/>
    <n v="155.27000000000001"/>
    <n v="155.27000000000001"/>
    <n v="155.27000000000001"/>
    <n v="155.27000000000001"/>
    <n v="155.27000000000001"/>
    <n v="155.27000000000001"/>
  </r>
  <r>
    <x v="2"/>
    <s v="Full Bath"/>
    <n v="0"/>
    <n v="0"/>
    <n v="0"/>
    <n v="0"/>
    <n v="0"/>
    <n v="0"/>
    <n v="0"/>
    <n v="0"/>
    <n v="0"/>
    <n v="0"/>
    <n v="0"/>
    <n v="0"/>
    <n v="0"/>
    <n v="0"/>
    <n v="48.98"/>
    <n v="48.98"/>
    <n v="48.98"/>
  </r>
  <r>
    <x v="2"/>
    <s v="Full Bath"/>
    <n v="0"/>
    <n v="0"/>
    <n v="0"/>
    <n v="51.75"/>
    <n v="51.75"/>
    <n v="51.75"/>
    <n v="51.75"/>
    <n v="51.75"/>
    <n v="51.75"/>
    <n v="51.75"/>
    <n v="51.75"/>
    <n v="51.75"/>
    <n v="51.75"/>
    <n v="51.75"/>
    <n v="51.75"/>
    <n v="51.75"/>
    <n v="51.75"/>
  </r>
  <r>
    <x v="2"/>
    <s v="Full Bath"/>
    <n v="0"/>
    <n v="0"/>
    <n v="0"/>
    <n v="31.68"/>
    <n v="31.68"/>
    <n v="31.68"/>
    <n v="31.68"/>
    <n v="31.68"/>
    <n v="31.68"/>
    <n v="31.68"/>
    <n v="31.68"/>
    <n v="31.68"/>
    <n v="31.68"/>
    <n v="31.68"/>
    <n v="31.68"/>
    <n v="31.68"/>
    <n v="31.68"/>
  </r>
  <r>
    <x v="2"/>
    <s v="Full Bath"/>
    <n v="0"/>
    <n v="0"/>
    <n v="0"/>
    <n v="24.24"/>
    <n v="24.24"/>
    <n v="24.24"/>
    <n v="24.24"/>
    <n v="24.24"/>
    <n v="24.24"/>
    <n v="24.24"/>
    <n v="24.24"/>
    <n v="24.24"/>
    <n v="24.24"/>
    <n v="24.24"/>
    <n v="24.24"/>
    <n v="24.24"/>
    <n v="24.24"/>
  </r>
  <r>
    <x v="2"/>
    <s v="Full Bath"/>
    <n v="0"/>
    <n v="0"/>
    <n v="0"/>
    <n v="106.71"/>
    <n v="106.71"/>
    <n v="106.71"/>
    <n v="106.71"/>
    <n v="106.71"/>
    <n v="106.71"/>
    <n v="106.71"/>
    <n v="106.71"/>
    <n v="106.71"/>
    <n v="106.71"/>
    <n v="106.71"/>
    <n v="106.71"/>
    <n v="106.71"/>
    <n v="106.71"/>
  </r>
  <r>
    <x v="2"/>
    <s v="general-main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general-main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x v="2"/>
    <s v="Hallway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Hallway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Hallway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Hallway"/>
    <n v="0"/>
    <n v="0"/>
    <n v="0"/>
    <n v="0"/>
    <n v="578.01"/>
    <n v="578.01"/>
    <n v="578.01"/>
    <n v="578.01"/>
    <n v="578.01"/>
    <n v="578.01"/>
    <n v="578.01"/>
    <n v="578.01"/>
    <n v="578.01"/>
    <n v="578.01"/>
    <n v="578.01"/>
    <n v="578.01"/>
    <n v="578.01"/>
  </r>
  <r>
    <x v="2"/>
    <s v="Hallway"/>
    <n v="0"/>
    <n v="0"/>
    <n v="0"/>
    <n v="299.70749999999998"/>
    <n v="299.70749999999998"/>
    <n v="299.70749999999998"/>
    <n v="299.70749999999998"/>
    <n v="299.70749999999998"/>
    <n v="599.41499999999996"/>
    <n v="599.41499999999996"/>
    <n v="599.41499999999996"/>
    <n v="1198.83"/>
    <n v="1198.83"/>
    <n v="1198.83"/>
    <n v="1198.83"/>
    <n v="1198.83"/>
    <n v="1198.83"/>
  </r>
  <r>
    <x v="2"/>
    <s v="Hallway"/>
    <n v="0"/>
    <n v="0"/>
    <n v="0"/>
    <n v="170.39"/>
    <n v="170.39"/>
    <n v="170.39"/>
    <n v="170.39"/>
    <n v="170.39"/>
    <n v="170.39"/>
    <n v="170.39"/>
    <n v="170.39"/>
    <n v="170.39"/>
    <n v="170.39"/>
    <n v="170.39"/>
    <n v="170.39"/>
    <n v="170.39"/>
    <n v="170.39"/>
  </r>
  <r>
    <x v="2"/>
    <s v="Hallway"/>
    <n v="0"/>
    <n v="0"/>
    <n v="0"/>
    <n v="57.9"/>
    <n v="57.9"/>
    <n v="57.9"/>
    <n v="57.9"/>
    <n v="57.9"/>
    <n v="115.8"/>
    <n v="115.8"/>
    <n v="115.8"/>
    <n v="231.6"/>
    <n v="231.6"/>
    <n v="231.6"/>
    <n v="231.6"/>
    <n v="231.6"/>
    <n v="231.6"/>
  </r>
  <r>
    <x v="2"/>
    <s v="Hallway"/>
    <n v="0"/>
    <n v="0"/>
    <n v="0"/>
    <n v="0"/>
    <n v="0"/>
    <n v="0"/>
    <n v="0"/>
    <n v="0"/>
    <n v="0"/>
    <n v="0"/>
    <n v="0"/>
    <n v="0"/>
    <n v="0"/>
    <n v="0"/>
    <n v="73.069999999999993"/>
    <n v="73.069999999999993"/>
    <n v="73.069999999999993"/>
  </r>
  <r>
    <x v="2"/>
    <s v="Hallway"/>
    <n v="0"/>
    <n v="0"/>
    <n v="0"/>
    <n v="77.19"/>
    <n v="77.19"/>
    <n v="77.19"/>
    <n v="77.19"/>
    <n v="77.19"/>
    <n v="77.19"/>
    <n v="77.19"/>
    <n v="77.19"/>
    <n v="77.19"/>
    <n v="77.19"/>
    <n v="77.19"/>
    <n v="77.19"/>
    <n v="77.19"/>
    <n v="77.19"/>
  </r>
  <r>
    <x v="2"/>
    <s v="Hallway"/>
    <n v="0"/>
    <n v="0"/>
    <n v="0"/>
    <n v="47.25"/>
    <n v="47.25"/>
    <n v="47.25"/>
    <n v="47.25"/>
    <n v="47.25"/>
    <n v="47.25"/>
    <n v="47.25"/>
    <n v="47.25"/>
    <n v="47.25"/>
    <n v="47.25"/>
    <n v="47.25"/>
    <n v="47.25"/>
    <n v="47.25"/>
    <n v="47.25"/>
  </r>
  <r>
    <x v="2"/>
    <s v="Hallway"/>
    <n v="0"/>
    <n v="0"/>
    <n v="0"/>
    <n v="36.14"/>
    <n v="36.14"/>
    <n v="36.14"/>
    <n v="36.14"/>
    <n v="36.14"/>
    <n v="36.14"/>
    <n v="36.14"/>
    <n v="36.14"/>
    <n v="36.14"/>
    <n v="36.14"/>
    <n v="36.14"/>
    <n v="36.14"/>
    <n v="36.14"/>
    <n v="36.14"/>
  </r>
  <r>
    <x v="2"/>
    <s v="Hallway"/>
    <n v="0"/>
    <n v="0"/>
    <n v="0"/>
    <n v="159.19"/>
    <n v="159.19"/>
    <n v="159.19"/>
    <n v="159.19"/>
    <n v="159.19"/>
    <n v="159.19"/>
    <n v="159.19"/>
    <n v="159.19"/>
    <n v="159.19"/>
    <n v="159.19"/>
    <n v="159.19"/>
    <n v="159.19"/>
    <n v="159.19"/>
    <n v="159.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87CB6E-E5F6-4441-ACCE-ABFF4455DB50}" name="grp3pivot" cacheId="20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L48" firstHeaderRow="1" firstDataRow="2" firstDataCol="1"/>
  <pivotFields count="19">
    <pivotField showAll="0"/>
    <pivotField axis="axisCol" showAll="0">
      <items count="11">
        <item x="0"/>
        <item x="1"/>
        <item x="2"/>
        <item x="8"/>
        <item x="3"/>
        <item x="4"/>
        <item x="5"/>
        <item x="6"/>
        <item x="7"/>
        <item x="9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874469-90DA-4046-8C9A-2AEBAD4DD7DD}" name="grp2pivot" cacheId="20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79086-EC9C-4DFD-83AB-906014ECA271}">
  <dimension ref="A1:J72"/>
  <sheetViews>
    <sheetView workbookViewId="0">
      <selection activeCell="F23" sqref="F23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14" customWidth="1"/>
    <col min="5" max="5" width="20.42578125" customWidth="1"/>
    <col min="7" max="7" width="26.42578125" style="115" customWidth="1"/>
    <col min="8" max="8" width="30.5703125" style="115" customWidth="1"/>
    <col min="9" max="9" width="17.42578125" customWidth="1"/>
    <col min="10" max="10" width="15.5703125" style="115" customWidth="1"/>
  </cols>
  <sheetData>
    <row r="1" spans="1:9" x14ac:dyDescent="0.25">
      <c r="C1" t="s">
        <v>164</v>
      </c>
      <c r="D1" s="114" t="s">
        <v>165</v>
      </c>
      <c r="E1" t="s">
        <v>166</v>
      </c>
      <c r="F1" t="s">
        <v>167</v>
      </c>
      <c r="G1" s="115" t="s">
        <v>168</v>
      </c>
      <c r="H1" s="115" t="s">
        <v>169</v>
      </c>
      <c r="I1" t="s">
        <v>170</v>
      </c>
    </row>
    <row r="2" spans="1:9" x14ac:dyDescent="0.25">
      <c r="A2" t="s">
        <v>171</v>
      </c>
      <c r="C2" t="s">
        <v>250</v>
      </c>
      <c r="D2" s="114" t="s">
        <v>172</v>
      </c>
      <c r="E2">
        <v>1</v>
      </c>
      <c r="F2" t="s">
        <v>243</v>
      </c>
      <c r="G2" s="115" t="s">
        <v>11</v>
      </c>
      <c r="H2" s="115" t="s">
        <v>196</v>
      </c>
      <c r="I2" t="s">
        <v>251</v>
      </c>
    </row>
    <row r="4" spans="1:9" x14ac:dyDescent="0.25">
      <c r="A4" t="s">
        <v>175</v>
      </c>
      <c r="C4" s="3"/>
    </row>
    <row r="5" spans="1:9" x14ac:dyDescent="0.25">
      <c r="C5" s="3"/>
    </row>
    <row r="6" spans="1:9" x14ac:dyDescent="0.25">
      <c r="C6" s="117"/>
      <c r="D6" s="116"/>
    </row>
    <row r="7" spans="1:9" x14ac:dyDescent="0.25">
      <c r="B7" t="s">
        <v>176</v>
      </c>
      <c r="C7" s="117" t="s">
        <v>177</v>
      </c>
    </row>
    <row r="8" spans="1:9" x14ac:dyDescent="0.25">
      <c r="B8" t="s">
        <v>178</v>
      </c>
      <c r="C8" s="3" t="s">
        <v>141</v>
      </c>
    </row>
    <row r="9" spans="1:9" x14ac:dyDescent="0.25">
      <c r="B9" t="s">
        <v>179</v>
      </c>
      <c r="C9" s="118">
        <v>0.1</v>
      </c>
    </row>
    <row r="10" spans="1:9" x14ac:dyDescent="0.25">
      <c r="B10" t="s">
        <v>180</v>
      </c>
      <c r="C10" s="118">
        <v>0.1</v>
      </c>
    </row>
    <row r="12" spans="1:9" x14ac:dyDescent="0.25">
      <c r="B12" s="1"/>
      <c r="C12" s="1"/>
    </row>
    <row r="15" spans="1:9" x14ac:dyDescent="0.25">
      <c r="A15" t="s">
        <v>181</v>
      </c>
    </row>
    <row r="16" spans="1:9" x14ac:dyDescent="0.25">
      <c r="C16" s="3" t="s">
        <v>182</v>
      </c>
      <c r="D16" s="114">
        <v>2000</v>
      </c>
    </row>
    <row r="17" spans="3:5" x14ac:dyDescent="0.25">
      <c r="C17" s="3" t="s">
        <v>183</v>
      </c>
      <c r="D17" s="114" t="s">
        <v>184</v>
      </c>
    </row>
    <row r="18" spans="3:5" x14ac:dyDescent="0.25">
      <c r="C18" s="3" t="s">
        <v>185</v>
      </c>
      <c r="D18" s="119">
        <v>900</v>
      </c>
    </row>
    <row r="19" spans="3:5" x14ac:dyDescent="0.25">
      <c r="C19" s="3" t="s">
        <v>186</v>
      </c>
      <c r="D19" s="114" t="s">
        <v>252</v>
      </c>
    </row>
    <row r="20" spans="3:5" x14ac:dyDescent="0.25">
      <c r="C20" s="3" t="s">
        <v>187</v>
      </c>
      <c r="D20" s="114" t="s">
        <v>252</v>
      </c>
    </row>
    <row r="21" spans="3:5" x14ac:dyDescent="0.25">
      <c r="C21" s="3" t="s">
        <v>188</v>
      </c>
      <c r="D21" s="114" t="s">
        <v>252</v>
      </c>
    </row>
    <row r="22" spans="3:5" x14ac:dyDescent="0.25">
      <c r="C22" s="3" t="s">
        <v>189</v>
      </c>
      <c r="D22" s="114" t="s">
        <v>252</v>
      </c>
    </row>
    <row r="24" spans="3:5" x14ac:dyDescent="0.25">
      <c r="C24" s="3" t="s">
        <v>190</v>
      </c>
      <c r="D24" s="114" t="s">
        <v>191</v>
      </c>
    </row>
    <row r="25" spans="3:5" x14ac:dyDescent="0.25">
      <c r="C25" s="3" t="s">
        <v>10</v>
      </c>
      <c r="D25" s="114">
        <v>1</v>
      </c>
    </row>
    <row r="26" spans="3:5" x14ac:dyDescent="0.25">
      <c r="C26" s="3" t="s">
        <v>192</v>
      </c>
      <c r="D26" s="114" t="s">
        <v>11</v>
      </c>
      <c r="E26" s="120">
        <v>1</v>
      </c>
    </row>
    <row r="27" spans="3:5" x14ac:dyDescent="0.25">
      <c r="C27" s="3" t="s">
        <v>193</v>
      </c>
      <c r="D27" s="121">
        <v>0</v>
      </c>
    </row>
    <row r="28" spans="3:5" x14ac:dyDescent="0.25">
      <c r="C28" s="3" t="s">
        <v>194</v>
      </c>
      <c r="D28" s="114" t="s">
        <v>141</v>
      </c>
    </row>
    <row r="29" spans="3:5" x14ac:dyDescent="0.25">
      <c r="C29" s="3" t="s">
        <v>195</v>
      </c>
      <c r="D29" s="114" t="s">
        <v>196</v>
      </c>
    </row>
    <row r="30" spans="3:5" x14ac:dyDescent="0.25">
      <c r="C30" s="3" t="s">
        <v>197</v>
      </c>
      <c r="D30" s="114" t="s">
        <v>174</v>
      </c>
    </row>
    <row r="31" spans="3:5" x14ac:dyDescent="0.25">
      <c r="C31" s="3" t="s">
        <v>198</v>
      </c>
      <c r="D31" s="114" t="s">
        <v>253</v>
      </c>
    </row>
    <row r="32" spans="3:5" x14ac:dyDescent="0.25">
      <c r="C32" s="3" t="s">
        <v>199</v>
      </c>
      <c r="D32" s="114" t="s">
        <v>254</v>
      </c>
    </row>
    <row r="33" spans="1:4" x14ac:dyDescent="0.25">
      <c r="C33" s="3" t="s">
        <v>200</v>
      </c>
      <c r="D33" s="114" t="s">
        <v>201</v>
      </c>
    </row>
    <row r="34" spans="1:4" x14ac:dyDescent="0.25">
      <c r="C34" s="3" t="s">
        <v>202</v>
      </c>
      <c r="D34" s="114" t="s">
        <v>255</v>
      </c>
    </row>
    <row r="35" spans="1:4" x14ac:dyDescent="0.25">
      <c r="C35" s="3" t="s">
        <v>203</v>
      </c>
      <c r="D35" s="114" t="s">
        <v>204</v>
      </c>
    </row>
    <row r="36" spans="1:4" x14ac:dyDescent="0.25">
      <c r="C36" s="3" t="s">
        <v>205</v>
      </c>
      <c r="D36" s="114" t="s">
        <v>141</v>
      </c>
    </row>
    <row r="37" spans="1:4" x14ac:dyDescent="0.25">
      <c r="C37" s="3" t="s">
        <v>206</v>
      </c>
      <c r="D37" s="114" t="s">
        <v>256</v>
      </c>
    </row>
    <row r="38" spans="1:4" x14ac:dyDescent="0.25">
      <c r="C38" s="3" t="s">
        <v>207</v>
      </c>
      <c r="D38" s="114" t="s">
        <v>208</v>
      </c>
    </row>
    <row r="39" spans="1:4" x14ac:dyDescent="0.25">
      <c r="C39" s="3"/>
    </row>
    <row r="40" spans="1:4" x14ac:dyDescent="0.25">
      <c r="A40" t="s">
        <v>209</v>
      </c>
    </row>
    <row r="41" spans="1:4" x14ac:dyDescent="0.25">
      <c r="C41" s="3" t="s">
        <v>210</v>
      </c>
      <c r="D41" s="114" t="s">
        <v>211</v>
      </c>
    </row>
    <row r="42" spans="1:4" x14ac:dyDescent="0.25">
      <c r="C42" s="3" t="s">
        <v>212</v>
      </c>
      <c r="D42" s="114" t="s">
        <v>213</v>
      </c>
    </row>
    <row r="43" spans="1:4" x14ac:dyDescent="0.25">
      <c r="C43" s="3" t="s">
        <v>214</v>
      </c>
      <c r="D43" s="114" t="s">
        <v>141</v>
      </c>
    </row>
    <row r="44" spans="1:4" x14ac:dyDescent="0.25">
      <c r="C44" s="3" t="s">
        <v>215</v>
      </c>
      <c r="D44" s="114" t="s">
        <v>141</v>
      </c>
    </row>
    <row r="45" spans="1:4" ht="30" x14ac:dyDescent="0.25">
      <c r="C45" s="3" t="s">
        <v>216</v>
      </c>
      <c r="D45" s="114" t="s">
        <v>217</v>
      </c>
    </row>
    <row r="46" spans="1:4" x14ac:dyDescent="0.25">
      <c r="C46" s="3" t="s">
        <v>218</v>
      </c>
      <c r="D46" s="114" t="s">
        <v>141</v>
      </c>
    </row>
    <row r="47" spans="1:4" x14ac:dyDescent="0.25">
      <c r="C47" s="3" t="s">
        <v>219</v>
      </c>
      <c r="D47" s="114" t="s">
        <v>141</v>
      </c>
    </row>
    <row r="48" spans="1:4" x14ac:dyDescent="0.25">
      <c r="A48" t="s">
        <v>209</v>
      </c>
    </row>
    <row r="49" spans="1:10" x14ac:dyDescent="0.25">
      <c r="C49" s="3" t="s">
        <v>220</v>
      </c>
      <c r="D49" s="114">
        <v>8</v>
      </c>
    </row>
    <row r="50" spans="1:10" x14ac:dyDescent="0.25">
      <c r="C50" s="3" t="s">
        <v>221</v>
      </c>
      <c r="D50" s="114" t="s">
        <v>257</v>
      </c>
    </row>
    <row r="51" spans="1:10" x14ac:dyDescent="0.25">
      <c r="C51" s="3" t="s">
        <v>222</v>
      </c>
      <c r="D51" s="114" t="s">
        <v>224</v>
      </c>
    </row>
    <row r="52" spans="1:10" x14ac:dyDescent="0.25">
      <c r="C52" s="3" t="s">
        <v>223</v>
      </c>
      <c r="D52" s="114" t="s">
        <v>224</v>
      </c>
    </row>
    <row r="53" spans="1:10" x14ac:dyDescent="0.25">
      <c r="C53" s="3" t="s">
        <v>225</v>
      </c>
      <c r="D53" s="114" t="s">
        <v>226</v>
      </c>
      <c r="E53" s="3" t="s">
        <v>11</v>
      </c>
    </row>
    <row r="54" spans="1:10" x14ac:dyDescent="0.25">
      <c r="C54" s="3" t="s">
        <v>227</v>
      </c>
      <c r="D54" s="114" t="s">
        <v>141</v>
      </c>
    </row>
    <row r="55" spans="1:10" x14ac:dyDescent="0.25">
      <c r="C55" s="3" t="s">
        <v>228</v>
      </c>
      <c r="D55" s="114" t="s">
        <v>141</v>
      </c>
    </row>
    <row r="56" spans="1:10" x14ac:dyDescent="0.25">
      <c r="C56" s="3" t="s">
        <v>229</v>
      </c>
      <c r="D56" s="114" t="s">
        <v>258</v>
      </c>
    </row>
    <row r="57" spans="1:10" x14ac:dyDescent="0.25">
      <c r="C57" s="3" t="s">
        <v>230</v>
      </c>
      <c r="D57" s="114" t="s">
        <v>141</v>
      </c>
    </row>
    <row r="58" spans="1:10" x14ac:dyDescent="0.25">
      <c r="C58" s="3" t="s">
        <v>231</v>
      </c>
      <c r="D58" s="114" t="s">
        <v>141</v>
      </c>
    </row>
    <row r="59" spans="1:10" x14ac:dyDescent="0.25">
      <c r="C59" s="3" t="s">
        <v>232</v>
      </c>
      <c r="D59" s="114" t="s">
        <v>141</v>
      </c>
    </row>
    <row r="60" spans="1:10" x14ac:dyDescent="0.25">
      <c r="C60" s="3" t="s">
        <v>233</v>
      </c>
      <c r="D60" s="114" t="s">
        <v>141</v>
      </c>
    </row>
    <row r="61" spans="1:10" x14ac:dyDescent="0.25">
      <c r="C61" s="3" t="s">
        <v>234</v>
      </c>
      <c r="D61" s="114" t="s">
        <v>141</v>
      </c>
    </row>
    <row r="63" spans="1:10" x14ac:dyDescent="0.25">
      <c r="A63" t="s">
        <v>142</v>
      </c>
      <c r="C63" s="3"/>
    </row>
    <row r="64" spans="1:10" ht="30" x14ac:dyDescent="0.25">
      <c r="B64" s="122" t="s">
        <v>235</v>
      </c>
      <c r="C64" s="122" t="s">
        <v>236</v>
      </c>
      <c r="D64" s="123" t="s">
        <v>165</v>
      </c>
      <c r="E64" s="123" t="s">
        <v>167</v>
      </c>
      <c r="F64" s="122" t="s">
        <v>237</v>
      </c>
      <c r="G64" s="123" t="s">
        <v>238</v>
      </c>
      <c r="H64" s="123" t="s">
        <v>239</v>
      </c>
      <c r="I64" s="122" t="s">
        <v>240</v>
      </c>
      <c r="J64" s="123" t="s">
        <v>241</v>
      </c>
    </row>
    <row r="65" spans="1:10" ht="45" x14ac:dyDescent="0.25">
      <c r="B65" t="s">
        <v>7</v>
      </c>
      <c r="C65" s="3" t="s">
        <v>12</v>
      </c>
      <c r="D65" s="114" t="s">
        <v>7</v>
      </c>
      <c r="E65" t="s">
        <v>173</v>
      </c>
      <c r="F65" t="s">
        <v>141</v>
      </c>
      <c r="G65" s="115" t="s">
        <v>141</v>
      </c>
      <c r="H65" s="115" t="s">
        <v>259</v>
      </c>
      <c r="I65" t="s">
        <v>260</v>
      </c>
      <c r="J65" s="115" t="s">
        <v>141</v>
      </c>
    </row>
    <row r="66" spans="1:10" ht="30" x14ac:dyDescent="0.25">
      <c r="B66" t="s">
        <v>242</v>
      </c>
      <c r="C66" s="3" t="s">
        <v>12</v>
      </c>
      <c r="D66" s="114" t="s">
        <v>13</v>
      </c>
      <c r="E66" t="s">
        <v>173</v>
      </c>
      <c r="F66" t="s">
        <v>141</v>
      </c>
      <c r="G66" s="115" t="s">
        <v>141</v>
      </c>
      <c r="H66" s="115" t="s">
        <v>261</v>
      </c>
      <c r="I66" t="s">
        <v>260</v>
      </c>
      <c r="J66" s="115" t="s">
        <v>141</v>
      </c>
    </row>
    <row r="67" spans="1:10" x14ac:dyDescent="0.25">
      <c r="B67" t="s">
        <v>4</v>
      </c>
      <c r="C67" s="3" t="s">
        <v>12</v>
      </c>
      <c r="D67" s="114" t="s">
        <v>4</v>
      </c>
      <c r="E67" t="s">
        <v>173</v>
      </c>
      <c r="F67" t="s">
        <v>141</v>
      </c>
      <c r="G67" t="s">
        <v>141</v>
      </c>
    </row>
    <row r="68" spans="1:10" x14ac:dyDescent="0.25">
      <c r="B68" t="s">
        <v>244</v>
      </c>
      <c r="C68" s="3" t="s">
        <v>12</v>
      </c>
      <c r="D68" s="114" t="s">
        <v>4</v>
      </c>
      <c r="E68" t="s">
        <v>173</v>
      </c>
      <c r="F68" t="s">
        <v>141</v>
      </c>
      <c r="G68" t="s">
        <v>141</v>
      </c>
    </row>
    <row r="69" spans="1:10" x14ac:dyDescent="0.25">
      <c r="B69" t="s">
        <v>245</v>
      </c>
      <c r="C69" s="3" t="s">
        <v>12</v>
      </c>
      <c r="D69" s="114" t="s">
        <v>14</v>
      </c>
      <c r="E69" t="s">
        <v>173</v>
      </c>
      <c r="F69" t="s">
        <v>141</v>
      </c>
      <c r="G69" t="s">
        <v>141</v>
      </c>
    </row>
    <row r="70" spans="1:10" s="115" customFormat="1" x14ac:dyDescent="0.25">
      <c r="A70"/>
      <c r="B70" t="s">
        <v>6</v>
      </c>
      <c r="C70" s="3" t="s">
        <v>12</v>
      </c>
      <c r="D70" s="114" t="s">
        <v>6</v>
      </c>
      <c r="E70" t="s">
        <v>173</v>
      </c>
      <c r="F70" t="s">
        <v>141</v>
      </c>
      <c r="G70" t="s">
        <v>141</v>
      </c>
      <c r="I70"/>
    </row>
    <row r="71" spans="1:10" s="115" customFormat="1" x14ac:dyDescent="0.25">
      <c r="A71"/>
      <c r="B71" t="s">
        <v>5</v>
      </c>
      <c r="C71" s="3" t="s">
        <v>12</v>
      </c>
      <c r="D71" s="114" t="s">
        <v>5</v>
      </c>
      <c r="E71" t="s">
        <v>243</v>
      </c>
      <c r="F71" t="s">
        <v>141</v>
      </c>
      <c r="G71" t="s">
        <v>141</v>
      </c>
      <c r="I71"/>
    </row>
    <row r="72" spans="1:10" s="115" customFormat="1" x14ac:dyDescent="0.25">
      <c r="A72"/>
      <c r="B72" t="s">
        <v>246</v>
      </c>
      <c r="C72" s="3" t="s">
        <v>12</v>
      </c>
      <c r="D72" s="114" t="s">
        <v>15</v>
      </c>
      <c r="E72" t="s">
        <v>243</v>
      </c>
      <c r="F72" t="s">
        <v>141</v>
      </c>
      <c r="G72" t="s">
        <v>141</v>
      </c>
      <c r="I72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25756-671B-49BE-A358-67AE9501F0B1}">
  <dimension ref="A1:B55"/>
  <sheetViews>
    <sheetView workbookViewId="0">
      <selection activeCell="G30" sqref="G30"/>
    </sheetView>
  </sheetViews>
  <sheetFormatPr defaultRowHeight="15" x14ac:dyDescent="0.25"/>
  <cols>
    <col min="1" max="1" width="20.140625" bestFit="1" customWidth="1"/>
    <col min="2" max="2" width="32.140625" bestFit="1" customWidth="1"/>
  </cols>
  <sheetData>
    <row r="1" spans="1:2" x14ac:dyDescent="0.25">
      <c r="A1" s="63" t="s">
        <v>19</v>
      </c>
      <c r="B1" s="64" t="s">
        <v>558</v>
      </c>
    </row>
    <row r="2" spans="1:2" x14ac:dyDescent="0.25">
      <c r="A2" s="33" t="s">
        <v>113</v>
      </c>
      <c r="B2" s="55" t="s">
        <v>250</v>
      </c>
    </row>
    <row r="3" spans="1:2" x14ac:dyDescent="0.25">
      <c r="A3" s="33" t="s">
        <v>102</v>
      </c>
      <c r="B3" s="55" t="s">
        <v>172</v>
      </c>
    </row>
    <row r="4" spans="1:2" x14ac:dyDescent="0.25">
      <c r="A4" s="33" t="s">
        <v>115</v>
      </c>
      <c r="B4" s="55">
        <v>1</v>
      </c>
    </row>
    <row r="5" spans="1:2" x14ac:dyDescent="0.25">
      <c r="A5" s="33" t="s">
        <v>114</v>
      </c>
      <c r="B5" s="55" t="s">
        <v>243</v>
      </c>
    </row>
    <row r="6" spans="1:2" x14ac:dyDescent="0.25">
      <c r="A6" s="33" t="s">
        <v>116</v>
      </c>
      <c r="B6" s="55" t="s">
        <v>11</v>
      </c>
    </row>
    <row r="7" spans="1:2" x14ac:dyDescent="0.25">
      <c r="A7" s="33" t="s">
        <v>117</v>
      </c>
      <c r="B7" s="55" t="s">
        <v>196</v>
      </c>
    </row>
    <row r="8" spans="1:2" x14ac:dyDescent="0.25">
      <c r="A8" s="33" t="s">
        <v>21</v>
      </c>
      <c r="B8" s="55" t="s">
        <v>251</v>
      </c>
    </row>
    <row r="9" spans="1:2" x14ac:dyDescent="0.25">
      <c r="A9" s="33" t="s">
        <v>20</v>
      </c>
      <c r="B9" s="55" t="s">
        <v>263</v>
      </c>
    </row>
    <row r="10" spans="1:2" x14ac:dyDescent="0.25">
      <c r="A10" s="33" t="s">
        <v>118</v>
      </c>
      <c r="B10" s="55" t="s">
        <v>79</v>
      </c>
    </row>
    <row r="11" spans="1:2" x14ac:dyDescent="0.25">
      <c r="A11" s="33" t="s">
        <v>119</v>
      </c>
      <c r="B11" s="56">
        <v>45176</v>
      </c>
    </row>
    <row r="12" spans="1:2" x14ac:dyDescent="0.25">
      <c r="A12" s="33" t="s">
        <v>120</v>
      </c>
      <c r="B12" s="55" t="s">
        <v>533</v>
      </c>
    </row>
    <row r="13" spans="1:2" x14ac:dyDescent="0.25">
      <c r="A13" s="89" t="s">
        <v>140</v>
      </c>
      <c r="B13" s="55" t="s">
        <v>141</v>
      </c>
    </row>
    <row r="14" spans="1:2" x14ac:dyDescent="0.25">
      <c r="A14" s="33" t="s">
        <v>121</v>
      </c>
      <c r="B14" s="55" t="s">
        <v>226</v>
      </c>
    </row>
    <row r="15" spans="1:2" x14ac:dyDescent="0.25">
      <c r="A15" s="33" t="s">
        <v>122</v>
      </c>
      <c r="B15" s="55" t="s">
        <v>141</v>
      </c>
    </row>
    <row r="16" spans="1:2" x14ac:dyDescent="0.25">
      <c r="A16" s="33" t="s">
        <v>123</v>
      </c>
      <c r="B16" s="55">
        <v>900</v>
      </c>
    </row>
    <row r="17" spans="1:2" x14ac:dyDescent="0.25">
      <c r="A17" s="33" t="s">
        <v>124</v>
      </c>
      <c r="B17" s="55">
        <v>83.61</v>
      </c>
    </row>
    <row r="18" spans="1:2" x14ac:dyDescent="0.25">
      <c r="A18" s="33" t="s">
        <v>125</v>
      </c>
      <c r="B18" s="55" t="s">
        <v>559</v>
      </c>
    </row>
    <row r="19" spans="1:2" x14ac:dyDescent="0.25">
      <c r="A19" s="33" t="s">
        <v>126</v>
      </c>
      <c r="B19" s="55" t="s">
        <v>560</v>
      </c>
    </row>
    <row r="20" spans="1:2" x14ac:dyDescent="0.25">
      <c r="A20" s="33" t="s">
        <v>128</v>
      </c>
      <c r="B20" s="55" t="s">
        <v>11</v>
      </c>
    </row>
    <row r="21" spans="1:2" x14ac:dyDescent="0.25">
      <c r="A21" s="33" t="s">
        <v>129</v>
      </c>
      <c r="B21" s="55" t="s">
        <v>141</v>
      </c>
    </row>
    <row r="22" spans="1:2" x14ac:dyDescent="0.25">
      <c r="A22" s="33" t="s">
        <v>130</v>
      </c>
      <c r="B22" s="55">
        <v>1</v>
      </c>
    </row>
    <row r="23" spans="1:2" x14ac:dyDescent="0.25">
      <c r="A23" s="33" t="s">
        <v>131</v>
      </c>
      <c r="B23" s="61">
        <v>2.7</v>
      </c>
    </row>
    <row r="24" spans="1:2" x14ac:dyDescent="0.25">
      <c r="A24" s="60" t="s">
        <v>139</v>
      </c>
      <c r="B24" s="88" t="s">
        <v>158</v>
      </c>
    </row>
    <row r="25" spans="1:2" x14ac:dyDescent="0.25">
      <c r="A25" s="63" t="s">
        <v>22</v>
      </c>
      <c r="B25" s="63" t="s">
        <v>561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6483.8829999999998</v>
      </c>
    </row>
    <row r="28" spans="1:2" x14ac:dyDescent="0.25">
      <c r="A28" s="54">
        <v>-2.6500000000000004</v>
      </c>
      <c r="B28" s="53">
        <v>7144.4030000000002</v>
      </c>
    </row>
    <row r="29" spans="1:2" x14ac:dyDescent="0.25">
      <c r="A29" s="54">
        <v>-2.6</v>
      </c>
      <c r="B29" s="53">
        <v>8721.4229999999989</v>
      </c>
    </row>
    <row r="30" spans="1:2" x14ac:dyDescent="0.25">
      <c r="A30" s="54">
        <v>-2.5500000000000003</v>
      </c>
      <c r="B30" s="53">
        <v>12466.473</v>
      </c>
    </row>
    <row r="31" spans="1:2" x14ac:dyDescent="0.25">
      <c r="A31" s="54">
        <v>-2.4000000000000004</v>
      </c>
      <c r="B31" s="53">
        <v>12466.473</v>
      </c>
    </row>
    <row r="32" spans="1:2" x14ac:dyDescent="0.25">
      <c r="A32" s="54">
        <v>-2.2400000000000002</v>
      </c>
      <c r="B32" s="53">
        <v>14724.660499999998</v>
      </c>
    </row>
    <row r="33" spans="1:2" x14ac:dyDescent="0.25">
      <c r="A33" s="54">
        <v>-2.0900000000000003</v>
      </c>
      <c r="B33" s="53">
        <v>14724.660499999998</v>
      </c>
    </row>
    <row r="34" spans="1:2" x14ac:dyDescent="0.25">
      <c r="A34" s="54">
        <v>-1.9400000000000002</v>
      </c>
      <c r="B34" s="53">
        <v>14774.190500000001</v>
      </c>
    </row>
    <row r="35" spans="1:2" x14ac:dyDescent="0.25">
      <c r="A35" s="54">
        <v>-1.79</v>
      </c>
      <c r="B35" s="53">
        <v>16484.755499999999</v>
      </c>
    </row>
    <row r="36" spans="1:2" x14ac:dyDescent="0.25">
      <c r="A36" s="54">
        <v>-1.6800000000000002</v>
      </c>
      <c r="B36" s="53">
        <v>17872.890499999998</v>
      </c>
    </row>
    <row r="37" spans="1:2" x14ac:dyDescent="0.25">
      <c r="A37" s="54">
        <v>-1.4800000000000002</v>
      </c>
      <c r="B37" s="53">
        <v>18085.9205</v>
      </c>
    </row>
    <row r="38" spans="1:2" x14ac:dyDescent="0.25">
      <c r="A38" s="54">
        <v>-1.1800000000000002</v>
      </c>
      <c r="B38" s="53">
        <v>18178.075499999999</v>
      </c>
    </row>
    <row r="39" spans="1:2" x14ac:dyDescent="0.25">
      <c r="A39" s="54">
        <v>-0.87000000000000011</v>
      </c>
      <c r="B39" s="53">
        <v>22908.245499999997</v>
      </c>
    </row>
    <row r="40" spans="1:2" x14ac:dyDescent="0.25">
      <c r="A40" s="54">
        <v>0</v>
      </c>
      <c r="B40" s="53">
        <v>22908.245499999997</v>
      </c>
    </row>
    <row r="41" spans="1:2" x14ac:dyDescent="0.25">
      <c r="A41" s="54">
        <v>0.03</v>
      </c>
      <c r="B41" s="53">
        <v>46568.137499999997</v>
      </c>
    </row>
    <row r="42" spans="1:2" x14ac:dyDescent="0.25">
      <c r="A42" s="54">
        <v>0.05</v>
      </c>
      <c r="B42" s="53">
        <v>57742.607500000006</v>
      </c>
    </row>
    <row r="43" spans="1:2" x14ac:dyDescent="0.25">
      <c r="A43" s="54">
        <v>0.1</v>
      </c>
      <c r="B43" s="53">
        <v>59592.867499999993</v>
      </c>
    </row>
    <row r="44" spans="1:2" x14ac:dyDescent="0.25">
      <c r="A44" s="54">
        <v>0.15</v>
      </c>
      <c r="B44" s="53">
        <v>62305.147499999985</v>
      </c>
    </row>
    <row r="45" spans="1:2" x14ac:dyDescent="0.25">
      <c r="A45" s="54">
        <v>0.3</v>
      </c>
      <c r="B45" s="53">
        <v>62305.147499999985</v>
      </c>
    </row>
    <row r="46" spans="1:2" x14ac:dyDescent="0.25">
      <c r="A46" s="54">
        <v>0.46</v>
      </c>
      <c r="B46" s="53">
        <v>68515.434999999969</v>
      </c>
    </row>
    <row r="47" spans="1:2" x14ac:dyDescent="0.25">
      <c r="A47" s="54">
        <v>0.61</v>
      </c>
      <c r="B47" s="53">
        <v>70093.574999999983</v>
      </c>
    </row>
    <row r="48" spans="1:2" x14ac:dyDescent="0.25">
      <c r="A48" s="54">
        <v>0.76</v>
      </c>
      <c r="B48" s="53">
        <v>74458.13499999998</v>
      </c>
    </row>
    <row r="49" spans="1:2" x14ac:dyDescent="0.25">
      <c r="A49" s="54">
        <v>0.91</v>
      </c>
      <c r="B49" s="53">
        <v>87021.609999999957</v>
      </c>
    </row>
    <row r="50" spans="1:2" x14ac:dyDescent="0.25">
      <c r="A50" s="54">
        <v>1.02</v>
      </c>
      <c r="B50" s="53">
        <v>88532.15499999997</v>
      </c>
    </row>
    <row r="51" spans="1:2" x14ac:dyDescent="0.25">
      <c r="A51" s="54">
        <v>1.22</v>
      </c>
      <c r="B51" s="53">
        <v>89010.934999999969</v>
      </c>
    </row>
    <row r="52" spans="1:2" x14ac:dyDescent="0.25">
      <c r="A52" s="54">
        <v>1.52</v>
      </c>
      <c r="B52" s="53">
        <v>91253.049999999959</v>
      </c>
    </row>
    <row r="53" spans="1:2" x14ac:dyDescent="0.25">
      <c r="A53" s="54">
        <v>1.83</v>
      </c>
      <c r="B53" s="53">
        <v>91253.049999999959</v>
      </c>
    </row>
    <row r="54" spans="1:2" x14ac:dyDescent="0.25">
      <c r="A54" s="92">
        <v>2.7</v>
      </c>
      <c r="B54" s="87">
        <v>91253.049999999959</v>
      </c>
    </row>
    <row r="55" spans="1:2" x14ac:dyDescent="0.25">
      <c r="A55" s="90"/>
      <c r="B55" s="9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3D3EE-84C6-42AD-B241-420A3FAB1131}">
  <dimension ref="A1:B55"/>
  <sheetViews>
    <sheetView workbookViewId="0">
      <selection activeCell="G30" sqref="G30"/>
    </sheetView>
  </sheetViews>
  <sheetFormatPr defaultRowHeight="15" x14ac:dyDescent="0.25"/>
  <cols>
    <col min="1" max="1" width="20.140625" bestFit="1" customWidth="1"/>
    <col min="2" max="2" width="32.140625" bestFit="1" customWidth="1"/>
  </cols>
  <sheetData>
    <row r="1" spans="1:2" x14ac:dyDescent="0.25">
      <c r="A1" s="63" t="s">
        <v>19</v>
      </c>
      <c r="B1" s="64" t="s">
        <v>563</v>
      </c>
    </row>
    <row r="2" spans="1:2" x14ac:dyDescent="0.25">
      <c r="A2" s="33" t="s">
        <v>113</v>
      </c>
      <c r="B2" s="55" t="s">
        <v>250</v>
      </c>
    </row>
    <row r="3" spans="1:2" x14ac:dyDescent="0.25">
      <c r="A3" s="33" t="s">
        <v>102</v>
      </c>
      <c r="B3" s="55" t="s">
        <v>172</v>
      </c>
    </row>
    <row r="4" spans="1:2" x14ac:dyDescent="0.25">
      <c r="A4" s="33" t="s">
        <v>115</v>
      </c>
      <c r="B4" s="55">
        <v>1</v>
      </c>
    </row>
    <row r="5" spans="1:2" x14ac:dyDescent="0.25">
      <c r="A5" s="33" t="s">
        <v>114</v>
      </c>
      <c r="B5" s="55" t="s">
        <v>243</v>
      </c>
    </row>
    <row r="6" spans="1:2" x14ac:dyDescent="0.25">
      <c r="A6" s="33" t="s">
        <v>116</v>
      </c>
      <c r="B6" s="55" t="s">
        <v>11</v>
      </c>
    </row>
    <row r="7" spans="1:2" x14ac:dyDescent="0.25">
      <c r="A7" s="33" t="s">
        <v>117</v>
      </c>
      <c r="B7" s="55" t="s">
        <v>196</v>
      </c>
    </row>
    <row r="8" spans="1:2" x14ac:dyDescent="0.25">
      <c r="A8" s="33" t="s">
        <v>21</v>
      </c>
      <c r="B8" s="55" t="s">
        <v>251</v>
      </c>
    </row>
    <row r="9" spans="1:2" x14ac:dyDescent="0.25">
      <c r="A9" s="33" t="s">
        <v>20</v>
      </c>
      <c r="B9" s="55" t="s">
        <v>263</v>
      </c>
    </row>
    <row r="10" spans="1:2" x14ac:dyDescent="0.25">
      <c r="A10" s="33" t="s">
        <v>118</v>
      </c>
      <c r="B10" s="55" t="s">
        <v>79</v>
      </c>
    </row>
    <row r="11" spans="1:2" x14ac:dyDescent="0.25">
      <c r="A11" s="33" t="s">
        <v>119</v>
      </c>
      <c r="B11" s="56">
        <v>45176</v>
      </c>
    </row>
    <row r="12" spans="1:2" x14ac:dyDescent="0.25">
      <c r="A12" s="33" t="s">
        <v>120</v>
      </c>
      <c r="B12" s="55" t="s">
        <v>533</v>
      </c>
    </row>
    <row r="13" spans="1:2" x14ac:dyDescent="0.25">
      <c r="A13" s="89" t="s">
        <v>140</v>
      </c>
      <c r="B13" s="55" t="s">
        <v>141</v>
      </c>
    </row>
    <row r="14" spans="1:2" x14ac:dyDescent="0.25">
      <c r="A14" s="33" t="s">
        <v>121</v>
      </c>
      <c r="B14" s="55" t="s">
        <v>226</v>
      </c>
    </row>
    <row r="15" spans="1:2" x14ac:dyDescent="0.25">
      <c r="A15" s="33" t="s">
        <v>122</v>
      </c>
      <c r="B15" s="55" t="s">
        <v>141</v>
      </c>
    </row>
    <row r="16" spans="1:2" x14ac:dyDescent="0.25">
      <c r="A16" s="33" t="s">
        <v>123</v>
      </c>
      <c r="B16" s="55">
        <v>900</v>
      </c>
    </row>
    <row r="17" spans="1:2" x14ac:dyDescent="0.25">
      <c r="A17" s="33" t="s">
        <v>124</v>
      </c>
      <c r="B17" s="55">
        <v>83.61</v>
      </c>
    </row>
    <row r="18" spans="1:2" x14ac:dyDescent="0.25">
      <c r="A18" s="33" t="s">
        <v>125</v>
      </c>
      <c r="B18" s="55" t="s">
        <v>559</v>
      </c>
    </row>
    <row r="19" spans="1:2" x14ac:dyDescent="0.25">
      <c r="A19" s="33" t="s">
        <v>126</v>
      </c>
      <c r="B19" s="55" t="s">
        <v>560</v>
      </c>
    </row>
    <row r="20" spans="1:2" x14ac:dyDescent="0.25">
      <c r="A20" s="33" t="s">
        <v>128</v>
      </c>
      <c r="B20" s="55" t="s">
        <v>11</v>
      </c>
    </row>
    <row r="21" spans="1:2" x14ac:dyDescent="0.25">
      <c r="A21" s="33" t="s">
        <v>129</v>
      </c>
      <c r="B21" s="55" t="s">
        <v>141</v>
      </c>
    </row>
    <row r="22" spans="1:2" x14ac:dyDescent="0.25">
      <c r="A22" s="33" t="s">
        <v>130</v>
      </c>
      <c r="B22" s="55">
        <v>1</v>
      </c>
    </row>
    <row r="23" spans="1:2" x14ac:dyDescent="0.25">
      <c r="A23" s="33" t="s">
        <v>131</v>
      </c>
      <c r="B23" s="61">
        <v>2.7</v>
      </c>
    </row>
    <row r="24" spans="1:2" x14ac:dyDescent="0.25">
      <c r="A24" s="60" t="s">
        <v>139</v>
      </c>
      <c r="B24" s="88" t="s">
        <v>159</v>
      </c>
    </row>
    <row r="25" spans="1:2" x14ac:dyDescent="0.25">
      <c r="A25" s="63" t="s">
        <v>22</v>
      </c>
      <c r="B25" s="63" t="s">
        <v>561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77.546628682006443</v>
      </c>
    </row>
    <row r="28" spans="1:2" x14ac:dyDescent="0.25">
      <c r="A28" s="54">
        <v>-2.6500000000000004</v>
      </c>
      <c r="B28" s="53">
        <v>85.446385537125337</v>
      </c>
    </row>
    <row r="29" spans="1:2" x14ac:dyDescent="0.25">
      <c r="A29" s="54">
        <v>-2.6</v>
      </c>
      <c r="B29" s="53">
        <v>104.30739588603164</v>
      </c>
    </row>
    <row r="30" spans="1:2" x14ac:dyDescent="0.25">
      <c r="A30" s="54">
        <v>-2.5500000000000003</v>
      </c>
      <c r="B30" s="53">
        <v>149.09784039984356</v>
      </c>
    </row>
    <row r="31" spans="1:2" x14ac:dyDescent="0.25">
      <c r="A31" s="54">
        <v>-2.4000000000000004</v>
      </c>
      <c r="B31" s="53">
        <v>149.09784039984356</v>
      </c>
    </row>
    <row r="32" spans="1:2" x14ac:dyDescent="0.25">
      <c r="A32" s="54">
        <v>-2.2400000000000002</v>
      </c>
      <c r="B32" s="53">
        <v>176.10554975500131</v>
      </c>
    </row>
    <row r="33" spans="1:2" x14ac:dyDescent="0.25">
      <c r="A33" s="54">
        <v>-2.0900000000000003</v>
      </c>
      <c r="B33" s="53">
        <v>176.10554975500131</v>
      </c>
    </row>
    <row r="34" spans="1:2" x14ac:dyDescent="0.25">
      <c r="A34" s="54">
        <v>-1.9400000000000002</v>
      </c>
      <c r="B34" s="53">
        <v>176.69792387998473</v>
      </c>
    </row>
    <row r="35" spans="1:2" x14ac:dyDescent="0.25">
      <c r="A35" s="54">
        <v>-1.79</v>
      </c>
      <c r="B35" s="53">
        <v>197.15611982390234</v>
      </c>
    </row>
    <row r="36" spans="1:2" x14ac:dyDescent="0.25">
      <c r="A36" s="54">
        <v>-1.6800000000000002</v>
      </c>
      <c r="B36" s="53">
        <v>213.75808340120577</v>
      </c>
    </row>
    <row r="37" spans="1:2" x14ac:dyDescent="0.25">
      <c r="A37" s="54">
        <v>-1.4800000000000002</v>
      </c>
      <c r="B37" s="53">
        <v>216.30590209382066</v>
      </c>
    </row>
    <row r="38" spans="1:2" x14ac:dyDescent="0.25">
      <c r="A38" s="54">
        <v>-1.1800000000000002</v>
      </c>
      <c r="B38" s="53">
        <v>217.40806719553368</v>
      </c>
    </row>
    <row r="39" spans="1:2" x14ac:dyDescent="0.25">
      <c r="A39" s="54">
        <v>-0.87000000000000011</v>
      </c>
      <c r="B39" s="53">
        <v>273.98045392625755</v>
      </c>
    </row>
    <row r="40" spans="1:2" x14ac:dyDescent="0.25">
      <c r="A40" s="54">
        <v>0</v>
      </c>
      <c r="B40" s="53">
        <v>273.98045392625755</v>
      </c>
    </row>
    <row r="41" spans="1:2" x14ac:dyDescent="0.25">
      <c r="A41" s="54">
        <v>0.03</v>
      </c>
      <c r="B41" s="53">
        <v>556.95052904642466</v>
      </c>
    </row>
    <row r="42" spans="1:2" x14ac:dyDescent="0.25">
      <c r="A42" s="54">
        <v>0.05</v>
      </c>
      <c r="B42" s="53">
        <v>690.59613551529856</v>
      </c>
    </row>
    <row r="43" spans="1:2" x14ac:dyDescent="0.25">
      <c r="A43" s="54">
        <v>0.1</v>
      </c>
      <c r="B43" s="53">
        <v>712.7250704737437</v>
      </c>
    </row>
    <row r="44" spans="1:2" x14ac:dyDescent="0.25">
      <c r="A44" s="54">
        <v>0.15</v>
      </c>
      <c r="B44" s="53">
        <v>745.16368326821146</v>
      </c>
    </row>
    <row r="45" spans="1:2" x14ac:dyDescent="0.25">
      <c r="A45" s="54">
        <v>0.3</v>
      </c>
      <c r="B45" s="53">
        <v>745.16368326821146</v>
      </c>
    </row>
    <row r="46" spans="1:2" x14ac:dyDescent="0.25">
      <c r="A46" s="54">
        <v>0.46</v>
      </c>
      <c r="B46" s="53">
        <v>819.43813559423347</v>
      </c>
    </row>
    <row r="47" spans="1:2" x14ac:dyDescent="0.25">
      <c r="A47" s="54">
        <v>0.61</v>
      </c>
      <c r="B47" s="53">
        <v>838.31254103742583</v>
      </c>
    </row>
    <row r="48" spans="1:2" x14ac:dyDescent="0.25">
      <c r="A48" s="54">
        <v>0.76</v>
      </c>
      <c r="B48" s="53">
        <v>890.51226667719106</v>
      </c>
    </row>
    <row r="49" spans="1:2" x14ac:dyDescent="0.25">
      <c r="A49" s="54">
        <v>0.91</v>
      </c>
      <c r="B49" s="53">
        <v>1040.7702418412509</v>
      </c>
    </row>
    <row r="50" spans="1:2" x14ac:dyDescent="0.25">
      <c r="A50" s="54">
        <v>1.02</v>
      </c>
      <c r="B50" s="53">
        <v>1058.8362174645713</v>
      </c>
    </row>
    <row r="51" spans="1:2" x14ac:dyDescent="0.25">
      <c r="A51" s="54">
        <v>1.22</v>
      </c>
      <c r="B51" s="53">
        <v>1064.5623810736881</v>
      </c>
    </row>
    <row r="52" spans="1:2" x14ac:dyDescent="0.25">
      <c r="A52" s="54">
        <v>1.52</v>
      </c>
      <c r="B52" s="53">
        <v>1091.3778648458901</v>
      </c>
    </row>
    <row r="53" spans="1:2" x14ac:dyDescent="0.25">
      <c r="A53" s="54">
        <v>1.83</v>
      </c>
      <c r="B53" s="53">
        <v>1091.3778648458901</v>
      </c>
    </row>
    <row r="54" spans="1:2" x14ac:dyDescent="0.25">
      <c r="A54" s="92">
        <v>2.7</v>
      </c>
      <c r="B54" s="87">
        <v>1091.3778648458901</v>
      </c>
    </row>
    <row r="55" spans="1:2" x14ac:dyDescent="0.25">
      <c r="A55" s="90"/>
      <c r="B55" s="9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opLeftCell="A10" workbookViewId="0">
      <selection activeCell="I7" sqref="I7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262</v>
      </c>
      <c r="E6" s="21" t="b">
        <f>COUNTIF(E8:E14,TRUE)&gt;0</f>
        <v>1</v>
      </c>
      <c r="F6" s="51" t="s">
        <v>267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248</v>
      </c>
    </row>
    <row r="8" spans="1:8" x14ac:dyDescent="0.25">
      <c r="A8" s="131"/>
      <c r="B8" s="130"/>
      <c r="C8" s="16" t="s">
        <v>76</v>
      </c>
      <c r="D8" s="126" t="s">
        <v>264</v>
      </c>
      <c r="E8" s="21" t="b">
        <v>1</v>
      </c>
      <c r="F8" s="132" t="s">
        <v>74</v>
      </c>
      <c r="G8" t="s">
        <v>92</v>
      </c>
    </row>
    <row r="9" spans="1:8" x14ac:dyDescent="0.25">
      <c r="A9" s="131"/>
      <c r="B9" s="130"/>
      <c r="C9" s="16" t="s">
        <v>80</v>
      </c>
      <c r="D9" s="126" t="s">
        <v>263</v>
      </c>
      <c r="E9" s="21" t="b">
        <v>1</v>
      </c>
      <c r="F9" s="133"/>
      <c r="G9" t="s">
        <v>91</v>
      </c>
    </row>
    <row r="10" spans="1:8" x14ac:dyDescent="0.25">
      <c r="A10" s="131"/>
      <c r="B10" s="130"/>
      <c r="C10" s="16" t="s">
        <v>71</v>
      </c>
      <c r="D10" s="148">
        <v>1</v>
      </c>
      <c r="E10" s="21" t="b">
        <v>1</v>
      </c>
      <c r="F10" s="134" t="s">
        <v>93</v>
      </c>
      <c r="G10" t="s">
        <v>91</v>
      </c>
    </row>
    <row r="11" spans="1:8" x14ac:dyDescent="0.25">
      <c r="A11" s="131"/>
      <c r="B11" s="130"/>
      <c r="C11" s="16" t="s">
        <v>72</v>
      </c>
      <c r="D11" s="148" t="s">
        <v>11</v>
      </c>
      <c r="E11" s="21" t="b">
        <v>1</v>
      </c>
      <c r="F11" s="134"/>
      <c r="G11" t="s">
        <v>91</v>
      </c>
    </row>
    <row r="12" spans="1:8" x14ac:dyDescent="0.25">
      <c r="A12" s="131"/>
      <c r="B12" s="130"/>
      <c r="C12" s="16" t="s">
        <v>70</v>
      </c>
      <c r="D12" s="148" t="s">
        <v>11</v>
      </c>
      <c r="E12" s="21" t="b">
        <v>1</v>
      </c>
      <c r="F12" s="134"/>
      <c r="G12" t="s">
        <v>91</v>
      </c>
    </row>
    <row r="13" spans="1:8" x14ac:dyDescent="0.25">
      <c r="A13" s="131"/>
      <c r="B13" s="130"/>
      <c r="C13" s="16" t="s">
        <v>88</v>
      </c>
      <c r="D13" s="148" t="s">
        <v>265</v>
      </c>
      <c r="E13" s="21" t="b">
        <v>1</v>
      </c>
      <c r="F13" s="129" t="s">
        <v>75</v>
      </c>
      <c r="G13" t="s">
        <v>92</v>
      </c>
    </row>
    <row r="14" spans="1:8" x14ac:dyDescent="0.25">
      <c r="A14" s="131"/>
      <c r="B14" s="130"/>
      <c r="C14" s="16" t="s">
        <v>73</v>
      </c>
      <c r="D14" s="148" t="s">
        <v>266</v>
      </c>
      <c r="E14" s="21" t="b">
        <v>1</v>
      </c>
      <c r="F14" s="129"/>
      <c r="G14" t="s">
        <v>92</v>
      </c>
    </row>
    <row r="15" spans="1:8" ht="15" customHeight="1" x14ac:dyDescent="0.25">
      <c r="C15" s="30" t="s">
        <v>89</v>
      </c>
      <c r="D15" s="126" t="s">
        <v>533</v>
      </c>
      <c r="E15" s="31" t="b">
        <v>1</v>
      </c>
      <c r="F15" s="35" t="s">
        <v>247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267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267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548</v>
      </c>
      <c r="H22" s="109" t="s">
        <v>151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548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548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555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555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112</v>
      </c>
      <c r="D32" s="50"/>
      <c r="E32" s="21" t="b">
        <v>1</v>
      </c>
      <c r="F32" s="37" t="s">
        <v>562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38000-F647-4917-88E4-8B2FD32032D8}">
  <dimension ref="A1:AZ203"/>
  <sheetViews>
    <sheetView tabSelected="1"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8" bestFit="1" customWidth="1"/>
    <col min="9" max="9" width="5.42578125" bestFit="1" customWidth="1"/>
    <col min="10" max="10" width="9" bestFit="1" customWidth="1"/>
  </cols>
  <sheetData>
    <row r="1" spans="1:52" x14ac:dyDescent="0.25">
      <c r="P1" s="152" t="s">
        <v>553</v>
      </c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4"/>
      <c r="AJ1" s="152" t="s">
        <v>554</v>
      </c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4"/>
    </row>
    <row r="2" spans="1:52" x14ac:dyDescent="0.25">
      <c r="A2" s="149" t="s">
        <v>268</v>
      </c>
      <c r="B2" s="150" t="s">
        <v>269</v>
      </c>
      <c r="C2" s="150" t="s">
        <v>270</v>
      </c>
      <c r="D2" s="150" t="s">
        <v>271</v>
      </c>
      <c r="E2" s="150" t="s">
        <v>272</v>
      </c>
      <c r="F2" s="150" t="s">
        <v>273</v>
      </c>
      <c r="G2" s="150" t="s">
        <v>274</v>
      </c>
      <c r="H2" s="150" t="s">
        <v>275</v>
      </c>
      <c r="I2" s="150" t="s">
        <v>276</v>
      </c>
      <c r="J2" s="150" t="s">
        <v>277</v>
      </c>
      <c r="K2" s="150" t="s">
        <v>449</v>
      </c>
      <c r="L2" s="150" t="s">
        <v>94</v>
      </c>
      <c r="M2" s="150" t="s">
        <v>450</v>
      </c>
      <c r="N2" s="150" t="s">
        <v>549</v>
      </c>
      <c r="O2" s="151" t="s">
        <v>550</v>
      </c>
      <c r="P2" s="149">
        <v>-0.9</v>
      </c>
      <c r="Q2" s="150">
        <v>-0.46</v>
      </c>
      <c r="R2" s="150">
        <v>0</v>
      </c>
      <c r="S2" s="150">
        <v>0.03</v>
      </c>
      <c r="T2" s="150">
        <v>0.05</v>
      </c>
      <c r="U2" s="150">
        <v>0.1</v>
      </c>
      <c r="V2" s="150">
        <v>0.15</v>
      </c>
      <c r="W2" s="150">
        <v>0.3</v>
      </c>
      <c r="X2" s="150">
        <v>0.46</v>
      </c>
      <c r="Y2" s="150">
        <v>0.61</v>
      </c>
      <c r="Z2" s="150">
        <v>0.76</v>
      </c>
      <c r="AA2" s="150">
        <v>0.91</v>
      </c>
      <c r="AB2" s="150">
        <v>1.02</v>
      </c>
      <c r="AC2" s="150">
        <v>1.22</v>
      </c>
      <c r="AD2" s="150">
        <v>1.52</v>
      </c>
      <c r="AE2" s="150">
        <v>1.83</v>
      </c>
      <c r="AF2" s="150">
        <v>2.7</v>
      </c>
      <c r="AG2" s="150" t="s">
        <v>551</v>
      </c>
      <c r="AH2" s="150" t="s">
        <v>552</v>
      </c>
      <c r="AI2" s="150" t="s">
        <v>102</v>
      </c>
      <c r="AJ2" s="150">
        <v>-0.9</v>
      </c>
      <c r="AK2" s="150">
        <v>-0.46</v>
      </c>
      <c r="AL2" s="150">
        <v>0</v>
      </c>
      <c r="AM2" s="150">
        <v>0.03</v>
      </c>
      <c r="AN2" s="150">
        <v>0.05</v>
      </c>
      <c r="AO2" s="150">
        <v>0.1</v>
      </c>
      <c r="AP2" s="150">
        <v>0.15</v>
      </c>
      <c r="AQ2" s="150">
        <v>0.3</v>
      </c>
      <c r="AR2" s="150">
        <v>0.46</v>
      </c>
      <c r="AS2" s="150">
        <v>0.61</v>
      </c>
      <c r="AT2" s="150">
        <v>0.76</v>
      </c>
      <c r="AU2" s="150">
        <v>0.91</v>
      </c>
      <c r="AV2" s="150">
        <v>1.02</v>
      </c>
      <c r="AW2" s="150">
        <v>1.22</v>
      </c>
      <c r="AX2" s="150">
        <v>1.52</v>
      </c>
      <c r="AY2" s="150">
        <v>1.83</v>
      </c>
      <c r="AZ2" s="151">
        <v>2.7</v>
      </c>
    </row>
    <row r="3" spans="1:52" x14ac:dyDescent="0.25">
      <c r="A3">
        <v>1</v>
      </c>
      <c r="B3" t="s">
        <v>278</v>
      </c>
      <c r="C3" t="s">
        <v>279</v>
      </c>
      <c r="D3">
        <v>44</v>
      </c>
      <c r="E3">
        <v>193.6</v>
      </c>
      <c r="F3" t="s">
        <v>280</v>
      </c>
      <c r="G3">
        <v>4.4000000000000004</v>
      </c>
      <c r="H3">
        <v>232.32</v>
      </c>
      <c r="I3" t="s">
        <v>281</v>
      </c>
      <c r="J3" t="s">
        <v>282</v>
      </c>
      <c r="K3" t="s">
        <v>451</v>
      </c>
      <c r="L3" t="s">
        <v>174</v>
      </c>
      <c r="M3" t="s">
        <v>452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452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232.32</v>
      </c>
      <c r="AV3">
        <f>$H$3*$AB$3</f>
        <v>232.32</v>
      </c>
      <c r="AW3">
        <f>$H$3*$AC$3</f>
        <v>232.32</v>
      </c>
      <c r="AX3">
        <f>$H$3*$AD$3</f>
        <v>232.32</v>
      </c>
      <c r="AY3">
        <f>$H$3*$AE$3</f>
        <v>232.32</v>
      </c>
      <c r="AZ3">
        <f>$H$3*$AF$3</f>
        <v>232.32</v>
      </c>
    </row>
    <row r="4" spans="1:52" x14ac:dyDescent="0.25">
      <c r="A4">
        <v>2</v>
      </c>
      <c r="B4" t="s">
        <v>278</v>
      </c>
      <c r="C4" t="s">
        <v>283</v>
      </c>
      <c r="D4">
        <v>44</v>
      </c>
      <c r="E4">
        <v>169.84</v>
      </c>
      <c r="F4" t="s">
        <v>280</v>
      </c>
      <c r="G4">
        <v>3.86</v>
      </c>
      <c r="H4">
        <v>203.8</v>
      </c>
      <c r="I4" t="s">
        <v>284</v>
      </c>
      <c r="J4" t="s">
        <v>282</v>
      </c>
      <c r="K4" t="s">
        <v>453</v>
      </c>
      <c r="L4" t="s">
        <v>174</v>
      </c>
      <c r="M4" t="s">
        <v>452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452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203.8</v>
      </c>
      <c r="AV4">
        <f>$H$4*$AB$4</f>
        <v>203.8</v>
      </c>
      <c r="AW4">
        <f>$H$4*$AC$4</f>
        <v>203.8</v>
      </c>
      <c r="AX4">
        <f>$H$4*$AD$4</f>
        <v>203.8</v>
      </c>
      <c r="AY4">
        <f>$H$4*$AE$4</f>
        <v>203.8</v>
      </c>
      <c r="AZ4">
        <f>$H$4*$AF$4</f>
        <v>203.8</v>
      </c>
    </row>
    <row r="5" spans="1:52" x14ac:dyDescent="0.25">
      <c r="A5">
        <v>4</v>
      </c>
      <c r="B5" t="s">
        <v>278</v>
      </c>
      <c r="C5" t="s">
        <v>286</v>
      </c>
      <c r="D5">
        <v>1</v>
      </c>
      <c r="E5">
        <v>44.87</v>
      </c>
      <c r="F5" t="s">
        <v>285</v>
      </c>
      <c r="G5">
        <v>44.87</v>
      </c>
      <c r="H5">
        <v>53.85</v>
      </c>
      <c r="I5" t="s">
        <v>287</v>
      </c>
      <c r="J5" t="s">
        <v>288</v>
      </c>
      <c r="K5" t="s">
        <v>454</v>
      </c>
      <c r="L5" t="s">
        <v>174</v>
      </c>
      <c r="M5" t="s">
        <v>452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452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53.85</v>
      </c>
      <c r="AY5">
        <f>$H$5*$AE$5</f>
        <v>53.85</v>
      </c>
      <c r="AZ5">
        <f>$H$5*$AF$5</f>
        <v>53.85</v>
      </c>
    </row>
    <row r="6" spans="1:52" x14ac:dyDescent="0.25">
      <c r="A6">
        <v>5</v>
      </c>
      <c r="B6" t="s">
        <v>278</v>
      </c>
      <c r="C6" t="s">
        <v>289</v>
      </c>
      <c r="D6">
        <v>1</v>
      </c>
      <c r="E6">
        <v>108.72</v>
      </c>
      <c r="F6" t="s">
        <v>285</v>
      </c>
      <c r="G6">
        <v>108.72</v>
      </c>
      <c r="H6">
        <v>130.46</v>
      </c>
      <c r="I6" t="s">
        <v>290</v>
      </c>
      <c r="J6" t="s">
        <v>291</v>
      </c>
      <c r="K6" t="s">
        <v>455</v>
      </c>
      <c r="L6" t="s">
        <v>174</v>
      </c>
      <c r="M6" t="s">
        <v>452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452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130.46</v>
      </c>
      <c r="AY6">
        <f>$H$6*$AE$6</f>
        <v>130.46</v>
      </c>
      <c r="AZ6">
        <f>$H$6*$AF$6</f>
        <v>130.46</v>
      </c>
    </row>
    <row r="7" spans="1:52" x14ac:dyDescent="0.25">
      <c r="A7">
        <v>6</v>
      </c>
      <c r="B7" t="s">
        <v>278</v>
      </c>
      <c r="C7" t="s">
        <v>292</v>
      </c>
      <c r="D7">
        <v>1</v>
      </c>
      <c r="E7">
        <v>84.7</v>
      </c>
      <c r="F7" t="s">
        <v>285</v>
      </c>
      <c r="G7">
        <v>84.7</v>
      </c>
      <c r="H7">
        <v>101.64</v>
      </c>
      <c r="I7" t="s">
        <v>293</v>
      </c>
      <c r="J7" t="s">
        <v>294</v>
      </c>
      <c r="K7" t="s">
        <v>456</v>
      </c>
      <c r="L7" t="s">
        <v>174</v>
      </c>
      <c r="M7" t="s">
        <v>452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452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101.64</v>
      </c>
      <c r="AS7">
        <f>$H$7*$Y$7</f>
        <v>101.64</v>
      </c>
      <c r="AT7">
        <f>$H$7*$Z$7</f>
        <v>101.64</v>
      </c>
      <c r="AU7">
        <f>$H$7*$AA$7</f>
        <v>101.64</v>
      </c>
      <c r="AV7">
        <f>$H$7*$AB$7</f>
        <v>101.64</v>
      </c>
      <c r="AW7">
        <f>$H$7*$AC$7</f>
        <v>101.64</v>
      </c>
      <c r="AX7">
        <f>$H$7*$AD$7</f>
        <v>101.64</v>
      </c>
      <c r="AY7">
        <f>$H$7*$AE$7</f>
        <v>101.64</v>
      </c>
      <c r="AZ7">
        <f>$H$7*$AF$7</f>
        <v>101.64</v>
      </c>
    </row>
    <row r="8" spans="1:52" x14ac:dyDescent="0.25">
      <c r="A8">
        <v>7</v>
      </c>
      <c r="B8" t="s">
        <v>278</v>
      </c>
      <c r="C8" t="s">
        <v>295</v>
      </c>
      <c r="D8">
        <v>15</v>
      </c>
      <c r="E8">
        <v>28.65</v>
      </c>
      <c r="F8" t="s">
        <v>280</v>
      </c>
      <c r="G8">
        <v>1.91</v>
      </c>
      <c r="H8">
        <v>34.39</v>
      </c>
      <c r="I8" t="s">
        <v>281</v>
      </c>
      <c r="J8" t="s">
        <v>296</v>
      </c>
      <c r="K8" t="s">
        <v>457</v>
      </c>
      <c r="L8" t="s">
        <v>174</v>
      </c>
      <c r="M8" t="s">
        <v>452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452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34.39</v>
      </c>
      <c r="AV8">
        <f>$H$8*$AB$8</f>
        <v>34.39</v>
      </c>
      <c r="AW8">
        <f>$H$8*$AC$8</f>
        <v>34.39</v>
      </c>
      <c r="AX8">
        <f>$H$8*$AD$8</f>
        <v>34.39</v>
      </c>
      <c r="AY8">
        <f>$H$8*$AE$8</f>
        <v>34.39</v>
      </c>
      <c r="AZ8">
        <f>$H$8*$AF$8</f>
        <v>34.39</v>
      </c>
    </row>
    <row r="9" spans="1:52" x14ac:dyDescent="0.25">
      <c r="A9">
        <v>8</v>
      </c>
      <c r="B9" t="s">
        <v>278</v>
      </c>
      <c r="C9" t="s">
        <v>297</v>
      </c>
      <c r="D9">
        <v>15</v>
      </c>
      <c r="E9">
        <v>234</v>
      </c>
      <c r="F9" t="s">
        <v>280</v>
      </c>
      <c r="G9">
        <v>15.6</v>
      </c>
      <c r="H9">
        <v>280.8</v>
      </c>
      <c r="I9" t="s">
        <v>284</v>
      </c>
      <c r="J9" t="s">
        <v>296</v>
      </c>
      <c r="K9" t="s">
        <v>458</v>
      </c>
      <c r="L9" t="s">
        <v>174</v>
      </c>
      <c r="M9" t="s">
        <v>452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452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280.8</v>
      </c>
      <c r="AX9">
        <f>$H$9*$AD$9</f>
        <v>280.8</v>
      </c>
      <c r="AY9">
        <f>$H$9*$AE$9</f>
        <v>280.8</v>
      </c>
      <c r="AZ9">
        <f>$H$9*$AF$9</f>
        <v>280.8</v>
      </c>
    </row>
    <row r="10" spans="1:52" x14ac:dyDescent="0.25">
      <c r="A10">
        <v>18</v>
      </c>
      <c r="B10" t="s">
        <v>278</v>
      </c>
      <c r="C10" t="s">
        <v>300</v>
      </c>
      <c r="D10">
        <v>1</v>
      </c>
      <c r="E10">
        <v>1314.18</v>
      </c>
      <c r="F10" t="s">
        <v>285</v>
      </c>
      <c r="G10">
        <v>1314.18</v>
      </c>
      <c r="H10">
        <v>1577.02</v>
      </c>
      <c r="I10" t="s">
        <v>299</v>
      </c>
      <c r="J10" t="s">
        <v>301</v>
      </c>
      <c r="K10" t="s">
        <v>459</v>
      </c>
      <c r="L10" t="s">
        <v>174</v>
      </c>
      <c r="M10" t="s">
        <v>460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460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1577.02</v>
      </c>
      <c r="AP10">
        <f>$H$10*$V$10</f>
        <v>1577.02</v>
      </c>
      <c r="AQ10">
        <f>$H$10*$W$10</f>
        <v>1577.02</v>
      </c>
      <c r="AR10">
        <f>$H$10*$X$10</f>
        <v>1577.02</v>
      </c>
      <c r="AS10">
        <f>$H$10*$Y$10</f>
        <v>1577.02</v>
      </c>
      <c r="AT10">
        <f>$H$10*$Z$10</f>
        <v>1577.02</v>
      </c>
      <c r="AU10">
        <f>$H$10*$AA$10</f>
        <v>1577.02</v>
      </c>
      <c r="AV10">
        <f>$H$10*$AB$10</f>
        <v>1577.02</v>
      </c>
      <c r="AW10">
        <f>$H$10*$AC$10</f>
        <v>1577.02</v>
      </c>
      <c r="AX10">
        <f>$H$10*$AD$10</f>
        <v>1577.02</v>
      </c>
      <c r="AY10">
        <f>$H$10*$AE$10</f>
        <v>1577.02</v>
      </c>
      <c r="AZ10">
        <f>$H$10*$AF$10</f>
        <v>1577.02</v>
      </c>
    </row>
    <row r="11" spans="1:52" x14ac:dyDescent="0.25">
      <c r="A11">
        <v>23</v>
      </c>
      <c r="B11" t="s">
        <v>278</v>
      </c>
      <c r="C11" t="s">
        <v>302</v>
      </c>
      <c r="D11">
        <v>15</v>
      </c>
      <c r="E11">
        <v>115.95</v>
      </c>
      <c r="F11" t="s">
        <v>280</v>
      </c>
      <c r="G11">
        <v>7.73</v>
      </c>
      <c r="H11">
        <v>139.15</v>
      </c>
      <c r="I11" t="s">
        <v>281</v>
      </c>
      <c r="J11" t="s">
        <v>303</v>
      </c>
      <c r="K11" t="s">
        <v>461</v>
      </c>
      <c r="L11" t="s">
        <v>174</v>
      </c>
      <c r="M11" t="s">
        <v>452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452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139.15</v>
      </c>
      <c r="AV11">
        <f>$H$11*$AB$11</f>
        <v>139.15</v>
      </c>
      <c r="AW11">
        <f>$H$11*$AC$11</f>
        <v>139.15</v>
      </c>
      <c r="AX11">
        <f>$H$11*$AD$11</f>
        <v>139.15</v>
      </c>
      <c r="AY11">
        <f>$H$11*$AE$11</f>
        <v>139.15</v>
      </c>
      <c r="AZ11">
        <f>$H$11*$AF$11</f>
        <v>139.15</v>
      </c>
    </row>
    <row r="12" spans="1:52" x14ac:dyDescent="0.25">
      <c r="A12">
        <v>24</v>
      </c>
      <c r="B12" t="s">
        <v>278</v>
      </c>
      <c r="C12" t="s">
        <v>304</v>
      </c>
      <c r="D12">
        <v>15</v>
      </c>
      <c r="E12">
        <v>192.3</v>
      </c>
      <c r="F12" t="s">
        <v>280</v>
      </c>
      <c r="G12">
        <v>12.82</v>
      </c>
      <c r="H12">
        <v>230.76</v>
      </c>
      <c r="I12" t="s">
        <v>284</v>
      </c>
      <c r="J12" t="s">
        <v>305</v>
      </c>
      <c r="K12" t="s">
        <v>462</v>
      </c>
      <c r="L12" t="s">
        <v>174</v>
      </c>
      <c r="M12" t="s">
        <v>452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452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230.76</v>
      </c>
      <c r="AV12">
        <f>$H$12*$AB$12</f>
        <v>230.76</v>
      </c>
      <c r="AW12">
        <f>$H$12*$AC$12</f>
        <v>230.76</v>
      </c>
      <c r="AX12">
        <f>$H$12*$AD$12</f>
        <v>230.76</v>
      </c>
      <c r="AY12">
        <f>$H$12*$AE$12</f>
        <v>230.76</v>
      </c>
      <c r="AZ12">
        <f>$H$12*$AF$12</f>
        <v>230.76</v>
      </c>
    </row>
    <row r="13" spans="1:52" x14ac:dyDescent="0.25">
      <c r="A13">
        <v>25</v>
      </c>
      <c r="B13" t="s">
        <v>278</v>
      </c>
      <c r="C13" t="s">
        <v>306</v>
      </c>
      <c r="D13">
        <v>86</v>
      </c>
      <c r="E13">
        <v>139.32</v>
      </c>
      <c r="F13" t="s">
        <v>298</v>
      </c>
      <c r="G13">
        <v>1.62</v>
      </c>
      <c r="H13">
        <v>167.18</v>
      </c>
      <c r="I13" t="s">
        <v>281</v>
      </c>
      <c r="J13" t="s">
        <v>307</v>
      </c>
      <c r="K13" t="s">
        <v>463</v>
      </c>
      <c r="L13" t="s">
        <v>174</v>
      </c>
      <c r="M13" t="s">
        <v>452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452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167.18</v>
      </c>
      <c r="AO13">
        <f>$H$13*$U$13</f>
        <v>167.18</v>
      </c>
      <c r="AP13">
        <f>$H$13*$V$13</f>
        <v>167.18</v>
      </c>
      <c r="AQ13">
        <f>$H$13*$W$13</f>
        <v>167.18</v>
      </c>
      <c r="AR13">
        <f>$H$13*$X$13</f>
        <v>167.18</v>
      </c>
      <c r="AS13">
        <f>$H$13*$Y$13</f>
        <v>167.18</v>
      </c>
      <c r="AT13">
        <f>$H$13*$Z$13</f>
        <v>167.18</v>
      </c>
      <c r="AU13">
        <f>$H$13*$AA$13</f>
        <v>167.18</v>
      </c>
      <c r="AV13">
        <f>$H$13*$AB$13</f>
        <v>167.18</v>
      </c>
      <c r="AW13">
        <f>$H$13*$AC$13</f>
        <v>167.18</v>
      </c>
      <c r="AX13">
        <f>$H$13*$AD$13</f>
        <v>167.18</v>
      </c>
      <c r="AY13">
        <f>$H$13*$AE$13</f>
        <v>167.18</v>
      </c>
      <c r="AZ13">
        <f>$H$13*$AF$13</f>
        <v>167.18</v>
      </c>
    </row>
    <row r="14" spans="1:52" x14ac:dyDescent="0.25">
      <c r="A14">
        <v>26</v>
      </c>
      <c r="B14" t="s">
        <v>278</v>
      </c>
      <c r="C14" t="s">
        <v>308</v>
      </c>
      <c r="D14">
        <v>86</v>
      </c>
      <c r="E14">
        <v>253.7</v>
      </c>
      <c r="F14" t="s">
        <v>298</v>
      </c>
      <c r="G14">
        <v>2.95</v>
      </c>
      <c r="H14">
        <v>304.44</v>
      </c>
      <c r="I14" t="s">
        <v>309</v>
      </c>
      <c r="J14" t="s">
        <v>310</v>
      </c>
      <c r="K14" t="s">
        <v>464</v>
      </c>
      <c r="L14" t="s">
        <v>174</v>
      </c>
      <c r="M14" t="s">
        <v>452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452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76.11</v>
      </c>
      <c r="AN14">
        <f>$H$14*$T$14</f>
        <v>76.11</v>
      </c>
      <c r="AO14">
        <f>$H$14*$U$14</f>
        <v>76.11</v>
      </c>
      <c r="AP14">
        <f>$H$14*$V$14</f>
        <v>76.11</v>
      </c>
      <c r="AQ14">
        <f>$H$14*$W$14</f>
        <v>76.11</v>
      </c>
      <c r="AR14">
        <f>$H$14*$X$14</f>
        <v>152.22</v>
      </c>
      <c r="AS14">
        <f>$H$14*$Y$14</f>
        <v>152.22</v>
      </c>
      <c r="AT14">
        <f>$H$14*$Z$14</f>
        <v>152.22</v>
      </c>
      <c r="AU14">
        <f>$H$14*$AA$14</f>
        <v>304.44</v>
      </c>
      <c r="AV14">
        <f>$H$14*$AB$14</f>
        <v>304.44</v>
      </c>
      <c r="AW14">
        <f>$H$14*$AC$14</f>
        <v>304.44</v>
      </c>
      <c r="AX14">
        <f>$H$14*$AD$14</f>
        <v>304.44</v>
      </c>
      <c r="AY14">
        <f>$H$14*$AE$14</f>
        <v>304.44</v>
      </c>
      <c r="AZ14">
        <f>$H$14*$AF$14</f>
        <v>304.44</v>
      </c>
    </row>
    <row r="15" spans="1:52" x14ac:dyDescent="0.25">
      <c r="A15">
        <v>27</v>
      </c>
      <c r="B15" t="s">
        <v>278</v>
      </c>
      <c r="C15" t="s">
        <v>311</v>
      </c>
      <c r="D15">
        <v>1</v>
      </c>
      <c r="E15">
        <v>41.27</v>
      </c>
      <c r="F15" t="s">
        <v>285</v>
      </c>
      <c r="G15">
        <v>41.27</v>
      </c>
      <c r="H15">
        <v>49.53</v>
      </c>
      <c r="I15" t="s">
        <v>312</v>
      </c>
      <c r="J15" t="s">
        <v>313</v>
      </c>
      <c r="K15" t="s">
        <v>465</v>
      </c>
      <c r="L15" t="s">
        <v>174</v>
      </c>
      <c r="M15" t="s">
        <v>452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452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49.53</v>
      </c>
      <c r="AU15">
        <f>$H$15*$AA$15</f>
        <v>49.53</v>
      </c>
      <c r="AV15">
        <f>$H$15*$AB$15</f>
        <v>49.53</v>
      </c>
      <c r="AW15">
        <f>$H$15*$AC$15</f>
        <v>49.53</v>
      </c>
      <c r="AX15">
        <f>$H$15*$AD$15</f>
        <v>49.53</v>
      </c>
      <c r="AY15">
        <f>$H$15*$AE$15</f>
        <v>49.53</v>
      </c>
      <c r="AZ15">
        <f>$H$15*$AF$15</f>
        <v>49.53</v>
      </c>
    </row>
    <row r="16" spans="1:52" x14ac:dyDescent="0.25">
      <c r="A16">
        <v>28</v>
      </c>
      <c r="B16" t="s">
        <v>278</v>
      </c>
      <c r="C16" t="s">
        <v>314</v>
      </c>
      <c r="D16">
        <v>1</v>
      </c>
      <c r="E16">
        <v>411.12</v>
      </c>
      <c r="F16" t="s">
        <v>285</v>
      </c>
      <c r="G16">
        <v>411.12</v>
      </c>
      <c r="H16">
        <v>493.34</v>
      </c>
      <c r="I16" t="s">
        <v>315</v>
      </c>
      <c r="J16" t="s">
        <v>316</v>
      </c>
      <c r="K16" t="s">
        <v>466</v>
      </c>
      <c r="L16" t="s">
        <v>174</v>
      </c>
      <c r="M16" t="s">
        <v>452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452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493.34</v>
      </c>
      <c r="AO16">
        <f>$H$16*$U$16</f>
        <v>493.34</v>
      </c>
      <c r="AP16">
        <f>$H$16*$V$16</f>
        <v>493.34</v>
      </c>
      <c r="AQ16">
        <f>$H$16*$W$16</f>
        <v>493.34</v>
      </c>
      <c r="AR16">
        <f>$H$16*$X$16</f>
        <v>493.34</v>
      </c>
      <c r="AS16">
        <f>$H$16*$Y$16</f>
        <v>493.34</v>
      </c>
      <c r="AT16">
        <f>$H$16*$Z$16</f>
        <v>493.34</v>
      </c>
      <c r="AU16">
        <f>$H$16*$AA$16</f>
        <v>493.34</v>
      </c>
      <c r="AV16">
        <f>$H$16*$AB$16</f>
        <v>493.34</v>
      </c>
      <c r="AW16">
        <f>$H$16*$AC$16</f>
        <v>493.34</v>
      </c>
      <c r="AX16">
        <f>$H$16*$AD$16</f>
        <v>493.34</v>
      </c>
      <c r="AY16">
        <f>$H$16*$AE$16</f>
        <v>493.34</v>
      </c>
      <c r="AZ16">
        <f>$H$16*$AF$16</f>
        <v>493.34</v>
      </c>
    </row>
    <row r="17" spans="1:52" x14ac:dyDescent="0.25">
      <c r="A17">
        <v>29</v>
      </c>
      <c r="B17" t="s">
        <v>278</v>
      </c>
      <c r="C17" t="s">
        <v>317</v>
      </c>
      <c r="D17">
        <v>2</v>
      </c>
      <c r="E17">
        <v>106.22</v>
      </c>
      <c r="F17" t="s">
        <v>285</v>
      </c>
      <c r="G17">
        <v>53.11</v>
      </c>
      <c r="H17">
        <v>127.46</v>
      </c>
      <c r="I17" t="s">
        <v>281</v>
      </c>
      <c r="J17" t="s">
        <v>318</v>
      </c>
      <c r="K17" t="s">
        <v>467</v>
      </c>
      <c r="L17" t="s">
        <v>174</v>
      </c>
      <c r="M17" t="s">
        <v>452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452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127.46</v>
      </c>
      <c r="AN17">
        <f>$H$17*$T$17</f>
        <v>127.46</v>
      </c>
      <c r="AO17">
        <f>$H$17*$U$17</f>
        <v>127.46</v>
      </c>
      <c r="AP17">
        <f>$H$17*$V$17</f>
        <v>127.46</v>
      </c>
      <c r="AQ17">
        <f>$H$17*$W$17</f>
        <v>127.46</v>
      </c>
      <c r="AR17">
        <f>$H$17*$X$17</f>
        <v>127.46</v>
      </c>
      <c r="AS17">
        <f>$H$17*$Y$17</f>
        <v>127.46</v>
      </c>
      <c r="AT17">
        <f>$H$17*$Z$17</f>
        <v>127.46</v>
      </c>
      <c r="AU17">
        <f>$H$17*$AA$17</f>
        <v>127.46</v>
      </c>
      <c r="AV17">
        <f>$H$17*$AB$17</f>
        <v>127.46</v>
      </c>
      <c r="AW17">
        <f>$H$17*$AC$17</f>
        <v>127.46</v>
      </c>
      <c r="AX17">
        <f>$H$17*$AD$17</f>
        <v>127.46</v>
      </c>
      <c r="AY17">
        <f>$H$17*$AE$17</f>
        <v>127.46</v>
      </c>
      <c r="AZ17">
        <f>$H$17*$AF$17</f>
        <v>127.46</v>
      </c>
    </row>
    <row r="18" spans="1:52" x14ac:dyDescent="0.25">
      <c r="A18">
        <v>30</v>
      </c>
      <c r="B18" t="s">
        <v>278</v>
      </c>
      <c r="C18" t="s">
        <v>319</v>
      </c>
      <c r="D18">
        <v>2</v>
      </c>
      <c r="E18">
        <v>126.18</v>
      </c>
      <c r="F18" t="s">
        <v>285</v>
      </c>
      <c r="G18">
        <v>63.09</v>
      </c>
      <c r="H18">
        <v>151.41999999999999</v>
      </c>
      <c r="I18" t="s">
        <v>281</v>
      </c>
      <c r="J18" t="s">
        <v>315</v>
      </c>
      <c r="K18" t="s">
        <v>468</v>
      </c>
      <c r="L18" t="s">
        <v>174</v>
      </c>
      <c r="M18" t="s">
        <v>452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452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151.41999999999999</v>
      </c>
      <c r="AN18">
        <f>$H$18*$T$18</f>
        <v>151.41999999999999</v>
      </c>
      <c r="AO18">
        <f>$H$18*$U$18</f>
        <v>151.41999999999999</v>
      </c>
      <c r="AP18">
        <f>$H$18*$V$18</f>
        <v>151.41999999999999</v>
      </c>
      <c r="AQ18">
        <f>$H$18*$W$18</f>
        <v>151.41999999999999</v>
      </c>
      <c r="AR18">
        <f>$H$18*$X$18</f>
        <v>151.41999999999999</v>
      </c>
      <c r="AS18">
        <f>$H$18*$Y$18</f>
        <v>151.41999999999999</v>
      </c>
      <c r="AT18">
        <f>$H$18*$Z$18</f>
        <v>151.41999999999999</v>
      </c>
      <c r="AU18">
        <f>$H$18*$AA$18</f>
        <v>151.41999999999999</v>
      </c>
      <c r="AV18">
        <f>$H$18*$AB$18</f>
        <v>151.41999999999999</v>
      </c>
      <c r="AW18">
        <f>$H$18*$AC$18</f>
        <v>151.41999999999999</v>
      </c>
      <c r="AX18">
        <f>$H$18*$AD$18</f>
        <v>151.41999999999999</v>
      </c>
      <c r="AY18">
        <f>$H$18*$AE$18</f>
        <v>151.41999999999999</v>
      </c>
      <c r="AZ18">
        <f>$H$18*$AF$18</f>
        <v>151.41999999999999</v>
      </c>
    </row>
    <row r="19" spans="1:52" x14ac:dyDescent="0.25">
      <c r="A19">
        <v>33</v>
      </c>
      <c r="B19" t="s">
        <v>278</v>
      </c>
      <c r="C19" t="s">
        <v>320</v>
      </c>
      <c r="D19">
        <v>1083.58</v>
      </c>
      <c r="E19">
        <v>1972.12</v>
      </c>
      <c r="F19" t="s">
        <v>298</v>
      </c>
      <c r="G19">
        <v>1.82</v>
      </c>
      <c r="H19">
        <v>2366.54</v>
      </c>
      <c r="I19" t="s">
        <v>321</v>
      </c>
      <c r="J19" t="s">
        <v>322</v>
      </c>
      <c r="K19" t="s">
        <v>469</v>
      </c>
      <c r="L19" t="s">
        <v>174</v>
      </c>
      <c r="M19" t="s">
        <v>452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0.5</v>
      </c>
      <c r="Y19">
        <v>0.5</v>
      </c>
      <c r="Z19">
        <v>0.5</v>
      </c>
      <c r="AA19">
        <v>0.5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452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591.63499999999999</v>
      </c>
      <c r="AN19">
        <f>$H$19*$T$19</f>
        <v>591.63499999999999</v>
      </c>
      <c r="AO19">
        <f>$H$19*$U$19</f>
        <v>591.63499999999999</v>
      </c>
      <c r="AP19">
        <f>$H$19*$V$19</f>
        <v>591.63499999999999</v>
      </c>
      <c r="AQ19">
        <f>$H$19*$W$19</f>
        <v>591.63499999999999</v>
      </c>
      <c r="AR19">
        <f>$H$19*$X$19</f>
        <v>1183.27</v>
      </c>
      <c r="AS19">
        <f>$H$19*$Y$19</f>
        <v>1183.27</v>
      </c>
      <c r="AT19">
        <f>$H$19*$Z$19</f>
        <v>1183.27</v>
      </c>
      <c r="AU19">
        <f>$H$19*$AA$19</f>
        <v>1183.27</v>
      </c>
      <c r="AV19">
        <f>$H$19*$AB$19</f>
        <v>2366.54</v>
      </c>
      <c r="AW19">
        <f>$H$19*$AC$19</f>
        <v>2366.54</v>
      </c>
      <c r="AX19">
        <f>$H$19*$AD$19</f>
        <v>2366.54</v>
      </c>
      <c r="AY19">
        <f>$H$19*$AE$19</f>
        <v>2366.54</v>
      </c>
      <c r="AZ19">
        <f>$H$19*$AF$19</f>
        <v>2366.54</v>
      </c>
    </row>
    <row r="20" spans="1:52" x14ac:dyDescent="0.25">
      <c r="A20">
        <v>34</v>
      </c>
      <c r="B20" t="s">
        <v>278</v>
      </c>
      <c r="C20" t="s">
        <v>323</v>
      </c>
      <c r="D20">
        <v>900</v>
      </c>
      <c r="E20">
        <v>2655</v>
      </c>
      <c r="F20" t="s">
        <v>298</v>
      </c>
      <c r="G20">
        <v>2.95</v>
      </c>
      <c r="H20">
        <v>3186</v>
      </c>
      <c r="I20" t="s">
        <v>321</v>
      </c>
      <c r="J20" t="s">
        <v>324</v>
      </c>
      <c r="K20" t="s">
        <v>470</v>
      </c>
      <c r="L20" t="s">
        <v>174</v>
      </c>
      <c r="M20" t="s">
        <v>452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452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796.5</v>
      </c>
      <c r="AN20">
        <f>$H$20*$T$20</f>
        <v>796.5</v>
      </c>
      <c r="AO20">
        <f>$H$20*$U$20</f>
        <v>796.5</v>
      </c>
      <c r="AP20">
        <f>$H$20*$V$20</f>
        <v>796.5</v>
      </c>
      <c r="AQ20">
        <f>$H$20*$W$20</f>
        <v>796.5</v>
      </c>
      <c r="AR20">
        <f>$H$20*$X$20</f>
        <v>1593</v>
      </c>
      <c r="AS20">
        <f>$H$20*$Y$20</f>
        <v>1593</v>
      </c>
      <c r="AT20">
        <f>$H$20*$Z$20</f>
        <v>1593</v>
      </c>
      <c r="AU20">
        <f>$H$20*$AA$20</f>
        <v>1593</v>
      </c>
      <c r="AV20">
        <f>$H$20*$AB$20</f>
        <v>3186</v>
      </c>
      <c r="AW20">
        <f>$H$20*$AC$20</f>
        <v>3186</v>
      </c>
      <c r="AX20">
        <f>$H$20*$AD$20</f>
        <v>3186</v>
      </c>
      <c r="AY20">
        <f>$H$20*$AE$20</f>
        <v>3186</v>
      </c>
      <c r="AZ20">
        <f>$H$20*$AF$20</f>
        <v>3186</v>
      </c>
    </row>
    <row r="21" spans="1:52" x14ac:dyDescent="0.25">
      <c r="A21">
        <v>36</v>
      </c>
      <c r="B21" t="s">
        <v>278</v>
      </c>
      <c r="C21" t="s">
        <v>325</v>
      </c>
      <c r="D21">
        <v>1</v>
      </c>
      <c r="E21">
        <v>104.48</v>
      </c>
      <c r="F21" t="s">
        <v>285</v>
      </c>
      <c r="G21">
        <v>104.48</v>
      </c>
      <c r="H21">
        <v>125.38</v>
      </c>
      <c r="I21" t="s">
        <v>293</v>
      </c>
      <c r="J21" t="s">
        <v>326</v>
      </c>
      <c r="K21" t="s">
        <v>471</v>
      </c>
      <c r="L21" t="s">
        <v>174</v>
      </c>
      <c r="M21" t="s">
        <v>452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1</v>
      </c>
      <c r="AF21">
        <v>1</v>
      </c>
      <c r="AG21" t="s">
        <v>452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0</v>
      </c>
      <c r="AQ21">
        <f>$H$21*$W$21</f>
        <v>0</v>
      </c>
      <c r="AR21">
        <f>$H$21*$X$21</f>
        <v>0</v>
      </c>
      <c r="AS21">
        <f>$H$21*$Y$21</f>
        <v>0</v>
      </c>
      <c r="AT21">
        <f>$H$21*$Z$21</f>
        <v>0</v>
      </c>
      <c r="AU21">
        <f>$H$21*$AA$21</f>
        <v>0</v>
      </c>
      <c r="AV21">
        <f>$H$21*$AB$21</f>
        <v>0</v>
      </c>
      <c r="AW21">
        <f>$H$21*$AC$21</f>
        <v>125.38</v>
      </c>
      <c r="AX21">
        <f>$H$21*$AD$21</f>
        <v>125.38</v>
      </c>
      <c r="AY21">
        <f>$H$21*$AE$21</f>
        <v>125.38</v>
      </c>
      <c r="AZ21">
        <f>$H$21*$AF$21</f>
        <v>125.38</v>
      </c>
    </row>
    <row r="22" spans="1:52" x14ac:dyDescent="0.25">
      <c r="A22">
        <v>37</v>
      </c>
      <c r="B22" t="s">
        <v>278</v>
      </c>
      <c r="C22" t="s">
        <v>327</v>
      </c>
      <c r="D22">
        <v>1</v>
      </c>
      <c r="E22">
        <v>3120.87</v>
      </c>
      <c r="F22" t="s">
        <v>285</v>
      </c>
      <c r="G22">
        <v>3120.87</v>
      </c>
      <c r="H22">
        <v>3745.05</v>
      </c>
      <c r="I22" t="s">
        <v>293</v>
      </c>
      <c r="J22" t="s">
        <v>328</v>
      </c>
      <c r="K22" t="s">
        <v>472</v>
      </c>
      <c r="L22" t="s">
        <v>174</v>
      </c>
      <c r="M22" t="s">
        <v>460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460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3745.05</v>
      </c>
      <c r="AQ22">
        <f>$H$22*$W$22</f>
        <v>3745.05</v>
      </c>
      <c r="AR22">
        <f>$H$22*$X$22</f>
        <v>3745.05</v>
      </c>
      <c r="AS22">
        <f>$H$22*$Y$22</f>
        <v>3745.05</v>
      </c>
      <c r="AT22">
        <f>$H$22*$Z$22</f>
        <v>3745.05</v>
      </c>
      <c r="AU22">
        <f>$H$22*$AA$22</f>
        <v>3745.05</v>
      </c>
      <c r="AV22">
        <f>$H$22*$AB$22</f>
        <v>3745.05</v>
      </c>
      <c r="AW22">
        <f>$H$22*$AC$22</f>
        <v>3745.05</v>
      </c>
      <c r="AX22">
        <f>$H$22*$AD$22</f>
        <v>3745.05</v>
      </c>
      <c r="AY22">
        <f>$H$22*$AE$22</f>
        <v>3745.05</v>
      </c>
      <c r="AZ22">
        <f>$H$22*$AF$22</f>
        <v>3745.05</v>
      </c>
    </row>
    <row r="23" spans="1:52" x14ac:dyDescent="0.25">
      <c r="A23">
        <v>38</v>
      </c>
      <c r="B23" t="s">
        <v>278</v>
      </c>
      <c r="C23" t="s">
        <v>329</v>
      </c>
      <c r="D23">
        <v>1</v>
      </c>
      <c r="E23">
        <v>3941.81</v>
      </c>
      <c r="F23" t="s">
        <v>285</v>
      </c>
      <c r="G23">
        <v>3941.81</v>
      </c>
      <c r="H23">
        <v>4730.17</v>
      </c>
      <c r="I23" t="s">
        <v>293</v>
      </c>
      <c r="J23" t="s">
        <v>330</v>
      </c>
      <c r="K23" t="s">
        <v>473</v>
      </c>
      <c r="L23" t="s">
        <v>174</v>
      </c>
      <c r="M23" t="s">
        <v>460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</v>
      </c>
      <c r="AF23">
        <v>1</v>
      </c>
      <c r="AG23" t="s">
        <v>460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0</v>
      </c>
      <c r="AX23">
        <f>$H$23*$AD$23</f>
        <v>0</v>
      </c>
      <c r="AY23">
        <f>$H$23*$AE$23</f>
        <v>4730.17</v>
      </c>
      <c r="AZ23">
        <f>$H$23*$AF$23</f>
        <v>4730.17</v>
      </c>
    </row>
    <row r="24" spans="1:52" x14ac:dyDescent="0.25">
      <c r="A24">
        <v>42</v>
      </c>
      <c r="B24" t="s">
        <v>278</v>
      </c>
      <c r="C24" t="s">
        <v>331</v>
      </c>
      <c r="D24">
        <v>2</v>
      </c>
      <c r="E24">
        <v>152.22</v>
      </c>
      <c r="F24" t="s">
        <v>285</v>
      </c>
      <c r="G24">
        <v>76.11</v>
      </c>
      <c r="H24">
        <v>182.66</v>
      </c>
      <c r="I24" t="s">
        <v>290</v>
      </c>
      <c r="J24" t="s">
        <v>332</v>
      </c>
      <c r="K24" t="s">
        <v>474</v>
      </c>
      <c r="L24" t="s">
        <v>174</v>
      </c>
      <c r="M24" t="s">
        <v>475</v>
      </c>
      <c r="N24" t="s">
        <v>12</v>
      </c>
      <c r="O24" t="s">
        <v>68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1</v>
      </c>
      <c r="AF24">
        <v>1</v>
      </c>
      <c r="AG24" t="s">
        <v>475</v>
      </c>
      <c r="AH24" t="s">
        <v>12</v>
      </c>
      <c r="AI24" t="s">
        <v>68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182.66</v>
      </c>
      <c r="AY24">
        <f>$H$24*$AE$24</f>
        <v>182.66</v>
      </c>
      <c r="AZ24">
        <f>$H$24*$AF$24</f>
        <v>182.66</v>
      </c>
    </row>
    <row r="25" spans="1:52" x14ac:dyDescent="0.25">
      <c r="A25">
        <v>43</v>
      </c>
      <c r="B25" t="s">
        <v>278</v>
      </c>
      <c r="C25" t="s">
        <v>333</v>
      </c>
      <c r="D25">
        <v>2</v>
      </c>
      <c r="E25">
        <v>213.02</v>
      </c>
      <c r="F25" t="s">
        <v>285</v>
      </c>
      <c r="G25">
        <v>106.51</v>
      </c>
      <c r="H25">
        <v>255.62</v>
      </c>
      <c r="I25" t="s">
        <v>312</v>
      </c>
      <c r="J25" t="s">
        <v>334</v>
      </c>
      <c r="K25" t="s">
        <v>476</v>
      </c>
      <c r="L25" t="s">
        <v>174</v>
      </c>
      <c r="M25" t="s">
        <v>475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475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255.62</v>
      </c>
      <c r="AV25">
        <f>$H$25*$AB$25</f>
        <v>255.62</v>
      </c>
      <c r="AW25">
        <f>$H$25*$AC$25</f>
        <v>255.62</v>
      </c>
      <c r="AX25">
        <f>$H$25*$AD$25</f>
        <v>255.62</v>
      </c>
      <c r="AY25">
        <f>$H$25*$AE$25</f>
        <v>255.62</v>
      </c>
      <c r="AZ25">
        <f>$H$25*$AF$25</f>
        <v>255.62</v>
      </c>
    </row>
    <row r="26" spans="1:52" x14ac:dyDescent="0.25">
      <c r="A26">
        <v>44</v>
      </c>
      <c r="B26" t="s">
        <v>278</v>
      </c>
      <c r="C26" t="s">
        <v>335</v>
      </c>
      <c r="D26">
        <v>2</v>
      </c>
      <c r="E26">
        <v>805.98</v>
      </c>
      <c r="F26" t="s">
        <v>285</v>
      </c>
      <c r="G26">
        <v>402.99</v>
      </c>
      <c r="H26">
        <v>967.18</v>
      </c>
      <c r="I26" t="s">
        <v>315</v>
      </c>
      <c r="J26" t="s">
        <v>332</v>
      </c>
      <c r="K26" t="s">
        <v>477</v>
      </c>
      <c r="L26" t="s">
        <v>174</v>
      </c>
      <c r="M26" t="s">
        <v>475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475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967.18</v>
      </c>
      <c r="AP26">
        <f>$H$26*$V$26</f>
        <v>967.18</v>
      </c>
      <c r="AQ26">
        <f>$H$26*$W$26</f>
        <v>967.18</v>
      </c>
      <c r="AR26">
        <f>$H$26*$X$26</f>
        <v>967.18</v>
      </c>
      <c r="AS26">
        <f>$H$26*$Y$26</f>
        <v>967.18</v>
      </c>
      <c r="AT26">
        <f>$H$26*$Z$26</f>
        <v>967.18</v>
      </c>
      <c r="AU26">
        <f>$H$26*$AA$26</f>
        <v>967.18</v>
      </c>
      <c r="AV26">
        <f>$H$26*$AB$26</f>
        <v>967.18</v>
      </c>
      <c r="AW26">
        <f>$H$26*$AC$26</f>
        <v>967.18</v>
      </c>
      <c r="AX26">
        <f>$H$26*$AD$26</f>
        <v>967.18</v>
      </c>
      <c r="AY26">
        <f>$H$26*$AE$26</f>
        <v>967.18</v>
      </c>
      <c r="AZ26">
        <f>$H$26*$AF$26</f>
        <v>967.18</v>
      </c>
    </row>
    <row r="27" spans="1:52" x14ac:dyDescent="0.25">
      <c r="A27">
        <v>45</v>
      </c>
      <c r="B27" t="s">
        <v>278</v>
      </c>
      <c r="C27" t="s">
        <v>336</v>
      </c>
      <c r="D27">
        <v>1</v>
      </c>
      <c r="E27">
        <v>735.9</v>
      </c>
      <c r="F27" t="s">
        <v>285</v>
      </c>
      <c r="G27">
        <v>735.9</v>
      </c>
      <c r="H27">
        <v>883.08</v>
      </c>
      <c r="I27" t="s">
        <v>337</v>
      </c>
      <c r="J27" t="s">
        <v>338</v>
      </c>
      <c r="K27" t="s">
        <v>478</v>
      </c>
      <c r="L27" t="s">
        <v>174</v>
      </c>
      <c r="M27" t="s">
        <v>475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475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883.08</v>
      </c>
      <c r="AP27">
        <f>$H$27*$V$27</f>
        <v>883.08</v>
      </c>
      <c r="AQ27">
        <f>$H$27*$W$27</f>
        <v>883.08</v>
      </c>
      <c r="AR27">
        <f>$H$27*$X$27</f>
        <v>883.08</v>
      </c>
      <c r="AS27">
        <f>$H$27*$Y$27</f>
        <v>883.08</v>
      </c>
      <c r="AT27">
        <f>$H$27*$Z$27</f>
        <v>883.08</v>
      </c>
      <c r="AU27">
        <f>$H$27*$AA$27</f>
        <v>883.08</v>
      </c>
      <c r="AV27">
        <f>$H$27*$AB$27</f>
        <v>883.08</v>
      </c>
      <c r="AW27">
        <f>$H$27*$AC$27</f>
        <v>883.08</v>
      </c>
      <c r="AX27">
        <f>$H$27*$AD$27</f>
        <v>883.08</v>
      </c>
      <c r="AY27">
        <f>$H$27*$AE$27</f>
        <v>883.08</v>
      </c>
      <c r="AZ27">
        <f>$H$27*$AF$27</f>
        <v>883.08</v>
      </c>
    </row>
    <row r="28" spans="1:52" x14ac:dyDescent="0.25">
      <c r="A28">
        <v>55</v>
      </c>
      <c r="B28" t="s">
        <v>278</v>
      </c>
      <c r="C28" t="s">
        <v>339</v>
      </c>
      <c r="D28">
        <v>1</v>
      </c>
      <c r="E28">
        <v>917.62</v>
      </c>
      <c r="F28" t="s">
        <v>285</v>
      </c>
      <c r="G28">
        <v>917.62</v>
      </c>
      <c r="H28">
        <v>1101.1400000000001</v>
      </c>
      <c r="I28" t="s">
        <v>287</v>
      </c>
      <c r="J28" t="s">
        <v>340</v>
      </c>
      <c r="K28" t="s">
        <v>479</v>
      </c>
      <c r="L28" t="s">
        <v>174</v>
      </c>
      <c r="M28" t="s">
        <v>460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460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1101.1400000000001</v>
      </c>
      <c r="AV28">
        <f>$H$28*$AB$28</f>
        <v>1101.1400000000001</v>
      </c>
      <c r="AW28">
        <f>$H$28*$AC$28</f>
        <v>1101.1400000000001</v>
      </c>
      <c r="AX28">
        <f>$H$28*$AD$28</f>
        <v>1101.1400000000001</v>
      </c>
      <c r="AY28">
        <f>$H$28*$AE$28</f>
        <v>1101.1400000000001</v>
      </c>
      <c r="AZ28">
        <f>$H$28*$AF$28</f>
        <v>1101.1400000000001</v>
      </c>
    </row>
    <row r="29" spans="1:52" x14ac:dyDescent="0.25">
      <c r="A29">
        <v>59</v>
      </c>
      <c r="B29" t="s">
        <v>278</v>
      </c>
      <c r="C29" t="s">
        <v>341</v>
      </c>
      <c r="D29">
        <v>4</v>
      </c>
      <c r="E29">
        <v>82.32</v>
      </c>
      <c r="F29" t="s">
        <v>285</v>
      </c>
      <c r="G29">
        <v>20.58</v>
      </c>
      <c r="H29">
        <v>98.78</v>
      </c>
      <c r="I29" t="s">
        <v>287</v>
      </c>
      <c r="J29" t="s">
        <v>342</v>
      </c>
      <c r="K29" t="s">
        <v>480</v>
      </c>
      <c r="L29" t="s">
        <v>174</v>
      </c>
      <c r="M29" t="s">
        <v>452</v>
      </c>
      <c r="N29" t="s">
        <v>27</v>
      </c>
      <c r="O29" t="s">
        <v>66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452</v>
      </c>
      <c r="AH29" t="s">
        <v>27</v>
      </c>
      <c r="AI29" t="s">
        <v>66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98.78</v>
      </c>
      <c r="AS29">
        <f>$H$29*$Y$29</f>
        <v>98.78</v>
      </c>
      <c r="AT29">
        <f>$H$29*$Z$29</f>
        <v>98.78</v>
      </c>
      <c r="AU29">
        <f>$H$29*$AA$29</f>
        <v>98.78</v>
      </c>
      <c r="AV29">
        <f>$H$29*$AB$29</f>
        <v>98.78</v>
      </c>
      <c r="AW29">
        <f>$H$29*$AC$29</f>
        <v>98.78</v>
      </c>
      <c r="AX29">
        <f>$H$29*$AD$29</f>
        <v>98.78</v>
      </c>
      <c r="AY29">
        <f>$H$29*$AE$29</f>
        <v>98.78</v>
      </c>
      <c r="AZ29">
        <f>$H$29*$AF$29</f>
        <v>98.78</v>
      </c>
    </row>
    <row r="30" spans="1:52" x14ac:dyDescent="0.25">
      <c r="A30">
        <v>60</v>
      </c>
      <c r="B30" t="s">
        <v>278</v>
      </c>
      <c r="C30" t="s">
        <v>343</v>
      </c>
      <c r="D30">
        <v>2</v>
      </c>
      <c r="E30">
        <v>47.12</v>
      </c>
      <c r="F30" t="s">
        <v>285</v>
      </c>
      <c r="G30">
        <v>23.56</v>
      </c>
      <c r="H30">
        <v>56.54</v>
      </c>
      <c r="I30" t="s">
        <v>287</v>
      </c>
      <c r="J30" t="s">
        <v>344</v>
      </c>
      <c r="K30" t="s">
        <v>481</v>
      </c>
      <c r="L30" t="s">
        <v>174</v>
      </c>
      <c r="M30" t="s">
        <v>475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475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56.54</v>
      </c>
      <c r="AS30">
        <f>$H$30*$Y$30</f>
        <v>56.54</v>
      </c>
      <c r="AT30">
        <f>$H$30*$Z$30</f>
        <v>56.54</v>
      </c>
      <c r="AU30">
        <f>$H$30*$AA$30</f>
        <v>56.54</v>
      </c>
      <c r="AV30">
        <f>$H$30*$AB$30</f>
        <v>56.54</v>
      </c>
      <c r="AW30">
        <f>$H$30*$AC$30</f>
        <v>56.54</v>
      </c>
      <c r="AX30">
        <f>$H$30*$AD$30</f>
        <v>56.54</v>
      </c>
      <c r="AY30">
        <f>$H$30*$AE$30</f>
        <v>56.54</v>
      </c>
      <c r="AZ30">
        <f>$H$30*$AF$30</f>
        <v>56.54</v>
      </c>
    </row>
    <row r="31" spans="1:52" x14ac:dyDescent="0.25">
      <c r="A31">
        <v>61</v>
      </c>
      <c r="B31" t="s">
        <v>278</v>
      </c>
      <c r="C31" t="s">
        <v>345</v>
      </c>
      <c r="D31">
        <v>900</v>
      </c>
      <c r="E31">
        <v>3807</v>
      </c>
      <c r="F31" t="s">
        <v>298</v>
      </c>
      <c r="G31">
        <v>4.2300000000000004</v>
      </c>
      <c r="H31">
        <v>4568.3999999999996</v>
      </c>
      <c r="I31" t="s">
        <v>287</v>
      </c>
      <c r="J31" t="s">
        <v>346</v>
      </c>
      <c r="K31" t="s">
        <v>482</v>
      </c>
      <c r="L31" t="s">
        <v>174</v>
      </c>
      <c r="M31" t="s">
        <v>452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0.6</v>
      </c>
      <c r="Y31">
        <v>0.6</v>
      </c>
      <c r="Z31">
        <v>0.6</v>
      </c>
      <c r="AA31">
        <v>0.6</v>
      </c>
      <c r="AB31">
        <v>0.6</v>
      </c>
      <c r="AC31">
        <v>0.6</v>
      </c>
      <c r="AD31">
        <v>0.6</v>
      </c>
      <c r="AE31">
        <v>0.6</v>
      </c>
      <c r="AF31">
        <v>0.6</v>
      </c>
      <c r="AG31" t="s">
        <v>452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2741.0399999999995</v>
      </c>
      <c r="AS31">
        <f>$H$31*$Y$31</f>
        <v>2741.0399999999995</v>
      </c>
      <c r="AT31">
        <f>$H$31*$Z$31</f>
        <v>2741.0399999999995</v>
      </c>
      <c r="AU31">
        <f>$H$31*$AA$31</f>
        <v>2741.0399999999995</v>
      </c>
      <c r="AV31">
        <f>$H$31*$AB$31</f>
        <v>2741.0399999999995</v>
      </c>
      <c r="AW31">
        <f>$H$31*$AC$31</f>
        <v>2741.0399999999995</v>
      </c>
      <c r="AX31">
        <f>$H$31*$AD$31</f>
        <v>2741.0399999999995</v>
      </c>
      <c r="AY31">
        <f>$H$31*$AE$31</f>
        <v>2741.0399999999995</v>
      </c>
      <c r="AZ31">
        <f>$H$31*$AF$31</f>
        <v>2741.0399999999995</v>
      </c>
    </row>
    <row r="32" spans="1:52" x14ac:dyDescent="0.25">
      <c r="A32">
        <v>62</v>
      </c>
      <c r="B32" t="s">
        <v>278</v>
      </c>
      <c r="C32" t="s">
        <v>347</v>
      </c>
      <c r="D32">
        <v>40</v>
      </c>
      <c r="E32">
        <v>48</v>
      </c>
      <c r="F32" t="s">
        <v>280</v>
      </c>
      <c r="G32">
        <v>1.2</v>
      </c>
      <c r="H32">
        <v>57.6</v>
      </c>
      <c r="I32" t="s">
        <v>287</v>
      </c>
      <c r="J32" t="s">
        <v>348</v>
      </c>
      <c r="K32" t="s">
        <v>483</v>
      </c>
      <c r="L32" t="s">
        <v>174</v>
      </c>
      <c r="M32" t="s">
        <v>452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0.6</v>
      </c>
      <c r="Y32">
        <v>0.6</v>
      </c>
      <c r="Z32">
        <v>0.6</v>
      </c>
      <c r="AA32">
        <v>0.6</v>
      </c>
      <c r="AB32">
        <v>0.6</v>
      </c>
      <c r="AC32">
        <v>0.6</v>
      </c>
      <c r="AD32">
        <v>0.6</v>
      </c>
      <c r="AE32">
        <v>0.6</v>
      </c>
      <c r="AF32">
        <v>0.6</v>
      </c>
      <c r="AG32" t="s">
        <v>452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34.56</v>
      </c>
      <c r="AS32">
        <f>$H$32*$Y$32</f>
        <v>34.56</v>
      </c>
      <c r="AT32">
        <f>$H$32*$Z$32</f>
        <v>34.56</v>
      </c>
      <c r="AU32">
        <f>$H$32*$AA$32</f>
        <v>34.56</v>
      </c>
      <c r="AV32">
        <f>$H$32*$AB$32</f>
        <v>34.56</v>
      </c>
      <c r="AW32">
        <f>$H$32*$AC$32</f>
        <v>34.56</v>
      </c>
      <c r="AX32">
        <f>$H$32*$AD$32</f>
        <v>34.56</v>
      </c>
      <c r="AY32">
        <f>$H$32*$AE$32</f>
        <v>34.56</v>
      </c>
      <c r="AZ32">
        <f>$H$32*$AF$32</f>
        <v>34.56</v>
      </c>
    </row>
    <row r="33" spans="1:52" x14ac:dyDescent="0.25">
      <c r="A33">
        <v>64</v>
      </c>
      <c r="B33" t="s">
        <v>278</v>
      </c>
      <c r="C33" t="s">
        <v>302</v>
      </c>
      <c r="D33">
        <v>3</v>
      </c>
      <c r="E33">
        <v>23.19</v>
      </c>
      <c r="F33" t="s">
        <v>280</v>
      </c>
      <c r="G33">
        <v>7.73</v>
      </c>
      <c r="H33">
        <v>27.83</v>
      </c>
      <c r="I33" t="s">
        <v>281</v>
      </c>
      <c r="J33" t="s">
        <v>303</v>
      </c>
      <c r="K33" t="s">
        <v>461</v>
      </c>
      <c r="L33" t="s">
        <v>174</v>
      </c>
      <c r="M33" t="s">
        <v>452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452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0</v>
      </c>
      <c r="AS33">
        <f>$H$33*$Y$33</f>
        <v>0</v>
      </c>
      <c r="AT33">
        <f>$H$33*$Z$33</f>
        <v>0</v>
      </c>
      <c r="AU33">
        <f>$H$33*$AA$33</f>
        <v>27.83</v>
      </c>
      <c r="AV33">
        <f>$H$33*$AB$33</f>
        <v>27.83</v>
      </c>
      <c r="AW33">
        <f>$H$33*$AC$33</f>
        <v>27.83</v>
      </c>
      <c r="AX33">
        <f>$H$33*$AD$33</f>
        <v>27.83</v>
      </c>
      <c r="AY33">
        <f>$H$33*$AE$33</f>
        <v>27.83</v>
      </c>
      <c r="AZ33">
        <f>$H$33*$AF$33</f>
        <v>27.83</v>
      </c>
    </row>
    <row r="34" spans="1:52" x14ac:dyDescent="0.25">
      <c r="A34">
        <v>65</v>
      </c>
      <c r="B34" t="s">
        <v>278</v>
      </c>
      <c r="C34" t="s">
        <v>304</v>
      </c>
      <c r="D34">
        <v>3</v>
      </c>
      <c r="E34">
        <v>38.46</v>
      </c>
      <c r="F34" t="s">
        <v>280</v>
      </c>
      <c r="G34">
        <v>12.82</v>
      </c>
      <c r="H34">
        <v>46.16</v>
      </c>
      <c r="I34" t="s">
        <v>284</v>
      </c>
      <c r="J34" t="s">
        <v>305</v>
      </c>
      <c r="K34" t="s">
        <v>462</v>
      </c>
      <c r="L34" t="s">
        <v>174</v>
      </c>
      <c r="M34" t="s">
        <v>452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452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46.16</v>
      </c>
      <c r="AV34">
        <f>$H$34*$AB$34</f>
        <v>46.16</v>
      </c>
      <c r="AW34">
        <f>$H$34*$AC$34</f>
        <v>46.16</v>
      </c>
      <c r="AX34">
        <f>$H$34*$AD$34</f>
        <v>46.16</v>
      </c>
      <c r="AY34">
        <f>$H$34*$AE$34</f>
        <v>46.16</v>
      </c>
      <c r="AZ34">
        <f>$H$34*$AF$34</f>
        <v>46.16</v>
      </c>
    </row>
    <row r="35" spans="1:52" x14ac:dyDescent="0.25">
      <c r="A35">
        <v>66</v>
      </c>
      <c r="B35" t="s">
        <v>278</v>
      </c>
      <c r="C35" t="s">
        <v>349</v>
      </c>
      <c r="D35">
        <v>3</v>
      </c>
      <c r="E35">
        <v>16.559999999999999</v>
      </c>
      <c r="F35" t="s">
        <v>280</v>
      </c>
      <c r="G35">
        <v>5.52</v>
      </c>
      <c r="H35">
        <v>19.88</v>
      </c>
      <c r="I35" t="s">
        <v>284</v>
      </c>
      <c r="J35" t="s">
        <v>350</v>
      </c>
      <c r="K35" t="s">
        <v>484</v>
      </c>
      <c r="L35" t="s">
        <v>174</v>
      </c>
      <c r="M35" t="s">
        <v>452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1</v>
      </c>
      <c r="AD35">
        <v>1</v>
      </c>
      <c r="AE35">
        <v>1</v>
      </c>
      <c r="AF35">
        <v>1</v>
      </c>
      <c r="AG35" t="s">
        <v>452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0</v>
      </c>
      <c r="AV35">
        <f>$H$35*$AB$35</f>
        <v>0</v>
      </c>
      <c r="AW35">
        <f>$H$35*$AC$35</f>
        <v>19.88</v>
      </c>
      <c r="AX35">
        <f>$H$35*$AD$35</f>
        <v>19.88</v>
      </c>
      <c r="AY35">
        <f>$H$35*$AE$35</f>
        <v>19.88</v>
      </c>
      <c r="AZ35">
        <f>$H$35*$AF$35</f>
        <v>19.88</v>
      </c>
    </row>
    <row r="36" spans="1:52" x14ac:dyDescent="0.25">
      <c r="A36">
        <v>67</v>
      </c>
      <c r="B36" t="s">
        <v>278</v>
      </c>
      <c r="C36" t="s">
        <v>306</v>
      </c>
      <c r="D36">
        <v>86</v>
      </c>
      <c r="E36">
        <v>139.32</v>
      </c>
      <c r="F36" t="s">
        <v>298</v>
      </c>
      <c r="G36">
        <v>1.62</v>
      </c>
      <c r="H36">
        <v>167.18</v>
      </c>
      <c r="I36" t="s">
        <v>281</v>
      </c>
      <c r="J36" t="s">
        <v>307</v>
      </c>
      <c r="K36" t="s">
        <v>463</v>
      </c>
      <c r="L36" t="s">
        <v>174</v>
      </c>
      <c r="M36" t="s">
        <v>452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452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167.18</v>
      </c>
      <c r="AO36">
        <f>$H$36*$U$36</f>
        <v>167.18</v>
      </c>
      <c r="AP36">
        <f>$H$36*$V$36</f>
        <v>167.18</v>
      </c>
      <c r="AQ36">
        <f>$H$36*$W$36</f>
        <v>167.18</v>
      </c>
      <c r="AR36">
        <f>$H$36*$X$36</f>
        <v>167.18</v>
      </c>
      <c r="AS36">
        <f>$H$36*$Y$36</f>
        <v>167.18</v>
      </c>
      <c r="AT36">
        <f>$H$36*$Z$36</f>
        <v>167.18</v>
      </c>
      <c r="AU36">
        <f>$H$36*$AA$36</f>
        <v>167.18</v>
      </c>
      <c r="AV36">
        <f>$H$36*$AB$36</f>
        <v>167.18</v>
      </c>
      <c r="AW36">
        <f>$H$36*$AC$36</f>
        <v>167.18</v>
      </c>
      <c r="AX36">
        <f>$H$36*$AD$36</f>
        <v>167.18</v>
      </c>
      <c r="AY36">
        <f>$H$36*$AE$36</f>
        <v>167.18</v>
      </c>
      <c r="AZ36">
        <f>$H$36*$AF$36</f>
        <v>167.18</v>
      </c>
    </row>
    <row r="37" spans="1:52" x14ac:dyDescent="0.25">
      <c r="A37">
        <v>68</v>
      </c>
      <c r="B37" t="s">
        <v>278</v>
      </c>
      <c r="C37" t="s">
        <v>308</v>
      </c>
      <c r="D37">
        <v>86</v>
      </c>
      <c r="E37">
        <v>253.7</v>
      </c>
      <c r="F37" t="s">
        <v>298</v>
      </c>
      <c r="G37">
        <v>2.95</v>
      </c>
      <c r="H37">
        <v>304.44</v>
      </c>
      <c r="I37" t="s">
        <v>309</v>
      </c>
      <c r="J37" t="s">
        <v>310</v>
      </c>
      <c r="K37" t="s">
        <v>464</v>
      </c>
      <c r="L37" t="s">
        <v>174</v>
      </c>
      <c r="M37" t="s">
        <v>452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0.25</v>
      </c>
      <c r="T37">
        <v>0.25</v>
      </c>
      <c r="U37">
        <v>0.25</v>
      </c>
      <c r="V37">
        <v>0.25</v>
      </c>
      <c r="W37">
        <v>0.25</v>
      </c>
      <c r="X37">
        <v>0.5</v>
      </c>
      <c r="Y37">
        <v>0.5</v>
      </c>
      <c r="Z37">
        <v>0.5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452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76.11</v>
      </c>
      <c r="AN37">
        <f>$H$37*$T$37</f>
        <v>76.11</v>
      </c>
      <c r="AO37">
        <f>$H$37*$U$37</f>
        <v>76.11</v>
      </c>
      <c r="AP37">
        <f>$H$37*$V$37</f>
        <v>76.11</v>
      </c>
      <c r="AQ37">
        <f>$H$37*$W$37</f>
        <v>76.11</v>
      </c>
      <c r="AR37">
        <f>$H$37*$X$37</f>
        <v>152.22</v>
      </c>
      <c r="AS37">
        <f>$H$37*$Y$37</f>
        <v>152.22</v>
      </c>
      <c r="AT37">
        <f>$H$37*$Z$37</f>
        <v>152.22</v>
      </c>
      <c r="AU37">
        <f>$H$37*$AA$37</f>
        <v>304.44</v>
      </c>
      <c r="AV37">
        <f>$H$37*$AB$37</f>
        <v>304.44</v>
      </c>
      <c r="AW37">
        <f>$H$37*$AC$37</f>
        <v>304.44</v>
      </c>
      <c r="AX37">
        <f>$H$37*$AD$37</f>
        <v>304.44</v>
      </c>
      <c r="AY37">
        <f>$H$37*$AE$37</f>
        <v>304.44</v>
      </c>
      <c r="AZ37">
        <f>$H$37*$AF$37</f>
        <v>304.44</v>
      </c>
    </row>
    <row r="38" spans="1:52" x14ac:dyDescent="0.25">
      <c r="A38">
        <v>69</v>
      </c>
      <c r="B38" t="s">
        <v>278</v>
      </c>
      <c r="C38" t="s">
        <v>311</v>
      </c>
      <c r="D38">
        <v>1</v>
      </c>
      <c r="E38">
        <v>41.27</v>
      </c>
      <c r="F38" t="s">
        <v>285</v>
      </c>
      <c r="G38">
        <v>41.27</v>
      </c>
      <c r="H38">
        <v>49.53</v>
      </c>
      <c r="I38" t="s">
        <v>312</v>
      </c>
      <c r="J38" t="s">
        <v>313</v>
      </c>
      <c r="K38" t="s">
        <v>465</v>
      </c>
      <c r="L38" t="s">
        <v>174</v>
      </c>
      <c r="M38" t="s">
        <v>452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452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49.53</v>
      </c>
      <c r="AU38">
        <f>$H$38*$AA$38</f>
        <v>49.53</v>
      </c>
      <c r="AV38">
        <f>$H$38*$AB$38</f>
        <v>49.53</v>
      </c>
      <c r="AW38">
        <f>$H$38*$AC$38</f>
        <v>49.53</v>
      </c>
      <c r="AX38">
        <f>$H$38*$AD$38</f>
        <v>49.53</v>
      </c>
      <c r="AY38">
        <f>$H$38*$AE$38</f>
        <v>49.53</v>
      </c>
      <c r="AZ38">
        <f>$H$38*$AF$38</f>
        <v>49.53</v>
      </c>
    </row>
    <row r="39" spans="1:52" x14ac:dyDescent="0.25">
      <c r="A39">
        <v>70</v>
      </c>
      <c r="B39" t="s">
        <v>278</v>
      </c>
      <c r="C39" t="s">
        <v>314</v>
      </c>
      <c r="D39">
        <v>1</v>
      </c>
      <c r="E39">
        <v>411.12</v>
      </c>
      <c r="F39" t="s">
        <v>285</v>
      </c>
      <c r="G39">
        <v>411.12</v>
      </c>
      <c r="H39">
        <v>493.34</v>
      </c>
      <c r="I39" t="s">
        <v>315</v>
      </c>
      <c r="J39" t="s">
        <v>316</v>
      </c>
      <c r="K39" t="s">
        <v>466</v>
      </c>
      <c r="L39" t="s">
        <v>174</v>
      </c>
      <c r="M39" t="s">
        <v>452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452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493.34</v>
      </c>
      <c r="AO39">
        <f>$H$39*$U$39</f>
        <v>493.34</v>
      </c>
      <c r="AP39">
        <f>$H$39*$V$39</f>
        <v>493.34</v>
      </c>
      <c r="AQ39">
        <f>$H$39*$W$39</f>
        <v>493.34</v>
      </c>
      <c r="AR39">
        <f>$H$39*$X$39</f>
        <v>493.34</v>
      </c>
      <c r="AS39">
        <f>$H$39*$Y$39</f>
        <v>493.34</v>
      </c>
      <c r="AT39">
        <f>$H$39*$Z$39</f>
        <v>493.34</v>
      </c>
      <c r="AU39">
        <f>$H$39*$AA$39</f>
        <v>493.34</v>
      </c>
      <c r="AV39">
        <f>$H$39*$AB$39</f>
        <v>493.34</v>
      </c>
      <c r="AW39">
        <f>$H$39*$AC$39</f>
        <v>493.34</v>
      </c>
      <c r="AX39">
        <f>$H$39*$AD$39</f>
        <v>493.34</v>
      </c>
      <c r="AY39">
        <f>$H$39*$AE$39</f>
        <v>493.34</v>
      </c>
      <c r="AZ39">
        <f>$H$39*$AF$39</f>
        <v>493.34</v>
      </c>
    </row>
    <row r="40" spans="1:52" x14ac:dyDescent="0.25">
      <c r="A40">
        <v>71</v>
      </c>
      <c r="B40" t="s">
        <v>278</v>
      </c>
      <c r="C40" t="s">
        <v>317</v>
      </c>
      <c r="D40">
        <v>2</v>
      </c>
      <c r="E40">
        <v>106.22</v>
      </c>
      <c r="F40" t="s">
        <v>285</v>
      </c>
      <c r="G40">
        <v>53.11</v>
      </c>
      <c r="H40">
        <v>127.46</v>
      </c>
      <c r="I40" t="s">
        <v>281</v>
      </c>
      <c r="J40" t="s">
        <v>318</v>
      </c>
      <c r="K40" t="s">
        <v>467</v>
      </c>
      <c r="L40" t="s">
        <v>174</v>
      </c>
      <c r="M40" t="s">
        <v>452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452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127.46</v>
      </c>
      <c r="AN40">
        <f>$H$40*$T$40</f>
        <v>127.46</v>
      </c>
      <c r="AO40">
        <f>$H$40*$U$40</f>
        <v>127.46</v>
      </c>
      <c r="AP40">
        <f>$H$40*$V$40</f>
        <v>127.46</v>
      </c>
      <c r="AQ40">
        <f>$H$40*$W$40</f>
        <v>127.46</v>
      </c>
      <c r="AR40">
        <f>$H$40*$X$40</f>
        <v>127.46</v>
      </c>
      <c r="AS40">
        <f>$H$40*$Y$40</f>
        <v>127.46</v>
      </c>
      <c r="AT40">
        <f>$H$40*$Z$40</f>
        <v>127.46</v>
      </c>
      <c r="AU40">
        <f>$H$40*$AA$40</f>
        <v>127.46</v>
      </c>
      <c r="AV40">
        <f>$H$40*$AB$40</f>
        <v>127.46</v>
      </c>
      <c r="AW40">
        <f>$H$40*$AC$40</f>
        <v>127.46</v>
      </c>
      <c r="AX40">
        <f>$H$40*$AD$40</f>
        <v>127.46</v>
      </c>
      <c r="AY40">
        <f>$H$40*$AE$40</f>
        <v>127.46</v>
      </c>
      <c r="AZ40">
        <f>$H$40*$AF$40</f>
        <v>127.46</v>
      </c>
    </row>
    <row r="41" spans="1:52" x14ac:dyDescent="0.25">
      <c r="A41">
        <v>72</v>
      </c>
      <c r="B41" t="s">
        <v>278</v>
      </c>
      <c r="C41" t="s">
        <v>319</v>
      </c>
      <c r="D41">
        <v>2</v>
      </c>
      <c r="E41">
        <v>126.18</v>
      </c>
      <c r="F41" t="s">
        <v>285</v>
      </c>
      <c r="G41">
        <v>63.09</v>
      </c>
      <c r="H41">
        <v>151.41999999999999</v>
      </c>
      <c r="I41" t="s">
        <v>281</v>
      </c>
      <c r="J41" t="s">
        <v>315</v>
      </c>
      <c r="K41" t="s">
        <v>468</v>
      </c>
      <c r="L41" t="s">
        <v>174</v>
      </c>
      <c r="M41" t="s">
        <v>452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452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151.41999999999999</v>
      </c>
      <c r="AN41">
        <f>$H$41*$T$41</f>
        <v>151.41999999999999</v>
      </c>
      <c r="AO41">
        <f>$H$41*$U$41</f>
        <v>151.41999999999999</v>
      </c>
      <c r="AP41">
        <f>$H$41*$V$41</f>
        <v>151.41999999999999</v>
      </c>
      <c r="AQ41">
        <f>$H$41*$W$41</f>
        <v>151.41999999999999</v>
      </c>
      <c r="AR41">
        <f>$H$41*$X$41</f>
        <v>151.41999999999999</v>
      </c>
      <c r="AS41">
        <f>$H$41*$Y$41</f>
        <v>151.41999999999999</v>
      </c>
      <c r="AT41">
        <f>$H$41*$Z$41</f>
        <v>151.41999999999999</v>
      </c>
      <c r="AU41">
        <f>$H$41*$AA$41</f>
        <v>151.41999999999999</v>
      </c>
      <c r="AV41">
        <f>$H$41*$AB$41</f>
        <v>151.41999999999999</v>
      </c>
      <c r="AW41">
        <f>$H$41*$AC$41</f>
        <v>151.41999999999999</v>
      </c>
      <c r="AX41">
        <f>$H$41*$AD$41</f>
        <v>151.41999999999999</v>
      </c>
      <c r="AY41">
        <f>$H$41*$AE$41</f>
        <v>151.41999999999999</v>
      </c>
      <c r="AZ41">
        <f>$H$41*$AF$41</f>
        <v>151.41999999999999</v>
      </c>
    </row>
    <row r="42" spans="1:52" x14ac:dyDescent="0.25">
      <c r="A42">
        <v>73</v>
      </c>
      <c r="B42" t="s">
        <v>246</v>
      </c>
      <c r="C42" t="s">
        <v>351</v>
      </c>
      <c r="D42">
        <v>6</v>
      </c>
      <c r="E42">
        <v>96.48</v>
      </c>
      <c r="F42" t="s">
        <v>285</v>
      </c>
      <c r="G42">
        <v>16.079999999999998</v>
      </c>
      <c r="H42">
        <v>115.78</v>
      </c>
      <c r="I42" t="s">
        <v>287</v>
      </c>
      <c r="J42" t="s">
        <v>352</v>
      </c>
      <c r="K42" t="s">
        <v>485</v>
      </c>
      <c r="L42" t="s">
        <v>174</v>
      </c>
      <c r="M42" t="s">
        <v>246</v>
      </c>
      <c r="N42" t="s">
        <v>12</v>
      </c>
      <c r="O42" t="s">
        <v>15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246</v>
      </c>
      <c r="AH42" t="s">
        <v>12</v>
      </c>
      <c r="AI42" t="s">
        <v>15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115.78</v>
      </c>
      <c r="AS42">
        <f>$H$42*$Y$42</f>
        <v>115.78</v>
      </c>
      <c r="AT42">
        <f>$H$42*$Z$42</f>
        <v>115.78</v>
      </c>
      <c r="AU42">
        <f>$H$42*$AA$42</f>
        <v>115.78</v>
      </c>
      <c r="AV42">
        <f>$H$42*$AB$42</f>
        <v>115.78</v>
      </c>
      <c r="AW42">
        <f>$H$42*$AC$42</f>
        <v>115.78</v>
      </c>
      <c r="AX42">
        <f>$H$42*$AD$42</f>
        <v>115.78</v>
      </c>
      <c r="AY42">
        <f>$H$42*$AE$42</f>
        <v>115.78</v>
      </c>
      <c r="AZ42">
        <f>$H$42*$AF$42</f>
        <v>115.78</v>
      </c>
    </row>
    <row r="43" spans="1:52" x14ac:dyDescent="0.25">
      <c r="A43">
        <v>74</v>
      </c>
      <c r="B43" t="s">
        <v>246</v>
      </c>
      <c r="C43" t="s">
        <v>302</v>
      </c>
      <c r="D43">
        <v>11</v>
      </c>
      <c r="E43">
        <v>85.03</v>
      </c>
      <c r="F43" t="s">
        <v>280</v>
      </c>
      <c r="G43">
        <v>7.73</v>
      </c>
      <c r="H43">
        <v>102.03</v>
      </c>
      <c r="I43" t="s">
        <v>281</v>
      </c>
      <c r="J43" t="s">
        <v>303</v>
      </c>
      <c r="K43" t="s">
        <v>461</v>
      </c>
      <c r="L43" t="s">
        <v>174</v>
      </c>
      <c r="M43" t="s">
        <v>246</v>
      </c>
      <c r="N43" t="s">
        <v>12</v>
      </c>
      <c r="O43" t="s">
        <v>15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246</v>
      </c>
      <c r="AH43" t="s">
        <v>12</v>
      </c>
      <c r="AI43" t="s">
        <v>15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102.03</v>
      </c>
      <c r="AV43">
        <f>$H$43*$AB$43</f>
        <v>102.03</v>
      </c>
      <c r="AW43">
        <f>$H$43*$AC$43</f>
        <v>102.03</v>
      </c>
      <c r="AX43">
        <f>$H$43*$AD$43</f>
        <v>102.03</v>
      </c>
      <c r="AY43">
        <f>$H$43*$AE$43</f>
        <v>102.03</v>
      </c>
      <c r="AZ43">
        <f>$H$43*$AF$43</f>
        <v>102.03</v>
      </c>
    </row>
    <row r="44" spans="1:52" x14ac:dyDescent="0.25">
      <c r="A44">
        <v>75</v>
      </c>
      <c r="B44" t="s">
        <v>246</v>
      </c>
      <c r="C44" t="s">
        <v>304</v>
      </c>
      <c r="D44">
        <v>11</v>
      </c>
      <c r="E44">
        <v>141.02000000000001</v>
      </c>
      <c r="F44" t="s">
        <v>280</v>
      </c>
      <c r="G44">
        <v>12.82</v>
      </c>
      <c r="H44">
        <v>169.22</v>
      </c>
      <c r="I44" t="s">
        <v>284</v>
      </c>
      <c r="J44" t="s">
        <v>305</v>
      </c>
      <c r="K44" t="s">
        <v>462</v>
      </c>
      <c r="L44" t="s">
        <v>174</v>
      </c>
      <c r="M44" t="s">
        <v>246</v>
      </c>
      <c r="N44" t="s">
        <v>12</v>
      </c>
      <c r="O44" t="s">
        <v>15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246</v>
      </c>
      <c r="AH44" t="s">
        <v>12</v>
      </c>
      <c r="AI44" t="s">
        <v>15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0</v>
      </c>
      <c r="AT44">
        <f>$H$44*$Z$44</f>
        <v>0</v>
      </c>
      <c r="AU44">
        <f>$H$44*$AA$44</f>
        <v>169.22</v>
      </c>
      <c r="AV44">
        <f>$H$44*$AB$44</f>
        <v>169.22</v>
      </c>
      <c r="AW44">
        <f>$H$44*$AC$44</f>
        <v>169.22</v>
      </c>
      <c r="AX44">
        <f>$H$44*$AD$44</f>
        <v>169.22</v>
      </c>
      <c r="AY44">
        <f>$H$44*$AE$44</f>
        <v>169.22</v>
      </c>
      <c r="AZ44">
        <f>$H$44*$AF$44</f>
        <v>169.22</v>
      </c>
    </row>
    <row r="45" spans="1:52" x14ac:dyDescent="0.25">
      <c r="A45">
        <v>76</v>
      </c>
      <c r="B45" t="s">
        <v>246</v>
      </c>
      <c r="C45" t="s">
        <v>353</v>
      </c>
      <c r="D45">
        <v>1</v>
      </c>
      <c r="E45">
        <v>55.73</v>
      </c>
      <c r="F45" t="s">
        <v>285</v>
      </c>
      <c r="G45">
        <v>55.73</v>
      </c>
      <c r="H45">
        <v>66.87</v>
      </c>
      <c r="I45" t="s">
        <v>290</v>
      </c>
      <c r="J45" t="s">
        <v>354</v>
      </c>
      <c r="K45" t="s">
        <v>486</v>
      </c>
      <c r="L45" t="s">
        <v>174</v>
      </c>
      <c r="M45" t="s">
        <v>246</v>
      </c>
      <c r="N45" t="s">
        <v>12</v>
      </c>
      <c r="O45" t="s">
        <v>15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1</v>
      </c>
      <c r="AF45">
        <v>1</v>
      </c>
      <c r="AG45" t="s">
        <v>246</v>
      </c>
      <c r="AH45" t="s">
        <v>12</v>
      </c>
      <c r="AI45" t="s">
        <v>15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0</v>
      </c>
      <c r="AV45">
        <f>$H$45*$AB$45</f>
        <v>0</v>
      </c>
      <c r="AW45">
        <f>$H$45*$AC$45</f>
        <v>0</v>
      </c>
      <c r="AX45">
        <f>$H$45*$AD$45</f>
        <v>66.87</v>
      </c>
      <c r="AY45">
        <f>$H$45*$AE$45</f>
        <v>66.87</v>
      </c>
      <c r="AZ45">
        <f>$H$45*$AF$45</f>
        <v>66.87</v>
      </c>
    </row>
    <row r="46" spans="1:52" x14ac:dyDescent="0.25">
      <c r="A46">
        <v>77</v>
      </c>
      <c r="B46" t="s">
        <v>246</v>
      </c>
      <c r="C46" t="s">
        <v>355</v>
      </c>
      <c r="D46">
        <v>1</v>
      </c>
      <c r="E46">
        <v>49.09</v>
      </c>
      <c r="F46" t="s">
        <v>285</v>
      </c>
      <c r="G46">
        <v>49.09</v>
      </c>
      <c r="H46">
        <v>58.91</v>
      </c>
      <c r="I46" t="s">
        <v>312</v>
      </c>
      <c r="J46" t="s">
        <v>356</v>
      </c>
      <c r="K46" t="s">
        <v>487</v>
      </c>
      <c r="L46" t="s">
        <v>174</v>
      </c>
      <c r="M46" t="s">
        <v>246</v>
      </c>
      <c r="N46" t="s">
        <v>12</v>
      </c>
      <c r="O46" t="s">
        <v>15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246</v>
      </c>
      <c r="AH46" t="s">
        <v>12</v>
      </c>
      <c r="AI46" t="s">
        <v>15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58.91</v>
      </c>
      <c r="AV46">
        <f>$H$46*$AB$46</f>
        <v>58.91</v>
      </c>
      <c r="AW46">
        <f>$H$46*$AC$46</f>
        <v>58.91</v>
      </c>
      <c r="AX46">
        <f>$H$46*$AD$46</f>
        <v>58.91</v>
      </c>
      <c r="AY46">
        <f>$H$46*$AE$46</f>
        <v>58.91</v>
      </c>
      <c r="AZ46">
        <f>$H$46*$AF$46</f>
        <v>58.91</v>
      </c>
    </row>
    <row r="47" spans="1:52" x14ac:dyDescent="0.25">
      <c r="A47">
        <v>78</v>
      </c>
      <c r="B47" t="s">
        <v>246</v>
      </c>
      <c r="C47" t="s">
        <v>319</v>
      </c>
      <c r="D47">
        <v>2</v>
      </c>
      <c r="E47">
        <v>126.18</v>
      </c>
      <c r="F47" t="s">
        <v>285</v>
      </c>
      <c r="G47">
        <v>63.09</v>
      </c>
      <c r="H47">
        <v>151.41999999999999</v>
      </c>
      <c r="I47" t="s">
        <v>281</v>
      </c>
      <c r="J47" t="s">
        <v>315</v>
      </c>
      <c r="K47" t="s">
        <v>468</v>
      </c>
      <c r="L47" t="s">
        <v>174</v>
      </c>
      <c r="M47" t="s">
        <v>246</v>
      </c>
      <c r="N47" t="s">
        <v>12</v>
      </c>
      <c r="O47" t="s">
        <v>15</v>
      </c>
      <c r="P47">
        <v>0</v>
      </c>
      <c r="Q47">
        <v>0</v>
      </c>
      <c r="R47">
        <v>0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246</v>
      </c>
      <c r="AH47" t="s">
        <v>12</v>
      </c>
      <c r="AI47" t="s">
        <v>15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151.41999999999999</v>
      </c>
      <c r="AN47">
        <f>$H$47*$T$47</f>
        <v>151.41999999999999</v>
      </c>
      <c r="AO47">
        <f>$H$47*$U$47</f>
        <v>151.41999999999999</v>
      </c>
      <c r="AP47">
        <f>$H$47*$V$47</f>
        <v>151.41999999999999</v>
      </c>
      <c r="AQ47">
        <f>$H$47*$W$47</f>
        <v>151.41999999999999</v>
      </c>
      <c r="AR47">
        <f>$H$47*$X$47</f>
        <v>151.41999999999999</v>
      </c>
      <c r="AS47">
        <f>$H$47*$Y$47</f>
        <v>151.41999999999999</v>
      </c>
      <c r="AT47">
        <f>$H$47*$Z$47</f>
        <v>151.41999999999999</v>
      </c>
      <c r="AU47">
        <f>$H$47*$AA$47</f>
        <v>151.41999999999999</v>
      </c>
      <c r="AV47">
        <f>$H$47*$AB$47</f>
        <v>151.41999999999999</v>
      </c>
      <c r="AW47">
        <f>$H$47*$AC$47</f>
        <v>151.41999999999999</v>
      </c>
      <c r="AX47">
        <f>$H$47*$AD$47</f>
        <v>151.41999999999999</v>
      </c>
      <c r="AY47">
        <f>$H$47*$AE$47</f>
        <v>151.41999999999999</v>
      </c>
      <c r="AZ47">
        <f>$H$47*$AF$47</f>
        <v>151.41999999999999</v>
      </c>
    </row>
    <row r="48" spans="1:52" x14ac:dyDescent="0.25">
      <c r="A48">
        <v>79</v>
      </c>
      <c r="B48" t="s">
        <v>246</v>
      </c>
      <c r="C48" t="s">
        <v>314</v>
      </c>
      <c r="D48">
        <v>1</v>
      </c>
      <c r="E48">
        <v>411.12</v>
      </c>
      <c r="F48" t="s">
        <v>285</v>
      </c>
      <c r="G48">
        <v>411.12</v>
      </c>
      <c r="H48">
        <v>493.34</v>
      </c>
      <c r="I48" t="s">
        <v>315</v>
      </c>
      <c r="J48" t="s">
        <v>316</v>
      </c>
      <c r="K48" t="s">
        <v>466</v>
      </c>
      <c r="L48" t="s">
        <v>174</v>
      </c>
      <c r="M48" t="s">
        <v>246</v>
      </c>
      <c r="N48" t="s">
        <v>12</v>
      </c>
      <c r="O48" t="s">
        <v>15</v>
      </c>
      <c r="P48">
        <v>0</v>
      </c>
      <c r="Q48">
        <v>0</v>
      </c>
      <c r="R48">
        <v>0</v>
      </c>
      <c r="S48">
        <v>0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246</v>
      </c>
      <c r="AH48" t="s">
        <v>12</v>
      </c>
      <c r="AI48" t="s">
        <v>15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493.34</v>
      </c>
      <c r="AO48">
        <f>$H$48*$U$48</f>
        <v>493.34</v>
      </c>
      <c r="AP48">
        <f>$H$48*$V$48</f>
        <v>493.34</v>
      </c>
      <c r="AQ48">
        <f>$H$48*$W$48</f>
        <v>493.34</v>
      </c>
      <c r="AR48">
        <f>$H$48*$X$48</f>
        <v>493.34</v>
      </c>
      <c r="AS48">
        <f>$H$48*$Y$48</f>
        <v>493.34</v>
      </c>
      <c r="AT48">
        <f>$H$48*$Z$48</f>
        <v>493.34</v>
      </c>
      <c r="AU48">
        <f>$H$48*$AA$48</f>
        <v>493.34</v>
      </c>
      <c r="AV48">
        <f>$H$48*$AB$48</f>
        <v>493.34</v>
      </c>
      <c r="AW48">
        <f>$H$48*$AC$48</f>
        <v>493.34</v>
      </c>
      <c r="AX48">
        <f>$H$48*$AD$48</f>
        <v>493.34</v>
      </c>
      <c r="AY48">
        <f>$H$48*$AE$48</f>
        <v>493.34</v>
      </c>
      <c r="AZ48">
        <f>$H$48*$AF$48</f>
        <v>493.34</v>
      </c>
    </row>
    <row r="49" spans="1:52" x14ac:dyDescent="0.25">
      <c r="A49">
        <v>80</v>
      </c>
      <c r="B49" t="s">
        <v>246</v>
      </c>
      <c r="C49" t="s">
        <v>306</v>
      </c>
      <c r="D49">
        <v>188</v>
      </c>
      <c r="E49">
        <v>304.56</v>
      </c>
      <c r="F49" t="s">
        <v>298</v>
      </c>
      <c r="G49">
        <v>1.62</v>
      </c>
      <c r="H49">
        <v>365.48</v>
      </c>
      <c r="I49" t="s">
        <v>281</v>
      </c>
      <c r="J49" t="s">
        <v>307</v>
      </c>
      <c r="K49" t="s">
        <v>463</v>
      </c>
      <c r="L49" t="s">
        <v>174</v>
      </c>
      <c r="M49" t="s">
        <v>246</v>
      </c>
      <c r="N49" t="s">
        <v>12</v>
      </c>
      <c r="O49" t="s">
        <v>15</v>
      </c>
      <c r="P49">
        <v>0</v>
      </c>
      <c r="Q49">
        <v>0</v>
      </c>
      <c r="R49">
        <v>0</v>
      </c>
      <c r="S49">
        <v>0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246</v>
      </c>
      <c r="AH49" t="s">
        <v>12</v>
      </c>
      <c r="AI49" t="s">
        <v>15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365.48</v>
      </c>
      <c r="AO49">
        <f>$H$49*$U$49</f>
        <v>365.48</v>
      </c>
      <c r="AP49">
        <f>$H$49*$V$49</f>
        <v>365.48</v>
      </c>
      <c r="AQ49">
        <f>$H$49*$W$49</f>
        <v>365.48</v>
      </c>
      <c r="AR49">
        <f>$H$49*$X$49</f>
        <v>365.48</v>
      </c>
      <c r="AS49">
        <f>$H$49*$Y$49</f>
        <v>365.48</v>
      </c>
      <c r="AT49">
        <f>$H$49*$Z$49</f>
        <v>365.48</v>
      </c>
      <c r="AU49">
        <f>$H$49*$AA$49</f>
        <v>365.48</v>
      </c>
      <c r="AV49">
        <f>$H$49*$AB$49</f>
        <v>365.48</v>
      </c>
      <c r="AW49">
        <f>$H$49*$AC$49</f>
        <v>365.48</v>
      </c>
      <c r="AX49">
        <f>$H$49*$AD$49</f>
        <v>365.48</v>
      </c>
      <c r="AY49">
        <f>$H$49*$AE$49</f>
        <v>365.48</v>
      </c>
      <c r="AZ49">
        <f>$H$49*$AF$49</f>
        <v>365.48</v>
      </c>
    </row>
    <row r="50" spans="1:52" x14ac:dyDescent="0.25">
      <c r="A50">
        <v>81</v>
      </c>
      <c r="B50" t="s">
        <v>246</v>
      </c>
      <c r="C50" t="s">
        <v>357</v>
      </c>
      <c r="D50">
        <v>188</v>
      </c>
      <c r="E50">
        <v>631.67999999999995</v>
      </c>
      <c r="F50" t="s">
        <v>298</v>
      </c>
      <c r="G50">
        <v>3.36</v>
      </c>
      <c r="H50">
        <v>758.02</v>
      </c>
      <c r="I50" t="s">
        <v>309</v>
      </c>
      <c r="J50" t="s">
        <v>358</v>
      </c>
      <c r="K50" t="s">
        <v>488</v>
      </c>
      <c r="L50" t="s">
        <v>174</v>
      </c>
      <c r="M50" t="s">
        <v>246</v>
      </c>
      <c r="N50" t="s">
        <v>12</v>
      </c>
      <c r="O50" t="s">
        <v>15</v>
      </c>
      <c r="P50">
        <v>0</v>
      </c>
      <c r="Q50">
        <v>0</v>
      </c>
      <c r="R50">
        <v>0</v>
      </c>
      <c r="S50">
        <v>0.25</v>
      </c>
      <c r="T50">
        <v>0.25</v>
      </c>
      <c r="U50">
        <v>0.25</v>
      </c>
      <c r="V50">
        <v>0.25</v>
      </c>
      <c r="W50">
        <v>0.25</v>
      </c>
      <c r="X50">
        <v>0.5</v>
      </c>
      <c r="Y50">
        <v>0.5</v>
      </c>
      <c r="Z50">
        <v>0.5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246</v>
      </c>
      <c r="AH50" t="s">
        <v>12</v>
      </c>
      <c r="AI50" t="s">
        <v>15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189.505</v>
      </c>
      <c r="AN50">
        <f>$H$50*$T$50</f>
        <v>189.505</v>
      </c>
      <c r="AO50">
        <f>$H$50*$U$50</f>
        <v>189.505</v>
      </c>
      <c r="AP50">
        <f>$H$50*$V$50</f>
        <v>189.505</v>
      </c>
      <c r="AQ50">
        <f>$H$50*$W$50</f>
        <v>189.505</v>
      </c>
      <c r="AR50">
        <f>$H$50*$X$50</f>
        <v>379.01</v>
      </c>
      <c r="AS50">
        <f>$H$50*$Y$50</f>
        <v>379.01</v>
      </c>
      <c r="AT50">
        <f>$H$50*$Z$50</f>
        <v>379.01</v>
      </c>
      <c r="AU50">
        <f>$H$50*$AA$50</f>
        <v>758.02</v>
      </c>
      <c r="AV50">
        <f>$H$50*$AB$50</f>
        <v>758.02</v>
      </c>
      <c r="AW50">
        <f>$H$50*$AC$50</f>
        <v>758.02</v>
      </c>
      <c r="AX50">
        <f>$H$50*$AD$50</f>
        <v>758.02</v>
      </c>
      <c r="AY50">
        <f>$H$50*$AE$50</f>
        <v>758.02</v>
      </c>
      <c r="AZ50">
        <f>$H$50*$AF$50</f>
        <v>758.02</v>
      </c>
    </row>
    <row r="51" spans="1:52" x14ac:dyDescent="0.25">
      <c r="A51">
        <v>82</v>
      </c>
      <c r="B51" t="s">
        <v>246</v>
      </c>
      <c r="C51" t="s">
        <v>359</v>
      </c>
      <c r="D51">
        <v>23.5</v>
      </c>
      <c r="E51">
        <v>89.77</v>
      </c>
      <c r="F51" t="s">
        <v>280</v>
      </c>
      <c r="G51">
        <v>3.82</v>
      </c>
      <c r="H51">
        <v>107.73</v>
      </c>
      <c r="I51" t="s">
        <v>284</v>
      </c>
      <c r="J51" t="s">
        <v>360</v>
      </c>
      <c r="K51" t="s">
        <v>489</v>
      </c>
      <c r="L51" t="s">
        <v>174</v>
      </c>
      <c r="M51" t="s">
        <v>246</v>
      </c>
      <c r="N51" t="s">
        <v>12</v>
      </c>
      <c r="O51" t="s">
        <v>15</v>
      </c>
      <c r="P51">
        <v>0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246</v>
      </c>
      <c r="AH51" t="s">
        <v>12</v>
      </c>
      <c r="AI51" t="s">
        <v>15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107.73</v>
      </c>
      <c r="AN51">
        <f>$H$51*$T$51</f>
        <v>107.73</v>
      </c>
      <c r="AO51">
        <f>$H$51*$U$51</f>
        <v>107.73</v>
      </c>
      <c r="AP51">
        <f>$H$51*$V$51</f>
        <v>107.73</v>
      </c>
      <c r="AQ51">
        <f>$H$51*$W$51</f>
        <v>107.73</v>
      </c>
      <c r="AR51">
        <f>$H$51*$X$51</f>
        <v>107.73</v>
      </c>
      <c r="AS51">
        <f>$H$51*$Y$51</f>
        <v>107.73</v>
      </c>
      <c r="AT51">
        <f>$H$51*$Z$51</f>
        <v>107.73</v>
      </c>
      <c r="AU51">
        <f>$H$51*$AA$51</f>
        <v>107.73</v>
      </c>
      <c r="AV51">
        <f>$H$51*$AB$51</f>
        <v>107.73</v>
      </c>
      <c r="AW51">
        <f>$H$51*$AC$51</f>
        <v>107.73</v>
      </c>
      <c r="AX51">
        <f>$H$51*$AD$51</f>
        <v>107.73</v>
      </c>
      <c r="AY51">
        <f>$H$51*$AE$51</f>
        <v>107.73</v>
      </c>
      <c r="AZ51">
        <f>$H$51*$AF$51</f>
        <v>107.73</v>
      </c>
    </row>
    <row r="52" spans="1:52" x14ac:dyDescent="0.25">
      <c r="A52">
        <v>83</v>
      </c>
      <c r="B52" t="s">
        <v>246</v>
      </c>
      <c r="C52" t="s">
        <v>357</v>
      </c>
      <c r="D52">
        <v>33.6</v>
      </c>
      <c r="E52">
        <v>112.9</v>
      </c>
      <c r="F52" t="s">
        <v>298</v>
      </c>
      <c r="G52">
        <v>3.36</v>
      </c>
      <c r="H52">
        <v>135.47999999999999</v>
      </c>
      <c r="I52" t="s">
        <v>309</v>
      </c>
      <c r="J52" t="s">
        <v>358</v>
      </c>
      <c r="K52" t="s">
        <v>488</v>
      </c>
      <c r="L52" t="s">
        <v>174</v>
      </c>
      <c r="M52" t="s">
        <v>246</v>
      </c>
      <c r="N52" t="s">
        <v>12</v>
      </c>
      <c r="O52" t="s">
        <v>15</v>
      </c>
      <c r="P52">
        <v>0</v>
      </c>
      <c r="Q52">
        <v>0</v>
      </c>
      <c r="R52">
        <v>0</v>
      </c>
      <c r="S52">
        <v>0.25</v>
      </c>
      <c r="T52">
        <v>0.25</v>
      </c>
      <c r="U52">
        <v>0.25</v>
      </c>
      <c r="V52">
        <v>0.25</v>
      </c>
      <c r="W52">
        <v>0.25</v>
      </c>
      <c r="X52">
        <v>0.5</v>
      </c>
      <c r="Y52">
        <v>0.5</v>
      </c>
      <c r="Z52">
        <v>0.5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246</v>
      </c>
      <c r="AH52" t="s">
        <v>12</v>
      </c>
      <c r="AI52" t="s">
        <v>15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33.869999999999997</v>
      </c>
      <c r="AN52">
        <f>$H$52*$T$52</f>
        <v>33.869999999999997</v>
      </c>
      <c r="AO52">
        <f>$H$52*$U$52</f>
        <v>33.869999999999997</v>
      </c>
      <c r="AP52">
        <f>$H$52*$V$52</f>
        <v>33.869999999999997</v>
      </c>
      <c r="AQ52">
        <f>$H$52*$W$52</f>
        <v>33.869999999999997</v>
      </c>
      <c r="AR52">
        <f>$H$52*$X$52</f>
        <v>67.739999999999995</v>
      </c>
      <c r="AS52">
        <f>$H$52*$Y$52</f>
        <v>67.739999999999995</v>
      </c>
      <c r="AT52">
        <f>$H$52*$Z$52</f>
        <v>67.739999999999995</v>
      </c>
      <c r="AU52">
        <f>$H$52*$AA$52</f>
        <v>135.47999999999999</v>
      </c>
      <c r="AV52">
        <f>$H$52*$AB$52</f>
        <v>135.47999999999999</v>
      </c>
      <c r="AW52">
        <f>$H$52*$AC$52</f>
        <v>135.47999999999999</v>
      </c>
      <c r="AX52">
        <f>$H$52*$AD$52</f>
        <v>135.47999999999999</v>
      </c>
      <c r="AY52">
        <f>$H$52*$AE$52</f>
        <v>135.47999999999999</v>
      </c>
      <c r="AZ52">
        <f>$H$52*$AF$52</f>
        <v>135.47999999999999</v>
      </c>
    </row>
    <row r="53" spans="1:52" x14ac:dyDescent="0.25">
      <c r="A53">
        <v>84</v>
      </c>
      <c r="B53" t="s">
        <v>246</v>
      </c>
      <c r="C53" t="s">
        <v>361</v>
      </c>
      <c r="D53">
        <v>33.6</v>
      </c>
      <c r="E53">
        <v>35.619999999999997</v>
      </c>
      <c r="F53" t="s">
        <v>298</v>
      </c>
      <c r="G53">
        <v>1.06</v>
      </c>
      <c r="H53">
        <v>42.74</v>
      </c>
      <c r="I53" t="s">
        <v>281</v>
      </c>
      <c r="J53" t="s">
        <v>362</v>
      </c>
      <c r="K53" t="s">
        <v>490</v>
      </c>
      <c r="L53" t="s">
        <v>174</v>
      </c>
      <c r="M53" t="s">
        <v>246</v>
      </c>
      <c r="N53" t="s">
        <v>12</v>
      </c>
      <c r="O53" t="s">
        <v>15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1</v>
      </c>
      <c r="AF53">
        <v>1</v>
      </c>
      <c r="AG53" t="s">
        <v>246</v>
      </c>
      <c r="AH53" t="s">
        <v>12</v>
      </c>
      <c r="AI53" t="s">
        <v>15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0</v>
      </c>
      <c r="AV53">
        <f>$H$53*$AB$53</f>
        <v>0</v>
      </c>
      <c r="AW53">
        <f>$H$53*$AC$53</f>
        <v>0</v>
      </c>
      <c r="AX53">
        <f>$H$53*$AD$53</f>
        <v>42.74</v>
      </c>
      <c r="AY53">
        <f>$H$53*$AE$53</f>
        <v>42.74</v>
      </c>
      <c r="AZ53">
        <f>$H$53*$AF$53</f>
        <v>42.74</v>
      </c>
    </row>
    <row r="54" spans="1:52" x14ac:dyDescent="0.25">
      <c r="A54">
        <v>85</v>
      </c>
      <c r="B54" t="s">
        <v>246</v>
      </c>
      <c r="C54" t="s">
        <v>363</v>
      </c>
      <c r="D54">
        <v>33.6</v>
      </c>
      <c r="E54">
        <v>37.630000000000003</v>
      </c>
      <c r="F54" t="s">
        <v>298</v>
      </c>
      <c r="G54">
        <v>1.1200000000000001</v>
      </c>
      <c r="H54">
        <v>45.15</v>
      </c>
      <c r="I54" t="s">
        <v>281</v>
      </c>
      <c r="J54" t="s">
        <v>364</v>
      </c>
      <c r="K54" t="s">
        <v>491</v>
      </c>
      <c r="L54" t="s">
        <v>174</v>
      </c>
      <c r="M54" t="s">
        <v>246</v>
      </c>
      <c r="N54" t="s">
        <v>12</v>
      </c>
      <c r="O54" t="s">
        <v>15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246</v>
      </c>
      <c r="AH54" t="s">
        <v>12</v>
      </c>
      <c r="AI54" t="s">
        <v>15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45.15</v>
      </c>
      <c r="AN54">
        <f>$H$54*$T$54</f>
        <v>45.15</v>
      </c>
      <c r="AO54">
        <f>$H$54*$U$54</f>
        <v>45.15</v>
      </c>
      <c r="AP54">
        <f>$H$54*$V$54</f>
        <v>45.15</v>
      </c>
      <c r="AQ54">
        <f>$H$54*$W$54</f>
        <v>45.15</v>
      </c>
      <c r="AR54">
        <f>$H$54*$X$54</f>
        <v>45.15</v>
      </c>
      <c r="AS54">
        <f>$H$54*$Y$54</f>
        <v>45.15</v>
      </c>
      <c r="AT54">
        <f>$H$54*$Z$54</f>
        <v>45.15</v>
      </c>
      <c r="AU54">
        <f>$H$54*$AA$54</f>
        <v>45.15</v>
      </c>
      <c r="AV54">
        <f>$H$54*$AB$54</f>
        <v>45.15</v>
      </c>
      <c r="AW54">
        <f>$H$54*$AC$54</f>
        <v>45.15</v>
      </c>
      <c r="AX54">
        <f>$H$54*$AD$54</f>
        <v>45.15</v>
      </c>
      <c r="AY54">
        <f>$H$54*$AE$54</f>
        <v>45.15</v>
      </c>
      <c r="AZ54">
        <f>$H$54*$AF$54</f>
        <v>45.15</v>
      </c>
    </row>
    <row r="55" spans="1:52" x14ac:dyDescent="0.25">
      <c r="A55">
        <v>86</v>
      </c>
      <c r="B55" t="s">
        <v>246</v>
      </c>
      <c r="C55" t="s">
        <v>365</v>
      </c>
      <c r="D55">
        <v>7.73</v>
      </c>
      <c r="E55">
        <v>23.04</v>
      </c>
      <c r="F55" t="s">
        <v>298</v>
      </c>
      <c r="G55">
        <v>2.98</v>
      </c>
      <c r="H55">
        <v>27.64</v>
      </c>
      <c r="I55" t="s">
        <v>366</v>
      </c>
      <c r="J55" t="s">
        <v>367</v>
      </c>
      <c r="K55" t="s">
        <v>492</v>
      </c>
      <c r="L55" t="s">
        <v>174</v>
      </c>
      <c r="M55" t="s">
        <v>246</v>
      </c>
      <c r="N55" t="s">
        <v>12</v>
      </c>
      <c r="O55" t="s">
        <v>15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246</v>
      </c>
      <c r="AH55" t="s">
        <v>12</v>
      </c>
      <c r="AI55" t="s">
        <v>15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27.64</v>
      </c>
      <c r="AN55">
        <f>$H$55*$T$55</f>
        <v>27.64</v>
      </c>
      <c r="AO55">
        <f>$H$55*$U$55</f>
        <v>27.64</v>
      </c>
      <c r="AP55">
        <f>$H$55*$V$55</f>
        <v>27.64</v>
      </c>
      <c r="AQ55">
        <f>$H$55*$W$55</f>
        <v>27.64</v>
      </c>
      <c r="AR55">
        <f>$H$55*$X$55</f>
        <v>27.64</v>
      </c>
      <c r="AS55">
        <f>$H$55*$Y$55</f>
        <v>27.64</v>
      </c>
      <c r="AT55">
        <f>$H$55*$Z$55</f>
        <v>27.64</v>
      </c>
      <c r="AU55">
        <f>$H$55*$AA$55</f>
        <v>27.64</v>
      </c>
      <c r="AV55">
        <f>$H$55*$AB$55</f>
        <v>27.64</v>
      </c>
      <c r="AW55">
        <f>$H$55*$AC$55</f>
        <v>27.64</v>
      </c>
      <c r="AX55">
        <f>$H$55*$AD$55</f>
        <v>27.64</v>
      </c>
      <c r="AY55">
        <f>$H$55*$AE$55</f>
        <v>27.64</v>
      </c>
      <c r="AZ55">
        <f>$H$55*$AF$55</f>
        <v>27.64</v>
      </c>
    </row>
    <row r="56" spans="1:52" x14ac:dyDescent="0.25">
      <c r="A56">
        <v>87</v>
      </c>
      <c r="B56" t="s">
        <v>246</v>
      </c>
      <c r="C56" t="s">
        <v>368</v>
      </c>
      <c r="D56">
        <v>30.91</v>
      </c>
      <c r="E56">
        <v>17.62</v>
      </c>
      <c r="F56" t="s">
        <v>298</v>
      </c>
      <c r="G56">
        <v>0.56999999999999995</v>
      </c>
      <c r="H56">
        <v>21.14</v>
      </c>
      <c r="I56" t="s">
        <v>369</v>
      </c>
      <c r="J56" t="s">
        <v>370</v>
      </c>
      <c r="K56" t="s">
        <v>493</v>
      </c>
      <c r="L56" t="s">
        <v>174</v>
      </c>
      <c r="M56" t="s">
        <v>246</v>
      </c>
      <c r="N56" t="s">
        <v>12</v>
      </c>
      <c r="O56" t="s">
        <v>15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246</v>
      </c>
      <c r="AH56" t="s">
        <v>12</v>
      </c>
      <c r="AI56" t="s">
        <v>15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21.14</v>
      </c>
      <c r="AN56">
        <f>$H$56*$T$56</f>
        <v>21.14</v>
      </c>
      <c r="AO56">
        <f>$H$56*$U$56</f>
        <v>21.14</v>
      </c>
      <c r="AP56">
        <f>$H$56*$V$56</f>
        <v>21.14</v>
      </c>
      <c r="AQ56">
        <f>$H$56*$W$56</f>
        <v>21.14</v>
      </c>
      <c r="AR56">
        <f>$H$56*$X$56</f>
        <v>21.14</v>
      </c>
      <c r="AS56">
        <f>$H$56*$Y$56</f>
        <v>21.14</v>
      </c>
      <c r="AT56">
        <f>$H$56*$Z$56</f>
        <v>21.14</v>
      </c>
      <c r="AU56">
        <f>$H$56*$AA$56</f>
        <v>21.14</v>
      </c>
      <c r="AV56">
        <f>$H$56*$AB$56</f>
        <v>21.14</v>
      </c>
      <c r="AW56">
        <f>$H$56*$AC$56</f>
        <v>21.14</v>
      </c>
      <c r="AX56">
        <f>$H$56*$AD$56</f>
        <v>21.14</v>
      </c>
      <c r="AY56">
        <f>$H$56*$AE$56</f>
        <v>21.14</v>
      </c>
      <c r="AZ56">
        <f>$H$56*$AF$56</f>
        <v>21.14</v>
      </c>
    </row>
    <row r="57" spans="1:52" x14ac:dyDescent="0.25">
      <c r="A57">
        <v>88</v>
      </c>
      <c r="B57" t="s">
        <v>246</v>
      </c>
      <c r="C57" t="s">
        <v>371</v>
      </c>
      <c r="D57">
        <v>30.91</v>
      </c>
      <c r="E57">
        <v>77.58</v>
      </c>
      <c r="F57" t="s">
        <v>298</v>
      </c>
      <c r="G57">
        <v>2.5099999999999998</v>
      </c>
      <c r="H57">
        <v>93.1</v>
      </c>
      <c r="I57" t="s">
        <v>369</v>
      </c>
      <c r="J57" t="s">
        <v>367</v>
      </c>
      <c r="K57" t="s">
        <v>494</v>
      </c>
      <c r="L57" t="s">
        <v>174</v>
      </c>
      <c r="M57" t="s">
        <v>246</v>
      </c>
      <c r="N57" t="s">
        <v>12</v>
      </c>
      <c r="O57" t="s">
        <v>15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246</v>
      </c>
      <c r="AH57" t="s">
        <v>12</v>
      </c>
      <c r="AI57" t="s">
        <v>15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93.1</v>
      </c>
      <c r="AN57">
        <f>$H$57*$T$57</f>
        <v>93.1</v>
      </c>
      <c r="AO57">
        <f>$H$57*$U$57</f>
        <v>93.1</v>
      </c>
      <c r="AP57">
        <f>$H$57*$V$57</f>
        <v>93.1</v>
      </c>
      <c r="AQ57">
        <f>$H$57*$W$57</f>
        <v>93.1</v>
      </c>
      <c r="AR57">
        <f>$H$57*$X$57</f>
        <v>93.1</v>
      </c>
      <c r="AS57">
        <f>$H$57*$Y$57</f>
        <v>93.1</v>
      </c>
      <c r="AT57">
        <f>$H$57*$Z$57</f>
        <v>93.1</v>
      </c>
      <c r="AU57">
        <f>$H$57*$AA$57</f>
        <v>93.1</v>
      </c>
      <c r="AV57">
        <f>$H$57*$AB$57</f>
        <v>93.1</v>
      </c>
      <c r="AW57">
        <f>$H$57*$AC$57</f>
        <v>93.1</v>
      </c>
      <c r="AX57">
        <f>$H$57*$AD$57</f>
        <v>93.1</v>
      </c>
      <c r="AY57">
        <f>$H$57*$AE$57</f>
        <v>93.1</v>
      </c>
      <c r="AZ57">
        <f>$H$57*$AF$57</f>
        <v>93.1</v>
      </c>
    </row>
    <row r="58" spans="1:52" x14ac:dyDescent="0.25">
      <c r="A58">
        <v>89</v>
      </c>
      <c r="B58" t="s">
        <v>244</v>
      </c>
      <c r="C58" t="s">
        <v>286</v>
      </c>
      <c r="D58">
        <v>1</v>
      </c>
      <c r="E58">
        <v>44.87</v>
      </c>
      <c r="F58" t="s">
        <v>285</v>
      </c>
      <c r="G58">
        <v>44.87</v>
      </c>
      <c r="H58">
        <v>53.85</v>
      </c>
      <c r="I58" t="s">
        <v>287</v>
      </c>
      <c r="J58" t="s">
        <v>288</v>
      </c>
      <c r="K58" t="s">
        <v>454</v>
      </c>
      <c r="L58" t="s">
        <v>174</v>
      </c>
      <c r="M58" t="s">
        <v>244</v>
      </c>
      <c r="N58" t="s">
        <v>12</v>
      </c>
      <c r="O58" t="s">
        <v>4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1</v>
      </c>
      <c r="AE58">
        <v>1</v>
      </c>
      <c r="AF58">
        <v>1</v>
      </c>
      <c r="AG58" t="s">
        <v>244</v>
      </c>
      <c r="AH58" t="s">
        <v>12</v>
      </c>
      <c r="AI58" t="s">
        <v>4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0</v>
      </c>
      <c r="AT58">
        <f>$H$58*$Z$58</f>
        <v>0</v>
      </c>
      <c r="AU58">
        <f>$H$58*$AA$58</f>
        <v>0</v>
      </c>
      <c r="AV58">
        <f>$H$58*$AB$58</f>
        <v>0</v>
      </c>
      <c r="AW58">
        <f>$H$58*$AC$58</f>
        <v>0</v>
      </c>
      <c r="AX58">
        <f>$H$58*$AD$58</f>
        <v>53.85</v>
      </c>
      <c r="AY58">
        <f>$H$58*$AE$58</f>
        <v>53.85</v>
      </c>
      <c r="AZ58">
        <f>$H$58*$AF$58</f>
        <v>53.85</v>
      </c>
    </row>
    <row r="59" spans="1:52" x14ac:dyDescent="0.25">
      <c r="A59">
        <v>90</v>
      </c>
      <c r="B59" t="s">
        <v>244</v>
      </c>
      <c r="C59" t="s">
        <v>302</v>
      </c>
      <c r="D59">
        <v>4</v>
      </c>
      <c r="E59">
        <v>30.92</v>
      </c>
      <c r="F59" t="s">
        <v>280</v>
      </c>
      <c r="G59">
        <v>7.73</v>
      </c>
      <c r="H59">
        <v>37.1</v>
      </c>
      <c r="I59" t="s">
        <v>281</v>
      </c>
      <c r="J59" t="s">
        <v>303</v>
      </c>
      <c r="K59" t="s">
        <v>461</v>
      </c>
      <c r="L59" t="s">
        <v>174</v>
      </c>
      <c r="M59" t="s">
        <v>244</v>
      </c>
      <c r="N59" t="s">
        <v>12</v>
      </c>
      <c r="O59" t="s">
        <v>4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244</v>
      </c>
      <c r="AH59" t="s">
        <v>12</v>
      </c>
      <c r="AI59" t="s">
        <v>4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37.1</v>
      </c>
      <c r="AV59">
        <f>$H$59*$AB$59</f>
        <v>37.1</v>
      </c>
      <c r="AW59">
        <f>$H$59*$AC$59</f>
        <v>37.1</v>
      </c>
      <c r="AX59">
        <f>$H$59*$AD$59</f>
        <v>37.1</v>
      </c>
      <c r="AY59">
        <f>$H$59*$AE$59</f>
        <v>37.1</v>
      </c>
      <c r="AZ59">
        <f>$H$59*$AF$59</f>
        <v>37.1</v>
      </c>
    </row>
    <row r="60" spans="1:52" x14ac:dyDescent="0.25">
      <c r="A60">
        <v>91</v>
      </c>
      <c r="B60" t="s">
        <v>244</v>
      </c>
      <c r="C60" t="s">
        <v>304</v>
      </c>
      <c r="D60">
        <v>4</v>
      </c>
      <c r="E60">
        <v>51.28</v>
      </c>
      <c r="F60" t="s">
        <v>280</v>
      </c>
      <c r="G60">
        <v>12.82</v>
      </c>
      <c r="H60">
        <v>61.54</v>
      </c>
      <c r="I60" t="s">
        <v>284</v>
      </c>
      <c r="J60" t="s">
        <v>305</v>
      </c>
      <c r="K60" t="s">
        <v>462</v>
      </c>
      <c r="L60" t="s">
        <v>174</v>
      </c>
      <c r="M60" t="s">
        <v>244</v>
      </c>
      <c r="N60" t="s">
        <v>12</v>
      </c>
      <c r="O60" t="s">
        <v>4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244</v>
      </c>
      <c r="AH60" t="s">
        <v>12</v>
      </c>
      <c r="AI60" t="s">
        <v>4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61.54</v>
      </c>
      <c r="AV60">
        <f>$H$60*$AB$60</f>
        <v>61.54</v>
      </c>
      <c r="AW60">
        <f>$H$60*$AC$60</f>
        <v>61.54</v>
      </c>
      <c r="AX60">
        <f>$H$60*$AD$60</f>
        <v>61.54</v>
      </c>
      <c r="AY60">
        <f>$H$60*$AE$60</f>
        <v>61.54</v>
      </c>
      <c r="AZ60">
        <f>$H$60*$AF$60</f>
        <v>61.54</v>
      </c>
    </row>
    <row r="61" spans="1:52" x14ac:dyDescent="0.25">
      <c r="A61">
        <v>92</v>
      </c>
      <c r="B61" t="s">
        <v>244</v>
      </c>
      <c r="C61" t="s">
        <v>349</v>
      </c>
      <c r="D61">
        <v>4</v>
      </c>
      <c r="E61">
        <v>22.08</v>
      </c>
      <c r="F61" t="s">
        <v>280</v>
      </c>
      <c r="G61">
        <v>5.52</v>
      </c>
      <c r="H61">
        <v>26.5</v>
      </c>
      <c r="I61" t="s">
        <v>284</v>
      </c>
      <c r="J61" t="s">
        <v>350</v>
      </c>
      <c r="K61" t="s">
        <v>484</v>
      </c>
      <c r="L61" t="s">
        <v>174</v>
      </c>
      <c r="M61" t="s">
        <v>244</v>
      </c>
      <c r="N61" t="s">
        <v>12</v>
      </c>
      <c r="O61" t="s">
        <v>4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1</v>
      </c>
      <c r="AD61">
        <v>1</v>
      </c>
      <c r="AE61">
        <v>1</v>
      </c>
      <c r="AF61">
        <v>1</v>
      </c>
      <c r="AG61" t="s">
        <v>244</v>
      </c>
      <c r="AH61" t="s">
        <v>12</v>
      </c>
      <c r="AI61" t="s">
        <v>4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0</v>
      </c>
      <c r="AV61">
        <f>$H$61*$AB$61</f>
        <v>0</v>
      </c>
      <c r="AW61">
        <f>$H$61*$AC$61</f>
        <v>26.5</v>
      </c>
      <c r="AX61">
        <f>$H$61*$AD$61</f>
        <v>26.5</v>
      </c>
      <c r="AY61">
        <f>$H$61*$AE$61</f>
        <v>26.5</v>
      </c>
      <c r="AZ61">
        <f>$H$61*$AF$61</f>
        <v>26.5</v>
      </c>
    </row>
    <row r="62" spans="1:52" x14ac:dyDescent="0.25">
      <c r="A62">
        <v>93</v>
      </c>
      <c r="B62" t="s">
        <v>244</v>
      </c>
      <c r="C62" t="s">
        <v>351</v>
      </c>
      <c r="D62">
        <v>5</v>
      </c>
      <c r="E62">
        <v>80.400000000000006</v>
      </c>
      <c r="F62" t="s">
        <v>285</v>
      </c>
      <c r="G62">
        <v>16.079999999999998</v>
      </c>
      <c r="H62">
        <v>96.48</v>
      </c>
      <c r="I62" t="s">
        <v>287</v>
      </c>
      <c r="J62" t="s">
        <v>352</v>
      </c>
      <c r="K62" t="s">
        <v>485</v>
      </c>
      <c r="L62" t="s">
        <v>174</v>
      </c>
      <c r="M62" t="s">
        <v>244</v>
      </c>
      <c r="N62" t="s">
        <v>12</v>
      </c>
      <c r="O62" t="s">
        <v>4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244</v>
      </c>
      <c r="AH62" t="s">
        <v>12</v>
      </c>
      <c r="AI62" t="s">
        <v>4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96.48</v>
      </c>
      <c r="AS62">
        <f>$H$62*$Y$62</f>
        <v>96.48</v>
      </c>
      <c r="AT62">
        <f>$H$62*$Z$62</f>
        <v>96.48</v>
      </c>
      <c r="AU62">
        <f>$H$62*$AA$62</f>
        <v>96.48</v>
      </c>
      <c r="AV62">
        <f>$H$62*$AB$62</f>
        <v>96.48</v>
      </c>
      <c r="AW62">
        <f>$H$62*$AC$62</f>
        <v>96.48</v>
      </c>
      <c r="AX62">
        <f>$H$62*$AD$62</f>
        <v>96.48</v>
      </c>
      <c r="AY62">
        <f>$H$62*$AE$62</f>
        <v>96.48</v>
      </c>
      <c r="AZ62">
        <f>$H$62*$AF$62</f>
        <v>96.48</v>
      </c>
    </row>
    <row r="63" spans="1:52" x14ac:dyDescent="0.25">
      <c r="A63">
        <v>94</v>
      </c>
      <c r="B63" t="s">
        <v>244</v>
      </c>
      <c r="C63" t="s">
        <v>353</v>
      </c>
      <c r="D63">
        <v>1</v>
      </c>
      <c r="E63">
        <v>55.73</v>
      </c>
      <c r="F63" t="s">
        <v>285</v>
      </c>
      <c r="G63">
        <v>55.73</v>
      </c>
      <c r="H63">
        <v>66.87</v>
      </c>
      <c r="I63" t="s">
        <v>290</v>
      </c>
      <c r="J63" t="s">
        <v>354</v>
      </c>
      <c r="K63" t="s">
        <v>486</v>
      </c>
      <c r="L63" t="s">
        <v>174</v>
      </c>
      <c r="M63" t="s">
        <v>244</v>
      </c>
      <c r="N63" t="s">
        <v>12</v>
      </c>
      <c r="O63" t="s">
        <v>4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</v>
      </c>
      <c r="AE63">
        <v>1</v>
      </c>
      <c r="AF63">
        <v>1</v>
      </c>
      <c r="AG63" t="s">
        <v>244</v>
      </c>
      <c r="AH63" t="s">
        <v>12</v>
      </c>
      <c r="AI63" t="s">
        <v>4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0</v>
      </c>
      <c r="AV63">
        <f>$H$63*$AB$63</f>
        <v>0</v>
      </c>
      <c r="AW63">
        <f>$H$63*$AC$63</f>
        <v>0</v>
      </c>
      <c r="AX63">
        <f>$H$63*$AD$63</f>
        <v>66.87</v>
      </c>
      <c r="AY63">
        <f>$H$63*$AE$63</f>
        <v>66.87</v>
      </c>
      <c r="AZ63">
        <f>$H$63*$AF$63</f>
        <v>66.87</v>
      </c>
    </row>
    <row r="64" spans="1:52" x14ac:dyDescent="0.25">
      <c r="A64">
        <v>95</v>
      </c>
      <c r="B64" t="s">
        <v>244</v>
      </c>
      <c r="C64" t="s">
        <v>355</v>
      </c>
      <c r="D64">
        <v>1</v>
      </c>
      <c r="E64">
        <v>49.09</v>
      </c>
      <c r="F64" t="s">
        <v>285</v>
      </c>
      <c r="G64">
        <v>49.09</v>
      </c>
      <c r="H64">
        <v>58.91</v>
      </c>
      <c r="I64" t="s">
        <v>312</v>
      </c>
      <c r="J64" t="s">
        <v>356</v>
      </c>
      <c r="K64" t="s">
        <v>487</v>
      </c>
      <c r="L64" t="s">
        <v>174</v>
      </c>
      <c r="M64" t="s">
        <v>244</v>
      </c>
      <c r="N64" t="s">
        <v>12</v>
      </c>
      <c r="O64" t="s">
        <v>4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244</v>
      </c>
      <c r="AH64" t="s">
        <v>12</v>
      </c>
      <c r="AI64" t="s">
        <v>4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58.91</v>
      </c>
      <c r="AV64">
        <f>$H$64*$AB$64</f>
        <v>58.91</v>
      </c>
      <c r="AW64">
        <f>$H$64*$AC$64</f>
        <v>58.91</v>
      </c>
      <c r="AX64">
        <f>$H$64*$AD$64</f>
        <v>58.91</v>
      </c>
      <c r="AY64">
        <f>$H$64*$AE$64</f>
        <v>58.91</v>
      </c>
      <c r="AZ64">
        <f>$H$64*$AF$64</f>
        <v>58.91</v>
      </c>
    </row>
    <row r="65" spans="1:52" x14ac:dyDescent="0.25">
      <c r="A65">
        <v>96</v>
      </c>
      <c r="B65" t="s">
        <v>244</v>
      </c>
      <c r="C65" t="s">
        <v>372</v>
      </c>
      <c r="D65">
        <v>2</v>
      </c>
      <c r="E65">
        <v>166.64</v>
      </c>
      <c r="F65" t="s">
        <v>285</v>
      </c>
      <c r="G65">
        <v>83.32</v>
      </c>
      <c r="H65">
        <v>199.96</v>
      </c>
      <c r="I65" t="s">
        <v>281</v>
      </c>
      <c r="J65" t="s">
        <v>373</v>
      </c>
      <c r="K65" t="s">
        <v>495</v>
      </c>
      <c r="L65" t="s">
        <v>174</v>
      </c>
      <c r="M65" t="s">
        <v>244</v>
      </c>
      <c r="N65" t="s">
        <v>12</v>
      </c>
      <c r="O65" t="s">
        <v>4</v>
      </c>
      <c r="P65">
        <v>0</v>
      </c>
      <c r="Q65">
        <v>0</v>
      </c>
      <c r="R65">
        <v>0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244</v>
      </c>
      <c r="AH65" t="s">
        <v>12</v>
      </c>
      <c r="AI65" t="s">
        <v>4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199.96</v>
      </c>
      <c r="AN65">
        <f>$H$65*$T$65</f>
        <v>199.96</v>
      </c>
      <c r="AO65">
        <f>$H$65*$U$65</f>
        <v>199.96</v>
      </c>
      <c r="AP65">
        <f>$H$65*$V$65</f>
        <v>199.96</v>
      </c>
      <c r="AQ65">
        <f>$H$65*$W$65</f>
        <v>199.96</v>
      </c>
      <c r="AR65">
        <f>$H$65*$X$65</f>
        <v>199.96</v>
      </c>
      <c r="AS65">
        <f>$H$65*$Y$65</f>
        <v>199.96</v>
      </c>
      <c r="AT65">
        <f>$H$65*$Z$65</f>
        <v>199.96</v>
      </c>
      <c r="AU65">
        <f>$H$65*$AA$65</f>
        <v>199.96</v>
      </c>
      <c r="AV65">
        <f>$H$65*$AB$65</f>
        <v>199.96</v>
      </c>
      <c r="AW65">
        <f>$H$65*$AC$65</f>
        <v>199.96</v>
      </c>
      <c r="AX65">
        <f>$H$65*$AD$65</f>
        <v>199.96</v>
      </c>
      <c r="AY65">
        <f>$H$65*$AE$65</f>
        <v>199.96</v>
      </c>
      <c r="AZ65">
        <f>$H$65*$AF$65</f>
        <v>199.96</v>
      </c>
    </row>
    <row r="66" spans="1:52" x14ac:dyDescent="0.25">
      <c r="A66">
        <v>97</v>
      </c>
      <c r="B66" t="s">
        <v>244</v>
      </c>
      <c r="C66" t="s">
        <v>374</v>
      </c>
      <c r="D66">
        <v>1</v>
      </c>
      <c r="E66">
        <v>403.94</v>
      </c>
      <c r="F66" t="s">
        <v>285</v>
      </c>
      <c r="G66">
        <v>403.94</v>
      </c>
      <c r="H66">
        <v>484.72</v>
      </c>
      <c r="I66" t="s">
        <v>315</v>
      </c>
      <c r="J66" t="s">
        <v>375</v>
      </c>
      <c r="K66" t="s">
        <v>496</v>
      </c>
      <c r="L66" t="s">
        <v>174</v>
      </c>
      <c r="M66" t="s">
        <v>244</v>
      </c>
      <c r="N66" t="s">
        <v>12</v>
      </c>
      <c r="O66" t="s">
        <v>4</v>
      </c>
      <c r="P66">
        <v>0</v>
      </c>
      <c r="Q66">
        <v>0</v>
      </c>
      <c r="R66">
        <v>0</v>
      </c>
      <c r="S66">
        <v>0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244</v>
      </c>
      <c r="AH66" t="s">
        <v>12</v>
      </c>
      <c r="AI66" t="s">
        <v>4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484.72</v>
      </c>
      <c r="AO66">
        <f>$H$66*$U$66</f>
        <v>484.72</v>
      </c>
      <c r="AP66">
        <f>$H$66*$V$66</f>
        <v>484.72</v>
      </c>
      <c r="AQ66">
        <f>$H$66*$W$66</f>
        <v>484.72</v>
      </c>
      <c r="AR66">
        <f>$H$66*$X$66</f>
        <v>484.72</v>
      </c>
      <c r="AS66">
        <f>$H$66*$Y$66</f>
        <v>484.72</v>
      </c>
      <c r="AT66">
        <f>$H$66*$Z$66</f>
        <v>484.72</v>
      </c>
      <c r="AU66">
        <f>$H$66*$AA$66</f>
        <v>484.72</v>
      </c>
      <c r="AV66">
        <f>$H$66*$AB$66</f>
        <v>484.72</v>
      </c>
      <c r="AW66">
        <f>$H$66*$AC$66</f>
        <v>484.72</v>
      </c>
      <c r="AX66">
        <f>$H$66*$AD$66</f>
        <v>484.72</v>
      </c>
      <c r="AY66">
        <f>$H$66*$AE$66</f>
        <v>484.72</v>
      </c>
      <c r="AZ66">
        <f>$H$66*$AF$66</f>
        <v>484.72</v>
      </c>
    </row>
    <row r="67" spans="1:52" x14ac:dyDescent="0.25">
      <c r="A67">
        <v>98</v>
      </c>
      <c r="B67" t="s">
        <v>244</v>
      </c>
      <c r="C67" t="s">
        <v>319</v>
      </c>
      <c r="D67">
        <v>2</v>
      </c>
      <c r="E67">
        <v>126.18</v>
      </c>
      <c r="F67" t="s">
        <v>285</v>
      </c>
      <c r="G67">
        <v>63.09</v>
      </c>
      <c r="H67">
        <v>151.41999999999999</v>
      </c>
      <c r="I67" t="s">
        <v>281</v>
      </c>
      <c r="J67" t="s">
        <v>315</v>
      </c>
      <c r="K67" t="s">
        <v>468</v>
      </c>
      <c r="L67" t="s">
        <v>174</v>
      </c>
      <c r="M67" t="s">
        <v>244</v>
      </c>
      <c r="N67" t="s">
        <v>12</v>
      </c>
      <c r="O67" t="s">
        <v>4</v>
      </c>
      <c r="P67">
        <v>0</v>
      </c>
      <c r="Q67">
        <v>0</v>
      </c>
      <c r="R67">
        <v>0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244</v>
      </c>
      <c r="AH67" t="s">
        <v>12</v>
      </c>
      <c r="AI67" t="s">
        <v>4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151.41999999999999</v>
      </c>
      <c r="AN67">
        <f>$H$67*$T$67</f>
        <v>151.41999999999999</v>
      </c>
      <c r="AO67">
        <f>$H$67*$U$67</f>
        <v>151.41999999999999</v>
      </c>
      <c r="AP67">
        <f>$H$67*$V$67</f>
        <v>151.41999999999999</v>
      </c>
      <c r="AQ67">
        <f>$H$67*$W$67</f>
        <v>151.41999999999999</v>
      </c>
      <c r="AR67">
        <f>$H$67*$X$67</f>
        <v>151.41999999999999</v>
      </c>
      <c r="AS67">
        <f>$H$67*$Y$67</f>
        <v>151.41999999999999</v>
      </c>
      <c r="AT67">
        <f>$H$67*$Z$67</f>
        <v>151.41999999999999</v>
      </c>
      <c r="AU67">
        <f>$H$67*$AA$67</f>
        <v>151.41999999999999</v>
      </c>
      <c r="AV67">
        <f>$H$67*$AB$67</f>
        <v>151.41999999999999</v>
      </c>
      <c r="AW67">
        <f>$H$67*$AC$67</f>
        <v>151.41999999999999</v>
      </c>
      <c r="AX67">
        <f>$H$67*$AD$67</f>
        <v>151.41999999999999</v>
      </c>
      <c r="AY67">
        <f>$H$67*$AE$67</f>
        <v>151.41999999999999</v>
      </c>
      <c r="AZ67">
        <f>$H$67*$AF$67</f>
        <v>151.41999999999999</v>
      </c>
    </row>
    <row r="68" spans="1:52" x14ac:dyDescent="0.25">
      <c r="A68">
        <v>99</v>
      </c>
      <c r="B68" t="s">
        <v>244</v>
      </c>
      <c r="C68" t="s">
        <v>314</v>
      </c>
      <c r="D68">
        <v>1</v>
      </c>
      <c r="E68">
        <v>411.12</v>
      </c>
      <c r="F68" t="s">
        <v>285</v>
      </c>
      <c r="G68">
        <v>411.12</v>
      </c>
      <c r="H68">
        <v>493.34</v>
      </c>
      <c r="I68" t="s">
        <v>315</v>
      </c>
      <c r="J68" t="s">
        <v>316</v>
      </c>
      <c r="K68" t="s">
        <v>466</v>
      </c>
      <c r="L68" t="s">
        <v>174</v>
      </c>
      <c r="M68" t="s">
        <v>244</v>
      </c>
      <c r="N68" t="s">
        <v>12</v>
      </c>
      <c r="O68" t="s">
        <v>4</v>
      </c>
      <c r="P68">
        <v>0</v>
      </c>
      <c r="Q68">
        <v>0</v>
      </c>
      <c r="R68">
        <v>0</v>
      </c>
      <c r="S68">
        <v>0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244</v>
      </c>
      <c r="AH68" t="s">
        <v>12</v>
      </c>
      <c r="AI68" t="s">
        <v>4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493.34</v>
      </c>
      <c r="AO68">
        <f>$H$68*$U$68</f>
        <v>493.34</v>
      </c>
      <c r="AP68">
        <f>$H$68*$V$68</f>
        <v>493.34</v>
      </c>
      <c r="AQ68">
        <f>$H$68*$W$68</f>
        <v>493.34</v>
      </c>
      <c r="AR68">
        <f>$H$68*$X$68</f>
        <v>493.34</v>
      </c>
      <c r="AS68">
        <f>$H$68*$Y$68</f>
        <v>493.34</v>
      </c>
      <c r="AT68">
        <f>$H$68*$Z$68</f>
        <v>493.34</v>
      </c>
      <c r="AU68">
        <f>$H$68*$AA$68</f>
        <v>493.34</v>
      </c>
      <c r="AV68">
        <f>$H$68*$AB$68</f>
        <v>493.34</v>
      </c>
      <c r="AW68">
        <f>$H$68*$AC$68</f>
        <v>493.34</v>
      </c>
      <c r="AX68">
        <f>$H$68*$AD$68</f>
        <v>493.34</v>
      </c>
      <c r="AY68">
        <f>$H$68*$AE$68</f>
        <v>493.34</v>
      </c>
      <c r="AZ68">
        <f>$H$68*$AF$68</f>
        <v>493.34</v>
      </c>
    </row>
    <row r="69" spans="1:52" x14ac:dyDescent="0.25">
      <c r="A69">
        <v>100</v>
      </c>
      <c r="B69" t="s">
        <v>244</v>
      </c>
      <c r="C69" t="s">
        <v>306</v>
      </c>
      <c r="D69">
        <v>312</v>
      </c>
      <c r="E69">
        <v>505.44</v>
      </c>
      <c r="F69" t="s">
        <v>298</v>
      </c>
      <c r="G69">
        <v>1.62</v>
      </c>
      <c r="H69">
        <v>606.52</v>
      </c>
      <c r="I69" t="s">
        <v>281</v>
      </c>
      <c r="J69" t="s">
        <v>307</v>
      </c>
      <c r="K69" t="s">
        <v>463</v>
      </c>
      <c r="L69" t="s">
        <v>174</v>
      </c>
      <c r="M69" t="s">
        <v>244</v>
      </c>
      <c r="N69" t="s">
        <v>12</v>
      </c>
      <c r="O69" t="s">
        <v>4</v>
      </c>
      <c r="P69">
        <v>0</v>
      </c>
      <c r="Q69">
        <v>0</v>
      </c>
      <c r="R69">
        <v>0</v>
      </c>
      <c r="S69">
        <v>0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244</v>
      </c>
      <c r="AH69" t="s">
        <v>12</v>
      </c>
      <c r="AI69" t="s">
        <v>4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606.52</v>
      </c>
      <c r="AO69">
        <f>$H$69*$U$69</f>
        <v>606.52</v>
      </c>
      <c r="AP69">
        <f>$H$69*$V$69</f>
        <v>606.52</v>
      </c>
      <c r="AQ69">
        <f>$H$69*$W$69</f>
        <v>606.52</v>
      </c>
      <c r="AR69">
        <f>$H$69*$X$69</f>
        <v>606.52</v>
      </c>
      <c r="AS69">
        <f>$H$69*$Y$69</f>
        <v>606.52</v>
      </c>
      <c r="AT69">
        <f>$H$69*$Z$69</f>
        <v>606.52</v>
      </c>
      <c r="AU69">
        <f>$H$69*$AA$69</f>
        <v>606.52</v>
      </c>
      <c r="AV69">
        <f>$H$69*$AB$69</f>
        <v>606.52</v>
      </c>
      <c r="AW69">
        <f>$H$69*$AC$69</f>
        <v>606.52</v>
      </c>
      <c r="AX69">
        <f>$H$69*$AD$69</f>
        <v>606.52</v>
      </c>
      <c r="AY69">
        <f>$H$69*$AE$69</f>
        <v>606.52</v>
      </c>
      <c r="AZ69">
        <f>$H$69*$AF$69</f>
        <v>606.52</v>
      </c>
    </row>
    <row r="70" spans="1:52" x14ac:dyDescent="0.25">
      <c r="A70">
        <v>101</v>
      </c>
      <c r="B70" t="s">
        <v>244</v>
      </c>
      <c r="C70" t="s">
        <v>357</v>
      </c>
      <c r="D70">
        <v>312</v>
      </c>
      <c r="E70">
        <v>1048.32</v>
      </c>
      <c r="F70" t="s">
        <v>298</v>
      </c>
      <c r="G70">
        <v>3.36</v>
      </c>
      <c r="H70">
        <v>1257.98</v>
      </c>
      <c r="I70" t="s">
        <v>309</v>
      </c>
      <c r="J70" t="s">
        <v>358</v>
      </c>
      <c r="K70" t="s">
        <v>488</v>
      </c>
      <c r="L70" t="s">
        <v>174</v>
      </c>
      <c r="M70" t="s">
        <v>244</v>
      </c>
      <c r="N70" t="s">
        <v>12</v>
      </c>
      <c r="O70" t="s">
        <v>4</v>
      </c>
      <c r="P70">
        <v>0</v>
      </c>
      <c r="Q70">
        <v>0</v>
      </c>
      <c r="R70">
        <v>0</v>
      </c>
      <c r="S70">
        <v>0.25</v>
      </c>
      <c r="T70">
        <v>0.25</v>
      </c>
      <c r="U70">
        <v>0.25</v>
      </c>
      <c r="V70">
        <v>0.25</v>
      </c>
      <c r="W70">
        <v>0.25</v>
      </c>
      <c r="X70">
        <v>0.5</v>
      </c>
      <c r="Y70">
        <v>0.5</v>
      </c>
      <c r="Z70">
        <v>0.5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244</v>
      </c>
      <c r="AH70" t="s">
        <v>12</v>
      </c>
      <c r="AI70" t="s">
        <v>4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314.495</v>
      </c>
      <c r="AN70">
        <f>$H$70*$T$70</f>
        <v>314.495</v>
      </c>
      <c r="AO70">
        <f>$H$70*$U$70</f>
        <v>314.495</v>
      </c>
      <c r="AP70">
        <f>$H$70*$V$70</f>
        <v>314.495</v>
      </c>
      <c r="AQ70">
        <f>$H$70*$W$70</f>
        <v>314.495</v>
      </c>
      <c r="AR70">
        <f>$H$70*$X$70</f>
        <v>628.99</v>
      </c>
      <c r="AS70">
        <f>$H$70*$Y$70</f>
        <v>628.99</v>
      </c>
      <c r="AT70">
        <f>$H$70*$Z$70</f>
        <v>628.99</v>
      </c>
      <c r="AU70">
        <f>$H$70*$AA$70</f>
        <v>1257.98</v>
      </c>
      <c r="AV70">
        <f>$H$70*$AB$70</f>
        <v>1257.98</v>
      </c>
      <c r="AW70">
        <f>$H$70*$AC$70</f>
        <v>1257.98</v>
      </c>
      <c r="AX70">
        <f>$H$70*$AD$70</f>
        <v>1257.98</v>
      </c>
      <c r="AY70">
        <f>$H$70*$AE$70</f>
        <v>1257.98</v>
      </c>
      <c r="AZ70">
        <f>$H$70*$AF$70</f>
        <v>1257.98</v>
      </c>
    </row>
    <row r="71" spans="1:52" x14ac:dyDescent="0.25">
      <c r="A71">
        <v>102</v>
      </c>
      <c r="B71" t="s">
        <v>244</v>
      </c>
      <c r="C71" t="s">
        <v>359</v>
      </c>
      <c r="D71">
        <v>39</v>
      </c>
      <c r="E71">
        <v>148.97999999999999</v>
      </c>
      <c r="F71" t="s">
        <v>280</v>
      </c>
      <c r="G71">
        <v>3.82</v>
      </c>
      <c r="H71">
        <v>178.78</v>
      </c>
      <c r="I71" t="s">
        <v>284</v>
      </c>
      <c r="J71" t="s">
        <v>360</v>
      </c>
      <c r="K71" t="s">
        <v>489</v>
      </c>
      <c r="L71" t="s">
        <v>174</v>
      </c>
      <c r="M71" t="s">
        <v>244</v>
      </c>
      <c r="N71" t="s">
        <v>12</v>
      </c>
      <c r="O71" t="s">
        <v>4</v>
      </c>
      <c r="P71">
        <v>0</v>
      </c>
      <c r="Q71">
        <v>0</v>
      </c>
      <c r="R71">
        <v>0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244</v>
      </c>
      <c r="AH71" t="s">
        <v>12</v>
      </c>
      <c r="AI71" t="s">
        <v>4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178.78</v>
      </c>
      <c r="AN71">
        <f>$H$71*$T$71</f>
        <v>178.78</v>
      </c>
      <c r="AO71">
        <f>$H$71*$U$71</f>
        <v>178.78</v>
      </c>
      <c r="AP71">
        <f>$H$71*$V$71</f>
        <v>178.78</v>
      </c>
      <c r="AQ71">
        <f>$H$71*$W$71</f>
        <v>178.78</v>
      </c>
      <c r="AR71">
        <f>$H$71*$X$71</f>
        <v>178.78</v>
      </c>
      <c r="AS71">
        <f>$H$71*$Y$71</f>
        <v>178.78</v>
      </c>
      <c r="AT71">
        <f>$H$71*$Z$71</f>
        <v>178.78</v>
      </c>
      <c r="AU71">
        <f>$H$71*$AA$71</f>
        <v>178.78</v>
      </c>
      <c r="AV71">
        <f>$H$71*$AB$71</f>
        <v>178.78</v>
      </c>
      <c r="AW71">
        <f>$H$71*$AC$71</f>
        <v>178.78</v>
      </c>
      <c r="AX71">
        <f>$H$71*$AD$71</f>
        <v>178.78</v>
      </c>
      <c r="AY71">
        <f>$H$71*$AE$71</f>
        <v>178.78</v>
      </c>
      <c r="AZ71">
        <f>$H$71*$AF$71</f>
        <v>178.78</v>
      </c>
    </row>
    <row r="72" spans="1:52" x14ac:dyDescent="0.25">
      <c r="A72">
        <v>103</v>
      </c>
      <c r="B72" t="s">
        <v>244</v>
      </c>
      <c r="C72" t="s">
        <v>357</v>
      </c>
      <c r="D72">
        <v>95.06</v>
      </c>
      <c r="E72">
        <v>319.39999999999998</v>
      </c>
      <c r="F72" t="s">
        <v>298</v>
      </c>
      <c r="G72">
        <v>3.36</v>
      </c>
      <c r="H72">
        <v>383.28</v>
      </c>
      <c r="I72" t="s">
        <v>309</v>
      </c>
      <c r="J72" t="s">
        <v>358</v>
      </c>
      <c r="K72" t="s">
        <v>488</v>
      </c>
      <c r="L72" t="s">
        <v>174</v>
      </c>
      <c r="M72" t="s">
        <v>244</v>
      </c>
      <c r="N72" t="s">
        <v>12</v>
      </c>
      <c r="O72" t="s">
        <v>4</v>
      </c>
      <c r="P72">
        <v>0</v>
      </c>
      <c r="Q72">
        <v>0</v>
      </c>
      <c r="R72">
        <v>0</v>
      </c>
      <c r="S72">
        <v>0.25</v>
      </c>
      <c r="T72">
        <v>0.25</v>
      </c>
      <c r="U72">
        <v>0.25</v>
      </c>
      <c r="V72">
        <v>0.25</v>
      </c>
      <c r="W72">
        <v>0.25</v>
      </c>
      <c r="X72">
        <v>0.5</v>
      </c>
      <c r="Y72">
        <v>0.5</v>
      </c>
      <c r="Z72">
        <v>0.5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244</v>
      </c>
      <c r="AH72" t="s">
        <v>12</v>
      </c>
      <c r="AI72" t="s">
        <v>4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95.82</v>
      </c>
      <c r="AN72">
        <f>$H$72*$T$72</f>
        <v>95.82</v>
      </c>
      <c r="AO72">
        <f>$H$72*$U$72</f>
        <v>95.82</v>
      </c>
      <c r="AP72">
        <f>$H$72*$V$72</f>
        <v>95.82</v>
      </c>
      <c r="AQ72">
        <f>$H$72*$W$72</f>
        <v>95.82</v>
      </c>
      <c r="AR72">
        <f>$H$72*$X$72</f>
        <v>191.64</v>
      </c>
      <c r="AS72">
        <f>$H$72*$Y$72</f>
        <v>191.64</v>
      </c>
      <c r="AT72">
        <f>$H$72*$Z$72</f>
        <v>191.64</v>
      </c>
      <c r="AU72">
        <f>$H$72*$AA$72</f>
        <v>383.28</v>
      </c>
      <c r="AV72">
        <f>$H$72*$AB$72</f>
        <v>383.28</v>
      </c>
      <c r="AW72">
        <f>$H$72*$AC$72</f>
        <v>383.28</v>
      </c>
      <c r="AX72">
        <f>$H$72*$AD$72</f>
        <v>383.28</v>
      </c>
      <c r="AY72">
        <f>$H$72*$AE$72</f>
        <v>383.28</v>
      </c>
      <c r="AZ72">
        <f>$H$72*$AF$72</f>
        <v>383.28</v>
      </c>
    </row>
    <row r="73" spans="1:52" x14ac:dyDescent="0.25">
      <c r="A73">
        <v>104</v>
      </c>
      <c r="B73" t="s">
        <v>244</v>
      </c>
      <c r="C73" t="s">
        <v>361</v>
      </c>
      <c r="D73">
        <v>95.06</v>
      </c>
      <c r="E73">
        <v>100.76</v>
      </c>
      <c r="F73" t="s">
        <v>298</v>
      </c>
      <c r="G73">
        <v>1.06</v>
      </c>
      <c r="H73">
        <v>120.92</v>
      </c>
      <c r="I73" t="s">
        <v>281</v>
      </c>
      <c r="J73" t="s">
        <v>362</v>
      </c>
      <c r="K73" t="s">
        <v>490</v>
      </c>
      <c r="L73" t="s">
        <v>174</v>
      </c>
      <c r="M73" t="s">
        <v>244</v>
      </c>
      <c r="N73" t="s">
        <v>12</v>
      </c>
      <c r="O73" t="s">
        <v>4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</v>
      </c>
      <c r="AF73">
        <v>1</v>
      </c>
      <c r="AG73" t="s">
        <v>244</v>
      </c>
      <c r="AH73" t="s">
        <v>12</v>
      </c>
      <c r="AI73" t="s">
        <v>4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0</v>
      </c>
      <c r="AV73">
        <f>$H$73*$AB$73</f>
        <v>0</v>
      </c>
      <c r="AW73">
        <f>$H$73*$AC$73</f>
        <v>0</v>
      </c>
      <c r="AX73">
        <f>$H$73*$AD$73</f>
        <v>120.92</v>
      </c>
      <c r="AY73">
        <f>$H$73*$AE$73</f>
        <v>120.92</v>
      </c>
      <c r="AZ73">
        <f>$H$73*$AF$73</f>
        <v>120.92</v>
      </c>
    </row>
    <row r="74" spans="1:52" x14ac:dyDescent="0.25">
      <c r="A74">
        <v>105</v>
      </c>
      <c r="B74" t="s">
        <v>244</v>
      </c>
      <c r="C74" t="s">
        <v>363</v>
      </c>
      <c r="D74">
        <v>95.06</v>
      </c>
      <c r="E74">
        <v>106.47</v>
      </c>
      <c r="F74" t="s">
        <v>298</v>
      </c>
      <c r="G74">
        <v>1.1200000000000001</v>
      </c>
      <c r="H74">
        <v>127.77</v>
      </c>
      <c r="I74" t="s">
        <v>281</v>
      </c>
      <c r="J74" t="s">
        <v>364</v>
      </c>
      <c r="K74" t="s">
        <v>491</v>
      </c>
      <c r="L74" t="s">
        <v>174</v>
      </c>
      <c r="M74" t="s">
        <v>244</v>
      </c>
      <c r="N74" t="s">
        <v>12</v>
      </c>
      <c r="O74" t="s">
        <v>4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244</v>
      </c>
      <c r="AH74" t="s">
        <v>12</v>
      </c>
      <c r="AI74" t="s">
        <v>4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127.77</v>
      </c>
      <c r="AN74">
        <f>$H$74*$T$74</f>
        <v>127.77</v>
      </c>
      <c r="AO74">
        <f>$H$74*$U$74</f>
        <v>127.77</v>
      </c>
      <c r="AP74">
        <f>$H$74*$V$74</f>
        <v>127.77</v>
      </c>
      <c r="AQ74">
        <f>$H$74*$W$74</f>
        <v>127.77</v>
      </c>
      <c r="AR74">
        <f>$H$74*$X$74</f>
        <v>127.77</v>
      </c>
      <c r="AS74">
        <f>$H$74*$Y$74</f>
        <v>127.77</v>
      </c>
      <c r="AT74">
        <f>$H$74*$Z$74</f>
        <v>127.77</v>
      </c>
      <c r="AU74">
        <f>$H$74*$AA$74</f>
        <v>127.77</v>
      </c>
      <c r="AV74">
        <f>$H$74*$AB$74</f>
        <v>127.77</v>
      </c>
      <c r="AW74">
        <f>$H$74*$AC$74</f>
        <v>127.77</v>
      </c>
      <c r="AX74">
        <f>$H$74*$AD$74</f>
        <v>127.77</v>
      </c>
      <c r="AY74">
        <f>$H$74*$AE$74</f>
        <v>127.77</v>
      </c>
      <c r="AZ74">
        <f>$H$74*$AF$74</f>
        <v>127.77</v>
      </c>
    </row>
    <row r="75" spans="1:52" x14ac:dyDescent="0.25">
      <c r="A75">
        <v>106</v>
      </c>
      <c r="B75" t="s">
        <v>244</v>
      </c>
      <c r="C75" t="s">
        <v>365</v>
      </c>
      <c r="D75">
        <v>21.86</v>
      </c>
      <c r="E75">
        <v>65.14</v>
      </c>
      <c r="F75" t="s">
        <v>298</v>
      </c>
      <c r="G75">
        <v>2.98</v>
      </c>
      <c r="H75">
        <v>78.16</v>
      </c>
      <c r="I75" t="s">
        <v>366</v>
      </c>
      <c r="J75" t="s">
        <v>367</v>
      </c>
      <c r="K75" t="s">
        <v>492</v>
      </c>
      <c r="L75" t="s">
        <v>174</v>
      </c>
      <c r="M75" t="s">
        <v>244</v>
      </c>
      <c r="N75" t="s">
        <v>12</v>
      </c>
      <c r="O75" t="s">
        <v>4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244</v>
      </c>
      <c r="AH75" t="s">
        <v>12</v>
      </c>
      <c r="AI75" t="s">
        <v>4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78.16</v>
      </c>
      <c r="AN75">
        <f>$H$75*$T$75</f>
        <v>78.16</v>
      </c>
      <c r="AO75">
        <f>$H$75*$U$75</f>
        <v>78.16</v>
      </c>
      <c r="AP75">
        <f>$H$75*$V$75</f>
        <v>78.16</v>
      </c>
      <c r="AQ75">
        <f>$H$75*$W$75</f>
        <v>78.16</v>
      </c>
      <c r="AR75">
        <f>$H$75*$X$75</f>
        <v>78.16</v>
      </c>
      <c r="AS75">
        <f>$H$75*$Y$75</f>
        <v>78.16</v>
      </c>
      <c r="AT75">
        <f>$H$75*$Z$75</f>
        <v>78.16</v>
      </c>
      <c r="AU75">
        <f>$H$75*$AA$75</f>
        <v>78.16</v>
      </c>
      <c r="AV75">
        <f>$H$75*$AB$75</f>
        <v>78.16</v>
      </c>
      <c r="AW75">
        <f>$H$75*$AC$75</f>
        <v>78.16</v>
      </c>
      <c r="AX75">
        <f>$H$75*$AD$75</f>
        <v>78.16</v>
      </c>
      <c r="AY75">
        <f>$H$75*$AE$75</f>
        <v>78.16</v>
      </c>
      <c r="AZ75">
        <f>$H$75*$AF$75</f>
        <v>78.16</v>
      </c>
    </row>
    <row r="76" spans="1:52" x14ac:dyDescent="0.25">
      <c r="A76">
        <v>107</v>
      </c>
      <c r="B76" t="s">
        <v>244</v>
      </c>
      <c r="C76" t="s">
        <v>368</v>
      </c>
      <c r="D76">
        <v>87.46</v>
      </c>
      <c r="E76">
        <v>49.85</v>
      </c>
      <c r="F76" t="s">
        <v>298</v>
      </c>
      <c r="G76">
        <v>0.56999999999999995</v>
      </c>
      <c r="H76">
        <v>59.83</v>
      </c>
      <c r="I76" t="s">
        <v>369</v>
      </c>
      <c r="J76" t="s">
        <v>370</v>
      </c>
      <c r="K76" t="s">
        <v>493</v>
      </c>
      <c r="L76" t="s">
        <v>174</v>
      </c>
      <c r="M76" t="s">
        <v>244</v>
      </c>
      <c r="N76" t="s">
        <v>12</v>
      </c>
      <c r="O76" t="s">
        <v>4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244</v>
      </c>
      <c r="AH76" t="s">
        <v>12</v>
      </c>
      <c r="AI76" t="s">
        <v>4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59.83</v>
      </c>
      <c r="AN76">
        <f>$H$76*$T$76</f>
        <v>59.83</v>
      </c>
      <c r="AO76">
        <f>$H$76*$U$76</f>
        <v>59.83</v>
      </c>
      <c r="AP76">
        <f>$H$76*$V$76</f>
        <v>59.83</v>
      </c>
      <c r="AQ76">
        <f>$H$76*$W$76</f>
        <v>59.83</v>
      </c>
      <c r="AR76">
        <f>$H$76*$X$76</f>
        <v>59.83</v>
      </c>
      <c r="AS76">
        <f>$H$76*$Y$76</f>
        <v>59.83</v>
      </c>
      <c r="AT76">
        <f>$H$76*$Z$76</f>
        <v>59.83</v>
      </c>
      <c r="AU76">
        <f>$H$76*$AA$76</f>
        <v>59.83</v>
      </c>
      <c r="AV76">
        <f>$H$76*$AB$76</f>
        <v>59.83</v>
      </c>
      <c r="AW76">
        <f>$H$76*$AC$76</f>
        <v>59.83</v>
      </c>
      <c r="AX76">
        <f>$H$76*$AD$76</f>
        <v>59.83</v>
      </c>
      <c r="AY76">
        <f>$H$76*$AE$76</f>
        <v>59.83</v>
      </c>
      <c r="AZ76">
        <f>$H$76*$AF$76</f>
        <v>59.83</v>
      </c>
    </row>
    <row r="77" spans="1:52" x14ac:dyDescent="0.25">
      <c r="A77">
        <v>108</v>
      </c>
      <c r="B77" t="s">
        <v>244</v>
      </c>
      <c r="C77" t="s">
        <v>371</v>
      </c>
      <c r="D77">
        <v>87.46</v>
      </c>
      <c r="E77">
        <v>219.52</v>
      </c>
      <c r="F77" t="s">
        <v>298</v>
      </c>
      <c r="G77">
        <v>2.5099999999999998</v>
      </c>
      <c r="H77">
        <v>263.42</v>
      </c>
      <c r="I77" t="s">
        <v>369</v>
      </c>
      <c r="J77" t="s">
        <v>367</v>
      </c>
      <c r="K77" t="s">
        <v>494</v>
      </c>
      <c r="L77" t="s">
        <v>174</v>
      </c>
      <c r="M77" t="s">
        <v>244</v>
      </c>
      <c r="N77" t="s">
        <v>12</v>
      </c>
      <c r="O77" t="s">
        <v>4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244</v>
      </c>
      <c r="AH77" t="s">
        <v>12</v>
      </c>
      <c r="AI77" t="s">
        <v>4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263.42</v>
      </c>
      <c r="AN77">
        <f>$H$77*$T$77</f>
        <v>263.42</v>
      </c>
      <c r="AO77">
        <f>$H$77*$U$77</f>
        <v>263.42</v>
      </c>
      <c r="AP77">
        <f>$H$77*$V$77</f>
        <v>263.42</v>
      </c>
      <c r="AQ77">
        <f>$H$77*$W$77</f>
        <v>263.42</v>
      </c>
      <c r="AR77">
        <f>$H$77*$X$77</f>
        <v>263.42</v>
      </c>
      <c r="AS77">
        <f>$H$77*$Y$77</f>
        <v>263.42</v>
      </c>
      <c r="AT77">
        <f>$H$77*$Z$77</f>
        <v>263.42</v>
      </c>
      <c r="AU77">
        <f>$H$77*$AA$77</f>
        <v>263.42</v>
      </c>
      <c r="AV77">
        <f>$H$77*$AB$77</f>
        <v>263.42</v>
      </c>
      <c r="AW77">
        <f>$H$77*$AC$77</f>
        <v>263.42</v>
      </c>
      <c r="AX77">
        <f>$H$77*$AD$77</f>
        <v>263.42</v>
      </c>
      <c r="AY77">
        <f>$H$77*$AE$77</f>
        <v>263.42</v>
      </c>
      <c r="AZ77">
        <f>$H$77*$AF$77</f>
        <v>263.42</v>
      </c>
    </row>
    <row r="78" spans="1:52" x14ac:dyDescent="0.25">
      <c r="A78">
        <v>109</v>
      </c>
      <c r="B78" t="s">
        <v>7</v>
      </c>
      <c r="C78" t="s">
        <v>376</v>
      </c>
      <c r="D78">
        <v>1</v>
      </c>
      <c r="E78">
        <v>37.78</v>
      </c>
      <c r="F78" t="s">
        <v>285</v>
      </c>
      <c r="G78">
        <v>37.78</v>
      </c>
      <c r="H78">
        <v>45.34</v>
      </c>
      <c r="I78" t="s">
        <v>287</v>
      </c>
      <c r="J78" t="s">
        <v>377</v>
      </c>
      <c r="K78" t="s">
        <v>497</v>
      </c>
      <c r="L78" t="s">
        <v>174</v>
      </c>
      <c r="M78" t="s">
        <v>7</v>
      </c>
      <c r="N78" t="s">
        <v>12</v>
      </c>
      <c r="O78" t="s">
        <v>7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7</v>
      </c>
      <c r="AH78" t="s">
        <v>12</v>
      </c>
      <c r="AI78" t="s">
        <v>7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45.34</v>
      </c>
      <c r="AQ78">
        <f>$H$78*$W$78</f>
        <v>45.34</v>
      </c>
      <c r="AR78">
        <f>$H$78*$X$78</f>
        <v>45.34</v>
      </c>
      <c r="AS78">
        <f>$H$78*$Y$78</f>
        <v>45.34</v>
      </c>
      <c r="AT78">
        <f>$H$78*$Z$78</f>
        <v>45.34</v>
      </c>
      <c r="AU78">
        <f>$H$78*$AA$78</f>
        <v>45.34</v>
      </c>
      <c r="AV78">
        <f>$H$78*$AB$78</f>
        <v>45.34</v>
      </c>
      <c r="AW78">
        <f>$H$78*$AC$78</f>
        <v>45.34</v>
      </c>
      <c r="AX78">
        <f>$H$78*$AD$78</f>
        <v>45.34</v>
      </c>
      <c r="AY78">
        <f>$H$78*$AE$78</f>
        <v>45.34</v>
      </c>
      <c r="AZ78">
        <f>$H$78*$AF$78</f>
        <v>45.34</v>
      </c>
    </row>
    <row r="79" spans="1:52" x14ac:dyDescent="0.25">
      <c r="A79">
        <v>110</v>
      </c>
      <c r="B79" t="s">
        <v>7</v>
      </c>
      <c r="C79" t="s">
        <v>378</v>
      </c>
      <c r="D79">
        <v>2</v>
      </c>
      <c r="E79">
        <v>74.56</v>
      </c>
      <c r="F79" t="s">
        <v>285</v>
      </c>
      <c r="G79">
        <v>37.28</v>
      </c>
      <c r="H79">
        <v>89.48</v>
      </c>
      <c r="I79" t="s">
        <v>287</v>
      </c>
      <c r="J79" t="s">
        <v>379</v>
      </c>
      <c r="K79" t="s">
        <v>498</v>
      </c>
      <c r="L79" t="s">
        <v>174</v>
      </c>
      <c r="M79" t="s">
        <v>7</v>
      </c>
      <c r="N79" t="s">
        <v>12</v>
      </c>
      <c r="O79" t="s">
        <v>7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0.6</v>
      </c>
      <c r="Y79">
        <v>0.6</v>
      </c>
      <c r="Z79">
        <v>0.6</v>
      </c>
      <c r="AA79">
        <v>0.6</v>
      </c>
      <c r="AB79">
        <v>0.6</v>
      </c>
      <c r="AC79">
        <v>0.6</v>
      </c>
      <c r="AD79">
        <v>1</v>
      </c>
      <c r="AE79">
        <v>1</v>
      </c>
      <c r="AF79">
        <v>1</v>
      </c>
      <c r="AG79" t="s">
        <v>7</v>
      </c>
      <c r="AH79" t="s">
        <v>12</v>
      </c>
      <c r="AI79" t="s">
        <v>7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53.688000000000002</v>
      </c>
      <c r="AS79">
        <f>$H$79*$Y$79</f>
        <v>53.688000000000002</v>
      </c>
      <c r="AT79">
        <f>$H$79*$Z$79</f>
        <v>53.688000000000002</v>
      </c>
      <c r="AU79">
        <f>$H$79*$AA$79</f>
        <v>53.688000000000002</v>
      </c>
      <c r="AV79">
        <f>$H$79*$AB$79</f>
        <v>53.688000000000002</v>
      </c>
      <c r="AW79">
        <f>$H$79*$AC$79</f>
        <v>53.688000000000002</v>
      </c>
      <c r="AX79">
        <f>$H$79*$AD$79</f>
        <v>89.48</v>
      </c>
      <c r="AY79">
        <f>$H$79*$AE$79</f>
        <v>89.48</v>
      </c>
      <c r="AZ79">
        <f>$H$79*$AF$79</f>
        <v>89.48</v>
      </c>
    </row>
    <row r="80" spans="1:52" x14ac:dyDescent="0.25">
      <c r="A80">
        <v>111</v>
      </c>
      <c r="B80" t="s">
        <v>7</v>
      </c>
      <c r="C80" t="s">
        <v>351</v>
      </c>
      <c r="D80">
        <v>4</v>
      </c>
      <c r="E80">
        <v>64.319999999999993</v>
      </c>
      <c r="F80" t="s">
        <v>285</v>
      </c>
      <c r="G80">
        <v>16.079999999999998</v>
      </c>
      <c r="H80">
        <v>77.180000000000007</v>
      </c>
      <c r="I80" t="s">
        <v>287</v>
      </c>
      <c r="J80" t="s">
        <v>352</v>
      </c>
      <c r="K80" t="s">
        <v>485</v>
      </c>
      <c r="L80" t="s">
        <v>174</v>
      </c>
      <c r="M80" t="s">
        <v>7</v>
      </c>
      <c r="N80" t="s">
        <v>12</v>
      </c>
      <c r="O80" t="s">
        <v>7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7</v>
      </c>
      <c r="AH80" t="s">
        <v>12</v>
      </c>
      <c r="AI80" t="s">
        <v>7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77.180000000000007</v>
      </c>
      <c r="AS80">
        <f>$H$80*$Y$80</f>
        <v>77.180000000000007</v>
      </c>
      <c r="AT80">
        <f>$H$80*$Z$80</f>
        <v>77.180000000000007</v>
      </c>
      <c r="AU80">
        <f>$H$80*$AA$80</f>
        <v>77.180000000000007</v>
      </c>
      <c r="AV80">
        <f>$H$80*$AB$80</f>
        <v>77.180000000000007</v>
      </c>
      <c r="AW80">
        <f>$H$80*$AC$80</f>
        <v>77.180000000000007</v>
      </c>
      <c r="AX80">
        <f>$H$80*$AD$80</f>
        <v>77.180000000000007</v>
      </c>
      <c r="AY80">
        <f>$H$80*$AE$80</f>
        <v>77.180000000000007</v>
      </c>
      <c r="AZ80">
        <f>$H$80*$AF$80</f>
        <v>77.180000000000007</v>
      </c>
    </row>
    <row r="81" spans="1:52" x14ac:dyDescent="0.25">
      <c r="A81">
        <v>112</v>
      </c>
      <c r="B81" t="s">
        <v>7</v>
      </c>
      <c r="C81" t="s">
        <v>351</v>
      </c>
      <c r="D81">
        <v>2</v>
      </c>
      <c r="E81">
        <v>32.159999999999997</v>
      </c>
      <c r="F81" t="s">
        <v>285</v>
      </c>
      <c r="G81">
        <v>16.079999999999998</v>
      </c>
      <c r="H81">
        <v>38.6</v>
      </c>
      <c r="I81" t="s">
        <v>287</v>
      </c>
      <c r="J81" t="s">
        <v>352</v>
      </c>
      <c r="K81" t="s">
        <v>485</v>
      </c>
      <c r="L81" t="s">
        <v>174</v>
      </c>
      <c r="M81" t="s">
        <v>7</v>
      </c>
      <c r="N81" t="s">
        <v>12</v>
      </c>
      <c r="O81" t="s">
        <v>7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7</v>
      </c>
      <c r="AH81" t="s">
        <v>12</v>
      </c>
      <c r="AI81" t="s">
        <v>7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38.6</v>
      </c>
      <c r="AS81">
        <f>$H$81*$Y$81</f>
        <v>38.6</v>
      </c>
      <c r="AT81">
        <f>$H$81*$Z$81</f>
        <v>38.6</v>
      </c>
      <c r="AU81">
        <f>$H$81*$AA$81</f>
        <v>38.6</v>
      </c>
      <c r="AV81">
        <f>$H$81*$AB$81</f>
        <v>38.6</v>
      </c>
      <c r="AW81">
        <f>$H$81*$AC$81</f>
        <v>38.6</v>
      </c>
      <c r="AX81">
        <f>$H$81*$AD$81</f>
        <v>38.6</v>
      </c>
      <c r="AY81">
        <f>$H$81*$AE$81</f>
        <v>38.6</v>
      </c>
      <c r="AZ81">
        <f>$H$81*$AF$81</f>
        <v>38.6</v>
      </c>
    </row>
    <row r="82" spans="1:52" x14ac:dyDescent="0.25">
      <c r="A82">
        <v>113</v>
      </c>
      <c r="B82" t="s">
        <v>7</v>
      </c>
      <c r="C82" t="s">
        <v>380</v>
      </c>
      <c r="D82">
        <v>1</v>
      </c>
      <c r="E82">
        <v>626.78</v>
      </c>
      <c r="F82" t="s">
        <v>285</v>
      </c>
      <c r="G82">
        <v>626.78</v>
      </c>
      <c r="H82">
        <v>752.14</v>
      </c>
      <c r="I82" t="s">
        <v>299</v>
      </c>
      <c r="J82" t="s">
        <v>381</v>
      </c>
      <c r="K82" t="s">
        <v>499</v>
      </c>
      <c r="L82" t="s">
        <v>174</v>
      </c>
      <c r="M82" t="s">
        <v>7</v>
      </c>
      <c r="N82" t="s">
        <v>12</v>
      </c>
      <c r="O82" t="s">
        <v>7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7</v>
      </c>
      <c r="AH82" t="s">
        <v>12</v>
      </c>
      <c r="AI82" t="s">
        <v>7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752.14</v>
      </c>
      <c r="AV82">
        <f>$H$82*$AB$82</f>
        <v>752.14</v>
      </c>
      <c r="AW82">
        <f>$H$82*$AC$82</f>
        <v>752.14</v>
      </c>
      <c r="AX82">
        <f>$H$82*$AD$82</f>
        <v>752.14</v>
      </c>
      <c r="AY82">
        <f>$H$82*$AE$82</f>
        <v>752.14</v>
      </c>
      <c r="AZ82">
        <f>$H$82*$AF$82</f>
        <v>752.14</v>
      </c>
    </row>
    <row r="83" spans="1:52" x14ac:dyDescent="0.25">
      <c r="A83">
        <v>114</v>
      </c>
      <c r="B83" t="s">
        <v>7</v>
      </c>
      <c r="C83" t="s">
        <v>382</v>
      </c>
      <c r="D83">
        <v>1</v>
      </c>
      <c r="E83">
        <v>205.97</v>
      </c>
      <c r="F83" t="s">
        <v>285</v>
      </c>
      <c r="G83">
        <v>205.97</v>
      </c>
      <c r="H83">
        <v>247.17</v>
      </c>
      <c r="I83" t="s">
        <v>299</v>
      </c>
      <c r="J83" t="s">
        <v>383</v>
      </c>
      <c r="K83" t="s">
        <v>500</v>
      </c>
      <c r="L83" t="s">
        <v>174</v>
      </c>
      <c r="M83" t="s">
        <v>7</v>
      </c>
      <c r="N83" t="s">
        <v>12</v>
      </c>
      <c r="O83" t="s">
        <v>7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7</v>
      </c>
      <c r="AH83" t="s">
        <v>12</v>
      </c>
      <c r="AI83" t="s">
        <v>7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247.17</v>
      </c>
      <c r="AV83">
        <f>$H$83*$AB$83</f>
        <v>247.17</v>
      </c>
      <c r="AW83">
        <f>$H$83*$AC$83</f>
        <v>247.17</v>
      </c>
      <c r="AX83">
        <f>$H$83*$AD$83</f>
        <v>247.17</v>
      </c>
      <c r="AY83">
        <f>$H$83*$AE$83</f>
        <v>247.17</v>
      </c>
      <c r="AZ83">
        <f>$H$83*$AF$83</f>
        <v>247.17</v>
      </c>
    </row>
    <row r="84" spans="1:52" x14ac:dyDescent="0.25">
      <c r="A84">
        <v>115</v>
      </c>
      <c r="B84" t="s">
        <v>7</v>
      </c>
      <c r="C84" t="s">
        <v>384</v>
      </c>
      <c r="D84">
        <v>1</v>
      </c>
      <c r="E84">
        <v>352.28</v>
      </c>
      <c r="F84" t="s">
        <v>285</v>
      </c>
      <c r="G84">
        <v>352.28</v>
      </c>
      <c r="H84">
        <v>422.74</v>
      </c>
      <c r="I84" t="s">
        <v>299</v>
      </c>
      <c r="J84" t="s">
        <v>385</v>
      </c>
      <c r="K84" t="s">
        <v>501</v>
      </c>
      <c r="L84" t="s">
        <v>174</v>
      </c>
      <c r="M84" t="s">
        <v>7</v>
      </c>
      <c r="N84" t="s">
        <v>12</v>
      </c>
      <c r="O84" t="s">
        <v>7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7</v>
      </c>
      <c r="AH84" t="s">
        <v>12</v>
      </c>
      <c r="AI84" t="s">
        <v>7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422.74</v>
      </c>
      <c r="AV84">
        <f>$H$84*$AB$84</f>
        <v>422.74</v>
      </c>
      <c r="AW84">
        <f>$H$84*$AC$84</f>
        <v>422.74</v>
      </c>
      <c r="AX84">
        <f>$H$84*$AD$84</f>
        <v>422.74</v>
      </c>
      <c r="AY84">
        <f>$H$84*$AE$84</f>
        <v>422.74</v>
      </c>
      <c r="AZ84">
        <f>$H$84*$AF$84</f>
        <v>422.74</v>
      </c>
    </row>
    <row r="85" spans="1:52" x14ac:dyDescent="0.25">
      <c r="A85">
        <v>116</v>
      </c>
      <c r="B85" t="s">
        <v>7</v>
      </c>
      <c r="C85" t="s">
        <v>386</v>
      </c>
      <c r="D85">
        <v>1</v>
      </c>
      <c r="E85">
        <v>102.01</v>
      </c>
      <c r="F85" t="s">
        <v>285</v>
      </c>
      <c r="G85">
        <v>102.01</v>
      </c>
      <c r="H85">
        <v>122.41</v>
      </c>
      <c r="I85" t="s">
        <v>290</v>
      </c>
      <c r="J85" t="s">
        <v>387</v>
      </c>
      <c r="K85" t="s">
        <v>502</v>
      </c>
      <c r="L85" t="s">
        <v>174</v>
      </c>
      <c r="M85" t="s">
        <v>7</v>
      </c>
      <c r="N85" t="s">
        <v>12</v>
      </c>
      <c r="O85" t="s">
        <v>7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7</v>
      </c>
      <c r="AH85" t="s">
        <v>12</v>
      </c>
      <c r="AI85" t="s">
        <v>7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0</v>
      </c>
      <c r="AV85">
        <f>$H$85*$AB$85</f>
        <v>122.41</v>
      </c>
      <c r="AW85">
        <f>$H$85*$AC$85</f>
        <v>122.41</v>
      </c>
      <c r="AX85">
        <f>$H$85*$AD$85</f>
        <v>122.41</v>
      </c>
      <c r="AY85">
        <f>$H$85*$AE$85</f>
        <v>122.41</v>
      </c>
      <c r="AZ85">
        <f>$H$85*$AF$85</f>
        <v>122.41</v>
      </c>
    </row>
    <row r="86" spans="1:52" x14ac:dyDescent="0.25">
      <c r="A86">
        <v>117</v>
      </c>
      <c r="B86" t="s">
        <v>7</v>
      </c>
      <c r="C86" t="s">
        <v>388</v>
      </c>
      <c r="D86">
        <v>1</v>
      </c>
      <c r="E86">
        <v>73.290000000000006</v>
      </c>
      <c r="F86" t="s">
        <v>285</v>
      </c>
      <c r="G86">
        <v>73.290000000000006</v>
      </c>
      <c r="H86">
        <v>87.95</v>
      </c>
      <c r="I86" t="s">
        <v>389</v>
      </c>
      <c r="J86" t="s">
        <v>390</v>
      </c>
      <c r="K86" t="s">
        <v>503</v>
      </c>
      <c r="L86" t="s">
        <v>174</v>
      </c>
      <c r="M86" t="s">
        <v>7</v>
      </c>
      <c r="N86" t="s">
        <v>12</v>
      </c>
      <c r="O86" t="s">
        <v>7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7</v>
      </c>
      <c r="AH86" t="s">
        <v>12</v>
      </c>
      <c r="AI86" t="s">
        <v>7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87.95</v>
      </c>
      <c r="AQ86">
        <f>$H$86*$W$86</f>
        <v>87.95</v>
      </c>
      <c r="AR86">
        <f>$H$86*$X$86</f>
        <v>87.95</v>
      </c>
      <c r="AS86">
        <f>$H$86*$Y$86</f>
        <v>87.95</v>
      </c>
      <c r="AT86">
        <f>$H$86*$Z$86</f>
        <v>87.95</v>
      </c>
      <c r="AU86">
        <f>$H$86*$AA$86</f>
        <v>87.95</v>
      </c>
      <c r="AV86">
        <f>$H$86*$AB$86</f>
        <v>87.95</v>
      </c>
      <c r="AW86">
        <f>$H$86*$AC$86</f>
        <v>87.95</v>
      </c>
      <c r="AX86">
        <f>$H$86*$AD$86</f>
        <v>87.95</v>
      </c>
      <c r="AY86">
        <f>$H$86*$AE$86</f>
        <v>87.95</v>
      </c>
      <c r="AZ86">
        <f>$H$86*$AF$86</f>
        <v>87.95</v>
      </c>
    </row>
    <row r="87" spans="1:52" x14ac:dyDescent="0.25">
      <c r="A87">
        <v>118</v>
      </c>
      <c r="B87" t="s">
        <v>7</v>
      </c>
      <c r="C87" t="s">
        <v>391</v>
      </c>
      <c r="D87">
        <v>28</v>
      </c>
      <c r="E87">
        <v>303.52</v>
      </c>
      <c r="F87" t="s">
        <v>285</v>
      </c>
      <c r="G87">
        <v>10.84</v>
      </c>
      <c r="H87">
        <v>364.22</v>
      </c>
      <c r="I87" t="s">
        <v>392</v>
      </c>
      <c r="J87" t="s">
        <v>393</v>
      </c>
      <c r="K87" t="s">
        <v>504</v>
      </c>
      <c r="L87" t="s">
        <v>174</v>
      </c>
      <c r="M87" t="s">
        <v>7</v>
      </c>
      <c r="N87" t="s">
        <v>12</v>
      </c>
      <c r="O87" t="s">
        <v>7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7</v>
      </c>
      <c r="AH87" t="s">
        <v>12</v>
      </c>
      <c r="AI87" t="s">
        <v>7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364.22</v>
      </c>
      <c r="AU87">
        <f>$H$87*$AA$87</f>
        <v>364.22</v>
      </c>
      <c r="AV87">
        <f>$H$87*$AB$87</f>
        <v>364.22</v>
      </c>
      <c r="AW87">
        <f>$H$87*$AC$87</f>
        <v>364.22</v>
      </c>
      <c r="AX87">
        <f>$H$87*$AD$87</f>
        <v>364.22</v>
      </c>
      <c r="AY87">
        <f>$H$87*$AE$87</f>
        <v>364.22</v>
      </c>
      <c r="AZ87">
        <f>$H$87*$AF$87</f>
        <v>364.22</v>
      </c>
    </row>
    <row r="88" spans="1:52" x14ac:dyDescent="0.25">
      <c r="A88">
        <v>119</v>
      </c>
      <c r="B88" t="s">
        <v>7</v>
      </c>
      <c r="C88" t="s">
        <v>394</v>
      </c>
      <c r="D88">
        <v>14</v>
      </c>
      <c r="E88">
        <v>1552.88</v>
      </c>
      <c r="F88" t="s">
        <v>280</v>
      </c>
      <c r="G88">
        <v>110.92</v>
      </c>
      <c r="H88">
        <v>1863.46</v>
      </c>
      <c r="I88" t="s">
        <v>392</v>
      </c>
      <c r="J88" t="s">
        <v>395</v>
      </c>
      <c r="K88" t="s">
        <v>505</v>
      </c>
      <c r="L88" t="s">
        <v>174</v>
      </c>
      <c r="M88" t="s">
        <v>7</v>
      </c>
      <c r="N88" t="s">
        <v>12</v>
      </c>
      <c r="O88" t="s">
        <v>7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7</v>
      </c>
      <c r="AH88" t="s">
        <v>12</v>
      </c>
      <c r="AI88" t="s">
        <v>7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1863.46</v>
      </c>
      <c r="AU88">
        <f>$H$88*$AA$88</f>
        <v>1863.46</v>
      </c>
      <c r="AV88">
        <f>$H$88*$AB$88</f>
        <v>1863.46</v>
      </c>
      <c r="AW88">
        <f>$H$88*$AC$88</f>
        <v>1863.46</v>
      </c>
      <c r="AX88">
        <f>$H$88*$AD$88</f>
        <v>1863.46</v>
      </c>
      <c r="AY88">
        <f>$H$88*$AE$88</f>
        <v>1863.46</v>
      </c>
      <c r="AZ88">
        <f>$H$88*$AF$88</f>
        <v>1863.46</v>
      </c>
    </row>
    <row r="89" spans="1:52" x14ac:dyDescent="0.25">
      <c r="A89">
        <v>120</v>
      </c>
      <c r="B89" t="s">
        <v>7</v>
      </c>
      <c r="C89" t="s">
        <v>396</v>
      </c>
      <c r="D89">
        <v>16</v>
      </c>
      <c r="E89">
        <v>2166.2399999999998</v>
      </c>
      <c r="F89" t="s">
        <v>280</v>
      </c>
      <c r="G89">
        <v>135.38999999999999</v>
      </c>
      <c r="H89">
        <v>2599.48</v>
      </c>
      <c r="I89" t="s">
        <v>392</v>
      </c>
      <c r="J89" t="s">
        <v>397</v>
      </c>
      <c r="K89" t="s">
        <v>506</v>
      </c>
      <c r="L89" t="s">
        <v>174</v>
      </c>
      <c r="M89" t="s">
        <v>7</v>
      </c>
      <c r="N89" t="s">
        <v>12</v>
      </c>
      <c r="O89" t="s">
        <v>7</v>
      </c>
      <c r="P89">
        <v>0</v>
      </c>
      <c r="Q89">
        <v>0</v>
      </c>
      <c r="R89">
        <v>0</v>
      </c>
      <c r="S89">
        <v>0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7</v>
      </c>
      <c r="AH89" t="s">
        <v>12</v>
      </c>
      <c r="AI89" t="s">
        <v>7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2599.48</v>
      </c>
      <c r="AO89">
        <f>$H$89*$U$89</f>
        <v>2599.48</v>
      </c>
      <c r="AP89">
        <f>$H$89*$V$89</f>
        <v>2599.48</v>
      </c>
      <c r="AQ89">
        <f>$H$89*$W$89</f>
        <v>2599.48</v>
      </c>
      <c r="AR89">
        <f>$H$89*$X$89</f>
        <v>2599.48</v>
      </c>
      <c r="AS89">
        <f>$H$89*$Y$89</f>
        <v>2599.48</v>
      </c>
      <c r="AT89">
        <f>$H$89*$Z$89</f>
        <v>2599.48</v>
      </c>
      <c r="AU89">
        <f>$H$89*$AA$89</f>
        <v>2599.48</v>
      </c>
      <c r="AV89">
        <f>$H$89*$AB$89</f>
        <v>2599.48</v>
      </c>
      <c r="AW89">
        <f>$H$89*$AC$89</f>
        <v>2599.48</v>
      </c>
      <c r="AX89">
        <f>$H$89*$AD$89</f>
        <v>2599.48</v>
      </c>
      <c r="AY89">
        <f>$H$89*$AE$89</f>
        <v>2599.48</v>
      </c>
      <c r="AZ89">
        <f>$H$89*$AF$89</f>
        <v>2599.48</v>
      </c>
    </row>
    <row r="90" spans="1:52" x14ac:dyDescent="0.25">
      <c r="A90">
        <v>121</v>
      </c>
      <c r="B90" t="s">
        <v>7</v>
      </c>
      <c r="C90" t="s">
        <v>398</v>
      </c>
      <c r="D90">
        <v>18</v>
      </c>
      <c r="E90">
        <v>1144.6199999999999</v>
      </c>
      <c r="F90" t="s">
        <v>280</v>
      </c>
      <c r="G90">
        <v>63.59</v>
      </c>
      <c r="H90">
        <v>1373.54</v>
      </c>
      <c r="I90" t="s">
        <v>392</v>
      </c>
      <c r="J90" t="s">
        <v>399</v>
      </c>
      <c r="K90" t="s">
        <v>507</v>
      </c>
      <c r="L90" t="s">
        <v>174</v>
      </c>
      <c r="M90" t="s">
        <v>7</v>
      </c>
      <c r="N90" t="s">
        <v>12</v>
      </c>
      <c r="O90" t="s">
        <v>7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7</v>
      </c>
      <c r="AH90" t="s">
        <v>12</v>
      </c>
      <c r="AI90" t="s">
        <v>7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1373.54</v>
      </c>
      <c r="AU90">
        <f>$H$90*$AA$90</f>
        <v>1373.54</v>
      </c>
      <c r="AV90">
        <f>$H$90*$AB$90</f>
        <v>1373.54</v>
      </c>
      <c r="AW90">
        <f>$H$90*$AC$90</f>
        <v>1373.54</v>
      </c>
      <c r="AX90">
        <f>$H$90*$AD$90</f>
        <v>1373.54</v>
      </c>
      <c r="AY90">
        <f>$H$90*$AE$90</f>
        <v>1373.54</v>
      </c>
      <c r="AZ90">
        <f>$H$90*$AF$90</f>
        <v>1373.54</v>
      </c>
    </row>
    <row r="91" spans="1:52" x14ac:dyDescent="0.25">
      <c r="A91">
        <v>122</v>
      </c>
      <c r="B91" t="s">
        <v>7</v>
      </c>
      <c r="C91" t="s">
        <v>400</v>
      </c>
      <c r="D91">
        <v>1</v>
      </c>
      <c r="E91">
        <v>87.99</v>
      </c>
      <c r="F91" t="s">
        <v>285</v>
      </c>
      <c r="G91">
        <v>87.99</v>
      </c>
      <c r="H91">
        <v>105.59</v>
      </c>
      <c r="I91" t="s">
        <v>287</v>
      </c>
      <c r="J91" t="s">
        <v>401</v>
      </c>
      <c r="K91" t="s">
        <v>508</v>
      </c>
      <c r="L91" t="s">
        <v>174</v>
      </c>
      <c r="M91" t="s">
        <v>7</v>
      </c>
      <c r="N91" t="s">
        <v>12</v>
      </c>
      <c r="O91" t="s">
        <v>7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0.6</v>
      </c>
      <c r="Y91">
        <v>0.6</v>
      </c>
      <c r="Z91">
        <v>0.6</v>
      </c>
      <c r="AA91">
        <v>0.6</v>
      </c>
      <c r="AB91">
        <v>0.6</v>
      </c>
      <c r="AC91">
        <v>0.6</v>
      </c>
      <c r="AD91">
        <v>1</v>
      </c>
      <c r="AE91">
        <v>1</v>
      </c>
      <c r="AF91">
        <v>1</v>
      </c>
      <c r="AG91" t="s">
        <v>7</v>
      </c>
      <c r="AH91" t="s">
        <v>12</v>
      </c>
      <c r="AI91" t="s">
        <v>7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63.353999999999999</v>
      </c>
      <c r="AS91">
        <f>$H$91*$Y$91</f>
        <v>63.353999999999999</v>
      </c>
      <c r="AT91">
        <f>$H$91*$Z$91</f>
        <v>63.353999999999999</v>
      </c>
      <c r="AU91">
        <f>$H$91*$AA$91</f>
        <v>63.353999999999999</v>
      </c>
      <c r="AV91">
        <f>$H$91*$AB$91</f>
        <v>63.353999999999999</v>
      </c>
      <c r="AW91">
        <f>$H$91*$AC$91</f>
        <v>63.353999999999999</v>
      </c>
      <c r="AX91">
        <f>$H$91*$AD$91</f>
        <v>105.59</v>
      </c>
      <c r="AY91">
        <f>$H$91*$AE$91</f>
        <v>105.59</v>
      </c>
      <c r="AZ91">
        <f>$H$91*$AF$91</f>
        <v>105.59</v>
      </c>
    </row>
    <row r="92" spans="1:52" x14ac:dyDescent="0.25">
      <c r="A92">
        <v>123</v>
      </c>
      <c r="B92" t="s">
        <v>7</v>
      </c>
      <c r="C92" t="s">
        <v>402</v>
      </c>
      <c r="D92">
        <v>1</v>
      </c>
      <c r="E92">
        <v>177.29</v>
      </c>
      <c r="F92" t="s">
        <v>285</v>
      </c>
      <c r="G92">
        <v>177.29</v>
      </c>
      <c r="H92">
        <v>212.75</v>
      </c>
      <c r="I92" t="s">
        <v>389</v>
      </c>
      <c r="J92" t="s">
        <v>403</v>
      </c>
      <c r="K92" t="s">
        <v>509</v>
      </c>
      <c r="L92" t="s">
        <v>174</v>
      </c>
      <c r="M92" t="s">
        <v>7</v>
      </c>
      <c r="N92" t="s">
        <v>12</v>
      </c>
      <c r="O92" t="s">
        <v>7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1</v>
      </c>
      <c r="AD92">
        <v>1</v>
      </c>
      <c r="AE92">
        <v>1</v>
      </c>
      <c r="AF92">
        <v>1</v>
      </c>
      <c r="AG92" t="s">
        <v>7</v>
      </c>
      <c r="AH92" t="s">
        <v>12</v>
      </c>
      <c r="AI92" t="s">
        <v>7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0</v>
      </c>
      <c r="AV92">
        <f>$H$92*$AB$92</f>
        <v>0</v>
      </c>
      <c r="AW92">
        <f>$H$92*$AC$92</f>
        <v>212.75</v>
      </c>
      <c r="AX92">
        <f>$H$92*$AD$92</f>
        <v>212.75</v>
      </c>
      <c r="AY92">
        <f>$H$92*$AE$92</f>
        <v>212.75</v>
      </c>
      <c r="AZ92">
        <f>$H$92*$AF$92</f>
        <v>212.75</v>
      </c>
    </row>
    <row r="93" spans="1:52" x14ac:dyDescent="0.25">
      <c r="A93">
        <v>124</v>
      </c>
      <c r="B93" t="s">
        <v>7</v>
      </c>
      <c r="C93" t="s">
        <v>404</v>
      </c>
      <c r="D93">
        <v>1</v>
      </c>
      <c r="E93">
        <v>547.22</v>
      </c>
      <c r="F93" t="s">
        <v>285</v>
      </c>
      <c r="G93">
        <v>547.22</v>
      </c>
      <c r="H93">
        <v>656.66</v>
      </c>
      <c r="I93" t="s">
        <v>389</v>
      </c>
      <c r="J93" t="s">
        <v>405</v>
      </c>
      <c r="K93" t="s">
        <v>510</v>
      </c>
      <c r="L93" t="s">
        <v>174</v>
      </c>
      <c r="M93" t="s">
        <v>7</v>
      </c>
      <c r="N93" t="s">
        <v>12</v>
      </c>
      <c r="O93" t="s">
        <v>7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7</v>
      </c>
      <c r="AH93" t="s">
        <v>12</v>
      </c>
      <c r="AI93" t="s">
        <v>7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656.66</v>
      </c>
      <c r="AQ93">
        <f>$H$93*$W$93</f>
        <v>656.66</v>
      </c>
      <c r="AR93">
        <f>$H$93*$X$93</f>
        <v>656.66</v>
      </c>
      <c r="AS93">
        <f>$H$93*$Y$93</f>
        <v>656.66</v>
      </c>
      <c r="AT93">
        <f>$H$93*$Z$93</f>
        <v>656.66</v>
      </c>
      <c r="AU93">
        <f>$H$93*$AA$93</f>
        <v>656.66</v>
      </c>
      <c r="AV93">
        <f>$H$93*$AB$93</f>
        <v>656.66</v>
      </c>
      <c r="AW93">
        <f>$H$93*$AC$93</f>
        <v>656.66</v>
      </c>
      <c r="AX93">
        <f>$H$93*$AD$93</f>
        <v>656.66</v>
      </c>
      <c r="AY93">
        <f>$H$93*$AE$93</f>
        <v>656.66</v>
      </c>
      <c r="AZ93">
        <f>$H$93*$AF$93</f>
        <v>656.66</v>
      </c>
    </row>
    <row r="94" spans="1:52" x14ac:dyDescent="0.25">
      <c r="A94">
        <v>125</v>
      </c>
      <c r="B94" t="s">
        <v>7</v>
      </c>
      <c r="C94" t="s">
        <v>406</v>
      </c>
      <c r="D94">
        <v>1</v>
      </c>
      <c r="E94">
        <v>739.82</v>
      </c>
      <c r="F94" t="s">
        <v>285</v>
      </c>
      <c r="G94">
        <v>739.82</v>
      </c>
      <c r="H94">
        <v>887.78</v>
      </c>
      <c r="I94" t="s">
        <v>389</v>
      </c>
      <c r="J94" t="s">
        <v>407</v>
      </c>
      <c r="K94" t="s">
        <v>511</v>
      </c>
      <c r="L94" t="s">
        <v>174</v>
      </c>
      <c r="M94" t="s">
        <v>7</v>
      </c>
      <c r="N94" t="s">
        <v>12</v>
      </c>
      <c r="O94" t="s">
        <v>7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7</v>
      </c>
      <c r="AH94" t="s">
        <v>12</v>
      </c>
      <c r="AI94" t="s">
        <v>7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887.78</v>
      </c>
      <c r="AQ94">
        <f>$H$94*$W$94</f>
        <v>887.78</v>
      </c>
      <c r="AR94">
        <f>$H$94*$X$94</f>
        <v>887.78</v>
      </c>
      <c r="AS94">
        <f>$H$94*$Y$94</f>
        <v>887.78</v>
      </c>
      <c r="AT94">
        <f>$H$94*$Z$94</f>
        <v>887.78</v>
      </c>
      <c r="AU94">
        <f>$H$94*$AA$94</f>
        <v>887.78</v>
      </c>
      <c r="AV94">
        <f>$H$94*$AB$94</f>
        <v>887.78</v>
      </c>
      <c r="AW94">
        <f>$H$94*$AC$94</f>
        <v>887.78</v>
      </c>
      <c r="AX94">
        <f>$H$94*$AD$94</f>
        <v>887.78</v>
      </c>
      <c r="AY94">
        <f>$H$94*$AE$94</f>
        <v>887.78</v>
      </c>
      <c r="AZ94">
        <f>$H$94*$AF$94</f>
        <v>887.78</v>
      </c>
    </row>
    <row r="95" spans="1:52" x14ac:dyDescent="0.25">
      <c r="A95">
        <v>126</v>
      </c>
      <c r="B95" t="s">
        <v>7</v>
      </c>
      <c r="C95" t="s">
        <v>408</v>
      </c>
      <c r="D95">
        <v>1</v>
      </c>
      <c r="E95">
        <v>862.13</v>
      </c>
      <c r="F95" t="s">
        <v>285</v>
      </c>
      <c r="G95">
        <v>862.13</v>
      </c>
      <c r="H95">
        <v>1034.55</v>
      </c>
      <c r="I95" t="s">
        <v>389</v>
      </c>
      <c r="J95" t="s">
        <v>409</v>
      </c>
      <c r="K95" t="s">
        <v>512</v>
      </c>
      <c r="L95" t="s">
        <v>174</v>
      </c>
      <c r="M95" t="s">
        <v>7</v>
      </c>
      <c r="N95" t="s">
        <v>12</v>
      </c>
      <c r="O95" t="s">
        <v>7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7</v>
      </c>
      <c r="AH95" t="s">
        <v>12</v>
      </c>
      <c r="AI95" t="s">
        <v>7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1034.55</v>
      </c>
      <c r="AQ95">
        <f>$H$95*$W$95</f>
        <v>1034.55</v>
      </c>
      <c r="AR95">
        <f>$H$95*$X$95</f>
        <v>1034.55</v>
      </c>
      <c r="AS95">
        <f>$H$95*$Y$95</f>
        <v>1034.55</v>
      </c>
      <c r="AT95">
        <f>$H$95*$Z$95</f>
        <v>1034.55</v>
      </c>
      <c r="AU95">
        <f>$H$95*$AA$95</f>
        <v>1034.55</v>
      </c>
      <c r="AV95">
        <f>$H$95*$AB$95</f>
        <v>1034.55</v>
      </c>
      <c r="AW95">
        <f>$H$95*$AC$95</f>
        <v>1034.55</v>
      </c>
      <c r="AX95">
        <f>$H$95*$AD$95</f>
        <v>1034.55</v>
      </c>
      <c r="AY95">
        <f>$H$95*$AE$95</f>
        <v>1034.55</v>
      </c>
      <c r="AZ95">
        <f>$H$95*$AF$95</f>
        <v>1034.55</v>
      </c>
    </row>
    <row r="96" spans="1:52" x14ac:dyDescent="0.25">
      <c r="A96">
        <v>127</v>
      </c>
      <c r="B96" t="s">
        <v>7</v>
      </c>
      <c r="C96" t="s">
        <v>306</v>
      </c>
      <c r="D96">
        <v>328</v>
      </c>
      <c r="E96">
        <v>531.36</v>
      </c>
      <c r="F96" t="s">
        <v>298</v>
      </c>
      <c r="G96">
        <v>1.62</v>
      </c>
      <c r="H96">
        <v>637.64</v>
      </c>
      <c r="I96" t="s">
        <v>281</v>
      </c>
      <c r="J96" t="s">
        <v>307</v>
      </c>
      <c r="K96" t="s">
        <v>463</v>
      </c>
      <c r="L96" t="s">
        <v>174</v>
      </c>
      <c r="M96" t="s">
        <v>7</v>
      </c>
      <c r="N96" t="s">
        <v>12</v>
      </c>
      <c r="O96" t="s">
        <v>7</v>
      </c>
      <c r="P96">
        <v>0</v>
      </c>
      <c r="Q96">
        <v>0</v>
      </c>
      <c r="R96">
        <v>0</v>
      </c>
      <c r="S96">
        <v>0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7</v>
      </c>
      <c r="AH96" t="s">
        <v>12</v>
      </c>
      <c r="AI96" t="s">
        <v>7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637.64</v>
      </c>
      <c r="AO96">
        <f>$H$96*$U$96</f>
        <v>637.64</v>
      </c>
      <c r="AP96">
        <f>$H$96*$V$96</f>
        <v>637.64</v>
      </c>
      <c r="AQ96">
        <f>$H$96*$W$96</f>
        <v>637.64</v>
      </c>
      <c r="AR96">
        <f>$H$96*$X$96</f>
        <v>637.64</v>
      </c>
      <c r="AS96">
        <f>$H$96*$Y$96</f>
        <v>637.64</v>
      </c>
      <c r="AT96">
        <f>$H$96*$Z$96</f>
        <v>637.64</v>
      </c>
      <c r="AU96">
        <f>$H$96*$AA$96</f>
        <v>637.64</v>
      </c>
      <c r="AV96">
        <f>$H$96*$AB$96</f>
        <v>637.64</v>
      </c>
      <c r="AW96">
        <f>$H$96*$AC$96</f>
        <v>637.64</v>
      </c>
      <c r="AX96">
        <f>$H$96*$AD$96</f>
        <v>637.64</v>
      </c>
      <c r="AY96">
        <f>$H$96*$AE$96</f>
        <v>637.64</v>
      </c>
      <c r="AZ96">
        <f>$H$96*$AF$96</f>
        <v>637.64</v>
      </c>
    </row>
    <row r="97" spans="1:52" x14ac:dyDescent="0.25">
      <c r="A97">
        <v>128</v>
      </c>
      <c r="B97" t="s">
        <v>7</v>
      </c>
      <c r="C97" t="s">
        <v>357</v>
      </c>
      <c r="D97">
        <v>328</v>
      </c>
      <c r="E97">
        <v>1102.08</v>
      </c>
      <c r="F97" t="s">
        <v>298</v>
      </c>
      <c r="G97">
        <v>3.36</v>
      </c>
      <c r="H97">
        <v>1322.5</v>
      </c>
      <c r="I97" t="s">
        <v>309</v>
      </c>
      <c r="J97" t="s">
        <v>358</v>
      </c>
      <c r="K97" t="s">
        <v>488</v>
      </c>
      <c r="L97" t="s">
        <v>174</v>
      </c>
      <c r="M97" t="s">
        <v>7</v>
      </c>
      <c r="N97" t="s">
        <v>12</v>
      </c>
      <c r="O97" t="s">
        <v>7</v>
      </c>
      <c r="P97">
        <v>0</v>
      </c>
      <c r="Q97">
        <v>0</v>
      </c>
      <c r="R97">
        <v>0</v>
      </c>
      <c r="S97">
        <v>0.25</v>
      </c>
      <c r="T97">
        <v>0.25</v>
      </c>
      <c r="U97">
        <v>0.25</v>
      </c>
      <c r="V97">
        <v>0.25</v>
      </c>
      <c r="W97">
        <v>0.25</v>
      </c>
      <c r="X97">
        <v>0.5</v>
      </c>
      <c r="Y97">
        <v>0.5</v>
      </c>
      <c r="Z97">
        <v>0.5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7</v>
      </c>
      <c r="AH97" t="s">
        <v>12</v>
      </c>
      <c r="AI97" t="s">
        <v>7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330.625</v>
      </c>
      <c r="AN97">
        <f>$H$97*$T$97</f>
        <v>330.625</v>
      </c>
      <c r="AO97">
        <f>$H$97*$U$97</f>
        <v>330.625</v>
      </c>
      <c r="AP97">
        <f>$H$97*$V$97</f>
        <v>330.625</v>
      </c>
      <c r="AQ97">
        <f>$H$97*$W$97</f>
        <v>330.625</v>
      </c>
      <c r="AR97">
        <f>$H$97*$X$97</f>
        <v>661.25</v>
      </c>
      <c r="AS97">
        <f>$H$97*$Y$97</f>
        <v>661.25</v>
      </c>
      <c r="AT97">
        <f>$H$97*$Z$97</f>
        <v>661.25</v>
      </c>
      <c r="AU97">
        <f>$H$97*$AA$97</f>
        <v>1322.5</v>
      </c>
      <c r="AV97">
        <f>$H$97*$AB$97</f>
        <v>1322.5</v>
      </c>
      <c r="AW97">
        <f>$H$97*$AC$97</f>
        <v>1322.5</v>
      </c>
      <c r="AX97">
        <f>$H$97*$AD$97</f>
        <v>1322.5</v>
      </c>
      <c r="AY97">
        <f>$H$97*$AE$97</f>
        <v>1322.5</v>
      </c>
      <c r="AZ97">
        <f>$H$97*$AF$97</f>
        <v>1322.5</v>
      </c>
    </row>
    <row r="98" spans="1:52" x14ac:dyDescent="0.25">
      <c r="A98">
        <v>129</v>
      </c>
      <c r="B98" t="s">
        <v>7</v>
      </c>
      <c r="C98" t="s">
        <v>410</v>
      </c>
      <c r="D98">
        <v>20.5</v>
      </c>
      <c r="E98">
        <v>33.21</v>
      </c>
      <c r="F98" t="s">
        <v>280</v>
      </c>
      <c r="G98">
        <v>1.62</v>
      </c>
      <c r="H98">
        <v>39.85</v>
      </c>
      <c r="I98" t="s">
        <v>281</v>
      </c>
      <c r="J98" t="s">
        <v>360</v>
      </c>
      <c r="K98" t="s">
        <v>513</v>
      </c>
      <c r="L98" t="s">
        <v>174</v>
      </c>
      <c r="M98" t="s">
        <v>7</v>
      </c>
      <c r="N98" t="s">
        <v>12</v>
      </c>
      <c r="O98" t="s">
        <v>7</v>
      </c>
      <c r="P98">
        <v>0</v>
      </c>
      <c r="Q98">
        <v>0</v>
      </c>
      <c r="R98">
        <v>0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7</v>
      </c>
      <c r="AH98" t="s">
        <v>12</v>
      </c>
      <c r="AI98" t="s">
        <v>7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39.85</v>
      </c>
      <c r="AN98">
        <f>$H$98*$T$98</f>
        <v>39.85</v>
      </c>
      <c r="AO98">
        <f>$H$98*$U$98</f>
        <v>39.85</v>
      </c>
      <c r="AP98">
        <f>$H$98*$V$98</f>
        <v>39.85</v>
      </c>
      <c r="AQ98">
        <f>$H$98*$W$98</f>
        <v>39.85</v>
      </c>
      <c r="AR98">
        <f>$H$98*$X$98</f>
        <v>39.85</v>
      </c>
      <c r="AS98">
        <f>$H$98*$Y$98</f>
        <v>39.85</v>
      </c>
      <c r="AT98">
        <f>$H$98*$Z$98</f>
        <v>39.85</v>
      </c>
      <c r="AU98">
        <f>$H$98*$AA$98</f>
        <v>39.85</v>
      </c>
      <c r="AV98">
        <f>$H$98*$AB$98</f>
        <v>39.85</v>
      </c>
      <c r="AW98">
        <f>$H$98*$AC$98</f>
        <v>39.85</v>
      </c>
      <c r="AX98">
        <f>$H$98*$AD$98</f>
        <v>39.85</v>
      </c>
      <c r="AY98">
        <f>$H$98*$AE$98</f>
        <v>39.85</v>
      </c>
      <c r="AZ98">
        <f>$H$98*$AF$98</f>
        <v>39.85</v>
      </c>
    </row>
    <row r="99" spans="1:52" x14ac:dyDescent="0.25">
      <c r="A99">
        <v>130</v>
      </c>
      <c r="B99" t="s">
        <v>7</v>
      </c>
      <c r="C99" t="s">
        <v>359</v>
      </c>
      <c r="D99">
        <v>20.5</v>
      </c>
      <c r="E99">
        <v>78.31</v>
      </c>
      <c r="F99" t="s">
        <v>280</v>
      </c>
      <c r="G99">
        <v>3.82</v>
      </c>
      <c r="H99">
        <v>93.97</v>
      </c>
      <c r="I99" t="s">
        <v>284</v>
      </c>
      <c r="J99" t="s">
        <v>360</v>
      </c>
      <c r="K99" t="s">
        <v>489</v>
      </c>
      <c r="L99" t="s">
        <v>174</v>
      </c>
      <c r="M99" t="s">
        <v>7</v>
      </c>
      <c r="N99" t="s">
        <v>12</v>
      </c>
      <c r="O99" t="s">
        <v>7</v>
      </c>
      <c r="P99">
        <v>0</v>
      </c>
      <c r="Q99">
        <v>0</v>
      </c>
      <c r="R99">
        <v>0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7</v>
      </c>
      <c r="AH99" t="s">
        <v>12</v>
      </c>
      <c r="AI99" t="s">
        <v>7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93.97</v>
      </c>
      <c r="AN99">
        <f>$H$99*$T$99</f>
        <v>93.97</v>
      </c>
      <c r="AO99">
        <f>$H$99*$U$99</f>
        <v>93.97</v>
      </c>
      <c r="AP99">
        <f>$H$99*$V$99</f>
        <v>93.97</v>
      </c>
      <c r="AQ99">
        <f>$H$99*$W$99</f>
        <v>93.97</v>
      </c>
      <c r="AR99">
        <f>$H$99*$X$99</f>
        <v>93.97</v>
      </c>
      <c r="AS99">
        <f>$H$99*$Y$99</f>
        <v>93.97</v>
      </c>
      <c r="AT99">
        <f>$H$99*$Z$99</f>
        <v>93.97</v>
      </c>
      <c r="AU99">
        <f>$H$99*$AA$99</f>
        <v>93.97</v>
      </c>
      <c r="AV99">
        <f>$H$99*$AB$99</f>
        <v>93.97</v>
      </c>
      <c r="AW99">
        <f>$H$99*$AC$99</f>
        <v>93.97</v>
      </c>
      <c r="AX99">
        <f>$H$99*$AD$99</f>
        <v>93.97</v>
      </c>
      <c r="AY99">
        <f>$H$99*$AE$99</f>
        <v>93.97</v>
      </c>
      <c r="AZ99">
        <f>$H$99*$AF$99</f>
        <v>93.97</v>
      </c>
    </row>
    <row r="100" spans="1:52" x14ac:dyDescent="0.25">
      <c r="A100">
        <v>131</v>
      </c>
      <c r="B100" t="s">
        <v>7</v>
      </c>
      <c r="C100" t="s">
        <v>357</v>
      </c>
      <c r="D100">
        <v>104.81</v>
      </c>
      <c r="E100">
        <v>352.16</v>
      </c>
      <c r="F100" t="s">
        <v>298</v>
      </c>
      <c r="G100">
        <v>3.36</v>
      </c>
      <c r="H100">
        <v>422.6</v>
      </c>
      <c r="I100" t="s">
        <v>309</v>
      </c>
      <c r="J100" t="s">
        <v>358</v>
      </c>
      <c r="K100" t="s">
        <v>488</v>
      </c>
      <c r="L100" t="s">
        <v>174</v>
      </c>
      <c r="M100" t="s">
        <v>7</v>
      </c>
      <c r="N100" t="s">
        <v>12</v>
      </c>
      <c r="O100" t="s">
        <v>7</v>
      </c>
      <c r="P100">
        <v>0</v>
      </c>
      <c r="Q100">
        <v>0</v>
      </c>
      <c r="R100">
        <v>0</v>
      </c>
      <c r="S100">
        <v>0.25</v>
      </c>
      <c r="T100">
        <v>0.25</v>
      </c>
      <c r="U100">
        <v>0.25</v>
      </c>
      <c r="V100">
        <v>0.25</v>
      </c>
      <c r="W100">
        <v>0.25</v>
      </c>
      <c r="X100">
        <v>0.5</v>
      </c>
      <c r="Y100">
        <v>0.5</v>
      </c>
      <c r="Z100">
        <v>0.5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7</v>
      </c>
      <c r="AH100" t="s">
        <v>12</v>
      </c>
      <c r="AI100" t="s">
        <v>7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105.65</v>
      </c>
      <c r="AN100">
        <f>$H$100*$T$100</f>
        <v>105.65</v>
      </c>
      <c r="AO100">
        <f>$H$100*$U$100</f>
        <v>105.65</v>
      </c>
      <c r="AP100">
        <f>$H$100*$V$100</f>
        <v>105.65</v>
      </c>
      <c r="AQ100">
        <f>$H$100*$W$100</f>
        <v>105.65</v>
      </c>
      <c r="AR100">
        <f>$H$100*$X$100</f>
        <v>211.3</v>
      </c>
      <c r="AS100">
        <f>$H$100*$Y$100</f>
        <v>211.3</v>
      </c>
      <c r="AT100">
        <f>$H$100*$Z$100</f>
        <v>211.3</v>
      </c>
      <c r="AU100">
        <f>$H$100*$AA$100</f>
        <v>422.6</v>
      </c>
      <c r="AV100">
        <f>$H$100*$AB$100</f>
        <v>422.6</v>
      </c>
      <c r="AW100">
        <f>$H$100*$AC$100</f>
        <v>422.6</v>
      </c>
      <c r="AX100">
        <f>$H$100*$AD$100</f>
        <v>422.6</v>
      </c>
      <c r="AY100">
        <f>$H$100*$AE$100</f>
        <v>422.6</v>
      </c>
      <c r="AZ100">
        <f>$H$100*$AF$100</f>
        <v>422.6</v>
      </c>
    </row>
    <row r="101" spans="1:52" x14ac:dyDescent="0.25">
      <c r="A101">
        <v>132</v>
      </c>
      <c r="B101" t="s">
        <v>7</v>
      </c>
      <c r="C101" t="s">
        <v>361</v>
      </c>
      <c r="D101">
        <v>104.81</v>
      </c>
      <c r="E101">
        <v>111.1</v>
      </c>
      <c r="F101" t="s">
        <v>298</v>
      </c>
      <c r="G101">
        <v>1.06</v>
      </c>
      <c r="H101">
        <v>133.32</v>
      </c>
      <c r="I101" t="s">
        <v>281</v>
      </c>
      <c r="J101" t="s">
        <v>362</v>
      </c>
      <c r="K101" t="s">
        <v>490</v>
      </c>
      <c r="L101" t="s">
        <v>174</v>
      </c>
      <c r="M101" t="s">
        <v>7</v>
      </c>
      <c r="N101" t="s">
        <v>12</v>
      </c>
      <c r="O101" t="s">
        <v>7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1</v>
      </c>
      <c r="AF101">
        <v>1</v>
      </c>
      <c r="AG101" t="s">
        <v>7</v>
      </c>
      <c r="AH101" t="s">
        <v>12</v>
      </c>
      <c r="AI101" t="s">
        <v>7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0</v>
      </c>
      <c r="AV101">
        <f>$H$101*$AB$101</f>
        <v>0</v>
      </c>
      <c r="AW101">
        <f>$H$101*$AC$101</f>
        <v>0</v>
      </c>
      <c r="AX101">
        <f>$H$101*$AD$101</f>
        <v>133.32</v>
      </c>
      <c r="AY101">
        <f>$H$101*$AE$101</f>
        <v>133.32</v>
      </c>
      <c r="AZ101">
        <f>$H$101*$AF$101</f>
        <v>133.32</v>
      </c>
    </row>
    <row r="102" spans="1:52" x14ac:dyDescent="0.25">
      <c r="A102">
        <v>133</v>
      </c>
      <c r="B102" t="s">
        <v>7</v>
      </c>
      <c r="C102" t="s">
        <v>363</v>
      </c>
      <c r="D102">
        <v>104.81</v>
      </c>
      <c r="E102">
        <v>117.39</v>
      </c>
      <c r="F102" t="s">
        <v>298</v>
      </c>
      <c r="G102">
        <v>1.1200000000000001</v>
      </c>
      <c r="H102">
        <v>140.87</v>
      </c>
      <c r="I102" t="s">
        <v>281</v>
      </c>
      <c r="J102" t="s">
        <v>364</v>
      </c>
      <c r="K102" t="s">
        <v>491</v>
      </c>
      <c r="L102" t="s">
        <v>174</v>
      </c>
      <c r="M102" t="s">
        <v>7</v>
      </c>
      <c r="N102" t="s">
        <v>12</v>
      </c>
      <c r="O102" t="s">
        <v>7</v>
      </c>
      <c r="P102">
        <v>0</v>
      </c>
      <c r="Q102">
        <v>0</v>
      </c>
      <c r="R102">
        <v>0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7</v>
      </c>
      <c r="AH102" t="s">
        <v>12</v>
      </c>
      <c r="AI102" t="s">
        <v>7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140.87</v>
      </c>
      <c r="AN102">
        <f>$H$102*$T$102</f>
        <v>140.87</v>
      </c>
      <c r="AO102">
        <f>$H$102*$U$102</f>
        <v>140.87</v>
      </c>
      <c r="AP102">
        <f>$H$102*$V$102</f>
        <v>140.87</v>
      </c>
      <c r="AQ102">
        <f>$H$102*$W$102</f>
        <v>140.87</v>
      </c>
      <c r="AR102">
        <f>$H$102*$X$102</f>
        <v>140.87</v>
      </c>
      <c r="AS102">
        <f>$H$102*$Y$102</f>
        <v>140.87</v>
      </c>
      <c r="AT102">
        <f>$H$102*$Z$102</f>
        <v>140.87</v>
      </c>
      <c r="AU102">
        <f>$H$102*$AA$102</f>
        <v>140.87</v>
      </c>
      <c r="AV102">
        <f>$H$102*$AB$102</f>
        <v>140.87</v>
      </c>
      <c r="AW102">
        <f>$H$102*$AC$102</f>
        <v>140.87</v>
      </c>
      <c r="AX102">
        <f>$H$102*$AD$102</f>
        <v>140.87</v>
      </c>
      <c r="AY102">
        <f>$H$102*$AE$102</f>
        <v>140.87</v>
      </c>
      <c r="AZ102">
        <f>$H$102*$AF$102</f>
        <v>140.87</v>
      </c>
    </row>
    <row r="103" spans="1:52" x14ac:dyDescent="0.25">
      <c r="A103">
        <v>134</v>
      </c>
      <c r="B103" t="s">
        <v>7</v>
      </c>
      <c r="C103" t="s">
        <v>365</v>
      </c>
      <c r="D103">
        <v>24.11</v>
      </c>
      <c r="E103">
        <v>71.849999999999994</v>
      </c>
      <c r="F103" t="s">
        <v>298</v>
      </c>
      <c r="G103">
        <v>2.98</v>
      </c>
      <c r="H103">
        <v>86.23</v>
      </c>
      <c r="I103" t="s">
        <v>366</v>
      </c>
      <c r="J103" t="s">
        <v>367</v>
      </c>
      <c r="K103" t="s">
        <v>492</v>
      </c>
      <c r="L103" t="s">
        <v>174</v>
      </c>
      <c r="M103" t="s">
        <v>7</v>
      </c>
      <c r="N103" t="s">
        <v>12</v>
      </c>
      <c r="O103" t="s">
        <v>7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7</v>
      </c>
      <c r="AH103" t="s">
        <v>12</v>
      </c>
      <c r="AI103" t="s">
        <v>7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86.23</v>
      </c>
      <c r="AN103">
        <f>$H$103*$T$103</f>
        <v>86.23</v>
      </c>
      <c r="AO103">
        <f>$H$103*$U$103</f>
        <v>86.23</v>
      </c>
      <c r="AP103">
        <f>$H$103*$V$103</f>
        <v>86.23</v>
      </c>
      <c r="AQ103">
        <f>$H$103*$W$103</f>
        <v>86.23</v>
      </c>
      <c r="AR103">
        <f>$H$103*$X$103</f>
        <v>86.23</v>
      </c>
      <c r="AS103">
        <f>$H$103*$Y$103</f>
        <v>86.23</v>
      </c>
      <c r="AT103">
        <f>$H$103*$Z$103</f>
        <v>86.23</v>
      </c>
      <c r="AU103">
        <f>$H$103*$AA$103</f>
        <v>86.23</v>
      </c>
      <c r="AV103">
        <f>$H$103*$AB$103</f>
        <v>86.23</v>
      </c>
      <c r="AW103">
        <f>$H$103*$AC$103</f>
        <v>86.23</v>
      </c>
      <c r="AX103">
        <f>$H$103*$AD$103</f>
        <v>86.23</v>
      </c>
      <c r="AY103">
        <f>$H$103*$AE$103</f>
        <v>86.23</v>
      </c>
      <c r="AZ103">
        <f>$H$103*$AF$103</f>
        <v>86.23</v>
      </c>
    </row>
    <row r="104" spans="1:52" x14ac:dyDescent="0.25">
      <c r="A104">
        <v>135</v>
      </c>
      <c r="B104" t="s">
        <v>7</v>
      </c>
      <c r="C104" t="s">
        <v>368</v>
      </c>
      <c r="D104">
        <v>96.43</v>
      </c>
      <c r="E104">
        <v>54.97</v>
      </c>
      <c r="F104" t="s">
        <v>298</v>
      </c>
      <c r="G104">
        <v>0.56999999999999995</v>
      </c>
      <c r="H104">
        <v>65.97</v>
      </c>
      <c r="I104" t="s">
        <v>369</v>
      </c>
      <c r="J104" t="s">
        <v>370</v>
      </c>
      <c r="K104" t="s">
        <v>493</v>
      </c>
      <c r="L104" t="s">
        <v>174</v>
      </c>
      <c r="M104" t="s">
        <v>7</v>
      </c>
      <c r="N104" t="s">
        <v>12</v>
      </c>
      <c r="O104" t="s">
        <v>7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7</v>
      </c>
      <c r="AH104" t="s">
        <v>12</v>
      </c>
      <c r="AI104" t="s">
        <v>7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65.97</v>
      </c>
      <c r="AN104">
        <f>$H$104*$T$104</f>
        <v>65.97</v>
      </c>
      <c r="AO104">
        <f>$H$104*$U$104</f>
        <v>65.97</v>
      </c>
      <c r="AP104">
        <f>$H$104*$V$104</f>
        <v>65.97</v>
      </c>
      <c r="AQ104">
        <f>$H$104*$W$104</f>
        <v>65.97</v>
      </c>
      <c r="AR104">
        <f>$H$104*$X$104</f>
        <v>65.97</v>
      </c>
      <c r="AS104">
        <f>$H$104*$Y$104</f>
        <v>65.97</v>
      </c>
      <c r="AT104">
        <f>$H$104*$Z$104</f>
        <v>65.97</v>
      </c>
      <c r="AU104">
        <f>$H$104*$AA$104</f>
        <v>65.97</v>
      </c>
      <c r="AV104">
        <f>$H$104*$AB$104</f>
        <v>65.97</v>
      </c>
      <c r="AW104">
        <f>$H$104*$AC$104</f>
        <v>65.97</v>
      </c>
      <c r="AX104">
        <f>$H$104*$AD$104</f>
        <v>65.97</v>
      </c>
      <c r="AY104">
        <f>$H$104*$AE$104</f>
        <v>65.97</v>
      </c>
      <c r="AZ104">
        <f>$H$104*$AF$104</f>
        <v>65.97</v>
      </c>
    </row>
    <row r="105" spans="1:52" x14ac:dyDescent="0.25">
      <c r="A105">
        <v>136</v>
      </c>
      <c r="B105" t="s">
        <v>7</v>
      </c>
      <c r="C105" t="s">
        <v>371</v>
      </c>
      <c r="D105">
        <v>96.43</v>
      </c>
      <c r="E105">
        <v>242.04</v>
      </c>
      <c r="F105" t="s">
        <v>298</v>
      </c>
      <c r="G105">
        <v>2.5099999999999998</v>
      </c>
      <c r="H105">
        <v>290.44</v>
      </c>
      <c r="I105" t="s">
        <v>369</v>
      </c>
      <c r="J105" t="s">
        <v>367</v>
      </c>
      <c r="K105" t="s">
        <v>494</v>
      </c>
      <c r="L105" t="s">
        <v>174</v>
      </c>
      <c r="M105" t="s">
        <v>7</v>
      </c>
      <c r="N105" t="s">
        <v>12</v>
      </c>
      <c r="O105" t="s">
        <v>7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7</v>
      </c>
      <c r="AH105" t="s">
        <v>12</v>
      </c>
      <c r="AI105" t="s">
        <v>7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290.44</v>
      </c>
      <c r="AN105">
        <f>$H$105*$T$105</f>
        <v>290.44</v>
      </c>
      <c r="AO105">
        <f>$H$105*$U$105</f>
        <v>290.44</v>
      </c>
      <c r="AP105">
        <f>$H$105*$V$105</f>
        <v>290.44</v>
      </c>
      <c r="AQ105">
        <f>$H$105*$W$105</f>
        <v>290.44</v>
      </c>
      <c r="AR105">
        <f>$H$105*$X$105</f>
        <v>290.44</v>
      </c>
      <c r="AS105">
        <f>$H$105*$Y$105</f>
        <v>290.44</v>
      </c>
      <c r="AT105">
        <f>$H$105*$Z$105</f>
        <v>290.44</v>
      </c>
      <c r="AU105">
        <f>$H$105*$AA$105</f>
        <v>290.44</v>
      </c>
      <c r="AV105">
        <f>$H$105*$AB$105</f>
        <v>290.44</v>
      </c>
      <c r="AW105">
        <f>$H$105*$AC$105</f>
        <v>290.44</v>
      </c>
      <c r="AX105">
        <f>$H$105*$AD$105</f>
        <v>290.44</v>
      </c>
      <c r="AY105">
        <f>$H$105*$AE$105</f>
        <v>290.44</v>
      </c>
      <c r="AZ105">
        <f>$H$105*$AF$105</f>
        <v>290.44</v>
      </c>
    </row>
    <row r="106" spans="1:52" x14ac:dyDescent="0.25">
      <c r="A106">
        <v>137</v>
      </c>
      <c r="B106" t="s">
        <v>4</v>
      </c>
      <c r="C106" t="s">
        <v>286</v>
      </c>
      <c r="D106">
        <v>1</v>
      </c>
      <c r="E106">
        <v>44.87</v>
      </c>
      <c r="F106" t="s">
        <v>285</v>
      </c>
      <c r="G106">
        <v>44.87</v>
      </c>
      <c r="H106">
        <v>53.85</v>
      </c>
      <c r="I106" t="s">
        <v>287</v>
      </c>
      <c r="J106" t="s">
        <v>288</v>
      </c>
      <c r="K106" t="s">
        <v>454</v>
      </c>
      <c r="L106" t="s">
        <v>174</v>
      </c>
      <c r="M106" t="s">
        <v>4</v>
      </c>
      <c r="N106" t="s">
        <v>12</v>
      </c>
      <c r="O106" t="s">
        <v>4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1</v>
      </c>
      <c r="AE106">
        <v>1</v>
      </c>
      <c r="AF106">
        <v>1</v>
      </c>
      <c r="AG106" t="s">
        <v>4</v>
      </c>
      <c r="AH106" t="s">
        <v>12</v>
      </c>
      <c r="AI106" t="s">
        <v>4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0</v>
      </c>
      <c r="AV106">
        <f>$H$106*$AB$106</f>
        <v>0</v>
      </c>
      <c r="AW106">
        <f>$H$106*$AC$106</f>
        <v>0</v>
      </c>
      <c r="AX106">
        <f>$H$106*$AD$106</f>
        <v>53.85</v>
      </c>
      <c r="AY106">
        <f>$H$106*$AE$106</f>
        <v>53.85</v>
      </c>
      <c r="AZ106">
        <f>$H$106*$AF$106</f>
        <v>53.85</v>
      </c>
    </row>
    <row r="107" spans="1:52" x14ac:dyDescent="0.25">
      <c r="A107">
        <v>138</v>
      </c>
      <c r="B107" t="s">
        <v>4</v>
      </c>
      <c r="C107" t="s">
        <v>302</v>
      </c>
      <c r="D107">
        <v>4</v>
      </c>
      <c r="E107">
        <v>30.92</v>
      </c>
      <c r="F107" t="s">
        <v>280</v>
      </c>
      <c r="G107">
        <v>7.73</v>
      </c>
      <c r="H107">
        <v>37.1</v>
      </c>
      <c r="I107" t="s">
        <v>281</v>
      </c>
      <c r="J107" t="s">
        <v>303</v>
      </c>
      <c r="K107" t="s">
        <v>461</v>
      </c>
      <c r="L107" t="s">
        <v>174</v>
      </c>
      <c r="M107" t="s">
        <v>4</v>
      </c>
      <c r="N107" t="s">
        <v>12</v>
      </c>
      <c r="O107" t="s">
        <v>4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4</v>
      </c>
      <c r="AH107" t="s">
        <v>12</v>
      </c>
      <c r="AI107" t="s">
        <v>4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0</v>
      </c>
      <c r="AT107">
        <f>$H$107*$Z$107</f>
        <v>0</v>
      </c>
      <c r="AU107">
        <f>$H$107*$AA$107</f>
        <v>37.1</v>
      </c>
      <c r="AV107">
        <f>$H$107*$AB$107</f>
        <v>37.1</v>
      </c>
      <c r="AW107">
        <f>$H$107*$AC$107</f>
        <v>37.1</v>
      </c>
      <c r="AX107">
        <f>$H$107*$AD$107</f>
        <v>37.1</v>
      </c>
      <c r="AY107">
        <f>$H$107*$AE$107</f>
        <v>37.1</v>
      </c>
      <c r="AZ107">
        <f>$H$107*$AF$107</f>
        <v>37.1</v>
      </c>
    </row>
    <row r="108" spans="1:52" x14ac:dyDescent="0.25">
      <c r="A108">
        <v>139</v>
      </c>
      <c r="B108" t="s">
        <v>4</v>
      </c>
      <c r="C108" t="s">
        <v>304</v>
      </c>
      <c r="D108">
        <v>4</v>
      </c>
      <c r="E108">
        <v>51.28</v>
      </c>
      <c r="F108" t="s">
        <v>280</v>
      </c>
      <c r="G108">
        <v>12.82</v>
      </c>
      <c r="H108">
        <v>61.54</v>
      </c>
      <c r="I108" t="s">
        <v>284</v>
      </c>
      <c r="J108" t="s">
        <v>305</v>
      </c>
      <c r="K108" t="s">
        <v>462</v>
      </c>
      <c r="L108" t="s">
        <v>174</v>
      </c>
      <c r="M108" t="s">
        <v>4</v>
      </c>
      <c r="N108" t="s">
        <v>12</v>
      </c>
      <c r="O108" t="s">
        <v>4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4</v>
      </c>
      <c r="AH108" t="s">
        <v>12</v>
      </c>
      <c r="AI108" t="s">
        <v>4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61.54</v>
      </c>
      <c r="AV108">
        <f>$H$108*$AB$108</f>
        <v>61.54</v>
      </c>
      <c r="AW108">
        <f>$H$108*$AC$108</f>
        <v>61.54</v>
      </c>
      <c r="AX108">
        <f>$H$108*$AD$108</f>
        <v>61.54</v>
      </c>
      <c r="AY108">
        <f>$H$108*$AE$108</f>
        <v>61.54</v>
      </c>
      <c r="AZ108">
        <f>$H$108*$AF$108</f>
        <v>61.54</v>
      </c>
    </row>
    <row r="109" spans="1:52" x14ac:dyDescent="0.25">
      <c r="A109">
        <v>140</v>
      </c>
      <c r="B109" t="s">
        <v>4</v>
      </c>
      <c r="C109" t="s">
        <v>349</v>
      </c>
      <c r="D109">
        <v>4</v>
      </c>
      <c r="E109">
        <v>22.08</v>
      </c>
      <c r="F109" t="s">
        <v>280</v>
      </c>
      <c r="G109">
        <v>5.52</v>
      </c>
      <c r="H109">
        <v>26.5</v>
      </c>
      <c r="I109" t="s">
        <v>284</v>
      </c>
      <c r="J109" t="s">
        <v>350</v>
      </c>
      <c r="K109" t="s">
        <v>484</v>
      </c>
      <c r="L109" t="s">
        <v>174</v>
      </c>
      <c r="M109" t="s">
        <v>4</v>
      </c>
      <c r="N109" t="s">
        <v>12</v>
      </c>
      <c r="O109" t="s">
        <v>4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1</v>
      </c>
      <c r="AD109">
        <v>1</v>
      </c>
      <c r="AE109">
        <v>1</v>
      </c>
      <c r="AF109">
        <v>1</v>
      </c>
      <c r="AG109" t="s">
        <v>4</v>
      </c>
      <c r="AH109" t="s">
        <v>12</v>
      </c>
      <c r="AI109" t="s">
        <v>4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0</v>
      </c>
      <c r="AV109">
        <f>$H$109*$AB$109</f>
        <v>0</v>
      </c>
      <c r="AW109">
        <f>$H$109*$AC$109</f>
        <v>26.5</v>
      </c>
      <c r="AX109">
        <f>$H$109*$AD$109</f>
        <v>26.5</v>
      </c>
      <c r="AY109">
        <f>$H$109*$AE$109</f>
        <v>26.5</v>
      </c>
      <c r="AZ109">
        <f>$H$109*$AF$109</f>
        <v>26.5</v>
      </c>
    </row>
    <row r="110" spans="1:52" x14ac:dyDescent="0.25">
      <c r="A110">
        <v>141</v>
      </c>
      <c r="B110" t="s">
        <v>4</v>
      </c>
      <c r="C110" t="s">
        <v>351</v>
      </c>
      <c r="D110">
        <v>5</v>
      </c>
      <c r="E110">
        <v>80.400000000000006</v>
      </c>
      <c r="F110" t="s">
        <v>285</v>
      </c>
      <c r="G110">
        <v>16.079999999999998</v>
      </c>
      <c r="H110">
        <v>96.48</v>
      </c>
      <c r="I110" t="s">
        <v>287</v>
      </c>
      <c r="J110" t="s">
        <v>352</v>
      </c>
      <c r="K110" t="s">
        <v>485</v>
      </c>
      <c r="L110" t="s">
        <v>174</v>
      </c>
      <c r="M110" t="s">
        <v>4</v>
      </c>
      <c r="N110" t="s">
        <v>12</v>
      </c>
      <c r="O110" t="s">
        <v>4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4</v>
      </c>
      <c r="AH110" t="s">
        <v>12</v>
      </c>
      <c r="AI110" t="s">
        <v>4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96.48</v>
      </c>
      <c r="AS110">
        <f>$H$110*$Y$110</f>
        <v>96.48</v>
      </c>
      <c r="AT110">
        <f>$H$110*$Z$110</f>
        <v>96.48</v>
      </c>
      <c r="AU110">
        <f>$H$110*$AA$110</f>
        <v>96.48</v>
      </c>
      <c r="AV110">
        <f>$H$110*$AB$110</f>
        <v>96.48</v>
      </c>
      <c r="AW110">
        <f>$H$110*$AC$110</f>
        <v>96.48</v>
      </c>
      <c r="AX110">
        <f>$H$110*$AD$110</f>
        <v>96.48</v>
      </c>
      <c r="AY110">
        <f>$H$110*$AE$110</f>
        <v>96.48</v>
      </c>
      <c r="AZ110">
        <f>$H$110*$AF$110</f>
        <v>96.48</v>
      </c>
    </row>
    <row r="111" spans="1:52" x14ac:dyDescent="0.25">
      <c r="A111">
        <v>142</v>
      </c>
      <c r="B111" t="s">
        <v>4</v>
      </c>
      <c r="C111" t="s">
        <v>353</v>
      </c>
      <c r="D111">
        <v>1</v>
      </c>
      <c r="E111">
        <v>55.73</v>
      </c>
      <c r="F111" t="s">
        <v>285</v>
      </c>
      <c r="G111">
        <v>55.73</v>
      </c>
      <c r="H111">
        <v>66.87</v>
      </c>
      <c r="I111" t="s">
        <v>290</v>
      </c>
      <c r="J111" t="s">
        <v>354</v>
      </c>
      <c r="K111" t="s">
        <v>486</v>
      </c>
      <c r="L111" t="s">
        <v>174</v>
      </c>
      <c r="M111" t="s">
        <v>4</v>
      </c>
      <c r="N111" t="s">
        <v>12</v>
      </c>
      <c r="O111" t="s">
        <v>4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1</v>
      </c>
      <c r="AE111">
        <v>1</v>
      </c>
      <c r="AF111">
        <v>1</v>
      </c>
      <c r="AG111" t="s">
        <v>4</v>
      </c>
      <c r="AH111" t="s">
        <v>12</v>
      </c>
      <c r="AI111" t="s">
        <v>4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0</v>
      </c>
      <c r="AU111">
        <f>$H$111*$AA$111</f>
        <v>0</v>
      </c>
      <c r="AV111">
        <f>$H$111*$AB$111</f>
        <v>0</v>
      </c>
      <c r="AW111">
        <f>$H$111*$AC$111</f>
        <v>0</v>
      </c>
      <c r="AX111">
        <f>$H$111*$AD$111</f>
        <v>66.87</v>
      </c>
      <c r="AY111">
        <f>$H$111*$AE$111</f>
        <v>66.87</v>
      </c>
      <c r="AZ111">
        <f>$H$111*$AF$111</f>
        <v>66.87</v>
      </c>
    </row>
    <row r="112" spans="1:52" x14ac:dyDescent="0.25">
      <c r="A112">
        <v>143</v>
      </c>
      <c r="B112" t="s">
        <v>4</v>
      </c>
      <c r="C112" t="s">
        <v>355</v>
      </c>
      <c r="D112">
        <v>1</v>
      </c>
      <c r="E112">
        <v>49.09</v>
      </c>
      <c r="F112" t="s">
        <v>285</v>
      </c>
      <c r="G112">
        <v>49.09</v>
      </c>
      <c r="H112">
        <v>58.91</v>
      </c>
      <c r="I112" t="s">
        <v>312</v>
      </c>
      <c r="J112" t="s">
        <v>356</v>
      </c>
      <c r="K112" t="s">
        <v>487</v>
      </c>
      <c r="L112" t="s">
        <v>174</v>
      </c>
      <c r="M112" t="s">
        <v>4</v>
      </c>
      <c r="N112" t="s">
        <v>12</v>
      </c>
      <c r="O112" t="s">
        <v>4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4</v>
      </c>
      <c r="AH112" t="s">
        <v>12</v>
      </c>
      <c r="AI112" t="s">
        <v>4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58.91</v>
      </c>
      <c r="AV112">
        <f>$H$112*$AB$112</f>
        <v>58.91</v>
      </c>
      <c r="AW112">
        <f>$H$112*$AC$112</f>
        <v>58.91</v>
      </c>
      <c r="AX112">
        <f>$H$112*$AD$112</f>
        <v>58.91</v>
      </c>
      <c r="AY112">
        <f>$H$112*$AE$112</f>
        <v>58.91</v>
      </c>
      <c r="AZ112">
        <f>$H$112*$AF$112</f>
        <v>58.91</v>
      </c>
    </row>
    <row r="113" spans="1:52" x14ac:dyDescent="0.25">
      <c r="A113">
        <v>144</v>
      </c>
      <c r="B113" t="s">
        <v>4</v>
      </c>
      <c r="C113" t="s">
        <v>372</v>
      </c>
      <c r="D113">
        <v>2</v>
      </c>
      <c r="E113">
        <v>166.64</v>
      </c>
      <c r="F113" t="s">
        <v>285</v>
      </c>
      <c r="G113">
        <v>83.32</v>
      </c>
      <c r="H113">
        <v>199.96</v>
      </c>
      <c r="I113" t="s">
        <v>281</v>
      </c>
      <c r="J113" t="s">
        <v>373</v>
      </c>
      <c r="K113" t="s">
        <v>495</v>
      </c>
      <c r="L113" t="s">
        <v>174</v>
      </c>
      <c r="M113" t="s">
        <v>4</v>
      </c>
      <c r="N113" t="s">
        <v>12</v>
      </c>
      <c r="O113" t="s">
        <v>4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4</v>
      </c>
      <c r="AH113" t="s">
        <v>12</v>
      </c>
      <c r="AI113" t="s">
        <v>4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199.96</v>
      </c>
      <c r="AN113">
        <f>$H$113*$T$113</f>
        <v>199.96</v>
      </c>
      <c r="AO113">
        <f>$H$113*$U$113</f>
        <v>199.96</v>
      </c>
      <c r="AP113">
        <f>$H$113*$V$113</f>
        <v>199.96</v>
      </c>
      <c r="AQ113">
        <f>$H$113*$W$113</f>
        <v>199.96</v>
      </c>
      <c r="AR113">
        <f>$H$113*$X$113</f>
        <v>199.96</v>
      </c>
      <c r="AS113">
        <f>$H$113*$Y$113</f>
        <v>199.96</v>
      </c>
      <c r="AT113">
        <f>$H$113*$Z$113</f>
        <v>199.96</v>
      </c>
      <c r="AU113">
        <f>$H$113*$AA$113</f>
        <v>199.96</v>
      </c>
      <c r="AV113">
        <f>$H$113*$AB$113</f>
        <v>199.96</v>
      </c>
      <c r="AW113">
        <f>$H$113*$AC$113</f>
        <v>199.96</v>
      </c>
      <c r="AX113">
        <f>$H$113*$AD$113</f>
        <v>199.96</v>
      </c>
      <c r="AY113">
        <f>$H$113*$AE$113</f>
        <v>199.96</v>
      </c>
      <c r="AZ113">
        <f>$H$113*$AF$113</f>
        <v>199.96</v>
      </c>
    </row>
    <row r="114" spans="1:52" x14ac:dyDescent="0.25">
      <c r="A114">
        <v>145</v>
      </c>
      <c r="B114" t="s">
        <v>4</v>
      </c>
      <c r="C114" t="s">
        <v>374</v>
      </c>
      <c r="D114">
        <v>1</v>
      </c>
      <c r="E114">
        <v>403.94</v>
      </c>
      <c r="F114" t="s">
        <v>285</v>
      </c>
      <c r="G114">
        <v>403.94</v>
      </c>
      <c r="H114">
        <v>484.72</v>
      </c>
      <c r="I114" t="s">
        <v>315</v>
      </c>
      <c r="J114" t="s">
        <v>375</v>
      </c>
      <c r="K114" t="s">
        <v>496</v>
      </c>
      <c r="L114" t="s">
        <v>174</v>
      </c>
      <c r="M114" t="s">
        <v>4</v>
      </c>
      <c r="N114" t="s">
        <v>12</v>
      </c>
      <c r="O114" t="s">
        <v>4</v>
      </c>
      <c r="P114">
        <v>0</v>
      </c>
      <c r="Q114">
        <v>0</v>
      </c>
      <c r="R114">
        <v>0</v>
      </c>
      <c r="S114">
        <v>0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4</v>
      </c>
      <c r="AH114" t="s">
        <v>12</v>
      </c>
      <c r="AI114" t="s">
        <v>4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484.72</v>
      </c>
      <c r="AO114">
        <f>$H$114*$U$114</f>
        <v>484.72</v>
      </c>
      <c r="AP114">
        <f>$H$114*$V$114</f>
        <v>484.72</v>
      </c>
      <c r="AQ114">
        <f>$H$114*$W$114</f>
        <v>484.72</v>
      </c>
      <c r="AR114">
        <f>$H$114*$X$114</f>
        <v>484.72</v>
      </c>
      <c r="AS114">
        <f>$H$114*$Y$114</f>
        <v>484.72</v>
      </c>
      <c r="AT114">
        <f>$H$114*$Z$114</f>
        <v>484.72</v>
      </c>
      <c r="AU114">
        <f>$H$114*$AA$114</f>
        <v>484.72</v>
      </c>
      <c r="AV114">
        <f>$H$114*$AB$114</f>
        <v>484.72</v>
      </c>
      <c r="AW114">
        <f>$H$114*$AC$114</f>
        <v>484.72</v>
      </c>
      <c r="AX114">
        <f>$H$114*$AD$114</f>
        <v>484.72</v>
      </c>
      <c r="AY114">
        <f>$H$114*$AE$114</f>
        <v>484.72</v>
      </c>
      <c r="AZ114">
        <f>$H$114*$AF$114</f>
        <v>484.72</v>
      </c>
    </row>
    <row r="115" spans="1:52" x14ac:dyDescent="0.25">
      <c r="A115">
        <v>146</v>
      </c>
      <c r="B115" t="s">
        <v>4</v>
      </c>
      <c r="C115" t="s">
        <v>319</v>
      </c>
      <c r="D115">
        <v>2</v>
      </c>
      <c r="E115">
        <v>126.18</v>
      </c>
      <c r="F115" t="s">
        <v>285</v>
      </c>
      <c r="G115">
        <v>63.09</v>
      </c>
      <c r="H115">
        <v>151.41999999999999</v>
      </c>
      <c r="I115" t="s">
        <v>281</v>
      </c>
      <c r="J115" t="s">
        <v>315</v>
      </c>
      <c r="K115" t="s">
        <v>468</v>
      </c>
      <c r="L115" t="s">
        <v>174</v>
      </c>
      <c r="M115" t="s">
        <v>4</v>
      </c>
      <c r="N115" t="s">
        <v>12</v>
      </c>
      <c r="O115" t="s">
        <v>4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4</v>
      </c>
      <c r="AH115" t="s">
        <v>12</v>
      </c>
      <c r="AI115" t="s">
        <v>4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151.41999999999999</v>
      </c>
      <c r="AN115">
        <f>$H$115*$T$115</f>
        <v>151.41999999999999</v>
      </c>
      <c r="AO115">
        <f>$H$115*$U$115</f>
        <v>151.41999999999999</v>
      </c>
      <c r="AP115">
        <f>$H$115*$V$115</f>
        <v>151.41999999999999</v>
      </c>
      <c r="AQ115">
        <f>$H$115*$W$115</f>
        <v>151.41999999999999</v>
      </c>
      <c r="AR115">
        <f>$H$115*$X$115</f>
        <v>151.41999999999999</v>
      </c>
      <c r="AS115">
        <f>$H$115*$Y$115</f>
        <v>151.41999999999999</v>
      </c>
      <c r="AT115">
        <f>$H$115*$Z$115</f>
        <v>151.41999999999999</v>
      </c>
      <c r="AU115">
        <f>$H$115*$AA$115</f>
        <v>151.41999999999999</v>
      </c>
      <c r="AV115">
        <f>$H$115*$AB$115</f>
        <v>151.41999999999999</v>
      </c>
      <c r="AW115">
        <f>$H$115*$AC$115</f>
        <v>151.41999999999999</v>
      </c>
      <c r="AX115">
        <f>$H$115*$AD$115</f>
        <v>151.41999999999999</v>
      </c>
      <c r="AY115">
        <f>$H$115*$AE$115</f>
        <v>151.41999999999999</v>
      </c>
      <c r="AZ115">
        <f>$H$115*$AF$115</f>
        <v>151.41999999999999</v>
      </c>
    </row>
    <row r="116" spans="1:52" x14ac:dyDescent="0.25">
      <c r="A116">
        <v>147</v>
      </c>
      <c r="B116" t="s">
        <v>4</v>
      </c>
      <c r="C116" t="s">
        <v>314</v>
      </c>
      <c r="D116">
        <v>1</v>
      </c>
      <c r="E116">
        <v>411.12</v>
      </c>
      <c r="F116" t="s">
        <v>285</v>
      </c>
      <c r="G116">
        <v>411.12</v>
      </c>
      <c r="H116">
        <v>493.34</v>
      </c>
      <c r="I116" t="s">
        <v>315</v>
      </c>
      <c r="J116" t="s">
        <v>316</v>
      </c>
      <c r="K116" t="s">
        <v>466</v>
      </c>
      <c r="L116" t="s">
        <v>174</v>
      </c>
      <c r="M116" t="s">
        <v>4</v>
      </c>
      <c r="N116" t="s">
        <v>12</v>
      </c>
      <c r="O116" t="s">
        <v>4</v>
      </c>
      <c r="P116">
        <v>0</v>
      </c>
      <c r="Q116">
        <v>0</v>
      </c>
      <c r="R116">
        <v>0</v>
      </c>
      <c r="S116">
        <v>0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4</v>
      </c>
      <c r="AH116" t="s">
        <v>12</v>
      </c>
      <c r="AI116" t="s">
        <v>4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493.34</v>
      </c>
      <c r="AO116">
        <f>$H$116*$U$116</f>
        <v>493.34</v>
      </c>
      <c r="AP116">
        <f>$H$116*$V$116</f>
        <v>493.34</v>
      </c>
      <c r="AQ116">
        <f>$H$116*$W$116</f>
        <v>493.34</v>
      </c>
      <c r="AR116">
        <f>$H$116*$X$116</f>
        <v>493.34</v>
      </c>
      <c r="AS116">
        <f>$H$116*$Y$116</f>
        <v>493.34</v>
      </c>
      <c r="AT116">
        <f>$H$116*$Z$116</f>
        <v>493.34</v>
      </c>
      <c r="AU116">
        <f>$H$116*$AA$116</f>
        <v>493.34</v>
      </c>
      <c r="AV116">
        <f>$H$116*$AB$116</f>
        <v>493.34</v>
      </c>
      <c r="AW116">
        <f>$H$116*$AC$116</f>
        <v>493.34</v>
      </c>
      <c r="AX116">
        <f>$H$116*$AD$116</f>
        <v>493.34</v>
      </c>
      <c r="AY116">
        <f>$H$116*$AE$116</f>
        <v>493.34</v>
      </c>
      <c r="AZ116">
        <f>$H$116*$AF$116</f>
        <v>493.34</v>
      </c>
    </row>
    <row r="117" spans="1:52" x14ac:dyDescent="0.25">
      <c r="A117">
        <v>148</v>
      </c>
      <c r="B117" t="s">
        <v>4</v>
      </c>
      <c r="C117" t="s">
        <v>306</v>
      </c>
      <c r="D117">
        <v>312</v>
      </c>
      <c r="E117">
        <v>505.44</v>
      </c>
      <c r="F117" t="s">
        <v>298</v>
      </c>
      <c r="G117">
        <v>1.62</v>
      </c>
      <c r="H117">
        <v>606.52</v>
      </c>
      <c r="I117" t="s">
        <v>281</v>
      </c>
      <c r="J117" t="s">
        <v>307</v>
      </c>
      <c r="K117" t="s">
        <v>463</v>
      </c>
      <c r="L117" t="s">
        <v>174</v>
      </c>
      <c r="M117" t="s">
        <v>4</v>
      </c>
      <c r="N117" t="s">
        <v>12</v>
      </c>
      <c r="O117" t="s">
        <v>4</v>
      </c>
      <c r="P117">
        <v>0</v>
      </c>
      <c r="Q117">
        <v>0</v>
      </c>
      <c r="R117">
        <v>0</v>
      </c>
      <c r="S117">
        <v>0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4</v>
      </c>
      <c r="AH117" t="s">
        <v>12</v>
      </c>
      <c r="AI117" t="s">
        <v>4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606.52</v>
      </c>
      <c r="AO117">
        <f>$H$117*$U$117</f>
        <v>606.52</v>
      </c>
      <c r="AP117">
        <f>$H$117*$V$117</f>
        <v>606.52</v>
      </c>
      <c r="AQ117">
        <f>$H$117*$W$117</f>
        <v>606.52</v>
      </c>
      <c r="AR117">
        <f>$H$117*$X$117</f>
        <v>606.52</v>
      </c>
      <c r="AS117">
        <f>$H$117*$Y$117</f>
        <v>606.52</v>
      </c>
      <c r="AT117">
        <f>$H$117*$Z$117</f>
        <v>606.52</v>
      </c>
      <c r="AU117">
        <f>$H$117*$AA$117</f>
        <v>606.52</v>
      </c>
      <c r="AV117">
        <f>$H$117*$AB$117</f>
        <v>606.52</v>
      </c>
      <c r="AW117">
        <f>$H$117*$AC$117</f>
        <v>606.52</v>
      </c>
      <c r="AX117">
        <f>$H$117*$AD$117</f>
        <v>606.52</v>
      </c>
      <c r="AY117">
        <f>$H$117*$AE$117</f>
        <v>606.52</v>
      </c>
      <c r="AZ117">
        <f>$H$117*$AF$117</f>
        <v>606.52</v>
      </c>
    </row>
    <row r="118" spans="1:52" x14ac:dyDescent="0.25">
      <c r="A118">
        <v>149</v>
      </c>
      <c r="B118" t="s">
        <v>4</v>
      </c>
      <c r="C118" t="s">
        <v>357</v>
      </c>
      <c r="D118">
        <v>312</v>
      </c>
      <c r="E118">
        <v>1048.32</v>
      </c>
      <c r="F118" t="s">
        <v>298</v>
      </c>
      <c r="G118">
        <v>3.36</v>
      </c>
      <c r="H118">
        <v>1257.98</v>
      </c>
      <c r="I118" t="s">
        <v>309</v>
      </c>
      <c r="J118" t="s">
        <v>358</v>
      </c>
      <c r="K118" t="s">
        <v>488</v>
      </c>
      <c r="L118" t="s">
        <v>174</v>
      </c>
      <c r="M118" t="s">
        <v>4</v>
      </c>
      <c r="N118" t="s">
        <v>12</v>
      </c>
      <c r="O118" t="s">
        <v>4</v>
      </c>
      <c r="P118">
        <v>0</v>
      </c>
      <c r="Q118">
        <v>0</v>
      </c>
      <c r="R118">
        <v>0</v>
      </c>
      <c r="S118">
        <v>0.25</v>
      </c>
      <c r="T118">
        <v>0.25</v>
      </c>
      <c r="U118">
        <v>0.25</v>
      </c>
      <c r="V118">
        <v>0.25</v>
      </c>
      <c r="W118">
        <v>0.25</v>
      </c>
      <c r="X118">
        <v>0.5</v>
      </c>
      <c r="Y118">
        <v>0.5</v>
      </c>
      <c r="Z118">
        <v>0.5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4</v>
      </c>
      <c r="AH118" t="s">
        <v>12</v>
      </c>
      <c r="AI118" t="s">
        <v>4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314.495</v>
      </c>
      <c r="AN118">
        <f>$H$118*$T$118</f>
        <v>314.495</v>
      </c>
      <c r="AO118">
        <f>$H$118*$U$118</f>
        <v>314.495</v>
      </c>
      <c r="AP118">
        <f>$H$118*$V$118</f>
        <v>314.495</v>
      </c>
      <c r="AQ118">
        <f>$H$118*$W$118</f>
        <v>314.495</v>
      </c>
      <c r="AR118">
        <f>$H$118*$X$118</f>
        <v>628.99</v>
      </c>
      <c r="AS118">
        <f>$H$118*$Y$118</f>
        <v>628.99</v>
      </c>
      <c r="AT118">
        <f>$H$118*$Z$118</f>
        <v>628.99</v>
      </c>
      <c r="AU118">
        <f>$H$118*$AA$118</f>
        <v>1257.98</v>
      </c>
      <c r="AV118">
        <f>$H$118*$AB$118</f>
        <v>1257.98</v>
      </c>
      <c r="AW118">
        <f>$H$118*$AC$118</f>
        <v>1257.98</v>
      </c>
      <c r="AX118">
        <f>$H$118*$AD$118</f>
        <v>1257.98</v>
      </c>
      <c r="AY118">
        <f>$H$118*$AE$118</f>
        <v>1257.98</v>
      </c>
      <c r="AZ118">
        <f>$H$118*$AF$118</f>
        <v>1257.98</v>
      </c>
    </row>
    <row r="119" spans="1:52" x14ac:dyDescent="0.25">
      <c r="A119">
        <v>150</v>
      </c>
      <c r="B119" t="s">
        <v>4</v>
      </c>
      <c r="C119" t="s">
        <v>359</v>
      </c>
      <c r="D119">
        <v>39</v>
      </c>
      <c r="E119">
        <v>148.97999999999999</v>
      </c>
      <c r="F119" t="s">
        <v>280</v>
      </c>
      <c r="G119">
        <v>3.82</v>
      </c>
      <c r="H119">
        <v>178.78</v>
      </c>
      <c r="I119" t="s">
        <v>284</v>
      </c>
      <c r="J119" t="s">
        <v>360</v>
      </c>
      <c r="K119" t="s">
        <v>489</v>
      </c>
      <c r="L119" t="s">
        <v>174</v>
      </c>
      <c r="M119" t="s">
        <v>4</v>
      </c>
      <c r="N119" t="s">
        <v>12</v>
      </c>
      <c r="O119" t="s">
        <v>4</v>
      </c>
      <c r="P119">
        <v>0</v>
      </c>
      <c r="Q119">
        <v>0</v>
      </c>
      <c r="R119">
        <v>0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4</v>
      </c>
      <c r="AH119" t="s">
        <v>12</v>
      </c>
      <c r="AI119" t="s">
        <v>4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178.78</v>
      </c>
      <c r="AN119">
        <f>$H$119*$T$119</f>
        <v>178.78</v>
      </c>
      <c r="AO119">
        <f>$H$119*$U$119</f>
        <v>178.78</v>
      </c>
      <c r="AP119">
        <f>$H$119*$V$119</f>
        <v>178.78</v>
      </c>
      <c r="AQ119">
        <f>$H$119*$W$119</f>
        <v>178.78</v>
      </c>
      <c r="AR119">
        <f>$H$119*$X$119</f>
        <v>178.78</v>
      </c>
      <c r="AS119">
        <f>$H$119*$Y$119</f>
        <v>178.78</v>
      </c>
      <c r="AT119">
        <f>$H$119*$Z$119</f>
        <v>178.78</v>
      </c>
      <c r="AU119">
        <f>$H$119*$AA$119</f>
        <v>178.78</v>
      </c>
      <c r="AV119">
        <f>$H$119*$AB$119</f>
        <v>178.78</v>
      </c>
      <c r="AW119">
        <f>$H$119*$AC$119</f>
        <v>178.78</v>
      </c>
      <c r="AX119">
        <f>$H$119*$AD$119</f>
        <v>178.78</v>
      </c>
      <c r="AY119">
        <f>$H$119*$AE$119</f>
        <v>178.78</v>
      </c>
      <c r="AZ119">
        <f>$H$119*$AF$119</f>
        <v>178.78</v>
      </c>
    </row>
    <row r="120" spans="1:52" x14ac:dyDescent="0.25">
      <c r="A120">
        <v>151</v>
      </c>
      <c r="B120" t="s">
        <v>4</v>
      </c>
      <c r="C120" t="s">
        <v>357</v>
      </c>
      <c r="D120">
        <v>95.06</v>
      </c>
      <c r="E120">
        <v>319.39999999999998</v>
      </c>
      <c r="F120" t="s">
        <v>298</v>
      </c>
      <c r="G120">
        <v>3.36</v>
      </c>
      <c r="H120">
        <v>383.28</v>
      </c>
      <c r="I120" t="s">
        <v>309</v>
      </c>
      <c r="J120" t="s">
        <v>358</v>
      </c>
      <c r="K120" t="s">
        <v>488</v>
      </c>
      <c r="L120" t="s">
        <v>174</v>
      </c>
      <c r="M120" t="s">
        <v>4</v>
      </c>
      <c r="N120" t="s">
        <v>12</v>
      </c>
      <c r="O120" t="s">
        <v>4</v>
      </c>
      <c r="P120">
        <v>0</v>
      </c>
      <c r="Q120">
        <v>0</v>
      </c>
      <c r="R120">
        <v>0</v>
      </c>
      <c r="S120">
        <v>0.25</v>
      </c>
      <c r="T120">
        <v>0.25</v>
      </c>
      <c r="U120">
        <v>0.25</v>
      </c>
      <c r="V120">
        <v>0.25</v>
      </c>
      <c r="W120">
        <v>0.25</v>
      </c>
      <c r="X120">
        <v>0.5</v>
      </c>
      <c r="Y120">
        <v>0.5</v>
      </c>
      <c r="Z120">
        <v>0.5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4</v>
      </c>
      <c r="AH120" t="s">
        <v>12</v>
      </c>
      <c r="AI120" t="s">
        <v>4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95.82</v>
      </c>
      <c r="AN120">
        <f>$H$120*$T$120</f>
        <v>95.82</v>
      </c>
      <c r="AO120">
        <f>$H$120*$U$120</f>
        <v>95.82</v>
      </c>
      <c r="AP120">
        <f>$H$120*$V$120</f>
        <v>95.82</v>
      </c>
      <c r="AQ120">
        <f>$H$120*$W$120</f>
        <v>95.82</v>
      </c>
      <c r="AR120">
        <f>$H$120*$X$120</f>
        <v>191.64</v>
      </c>
      <c r="AS120">
        <f>$H$120*$Y$120</f>
        <v>191.64</v>
      </c>
      <c r="AT120">
        <f>$H$120*$Z$120</f>
        <v>191.64</v>
      </c>
      <c r="AU120">
        <f>$H$120*$AA$120</f>
        <v>383.28</v>
      </c>
      <c r="AV120">
        <f>$H$120*$AB$120</f>
        <v>383.28</v>
      </c>
      <c r="AW120">
        <f>$H$120*$AC$120</f>
        <v>383.28</v>
      </c>
      <c r="AX120">
        <f>$H$120*$AD$120</f>
        <v>383.28</v>
      </c>
      <c r="AY120">
        <f>$H$120*$AE$120</f>
        <v>383.28</v>
      </c>
      <c r="AZ120">
        <f>$H$120*$AF$120</f>
        <v>383.28</v>
      </c>
    </row>
    <row r="121" spans="1:52" x14ac:dyDescent="0.25">
      <c r="A121">
        <v>152</v>
      </c>
      <c r="B121" t="s">
        <v>4</v>
      </c>
      <c r="C121" t="s">
        <v>361</v>
      </c>
      <c r="D121">
        <v>95.06</v>
      </c>
      <c r="E121">
        <v>100.76</v>
      </c>
      <c r="F121" t="s">
        <v>298</v>
      </c>
      <c r="G121">
        <v>1.06</v>
      </c>
      <c r="H121">
        <v>120.92</v>
      </c>
      <c r="I121" t="s">
        <v>281</v>
      </c>
      <c r="J121" t="s">
        <v>362</v>
      </c>
      <c r="K121" t="s">
        <v>490</v>
      </c>
      <c r="L121" t="s">
        <v>174</v>
      </c>
      <c r="M121" t="s">
        <v>4</v>
      </c>
      <c r="N121" t="s">
        <v>12</v>
      </c>
      <c r="O121" t="s">
        <v>4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1</v>
      </c>
      <c r="AE121">
        <v>1</v>
      </c>
      <c r="AF121">
        <v>1</v>
      </c>
      <c r="AG121" t="s">
        <v>4</v>
      </c>
      <c r="AH121" t="s">
        <v>12</v>
      </c>
      <c r="AI121" t="s">
        <v>4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0</v>
      </c>
      <c r="AV121">
        <f>$H$121*$AB$121</f>
        <v>0</v>
      </c>
      <c r="AW121">
        <f>$H$121*$AC$121</f>
        <v>0</v>
      </c>
      <c r="AX121">
        <f>$H$121*$AD$121</f>
        <v>120.92</v>
      </c>
      <c r="AY121">
        <f>$H$121*$AE$121</f>
        <v>120.92</v>
      </c>
      <c r="AZ121">
        <f>$H$121*$AF$121</f>
        <v>120.92</v>
      </c>
    </row>
    <row r="122" spans="1:52" x14ac:dyDescent="0.25">
      <c r="A122">
        <v>153</v>
      </c>
      <c r="B122" t="s">
        <v>4</v>
      </c>
      <c r="C122" t="s">
        <v>363</v>
      </c>
      <c r="D122">
        <v>95.06</v>
      </c>
      <c r="E122">
        <v>106.47</v>
      </c>
      <c r="F122" t="s">
        <v>298</v>
      </c>
      <c r="G122">
        <v>1.1200000000000001</v>
      </c>
      <c r="H122">
        <v>127.77</v>
      </c>
      <c r="I122" t="s">
        <v>281</v>
      </c>
      <c r="J122" t="s">
        <v>364</v>
      </c>
      <c r="K122" t="s">
        <v>491</v>
      </c>
      <c r="L122" t="s">
        <v>174</v>
      </c>
      <c r="M122" t="s">
        <v>4</v>
      </c>
      <c r="N122" t="s">
        <v>12</v>
      </c>
      <c r="O122" t="s">
        <v>4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4</v>
      </c>
      <c r="AH122" t="s">
        <v>12</v>
      </c>
      <c r="AI122" t="s">
        <v>4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127.77</v>
      </c>
      <c r="AN122">
        <f>$H$122*$T$122</f>
        <v>127.77</v>
      </c>
      <c r="AO122">
        <f>$H$122*$U$122</f>
        <v>127.77</v>
      </c>
      <c r="AP122">
        <f>$H$122*$V$122</f>
        <v>127.77</v>
      </c>
      <c r="AQ122">
        <f>$H$122*$W$122</f>
        <v>127.77</v>
      </c>
      <c r="AR122">
        <f>$H$122*$X$122</f>
        <v>127.77</v>
      </c>
      <c r="AS122">
        <f>$H$122*$Y$122</f>
        <v>127.77</v>
      </c>
      <c r="AT122">
        <f>$H$122*$Z$122</f>
        <v>127.77</v>
      </c>
      <c r="AU122">
        <f>$H$122*$AA$122</f>
        <v>127.77</v>
      </c>
      <c r="AV122">
        <f>$H$122*$AB$122</f>
        <v>127.77</v>
      </c>
      <c r="AW122">
        <f>$H$122*$AC$122</f>
        <v>127.77</v>
      </c>
      <c r="AX122">
        <f>$H$122*$AD$122</f>
        <v>127.77</v>
      </c>
      <c r="AY122">
        <f>$H$122*$AE$122</f>
        <v>127.77</v>
      </c>
      <c r="AZ122">
        <f>$H$122*$AF$122</f>
        <v>127.77</v>
      </c>
    </row>
    <row r="123" spans="1:52" x14ac:dyDescent="0.25">
      <c r="A123">
        <v>154</v>
      </c>
      <c r="B123" t="s">
        <v>4</v>
      </c>
      <c r="C123" t="s">
        <v>365</v>
      </c>
      <c r="D123">
        <v>21.86</v>
      </c>
      <c r="E123">
        <v>65.14</v>
      </c>
      <c r="F123" t="s">
        <v>298</v>
      </c>
      <c r="G123">
        <v>2.98</v>
      </c>
      <c r="H123">
        <v>78.16</v>
      </c>
      <c r="I123" t="s">
        <v>366</v>
      </c>
      <c r="J123" t="s">
        <v>367</v>
      </c>
      <c r="K123" t="s">
        <v>492</v>
      </c>
      <c r="L123" t="s">
        <v>174</v>
      </c>
      <c r="M123" t="s">
        <v>4</v>
      </c>
      <c r="N123" t="s">
        <v>12</v>
      </c>
      <c r="O123" t="s">
        <v>4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4</v>
      </c>
      <c r="AH123" t="s">
        <v>12</v>
      </c>
      <c r="AI123" t="s">
        <v>4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78.16</v>
      </c>
      <c r="AN123">
        <f>$H$123*$T$123</f>
        <v>78.16</v>
      </c>
      <c r="AO123">
        <f>$H$123*$U$123</f>
        <v>78.16</v>
      </c>
      <c r="AP123">
        <f>$H$123*$V$123</f>
        <v>78.16</v>
      </c>
      <c r="AQ123">
        <f>$H$123*$W$123</f>
        <v>78.16</v>
      </c>
      <c r="AR123">
        <f>$H$123*$X$123</f>
        <v>78.16</v>
      </c>
      <c r="AS123">
        <f>$H$123*$Y$123</f>
        <v>78.16</v>
      </c>
      <c r="AT123">
        <f>$H$123*$Z$123</f>
        <v>78.16</v>
      </c>
      <c r="AU123">
        <f>$H$123*$AA$123</f>
        <v>78.16</v>
      </c>
      <c r="AV123">
        <f>$H$123*$AB$123</f>
        <v>78.16</v>
      </c>
      <c r="AW123">
        <f>$H$123*$AC$123</f>
        <v>78.16</v>
      </c>
      <c r="AX123">
        <f>$H$123*$AD$123</f>
        <v>78.16</v>
      </c>
      <c r="AY123">
        <f>$H$123*$AE$123</f>
        <v>78.16</v>
      </c>
      <c r="AZ123">
        <f>$H$123*$AF$123</f>
        <v>78.16</v>
      </c>
    </row>
    <row r="124" spans="1:52" x14ac:dyDescent="0.25">
      <c r="A124">
        <v>155</v>
      </c>
      <c r="B124" t="s">
        <v>4</v>
      </c>
      <c r="C124" t="s">
        <v>368</v>
      </c>
      <c r="D124">
        <v>87.46</v>
      </c>
      <c r="E124">
        <v>49.85</v>
      </c>
      <c r="F124" t="s">
        <v>298</v>
      </c>
      <c r="G124">
        <v>0.56999999999999995</v>
      </c>
      <c r="H124">
        <v>59.83</v>
      </c>
      <c r="I124" t="s">
        <v>369</v>
      </c>
      <c r="J124" t="s">
        <v>370</v>
      </c>
      <c r="K124" t="s">
        <v>493</v>
      </c>
      <c r="L124" t="s">
        <v>174</v>
      </c>
      <c r="M124" t="s">
        <v>4</v>
      </c>
      <c r="N124" t="s">
        <v>12</v>
      </c>
      <c r="O124" t="s">
        <v>4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4</v>
      </c>
      <c r="AH124" t="s">
        <v>12</v>
      </c>
      <c r="AI124" t="s">
        <v>4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59.83</v>
      </c>
      <c r="AN124">
        <f>$H$124*$T$124</f>
        <v>59.83</v>
      </c>
      <c r="AO124">
        <f>$H$124*$U$124</f>
        <v>59.83</v>
      </c>
      <c r="AP124">
        <f>$H$124*$V$124</f>
        <v>59.83</v>
      </c>
      <c r="AQ124">
        <f>$H$124*$W$124</f>
        <v>59.83</v>
      </c>
      <c r="AR124">
        <f>$H$124*$X$124</f>
        <v>59.83</v>
      </c>
      <c r="AS124">
        <f>$H$124*$Y$124</f>
        <v>59.83</v>
      </c>
      <c r="AT124">
        <f>$H$124*$Z$124</f>
        <v>59.83</v>
      </c>
      <c r="AU124">
        <f>$H$124*$AA$124</f>
        <v>59.83</v>
      </c>
      <c r="AV124">
        <f>$H$124*$AB$124</f>
        <v>59.83</v>
      </c>
      <c r="AW124">
        <f>$H$124*$AC$124</f>
        <v>59.83</v>
      </c>
      <c r="AX124">
        <f>$H$124*$AD$124</f>
        <v>59.83</v>
      </c>
      <c r="AY124">
        <f>$H$124*$AE$124</f>
        <v>59.83</v>
      </c>
      <c r="AZ124">
        <f>$H$124*$AF$124</f>
        <v>59.83</v>
      </c>
    </row>
    <row r="125" spans="1:52" x14ac:dyDescent="0.25">
      <c r="A125">
        <v>156</v>
      </c>
      <c r="B125" t="s">
        <v>4</v>
      </c>
      <c r="C125" t="s">
        <v>371</v>
      </c>
      <c r="D125">
        <v>87.46</v>
      </c>
      <c r="E125">
        <v>219.52</v>
      </c>
      <c r="F125" t="s">
        <v>298</v>
      </c>
      <c r="G125">
        <v>2.5099999999999998</v>
      </c>
      <c r="H125">
        <v>263.42</v>
      </c>
      <c r="I125" t="s">
        <v>369</v>
      </c>
      <c r="J125" t="s">
        <v>367</v>
      </c>
      <c r="K125" t="s">
        <v>494</v>
      </c>
      <c r="L125" t="s">
        <v>174</v>
      </c>
      <c r="M125" t="s">
        <v>4</v>
      </c>
      <c r="N125" t="s">
        <v>12</v>
      </c>
      <c r="O125" t="s">
        <v>4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4</v>
      </c>
      <c r="AH125" t="s">
        <v>12</v>
      </c>
      <c r="AI125" t="s">
        <v>4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263.42</v>
      </c>
      <c r="AN125">
        <f>$H$125*$T$125</f>
        <v>263.42</v>
      </c>
      <c r="AO125">
        <f>$H$125*$U$125</f>
        <v>263.42</v>
      </c>
      <c r="AP125">
        <f>$H$125*$V$125</f>
        <v>263.42</v>
      </c>
      <c r="AQ125">
        <f>$H$125*$W$125</f>
        <v>263.42</v>
      </c>
      <c r="AR125">
        <f>$H$125*$X$125</f>
        <v>263.42</v>
      </c>
      <c r="AS125">
        <f>$H$125*$Y$125</f>
        <v>263.42</v>
      </c>
      <c r="AT125">
        <f>$H$125*$Z$125</f>
        <v>263.42</v>
      </c>
      <c r="AU125">
        <f>$H$125*$AA$125</f>
        <v>263.42</v>
      </c>
      <c r="AV125">
        <f>$H$125*$AB$125</f>
        <v>263.42</v>
      </c>
      <c r="AW125">
        <f>$H$125*$AC$125</f>
        <v>263.42</v>
      </c>
      <c r="AX125">
        <f>$H$125*$AD$125</f>
        <v>263.42</v>
      </c>
      <c r="AY125">
        <f>$H$125*$AE$125</f>
        <v>263.42</v>
      </c>
      <c r="AZ125">
        <f>$H$125*$AF$125</f>
        <v>263.42</v>
      </c>
    </row>
    <row r="126" spans="1:52" x14ac:dyDescent="0.25">
      <c r="A126">
        <v>157</v>
      </c>
      <c r="B126" t="s">
        <v>5</v>
      </c>
      <c r="C126" t="s">
        <v>351</v>
      </c>
      <c r="D126">
        <v>4</v>
      </c>
      <c r="E126">
        <v>64.319999999999993</v>
      </c>
      <c r="F126" t="s">
        <v>285</v>
      </c>
      <c r="G126">
        <v>16.079999999999998</v>
      </c>
      <c r="H126">
        <v>77.180000000000007</v>
      </c>
      <c r="I126" t="s">
        <v>287</v>
      </c>
      <c r="J126" t="s">
        <v>352</v>
      </c>
      <c r="K126" t="s">
        <v>485</v>
      </c>
      <c r="L126" t="s">
        <v>174</v>
      </c>
      <c r="M126" t="s">
        <v>5</v>
      </c>
      <c r="N126" t="s">
        <v>12</v>
      </c>
      <c r="O126" t="s">
        <v>5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5</v>
      </c>
      <c r="AH126" t="s">
        <v>12</v>
      </c>
      <c r="AI126" t="s">
        <v>5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77.180000000000007</v>
      </c>
      <c r="AS126">
        <f>$H$126*$Y$126</f>
        <v>77.180000000000007</v>
      </c>
      <c r="AT126">
        <f>$H$126*$Z$126</f>
        <v>77.180000000000007</v>
      </c>
      <c r="AU126">
        <f>$H$126*$AA$126</f>
        <v>77.180000000000007</v>
      </c>
      <c r="AV126">
        <f>$H$126*$AB$126</f>
        <v>77.180000000000007</v>
      </c>
      <c r="AW126">
        <f>$H$126*$AC$126</f>
        <v>77.180000000000007</v>
      </c>
      <c r="AX126">
        <f>$H$126*$AD$126</f>
        <v>77.180000000000007</v>
      </c>
      <c r="AY126">
        <f>$H$126*$AE$126</f>
        <v>77.180000000000007</v>
      </c>
      <c r="AZ126">
        <f>$H$126*$AF$126</f>
        <v>77.180000000000007</v>
      </c>
    </row>
    <row r="127" spans="1:52" x14ac:dyDescent="0.25">
      <c r="A127">
        <v>158</v>
      </c>
      <c r="B127" t="s">
        <v>5</v>
      </c>
      <c r="C127" t="s">
        <v>353</v>
      </c>
      <c r="D127">
        <v>1</v>
      </c>
      <c r="E127">
        <v>55.73</v>
      </c>
      <c r="F127" t="s">
        <v>285</v>
      </c>
      <c r="G127">
        <v>55.73</v>
      </c>
      <c r="H127">
        <v>66.87</v>
      </c>
      <c r="I127" t="s">
        <v>290</v>
      </c>
      <c r="J127" t="s">
        <v>354</v>
      </c>
      <c r="K127" t="s">
        <v>486</v>
      </c>
      <c r="L127" t="s">
        <v>174</v>
      </c>
      <c r="M127" t="s">
        <v>5</v>
      </c>
      <c r="N127" t="s">
        <v>12</v>
      </c>
      <c r="O127" t="s">
        <v>5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1</v>
      </c>
      <c r="AE127">
        <v>1</v>
      </c>
      <c r="AF127">
        <v>1</v>
      </c>
      <c r="AG127" t="s">
        <v>5</v>
      </c>
      <c r="AH127" t="s">
        <v>12</v>
      </c>
      <c r="AI127" t="s">
        <v>5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0</v>
      </c>
      <c r="AV127">
        <f>$H$127*$AB$127</f>
        <v>0</v>
      </c>
      <c r="AW127">
        <f>$H$127*$AC$127</f>
        <v>0</v>
      </c>
      <c r="AX127">
        <f>$H$127*$AD$127</f>
        <v>66.87</v>
      </c>
      <c r="AY127">
        <f>$H$127*$AE$127</f>
        <v>66.87</v>
      </c>
      <c r="AZ127">
        <f>$H$127*$AF$127</f>
        <v>66.87</v>
      </c>
    </row>
    <row r="128" spans="1:52" x14ac:dyDescent="0.25">
      <c r="A128">
        <v>159</v>
      </c>
      <c r="B128" t="s">
        <v>5</v>
      </c>
      <c r="C128" t="s">
        <v>306</v>
      </c>
      <c r="D128">
        <v>218.67</v>
      </c>
      <c r="E128">
        <v>354.25</v>
      </c>
      <c r="F128" t="s">
        <v>298</v>
      </c>
      <c r="G128">
        <v>1.62</v>
      </c>
      <c r="H128">
        <v>425.11</v>
      </c>
      <c r="I128" t="s">
        <v>281</v>
      </c>
      <c r="J128" t="s">
        <v>307</v>
      </c>
      <c r="K128" t="s">
        <v>463</v>
      </c>
      <c r="L128" t="s">
        <v>174</v>
      </c>
      <c r="M128" t="s">
        <v>5</v>
      </c>
      <c r="N128" t="s">
        <v>12</v>
      </c>
      <c r="O128" t="s">
        <v>5</v>
      </c>
      <c r="P128">
        <v>0</v>
      </c>
      <c r="Q128">
        <v>0</v>
      </c>
      <c r="R128">
        <v>0</v>
      </c>
      <c r="S128">
        <v>0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5</v>
      </c>
      <c r="AH128" t="s">
        <v>12</v>
      </c>
      <c r="AI128" t="s">
        <v>5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425.11</v>
      </c>
      <c r="AO128">
        <f>$H$128*$U$128</f>
        <v>425.11</v>
      </c>
      <c r="AP128">
        <f>$H$128*$V$128</f>
        <v>425.11</v>
      </c>
      <c r="AQ128">
        <f>$H$128*$W$128</f>
        <v>425.11</v>
      </c>
      <c r="AR128">
        <f>$H$128*$X$128</f>
        <v>425.11</v>
      </c>
      <c r="AS128">
        <f>$H$128*$Y$128</f>
        <v>425.11</v>
      </c>
      <c r="AT128">
        <f>$H$128*$Z$128</f>
        <v>425.11</v>
      </c>
      <c r="AU128">
        <f>$H$128*$AA$128</f>
        <v>425.11</v>
      </c>
      <c r="AV128">
        <f>$H$128*$AB$128</f>
        <v>425.11</v>
      </c>
      <c r="AW128">
        <f>$H$128*$AC$128</f>
        <v>425.11</v>
      </c>
      <c r="AX128">
        <f>$H$128*$AD$128</f>
        <v>425.11</v>
      </c>
      <c r="AY128">
        <f>$H$128*$AE$128</f>
        <v>425.11</v>
      </c>
      <c r="AZ128">
        <f>$H$128*$AF$128</f>
        <v>425.11</v>
      </c>
    </row>
    <row r="129" spans="1:52" x14ac:dyDescent="0.25">
      <c r="A129">
        <v>160</v>
      </c>
      <c r="B129" t="s">
        <v>5</v>
      </c>
      <c r="C129" t="s">
        <v>357</v>
      </c>
      <c r="D129">
        <v>218.67</v>
      </c>
      <c r="E129">
        <v>734.73</v>
      </c>
      <c r="F129" t="s">
        <v>298</v>
      </c>
      <c r="G129">
        <v>3.36</v>
      </c>
      <c r="H129">
        <v>881.67</v>
      </c>
      <c r="I129" t="s">
        <v>309</v>
      </c>
      <c r="J129" t="s">
        <v>358</v>
      </c>
      <c r="K129" t="s">
        <v>488</v>
      </c>
      <c r="L129" t="s">
        <v>174</v>
      </c>
      <c r="M129" t="s">
        <v>5</v>
      </c>
      <c r="N129" t="s">
        <v>12</v>
      </c>
      <c r="O129" t="s">
        <v>5</v>
      </c>
      <c r="P129">
        <v>0</v>
      </c>
      <c r="Q129">
        <v>0</v>
      </c>
      <c r="R129">
        <v>0</v>
      </c>
      <c r="S129">
        <v>0.25</v>
      </c>
      <c r="T129">
        <v>0.25</v>
      </c>
      <c r="U129">
        <v>0.25</v>
      </c>
      <c r="V129">
        <v>0.25</v>
      </c>
      <c r="W129">
        <v>0.25</v>
      </c>
      <c r="X129">
        <v>0.5</v>
      </c>
      <c r="Y129">
        <v>0.5</v>
      </c>
      <c r="Z129">
        <v>0.5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5</v>
      </c>
      <c r="AH129" t="s">
        <v>12</v>
      </c>
      <c r="AI129" t="s">
        <v>5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220.41749999999999</v>
      </c>
      <c r="AN129">
        <f>$H$129*$T$129</f>
        <v>220.41749999999999</v>
      </c>
      <c r="AO129">
        <f>$H$129*$U$129</f>
        <v>220.41749999999999</v>
      </c>
      <c r="AP129">
        <f>$H$129*$V$129</f>
        <v>220.41749999999999</v>
      </c>
      <c r="AQ129">
        <f>$H$129*$W$129</f>
        <v>220.41749999999999</v>
      </c>
      <c r="AR129">
        <f>$H$129*$X$129</f>
        <v>440.83499999999998</v>
      </c>
      <c r="AS129">
        <f>$H$129*$Y$129</f>
        <v>440.83499999999998</v>
      </c>
      <c r="AT129">
        <f>$H$129*$Z$129</f>
        <v>440.83499999999998</v>
      </c>
      <c r="AU129">
        <f>$H$129*$AA$129</f>
        <v>881.67</v>
      </c>
      <c r="AV129">
        <f>$H$129*$AB$129</f>
        <v>881.67</v>
      </c>
      <c r="AW129">
        <f>$H$129*$AC$129</f>
        <v>881.67</v>
      </c>
      <c r="AX129">
        <f>$H$129*$AD$129</f>
        <v>881.67</v>
      </c>
      <c r="AY129">
        <f>$H$129*$AE$129</f>
        <v>881.67</v>
      </c>
      <c r="AZ129">
        <f>$H$129*$AF$129</f>
        <v>881.67</v>
      </c>
    </row>
    <row r="130" spans="1:52" x14ac:dyDescent="0.25">
      <c r="A130">
        <v>161</v>
      </c>
      <c r="B130" t="s">
        <v>5</v>
      </c>
      <c r="C130" t="s">
        <v>359</v>
      </c>
      <c r="D130">
        <v>27.33</v>
      </c>
      <c r="E130">
        <v>104.4</v>
      </c>
      <c r="F130" t="s">
        <v>280</v>
      </c>
      <c r="G130">
        <v>3.82</v>
      </c>
      <c r="H130">
        <v>125.28</v>
      </c>
      <c r="I130" t="s">
        <v>284</v>
      </c>
      <c r="J130" t="s">
        <v>360</v>
      </c>
      <c r="K130" t="s">
        <v>489</v>
      </c>
      <c r="L130" t="s">
        <v>174</v>
      </c>
      <c r="M130" t="s">
        <v>5</v>
      </c>
      <c r="N130" t="s">
        <v>12</v>
      </c>
      <c r="O130" t="s">
        <v>5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5</v>
      </c>
      <c r="AH130" t="s">
        <v>12</v>
      </c>
      <c r="AI130" t="s">
        <v>5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125.28</v>
      </c>
      <c r="AN130">
        <f>$H$130*$T$130</f>
        <v>125.28</v>
      </c>
      <c r="AO130">
        <f>$H$130*$U$130</f>
        <v>125.28</v>
      </c>
      <c r="AP130">
        <f>$H$130*$V$130</f>
        <v>125.28</v>
      </c>
      <c r="AQ130">
        <f>$H$130*$W$130</f>
        <v>125.28</v>
      </c>
      <c r="AR130">
        <f>$H$130*$X$130</f>
        <v>125.28</v>
      </c>
      <c r="AS130">
        <f>$H$130*$Y$130</f>
        <v>125.28</v>
      </c>
      <c r="AT130">
        <f>$H$130*$Z$130</f>
        <v>125.28</v>
      </c>
      <c r="AU130">
        <f>$H$130*$AA$130</f>
        <v>125.28</v>
      </c>
      <c r="AV130">
        <f>$H$130*$AB$130</f>
        <v>125.28</v>
      </c>
      <c r="AW130">
        <f>$H$130*$AC$130</f>
        <v>125.28</v>
      </c>
      <c r="AX130">
        <f>$H$130*$AD$130</f>
        <v>125.28</v>
      </c>
      <c r="AY130">
        <f>$H$130*$AE$130</f>
        <v>125.28</v>
      </c>
      <c r="AZ130">
        <f>$H$130*$AF$130</f>
        <v>125.28</v>
      </c>
    </row>
    <row r="131" spans="1:52" x14ac:dyDescent="0.25">
      <c r="A131">
        <v>162</v>
      </c>
      <c r="B131" t="s">
        <v>5</v>
      </c>
      <c r="C131" t="s">
        <v>357</v>
      </c>
      <c r="D131">
        <v>45.69</v>
      </c>
      <c r="E131">
        <v>153.52000000000001</v>
      </c>
      <c r="F131" t="s">
        <v>298</v>
      </c>
      <c r="G131">
        <v>3.36</v>
      </c>
      <c r="H131">
        <v>184.22</v>
      </c>
      <c r="I131" t="s">
        <v>309</v>
      </c>
      <c r="J131" t="s">
        <v>358</v>
      </c>
      <c r="K131" t="s">
        <v>488</v>
      </c>
      <c r="L131" t="s">
        <v>174</v>
      </c>
      <c r="M131" t="s">
        <v>5</v>
      </c>
      <c r="N131" t="s">
        <v>12</v>
      </c>
      <c r="O131" t="s">
        <v>5</v>
      </c>
      <c r="P131">
        <v>0</v>
      </c>
      <c r="Q131">
        <v>0</v>
      </c>
      <c r="R131">
        <v>0</v>
      </c>
      <c r="S131">
        <v>0.25</v>
      </c>
      <c r="T131">
        <v>0.25</v>
      </c>
      <c r="U131">
        <v>0.25</v>
      </c>
      <c r="V131">
        <v>0.25</v>
      </c>
      <c r="W131">
        <v>0.25</v>
      </c>
      <c r="X131">
        <v>0.5</v>
      </c>
      <c r="Y131">
        <v>0.5</v>
      </c>
      <c r="Z131">
        <v>0.5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5</v>
      </c>
      <c r="AH131" t="s">
        <v>12</v>
      </c>
      <c r="AI131" t="s">
        <v>5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46.055</v>
      </c>
      <c r="AN131">
        <f>$H$131*$T$131</f>
        <v>46.055</v>
      </c>
      <c r="AO131">
        <f>$H$131*$U$131</f>
        <v>46.055</v>
      </c>
      <c r="AP131">
        <f>$H$131*$V$131</f>
        <v>46.055</v>
      </c>
      <c r="AQ131">
        <f>$H$131*$W$131</f>
        <v>46.055</v>
      </c>
      <c r="AR131">
        <f>$H$131*$X$131</f>
        <v>92.11</v>
      </c>
      <c r="AS131">
        <f>$H$131*$Y$131</f>
        <v>92.11</v>
      </c>
      <c r="AT131">
        <f>$H$131*$Z$131</f>
        <v>92.11</v>
      </c>
      <c r="AU131">
        <f>$H$131*$AA$131</f>
        <v>184.22</v>
      </c>
      <c r="AV131">
        <f>$H$131*$AB$131</f>
        <v>184.22</v>
      </c>
      <c r="AW131">
        <f>$H$131*$AC$131</f>
        <v>184.22</v>
      </c>
      <c r="AX131">
        <f>$H$131*$AD$131</f>
        <v>184.22</v>
      </c>
      <c r="AY131">
        <f>$H$131*$AE$131</f>
        <v>184.22</v>
      </c>
      <c r="AZ131">
        <f>$H$131*$AF$131</f>
        <v>184.22</v>
      </c>
    </row>
    <row r="132" spans="1:52" x14ac:dyDescent="0.25">
      <c r="A132">
        <v>163</v>
      </c>
      <c r="B132" t="s">
        <v>5</v>
      </c>
      <c r="C132" t="s">
        <v>361</v>
      </c>
      <c r="D132">
        <v>45.69</v>
      </c>
      <c r="E132">
        <v>48.43</v>
      </c>
      <c r="F132" t="s">
        <v>298</v>
      </c>
      <c r="G132">
        <v>1.06</v>
      </c>
      <c r="H132">
        <v>58.11</v>
      </c>
      <c r="I132" t="s">
        <v>281</v>
      </c>
      <c r="J132" t="s">
        <v>362</v>
      </c>
      <c r="K132" t="s">
        <v>490</v>
      </c>
      <c r="L132" t="s">
        <v>174</v>
      </c>
      <c r="M132" t="s">
        <v>5</v>
      </c>
      <c r="N132" t="s">
        <v>12</v>
      </c>
      <c r="O132" t="s">
        <v>5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1</v>
      </c>
      <c r="AE132">
        <v>1</v>
      </c>
      <c r="AF132">
        <v>1</v>
      </c>
      <c r="AG132" t="s">
        <v>5</v>
      </c>
      <c r="AH132" t="s">
        <v>12</v>
      </c>
      <c r="AI132" t="s">
        <v>5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0</v>
      </c>
      <c r="AV132">
        <f>$H$132*$AB$132</f>
        <v>0</v>
      </c>
      <c r="AW132">
        <f>$H$132*$AC$132</f>
        <v>0</v>
      </c>
      <c r="AX132">
        <f>$H$132*$AD$132</f>
        <v>58.11</v>
      </c>
      <c r="AY132">
        <f>$H$132*$AE$132</f>
        <v>58.11</v>
      </c>
      <c r="AZ132">
        <f>$H$132*$AF$132</f>
        <v>58.11</v>
      </c>
    </row>
    <row r="133" spans="1:52" x14ac:dyDescent="0.25">
      <c r="A133">
        <v>164</v>
      </c>
      <c r="B133" t="s">
        <v>5</v>
      </c>
      <c r="C133" t="s">
        <v>363</v>
      </c>
      <c r="D133">
        <v>45.69</v>
      </c>
      <c r="E133">
        <v>51.17</v>
      </c>
      <c r="F133" t="s">
        <v>298</v>
      </c>
      <c r="G133">
        <v>1.1200000000000001</v>
      </c>
      <c r="H133">
        <v>61.41</v>
      </c>
      <c r="I133" t="s">
        <v>281</v>
      </c>
      <c r="J133" t="s">
        <v>364</v>
      </c>
      <c r="K133" t="s">
        <v>491</v>
      </c>
      <c r="L133" t="s">
        <v>174</v>
      </c>
      <c r="M133" t="s">
        <v>5</v>
      </c>
      <c r="N133" t="s">
        <v>12</v>
      </c>
      <c r="O133" t="s">
        <v>5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5</v>
      </c>
      <c r="AH133" t="s">
        <v>12</v>
      </c>
      <c r="AI133" t="s">
        <v>5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61.41</v>
      </c>
      <c r="AN133">
        <f>$H$133*$T$133</f>
        <v>61.41</v>
      </c>
      <c r="AO133">
        <f>$H$133*$U$133</f>
        <v>61.41</v>
      </c>
      <c r="AP133">
        <f>$H$133*$V$133</f>
        <v>61.41</v>
      </c>
      <c r="AQ133">
        <f>$H$133*$W$133</f>
        <v>61.41</v>
      </c>
      <c r="AR133">
        <f>$H$133*$X$133</f>
        <v>61.41</v>
      </c>
      <c r="AS133">
        <f>$H$133*$Y$133</f>
        <v>61.41</v>
      </c>
      <c r="AT133">
        <f>$H$133*$Z$133</f>
        <v>61.41</v>
      </c>
      <c r="AU133">
        <f>$H$133*$AA$133</f>
        <v>61.41</v>
      </c>
      <c r="AV133">
        <f>$H$133*$AB$133</f>
        <v>61.41</v>
      </c>
      <c r="AW133">
        <f>$H$133*$AC$133</f>
        <v>61.41</v>
      </c>
      <c r="AX133">
        <f>$H$133*$AD$133</f>
        <v>61.41</v>
      </c>
      <c r="AY133">
        <f>$H$133*$AE$133</f>
        <v>61.41</v>
      </c>
      <c r="AZ133">
        <f>$H$133*$AF$133</f>
        <v>61.41</v>
      </c>
    </row>
    <row r="134" spans="1:52" x14ac:dyDescent="0.25">
      <c r="A134">
        <v>165</v>
      </c>
      <c r="B134" t="s">
        <v>5</v>
      </c>
      <c r="C134" t="s">
        <v>365</v>
      </c>
      <c r="D134">
        <v>10.51</v>
      </c>
      <c r="E134">
        <v>31.32</v>
      </c>
      <c r="F134" t="s">
        <v>298</v>
      </c>
      <c r="G134">
        <v>2.98</v>
      </c>
      <c r="H134">
        <v>37.58</v>
      </c>
      <c r="I134" t="s">
        <v>366</v>
      </c>
      <c r="J134" t="s">
        <v>367</v>
      </c>
      <c r="K134" t="s">
        <v>492</v>
      </c>
      <c r="L134" t="s">
        <v>174</v>
      </c>
      <c r="M134" t="s">
        <v>5</v>
      </c>
      <c r="N134" t="s">
        <v>12</v>
      </c>
      <c r="O134" t="s">
        <v>5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5</v>
      </c>
      <c r="AH134" t="s">
        <v>12</v>
      </c>
      <c r="AI134" t="s">
        <v>5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37.58</v>
      </c>
      <c r="AN134">
        <f>$H$134*$T$134</f>
        <v>37.58</v>
      </c>
      <c r="AO134">
        <f>$H$134*$U$134</f>
        <v>37.58</v>
      </c>
      <c r="AP134">
        <f>$H$134*$V$134</f>
        <v>37.58</v>
      </c>
      <c r="AQ134">
        <f>$H$134*$W$134</f>
        <v>37.58</v>
      </c>
      <c r="AR134">
        <f>$H$134*$X$134</f>
        <v>37.58</v>
      </c>
      <c r="AS134">
        <f>$H$134*$Y$134</f>
        <v>37.58</v>
      </c>
      <c r="AT134">
        <f>$H$134*$Z$134</f>
        <v>37.58</v>
      </c>
      <c r="AU134">
        <f>$H$134*$AA$134</f>
        <v>37.58</v>
      </c>
      <c r="AV134">
        <f>$H$134*$AB$134</f>
        <v>37.58</v>
      </c>
      <c r="AW134">
        <f>$H$134*$AC$134</f>
        <v>37.58</v>
      </c>
      <c r="AX134">
        <f>$H$134*$AD$134</f>
        <v>37.58</v>
      </c>
      <c r="AY134">
        <f>$H$134*$AE$134</f>
        <v>37.58</v>
      </c>
      <c r="AZ134">
        <f>$H$134*$AF$134</f>
        <v>37.58</v>
      </c>
    </row>
    <row r="135" spans="1:52" x14ac:dyDescent="0.25">
      <c r="A135">
        <v>166</v>
      </c>
      <c r="B135" t="s">
        <v>5</v>
      </c>
      <c r="C135" t="s">
        <v>368</v>
      </c>
      <c r="D135">
        <v>42.04</v>
      </c>
      <c r="E135">
        <v>23.96</v>
      </c>
      <c r="F135" t="s">
        <v>298</v>
      </c>
      <c r="G135">
        <v>0.56999999999999995</v>
      </c>
      <c r="H135">
        <v>28.76</v>
      </c>
      <c r="I135" t="s">
        <v>369</v>
      </c>
      <c r="J135" t="s">
        <v>370</v>
      </c>
      <c r="K135" t="s">
        <v>493</v>
      </c>
      <c r="L135" t="s">
        <v>174</v>
      </c>
      <c r="M135" t="s">
        <v>5</v>
      </c>
      <c r="N135" t="s">
        <v>12</v>
      </c>
      <c r="O135" t="s">
        <v>5</v>
      </c>
      <c r="P135">
        <v>0</v>
      </c>
      <c r="Q135">
        <v>0</v>
      </c>
      <c r="R135">
        <v>0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5</v>
      </c>
      <c r="AH135" t="s">
        <v>12</v>
      </c>
      <c r="AI135" t="s">
        <v>5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28.76</v>
      </c>
      <c r="AN135">
        <f>$H$135*$T$135</f>
        <v>28.76</v>
      </c>
      <c r="AO135">
        <f>$H$135*$U$135</f>
        <v>28.76</v>
      </c>
      <c r="AP135">
        <f>$H$135*$V$135</f>
        <v>28.76</v>
      </c>
      <c r="AQ135">
        <f>$H$135*$W$135</f>
        <v>28.76</v>
      </c>
      <c r="AR135">
        <f>$H$135*$X$135</f>
        <v>28.76</v>
      </c>
      <c r="AS135">
        <f>$H$135*$Y$135</f>
        <v>28.76</v>
      </c>
      <c r="AT135">
        <f>$H$135*$Z$135</f>
        <v>28.76</v>
      </c>
      <c r="AU135">
        <f>$H$135*$AA$135</f>
        <v>28.76</v>
      </c>
      <c r="AV135">
        <f>$H$135*$AB$135</f>
        <v>28.76</v>
      </c>
      <c r="AW135">
        <f>$H$135*$AC$135</f>
        <v>28.76</v>
      </c>
      <c r="AX135">
        <f>$H$135*$AD$135</f>
        <v>28.76</v>
      </c>
      <c r="AY135">
        <f>$H$135*$AE$135</f>
        <v>28.76</v>
      </c>
      <c r="AZ135">
        <f>$H$135*$AF$135</f>
        <v>28.76</v>
      </c>
    </row>
    <row r="136" spans="1:52" x14ac:dyDescent="0.25">
      <c r="A136">
        <v>167</v>
      </c>
      <c r="B136" t="s">
        <v>5</v>
      </c>
      <c r="C136" t="s">
        <v>371</v>
      </c>
      <c r="D136">
        <v>42.04</v>
      </c>
      <c r="E136">
        <v>105.52</v>
      </c>
      <c r="F136" t="s">
        <v>298</v>
      </c>
      <c r="G136">
        <v>2.5099999999999998</v>
      </c>
      <c r="H136">
        <v>126.62</v>
      </c>
      <c r="I136" t="s">
        <v>369</v>
      </c>
      <c r="J136" t="s">
        <v>367</v>
      </c>
      <c r="K136" t="s">
        <v>494</v>
      </c>
      <c r="L136" t="s">
        <v>174</v>
      </c>
      <c r="M136" t="s">
        <v>5</v>
      </c>
      <c r="N136" t="s">
        <v>12</v>
      </c>
      <c r="O136" t="s">
        <v>5</v>
      </c>
      <c r="P136">
        <v>0</v>
      </c>
      <c r="Q136">
        <v>0</v>
      </c>
      <c r="R136">
        <v>0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5</v>
      </c>
      <c r="AH136" t="s">
        <v>12</v>
      </c>
      <c r="AI136" t="s">
        <v>5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126.62</v>
      </c>
      <c r="AN136">
        <f>$H$136*$T$136</f>
        <v>126.62</v>
      </c>
      <c r="AO136">
        <f>$H$136*$U$136</f>
        <v>126.62</v>
      </c>
      <c r="AP136">
        <f>$H$136*$V$136</f>
        <v>126.62</v>
      </c>
      <c r="AQ136">
        <f>$H$136*$W$136</f>
        <v>126.62</v>
      </c>
      <c r="AR136">
        <f>$H$136*$X$136</f>
        <v>126.62</v>
      </c>
      <c r="AS136">
        <f>$H$136*$Y$136</f>
        <v>126.62</v>
      </c>
      <c r="AT136">
        <f>$H$136*$Z$136</f>
        <v>126.62</v>
      </c>
      <c r="AU136">
        <f>$H$136*$AA$136</f>
        <v>126.62</v>
      </c>
      <c r="AV136">
        <f>$H$136*$AB$136</f>
        <v>126.62</v>
      </c>
      <c r="AW136">
        <f>$H$136*$AC$136</f>
        <v>126.62</v>
      </c>
      <c r="AX136">
        <f>$H$136*$AD$136</f>
        <v>126.62</v>
      </c>
      <c r="AY136">
        <f>$H$136*$AE$136</f>
        <v>126.62</v>
      </c>
      <c r="AZ136">
        <f>$H$136*$AF$136</f>
        <v>126.62</v>
      </c>
    </row>
    <row r="137" spans="1:52" x14ac:dyDescent="0.25">
      <c r="A137">
        <v>168</v>
      </c>
      <c r="B137" t="s">
        <v>245</v>
      </c>
      <c r="C137" t="s">
        <v>351</v>
      </c>
      <c r="D137">
        <v>6</v>
      </c>
      <c r="E137">
        <v>96.48</v>
      </c>
      <c r="F137" t="s">
        <v>285</v>
      </c>
      <c r="G137">
        <v>16.079999999999998</v>
      </c>
      <c r="H137">
        <v>115.78</v>
      </c>
      <c r="I137" t="s">
        <v>287</v>
      </c>
      <c r="J137" t="s">
        <v>352</v>
      </c>
      <c r="K137" t="s">
        <v>485</v>
      </c>
      <c r="L137" t="s">
        <v>174</v>
      </c>
      <c r="M137" t="s">
        <v>245</v>
      </c>
      <c r="N137" t="s">
        <v>12</v>
      </c>
      <c r="O137" t="s">
        <v>14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245</v>
      </c>
      <c r="AH137" t="s">
        <v>12</v>
      </c>
      <c r="AI137" t="s">
        <v>14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115.78</v>
      </c>
      <c r="AS137">
        <f>$H$137*$Y$137</f>
        <v>115.78</v>
      </c>
      <c r="AT137">
        <f>$H$137*$Z$137</f>
        <v>115.78</v>
      </c>
      <c r="AU137">
        <f>$H$137*$AA$137</f>
        <v>115.78</v>
      </c>
      <c r="AV137">
        <f>$H$137*$AB$137</f>
        <v>115.78</v>
      </c>
      <c r="AW137">
        <f>$H$137*$AC$137</f>
        <v>115.78</v>
      </c>
      <c r="AX137">
        <f>$H$137*$AD$137</f>
        <v>115.78</v>
      </c>
      <c r="AY137">
        <f>$H$137*$AE$137</f>
        <v>115.78</v>
      </c>
      <c r="AZ137">
        <f>$H$137*$AF$137</f>
        <v>115.78</v>
      </c>
    </row>
    <row r="138" spans="1:52" x14ac:dyDescent="0.25">
      <c r="A138">
        <v>169</v>
      </c>
      <c r="B138" t="s">
        <v>245</v>
      </c>
      <c r="C138" t="s">
        <v>353</v>
      </c>
      <c r="D138">
        <v>1</v>
      </c>
      <c r="E138">
        <v>55.73</v>
      </c>
      <c r="F138" t="s">
        <v>285</v>
      </c>
      <c r="G138">
        <v>55.73</v>
      </c>
      <c r="H138">
        <v>66.87</v>
      </c>
      <c r="I138" t="s">
        <v>290</v>
      </c>
      <c r="J138" t="s">
        <v>354</v>
      </c>
      <c r="K138" t="s">
        <v>486</v>
      </c>
      <c r="L138" t="s">
        <v>174</v>
      </c>
      <c r="M138" t="s">
        <v>245</v>
      </c>
      <c r="N138" t="s">
        <v>12</v>
      </c>
      <c r="O138" t="s">
        <v>14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1</v>
      </c>
      <c r="AF138">
        <v>1</v>
      </c>
      <c r="AG138" t="s">
        <v>245</v>
      </c>
      <c r="AH138" t="s">
        <v>12</v>
      </c>
      <c r="AI138" t="s">
        <v>14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0</v>
      </c>
      <c r="AV138">
        <f>$H$138*$AB$138</f>
        <v>0</v>
      </c>
      <c r="AW138">
        <f>$H$138*$AC$138</f>
        <v>0</v>
      </c>
      <c r="AX138">
        <f>$H$138*$AD$138</f>
        <v>66.87</v>
      </c>
      <c r="AY138">
        <f>$H$138*$AE$138</f>
        <v>66.87</v>
      </c>
      <c r="AZ138">
        <f>$H$138*$AF$138</f>
        <v>66.87</v>
      </c>
    </row>
    <row r="139" spans="1:52" x14ac:dyDescent="0.25">
      <c r="A139">
        <v>170</v>
      </c>
      <c r="B139" t="s">
        <v>245</v>
      </c>
      <c r="C139" t="s">
        <v>306</v>
      </c>
      <c r="D139">
        <v>469.33</v>
      </c>
      <c r="E139">
        <v>760.31</v>
      </c>
      <c r="F139" t="s">
        <v>298</v>
      </c>
      <c r="G139">
        <v>1.62</v>
      </c>
      <c r="H139">
        <v>912.37</v>
      </c>
      <c r="I139" t="s">
        <v>281</v>
      </c>
      <c r="J139" t="s">
        <v>307</v>
      </c>
      <c r="K139" t="s">
        <v>463</v>
      </c>
      <c r="L139" t="s">
        <v>174</v>
      </c>
      <c r="M139" t="s">
        <v>245</v>
      </c>
      <c r="N139" t="s">
        <v>12</v>
      </c>
      <c r="O139" t="s">
        <v>14</v>
      </c>
      <c r="P139">
        <v>0</v>
      </c>
      <c r="Q139">
        <v>0</v>
      </c>
      <c r="R139">
        <v>0</v>
      </c>
      <c r="S139">
        <v>0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245</v>
      </c>
      <c r="AH139" t="s">
        <v>12</v>
      </c>
      <c r="AI139" t="s">
        <v>14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912.37</v>
      </c>
      <c r="AO139">
        <f>$H$139*$U$139</f>
        <v>912.37</v>
      </c>
      <c r="AP139">
        <f>$H$139*$V$139</f>
        <v>912.37</v>
      </c>
      <c r="AQ139">
        <f>$H$139*$W$139</f>
        <v>912.37</v>
      </c>
      <c r="AR139">
        <f>$H$139*$X$139</f>
        <v>912.37</v>
      </c>
      <c r="AS139">
        <f>$H$139*$Y$139</f>
        <v>912.37</v>
      </c>
      <c r="AT139">
        <f>$H$139*$Z$139</f>
        <v>912.37</v>
      </c>
      <c r="AU139">
        <f>$H$139*$AA$139</f>
        <v>912.37</v>
      </c>
      <c r="AV139">
        <f>$H$139*$AB$139</f>
        <v>912.37</v>
      </c>
      <c r="AW139">
        <f>$H$139*$AC$139</f>
        <v>912.37</v>
      </c>
      <c r="AX139">
        <f>$H$139*$AD$139</f>
        <v>912.37</v>
      </c>
      <c r="AY139">
        <f>$H$139*$AE$139</f>
        <v>912.37</v>
      </c>
      <c r="AZ139">
        <f>$H$139*$AF$139</f>
        <v>912.37</v>
      </c>
    </row>
    <row r="140" spans="1:52" x14ac:dyDescent="0.25">
      <c r="A140">
        <v>171</v>
      </c>
      <c r="B140" t="s">
        <v>245</v>
      </c>
      <c r="C140" t="s">
        <v>357</v>
      </c>
      <c r="D140">
        <v>469.33</v>
      </c>
      <c r="E140">
        <v>1576.95</v>
      </c>
      <c r="F140" t="s">
        <v>298</v>
      </c>
      <c r="G140">
        <v>3.36</v>
      </c>
      <c r="H140">
        <v>1892.35</v>
      </c>
      <c r="I140" t="s">
        <v>309</v>
      </c>
      <c r="J140" t="s">
        <v>358</v>
      </c>
      <c r="K140" t="s">
        <v>488</v>
      </c>
      <c r="L140" t="s">
        <v>174</v>
      </c>
      <c r="M140" t="s">
        <v>245</v>
      </c>
      <c r="N140" t="s">
        <v>12</v>
      </c>
      <c r="O140" t="s">
        <v>14</v>
      </c>
      <c r="P140">
        <v>0</v>
      </c>
      <c r="Q140">
        <v>0</v>
      </c>
      <c r="R140">
        <v>0</v>
      </c>
      <c r="S140">
        <v>0.25</v>
      </c>
      <c r="T140">
        <v>0.25</v>
      </c>
      <c r="U140">
        <v>0.25</v>
      </c>
      <c r="V140">
        <v>0.25</v>
      </c>
      <c r="W140">
        <v>0.25</v>
      </c>
      <c r="X140">
        <v>0.5</v>
      </c>
      <c r="Y140">
        <v>0.5</v>
      </c>
      <c r="Z140">
        <v>0.5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245</v>
      </c>
      <c r="AH140" t="s">
        <v>12</v>
      </c>
      <c r="AI140" t="s">
        <v>14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473.08749999999998</v>
      </c>
      <c r="AN140">
        <f>$H$140*$T$140</f>
        <v>473.08749999999998</v>
      </c>
      <c r="AO140">
        <f>$H$140*$U$140</f>
        <v>473.08749999999998</v>
      </c>
      <c r="AP140">
        <f>$H$140*$V$140</f>
        <v>473.08749999999998</v>
      </c>
      <c r="AQ140">
        <f>$H$140*$W$140</f>
        <v>473.08749999999998</v>
      </c>
      <c r="AR140">
        <f>$H$140*$X$140</f>
        <v>946.17499999999995</v>
      </c>
      <c r="AS140">
        <f>$H$140*$Y$140</f>
        <v>946.17499999999995</v>
      </c>
      <c r="AT140">
        <f>$H$140*$Z$140</f>
        <v>946.17499999999995</v>
      </c>
      <c r="AU140">
        <f>$H$140*$AA$140</f>
        <v>1892.35</v>
      </c>
      <c r="AV140">
        <f>$H$140*$AB$140</f>
        <v>1892.35</v>
      </c>
      <c r="AW140">
        <f>$H$140*$AC$140</f>
        <v>1892.35</v>
      </c>
      <c r="AX140">
        <f>$H$140*$AD$140</f>
        <v>1892.35</v>
      </c>
      <c r="AY140">
        <f>$H$140*$AE$140</f>
        <v>1892.35</v>
      </c>
      <c r="AZ140">
        <f>$H$140*$AF$140</f>
        <v>1892.35</v>
      </c>
    </row>
    <row r="141" spans="1:52" x14ac:dyDescent="0.25">
      <c r="A141">
        <v>172</v>
      </c>
      <c r="B141" t="s">
        <v>245</v>
      </c>
      <c r="C141" t="s">
        <v>359</v>
      </c>
      <c r="D141">
        <v>58.67</v>
      </c>
      <c r="E141">
        <v>224.12</v>
      </c>
      <c r="F141" t="s">
        <v>280</v>
      </c>
      <c r="G141">
        <v>3.82</v>
      </c>
      <c r="H141">
        <v>268.94</v>
      </c>
      <c r="I141" t="s">
        <v>284</v>
      </c>
      <c r="J141" t="s">
        <v>360</v>
      </c>
      <c r="K141" t="s">
        <v>489</v>
      </c>
      <c r="L141" t="s">
        <v>174</v>
      </c>
      <c r="M141" t="s">
        <v>245</v>
      </c>
      <c r="N141" t="s">
        <v>12</v>
      </c>
      <c r="O141" t="s">
        <v>14</v>
      </c>
      <c r="P141">
        <v>0</v>
      </c>
      <c r="Q141">
        <v>0</v>
      </c>
      <c r="R141">
        <v>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245</v>
      </c>
      <c r="AH141" t="s">
        <v>12</v>
      </c>
      <c r="AI141" t="s">
        <v>14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268.94</v>
      </c>
      <c r="AN141">
        <f>$H$141*$T$141</f>
        <v>268.94</v>
      </c>
      <c r="AO141">
        <f>$H$141*$U$141</f>
        <v>268.94</v>
      </c>
      <c r="AP141">
        <f>$H$141*$V$141</f>
        <v>268.94</v>
      </c>
      <c r="AQ141">
        <f>$H$141*$W$141</f>
        <v>268.94</v>
      </c>
      <c r="AR141">
        <f>$H$141*$X$141</f>
        <v>268.94</v>
      </c>
      <c r="AS141">
        <f>$H$141*$Y$141</f>
        <v>268.94</v>
      </c>
      <c r="AT141">
        <f>$H$141*$Z$141</f>
        <v>268.94</v>
      </c>
      <c r="AU141">
        <f>$H$141*$AA$141</f>
        <v>268.94</v>
      </c>
      <c r="AV141">
        <f>$H$141*$AB$141</f>
        <v>268.94</v>
      </c>
      <c r="AW141">
        <f>$H$141*$AC$141</f>
        <v>268.94</v>
      </c>
      <c r="AX141">
        <f>$H$141*$AD$141</f>
        <v>268.94</v>
      </c>
      <c r="AY141">
        <f>$H$141*$AE$141</f>
        <v>268.94</v>
      </c>
      <c r="AZ141">
        <f>$H$141*$AF$141</f>
        <v>268.94</v>
      </c>
    </row>
    <row r="142" spans="1:52" x14ac:dyDescent="0.25">
      <c r="A142">
        <v>173</v>
      </c>
      <c r="B142" t="s">
        <v>245</v>
      </c>
      <c r="C142" t="s">
        <v>357</v>
      </c>
      <c r="D142">
        <v>206.6</v>
      </c>
      <c r="E142">
        <v>694.18</v>
      </c>
      <c r="F142" t="s">
        <v>298</v>
      </c>
      <c r="G142">
        <v>3.36</v>
      </c>
      <c r="H142">
        <v>833.02</v>
      </c>
      <c r="I142" t="s">
        <v>309</v>
      </c>
      <c r="J142" t="s">
        <v>358</v>
      </c>
      <c r="K142" t="s">
        <v>488</v>
      </c>
      <c r="L142" t="s">
        <v>174</v>
      </c>
      <c r="M142" t="s">
        <v>245</v>
      </c>
      <c r="N142" t="s">
        <v>12</v>
      </c>
      <c r="O142" t="s">
        <v>14</v>
      </c>
      <c r="P142">
        <v>0</v>
      </c>
      <c r="Q142">
        <v>0</v>
      </c>
      <c r="R142">
        <v>0</v>
      </c>
      <c r="S142">
        <v>0.25</v>
      </c>
      <c r="T142">
        <v>0.25</v>
      </c>
      <c r="U142">
        <v>0.25</v>
      </c>
      <c r="V142">
        <v>0.25</v>
      </c>
      <c r="W142">
        <v>0.25</v>
      </c>
      <c r="X142">
        <v>0.5</v>
      </c>
      <c r="Y142">
        <v>0.5</v>
      </c>
      <c r="Z142">
        <v>0.5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245</v>
      </c>
      <c r="AH142" t="s">
        <v>12</v>
      </c>
      <c r="AI142" t="s">
        <v>14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208.255</v>
      </c>
      <c r="AN142">
        <f>$H$142*$T$142</f>
        <v>208.255</v>
      </c>
      <c r="AO142">
        <f>$H$142*$U$142</f>
        <v>208.255</v>
      </c>
      <c r="AP142">
        <f>$H$142*$V$142</f>
        <v>208.255</v>
      </c>
      <c r="AQ142">
        <f>$H$142*$W$142</f>
        <v>208.255</v>
      </c>
      <c r="AR142">
        <f>$H$142*$X$142</f>
        <v>416.51</v>
      </c>
      <c r="AS142">
        <f>$H$142*$Y$142</f>
        <v>416.51</v>
      </c>
      <c r="AT142">
        <f>$H$142*$Z$142</f>
        <v>416.51</v>
      </c>
      <c r="AU142">
        <f>$H$142*$AA$142</f>
        <v>833.02</v>
      </c>
      <c r="AV142">
        <f>$H$142*$AB$142</f>
        <v>833.02</v>
      </c>
      <c r="AW142">
        <f>$H$142*$AC$142</f>
        <v>833.02</v>
      </c>
      <c r="AX142">
        <f>$H$142*$AD$142</f>
        <v>833.02</v>
      </c>
      <c r="AY142">
        <f>$H$142*$AE$142</f>
        <v>833.02</v>
      </c>
      <c r="AZ142">
        <f>$H$142*$AF$142</f>
        <v>833.02</v>
      </c>
    </row>
    <row r="143" spans="1:52" x14ac:dyDescent="0.25">
      <c r="A143">
        <v>174</v>
      </c>
      <c r="B143" t="s">
        <v>245</v>
      </c>
      <c r="C143" t="s">
        <v>361</v>
      </c>
      <c r="D143">
        <v>206.6</v>
      </c>
      <c r="E143">
        <v>219</v>
      </c>
      <c r="F143" t="s">
        <v>298</v>
      </c>
      <c r="G143">
        <v>1.06</v>
      </c>
      <c r="H143">
        <v>262.8</v>
      </c>
      <c r="I143" t="s">
        <v>281</v>
      </c>
      <c r="J143" t="s">
        <v>362</v>
      </c>
      <c r="K143" t="s">
        <v>490</v>
      </c>
      <c r="L143" t="s">
        <v>174</v>
      </c>
      <c r="M143" t="s">
        <v>245</v>
      </c>
      <c r="N143" t="s">
        <v>12</v>
      </c>
      <c r="O143" t="s">
        <v>14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1</v>
      </c>
      <c r="AE143">
        <v>1</v>
      </c>
      <c r="AF143">
        <v>1</v>
      </c>
      <c r="AG143" t="s">
        <v>245</v>
      </c>
      <c r="AH143" t="s">
        <v>12</v>
      </c>
      <c r="AI143" t="s">
        <v>14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0</v>
      </c>
      <c r="AV143">
        <f>$H$143*$AB$143</f>
        <v>0</v>
      </c>
      <c r="AW143">
        <f>$H$143*$AC$143</f>
        <v>0</v>
      </c>
      <c r="AX143">
        <f>$H$143*$AD$143</f>
        <v>262.8</v>
      </c>
      <c r="AY143">
        <f>$H$143*$AE$143</f>
        <v>262.8</v>
      </c>
      <c r="AZ143">
        <f>$H$143*$AF$143</f>
        <v>262.8</v>
      </c>
    </row>
    <row r="144" spans="1:52" x14ac:dyDescent="0.25">
      <c r="A144">
        <v>175</v>
      </c>
      <c r="B144" t="s">
        <v>245</v>
      </c>
      <c r="C144" t="s">
        <v>363</v>
      </c>
      <c r="D144">
        <v>206.6</v>
      </c>
      <c r="E144">
        <v>231.39</v>
      </c>
      <c r="F144" t="s">
        <v>298</v>
      </c>
      <c r="G144">
        <v>1.1200000000000001</v>
      </c>
      <c r="H144">
        <v>277.67</v>
      </c>
      <c r="I144" t="s">
        <v>281</v>
      </c>
      <c r="J144" t="s">
        <v>364</v>
      </c>
      <c r="K144" t="s">
        <v>491</v>
      </c>
      <c r="L144" t="s">
        <v>174</v>
      </c>
      <c r="M144" t="s">
        <v>245</v>
      </c>
      <c r="N144" t="s">
        <v>12</v>
      </c>
      <c r="O144" t="s">
        <v>14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245</v>
      </c>
      <c r="AH144" t="s">
        <v>12</v>
      </c>
      <c r="AI144" t="s">
        <v>14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277.67</v>
      </c>
      <c r="AN144">
        <f>$H$144*$T$144</f>
        <v>277.67</v>
      </c>
      <c r="AO144">
        <f>$H$144*$U$144</f>
        <v>277.67</v>
      </c>
      <c r="AP144">
        <f>$H$144*$V$144</f>
        <v>277.67</v>
      </c>
      <c r="AQ144">
        <f>$H$144*$W$144</f>
        <v>277.67</v>
      </c>
      <c r="AR144">
        <f>$H$144*$X$144</f>
        <v>277.67</v>
      </c>
      <c r="AS144">
        <f>$H$144*$Y$144</f>
        <v>277.67</v>
      </c>
      <c r="AT144">
        <f>$H$144*$Z$144</f>
        <v>277.67</v>
      </c>
      <c r="AU144">
        <f>$H$144*$AA$144</f>
        <v>277.67</v>
      </c>
      <c r="AV144">
        <f>$H$144*$AB$144</f>
        <v>277.67</v>
      </c>
      <c r="AW144">
        <f>$H$144*$AC$144</f>
        <v>277.67</v>
      </c>
      <c r="AX144">
        <f>$H$144*$AD$144</f>
        <v>277.67</v>
      </c>
      <c r="AY144">
        <f>$H$144*$AE$144</f>
        <v>277.67</v>
      </c>
      <c r="AZ144">
        <f>$H$144*$AF$144</f>
        <v>277.67</v>
      </c>
    </row>
    <row r="145" spans="1:52" x14ac:dyDescent="0.25">
      <c r="A145">
        <v>176</v>
      </c>
      <c r="B145" t="s">
        <v>245</v>
      </c>
      <c r="C145" t="s">
        <v>365</v>
      </c>
      <c r="D145">
        <v>47.52</v>
      </c>
      <c r="E145">
        <v>141.61000000000001</v>
      </c>
      <c r="F145" t="s">
        <v>298</v>
      </c>
      <c r="G145">
        <v>2.98</v>
      </c>
      <c r="H145">
        <v>169.93</v>
      </c>
      <c r="I145" t="s">
        <v>366</v>
      </c>
      <c r="J145" t="s">
        <v>367</v>
      </c>
      <c r="K145" t="s">
        <v>492</v>
      </c>
      <c r="L145" t="s">
        <v>174</v>
      </c>
      <c r="M145" t="s">
        <v>245</v>
      </c>
      <c r="N145" t="s">
        <v>12</v>
      </c>
      <c r="O145" t="s">
        <v>14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245</v>
      </c>
      <c r="AH145" t="s">
        <v>12</v>
      </c>
      <c r="AI145" t="s">
        <v>14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169.93</v>
      </c>
      <c r="AN145">
        <f>$H$145*$T$145</f>
        <v>169.93</v>
      </c>
      <c r="AO145">
        <f>$H$145*$U$145</f>
        <v>169.93</v>
      </c>
      <c r="AP145">
        <f>$H$145*$V$145</f>
        <v>169.93</v>
      </c>
      <c r="AQ145">
        <f>$H$145*$W$145</f>
        <v>169.93</v>
      </c>
      <c r="AR145">
        <f>$H$145*$X$145</f>
        <v>169.93</v>
      </c>
      <c r="AS145">
        <f>$H$145*$Y$145</f>
        <v>169.93</v>
      </c>
      <c r="AT145">
        <f>$H$145*$Z$145</f>
        <v>169.93</v>
      </c>
      <c r="AU145">
        <f>$H$145*$AA$145</f>
        <v>169.93</v>
      </c>
      <c r="AV145">
        <f>$H$145*$AB$145</f>
        <v>169.93</v>
      </c>
      <c r="AW145">
        <f>$H$145*$AC$145</f>
        <v>169.93</v>
      </c>
      <c r="AX145">
        <f>$H$145*$AD$145</f>
        <v>169.93</v>
      </c>
      <c r="AY145">
        <f>$H$145*$AE$145</f>
        <v>169.93</v>
      </c>
      <c r="AZ145">
        <f>$H$145*$AF$145</f>
        <v>169.93</v>
      </c>
    </row>
    <row r="146" spans="1:52" x14ac:dyDescent="0.25">
      <c r="A146">
        <v>177</v>
      </c>
      <c r="B146" t="s">
        <v>245</v>
      </c>
      <c r="C146" t="s">
        <v>368</v>
      </c>
      <c r="D146">
        <v>190.08</v>
      </c>
      <c r="E146">
        <v>108.35</v>
      </c>
      <c r="F146" t="s">
        <v>298</v>
      </c>
      <c r="G146">
        <v>0.56999999999999995</v>
      </c>
      <c r="H146">
        <v>130.03</v>
      </c>
      <c r="I146" t="s">
        <v>369</v>
      </c>
      <c r="J146" t="s">
        <v>370</v>
      </c>
      <c r="K146" t="s">
        <v>493</v>
      </c>
      <c r="L146" t="s">
        <v>174</v>
      </c>
      <c r="M146" t="s">
        <v>245</v>
      </c>
      <c r="N146" t="s">
        <v>12</v>
      </c>
      <c r="O146" t="s">
        <v>14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245</v>
      </c>
      <c r="AH146" t="s">
        <v>12</v>
      </c>
      <c r="AI146" t="s">
        <v>14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130.03</v>
      </c>
      <c r="AN146">
        <f>$H$146*$T$146</f>
        <v>130.03</v>
      </c>
      <c r="AO146">
        <f>$H$146*$U$146</f>
        <v>130.03</v>
      </c>
      <c r="AP146">
        <f>$H$146*$V$146</f>
        <v>130.03</v>
      </c>
      <c r="AQ146">
        <f>$H$146*$W$146</f>
        <v>130.03</v>
      </c>
      <c r="AR146">
        <f>$H$146*$X$146</f>
        <v>130.03</v>
      </c>
      <c r="AS146">
        <f>$H$146*$Y$146</f>
        <v>130.03</v>
      </c>
      <c r="AT146">
        <f>$H$146*$Z$146</f>
        <v>130.03</v>
      </c>
      <c r="AU146">
        <f>$H$146*$AA$146</f>
        <v>130.03</v>
      </c>
      <c r="AV146">
        <f>$H$146*$AB$146</f>
        <v>130.03</v>
      </c>
      <c r="AW146">
        <f>$H$146*$AC$146</f>
        <v>130.03</v>
      </c>
      <c r="AX146">
        <f>$H$146*$AD$146</f>
        <v>130.03</v>
      </c>
      <c r="AY146">
        <f>$H$146*$AE$146</f>
        <v>130.03</v>
      </c>
      <c r="AZ146">
        <f>$H$146*$AF$146</f>
        <v>130.03</v>
      </c>
    </row>
    <row r="147" spans="1:52" x14ac:dyDescent="0.25">
      <c r="A147">
        <v>178</v>
      </c>
      <c r="B147" t="s">
        <v>245</v>
      </c>
      <c r="C147" t="s">
        <v>371</v>
      </c>
      <c r="D147">
        <v>190.08</v>
      </c>
      <c r="E147">
        <v>477.1</v>
      </c>
      <c r="F147" t="s">
        <v>298</v>
      </c>
      <c r="G147">
        <v>2.5099999999999998</v>
      </c>
      <c r="H147">
        <v>572.52</v>
      </c>
      <c r="I147" t="s">
        <v>369</v>
      </c>
      <c r="J147" t="s">
        <v>367</v>
      </c>
      <c r="K147" t="s">
        <v>494</v>
      </c>
      <c r="L147" t="s">
        <v>174</v>
      </c>
      <c r="M147" t="s">
        <v>245</v>
      </c>
      <c r="N147" t="s">
        <v>12</v>
      </c>
      <c r="O147" t="s">
        <v>14</v>
      </c>
      <c r="P147">
        <v>0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245</v>
      </c>
      <c r="AH147" t="s">
        <v>12</v>
      </c>
      <c r="AI147" t="s">
        <v>14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572.52</v>
      </c>
      <c r="AN147">
        <f>$H$147*$T$147</f>
        <v>572.52</v>
      </c>
      <c r="AO147">
        <f>$H$147*$U$147</f>
        <v>572.52</v>
      </c>
      <c r="AP147">
        <f>$H$147*$V$147</f>
        <v>572.52</v>
      </c>
      <c r="AQ147">
        <f>$H$147*$W$147</f>
        <v>572.52</v>
      </c>
      <c r="AR147">
        <f>$H$147*$X$147</f>
        <v>572.52</v>
      </c>
      <c r="AS147">
        <f>$H$147*$Y$147</f>
        <v>572.52</v>
      </c>
      <c r="AT147">
        <f>$H$147*$Z$147</f>
        <v>572.52</v>
      </c>
      <c r="AU147">
        <f>$H$147*$AA$147</f>
        <v>572.52</v>
      </c>
      <c r="AV147">
        <f>$H$147*$AB$147</f>
        <v>572.52</v>
      </c>
      <c r="AW147">
        <f>$H$147*$AC$147</f>
        <v>572.52</v>
      </c>
      <c r="AX147">
        <f>$H$147*$AD$147</f>
        <v>572.52</v>
      </c>
      <c r="AY147">
        <f>$H$147*$AE$147</f>
        <v>572.52</v>
      </c>
      <c r="AZ147">
        <f>$H$147*$AF$147</f>
        <v>572.52</v>
      </c>
    </row>
    <row r="148" spans="1:52" x14ac:dyDescent="0.25">
      <c r="A148">
        <v>179</v>
      </c>
      <c r="B148" t="s">
        <v>242</v>
      </c>
      <c r="C148" t="s">
        <v>411</v>
      </c>
      <c r="D148">
        <v>1</v>
      </c>
      <c r="E148">
        <v>28.32</v>
      </c>
      <c r="F148" t="s">
        <v>285</v>
      </c>
      <c r="G148">
        <v>28.32</v>
      </c>
      <c r="H148">
        <v>33.979999999999997</v>
      </c>
      <c r="I148" t="s">
        <v>312</v>
      </c>
      <c r="J148" t="s">
        <v>412</v>
      </c>
      <c r="K148" t="s">
        <v>514</v>
      </c>
      <c r="L148" t="s">
        <v>174</v>
      </c>
      <c r="M148" t="s">
        <v>242</v>
      </c>
      <c r="N148" t="s">
        <v>12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242</v>
      </c>
      <c r="AH148" t="s">
        <v>12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33.979999999999997</v>
      </c>
      <c r="AV148">
        <f>$H$148*$AB$148</f>
        <v>33.979999999999997</v>
      </c>
      <c r="AW148">
        <f>$H$148*$AC$148</f>
        <v>33.979999999999997</v>
      </c>
      <c r="AX148">
        <f>$H$148*$AD$148</f>
        <v>33.979999999999997</v>
      </c>
      <c r="AY148">
        <f>$H$148*$AE$148</f>
        <v>33.979999999999997</v>
      </c>
      <c r="AZ148">
        <f>$H$148*$AF$148</f>
        <v>33.979999999999997</v>
      </c>
    </row>
    <row r="149" spans="1:52" x14ac:dyDescent="0.25">
      <c r="A149">
        <v>180</v>
      </c>
      <c r="B149" t="s">
        <v>242</v>
      </c>
      <c r="C149" t="s">
        <v>413</v>
      </c>
      <c r="D149">
        <v>1</v>
      </c>
      <c r="E149">
        <v>25.69</v>
      </c>
      <c r="F149" t="s">
        <v>285</v>
      </c>
      <c r="G149">
        <v>25.69</v>
      </c>
      <c r="H149">
        <v>30.83</v>
      </c>
      <c r="I149" t="s">
        <v>312</v>
      </c>
      <c r="J149" t="s">
        <v>414</v>
      </c>
      <c r="K149" t="s">
        <v>515</v>
      </c>
      <c r="L149" t="s">
        <v>174</v>
      </c>
      <c r="M149" t="s">
        <v>242</v>
      </c>
      <c r="N149" t="s">
        <v>12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242</v>
      </c>
      <c r="AH149" t="s">
        <v>12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30.83</v>
      </c>
      <c r="AT149">
        <f>$H$149*$Z$149</f>
        <v>30.83</v>
      </c>
      <c r="AU149">
        <f>$H$149*$AA$149</f>
        <v>30.83</v>
      </c>
      <c r="AV149">
        <f>$H$149*$AB$149</f>
        <v>30.83</v>
      </c>
      <c r="AW149">
        <f>$H$149*$AC$149</f>
        <v>30.83</v>
      </c>
      <c r="AX149">
        <f>$H$149*$AD$149</f>
        <v>30.83</v>
      </c>
      <c r="AY149">
        <f>$H$149*$AE$149</f>
        <v>30.83</v>
      </c>
      <c r="AZ149">
        <f>$H$149*$AF$149</f>
        <v>30.83</v>
      </c>
    </row>
    <row r="150" spans="1:52" x14ac:dyDescent="0.25">
      <c r="A150">
        <v>181</v>
      </c>
      <c r="B150" t="s">
        <v>242</v>
      </c>
      <c r="C150" t="s">
        <v>415</v>
      </c>
      <c r="D150">
        <v>1</v>
      </c>
      <c r="E150">
        <v>26.68</v>
      </c>
      <c r="F150" t="s">
        <v>285</v>
      </c>
      <c r="G150">
        <v>26.68</v>
      </c>
      <c r="H150">
        <v>32.020000000000003</v>
      </c>
      <c r="I150" t="s">
        <v>312</v>
      </c>
      <c r="J150" t="s">
        <v>416</v>
      </c>
      <c r="K150" t="s">
        <v>516</v>
      </c>
      <c r="L150" t="s">
        <v>174</v>
      </c>
      <c r="M150" t="s">
        <v>242</v>
      </c>
      <c r="N150" t="s">
        <v>12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242</v>
      </c>
      <c r="AH150" t="s">
        <v>12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32.020000000000003</v>
      </c>
      <c r="AV150">
        <f>$H$150*$AB$150</f>
        <v>32.020000000000003</v>
      </c>
      <c r="AW150">
        <f>$H$150*$AC$150</f>
        <v>32.020000000000003</v>
      </c>
      <c r="AX150">
        <f>$H$150*$AD$150</f>
        <v>32.020000000000003</v>
      </c>
      <c r="AY150">
        <f>$H$150*$AE$150</f>
        <v>32.020000000000003</v>
      </c>
      <c r="AZ150">
        <f>$H$150*$AF$150</f>
        <v>32.020000000000003</v>
      </c>
    </row>
    <row r="151" spans="1:52" x14ac:dyDescent="0.25">
      <c r="A151">
        <v>182</v>
      </c>
      <c r="B151" t="s">
        <v>242</v>
      </c>
      <c r="C151" t="s">
        <v>302</v>
      </c>
      <c r="D151">
        <v>10</v>
      </c>
      <c r="E151">
        <v>77.3</v>
      </c>
      <c r="F151" t="s">
        <v>280</v>
      </c>
      <c r="G151">
        <v>7.73</v>
      </c>
      <c r="H151">
        <v>92.76</v>
      </c>
      <c r="I151" t="s">
        <v>281</v>
      </c>
      <c r="J151" t="s">
        <v>303</v>
      </c>
      <c r="K151" t="s">
        <v>461</v>
      </c>
      <c r="L151" t="s">
        <v>174</v>
      </c>
      <c r="M151" t="s">
        <v>242</v>
      </c>
      <c r="N151" t="s">
        <v>12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242</v>
      </c>
      <c r="AH151" t="s">
        <v>12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92.76</v>
      </c>
      <c r="AV151">
        <f>$H$151*$AB$151</f>
        <v>92.76</v>
      </c>
      <c r="AW151">
        <f>$H$151*$AC$151</f>
        <v>92.76</v>
      </c>
      <c r="AX151">
        <f>$H$151*$AD$151</f>
        <v>92.76</v>
      </c>
      <c r="AY151">
        <f>$H$151*$AE$151</f>
        <v>92.76</v>
      </c>
      <c r="AZ151">
        <f>$H$151*$AF$151</f>
        <v>92.76</v>
      </c>
    </row>
    <row r="152" spans="1:52" x14ac:dyDescent="0.25">
      <c r="A152">
        <v>183</v>
      </c>
      <c r="B152" t="s">
        <v>242</v>
      </c>
      <c r="C152" t="s">
        <v>304</v>
      </c>
      <c r="D152">
        <v>10</v>
      </c>
      <c r="E152">
        <v>128.19999999999999</v>
      </c>
      <c r="F152" t="s">
        <v>280</v>
      </c>
      <c r="G152">
        <v>12.82</v>
      </c>
      <c r="H152">
        <v>153.84</v>
      </c>
      <c r="I152" t="s">
        <v>284</v>
      </c>
      <c r="J152" t="s">
        <v>305</v>
      </c>
      <c r="K152" t="s">
        <v>462</v>
      </c>
      <c r="L152" t="s">
        <v>174</v>
      </c>
      <c r="M152" t="s">
        <v>242</v>
      </c>
      <c r="N152" t="s">
        <v>12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242</v>
      </c>
      <c r="AH152" t="s">
        <v>12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153.84</v>
      </c>
      <c r="AV152">
        <f>$H$152*$AB$152</f>
        <v>153.84</v>
      </c>
      <c r="AW152">
        <f>$H$152*$AC$152</f>
        <v>153.84</v>
      </c>
      <c r="AX152">
        <f>$H$152*$AD$152</f>
        <v>153.84</v>
      </c>
      <c r="AY152">
        <f>$H$152*$AE$152</f>
        <v>153.84</v>
      </c>
      <c r="AZ152">
        <f>$H$152*$AF$152</f>
        <v>153.84</v>
      </c>
    </row>
    <row r="153" spans="1:52" x14ac:dyDescent="0.25">
      <c r="A153">
        <v>184</v>
      </c>
      <c r="B153" t="s">
        <v>242</v>
      </c>
      <c r="C153" t="s">
        <v>351</v>
      </c>
      <c r="D153">
        <v>2</v>
      </c>
      <c r="E153">
        <v>32.159999999999997</v>
      </c>
      <c r="F153" t="s">
        <v>285</v>
      </c>
      <c r="G153">
        <v>16.079999999999998</v>
      </c>
      <c r="H153">
        <v>38.6</v>
      </c>
      <c r="I153" t="s">
        <v>287</v>
      </c>
      <c r="J153" t="s">
        <v>352</v>
      </c>
      <c r="K153" t="s">
        <v>485</v>
      </c>
      <c r="L153" t="s">
        <v>174</v>
      </c>
      <c r="M153" t="s">
        <v>242</v>
      </c>
      <c r="N153" t="s">
        <v>12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242</v>
      </c>
      <c r="AH153" t="s">
        <v>12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38.6</v>
      </c>
      <c r="AS153">
        <f>$H$153*$Y$153</f>
        <v>38.6</v>
      </c>
      <c r="AT153">
        <f>$H$153*$Z$153</f>
        <v>38.6</v>
      </c>
      <c r="AU153">
        <f>$H$153*$AA$153</f>
        <v>38.6</v>
      </c>
      <c r="AV153">
        <f>$H$153*$AB$153</f>
        <v>38.6</v>
      </c>
      <c r="AW153">
        <f>$H$153*$AC$153</f>
        <v>38.6</v>
      </c>
      <c r="AX153">
        <f>$H$153*$AD$153</f>
        <v>38.6</v>
      </c>
      <c r="AY153">
        <f>$H$153*$AE$153</f>
        <v>38.6</v>
      </c>
      <c r="AZ153">
        <f>$H$153*$AF$153</f>
        <v>38.6</v>
      </c>
    </row>
    <row r="154" spans="1:52" x14ac:dyDescent="0.25">
      <c r="A154">
        <v>185</v>
      </c>
      <c r="B154" t="s">
        <v>242</v>
      </c>
      <c r="C154" t="s">
        <v>417</v>
      </c>
      <c r="D154">
        <v>6</v>
      </c>
      <c r="E154">
        <v>114.06</v>
      </c>
      <c r="F154" t="s">
        <v>298</v>
      </c>
      <c r="G154">
        <v>19.010000000000002</v>
      </c>
      <c r="H154">
        <v>136.88</v>
      </c>
      <c r="I154" t="s">
        <v>418</v>
      </c>
      <c r="J154" t="s">
        <v>316</v>
      </c>
      <c r="K154" t="s">
        <v>517</v>
      </c>
      <c r="L154" t="s">
        <v>174</v>
      </c>
      <c r="M154" t="s">
        <v>242</v>
      </c>
      <c r="N154" t="s">
        <v>12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242</v>
      </c>
      <c r="AH154" t="s">
        <v>12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136.88</v>
      </c>
      <c r="AV154">
        <f>$H$154*$AB$154</f>
        <v>136.88</v>
      </c>
      <c r="AW154">
        <f>$H$154*$AC$154</f>
        <v>136.88</v>
      </c>
      <c r="AX154">
        <f>$H$154*$AD$154</f>
        <v>136.88</v>
      </c>
      <c r="AY154">
        <f>$H$154*$AE$154</f>
        <v>136.88</v>
      </c>
      <c r="AZ154">
        <f>$H$154*$AF$154</f>
        <v>136.88</v>
      </c>
    </row>
    <row r="155" spans="1:52" x14ac:dyDescent="0.25">
      <c r="A155">
        <v>186</v>
      </c>
      <c r="B155" t="s">
        <v>242</v>
      </c>
      <c r="C155" t="s">
        <v>380</v>
      </c>
      <c r="D155">
        <v>0.75</v>
      </c>
      <c r="E155">
        <v>470.09</v>
      </c>
      <c r="F155" t="s">
        <v>285</v>
      </c>
      <c r="G155">
        <v>626.78</v>
      </c>
      <c r="H155">
        <v>564.11</v>
      </c>
      <c r="I155" t="s">
        <v>299</v>
      </c>
      <c r="J155" t="s">
        <v>381</v>
      </c>
      <c r="K155" t="s">
        <v>499</v>
      </c>
      <c r="L155" t="s">
        <v>174</v>
      </c>
      <c r="M155" t="s">
        <v>242</v>
      </c>
      <c r="N155" t="s">
        <v>12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242</v>
      </c>
      <c r="AH155" t="s">
        <v>12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564.11</v>
      </c>
      <c r="AV155">
        <f>$H$155*$AB$155</f>
        <v>564.11</v>
      </c>
      <c r="AW155">
        <f>$H$155*$AC$155</f>
        <v>564.11</v>
      </c>
      <c r="AX155">
        <f>$H$155*$AD$155</f>
        <v>564.11</v>
      </c>
      <c r="AY155">
        <f>$H$155*$AE$155</f>
        <v>564.11</v>
      </c>
      <c r="AZ155">
        <f>$H$155*$AF$155</f>
        <v>564.11</v>
      </c>
    </row>
    <row r="156" spans="1:52" x14ac:dyDescent="0.25">
      <c r="A156">
        <v>187</v>
      </c>
      <c r="B156" t="s">
        <v>242</v>
      </c>
      <c r="C156" t="s">
        <v>380</v>
      </c>
      <c r="D156">
        <v>0.75</v>
      </c>
      <c r="E156">
        <v>470.09</v>
      </c>
      <c r="F156" t="s">
        <v>285</v>
      </c>
      <c r="G156">
        <v>626.78</v>
      </c>
      <c r="H156">
        <v>564.11</v>
      </c>
      <c r="I156" t="s">
        <v>299</v>
      </c>
      <c r="J156" t="s">
        <v>381</v>
      </c>
      <c r="K156" t="s">
        <v>499</v>
      </c>
      <c r="L156" t="s">
        <v>174</v>
      </c>
      <c r="M156" t="s">
        <v>242</v>
      </c>
      <c r="N156" t="s">
        <v>12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242</v>
      </c>
      <c r="AH156" t="s">
        <v>12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0</v>
      </c>
      <c r="AS156">
        <f>$H$156*$Y$156</f>
        <v>0</v>
      </c>
      <c r="AT156">
        <f>$H$156*$Z$156</f>
        <v>0</v>
      </c>
      <c r="AU156">
        <f>$H$156*$AA$156</f>
        <v>564.11</v>
      </c>
      <c r="AV156">
        <f>$H$156*$AB$156</f>
        <v>564.11</v>
      </c>
      <c r="AW156">
        <f>$H$156*$AC$156</f>
        <v>564.11</v>
      </c>
      <c r="AX156">
        <f>$H$156*$AD$156</f>
        <v>564.11</v>
      </c>
      <c r="AY156">
        <f>$H$156*$AE$156</f>
        <v>564.11</v>
      </c>
      <c r="AZ156">
        <f>$H$156*$AF$156</f>
        <v>564.11</v>
      </c>
    </row>
    <row r="157" spans="1:52" x14ac:dyDescent="0.25">
      <c r="A157">
        <v>188</v>
      </c>
      <c r="B157" t="s">
        <v>242</v>
      </c>
      <c r="C157" t="s">
        <v>380</v>
      </c>
      <c r="D157">
        <v>0.25</v>
      </c>
      <c r="E157">
        <v>156.69999999999999</v>
      </c>
      <c r="F157" t="s">
        <v>285</v>
      </c>
      <c r="G157">
        <v>626.78</v>
      </c>
      <c r="H157">
        <v>188.04</v>
      </c>
      <c r="I157" t="s">
        <v>299</v>
      </c>
      <c r="J157" t="s">
        <v>381</v>
      </c>
      <c r="K157" t="s">
        <v>499</v>
      </c>
      <c r="L157" t="s">
        <v>174</v>
      </c>
      <c r="M157" t="s">
        <v>242</v>
      </c>
      <c r="N157" t="s">
        <v>12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242</v>
      </c>
      <c r="AH157" t="s">
        <v>12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188.04</v>
      </c>
      <c r="AV157">
        <f>$H$157*$AB$157</f>
        <v>188.04</v>
      </c>
      <c r="AW157">
        <f>$H$157*$AC$157</f>
        <v>188.04</v>
      </c>
      <c r="AX157">
        <f>$H$157*$AD$157</f>
        <v>188.04</v>
      </c>
      <c r="AY157">
        <f>$H$157*$AE$157</f>
        <v>188.04</v>
      </c>
      <c r="AZ157">
        <f>$H$157*$AF$157</f>
        <v>188.04</v>
      </c>
    </row>
    <row r="158" spans="1:52" x14ac:dyDescent="0.25">
      <c r="A158">
        <v>189</v>
      </c>
      <c r="B158" t="s">
        <v>242</v>
      </c>
      <c r="C158" t="s">
        <v>380</v>
      </c>
      <c r="D158">
        <v>0.25</v>
      </c>
      <c r="E158">
        <v>156.69999999999999</v>
      </c>
      <c r="F158" t="s">
        <v>285</v>
      </c>
      <c r="G158">
        <v>626.78</v>
      </c>
      <c r="H158">
        <v>188.04</v>
      </c>
      <c r="I158" t="s">
        <v>299</v>
      </c>
      <c r="J158" t="s">
        <v>381</v>
      </c>
      <c r="K158" t="s">
        <v>499</v>
      </c>
      <c r="L158" t="s">
        <v>174</v>
      </c>
      <c r="M158" t="s">
        <v>242</v>
      </c>
      <c r="N158" t="s">
        <v>12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242</v>
      </c>
      <c r="AH158" t="s">
        <v>12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0</v>
      </c>
      <c r="AU158">
        <f>$H$158*$AA$158</f>
        <v>188.04</v>
      </c>
      <c r="AV158">
        <f>$H$158*$AB$158</f>
        <v>188.04</v>
      </c>
      <c r="AW158">
        <f>$H$158*$AC$158</f>
        <v>188.04</v>
      </c>
      <c r="AX158">
        <f>$H$158*$AD$158</f>
        <v>188.04</v>
      </c>
      <c r="AY158">
        <f>$H$158*$AE$158</f>
        <v>188.04</v>
      </c>
      <c r="AZ158">
        <f>$H$158*$AF$158</f>
        <v>188.04</v>
      </c>
    </row>
    <row r="159" spans="1:52" x14ac:dyDescent="0.25">
      <c r="A159">
        <v>190</v>
      </c>
      <c r="B159" t="s">
        <v>242</v>
      </c>
      <c r="C159" t="s">
        <v>419</v>
      </c>
      <c r="D159">
        <v>1</v>
      </c>
      <c r="E159">
        <v>43.46</v>
      </c>
      <c r="F159" t="s">
        <v>285</v>
      </c>
      <c r="G159">
        <v>43.46</v>
      </c>
      <c r="H159">
        <v>52.16</v>
      </c>
      <c r="I159" t="s">
        <v>299</v>
      </c>
      <c r="J159" t="s">
        <v>420</v>
      </c>
      <c r="K159" t="s">
        <v>518</v>
      </c>
      <c r="L159" t="s">
        <v>174</v>
      </c>
      <c r="M159" t="s">
        <v>242</v>
      </c>
      <c r="N159" t="s">
        <v>12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242</v>
      </c>
      <c r="AH159" t="s">
        <v>12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52.16</v>
      </c>
      <c r="AT159">
        <f>$H$159*$Z$159</f>
        <v>52.16</v>
      </c>
      <c r="AU159">
        <f>$H$159*$AA$159</f>
        <v>52.16</v>
      </c>
      <c r="AV159">
        <f>$H$159*$AB$159</f>
        <v>52.16</v>
      </c>
      <c r="AW159">
        <f>$H$159*$AC$159</f>
        <v>52.16</v>
      </c>
      <c r="AX159">
        <f>$H$159*$AD$159</f>
        <v>52.16</v>
      </c>
      <c r="AY159">
        <f>$H$159*$AE$159</f>
        <v>52.16</v>
      </c>
      <c r="AZ159">
        <f>$H$159*$AF$159</f>
        <v>52.16</v>
      </c>
    </row>
    <row r="160" spans="1:52" x14ac:dyDescent="0.25">
      <c r="A160">
        <v>191</v>
      </c>
      <c r="B160" t="s">
        <v>242</v>
      </c>
      <c r="C160" t="s">
        <v>421</v>
      </c>
      <c r="D160">
        <v>1</v>
      </c>
      <c r="E160">
        <v>438.6</v>
      </c>
      <c r="F160" t="s">
        <v>285</v>
      </c>
      <c r="G160">
        <v>438.6</v>
      </c>
      <c r="H160">
        <v>526.32000000000005</v>
      </c>
      <c r="I160" t="s">
        <v>299</v>
      </c>
      <c r="J160" t="s">
        <v>422</v>
      </c>
      <c r="K160" t="s">
        <v>519</v>
      </c>
      <c r="L160" t="s">
        <v>174</v>
      </c>
      <c r="M160" t="s">
        <v>242</v>
      </c>
      <c r="N160" t="s">
        <v>12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242</v>
      </c>
      <c r="AH160" t="s">
        <v>12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526.32000000000005</v>
      </c>
      <c r="AT160">
        <f>$H$160*$Z$160</f>
        <v>526.32000000000005</v>
      </c>
      <c r="AU160">
        <f>$H$160*$AA$160</f>
        <v>526.32000000000005</v>
      </c>
      <c r="AV160">
        <f>$H$160*$AB$160</f>
        <v>526.32000000000005</v>
      </c>
      <c r="AW160">
        <f>$H$160*$AC$160</f>
        <v>526.32000000000005</v>
      </c>
      <c r="AX160">
        <f>$H$160*$AD$160</f>
        <v>526.32000000000005</v>
      </c>
      <c r="AY160">
        <f>$H$160*$AE$160</f>
        <v>526.32000000000005</v>
      </c>
      <c r="AZ160">
        <f>$H$160*$AF$160</f>
        <v>526.32000000000005</v>
      </c>
    </row>
    <row r="161" spans="1:52" x14ac:dyDescent="0.25">
      <c r="A161">
        <v>192</v>
      </c>
      <c r="B161" t="s">
        <v>242</v>
      </c>
      <c r="C161" t="s">
        <v>423</v>
      </c>
      <c r="D161">
        <v>1</v>
      </c>
      <c r="E161">
        <v>807.35</v>
      </c>
      <c r="F161" t="s">
        <v>285</v>
      </c>
      <c r="G161">
        <v>807.35</v>
      </c>
      <c r="H161">
        <v>968.83</v>
      </c>
      <c r="I161" t="s">
        <v>299</v>
      </c>
      <c r="J161" t="s">
        <v>424</v>
      </c>
      <c r="K161" t="s">
        <v>520</v>
      </c>
      <c r="L161" t="s">
        <v>174</v>
      </c>
      <c r="M161" t="s">
        <v>242</v>
      </c>
      <c r="N161" t="s">
        <v>12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242</v>
      </c>
      <c r="AH161" t="s">
        <v>12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968.83</v>
      </c>
      <c r="AT161">
        <f>$H$161*$Z$161</f>
        <v>968.83</v>
      </c>
      <c r="AU161">
        <f>$H$161*$AA$161</f>
        <v>968.83</v>
      </c>
      <c r="AV161">
        <f>$H$161*$AB$161</f>
        <v>968.83</v>
      </c>
      <c r="AW161">
        <f>$H$161*$AC$161</f>
        <v>968.83</v>
      </c>
      <c r="AX161">
        <f>$H$161*$AD$161</f>
        <v>968.83</v>
      </c>
      <c r="AY161">
        <f>$H$161*$AE$161</f>
        <v>968.83</v>
      </c>
      <c r="AZ161">
        <f>$H$161*$AF$161</f>
        <v>968.83</v>
      </c>
    </row>
    <row r="162" spans="1:52" x14ac:dyDescent="0.25">
      <c r="A162">
        <v>193</v>
      </c>
      <c r="B162" t="s">
        <v>242</v>
      </c>
      <c r="C162" t="s">
        <v>425</v>
      </c>
      <c r="D162">
        <v>1</v>
      </c>
      <c r="E162">
        <v>35.28</v>
      </c>
      <c r="F162" t="s">
        <v>285</v>
      </c>
      <c r="G162">
        <v>35.28</v>
      </c>
      <c r="H162">
        <v>42.34</v>
      </c>
      <c r="I162" t="s">
        <v>312</v>
      </c>
      <c r="J162" t="s">
        <v>426</v>
      </c>
      <c r="K162" t="s">
        <v>521</v>
      </c>
      <c r="L162" t="s">
        <v>174</v>
      </c>
      <c r="M162" t="s">
        <v>242</v>
      </c>
      <c r="N162" t="s">
        <v>12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242</v>
      </c>
      <c r="AH162" t="s">
        <v>12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42.34</v>
      </c>
      <c r="AV162">
        <f>$H$162*$AB$162</f>
        <v>42.34</v>
      </c>
      <c r="AW162">
        <f>$H$162*$AC$162</f>
        <v>42.34</v>
      </c>
      <c r="AX162">
        <f>$H$162*$AD$162</f>
        <v>42.34</v>
      </c>
      <c r="AY162">
        <f>$H$162*$AE$162</f>
        <v>42.34</v>
      </c>
      <c r="AZ162">
        <f>$H$162*$AF$162</f>
        <v>42.34</v>
      </c>
    </row>
    <row r="163" spans="1:52" x14ac:dyDescent="0.25">
      <c r="A163">
        <v>194</v>
      </c>
      <c r="B163" t="s">
        <v>242</v>
      </c>
      <c r="C163" t="s">
        <v>427</v>
      </c>
      <c r="D163">
        <v>1</v>
      </c>
      <c r="E163">
        <v>399.81</v>
      </c>
      <c r="F163" t="s">
        <v>285</v>
      </c>
      <c r="G163">
        <v>399.81</v>
      </c>
      <c r="H163">
        <v>479.77</v>
      </c>
      <c r="I163" t="s">
        <v>299</v>
      </c>
      <c r="J163" t="s">
        <v>428</v>
      </c>
      <c r="K163" t="s">
        <v>522</v>
      </c>
      <c r="L163" t="s">
        <v>174</v>
      </c>
      <c r="M163" t="s">
        <v>242</v>
      </c>
      <c r="N163" t="s">
        <v>12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242</v>
      </c>
      <c r="AH163" t="s">
        <v>12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479.77</v>
      </c>
      <c r="AU163">
        <f>$H$163*$AA$163</f>
        <v>479.77</v>
      </c>
      <c r="AV163">
        <f>$H$163*$AB$163</f>
        <v>479.77</v>
      </c>
      <c r="AW163">
        <f>$H$163*$AC$163</f>
        <v>479.77</v>
      </c>
      <c r="AX163">
        <f>$H$163*$AD$163</f>
        <v>479.77</v>
      </c>
      <c r="AY163">
        <f>$H$163*$AE$163</f>
        <v>479.77</v>
      </c>
      <c r="AZ163">
        <f>$H$163*$AF$163</f>
        <v>479.77</v>
      </c>
    </row>
    <row r="164" spans="1:52" x14ac:dyDescent="0.25">
      <c r="A164">
        <v>195</v>
      </c>
      <c r="B164" t="s">
        <v>242</v>
      </c>
      <c r="C164" t="s">
        <v>429</v>
      </c>
      <c r="D164">
        <v>1</v>
      </c>
      <c r="E164">
        <v>286.82</v>
      </c>
      <c r="F164" t="s">
        <v>285</v>
      </c>
      <c r="G164">
        <v>286.82</v>
      </c>
      <c r="H164">
        <v>344.18</v>
      </c>
      <c r="I164" t="s">
        <v>299</v>
      </c>
      <c r="J164" t="s">
        <v>430</v>
      </c>
      <c r="K164" t="s">
        <v>523</v>
      </c>
      <c r="L164" t="s">
        <v>174</v>
      </c>
      <c r="M164" t="s">
        <v>242</v>
      </c>
      <c r="N164" t="s">
        <v>12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242</v>
      </c>
      <c r="AH164" t="s">
        <v>12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344.18</v>
      </c>
      <c r="AV164">
        <f>$H$164*$AB$164</f>
        <v>344.18</v>
      </c>
      <c r="AW164">
        <f>$H$164*$AC$164</f>
        <v>344.18</v>
      </c>
      <c r="AX164">
        <f>$H$164*$AD$164</f>
        <v>344.18</v>
      </c>
      <c r="AY164">
        <f>$H$164*$AE$164</f>
        <v>344.18</v>
      </c>
      <c r="AZ164">
        <f>$H$164*$AF$164</f>
        <v>344.18</v>
      </c>
    </row>
    <row r="165" spans="1:52" x14ac:dyDescent="0.25">
      <c r="A165">
        <v>196</v>
      </c>
      <c r="B165" t="s">
        <v>242</v>
      </c>
      <c r="C165" t="s">
        <v>431</v>
      </c>
      <c r="D165">
        <v>10</v>
      </c>
      <c r="E165">
        <v>79.7</v>
      </c>
      <c r="F165" t="s">
        <v>280</v>
      </c>
      <c r="G165">
        <v>7.97</v>
      </c>
      <c r="H165">
        <v>95.64</v>
      </c>
      <c r="I165" t="s">
        <v>293</v>
      </c>
      <c r="J165" t="s">
        <v>432</v>
      </c>
      <c r="K165" t="s">
        <v>524</v>
      </c>
      <c r="L165" t="s">
        <v>174</v>
      </c>
      <c r="M165" t="s">
        <v>242</v>
      </c>
      <c r="N165" t="s">
        <v>12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1</v>
      </c>
      <c r="AE165">
        <v>1</v>
      </c>
      <c r="AF165">
        <v>1</v>
      </c>
      <c r="AG165" t="s">
        <v>242</v>
      </c>
      <c r="AH165" t="s">
        <v>12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0</v>
      </c>
      <c r="AV165">
        <f>$H$165*$AB$165</f>
        <v>0</v>
      </c>
      <c r="AW165">
        <f>$H$165*$AC$165</f>
        <v>0</v>
      </c>
      <c r="AX165">
        <f>$H$165*$AD$165</f>
        <v>95.64</v>
      </c>
      <c r="AY165">
        <f>$H$165*$AE$165</f>
        <v>95.64</v>
      </c>
      <c r="AZ165">
        <f>$H$165*$AF$165</f>
        <v>95.64</v>
      </c>
    </row>
    <row r="166" spans="1:52" x14ac:dyDescent="0.25">
      <c r="A166">
        <v>197</v>
      </c>
      <c r="B166" t="s">
        <v>242</v>
      </c>
      <c r="C166" t="s">
        <v>433</v>
      </c>
      <c r="D166">
        <v>1</v>
      </c>
      <c r="E166">
        <v>102.49</v>
      </c>
      <c r="F166" t="s">
        <v>285</v>
      </c>
      <c r="G166">
        <v>102.49</v>
      </c>
      <c r="H166">
        <v>122.99</v>
      </c>
      <c r="I166" t="s">
        <v>293</v>
      </c>
      <c r="J166" t="s">
        <v>434</v>
      </c>
      <c r="K166" t="s">
        <v>525</v>
      </c>
      <c r="L166" t="s">
        <v>174</v>
      </c>
      <c r="M166" t="s">
        <v>242</v>
      </c>
      <c r="N166" t="s">
        <v>12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1</v>
      </c>
      <c r="AE166">
        <v>1</v>
      </c>
      <c r="AF166">
        <v>1</v>
      </c>
      <c r="AG166" t="s">
        <v>242</v>
      </c>
      <c r="AH166" t="s">
        <v>12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0</v>
      </c>
      <c r="AU166">
        <f>$H$166*$AA$166</f>
        <v>0</v>
      </c>
      <c r="AV166">
        <f>$H$166*$AB$166</f>
        <v>0</v>
      </c>
      <c r="AW166">
        <f>$H$166*$AC$166</f>
        <v>0</v>
      </c>
      <c r="AX166">
        <f>$H$166*$AD$166</f>
        <v>122.99</v>
      </c>
      <c r="AY166">
        <f>$H$166*$AE$166</f>
        <v>122.99</v>
      </c>
      <c r="AZ166">
        <f>$H$166*$AF$166</f>
        <v>122.99</v>
      </c>
    </row>
    <row r="167" spans="1:52" x14ac:dyDescent="0.25">
      <c r="A167">
        <v>198</v>
      </c>
      <c r="B167" t="s">
        <v>242</v>
      </c>
      <c r="C167" t="s">
        <v>435</v>
      </c>
      <c r="D167">
        <v>1</v>
      </c>
      <c r="E167">
        <v>99.91</v>
      </c>
      <c r="F167" t="s">
        <v>285</v>
      </c>
      <c r="G167">
        <v>99.91</v>
      </c>
      <c r="H167">
        <v>119.89</v>
      </c>
      <c r="I167" t="s">
        <v>290</v>
      </c>
      <c r="J167" t="s">
        <v>436</v>
      </c>
      <c r="K167" t="s">
        <v>526</v>
      </c>
      <c r="L167" t="s">
        <v>174</v>
      </c>
      <c r="M167" t="s">
        <v>242</v>
      </c>
      <c r="N167" t="s">
        <v>12</v>
      </c>
      <c r="O167" t="s">
        <v>13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1</v>
      </c>
      <c r="AF167">
        <v>1</v>
      </c>
      <c r="AG167" t="s">
        <v>242</v>
      </c>
      <c r="AH167" t="s">
        <v>12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0</v>
      </c>
      <c r="AX167">
        <f>$H$167*$AD$167</f>
        <v>119.89</v>
      </c>
      <c r="AY167">
        <f>$H$167*$AE$167</f>
        <v>119.89</v>
      </c>
      <c r="AZ167">
        <f>$H$167*$AF$167</f>
        <v>119.89</v>
      </c>
    </row>
    <row r="168" spans="1:52" x14ac:dyDescent="0.25">
      <c r="A168">
        <v>199</v>
      </c>
      <c r="B168" t="s">
        <v>242</v>
      </c>
      <c r="C168" t="s">
        <v>311</v>
      </c>
      <c r="D168">
        <v>1</v>
      </c>
      <c r="E168">
        <v>41.27</v>
      </c>
      <c r="F168" t="s">
        <v>285</v>
      </c>
      <c r="G168">
        <v>41.27</v>
      </c>
      <c r="H168">
        <v>49.53</v>
      </c>
      <c r="I168" t="s">
        <v>312</v>
      </c>
      <c r="J168" t="s">
        <v>313</v>
      </c>
      <c r="K168" t="s">
        <v>465</v>
      </c>
      <c r="L168" t="s">
        <v>174</v>
      </c>
      <c r="M168" t="s">
        <v>242</v>
      </c>
      <c r="N168" t="s">
        <v>12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242</v>
      </c>
      <c r="AH168" t="s">
        <v>12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49.53</v>
      </c>
      <c r="AU168">
        <f>$H$168*$AA$168</f>
        <v>49.53</v>
      </c>
      <c r="AV168">
        <f>$H$168*$AB$168</f>
        <v>49.53</v>
      </c>
      <c r="AW168">
        <f>$H$168*$AC$168</f>
        <v>49.53</v>
      </c>
      <c r="AX168">
        <f>$H$168*$AD$168</f>
        <v>49.53</v>
      </c>
      <c r="AY168">
        <f>$H$168*$AE$168</f>
        <v>49.53</v>
      </c>
      <c r="AZ168">
        <f>$H$168*$AF$168</f>
        <v>49.53</v>
      </c>
    </row>
    <row r="169" spans="1:52" x14ac:dyDescent="0.25">
      <c r="A169">
        <v>200</v>
      </c>
      <c r="B169" t="s">
        <v>242</v>
      </c>
      <c r="C169" t="s">
        <v>319</v>
      </c>
      <c r="D169">
        <v>2</v>
      </c>
      <c r="E169">
        <v>126.18</v>
      </c>
      <c r="F169" t="s">
        <v>285</v>
      </c>
      <c r="G169">
        <v>63.09</v>
      </c>
      <c r="H169">
        <v>151.41999999999999</v>
      </c>
      <c r="I169" t="s">
        <v>281</v>
      </c>
      <c r="J169" t="s">
        <v>315</v>
      </c>
      <c r="K169" t="s">
        <v>468</v>
      </c>
      <c r="L169" t="s">
        <v>174</v>
      </c>
      <c r="M169" t="s">
        <v>242</v>
      </c>
      <c r="N169" t="s">
        <v>12</v>
      </c>
      <c r="O169" t="s">
        <v>13</v>
      </c>
      <c r="P169">
        <v>0</v>
      </c>
      <c r="Q169">
        <v>0</v>
      </c>
      <c r="R169">
        <v>0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242</v>
      </c>
      <c r="AH169" t="s">
        <v>12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151.41999999999999</v>
      </c>
      <c r="AN169">
        <f>$H$169*$T$169</f>
        <v>151.41999999999999</v>
      </c>
      <c r="AO169">
        <f>$H$169*$U$169</f>
        <v>151.41999999999999</v>
      </c>
      <c r="AP169">
        <f>$H$169*$V$169</f>
        <v>151.41999999999999</v>
      </c>
      <c r="AQ169">
        <f>$H$169*$W$169</f>
        <v>151.41999999999999</v>
      </c>
      <c r="AR169">
        <f>$H$169*$X$169</f>
        <v>151.41999999999999</v>
      </c>
      <c r="AS169">
        <f>$H$169*$Y$169</f>
        <v>151.41999999999999</v>
      </c>
      <c r="AT169">
        <f>$H$169*$Z$169</f>
        <v>151.41999999999999</v>
      </c>
      <c r="AU169">
        <f>$H$169*$AA$169</f>
        <v>151.41999999999999</v>
      </c>
      <c r="AV169">
        <f>$H$169*$AB$169</f>
        <v>151.41999999999999</v>
      </c>
      <c r="AW169">
        <f>$H$169*$AC$169</f>
        <v>151.41999999999999</v>
      </c>
      <c r="AX169">
        <f>$H$169*$AD$169</f>
        <v>151.41999999999999</v>
      </c>
      <c r="AY169">
        <f>$H$169*$AE$169</f>
        <v>151.41999999999999</v>
      </c>
      <c r="AZ169">
        <f>$H$169*$AF$169</f>
        <v>151.41999999999999</v>
      </c>
    </row>
    <row r="170" spans="1:52" x14ac:dyDescent="0.25">
      <c r="A170">
        <v>201</v>
      </c>
      <c r="B170" t="s">
        <v>242</v>
      </c>
      <c r="C170" t="s">
        <v>437</v>
      </c>
      <c r="D170">
        <v>1</v>
      </c>
      <c r="E170">
        <v>302.38</v>
      </c>
      <c r="F170" t="s">
        <v>285</v>
      </c>
      <c r="G170">
        <v>302.38</v>
      </c>
      <c r="H170">
        <v>362.86</v>
      </c>
      <c r="I170" t="s">
        <v>315</v>
      </c>
      <c r="J170" t="s">
        <v>354</v>
      </c>
      <c r="K170" t="s">
        <v>527</v>
      </c>
      <c r="L170" t="s">
        <v>174</v>
      </c>
      <c r="M170" t="s">
        <v>242</v>
      </c>
      <c r="N170" t="s">
        <v>12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242</v>
      </c>
      <c r="AH170" t="s">
        <v>12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362.86</v>
      </c>
      <c r="AO170">
        <f>$H$170*$U$170</f>
        <v>362.86</v>
      </c>
      <c r="AP170">
        <f>$H$170*$V$170</f>
        <v>362.86</v>
      </c>
      <c r="AQ170">
        <f>$H$170*$W$170</f>
        <v>362.86</v>
      </c>
      <c r="AR170">
        <f>$H$170*$X$170</f>
        <v>362.86</v>
      </c>
      <c r="AS170">
        <f>$H$170*$Y$170</f>
        <v>362.86</v>
      </c>
      <c r="AT170">
        <f>$H$170*$Z$170</f>
        <v>362.86</v>
      </c>
      <c r="AU170">
        <f>$H$170*$AA$170</f>
        <v>362.86</v>
      </c>
      <c r="AV170">
        <f>$H$170*$AB$170</f>
        <v>362.86</v>
      </c>
      <c r="AW170">
        <f>$H$170*$AC$170</f>
        <v>362.86</v>
      </c>
      <c r="AX170">
        <f>$H$170*$AD$170</f>
        <v>362.86</v>
      </c>
      <c r="AY170">
        <f>$H$170*$AE$170</f>
        <v>362.86</v>
      </c>
      <c r="AZ170">
        <f>$H$170*$AF$170</f>
        <v>362.86</v>
      </c>
    </row>
    <row r="171" spans="1:52" x14ac:dyDescent="0.25">
      <c r="A171">
        <v>202</v>
      </c>
      <c r="B171" t="s">
        <v>242</v>
      </c>
      <c r="C171" t="s">
        <v>378</v>
      </c>
      <c r="D171">
        <v>1</v>
      </c>
      <c r="E171">
        <v>37.28</v>
      </c>
      <c r="F171" t="s">
        <v>285</v>
      </c>
      <c r="G171">
        <v>37.28</v>
      </c>
      <c r="H171">
        <v>44.74</v>
      </c>
      <c r="I171" t="s">
        <v>287</v>
      </c>
      <c r="J171" t="s">
        <v>379</v>
      </c>
      <c r="K171" t="s">
        <v>498</v>
      </c>
      <c r="L171" t="s">
        <v>174</v>
      </c>
      <c r="M171" t="s">
        <v>242</v>
      </c>
      <c r="N171" t="s">
        <v>12</v>
      </c>
      <c r="O171" t="s">
        <v>13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0.6</v>
      </c>
      <c r="Y171">
        <v>0.6</v>
      </c>
      <c r="Z171">
        <v>0.6</v>
      </c>
      <c r="AA171">
        <v>0.6</v>
      </c>
      <c r="AB171">
        <v>0.6</v>
      </c>
      <c r="AC171">
        <v>0.6</v>
      </c>
      <c r="AD171">
        <v>1</v>
      </c>
      <c r="AE171">
        <v>1</v>
      </c>
      <c r="AF171">
        <v>1</v>
      </c>
      <c r="AG171" t="s">
        <v>242</v>
      </c>
      <c r="AH171" t="s">
        <v>12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26.844000000000001</v>
      </c>
      <c r="AS171">
        <f>$H$171*$Y$171</f>
        <v>26.844000000000001</v>
      </c>
      <c r="AT171">
        <f>$H$171*$Z$171</f>
        <v>26.844000000000001</v>
      </c>
      <c r="AU171">
        <f>$H$171*$AA$171</f>
        <v>26.844000000000001</v>
      </c>
      <c r="AV171">
        <f>$H$171*$AB$171</f>
        <v>26.844000000000001</v>
      </c>
      <c r="AW171">
        <f>$H$171*$AC$171</f>
        <v>26.844000000000001</v>
      </c>
      <c r="AX171">
        <f>$H$171*$AD$171</f>
        <v>44.74</v>
      </c>
      <c r="AY171">
        <f>$H$171*$AE$171</f>
        <v>44.74</v>
      </c>
      <c r="AZ171">
        <f>$H$171*$AF$171</f>
        <v>44.74</v>
      </c>
    </row>
    <row r="172" spans="1:52" x14ac:dyDescent="0.25">
      <c r="A172">
        <v>203</v>
      </c>
      <c r="B172" t="s">
        <v>242</v>
      </c>
      <c r="C172" t="s">
        <v>438</v>
      </c>
      <c r="D172">
        <v>3</v>
      </c>
      <c r="E172">
        <v>478.26</v>
      </c>
      <c r="F172" t="s">
        <v>280</v>
      </c>
      <c r="G172">
        <v>159.41999999999999</v>
      </c>
      <c r="H172">
        <v>573.91999999999996</v>
      </c>
      <c r="I172" t="s">
        <v>392</v>
      </c>
      <c r="J172" t="s">
        <v>439</v>
      </c>
      <c r="K172" t="s">
        <v>528</v>
      </c>
      <c r="L172" t="s">
        <v>174</v>
      </c>
      <c r="M172" t="s">
        <v>242</v>
      </c>
      <c r="N172" t="s">
        <v>12</v>
      </c>
      <c r="O172" t="s">
        <v>13</v>
      </c>
      <c r="P172">
        <v>0</v>
      </c>
      <c r="Q172">
        <v>0</v>
      </c>
      <c r="R172">
        <v>0</v>
      </c>
      <c r="S172">
        <v>0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242</v>
      </c>
      <c r="AH172" t="s">
        <v>12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573.91999999999996</v>
      </c>
      <c r="AO172">
        <f>$H$172*$U$172</f>
        <v>573.91999999999996</v>
      </c>
      <c r="AP172">
        <f>$H$172*$V$172</f>
        <v>573.91999999999996</v>
      </c>
      <c r="AQ172">
        <f>$H$172*$W$172</f>
        <v>573.91999999999996</v>
      </c>
      <c r="AR172">
        <f>$H$172*$X$172</f>
        <v>573.91999999999996</v>
      </c>
      <c r="AS172">
        <f>$H$172*$Y$172</f>
        <v>573.91999999999996</v>
      </c>
      <c r="AT172">
        <f>$H$172*$Z$172</f>
        <v>573.91999999999996</v>
      </c>
      <c r="AU172">
        <f>$H$172*$AA$172</f>
        <v>573.91999999999996</v>
      </c>
      <c r="AV172">
        <f>$H$172*$AB$172</f>
        <v>573.91999999999996</v>
      </c>
      <c r="AW172">
        <f>$H$172*$AC$172</f>
        <v>573.91999999999996</v>
      </c>
      <c r="AX172">
        <f>$H$172*$AD$172</f>
        <v>573.91999999999996</v>
      </c>
      <c r="AY172">
        <f>$H$172*$AE$172</f>
        <v>573.91999999999996</v>
      </c>
      <c r="AZ172">
        <f>$H$172*$AF$172</f>
        <v>573.91999999999996</v>
      </c>
    </row>
    <row r="173" spans="1:52" x14ac:dyDescent="0.25">
      <c r="A173">
        <v>204</v>
      </c>
      <c r="B173" t="s">
        <v>242</v>
      </c>
      <c r="C173" t="s">
        <v>440</v>
      </c>
      <c r="D173">
        <v>3</v>
      </c>
      <c r="E173">
        <v>31.26</v>
      </c>
      <c r="F173" t="s">
        <v>280</v>
      </c>
      <c r="G173">
        <v>10.42</v>
      </c>
      <c r="H173">
        <v>37.520000000000003</v>
      </c>
      <c r="I173" t="s">
        <v>392</v>
      </c>
      <c r="J173" t="s">
        <v>441</v>
      </c>
      <c r="K173" t="s">
        <v>529</v>
      </c>
      <c r="L173" t="s">
        <v>174</v>
      </c>
      <c r="M173" t="s">
        <v>242</v>
      </c>
      <c r="N173" t="s">
        <v>12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242</v>
      </c>
      <c r="AH173" t="s">
        <v>12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0</v>
      </c>
      <c r="AT173">
        <f>$H$173*$Z$173</f>
        <v>37.520000000000003</v>
      </c>
      <c r="AU173">
        <f>$H$173*$AA$173</f>
        <v>37.520000000000003</v>
      </c>
      <c r="AV173">
        <f>$H$173*$AB$173</f>
        <v>37.520000000000003</v>
      </c>
      <c r="AW173">
        <f>$H$173*$AC$173</f>
        <v>37.520000000000003</v>
      </c>
      <c r="AX173">
        <f>$H$173*$AD$173</f>
        <v>37.520000000000003</v>
      </c>
      <c r="AY173">
        <f>$H$173*$AE$173</f>
        <v>37.520000000000003</v>
      </c>
      <c r="AZ173">
        <f>$H$173*$AF$173</f>
        <v>37.520000000000003</v>
      </c>
    </row>
    <row r="174" spans="1:52" x14ac:dyDescent="0.25">
      <c r="A174">
        <v>205</v>
      </c>
      <c r="B174" t="s">
        <v>242</v>
      </c>
      <c r="C174" t="s">
        <v>442</v>
      </c>
      <c r="D174">
        <v>3</v>
      </c>
      <c r="E174">
        <v>122.49</v>
      </c>
      <c r="F174" t="s">
        <v>280</v>
      </c>
      <c r="G174">
        <v>40.83</v>
      </c>
      <c r="H174">
        <v>146.99</v>
      </c>
      <c r="I174" t="s">
        <v>392</v>
      </c>
      <c r="J174" t="s">
        <v>443</v>
      </c>
      <c r="K174" t="s">
        <v>530</v>
      </c>
      <c r="L174" t="s">
        <v>174</v>
      </c>
      <c r="M174" t="s">
        <v>242</v>
      </c>
      <c r="N174" t="s">
        <v>12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242</v>
      </c>
      <c r="AH174" t="s">
        <v>12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146.99</v>
      </c>
      <c r="AU174">
        <f>$H$174*$AA$174</f>
        <v>146.99</v>
      </c>
      <c r="AV174">
        <f>$H$174*$AB$174</f>
        <v>146.99</v>
      </c>
      <c r="AW174">
        <f>$H$174*$AC$174</f>
        <v>146.99</v>
      </c>
      <c r="AX174">
        <f>$H$174*$AD$174</f>
        <v>146.99</v>
      </c>
      <c r="AY174">
        <f>$H$174*$AE$174</f>
        <v>146.99</v>
      </c>
      <c r="AZ174">
        <f>$H$174*$AF$174</f>
        <v>146.99</v>
      </c>
    </row>
    <row r="175" spans="1:52" x14ac:dyDescent="0.25">
      <c r="A175">
        <v>206</v>
      </c>
      <c r="B175" t="s">
        <v>242</v>
      </c>
      <c r="C175" t="s">
        <v>444</v>
      </c>
      <c r="D175">
        <v>1</v>
      </c>
      <c r="E175">
        <v>181.97</v>
      </c>
      <c r="F175" t="s">
        <v>285</v>
      </c>
      <c r="G175">
        <v>181.97</v>
      </c>
      <c r="H175">
        <v>218.37</v>
      </c>
      <c r="I175" t="s">
        <v>299</v>
      </c>
      <c r="J175" t="s">
        <v>445</v>
      </c>
      <c r="K175" t="s">
        <v>531</v>
      </c>
      <c r="L175" t="s">
        <v>174</v>
      </c>
      <c r="M175" t="s">
        <v>242</v>
      </c>
      <c r="N175" t="s">
        <v>12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242</v>
      </c>
      <c r="AH175" t="s">
        <v>12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218.37</v>
      </c>
      <c r="AV175">
        <f>$H$175*$AB$175</f>
        <v>218.37</v>
      </c>
      <c r="AW175">
        <f>$H$175*$AC$175</f>
        <v>218.37</v>
      </c>
      <c r="AX175">
        <f>$H$175*$AD$175</f>
        <v>218.37</v>
      </c>
      <c r="AY175">
        <f>$H$175*$AE$175</f>
        <v>218.37</v>
      </c>
      <c r="AZ175">
        <f>$H$175*$AF$175</f>
        <v>218.37</v>
      </c>
    </row>
    <row r="176" spans="1:52" x14ac:dyDescent="0.25">
      <c r="A176">
        <v>207</v>
      </c>
      <c r="B176" t="s">
        <v>242</v>
      </c>
      <c r="C176" t="s">
        <v>380</v>
      </c>
      <c r="D176">
        <v>0.75</v>
      </c>
      <c r="E176">
        <v>470.09</v>
      </c>
      <c r="F176" t="s">
        <v>285</v>
      </c>
      <c r="G176">
        <v>626.78</v>
      </c>
      <c r="H176">
        <v>564.11</v>
      </c>
      <c r="I176" t="s">
        <v>299</v>
      </c>
      <c r="J176" t="s">
        <v>381</v>
      </c>
      <c r="K176" t="s">
        <v>499</v>
      </c>
      <c r="L176" t="s">
        <v>174</v>
      </c>
      <c r="M176" t="s">
        <v>242</v>
      </c>
      <c r="N176" t="s">
        <v>12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242</v>
      </c>
      <c r="AH176" t="s">
        <v>12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564.11</v>
      </c>
      <c r="AV176">
        <f>$H$176*$AB$176</f>
        <v>564.11</v>
      </c>
      <c r="AW176">
        <f>$H$176*$AC$176</f>
        <v>564.11</v>
      </c>
      <c r="AX176">
        <f>$H$176*$AD$176</f>
        <v>564.11</v>
      </c>
      <c r="AY176">
        <f>$H$176*$AE$176</f>
        <v>564.11</v>
      </c>
      <c r="AZ176">
        <f>$H$176*$AF$176</f>
        <v>564.11</v>
      </c>
    </row>
    <row r="177" spans="1:52" x14ac:dyDescent="0.25">
      <c r="A177">
        <v>208</v>
      </c>
      <c r="B177" t="s">
        <v>242</v>
      </c>
      <c r="C177" t="s">
        <v>380</v>
      </c>
      <c r="D177">
        <v>0.25</v>
      </c>
      <c r="E177">
        <v>156.69999999999999</v>
      </c>
      <c r="F177" t="s">
        <v>285</v>
      </c>
      <c r="G177">
        <v>626.78</v>
      </c>
      <c r="H177">
        <v>188.04</v>
      </c>
      <c r="I177" t="s">
        <v>299</v>
      </c>
      <c r="J177" t="s">
        <v>381</v>
      </c>
      <c r="K177" t="s">
        <v>499</v>
      </c>
      <c r="L177" t="s">
        <v>174</v>
      </c>
      <c r="M177" t="s">
        <v>242</v>
      </c>
      <c r="N177" t="s">
        <v>12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242</v>
      </c>
      <c r="AH177" t="s">
        <v>12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188.04</v>
      </c>
      <c r="AV177">
        <f>$H$177*$AB$177</f>
        <v>188.04</v>
      </c>
      <c r="AW177">
        <f>$H$177*$AC$177</f>
        <v>188.04</v>
      </c>
      <c r="AX177">
        <f>$H$177*$AD$177</f>
        <v>188.04</v>
      </c>
      <c r="AY177">
        <f>$H$177*$AE$177</f>
        <v>188.04</v>
      </c>
      <c r="AZ177">
        <f>$H$177*$AF$177</f>
        <v>188.04</v>
      </c>
    </row>
    <row r="178" spans="1:52" x14ac:dyDescent="0.25">
      <c r="A178">
        <v>209</v>
      </c>
      <c r="B178" t="s">
        <v>242</v>
      </c>
      <c r="C178" t="s">
        <v>446</v>
      </c>
      <c r="D178">
        <v>1</v>
      </c>
      <c r="E178">
        <v>216.66</v>
      </c>
      <c r="F178" t="s">
        <v>285</v>
      </c>
      <c r="G178">
        <v>216.66</v>
      </c>
      <c r="H178">
        <v>260</v>
      </c>
      <c r="I178" t="s">
        <v>299</v>
      </c>
      <c r="J178" t="s">
        <v>447</v>
      </c>
      <c r="K178" t="s">
        <v>532</v>
      </c>
      <c r="L178" t="s">
        <v>174</v>
      </c>
      <c r="M178" t="s">
        <v>242</v>
      </c>
      <c r="N178" t="s">
        <v>12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242</v>
      </c>
      <c r="AH178" t="s">
        <v>12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260</v>
      </c>
      <c r="AV178">
        <f>$H$178*$AB$178</f>
        <v>260</v>
      </c>
      <c r="AW178">
        <f>$H$178*$AC$178</f>
        <v>260</v>
      </c>
      <c r="AX178">
        <f>$H$178*$AD$178</f>
        <v>260</v>
      </c>
      <c r="AY178">
        <f>$H$178*$AE$178</f>
        <v>260</v>
      </c>
      <c r="AZ178">
        <f>$H$178*$AF$178</f>
        <v>260</v>
      </c>
    </row>
    <row r="179" spans="1:52" x14ac:dyDescent="0.25">
      <c r="A179">
        <v>210</v>
      </c>
      <c r="B179" t="s">
        <v>242</v>
      </c>
      <c r="C179" t="s">
        <v>306</v>
      </c>
      <c r="D179">
        <v>204</v>
      </c>
      <c r="E179">
        <v>330.48</v>
      </c>
      <c r="F179" t="s">
        <v>298</v>
      </c>
      <c r="G179">
        <v>1.62</v>
      </c>
      <c r="H179">
        <v>396.58</v>
      </c>
      <c r="I179" t="s">
        <v>281</v>
      </c>
      <c r="J179" t="s">
        <v>307</v>
      </c>
      <c r="K179" t="s">
        <v>463</v>
      </c>
      <c r="L179" t="s">
        <v>174</v>
      </c>
      <c r="M179" t="s">
        <v>242</v>
      </c>
      <c r="N179" t="s">
        <v>12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242</v>
      </c>
      <c r="AH179" t="s">
        <v>12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396.58</v>
      </c>
      <c r="AO179">
        <f>$H$179*$U$179</f>
        <v>396.58</v>
      </c>
      <c r="AP179">
        <f>$H$179*$V$179</f>
        <v>396.58</v>
      </c>
      <c r="AQ179">
        <f>$H$179*$W$179</f>
        <v>396.58</v>
      </c>
      <c r="AR179">
        <f>$H$179*$X$179</f>
        <v>396.58</v>
      </c>
      <c r="AS179">
        <f>$H$179*$Y$179</f>
        <v>396.58</v>
      </c>
      <c r="AT179">
        <f>$H$179*$Z$179</f>
        <v>396.58</v>
      </c>
      <c r="AU179">
        <f>$H$179*$AA$179</f>
        <v>396.58</v>
      </c>
      <c r="AV179">
        <f>$H$179*$AB$179</f>
        <v>396.58</v>
      </c>
      <c r="AW179">
        <f>$H$179*$AC$179</f>
        <v>396.58</v>
      </c>
      <c r="AX179">
        <f>$H$179*$AD$179</f>
        <v>396.58</v>
      </c>
      <c r="AY179">
        <f>$H$179*$AE$179</f>
        <v>396.58</v>
      </c>
      <c r="AZ179">
        <f>$H$179*$AF$179</f>
        <v>396.58</v>
      </c>
    </row>
    <row r="180" spans="1:52" x14ac:dyDescent="0.25">
      <c r="A180">
        <v>211</v>
      </c>
      <c r="B180" t="s">
        <v>242</v>
      </c>
      <c r="C180" t="s">
        <v>357</v>
      </c>
      <c r="D180">
        <v>204</v>
      </c>
      <c r="E180">
        <v>685.44</v>
      </c>
      <c r="F180" t="s">
        <v>298</v>
      </c>
      <c r="G180">
        <v>3.36</v>
      </c>
      <c r="H180">
        <v>822.52</v>
      </c>
      <c r="I180" t="s">
        <v>309</v>
      </c>
      <c r="J180" t="s">
        <v>358</v>
      </c>
      <c r="K180" t="s">
        <v>488</v>
      </c>
      <c r="L180" t="s">
        <v>174</v>
      </c>
      <c r="M180" t="s">
        <v>242</v>
      </c>
      <c r="N180" t="s">
        <v>12</v>
      </c>
      <c r="O180" t="s">
        <v>13</v>
      </c>
      <c r="P180">
        <v>0</v>
      </c>
      <c r="Q180">
        <v>0</v>
      </c>
      <c r="R180">
        <v>0</v>
      </c>
      <c r="S180">
        <v>0.25</v>
      </c>
      <c r="T180">
        <v>0.25</v>
      </c>
      <c r="U180">
        <v>0.25</v>
      </c>
      <c r="V180">
        <v>0.25</v>
      </c>
      <c r="W180">
        <v>0.25</v>
      </c>
      <c r="X180">
        <v>0.5</v>
      </c>
      <c r="Y180">
        <v>0.5</v>
      </c>
      <c r="Z180">
        <v>0.5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242</v>
      </c>
      <c r="AH180" t="s">
        <v>12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205.63</v>
      </c>
      <c r="AN180">
        <f>$H$180*$T$180</f>
        <v>205.63</v>
      </c>
      <c r="AO180">
        <f>$H$180*$U$180</f>
        <v>205.63</v>
      </c>
      <c r="AP180">
        <f>$H$180*$V$180</f>
        <v>205.63</v>
      </c>
      <c r="AQ180">
        <f>$H$180*$W$180</f>
        <v>205.63</v>
      </c>
      <c r="AR180">
        <f>$H$180*$X$180</f>
        <v>411.26</v>
      </c>
      <c r="AS180">
        <f>$H$180*$Y$180</f>
        <v>411.26</v>
      </c>
      <c r="AT180">
        <f>$H$180*$Z$180</f>
        <v>411.26</v>
      </c>
      <c r="AU180">
        <f>$H$180*$AA$180</f>
        <v>822.52</v>
      </c>
      <c r="AV180">
        <f>$H$180*$AB$180</f>
        <v>822.52</v>
      </c>
      <c r="AW180">
        <f>$H$180*$AC$180</f>
        <v>822.52</v>
      </c>
      <c r="AX180">
        <f>$H$180*$AD$180</f>
        <v>822.52</v>
      </c>
      <c r="AY180">
        <f>$H$180*$AE$180</f>
        <v>822.52</v>
      </c>
      <c r="AZ180">
        <f>$H$180*$AF$180</f>
        <v>822.52</v>
      </c>
    </row>
    <row r="181" spans="1:52" x14ac:dyDescent="0.25">
      <c r="A181">
        <v>212</v>
      </c>
      <c r="B181" t="s">
        <v>242</v>
      </c>
      <c r="C181" t="s">
        <v>410</v>
      </c>
      <c r="D181">
        <v>12.75</v>
      </c>
      <c r="E181">
        <v>20.66</v>
      </c>
      <c r="F181" t="s">
        <v>280</v>
      </c>
      <c r="G181">
        <v>1.62</v>
      </c>
      <c r="H181">
        <v>24.8</v>
      </c>
      <c r="I181" t="s">
        <v>281</v>
      </c>
      <c r="J181" t="s">
        <v>360</v>
      </c>
      <c r="K181" t="s">
        <v>513</v>
      </c>
      <c r="L181" t="s">
        <v>174</v>
      </c>
      <c r="M181" t="s">
        <v>242</v>
      </c>
      <c r="N181" t="s">
        <v>12</v>
      </c>
      <c r="O181" t="s">
        <v>13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242</v>
      </c>
      <c r="AH181" t="s">
        <v>12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24.8</v>
      </c>
      <c r="AN181">
        <f>$H$181*$T$181</f>
        <v>24.8</v>
      </c>
      <c r="AO181">
        <f>$H$181*$U$181</f>
        <v>24.8</v>
      </c>
      <c r="AP181">
        <f>$H$181*$V$181</f>
        <v>24.8</v>
      </c>
      <c r="AQ181">
        <f>$H$181*$W$181</f>
        <v>24.8</v>
      </c>
      <c r="AR181">
        <f>$H$181*$X$181</f>
        <v>24.8</v>
      </c>
      <c r="AS181">
        <f>$H$181*$Y$181</f>
        <v>24.8</v>
      </c>
      <c r="AT181">
        <f>$H$181*$Z$181</f>
        <v>24.8</v>
      </c>
      <c r="AU181">
        <f>$H$181*$AA$181</f>
        <v>24.8</v>
      </c>
      <c r="AV181">
        <f>$H$181*$AB$181</f>
        <v>24.8</v>
      </c>
      <c r="AW181">
        <f>$H$181*$AC$181</f>
        <v>24.8</v>
      </c>
      <c r="AX181">
        <f>$H$181*$AD$181</f>
        <v>24.8</v>
      </c>
      <c r="AY181">
        <f>$H$181*$AE$181</f>
        <v>24.8</v>
      </c>
      <c r="AZ181">
        <f>$H$181*$AF$181</f>
        <v>24.8</v>
      </c>
    </row>
    <row r="182" spans="1:52" x14ac:dyDescent="0.25">
      <c r="A182">
        <v>213</v>
      </c>
      <c r="B182" t="s">
        <v>242</v>
      </c>
      <c r="C182" t="s">
        <v>359</v>
      </c>
      <c r="D182">
        <v>12.75</v>
      </c>
      <c r="E182">
        <v>48.71</v>
      </c>
      <c r="F182" t="s">
        <v>280</v>
      </c>
      <c r="G182">
        <v>3.82</v>
      </c>
      <c r="H182">
        <v>58.45</v>
      </c>
      <c r="I182" t="s">
        <v>284</v>
      </c>
      <c r="J182" t="s">
        <v>360</v>
      </c>
      <c r="K182" t="s">
        <v>489</v>
      </c>
      <c r="L182" t="s">
        <v>174</v>
      </c>
      <c r="M182" t="s">
        <v>242</v>
      </c>
      <c r="N182" t="s">
        <v>12</v>
      </c>
      <c r="O182" t="s">
        <v>13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242</v>
      </c>
      <c r="AH182" t="s">
        <v>12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58.45</v>
      </c>
      <c r="AN182">
        <f>$H$182*$T$182</f>
        <v>58.45</v>
      </c>
      <c r="AO182">
        <f>$H$182*$U$182</f>
        <v>58.45</v>
      </c>
      <c r="AP182">
        <f>$H$182*$V$182</f>
        <v>58.45</v>
      </c>
      <c r="AQ182">
        <f>$H$182*$W$182</f>
        <v>58.45</v>
      </c>
      <c r="AR182">
        <f>$H$182*$X$182</f>
        <v>58.45</v>
      </c>
      <c r="AS182">
        <f>$H$182*$Y$182</f>
        <v>58.45</v>
      </c>
      <c r="AT182">
        <f>$H$182*$Z$182</f>
        <v>58.45</v>
      </c>
      <c r="AU182">
        <f>$H$182*$AA$182</f>
        <v>58.45</v>
      </c>
      <c r="AV182">
        <f>$H$182*$AB$182</f>
        <v>58.45</v>
      </c>
      <c r="AW182">
        <f>$H$182*$AC$182</f>
        <v>58.45</v>
      </c>
      <c r="AX182">
        <f>$H$182*$AD$182</f>
        <v>58.45</v>
      </c>
      <c r="AY182">
        <f>$H$182*$AE$182</f>
        <v>58.45</v>
      </c>
      <c r="AZ182">
        <f>$H$182*$AF$182</f>
        <v>58.45</v>
      </c>
    </row>
    <row r="183" spans="1:52" x14ac:dyDescent="0.25">
      <c r="A183">
        <v>214</v>
      </c>
      <c r="B183" t="s">
        <v>242</v>
      </c>
      <c r="C183" t="s">
        <v>357</v>
      </c>
      <c r="D183">
        <v>38.51</v>
      </c>
      <c r="E183">
        <v>129.38999999999999</v>
      </c>
      <c r="F183" t="s">
        <v>298</v>
      </c>
      <c r="G183">
        <v>3.36</v>
      </c>
      <c r="H183">
        <v>155.27000000000001</v>
      </c>
      <c r="I183" t="s">
        <v>309</v>
      </c>
      <c r="J183" t="s">
        <v>358</v>
      </c>
      <c r="K183" t="s">
        <v>488</v>
      </c>
      <c r="L183" t="s">
        <v>174</v>
      </c>
      <c r="M183" t="s">
        <v>242</v>
      </c>
      <c r="N183" t="s">
        <v>12</v>
      </c>
      <c r="O183" t="s">
        <v>13</v>
      </c>
      <c r="P183">
        <v>0</v>
      </c>
      <c r="Q183">
        <v>0</v>
      </c>
      <c r="R183">
        <v>0</v>
      </c>
      <c r="S183">
        <v>0.25</v>
      </c>
      <c r="T183">
        <v>0.25</v>
      </c>
      <c r="U183">
        <v>0.25</v>
      </c>
      <c r="V183">
        <v>0.25</v>
      </c>
      <c r="W183">
        <v>0.25</v>
      </c>
      <c r="X183">
        <v>0.5</v>
      </c>
      <c r="Y183">
        <v>0.5</v>
      </c>
      <c r="Z183">
        <v>0.5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242</v>
      </c>
      <c r="AH183" t="s">
        <v>12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38.817500000000003</v>
      </c>
      <c r="AN183">
        <f>$H$183*$T$183</f>
        <v>38.817500000000003</v>
      </c>
      <c r="AO183">
        <f>$H$183*$U$183</f>
        <v>38.817500000000003</v>
      </c>
      <c r="AP183">
        <f>$H$183*$V$183</f>
        <v>38.817500000000003</v>
      </c>
      <c r="AQ183">
        <f>$H$183*$W$183</f>
        <v>38.817500000000003</v>
      </c>
      <c r="AR183">
        <f>$H$183*$X$183</f>
        <v>77.635000000000005</v>
      </c>
      <c r="AS183">
        <f>$H$183*$Y$183</f>
        <v>77.635000000000005</v>
      </c>
      <c r="AT183">
        <f>$H$183*$Z$183</f>
        <v>77.635000000000005</v>
      </c>
      <c r="AU183">
        <f>$H$183*$AA$183</f>
        <v>155.27000000000001</v>
      </c>
      <c r="AV183">
        <f>$H$183*$AB$183</f>
        <v>155.27000000000001</v>
      </c>
      <c r="AW183">
        <f>$H$183*$AC$183</f>
        <v>155.27000000000001</v>
      </c>
      <c r="AX183">
        <f>$H$183*$AD$183</f>
        <v>155.27000000000001</v>
      </c>
      <c r="AY183">
        <f>$H$183*$AE$183</f>
        <v>155.27000000000001</v>
      </c>
      <c r="AZ183">
        <f>$H$183*$AF$183</f>
        <v>155.27000000000001</v>
      </c>
    </row>
    <row r="184" spans="1:52" x14ac:dyDescent="0.25">
      <c r="A184">
        <v>215</v>
      </c>
      <c r="B184" t="s">
        <v>242</v>
      </c>
      <c r="C184" t="s">
        <v>361</v>
      </c>
      <c r="D184">
        <v>38.51</v>
      </c>
      <c r="E184">
        <v>40.82</v>
      </c>
      <c r="F184" t="s">
        <v>298</v>
      </c>
      <c r="G184">
        <v>1.06</v>
      </c>
      <c r="H184">
        <v>48.98</v>
      </c>
      <c r="I184" t="s">
        <v>281</v>
      </c>
      <c r="J184" t="s">
        <v>362</v>
      </c>
      <c r="K184" t="s">
        <v>490</v>
      </c>
      <c r="L184" t="s">
        <v>174</v>
      </c>
      <c r="M184" t="s">
        <v>242</v>
      </c>
      <c r="N184" t="s">
        <v>12</v>
      </c>
      <c r="O184" t="s">
        <v>13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1</v>
      </c>
      <c r="AE184">
        <v>1</v>
      </c>
      <c r="AF184">
        <v>1</v>
      </c>
      <c r="AG184" t="s">
        <v>242</v>
      </c>
      <c r="AH184" t="s">
        <v>12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0</v>
      </c>
      <c r="AV184">
        <f>$H$184*$AB$184</f>
        <v>0</v>
      </c>
      <c r="AW184">
        <f>$H$184*$AC$184</f>
        <v>0</v>
      </c>
      <c r="AX184">
        <f>$H$184*$AD$184</f>
        <v>48.98</v>
      </c>
      <c r="AY184">
        <f>$H$184*$AE$184</f>
        <v>48.98</v>
      </c>
      <c r="AZ184">
        <f>$H$184*$AF$184</f>
        <v>48.98</v>
      </c>
    </row>
    <row r="185" spans="1:52" x14ac:dyDescent="0.25">
      <c r="A185">
        <v>216</v>
      </c>
      <c r="B185" t="s">
        <v>242</v>
      </c>
      <c r="C185" t="s">
        <v>363</v>
      </c>
      <c r="D185">
        <v>38.51</v>
      </c>
      <c r="E185">
        <v>43.13</v>
      </c>
      <c r="F185" t="s">
        <v>298</v>
      </c>
      <c r="G185">
        <v>1.1200000000000001</v>
      </c>
      <c r="H185">
        <v>51.75</v>
      </c>
      <c r="I185" t="s">
        <v>281</v>
      </c>
      <c r="J185" t="s">
        <v>364</v>
      </c>
      <c r="K185" t="s">
        <v>491</v>
      </c>
      <c r="L185" t="s">
        <v>174</v>
      </c>
      <c r="M185" t="s">
        <v>242</v>
      </c>
      <c r="N185" t="s">
        <v>12</v>
      </c>
      <c r="O185" t="s">
        <v>13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242</v>
      </c>
      <c r="AH185" t="s">
        <v>12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51.75</v>
      </c>
      <c r="AN185">
        <f>$H$185*$T$185</f>
        <v>51.75</v>
      </c>
      <c r="AO185">
        <f>$H$185*$U$185</f>
        <v>51.75</v>
      </c>
      <c r="AP185">
        <f>$H$185*$V$185</f>
        <v>51.75</v>
      </c>
      <c r="AQ185">
        <f>$H$185*$W$185</f>
        <v>51.75</v>
      </c>
      <c r="AR185">
        <f>$H$185*$X$185</f>
        <v>51.75</v>
      </c>
      <c r="AS185">
        <f>$H$185*$Y$185</f>
        <v>51.75</v>
      </c>
      <c r="AT185">
        <f>$H$185*$Z$185</f>
        <v>51.75</v>
      </c>
      <c r="AU185">
        <f>$H$185*$AA$185</f>
        <v>51.75</v>
      </c>
      <c r="AV185">
        <f>$H$185*$AB$185</f>
        <v>51.75</v>
      </c>
      <c r="AW185">
        <f>$H$185*$AC$185</f>
        <v>51.75</v>
      </c>
      <c r="AX185">
        <f>$H$185*$AD$185</f>
        <v>51.75</v>
      </c>
      <c r="AY185">
        <f>$H$185*$AE$185</f>
        <v>51.75</v>
      </c>
      <c r="AZ185">
        <f>$H$185*$AF$185</f>
        <v>51.75</v>
      </c>
    </row>
    <row r="186" spans="1:52" x14ac:dyDescent="0.25">
      <c r="A186">
        <v>217</v>
      </c>
      <c r="B186" t="s">
        <v>242</v>
      </c>
      <c r="C186" t="s">
        <v>365</v>
      </c>
      <c r="D186">
        <v>8.86</v>
      </c>
      <c r="E186">
        <v>26.4</v>
      </c>
      <c r="F186" t="s">
        <v>298</v>
      </c>
      <c r="G186">
        <v>2.98</v>
      </c>
      <c r="H186">
        <v>31.68</v>
      </c>
      <c r="I186" t="s">
        <v>366</v>
      </c>
      <c r="J186" t="s">
        <v>367</v>
      </c>
      <c r="K186" t="s">
        <v>492</v>
      </c>
      <c r="L186" t="s">
        <v>174</v>
      </c>
      <c r="M186" t="s">
        <v>242</v>
      </c>
      <c r="N186" t="s">
        <v>12</v>
      </c>
      <c r="O186" t="s">
        <v>13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242</v>
      </c>
      <c r="AH186" t="s">
        <v>12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31.68</v>
      </c>
      <c r="AN186">
        <f>$H$186*$T$186</f>
        <v>31.68</v>
      </c>
      <c r="AO186">
        <f>$H$186*$U$186</f>
        <v>31.68</v>
      </c>
      <c r="AP186">
        <f>$H$186*$V$186</f>
        <v>31.68</v>
      </c>
      <c r="AQ186">
        <f>$H$186*$W$186</f>
        <v>31.68</v>
      </c>
      <c r="AR186">
        <f>$H$186*$X$186</f>
        <v>31.68</v>
      </c>
      <c r="AS186">
        <f>$H$186*$Y$186</f>
        <v>31.68</v>
      </c>
      <c r="AT186">
        <f>$H$186*$Z$186</f>
        <v>31.68</v>
      </c>
      <c r="AU186">
        <f>$H$186*$AA$186</f>
        <v>31.68</v>
      </c>
      <c r="AV186">
        <f>$H$186*$AB$186</f>
        <v>31.68</v>
      </c>
      <c r="AW186">
        <f>$H$186*$AC$186</f>
        <v>31.68</v>
      </c>
      <c r="AX186">
        <f>$H$186*$AD$186</f>
        <v>31.68</v>
      </c>
      <c r="AY186">
        <f>$H$186*$AE$186</f>
        <v>31.68</v>
      </c>
      <c r="AZ186">
        <f>$H$186*$AF$186</f>
        <v>31.68</v>
      </c>
    </row>
    <row r="187" spans="1:52" x14ac:dyDescent="0.25">
      <c r="A187">
        <v>218</v>
      </c>
      <c r="B187" t="s">
        <v>242</v>
      </c>
      <c r="C187" t="s">
        <v>368</v>
      </c>
      <c r="D187">
        <v>35.43</v>
      </c>
      <c r="E187">
        <v>20.2</v>
      </c>
      <c r="F187" t="s">
        <v>298</v>
      </c>
      <c r="G187">
        <v>0.56999999999999995</v>
      </c>
      <c r="H187">
        <v>24.24</v>
      </c>
      <c r="I187" t="s">
        <v>369</v>
      </c>
      <c r="J187" t="s">
        <v>370</v>
      </c>
      <c r="K187" t="s">
        <v>493</v>
      </c>
      <c r="L187" t="s">
        <v>174</v>
      </c>
      <c r="M187" t="s">
        <v>242</v>
      </c>
      <c r="N187" t="s">
        <v>12</v>
      </c>
      <c r="O187" t="s">
        <v>13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242</v>
      </c>
      <c r="AH187" t="s">
        <v>12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24.24</v>
      </c>
      <c r="AN187">
        <f>$H$187*$T$187</f>
        <v>24.24</v>
      </c>
      <c r="AO187">
        <f>$H$187*$U$187</f>
        <v>24.24</v>
      </c>
      <c r="AP187">
        <f>$H$187*$V$187</f>
        <v>24.24</v>
      </c>
      <c r="AQ187">
        <f>$H$187*$W$187</f>
        <v>24.24</v>
      </c>
      <c r="AR187">
        <f>$H$187*$X$187</f>
        <v>24.24</v>
      </c>
      <c r="AS187">
        <f>$H$187*$Y$187</f>
        <v>24.24</v>
      </c>
      <c r="AT187">
        <f>$H$187*$Z$187</f>
        <v>24.24</v>
      </c>
      <c r="AU187">
        <f>$H$187*$AA$187</f>
        <v>24.24</v>
      </c>
      <c r="AV187">
        <f>$H$187*$AB$187</f>
        <v>24.24</v>
      </c>
      <c r="AW187">
        <f>$H$187*$AC$187</f>
        <v>24.24</v>
      </c>
      <c r="AX187">
        <f>$H$187*$AD$187</f>
        <v>24.24</v>
      </c>
      <c r="AY187">
        <f>$H$187*$AE$187</f>
        <v>24.24</v>
      </c>
      <c r="AZ187">
        <f>$H$187*$AF$187</f>
        <v>24.24</v>
      </c>
    </row>
    <row r="188" spans="1:52" x14ac:dyDescent="0.25">
      <c r="A188">
        <v>219</v>
      </c>
      <c r="B188" t="s">
        <v>242</v>
      </c>
      <c r="C188" t="s">
        <v>371</v>
      </c>
      <c r="D188">
        <v>35.43</v>
      </c>
      <c r="E188">
        <v>88.93</v>
      </c>
      <c r="F188" t="s">
        <v>298</v>
      </c>
      <c r="G188">
        <v>2.5099999999999998</v>
      </c>
      <c r="H188">
        <v>106.71</v>
      </c>
      <c r="I188" t="s">
        <v>369</v>
      </c>
      <c r="J188" t="s">
        <v>367</v>
      </c>
      <c r="K188" t="s">
        <v>494</v>
      </c>
      <c r="L188" t="s">
        <v>174</v>
      </c>
      <c r="M188" t="s">
        <v>242</v>
      </c>
      <c r="N188" t="s">
        <v>12</v>
      </c>
      <c r="O188" t="s">
        <v>13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242</v>
      </c>
      <c r="AH188" t="s">
        <v>12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106.71</v>
      </c>
      <c r="AN188">
        <f>$H$188*$T$188</f>
        <v>106.71</v>
      </c>
      <c r="AO188">
        <f>$H$188*$U$188</f>
        <v>106.71</v>
      </c>
      <c r="AP188">
        <f>$H$188*$V$188</f>
        <v>106.71</v>
      </c>
      <c r="AQ188">
        <f>$H$188*$W$188</f>
        <v>106.71</v>
      </c>
      <c r="AR188">
        <f>$H$188*$X$188</f>
        <v>106.71</v>
      </c>
      <c r="AS188">
        <f>$H$188*$Y$188</f>
        <v>106.71</v>
      </c>
      <c r="AT188">
        <f>$H$188*$Z$188</f>
        <v>106.71</v>
      </c>
      <c r="AU188">
        <f>$H$188*$AA$188</f>
        <v>106.71</v>
      </c>
      <c r="AV188">
        <f>$H$188*$AB$188</f>
        <v>106.71</v>
      </c>
      <c r="AW188">
        <f>$H$188*$AC$188</f>
        <v>106.71</v>
      </c>
      <c r="AX188">
        <f>$H$188*$AD$188</f>
        <v>106.71</v>
      </c>
      <c r="AY188">
        <f>$H$188*$AE$188</f>
        <v>106.71</v>
      </c>
      <c r="AZ188">
        <f>$H$188*$AF$188</f>
        <v>106.71</v>
      </c>
    </row>
    <row r="189" spans="1:52" x14ac:dyDescent="0.25">
      <c r="A189">
        <v>222</v>
      </c>
      <c r="B189" t="s">
        <v>448</v>
      </c>
      <c r="C189" t="s">
        <v>351</v>
      </c>
      <c r="D189">
        <v>1</v>
      </c>
      <c r="E189">
        <v>16.079999999999998</v>
      </c>
      <c r="F189" t="s">
        <v>285</v>
      </c>
      <c r="G189">
        <v>16.079999999999998</v>
      </c>
      <c r="H189">
        <v>19.3</v>
      </c>
      <c r="I189" t="s">
        <v>287</v>
      </c>
      <c r="J189" t="s">
        <v>352</v>
      </c>
      <c r="K189" t="s">
        <v>485</v>
      </c>
      <c r="L189" t="s">
        <v>174</v>
      </c>
      <c r="M189" t="s">
        <v>475</v>
      </c>
      <c r="N189" t="s">
        <v>12</v>
      </c>
      <c r="O189" t="s">
        <v>68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475</v>
      </c>
      <c r="AH189" t="s">
        <v>12</v>
      </c>
      <c r="AI189" t="s">
        <v>68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19.3</v>
      </c>
      <c r="AS189">
        <f>$H$189*$Y$189</f>
        <v>19.3</v>
      </c>
      <c r="AT189">
        <f>$H$189*$Z$189</f>
        <v>19.3</v>
      </c>
      <c r="AU189">
        <f>$H$189*$AA$189</f>
        <v>19.3</v>
      </c>
      <c r="AV189">
        <f>$H$189*$AB$189</f>
        <v>19.3</v>
      </c>
      <c r="AW189">
        <f>$H$189*$AC$189</f>
        <v>19.3</v>
      </c>
      <c r="AX189">
        <f>$H$189*$AD$189</f>
        <v>19.3</v>
      </c>
      <c r="AY189">
        <f>$H$189*$AE$189</f>
        <v>19.3</v>
      </c>
      <c r="AZ189">
        <f>$H$189*$AF$189</f>
        <v>19.3</v>
      </c>
    </row>
    <row r="190" spans="1:52" x14ac:dyDescent="0.25">
      <c r="A190">
        <v>223</v>
      </c>
      <c r="B190" t="s">
        <v>448</v>
      </c>
      <c r="C190" t="s">
        <v>378</v>
      </c>
      <c r="D190">
        <v>1</v>
      </c>
      <c r="E190">
        <v>37.28</v>
      </c>
      <c r="F190" t="s">
        <v>285</v>
      </c>
      <c r="G190">
        <v>37.28</v>
      </c>
      <c r="H190">
        <v>44.74</v>
      </c>
      <c r="I190" t="s">
        <v>287</v>
      </c>
      <c r="J190" t="s">
        <v>379</v>
      </c>
      <c r="K190" t="s">
        <v>498</v>
      </c>
      <c r="L190" t="s">
        <v>174</v>
      </c>
      <c r="M190" t="s">
        <v>475</v>
      </c>
      <c r="N190" t="s">
        <v>12</v>
      </c>
      <c r="O190" t="s">
        <v>68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0.6</v>
      </c>
      <c r="Y190">
        <v>0.6</v>
      </c>
      <c r="Z190">
        <v>0.6</v>
      </c>
      <c r="AA190">
        <v>0.6</v>
      </c>
      <c r="AB190">
        <v>0.6</v>
      </c>
      <c r="AC190">
        <v>0.6</v>
      </c>
      <c r="AD190">
        <v>1</v>
      </c>
      <c r="AE190">
        <v>1</v>
      </c>
      <c r="AF190">
        <v>1</v>
      </c>
      <c r="AG190" t="s">
        <v>475</v>
      </c>
      <c r="AH190" t="s">
        <v>12</v>
      </c>
      <c r="AI190" t="s">
        <v>68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26.844000000000001</v>
      </c>
      <c r="AS190">
        <f>$H$190*$Y$190</f>
        <v>26.844000000000001</v>
      </c>
      <c r="AT190">
        <f>$H$190*$Z$190</f>
        <v>26.844000000000001</v>
      </c>
      <c r="AU190">
        <f>$H$190*$AA$190</f>
        <v>26.844000000000001</v>
      </c>
      <c r="AV190">
        <f>$H$190*$AB$190</f>
        <v>26.844000000000001</v>
      </c>
      <c r="AW190">
        <f>$H$190*$AC$190</f>
        <v>26.844000000000001</v>
      </c>
      <c r="AX190">
        <f>$H$190*$AD$190</f>
        <v>44.74</v>
      </c>
      <c r="AY190">
        <f>$H$190*$AE$190</f>
        <v>44.74</v>
      </c>
      <c r="AZ190">
        <f>$H$190*$AF$190</f>
        <v>44.74</v>
      </c>
    </row>
    <row r="191" spans="1:52" x14ac:dyDescent="0.25">
      <c r="A191">
        <v>224</v>
      </c>
      <c r="B191" t="s">
        <v>448</v>
      </c>
      <c r="C191" t="s">
        <v>331</v>
      </c>
      <c r="D191">
        <v>1</v>
      </c>
      <c r="E191">
        <v>76.11</v>
      </c>
      <c r="F191" t="s">
        <v>285</v>
      </c>
      <c r="G191">
        <v>76.11</v>
      </c>
      <c r="H191">
        <v>91.33</v>
      </c>
      <c r="I191" t="s">
        <v>290</v>
      </c>
      <c r="J191" t="s">
        <v>332</v>
      </c>
      <c r="K191" t="s">
        <v>474</v>
      </c>
      <c r="L191" t="s">
        <v>174</v>
      </c>
      <c r="M191" t="s">
        <v>475</v>
      </c>
      <c r="N191" t="s">
        <v>12</v>
      </c>
      <c r="O191" t="s">
        <v>68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1</v>
      </c>
      <c r="AE191">
        <v>1</v>
      </c>
      <c r="AF191">
        <v>1</v>
      </c>
      <c r="AG191" t="s">
        <v>475</v>
      </c>
      <c r="AH191" t="s">
        <v>12</v>
      </c>
      <c r="AI191" t="s">
        <v>68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0</v>
      </c>
      <c r="AV191">
        <f>$H$191*$AB$191</f>
        <v>0</v>
      </c>
      <c r="AW191">
        <f>$H$191*$AC$191</f>
        <v>0</v>
      </c>
      <c r="AX191">
        <f>$H$191*$AD$191</f>
        <v>91.33</v>
      </c>
      <c r="AY191">
        <f>$H$191*$AE$191</f>
        <v>91.33</v>
      </c>
      <c r="AZ191">
        <f>$H$191*$AF$191</f>
        <v>91.33</v>
      </c>
    </row>
    <row r="192" spans="1:52" x14ac:dyDescent="0.25">
      <c r="A192">
        <v>233</v>
      </c>
      <c r="B192" t="s">
        <v>6</v>
      </c>
      <c r="C192" t="s">
        <v>286</v>
      </c>
      <c r="D192">
        <v>1</v>
      </c>
      <c r="E192">
        <v>44.87</v>
      </c>
      <c r="F192" t="s">
        <v>285</v>
      </c>
      <c r="G192">
        <v>44.87</v>
      </c>
      <c r="H192">
        <v>53.85</v>
      </c>
      <c r="I192" t="s">
        <v>287</v>
      </c>
      <c r="J192" t="s">
        <v>288</v>
      </c>
      <c r="K192" t="s">
        <v>454</v>
      </c>
      <c r="L192" t="s">
        <v>174</v>
      </c>
      <c r="M192" t="s">
        <v>6</v>
      </c>
      <c r="N192" t="s">
        <v>12</v>
      </c>
      <c r="O192" t="s">
        <v>6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 t="s">
        <v>6</v>
      </c>
      <c r="AH192" t="s">
        <v>12</v>
      </c>
      <c r="AI192" t="s">
        <v>6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0</v>
      </c>
      <c r="AT192">
        <f>$H$192*$Z$192</f>
        <v>0</v>
      </c>
      <c r="AU192">
        <f>$H$192*$AA$192</f>
        <v>0</v>
      </c>
      <c r="AV192">
        <f>$H$192*$AB$192</f>
        <v>0</v>
      </c>
      <c r="AW192">
        <f>$H$192*$AC$192</f>
        <v>0</v>
      </c>
      <c r="AX192">
        <f>$H$192*$AD$192</f>
        <v>53.85</v>
      </c>
      <c r="AY192">
        <f>$H$192*$AE$192</f>
        <v>53.85</v>
      </c>
      <c r="AZ192">
        <f>$H$192*$AF$192</f>
        <v>53.85</v>
      </c>
    </row>
    <row r="193" spans="1:52" x14ac:dyDescent="0.25">
      <c r="A193">
        <v>234</v>
      </c>
      <c r="B193" t="s">
        <v>6</v>
      </c>
      <c r="C193" t="s">
        <v>351</v>
      </c>
      <c r="D193">
        <v>1</v>
      </c>
      <c r="E193">
        <v>16.079999999999998</v>
      </c>
      <c r="F193" t="s">
        <v>285</v>
      </c>
      <c r="G193">
        <v>16.079999999999998</v>
      </c>
      <c r="H193">
        <v>19.3</v>
      </c>
      <c r="I193" t="s">
        <v>287</v>
      </c>
      <c r="J193" t="s">
        <v>352</v>
      </c>
      <c r="K193" t="s">
        <v>485</v>
      </c>
      <c r="L193" t="s">
        <v>174</v>
      </c>
      <c r="M193" t="s">
        <v>6</v>
      </c>
      <c r="N193" t="s">
        <v>12</v>
      </c>
      <c r="O193" t="s">
        <v>6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6</v>
      </c>
      <c r="AH193" t="s">
        <v>12</v>
      </c>
      <c r="AI193" t="s">
        <v>6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19.3</v>
      </c>
      <c r="AS193">
        <f>$H$193*$Y$193</f>
        <v>19.3</v>
      </c>
      <c r="AT193">
        <f>$H$193*$Z$193</f>
        <v>19.3</v>
      </c>
      <c r="AU193">
        <f>$H$193*$AA$193</f>
        <v>19.3</v>
      </c>
      <c r="AV193">
        <f>$H$193*$AB$193</f>
        <v>19.3</v>
      </c>
      <c r="AW193">
        <f>$H$193*$AC$193</f>
        <v>19.3</v>
      </c>
      <c r="AX193">
        <f>$H$193*$AD$193</f>
        <v>19.3</v>
      </c>
      <c r="AY193">
        <f>$H$193*$AE$193</f>
        <v>19.3</v>
      </c>
      <c r="AZ193">
        <f>$H$193*$AF$193</f>
        <v>19.3</v>
      </c>
    </row>
    <row r="194" spans="1:52" x14ac:dyDescent="0.25">
      <c r="A194">
        <v>235</v>
      </c>
      <c r="B194" t="s">
        <v>6</v>
      </c>
      <c r="C194" t="s">
        <v>353</v>
      </c>
      <c r="D194">
        <v>1</v>
      </c>
      <c r="E194">
        <v>55.73</v>
      </c>
      <c r="F194" t="s">
        <v>285</v>
      </c>
      <c r="G194">
        <v>55.73</v>
      </c>
      <c r="H194">
        <v>66.87</v>
      </c>
      <c r="I194" t="s">
        <v>290</v>
      </c>
      <c r="J194" t="s">
        <v>354</v>
      </c>
      <c r="K194" t="s">
        <v>486</v>
      </c>
      <c r="L194" t="s">
        <v>174</v>
      </c>
      <c r="M194" t="s">
        <v>6</v>
      </c>
      <c r="N194" t="s">
        <v>12</v>
      </c>
      <c r="O194" t="s">
        <v>6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1</v>
      </c>
      <c r="AE194">
        <v>1</v>
      </c>
      <c r="AF194">
        <v>1</v>
      </c>
      <c r="AG194" t="s">
        <v>6</v>
      </c>
      <c r="AH194" t="s">
        <v>12</v>
      </c>
      <c r="AI194" t="s">
        <v>6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0</v>
      </c>
      <c r="AV194">
        <f>$H$194*$AB$194</f>
        <v>0</v>
      </c>
      <c r="AW194">
        <f>$H$194*$AC$194</f>
        <v>0</v>
      </c>
      <c r="AX194">
        <f>$H$194*$AD$194</f>
        <v>66.87</v>
      </c>
      <c r="AY194">
        <f>$H$194*$AE$194</f>
        <v>66.87</v>
      </c>
      <c r="AZ194">
        <f>$H$194*$AF$194</f>
        <v>66.87</v>
      </c>
    </row>
    <row r="195" spans="1:52" x14ac:dyDescent="0.25">
      <c r="A195">
        <v>236</v>
      </c>
      <c r="B195" t="s">
        <v>6</v>
      </c>
      <c r="C195" t="s">
        <v>306</v>
      </c>
      <c r="D195">
        <v>297.33</v>
      </c>
      <c r="E195">
        <v>481.67</v>
      </c>
      <c r="F195" t="s">
        <v>298</v>
      </c>
      <c r="G195">
        <v>1.62</v>
      </c>
      <c r="H195">
        <v>578.01</v>
      </c>
      <c r="I195" t="s">
        <v>281</v>
      </c>
      <c r="J195" t="s">
        <v>307</v>
      </c>
      <c r="K195" t="s">
        <v>463</v>
      </c>
      <c r="L195" t="s">
        <v>174</v>
      </c>
      <c r="M195" t="s">
        <v>6</v>
      </c>
      <c r="N195" t="s">
        <v>12</v>
      </c>
      <c r="O195" t="s">
        <v>6</v>
      </c>
      <c r="P195">
        <v>0</v>
      </c>
      <c r="Q195">
        <v>0</v>
      </c>
      <c r="R195">
        <v>0</v>
      </c>
      <c r="S195">
        <v>0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6</v>
      </c>
      <c r="AH195" t="s">
        <v>12</v>
      </c>
      <c r="AI195" t="s">
        <v>6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578.01</v>
      </c>
      <c r="AO195">
        <f>$H$195*$U$195</f>
        <v>578.01</v>
      </c>
      <c r="AP195">
        <f>$H$195*$V$195</f>
        <v>578.01</v>
      </c>
      <c r="AQ195">
        <f>$H$195*$W$195</f>
        <v>578.01</v>
      </c>
      <c r="AR195">
        <f>$H$195*$X$195</f>
        <v>578.01</v>
      </c>
      <c r="AS195">
        <f>$H$195*$Y$195</f>
        <v>578.01</v>
      </c>
      <c r="AT195">
        <f>$H$195*$Z$195</f>
        <v>578.01</v>
      </c>
      <c r="AU195">
        <f>$H$195*$AA$195</f>
        <v>578.01</v>
      </c>
      <c r="AV195">
        <f>$H$195*$AB$195</f>
        <v>578.01</v>
      </c>
      <c r="AW195">
        <f>$H$195*$AC$195</f>
        <v>578.01</v>
      </c>
      <c r="AX195">
        <f>$H$195*$AD$195</f>
        <v>578.01</v>
      </c>
      <c r="AY195">
        <f>$H$195*$AE$195</f>
        <v>578.01</v>
      </c>
      <c r="AZ195">
        <f>$H$195*$AF$195</f>
        <v>578.01</v>
      </c>
    </row>
    <row r="196" spans="1:52" x14ac:dyDescent="0.25">
      <c r="A196">
        <v>237</v>
      </c>
      <c r="B196" t="s">
        <v>6</v>
      </c>
      <c r="C196" t="s">
        <v>357</v>
      </c>
      <c r="D196">
        <v>297.33</v>
      </c>
      <c r="E196">
        <v>999.03</v>
      </c>
      <c r="F196" t="s">
        <v>298</v>
      </c>
      <c r="G196">
        <v>3.36</v>
      </c>
      <c r="H196">
        <v>1198.83</v>
      </c>
      <c r="I196" t="s">
        <v>309</v>
      </c>
      <c r="J196" t="s">
        <v>358</v>
      </c>
      <c r="K196" t="s">
        <v>488</v>
      </c>
      <c r="L196" t="s">
        <v>174</v>
      </c>
      <c r="M196" t="s">
        <v>6</v>
      </c>
      <c r="N196" t="s">
        <v>12</v>
      </c>
      <c r="O196" t="s">
        <v>6</v>
      </c>
      <c r="P196">
        <v>0</v>
      </c>
      <c r="Q196">
        <v>0</v>
      </c>
      <c r="R196">
        <v>0</v>
      </c>
      <c r="S196">
        <v>0.25</v>
      </c>
      <c r="T196">
        <v>0.25</v>
      </c>
      <c r="U196">
        <v>0.25</v>
      </c>
      <c r="V196">
        <v>0.25</v>
      </c>
      <c r="W196">
        <v>0.25</v>
      </c>
      <c r="X196">
        <v>0.5</v>
      </c>
      <c r="Y196">
        <v>0.5</v>
      </c>
      <c r="Z196">
        <v>0.5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6</v>
      </c>
      <c r="AH196" t="s">
        <v>12</v>
      </c>
      <c r="AI196" t="s">
        <v>6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299.70749999999998</v>
      </c>
      <c r="AN196">
        <f>$H$196*$T$196</f>
        <v>299.70749999999998</v>
      </c>
      <c r="AO196">
        <f>$H$196*$U$196</f>
        <v>299.70749999999998</v>
      </c>
      <c r="AP196">
        <f>$H$196*$V$196</f>
        <v>299.70749999999998</v>
      </c>
      <c r="AQ196">
        <f>$H$196*$W$196</f>
        <v>299.70749999999998</v>
      </c>
      <c r="AR196">
        <f>$H$196*$X$196</f>
        <v>599.41499999999996</v>
      </c>
      <c r="AS196">
        <f>$H$196*$Y$196</f>
        <v>599.41499999999996</v>
      </c>
      <c r="AT196">
        <f>$H$196*$Z$196</f>
        <v>599.41499999999996</v>
      </c>
      <c r="AU196">
        <f>$H$196*$AA$196</f>
        <v>1198.83</v>
      </c>
      <c r="AV196">
        <f>$H$196*$AB$196</f>
        <v>1198.83</v>
      </c>
      <c r="AW196">
        <f>$H$196*$AC$196</f>
        <v>1198.83</v>
      </c>
      <c r="AX196">
        <f>$H$196*$AD$196</f>
        <v>1198.83</v>
      </c>
      <c r="AY196">
        <f>$H$196*$AE$196</f>
        <v>1198.83</v>
      </c>
      <c r="AZ196">
        <f>$H$196*$AF$196</f>
        <v>1198.83</v>
      </c>
    </row>
    <row r="197" spans="1:52" x14ac:dyDescent="0.25">
      <c r="A197">
        <v>238</v>
      </c>
      <c r="B197" t="s">
        <v>6</v>
      </c>
      <c r="C197" t="s">
        <v>359</v>
      </c>
      <c r="D197">
        <v>37.17</v>
      </c>
      <c r="E197">
        <v>141.99</v>
      </c>
      <c r="F197" t="s">
        <v>280</v>
      </c>
      <c r="G197">
        <v>3.82</v>
      </c>
      <c r="H197">
        <v>170.39</v>
      </c>
      <c r="I197" t="s">
        <v>284</v>
      </c>
      <c r="J197" t="s">
        <v>360</v>
      </c>
      <c r="K197" t="s">
        <v>489</v>
      </c>
      <c r="L197" t="s">
        <v>174</v>
      </c>
      <c r="M197" t="s">
        <v>6</v>
      </c>
      <c r="N197" t="s">
        <v>12</v>
      </c>
      <c r="O197" t="s">
        <v>6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6</v>
      </c>
      <c r="AH197" t="s">
        <v>12</v>
      </c>
      <c r="AI197" t="s">
        <v>6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170.39</v>
      </c>
      <c r="AN197">
        <f>$H$197*$T$197</f>
        <v>170.39</v>
      </c>
      <c r="AO197">
        <f>$H$197*$U$197</f>
        <v>170.39</v>
      </c>
      <c r="AP197">
        <f>$H$197*$V$197</f>
        <v>170.39</v>
      </c>
      <c r="AQ197">
        <f>$H$197*$W$197</f>
        <v>170.39</v>
      </c>
      <c r="AR197">
        <f>$H$197*$X$197</f>
        <v>170.39</v>
      </c>
      <c r="AS197">
        <f>$H$197*$Y$197</f>
        <v>170.39</v>
      </c>
      <c r="AT197">
        <f>$H$197*$Z$197</f>
        <v>170.39</v>
      </c>
      <c r="AU197">
        <f>$H$197*$AA$197</f>
        <v>170.39</v>
      </c>
      <c r="AV197">
        <f>$H$197*$AB$197</f>
        <v>170.39</v>
      </c>
      <c r="AW197">
        <f>$H$197*$AC$197</f>
        <v>170.39</v>
      </c>
      <c r="AX197">
        <f>$H$197*$AD$197</f>
        <v>170.39</v>
      </c>
      <c r="AY197">
        <f>$H$197*$AE$197</f>
        <v>170.39</v>
      </c>
      <c r="AZ197">
        <f>$H$197*$AF$197</f>
        <v>170.39</v>
      </c>
    </row>
    <row r="198" spans="1:52" x14ac:dyDescent="0.25">
      <c r="A198">
        <v>239</v>
      </c>
      <c r="B198" t="s">
        <v>6</v>
      </c>
      <c r="C198" t="s">
        <v>357</v>
      </c>
      <c r="D198">
        <v>57.44</v>
      </c>
      <c r="E198">
        <v>193</v>
      </c>
      <c r="F198" t="s">
        <v>298</v>
      </c>
      <c r="G198">
        <v>3.36</v>
      </c>
      <c r="H198">
        <v>231.6</v>
      </c>
      <c r="I198" t="s">
        <v>309</v>
      </c>
      <c r="J198" t="s">
        <v>358</v>
      </c>
      <c r="K198" t="s">
        <v>488</v>
      </c>
      <c r="L198" t="s">
        <v>174</v>
      </c>
      <c r="M198" t="s">
        <v>6</v>
      </c>
      <c r="N198" t="s">
        <v>12</v>
      </c>
      <c r="O198" t="s">
        <v>6</v>
      </c>
      <c r="P198">
        <v>0</v>
      </c>
      <c r="Q198">
        <v>0</v>
      </c>
      <c r="R198">
        <v>0</v>
      </c>
      <c r="S198">
        <v>0.25</v>
      </c>
      <c r="T198">
        <v>0.25</v>
      </c>
      <c r="U198">
        <v>0.25</v>
      </c>
      <c r="V198">
        <v>0.25</v>
      </c>
      <c r="W198">
        <v>0.25</v>
      </c>
      <c r="X198">
        <v>0.5</v>
      </c>
      <c r="Y198">
        <v>0.5</v>
      </c>
      <c r="Z198">
        <v>0.5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6</v>
      </c>
      <c r="AH198" t="s">
        <v>12</v>
      </c>
      <c r="AI198" t="s">
        <v>6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57.9</v>
      </c>
      <c r="AN198">
        <f>$H$198*$T$198</f>
        <v>57.9</v>
      </c>
      <c r="AO198">
        <f>$H$198*$U$198</f>
        <v>57.9</v>
      </c>
      <c r="AP198">
        <f>$H$198*$V$198</f>
        <v>57.9</v>
      </c>
      <c r="AQ198">
        <f>$H$198*$W$198</f>
        <v>57.9</v>
      </c>
      <c r="AR198">
        <f>$H$198*$X$198</f>
        <v>115.8</v>
      </c>
      <c r="AS198">
        <f>$H$198*$Y$198</f>
        <v>115.8</v>
      </c>
      <c r="AT198">
        <f>$H$198*$Z$198</f>
        <v>115.8</v>
      </c>
      <c r="AU198">
        <f>$H$198*$AA$198</f>
        <v>231.6</v>
      </c>
      <c r="AV198">
        <f>$H$198*$AB$198</f>
        <v>231.6</v>
      </c>
      <c r="AW198">
        <f>$H$198*$AC$198</f>
        <v>231.6</v>
      </c>
      <c r="AX198">
        <f>$H$198*$AD$198</f>
        <v>231.6</v>
      </c>
      <c r="AY198">
        <f>$H$198*$AE$198</f>
        <v>231.6</v>
      </c>
      <c r="AZ198">
        <f>$H$198*$AF$198</f>
        <v>231.6</v>
      </c>
    </row>
    <row r="199" spans="1:52" x14ac:dyDescent="0.25">
      <c r="A199">
        <v>240</v>
      </c>
      <c r="B199" t="s">
        <v>6</v>
      </c>
      <c r="C199" t="s">
        <v>361</v>
      </c>
      <c r="D199">
        <v>57.44</v>
      </c>
      <c r="E199">
        <v>60.89</v>
      </c>
      <c r="F199" t="s">
        <v>298</v>
      </c>
      <c r="G199">
        <v>1.06</v>
      </c>
      <c r="H199">
        <v>73.069999999999993</v>
      </c>
      <c r="I199" t="s">
        <v>281</v>
      </c>
      <c r="J199" t="s">
        <v>362</v>
      </c>
      <c r="K199" t="s">
        <v>490</v>
      </c>
      <c r="L199" t="s">
        <v>174</v>
      </c>
      <c r="M199" t="s">
        <v>6</v>
      </c>
      <c r="N199" t="s">
        <v>12</v>
      </c>
      <c r="O199" t="s">
        <v>6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1</v>
      </c>
      <c r="AE199">
        <v>1</v>
      </c>
      <c r="AF199">
        <v>1</v>
      </c>
      <c r="AG199" t="s">
        <v>6</v>
      </c>
      <c r="AH199" t="s">
        <v>12</v>
      </c>
      <c r="AI199" t="s">
        <v>6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0</v>
      </c>
      <c r="AV199">
        <f>$H$199*$AB$199</f>
        <v>0</v>
      </c>
      <c r="AW199">
        <f>$H$199*$AC$199</f>
        <v>0</v>
      </c>
      <c r="AX199">
        <f>$H$199*$AD$199</f>
        <v>73.069999999999993</v>
      </c>
      <c r="AY199">
        <f>$H$199*$AE$199</f>
        <v>73.069999999999993</v>
      </c>
      <c r="AZ199">
        <f>$H$199*$AF$199</f>
        <v>73.069999999999993</v>
      </c>
    </row>
    <row r="200" spans="1:52" x14ac:dyDescent="0.25">
      <c r="A200">
        <v>241</v>
      </c>
      <c r="B200" t="s">
        <v>6</v>
      </c>
      <c r="C200" t="s">
        <v>363</v>
      </c>
      <c r="D200">
        <v>57.44</v>
      </c>
      <c r="E200">
        <v>64.33</v>
      </c>
      <c r="F200" t="s">
        <v>298</v>
      </c>
      <c r="G200">
        <v>1.1200000000000001</v>
      </c>
      <c r="H200">
        <v>77.19</v>
      </c>
      <c r="I200" t="s">
        <v>281</v>
      </c>
      <c r="J200" t="s">
        <v>364</v>
      </c>
      <c r="K200" t="s">
        <v>491</v>
      </c>
      <c r="L200" t="s">
        <v>174</v>
      </c>
      <c r="M200" t="s">
        <v>6</v>
      </c>
      <c r="N200" t="s">
        <v>12</v>
      </c>
      <c r="O200" t="s">
        <v>6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6</v>
      </c>
      <c r="AH200" t="s">
        <v>12</v>
      </c>
      <c r="AI200" t="s">
        <v>6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77.19</v>
      </c>
      <c r="AN200">
        <f>$H$200*$T$200</f>
        <v>77.19</v>
      </c>
      <c r="AO200">
        <f>$H$200*$U$200</f>
        <v>77.19</v>
      </c>
      <c r="AP200">
        <f>$H$200*$V$200</f>
        <v>77.19</v>
      </c>
      <c r="AQ200">
        <f>$H$200*$W$200</f>
        <v>77.19</v>
      </c>
      <c r="AR200">
        <f>$H$200*$X$200</f>
        <v>77.19</v>
      </c>
      <c r="AS200">
        <f>$H$200*$Y$200</f>
        <v>77.19</v>
      </c>
      <c r="AT200">
        <f>$H$200*$Z$200</f>
        <v>77.19</v>
      </c>
      <c r="AU200">
        <f>$H$200*$AA$200</f>
        <v>77.19</v>
      </c>
      <c r="AV200">
        <f>$H$200*$AB$200</f>
        <v>77.19</v>
      </c>
      <c r="AW200">
        <f>$H$200*$AC$200</f>
        <v>77.19</v>
      </c>
      <c r="AX200">
        <f>$H$200*$AD$200</f>
        <v>77.19</v>
      </c>
      <c r="AY200">
        <f>$H$200*$AE$200</f>
        <v>77.19</v>
      </c>
      <c r="AZ200">
        <f>$H$200*$AF$200</f>
        <v>77.19</v>
      </c>
    </row>
    <row r="201" spans="1:52" x14ac:dyDescent="0.25">
      <c r="A201">
        <v>242</v>
      </c>
      <c r="B201" t="s">
        <v>6</v>
      </c>
      <c r="C201" t="s">
        <v>365</v>
      </c>
      <c r="D201">
        <v>13.21</v>
      </c>
      <c r="E201">
        <v>39.369999999999997</v>
      </c>
      <c r="F201" t="s">
        <v>298</v>
      </c>
      <c r="G201">
        <v>2.98</v>
      </c>
      <c r="H201">
        <v>47.25</v>
      </c>
      <c r="I201" t="s">
        <v>366</v>
      </c>
      <c r="J201" t="s">
        <v>367</v>
      </c>
      <c r="K201" t="s">
        <v>492</v>
      </c>
      <c r="L201" t="s">
        <v>174</v>
      </c>
      <c r="M201" t="s">
        <v>6</v>
      </c>
      <c r="N201" t="s">
        <v>12</v>
      </c>
      <c r="O201" t="s">
        <v>6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6</v>
      </c>
      <c r="AH201" t="s">
        <v>12</v>
      </c>
      <c r="AI201" t="s">
        <v>6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47.25</v>
      </c>
      <c r="AN201">
        <f>$H$201*$T$201</f>
        <v>47.25</v>
      </c>
      <c r="AO201">
        <f>$H$201*$U$201</f>
        <v>47.25</v>
      </c>
      <c r="AP201">
        <f>$H$201*$V$201</f>
        <v>47.25</v>
      </c>
      <c r="AQ201">
        <f>$H$201*$W$201</f>
        <v>47.25</v>
      </c>
      <c r="AR201">
        <f>$H$201*$X$201</f>
        <v>47.25</v>
      </c>
      <c r="AS201">
        <f>$H$201*$Y$201</f>
        <v>47.25</v>
      </c>
      <c r="AT201">
        <f>$H$201*$Z$201</f>
        <v>47.25</v>
      </c>
      <c r="AU201">
        <f>$H$201*$AA$201</f>
        <v>47.25</v>
      </c>
      <c r="AV201">
        <f>$H$201*$AB$201</f>
        <v>47.25</v>
      </c>
      <c r="AW201">
        <f>$H$201*$AC$201</f>
        <v>47.25</v>
      </c>
      <c r="AX201">
        <f>$H$201*$AD$201</f>
        <v>47.25</v>
      </c>
      <c r="AY201">
        <f>$H$201*$AE$201</f>
        <v>47.25</v>
      </c>
      <c r="AZ201">
        <f>$H$201*$AF$201</f>
        <v>47.25</v>
      </c>
    </row>
    <row r="202" spans="1:52" x14ac:dyDescent="0.25">
      <c r="A202">
        <v>243</v>
      </c>
      <c r="B202" t="s">
        <v>6</v>
      </c>
      <c r="C202" t="s">
        <v>368</v>
      </c>
      <c r="D202">
        <v>52.85</v>
      </c>
      <c r="E202">
        <v>30.12</v>
      </c>
      <c r="F202" t="s">
        <v>298</v>
      </c>
      <c r="G202">
        <v>0.56999999999999995</v>
      </c>
      <c r="H202">
        <v>36.14</v>
      </c>
      <c r="I202" t="s">
        <v>369</v>
      </c>
      <c r="J202" t="s">
        <v>370</v>
      </c>
      <c r="K202" t="s">
        <v>493</v>
      </c>
      <c r="L202" t="s">
        <v>174</v>
      </c>
      <c r="M202" t="s">
        <v>6</v>
      </c>
      <c r="N202" t="s">
        <v>12</v>
      </c>
      <c r="O202" t="s">
        <v>6</v>
      </c>
      <c r="P202">
        <v>0</v>
      </c>
      <c r="Q202">
        <v>0</v>
      </c>
      <c r="R202">
        <v>0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6</v>
      </c>
      <c r="AH202" t="s">
        <v>12</v>
      </c>
      <c r="AI202" t="s">
        <v>6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36.14</v>
      </c>
      <c r="AN202">
        <f>$H$202*$T$202</f>
        <v>36.14</v>
      </c>
      <c r="AO202">
        <f>$H$202*$U$202</f>
        <v>36.14</v>
      </c>
      <c r="AP202">
        <f>$H$202*$V$202</f>
        <v>36.14</v>
      </c>
      <c r="AQ202">
        <f>$H$202*$W$202</f>
        <v>36.14</v>
      </c>
      <c r="AR202">
        <f>$H$202*$X$202</f>
        <v>36.14</v>
      </c>
      <c r="AS202">
        <f>$H$202*$Y$202</f>
        <v>36.14</v>
      </c>
      <c r="AT202">
        <f>$H$202*$Z$202</f>
        <v>36.14</v>
      </c>
      <c r="AU202">
        <f>$H$202*$AA$202</f>
        <v>36.14</v>
      </c>
      <c r="AV202">
        <f>$H$202*$AB$202</f>
        <v>36.14</v>
      </c>
      <c r="AW202">
        <f>$H$202*$AC$202</f>
        <v>36.14</v>
      </c>
      <c r="AX202">
        <f>$H$202*$AD$202</f>
        <v>36.14</v>
      </c>
      <c r="AY202">
        <f>$H$202*$AE$202</f>
        <v>36.14</v>
      </c>
      <c r="AZ202">
        <f>$H$202*$AF$202</f>
        <v>36.14</v>
      </c>
    </row>
    <row r="203" spans="1:52" x14ac:dyDescent="0.25">
      <c r="A203">
        <v>244</v>
      </c>
      <c r="B203" t="s">
        <v>6</v>
      </c>
      <c r="C203" t="s">
        <v>371</v>
      </c>
      <c r="D203">
        <v>52.85</v>
      </c>
      <c r="E203">
        <v>132.65</v>
      </c>
      <c r="F203" t="s">
        <v>298</v>
      </c>
      <c r="G203">
        <v>2.5099999999999998</v>
      </c>
      <c r="H203">
        <v>159.19</v>
      </c>
      <c r="I203" t="s">
        <v>369</v>
      </c>
      <c r="J203" t="s">
        <v>367</v>
      </c>
      <c r="K203" t="s">
        <v>494</v>
      </c>
      <c r="L203" t="s">
        <v>174</v>
      </c>
      <c r="M203" t="s">
        <v>6</v>
      </c>
      <c r="N203" t="s">
        <v>12</v>
      </c>
      <c r="O203" t="s">
        <v>6</v>
      </c>
      <c r="P203">
        <v>0</v>
      </c>
      <c r="Q203">
        <v>0</v>
      </c>
      <c r="R203">
        <v>0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6</v>
      </c>
      <c r="AH203" t="s">
        <v>12</v>
      </c>
      <c r="AI203" t="s">
        <v>6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159.19</v>
      </c>
      <c r="AN203">
        <f>$H$203*$T$203</f>
        <v>159.19</v>
      </c>
      <c r="AO203">
        <f>$H$203*$U$203</f>
        <v>159.19</v>
      </c>
      <c r="AP203">
        <f>$H$203*$V$203</f>
        <v>159.19</v>
      </c>
      <c r="AQ203">
        <f>$H$203*$W$203</f>
        <v>159.19</v>
      </c>
      <c r="AR203">
        <f>$H$203*$X$203</f>
        <v>159.19</v>
      </c>
      <c r="AS203">
        <f>$H$203*$Y$203</f>
        <v>159.19</v>
      </c>
      <c r="AT203">
        <f>$H$203*$Z$203</f>
        <v>159.19</v>
      </c>
      <c r="AU203">
        <f>$H$203*$AA$203</f>
        <v>159.19</v>
      </c>
      <c r="AV203">
        <f>$H$203*$AB$203</f>
        <v>159.19</v>
      </c>
      <c r="AW203">
        <f>$H$203*$AC$203</f>
        <v>159.19</v>
      </c>
      <c r="AX203">
        <f>$H$203*$AD$203</f>
        <v>159.19</v>
      </c>
      <c r="AY203">
        <f>$H$203*$AE$203</f>
        <v>159.19</v>
      </c>
      <c r="AZ203">
        <f>$H$203*$AF$203</f>
        <v>159.19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9"/>
  <sheetViews>
    <sheetView workbookViewId="0">
      <selection activeCell="F17" sqref="F17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95" t="s">
        <v>8</v>
      </c>
      <c r="B1" s="96" t="s">
        <v>16</v>
      </c>
      <c r="C1" s="94"/>
      <c r="D1" s="97" t="s">
        <v>9</v>
      </c>
      <c r="E1" s="93" t="s">
        <v>95</v>
      </c>
      <c r="F1" s="10" t="s">
        <v>96</v>
      </c>
      <c r="G1" s="10" t="s">
        <v>97</v>
      </c>
      <c r="H1" s="10" t="s">
        <v>98</v>
      </c>
      <c r="I1" s="10" t="s">
        <v>99</v>
      </c>
      <c r="J1" s="10" t="s">
        <v>100</v>
      </c>
    </row>
    <row r="2" spans="1:10" x14ac:dyDescent="0.25">
      <c r="A2" t="s">
        <v>246</v>
      </c>
      <c r="B2">
        <v>33.6</v>
      </c>
      <c r="D2" t="s">
        <v>534</v>
      </c>
      <c r="E2">
        <v>6</v>
      </c>
      <c r="F2">
        <v>10</v>
      </c>
      <c r="G2">
        <v>4</v>
      </c>
      <c r="H2">
        <v>11</v>
      </c>
      <c r="I2">
        <v>8</v>
      </c>
      <c r="J2">
        <v>0</v>
      </c>
    </row>
    <row r="3" spans="1:10" x14ac:dyDescent="0.25">
      <c r="A3" t="s">
        <v>244</v>
      </c>
      <c r="B3">
        <v>95.06</v>
      </c>
      <c r="D3" t="s">
        <v>535</v>
      </c>
      <c r="E3">
        <v>9</v>
      </c>
      <c r="F3">
        <v>9</v>
      </c>
      <c r="G3">
        <v>9</v>
      </c>
      <c r="H3">
        <v>9</v>
      </c>
      <c r="I3">
        <v>8</v>
      </c>
      <c r="J3">
        <v>0</v>
      </c>
    </row>
    <row r="4" spans="1:10" x14ac:dyDescent="0.25">
      <c r="A4" t="s">
        <v>7</v>
      </c>
      <c r="B4">
        <v>104.81</v>
      </c>
      <c r="D4" t="s">
        <v>536</v>
      </c>
      <c r="E4">
        <v>10</v>
      </c>
      <c r="F4">
        <v>9</v>
      </c>
      <c r="G4">
        <v>9</v>
      </c>
      <c r="H4">
        <v>9</v>
      </c>
      <c r="I4">
        <v>8</v>
      </c>
      <c r="J4">
        <v>0</v>
      </c>
    </row>
    <row r="5" spans="1:10" x14ac:dyDescent="0.25">
      <c r="A5" t="s">
        <v>5</v>
      </c>
      <c r="B5">
        <v>45.69</v>
      </c>
      <c r="D5" t="s">
        <v>537</v>
      </c>
      <c r="E5">
        <v>7</v>
      </c>
      <c r="F5">
        <v>10</v>
      </c>
      <c r="G5">
        <v>5</v>
      </c>
      <c r="H5">
        <v>10</v>
      </c>
      <c r="I5">
        <v>8</v>
      </c>
      <c r="J5">
        <v>0</v>
      </c>
    </row>
    <row r="6" spans="1:10" x14ac:dyDescent="0.25">
      <c r="A6" t="s">
        <v>245</v>
      </c>
      <c r="B6">
        <v>206.6</v>
      </c>
      <c r="D6" t="s">
        <v>538</v>
      </c>
      <c r="E6">
        <v>17</v>
      </c>
      <c r="F6">
        <v>7</v>
      </c>
      <c r="G6">
        <v>11</v>
      </c>
      <c r="H6">
        <v>9</v>
      </c>
      <c r="I6">
        <v>8</v>
      </c>
      <c r="J6">
        <v>0</v>
      </c>
    </row>
    <row r="7" spans="1:10" x14ac:dyDescent="0.25">
      <c r="A7" t="s">
        <v>242</v>
      </c>
      <c r="B7">
        <v>38.51</v>
      </c>
      <c r="D7" t="s">
        <v>539</v>
      </c>
      <c r="E7">
        <v>7</v>
      </c>
      <c r="F7">
        <v>10</v>
      </c>
      <c r="G7">
        <v>4</v>
      </c>
      <c r="H7">
        <v>11</v>
      </c>
      <c r="I7">
        <v>8</v>
      </c>
      <c r="J7">
        <v>0</v>
      </c>
    </row>
    <row r="8" spans="1:10" x14ac:dyDescent="0.25">
      <c r="A8" t="s">
        <v>6</v>
      </c>
      <c r="B8">
        <v>57.44</v>
      </c>
      <c r="D8" t="s">
        <v>540</v>
      </c>
      <c r="E8">
        <v>14</v>
      </c>
      <c r="F8">
        <v>8</v>
      </c>
      <c r="G8">
        <v>3</v>
      </c>
      <c r="H8">
        <v>11</v>
      </c>
      <c r="I8">
        <v>8</v>
      </c>
      <c r="J8">
        <v>0</v>
      </c>
    </row>
    <row r="9" spans="1:10" x14ac:dyDescent="0.25">
      <c r="A9" t="s">
        <v>4</v>
      </c>
      <c r="B9">
        <v>95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workbookViewId="0">
      <selection activeCell="G10" sqref="G10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384" width="9.140625" style="1"/>
  </cols>
  <sheetData>
    <row r="1" spans="1:16" x14ac:dyDescent="0.25">
      <c r="A1" s="135" t="s">
        <v>0</v>
      </c>
      <c r="B1" s="135"/>
      <c r="C1" s="135"/>
      <c r="D1" s="135"/>
      <c r="E1" s="135"/>
      <c r="F1" s="62" t="s">
        <v>101</v>
      </c>
      <c r="G1" s="138" t="s">
        <v>53</v>
      </c>
      <c r="H1" s="139"/>
      <c r="I1" s="139"/>
      <c r="J1" s="139"/>
      <c r="K1" s="139"/>
      <c r="L1" s="139"/>
      <c r="M1" s="139"/>
      <c r="N1" s="139"/>
      <c r="O1" s="139"/>
    </row>
    <row r="2" spans="1:16" ht="52.5" customHeight="1" x14ac:dyDescent="0.25">
      <c r="A2" s="70"/>
      <c r="B2" s="137"/>
      <c r="C2" s="137"/>
      <c r="D2" s="136" t="str">
        <f>Home!F22</f>
        <v>david.sol at 2023-09-07 15:40</v>
      </c>
      <c r="E2" s="136"/>
      <c r="F2" s="49" t="b">
        <f>Home!E22</f>
        <v>1</v>
      </c>
      <c r="G2" s="101" t="s">
        <v>58</v>
      </c>
      <c r="H2" s="101" t="s">
        <v>45</v>
      </c>
      <c r="I2" s="101" t="s">
        <v>46</v>
      </c>
      <c r="J2" s="103" t="s">
        <v>47</v>
      </c>
      <c r="K2" s="101" t="s">
        <v>48</v>
      </c>
      <c r="L2" s="102" t="s">
        <v>143</v>
      </c>
      <c r="M2" s="102" t="s">
        <v>144</v>
      </c>
      <c r="N2" s="102" t="s">
        <v>145</v>
      </c>
      <c r="O2" s="102" t="s">
        <v>149</v>
      </c>
    </row>
    <row r="3" spans="1:16" x14ac:dyDescent="0.25">
      <c r="A3" s="46"/>
      <c r="B3" s="46"/>
      <c r="C3" s="46"/>
      <c r="D3" s="47"/>
      <c r="E3" s="48"/>
      <c r="F3" s="47"/>
      <c r="G3" s="65" t="s">
        <v>460</v>
      </c>
      <c r="H3" s="66" t="s">
        <v>184</v>
      </c>
      <c r="I3" s="66" t="s">
        <v>184</v>
      </c>
      <c r="J3" s="65" t="s">
        <v>26</v>
      </c>
      <c r="K3" s="65" t="s">
        <v>67</v>
      </c>
      <c r="L3" s="65"/>
      <c r="M3" s="65" t="s">
        <v>184</v>
      </c>
      <c r="N3" s="107" t="s">
        <v>184</v>
      </c>
      <c r="O3" s="107" t="s">
        <v>184</v>
      </c>
    </row>
    <row r="4" spans="1:16" x14ac:dyDescent="0.25">
      <c r="A4" s="46"/>
      <c r="B4" s="46"/>
      <c r="C4" s="46"/>
      <c r="D4" s="1"/>
      <c r="E4" s="1"/>
      <c r="G4" s="65" t="s">
        <v>452</v>
      </c>
      <c r="H4" s="66" t="s">
        <v>184</v>
      </c>
      <c r="I4" s="66">
        <v>83.612700000000004</v>
      </c>
      <c r="J4" s="65" t="s">
        <v>27</v>
      </c>
      <c r="K4" s="65" t="s">
        <v>66</v>
      </c>
      <c r="L4" s="65"/>
      <c r="M4" s="65" t="s">
        <v>147</v>
      </c>
      <c r="N4" s="107">
        <v>35</v>
      </c>
      <c r="O4" s="107">
        <v>2926.4445000000001</v>
      </c>
    </row>
    <row r="5" spans="1:16" x14ac:dyDescent="0.25">
      <c r="A5" s="41"/>
      <c r="B5" s="41"/>
      <c r="C5" s="41"/>
      <c r="D5" s="41"/>
      <c r="E5" s="41"/>
      <c r="G5" s="65" t="s">
        <v>475</v>
      </c>
      <c r="H5" s="66" t="s">
        <v>184</v>
      </c>
      <c r="I5" s="66" t="s">
        <v>184</v>
      </c>
      <c r="J5" s="65" t="s">
        <v>12</v>
      </c>
      <c r="K5" s="65" t="s">
        <v>68</v>
      </c>
      <c r="L5" s="65"/>
      <c r="M5" s="65" t="s">
        <v>184</v>
      </c>
      <c r="N5" s="107" t="s">
        <v>184</v>
      </c>
      <c r="O5" s="107" t="s">
        <v>184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246</v>
      </c>
      <c r="H6" s="65">
        <v>33.6</v>
      </c>
      <c r="I6" s="65">
        <v>3.12</v>
      </c>
      <c r="J6" s="65" t="s">
        <v>12</v>
      </c>
      <c r="K6" s="65" t="s">
        <v>15</v>
      </c>
      <c r="L6" s="65" t="s">
        <v>541</v>
      </c>
      <c r="M6" s="65" t="s">
        <v>142</v>
      </c>
      <c r="N6" s="107">
        <v>138</v>
      </c>
      <c r="O6" s="107">
        <v>430.56</v>
      </c>
      <c r="P6" s="112"/>
    </row>
    <row r="7" spans="1:16" x14ac:dyDescent="0.25">
      <c r="A7" s="2" t="s">
        <v>17</v>
      </c>
      <c r="B7" s="67">
        <v>900</v>
      </c>
      <c r="C7" s="69">
        <v>83.61</v>
      </c>
      <c r="D7" s="1"/>
      <c r="E7" s="1"/>
      <c r="G7" s="65" t="s">
        <v>244</v>
      </c>
      <c r="H7" s="65">
        <v>95.06</v>
      </c>
      <c r="I7" s="65">
        <v>8.83</v>
      </c>
      <c r="J7" s="65" t="s">
        <v>12</v>
      </c>
      <c r="K7" s="65" t="s">
        <v>4</v>
      </c>
      <c r="L7" s="65" t="s">
        <v>542</v>
      </c>
      <c r="M7" s="65" t="s">
        <v>142</v>
      </c>
      <c r="N7" s="107">
        <v>138</v>
      </c>
      <c r="O7" s="107">
        <v>1218.54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7</v>
      </c>
      <c r="H8" s="65">
        <v>104.81</v>
      </c>
      <c r="I8" s="65">
        <v>9.74</v>
      </c>
      <c r="J8" s="65" t="s">
        <v>12</v>
      </c>
      <c r="K8" s="65" t="s">
        <v>7</v>
      </c>
      <c r="L8" s="65" t="s">
        <v>543</v>
      </c>
      <c r="M8" s="65" t="s">
        <v>146</v>
      </c>
      <c r="N8" s="107">
        <v>285</v>
      </c>
      <c r="O8" s="107">
        <v>2775.9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4</v>
      </c>
      <c r="H9" s="65">
        <v>95</v>
      </c>
      <c r="I9" s="65">
        <v>8.83</v>
      </c>
      <c r="J9" s="65" t="s">
        <v>12</v>
      </c>
      <c r="K9" s="65" t="s">
        <v>4</v>
      </c>
      <c r="L9" s="65" t="s">
        <v>542</v>
      </c>
      <c r="M9" s="65" t="s">
        <v>142</v>
      </c>
      <c r="N9" s="107">
        <v>138</v>
      </c>
      <c r="O9" s="107">
        <v>1218.54</v>
      </c>
    </row>
    <row r="10" spans="1:16" x14ac:dyDescent="0.25">
      <c r="A10" s="124" t="s">
        <v>116</v>
      </c>
      <c r="B10" s="68" t="s">
        <v>11</v>
      </c>
      <c r="C10" s="1"/>
      <c r="D10" s="1"/>
      <c r="E10" s="1"/>
      <c r="G10" s="65" t="s">
        <v>5</v>
      </c>
      <c r="H10" s="65">
        <v>45.69</v>
      </c>
      <c r="I10" s="65">
        <v>4.24</v>
      </c>
      <c r="J10" s="65" t="s">
        <v>12</v>
      </c>
      <c r="K10" s="65" t="s">
        <v>5</v>
      </c>
      <c r="L10" s="65" t="s">
        <v>544</v>
      </c>
      <c r="M10" s="65" t="s">
        <v>142</v>
      </c>
      <c r="N10" s="107">
        <v>138</v>
      </c>
      <c r="O10" s="107">
        <v>585.12</v>
      </c>
    </row>
    <row r="11" spans="1:16" x14ac:dyDescent="0.25">
      <c r="A11" s="1" t="s">
        <v>57</v>
      </c>
      <c r="B11" s="42">
        <f>C14</f>
        <v>900</v>
      </c>
      <c r="C11" s="42">
        <f>C16</f>
        <v>83.612700000000004</v>
      </c>
      <c r="D11" s="1"/>
      <c r="E11" s="1"/>
      <c r="G11" s="65" t="s">
        <v>245</v>
      </c>
      <c r="H11" s="65">
        <v>206.6</v>
      </c>
      <c r="I11" s="65">
        <v>19.190000000000001</v>
      </c>
      <c r="J11" s="65" t="s">
        <v>12</v>
      </c>
      <c r="K11" s="65" t="s">
        <v>14</v>
      </c>
      <c r="L11" s="65" t="s">
        <v>545</v>
      </c>
      <c r="M11" s="65" t="s">
        <v>142</v>
      </c>
      <c r="N11" s="107">
        <v>138</v>
      </c>
      <c r="O11" s="107">
        <v>2648.2200000000003</v>
      </c>
    </row>
    <row r="12" spans="1:16" x14ac:dyDescent="0.25">
      <c r="A12" s="1"/>
      <c r="B12" s="1"/>
      <c r="C12" s="1"/>
      <c r="D12" s="1"/>
      <c r="E12" s="1"/>
      <c r="G12" s="65" t="s">
        <v>242</v>
      </c>
      <c r="H12" s="65">
        <v>38.51</v>
      </c>
      <c r="I12" s="65">
        <v>3.58</v>
      </c>
      <c r="J12" s="65" t="s">
        <v>12</v>
      </c>
      <c r="K12" s="65" t="s">
        <v>13</v>
      </c>
      <c r="L12" s="65" t="s">
        <v>546</v>
      </c>
      <c r="M12" s="65" t="s">
        <v>146</v>
      </c>
      <c r="N12" s="107">
        <v>285</v>
      </c>
      <c r="O12" s="107">
        <v>1020.3000000000001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6</v>
      </c>
      <c r="H13" s="65">
        <v>57.44</v>
      </c>
      <c r="I13" s="65">
        <v>5.34</v>
      </c>
      <c r="J13" s="65" t="s">
        <v>12</v>
      </c>
      <c r="K13" s="65" t="s">
        <v>6</v>
      </c>
      <c r="L13" s="65" t="s">
        <v>547</v>
      </c>
      <c r="M13" s="65" t="s">
        <v>142</v>
      </c>
      <c r="N13" s="107">
        <v>138</v>
      </c>
      <c r="O13" s="107">
        <v>736.92</v>
      </c>
    </row>
    <row r="14" spans="1:16" x14ac:dyDescent="0.25">
      <c r="A14" s="4" t="s">
        <v>49</v>
      </c>
      <c r="B14" s="42">
        <f>C14+D14+E14</f>
        <v>900</v>
      </c>
      <c r="C14" s="42">
        <f>B7/B8</f>
        <v>900</v>
      </c>
      <c r="D14" s="42">
        <f>C14*B9</f>
        <v>0</v>
      </c>
      <c r="E14" s="42">
        <f>B7-C14</f>
        <v>0</v>
      </c>
      <c r="F14"/>
      <c r="G14" s="65" t="s">
        <v>148</v>
      </c>
      <c r="H14" s="65" t="s">
        <v>184</v>
      </c>
      <c r="I14" s="65">
        <v>83.612700000000004</v>
      </c>
      <c r="J14" s="65" t="s">
        <v>11</v>
      </c>
      <c r="K14" s="65" t="s">
        <v>148</v>
      </c>
      <c r="L14" s="65"/>
      <c r="M14" s="65" t="s">
        <v>148</v>
      </c>
      <c r="N14" s="107">
        <v>65</v>
      </c>
      <c r="O14" s="107">
        <v>5434.8254999999999</v>
      </c>
    </row>
    <row r="15" spans="1:16" x14ac:dyDescent="0.25">
      <c r="A15" s="4" t="s">
        <v>50</v>
      </c>
      <c r="B15" s="42">
        <f>SUMIFS(H:H,G:G,"&lt;&gt;mech_single",G:G,"&lt;&gt;general",G:G,"&lt;&gt;general_main")</f>
        <v>676.71</v>
      </c>
      <c r="C15" s="42">
        <f>SUMIFS(H:H,G:G,"&lt;&gt;general_main",J:J,C13)</f>
        <v>676.71</v>
      </c>
      <c r="D15" s="42">
        <f>SUMIF($J:$J,D13,$H:$H)</f>
        <v>0</v>
      </c>
      <c r="E15" s="42">
        <f>SUMIF($J:$J,E13,$H:$H)</f>
        <v>0</v>
      </c>
      <c r="F15"/>
      <c r="G15" s="65"/>
      <c r="H15" s="65"/>
      <c r="I15" s="65"/>
      <c r="J15" s="65"/>
      <c r="K15" s="65"/>
      <c r="L15" s="65"/>
      <c r="M15" s="65"/>
      <c r="N15" s="107"/>
      <c r="O15" s="107"/>
    </row>
    <row r="16" spans="1:16" x14ac:dyDescent="0.25">
      <c r="A16" s="4" t="s">
        <v>59</v>
      </c>
      <c r="B16" s="42">
        <f>B14*0.092903</f>
        <v>83.612700000000004</v>
      </c>
      <c r="C16" s="42">
        <f t="shared" ref="C16:E17" si="0">C14*0.092903</f>
        <v>83.612700000000004</v>
      </c>
      <c r="D16" s="42">
        <f t="shared" si="0"/>
        <v>0</v>
      </c>
      <c r="E16" s="42">
        <f t="shared" si="0"/>
        <v>0</v>
      </c>
      <c r="F16"/>
      <c r="G16" s="65"/>
      <c r="H16" s="65"/>
      <c r="I16" s="65"/>
      <c r="J16" s="65"/>
      <c r="K16" s="65"/>
      <c r="L16" s="65"/>
      <c r="M16" s="65"/>
      <c r="N16" s="107"/>
      <c r="O16" s="107"/>
    </row>
    <row r="17" spans="1:15" x14ac:dyDescent="0.25">
      <c r="A17" s="4" t="s">
        <v>60</v>
      </c>
      <c r="B17" s="42">
        <f>B15*0.092903</f>
        <v>62.868389130000004</v>
      </c>
      <c r="C17" s="42">
        <f t="shared" si="0"/>
        <v>62.868389130000004</v>
      </c>
      <c r="D17" s="42">
        <f t="shared" si="0"/>
        <v>0</v>
      </c>
      <c r="E17" s="42">
        <f t="shared" si="0"/>
        <v>0</v>
      </c>
      <c r="F17"/>
      <c r="G17" s="65"/>
      <c r="H17" s="65"/>
      <c r="I17" s="65"/>
      <c r="J17" s="65"/>
      <c r="K17" s="65"/>
      <c r="L17" s="65"/>
      <c r="M17" s="65"/>
      <c r="N17" s="107"/>
      <c r="O17" s="107"/>
    </row>
    <row r="18" spans="1:15" x14ac:dyDescent="0.25">
      <c r="A18" s="4" t="s">
        <v>44</v>
      </c>
      <c r="B18" s="43">
        <f>IF(B14&gt;0,B15/B14,"")</f>
        <v>0.75190000000000001</v>
      </c>
      <c r="C18" s="43">
        <f t="shared" ref="C18:E18" si="1">IF(C14&gt;0,C15/C14,"")</f>
        <v>0.75190000000000001</v>
      </c>
      <c r="D18" s="43" t="str">
        <f t="shared" si="1"/>
        <v/>
      </c>
      <c r="E18" s="43" t="str">
        <f t="shared" si="1"/>
        <v/>
      </c>
      <c r="F18"/>
      <c r="G18" s="65"/>
      <c r="H18" s="65"/>
      <c r="I18" s="65"/>
      <c r="J18" s="65"/>
      <c r="K18" s="65"/>
      <c r="L18" s="65"/>
      <c r="M18" s="65"/>
      <c r="N18" s="107"/>
      <c r="O18" s="107"/>
    </row>
    <row r="19" spans="1:15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107"/>
      <c r="O19" s="107"/>
    </row>
    <row r="20" spans="1:15" x14ac:dyDescent="0.25">
      <c r="A20" s="106" t="s">
        <v>249</v>
      </c>
      <c r="B20" s="104" t="s">
        <v>1</v>
      </c>
      <c r="C20" s="104" t="s">
        <v>12</v>
      </c>
      <c r="D20" s="104" t="s">
        <v>11</v>
      </c>
      <c r="E20" s="104" t="s">
        <v>51</v>
      </c>
      <c r="F20"/>
      <c r="G20" s="65"/>
      <c r="H20" s="65"/>
      <c r="I20" s="65"/>
      <c r="J20" s="65"/>
      <c r="K20" s="65"/>
      <c r="L20" s="65"/>
      <c r="M20" s="65"/>
      <c r="N20" s="107"/>
      <c r="O20" s="107"/>
    </row>
    <row r="21" spans="1:15" x14ac:dyDescent="0.25">
      <c r="A21" s="86" t="s">
        <v>147</v>
      </c>
      <c r="B21" s="108">
        <f>SUM(C21:E21)</f>
        <v>2926.4445000000001</v>
      </c>
      <c r="C21" s="108">
        <f>C16*VLOOKUP($A21,$M$3:$N$37,2,FALSE)</f>
        <v>2926.4445000000001</v>
      </c>
      <c r="D21" s="108">
        <f t="shared" ref="D21:E21" si="2">D16*VLOOKUP($A21,$M$3:$N$37,2,FALSE)</f>
        <v>0</v>
      </c>
      <c r="E21" s="108">
        <f t="shared" si="2"/>
        <v>0</v>
      </c>
      <c r="F21"/>
      <c r="G21" s="65"/>
      <c r="H21" s="65"/>
      <c r="I21" s="65"/>
      <c r="J21" s="65"/>
      <c r="K21" s="65"/>
      <c r="L21" s="65"/>
      <c r="M21" s="65"/>
      <c r="N21" s="107"/>
      <c r="O21" s="107"/>
    </row>
    <row r="22" spans="1:15" x14ac:dyDescent="0.25">
      <c r="A22" s="86" t="s">
        <v>146</v>
      </c>
      <c r="B22" s="108">
        <f t="shared" ref="B22:B24" si="3">SUM(C22:E22)</f>
        <v>3796.2000000000003</v>
      </c>
      <c r="C22" s="108">
        <f>SUMIFS($O$3:$O$37,$J$3:$J$37,C$20,$M$3:$M$37,$A22)</f>
        <v>3796.2000000000003</v>
      </c>
      <c r="D22" s="108">
        <f t="shared" ref="D22:E24" si="4">SUMIFS($O$3:$O$37,$J$3:$J$37,D$20,$M$3:$M$37,$A22)</f>
        <v>0</v>
      </c>
      <c r="E22" s="108">
        <f t="shared" si="4"/>
        <v>0</v>
      </c>
      <c r="F22"/>
      <c r="G22" s="65"/>
      <c r="H22" s="65"/>
      <c r="I22" s="65"/>
      <c r="J22" s="65"/>
      <c r="K22" s="65"/>
      <c r="L22" s="65"/>
      <c r="M22" s="65"/>
      <c r="N22" s="107"/>
      <c r="O22" s="107"/>
    </row>
    <row r="23" spans="1:15" x14ac:dyDescent="0.25">
      <c r="A23" s="86" t="s">
        <v>142</v>
      </c>
      <c r="B23" s="108">
        <f t="shared" si="3"/>
        <v>6837.9</v>
      </c>
      <c r="C23" s="108">
        <f t="shared" ref="C23:C24" si="5">SUMIFS($O$3:$O$37,$J$3:$J$37,C$20,$M$3:$M$37,$A23)</f>
        <v>6837.9</v>
      </c>
      <c r="D23" s="108">
        <f t="shared" si="4"/>
        <v>0</v>
      </c>
      <c r="E23" s="108">
        <f t="shared" si="4"/>
        <v>0</v>
      </c>
      <c r="F23"/>
      <c r="G23" s="65"/>
      <c r="H23" s="65"/>
      <c r="I23" s="65"/>
      <c r="J23" s="65"/>
      <c r="K23" s="65"/>
      <c r="L23" s="65"/>
      <c r="M23" s="65"/>
      <c r="N23" s="107"/>
      <c r="O23" s="107"/>
    </row>
    <row r="24" spans="1:15" x14ac:dyDescent="0.25">
      <c r="A24" s="86" t="s">
        <v>148</v>
      </c>
      <c r="B24" s="108">
        <f t="shared" si="3"/>
        <v>5434.8254999999999</v>
      </c>
      <c r="C24" s="108">
        <f t="shared" si="5"/>
        <v>0</v>
      </c>
      <c r="D24" s="108">
        <f t="shared" si="4"/>
        <v>5434.8254999999999</v>
      </c>
      <c r="E24" s="108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107"/>
      <c r="O24" s="107"/>
    </row>
    <row r="25" spans="1:15" x14ac:dyDescent="0.25">
      <c r="A25" s="105" t="s">
        <v>1</v>
      </c>
      <c r="B25" s="108">
        <f>SUM(B21:B24)</f>
        <v>18995.37</v>
      </c>
      <c r="C25" s="110">
        <f t="shared" ref="C25:E25" si="6">SUM(C21:C24)</f>
        <v>13560.5445</v>
      </c>
      <c r="D25" s="110">
        <f t="shared" si="6"/>
        <v>5434.8254999999999</v>
      </c>
      <c r="E25" s="110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107"/>
      <c r="O25" s="107"/>
    </row>
    <row r="26" spans="1:15" x14ac:dyDescent="0.25">
      <c r="A26" s="105" t="s">
        <v>150</v>
      </c>
      <c r="B26" s="108">
        <f>IF(B16&gt;0,B25/B16,"")</f>
        <v>227.18283227308768</v>
      </c>
      <c r="C26" s="108">
        <f t="shared" ref="C26:E26" si="7">IF(C16&gt;0,C25/C16,"")</f>
        <v>162.18283227308768</v>
      </c>
      <c r="D26" s="108" t="str">
        <f t="shared" si="7"/>
        <v/>
      </c>
      <c r="E26" s="108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107"/>
      <c r="O26" s="107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107"/>
      <c r="O27" s="107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107"/>
      <c r="O28" s="107"/>
    </row>
    <row r="29" spans="1:15" x14ac:dyDescent="0.25">
      <c r="A29" t="s">
        <v>15</v>
      </c>
      <c r="B29">
        <v>1</v>
      </c>
      <c r="C29">
        <v>1</v>
      </c>
      <c r="D29">
        <v>0</v>
      </c>
      <c r="E29">
        <v>0</v>
      </c>
      <c r="F29"/>
      <c r="G29" s="65"/>
      <c r="H29" s="65"/>
      <c r="I29" s="65"/>
      <c r="J29" s="65"/>
      <c r="K29" s="65"/>
      <c r="L29" s="65"/>
      <c r="M29" s="65"/>
      <c r="N29" s="107"/>
      <c r="O29" s="107"/>
    </row>
    <row r="30" spans="1:15" x14ac:dyDescent="0.25">
      <c r="A30" t="s">
        <v>4</v>
      </c>
      <c r="B30">
        <v>2</v>
      </c>
      <c r="C30">
        <v>2</v>
      </c>
      <c r="D30">
        <v>0</v>
      </c>
      <c r="E30">
        <v>0</v>
      </c>
      <c r="F30"/>
      <c r="G30" s="65"/>
      <c r="H30" s="65"/>
      <c r="I30" s="65"/>
      <c r="J30" s="65"/>
      <c r="K30" s="65"/>
      <c r="L30" s="65"/>
      <c r="M30" s="65"/>
      <c r="N30" s="107"/>
      <c r="O30" s="107"/>
    </row>
    <row r="31" spans="1:15" x14ac:dyDescent="0.25">
      <c r="A31" t="s">
        <v>7</v>
      </c>
      <c r="B31">
        <v>1</v>
      </c>
      <c r="C31">
        <v>1</v>
      </c>
      <c r="D31">
        <v>0</v>
      </c>
      <c r="E31">
        <v>0</v>
      </c>
      <c r="F31"/>
      <c r="G31" s="65"/>
      <c r="H31" s="65"/>
      <c r="I31" s="65"/>
      <c r="J31" s="65"/>
      <c r="K31" s="65"/>
      <c r="L31" s="65"/>
      <c r="M31" s="65"/>
      <c r="N31" s="107"/>
      <c r="O31" s="107"/>
    </row>
    <row r="32" spans="1:15" x14ac:dyDescent="0.25">
      <c r="A32" t="s">
        <v>5</v>
      </c>
      <c r="B32">
        <v>1</v>
      </c>
      <c r="C32">
        <v>1</v>
      </c>
      <c r="D32">
        <v>0</v>
      </c>
      <c r="E32">
        <v>0</v>
      </c>
      <c r="G32" s="65"/>
      <c r="H32" s="65"/>
      <c r="I32" s="65"/>
      <c r="J32" s="65"/>
      <c r="K32" s="65"/>
      <c r="L32" s="65"/>
      <c r="M32" s="65"/>
      <c r="N32" s="107"/>
      <c r="O32" s="107"/>
    </row>
    <row r="33" spans="1:15" x14ac:dyDescent="0.25">
      <c r="A33" t="s">
        <v>14</v>
      </c>
      <c r="B33">
        <v>1</v>
      </c>
      <c r="C33">
        <v>1</v>
      </c>
      <c r="D33">
        <v>0</v>
      </c>
      <c r="E33">
        <v>0</v>
      </c>
      <c r="G33" s="65"/>
      <c r="H33" s="65"/>
      <c r="I33" s="65"/>
      <c r="J33" s="65"/>
      <c r="K33" s="65"/>
      <c r="L33" s="65"/>
      <c r="M33" s="65"/>
      <c r="N33" s="107"/>
      <c r="O33" s="107"/>
    </row>
    <row r="34" spans="1:15" x14ac:dyDescent="0.25">
      <c r="A34" t="s">
        <v>13</v>
      </c>
      <c r="B34">
        <v>1</v>
      </c>
      <c r="C34">
        <v>1</v>
      </c>
      <c r="D34">
        <v>0</v>
      </c>
      <c r="E34">
        <v>0</v>
      </c>
      <c r="G34" s="65"/>
      <c r="H34" s="65"/>
      <c r="I34" s="65"/>
      <c r="J34" s="65"/>
      <c r="K34" s="65"/>
      <c r="L34" s="65"/>
      <c r="M34" s="65"/>
      <c r="N34" s="107"/>
      <c r="O34" s="107"/>
    </row>
    <row r="35" spans="1:15" x14ac:dyDescent="0.25">
      <c r="A35" t="s">
        <v>6</v>
      </c>
      <c r="B35">
        <v>1</v>
      </c>
      <c r="C35">
        <v>1</v>
      </c>
      <c r="D35">
        <v>0</v>
      </c>
      <c r="E35">
        <v>0</v>
      </c>
      <c r="G35" s="65"/>
      <c r="H35" s="65"/>
      <c r="I35" s="65"/>
      <c r="J35" s="65"/>
      <c r="K35" s="65"/>
      <c r="L35" s="65"/>
      <c r="M35" s="65"/>
      <c r="N35" s="107"/>
      <c r="O35" s="107"/>
    </row>
    <row r="36" spans="1:15" x14ac:dyDescent="0.25">
      <c r="G36" s="65"/>
      <c r="H36" s="65"/>
      <c r="I36" s="65"/>
      <c r="J36" s="65"/>
      <c r="K36" s="65"/>
      <c r="L36" s="65"/>
      <c r="M36" s="65"/>
      <c r="N36" s="107"/>
      <c r="O36" s="107"/>
    </row>
    <row r="37" spans="1:15" x14ac:dyDescent="0.25">
      <c r="G37" s="65"/>
      <c r="H37" s="65"/>
      <c r="I37" s="65"/>
      <c r="J37" s="65"/>
      <c r="K37" s="65"/>
      <c r="L37" s="65"/>
      <c r="M37" s="65"/>
      <c r="N37" s="107"/>
      <c r="O37" s="107"/>
    </row>
  </sheetData>
  <sortState xmlns:xlrd2="http://schemas.microsoft.com/office/spreadsheetml/2017/richdata2" ref="G3:O14">
    <sortCondition ref="J3:J14" customList="Mechanical,Split,Main,Basement,Upper"/>
  </sortState>
  <mergeCells count="4">
    <mergeCell ref="A1:E1"/>
    <mergeCell ref="D2:E2"/>
    <mergeCell ref="B2:C2"/>
    <mergeCell ref="G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12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.28515625" style="1" bestFit="1" customWidth="1"/>
    <col min="13" max="13" width="11" style="1" bestFit="1" customWidth="1"/>
    <col min="14" max="14" width="14.140625" style="1" bestFit="1" customWidth="1"/>
    <col min="15" max="15" width="13.7109375" style="1" bestFit="1" customWidth="1"/>
    <col min="16" max="16" width="8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28</v>
      </c>
      <c r="F6"/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/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/>
      <c r="G9"/>
    </row>
    <row r="10" spans="1:7" x14ac:dyDescent="0.25">
      <c r="A10" s="3" t="s">
        <v>30</v>
      </c>
      <c r="B10" s="8">
        <v>9050.2899999999972</v>
      </c>
      <c r="C10" s="8">
        <v>0</v>
      </c>
      <c r="D10" s="8">
        <v>2098.1149999999998</v>
      </c>
      <c r="E10" s="8">
        <v>11148.404999999997</v>
      </c>
      <c r="F10"/>
      <c r="G10"/>
    </row>
    <row r="11" spans="1:7" x14ac:dyDescent="0.25">
      <c r="A11" s="3" t="s">
        <v>31</v>
      </c>
      <c r="B11" s="8">
        <v>19564.240000000005</v>
      </c>
      <c r="C11" s="8">
        <v>0</v>
      </c>
      <c r="D11" s="8">
        <v>3419.1550000000002</v>
      </c>
      <c r="E11" s="8">
        <v>22983.395000000004</v>
      </c>
      <c r="F11"/>
      <c r="G11"/>
    </row>
    <row r="12" spans="1:7" x14ac:dyDescent="0.25">
      <c r="A12" s="3" t="s">
        <v>32</v>
      </c>
      <c r="B12" s="8">
        <v>21414.499999999996</v>
      </c>
      <c r="C12" s="8">
        <v>1577.02</v>
      </c>
      <c r="D12" s="8">
        <v>3419.1550000000002</v>
      </c>
      <c r="E12" s="8">
        <v>26410.674999999996</v>
      </c>
      <c r="F12"/>
      <c r="G12"/>
    </row>
    <row r="13" spans="1:7" x14ac:dyDescent="0.25">
      <c r="A13" s="3" t="s">
        <v>33</v>
      </c>
      <c r="B13" s="8">
        <v>24126.779999999992</v>
      </c>
      <c r="C13" s="8">
        <v>5322.07</v>
      </c>
      <c r="D13" s="8">
        <v>3419.1550000000002</v>
      </c>
      <c r="E13" s="8">
        <v>32868.00499999999</v>
      </c>
      <c r="F13"/>
      <c r="G13"/>
    </row>
    <row r="14" spans="1:7" x14ac:dyDescent="0.25">
      <c r="A14" s="3" t="s">
        <v>34</v>
      </c>
      <c r="B14" s="8">
        <v>24126.779999999992</v>
      </c>
      <c r="C14" s="8">
        <v>5322.07</v>
      </c>
      <c r="D14" s="8">
        <v>3419.1550000000002</v>
      </c>
      <c r="E14" s="8">
        <v>32868.00499999999</v>
      </c>
      <c r="F14"/>
      <c r="G14"/>
    </row>
    <row r="15" spans="1:7" x14ac:dyDescent="0.25">
      <c r="A15" s="3" t="s">
        <v>35</v>
      </c>
      <c r="B15" s="8">
        <v>28078.879999999979</v>
      </c>
      <c r="C15" s="8">
        <v>5322.07</v>
      </c>
      <c r="D15" s="8">
        <v>7935.5300000000007</v>
      </c>
      <c r="E15" s="8">
        <v>41336.479999999981</v>
      </c>
      <c r="F15"/>
      <c r="G15"/>
    </row>
    <row r="16" spans="1:7" x14ac:dyDescent="0.25">
      <c r="A16" s="3" t="s">
        <v>36</v>
      </c>
      <c r="B16" s="8">
        <v>29657.019999999982</v>
      </c>
      <c r="C16" s="8">
        <v>5322.07</v>
      </c>
      <c r="D16" s="8">
        <v>7935.5300000000007</v>
      </c>
      <c r="E16" s="8">
        <v>42914.619999999981</v>
      </c>
      <c r="F16"/>
      <c r="G16"/>
    </row>
    <row r="17" spans="1:23" x14ac:dyDescent="0.25">
      <c r="A17" s="3" t="s">
        <v>37</v>
      </c>
      <c r="B17" s="8">
        <v>33972.049999999996</v>
      </c>
      <c r="C17" s="8">
        <v>5322.07</v>
      </c>
      <c r="D17" s="8">
        <v>8034.59</v>
      </c>
      <c r="E17" s="8">
        <v>47328.709999999992</v>
      </c>
      <c r="F17"/>
      <c r="G17"/>
    </row>
    <row r="18" spans="1:23" x14ac:dyDescent="0.25">
      <c r="A18" s="3" t="s">
        <v>38</v>
      </c>
      <c r="B18" s="8">
        <v>45926.099999999969</v>
      </c>
      <c r="C18" s="8">
        <v>6423.21</v>
      </c>
      <c r="D18" s="8">
        <v>9253.4399999999987</v>
      </c>
      <c r="E18" s="8">
        <v>61602.749999999971</v>
      </c>
      <c r="F18"/>
      <c r="G18"/>
    </row>
    <row r="19" spans="1:23" x14ac:dyDescent="0.25">
      <c r="A19" s="3" t="s">
        <v>39</v>
      </c>
      <c r="B19" s="8">
        <v>46048.509999999966</v>
      </c>
      <c r="C19" s="8">
        <v>6423.21</v>
      </c>
      <c r="D19" s="8">
        <v>12029.71</v>
      </c>
      <c r="E19" s="8">
        <v>64501.429999999964</v>
      </c>
      <c r="F19"/>
      <c r="G19"/>
    </row>
    <row r="20" spans="1:23" x14ac:dyDescent="0.25">
      <c r="A20" s="3" t="s">
        <v>40</v>
      </c>
      <c r="B20" s="8">
        <v>46314.259999999973</v>
      </c>
      <c r="C20" s="8">
        <v>6423.21</v>
      </c>
      <c r="D20" s="8">
        <v>12455.769999999999</v>
      </c>
      <c r="E20" s="8">
        <v>65193.239999999969</v>
      </c>
      <c r="F20"/>
      <c r="G20"/>
    </row>
    <row r="21" spans="1:23" x14ac:dyDescent="0.25">
      <c r="A21" s="3" t="s">
        <v>41</v>
      </c>
      <c r="B21" s="8">
        <v>48464.219999999972</v>
      </c>
      <c r="C21" s="8">
        <v>6423.21</v>
      </c>
      <c r="D21" s="8">
        <v>12640.079999999998</v>
      </c>
      <c r="E21" s="8">
        <v>67527.509999999966</v>
      </c>
      <c r="F21"/>
      <c r="G21"/>
    </row>
    <row r="22" spans="1:23" x14ac:dyDescent="0.25">
      <c r="A22" s="3" t="s">
        <v>42</v>
      </c>
      <c r="B22" s="8">
        <v>48464.219999999972</v>
      </c>
      <c r="C22" s="8">
        <v>11153.38</v>
      </c>
      <c r="D22" s="8">
        <v>12640.079999999998</v>
      </c>
      <c r="E22" s="8">
        <v>72257.679999999964</v>
      </c>
      <c r="F22"/>
      <c r="G22"/>
    </row>
    <row r="23" spans="1:23" x14ac:dyDescent="0.25">
      <c r="A23" s="3" t="s">
        <v>43</v>
      </c>
      <c r="B23" s="8">
        <v>48464.219999999972</v>
      </c>
      <c r="C23" s="8">
        <v>11153.38</v>
      </c>
      <c r="D23" s="8">
        <v>12640.079999999998</v>
      </c>
      <c r="E23" s="8">
        <v>72257.679999999964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</v>
      </c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2098.1149999999998</v>
      </c>
      <c r="C35" s="8">
        <v>0</v>
      </c>
      <c r="D35" s="8">
        <v>0</v>
      </c>
      <c r="E35" s="8">
        <v>693.49749999999995</v>
      </c>
      <c r="F35" s="8">
        <v>669.55499999999995</v>
      </c>
      <c r="G35" s="8">
        <v>2939.3100000000004</v>
      </c>
      <c r="H35" s="8">
        <v>1153.605</v>
      </c>
      <c r="I35" s="8">
        <v>646.12250000000006</v>
      </c>
      <c r="J35" s="8">
        <v>2100.4324999999999</v>
      </c>
      <c r="K35" s="8">
        <v>847.76749999999993</v>
      </c>
      <c r="L35" s="8">
        <v>11148.405000000001</v>
      </c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3419.1550000000002</v>
      </c>
      <c r="C36" s="8">
        <v>0</v>
      </c>
      <c r="D36" s="8">
        <v>0</v>
      </c>
      <c r="E36" s="8">
        <v>2026.8575000000001</v>
      </c>
      <c r="F36" s="8">
        <v>1528.375</v>
      </c>
      <c r="G36" s="8">
        <v>6108.4699999999993</v>
      </c>
      <c r="H36" s="8">
        <v>4390.7249999999995</v>
      </c>
      <c r="I36" s="8">
        <v>1071.2325000000001</v>
      </c>
      <c r="J36" s="8">
        <v>3012.8025000000002</v>
      </c>
      <c r="K36" s="8">
        <v>1425.7775000000004</v>
      </c>
      <c r="L36" s="8">
        <v>22983.395000000004</v>
      </c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3419.1550000000002</v>
      </c>
      <c r="C37" s="8">
        <v>1577.02</v>
      </c>
      <c r="D37" s="8">
        <v>1850.26</v>
      </c>
      <c r="E37" s="8">
        <v>2026.8575000000001</v>
      </c>
      <c r="F37" s="8">
        <v>1528.375</v>
      </c>
      <c r="G37" s="8">
        <v>6108.4699999999993</v>
      </c>
      <c r="H37" s="8">
        <v>4390.7249999999995</v>
      </c>
      <c r="I37" s="8">
        <v>1071.2325000000001</v>
      </c>
      <c r="J37" s="8">
        <v>3012.8025000000002</v>
      </c>
      <c r="K37" s="8">
        <v>1425.7775000000004</v>
      </c>
      <c r="L37" s="8">
        <v>26410.674999999996</v>
      </c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3419.1550000000002</v>
      </c>
      <c r="C38" s="8">
        <v>5322.07</v>
      </c>
      <c r="D38" s="8">
        <v>1850.26</v>
      </c>
      <c r="E38" s="8">
        <v>2026.8575000000001</v>
      </c>
      <c r="F38" s="8">
        <v>1528.375</v>
      </c>
      <c r="G38" s="8">
        <v>6108.4699999999993</v>
      </c>
      <c r="H38" s="8">
        <v>7103.0050000000001</v>
      </c>
      <c r="I38" s="8">
        <v>1071.2325000000001</v>
      </c>
      <c r="J38" s="8">
        <v>3012.8025000000002</v>
      </c>
      <c r="K38" s="8">
        <v>1425.7775000000004</v>
      </c>
      <c r="L38" s="8">
        <v>32868.005000000005</v>
      </c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3419.1550000000002</v>
      </c>
      <c r="C39" s="8">
        <v>5322.07</v>
      </c>
      <c r="D39" s="8">
        <v>1850.26</v>
      </c>
      <c r="E39" s="8">
        <v>2026.8575000000001</v>
      </c>
      <c r="F39" s="8">
        <v>1528.375</v>
      </c>
      <c r="G39" s="8">
        <v>6108.4699999999993</v>
      </c>
      <c r="H39" s="8">
        <v>7103.0050000000001</v>
      </c>
      <c r="I39" s="8">
        <v>1071.2325000000001</v>
      </c>
      <c r="J39" s="8">
        <v>3012.8025000000002</v>
      </c>
      <c r="K39" s="8">
        <v>1425.7775000000004</v>
      </c>
      <c r="L39" s="8">
        <v>32868.005000000005</v>
      </c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7935.5300000000007</v>
      </c>
      <c r="C40" s="8">
        <v>5322.07</v>
      </c>
      <c r="D40" s="8">
        <v>1952.944</v>
      </c>
      <c r="E40" s="8">
        <v>2336.7489999999998</v>
      </c>
      <c r="F40" s="8">
        <v>1867.5300000000002</v>
      </c>
      <c r="G40" s="8">
        <v>7122.0600000000013</v>
      </c>
      <c r="H40" s="8">
        <v>7772.1020000000008</v>
      </c>
      <c r="I40" s="8">
        <v>1414.8849999999998</v>
      </c>
      <c r="J40" s="8">
        <v>3809.9249999999997</v>
      </c>
      <c r="K40" s="8">
        <v>1802.6849999999999</v>
      </c>
      <c r="L40" s="8">
        <v>41336.480000000003</v>
      </c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7935.5300000000007</v>
      </c>
      <c r="C41" s="8">
        <v>5322.07</v>
      </c>
      <c r="D41" s="8">
        <v>1952.944</v>
      </c>
      <c r="E41" s="8">
        <v>3914.8890000000006</v>
      </c>
      <c r="F41" s="8">
        <v>1867.5300000000002</v>
      </c>
      <c r="G41" s="8">
        <v>7122.0600000000013</v>
      </c>
      <c r="H41" s="8">
        <v>7772.1020000000008</v>
      </c>
      <c r="I41" s="8">
        <v>1414.8849999999998</v>
      </c>
      <c r="J41" s="8">
        <v>3809.9249999999997</v>
      </c>
      <c r="K41" s="8">
        <v>1802.6849999999999</v>
      </c>
      <c r="L41" s="8">
        <v>42914.62</v>
      </c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8034.59</v>
      </c>
      <c r="C42" s="8">
        <v>5322.07</v>
      </c>
      <c r="D42" s="8">
        <v>1952.944</v>
      </c>
      <c r="E42" s="8">
        <v>4628.6990000000014</v>
      </c>
      <c r="F42" s="8">
        <v>1867.5300000000002</v>
      </c>
      <c r="G42" s="8">
        <v>7122.0600000000013</v>
      </c>
      <c r="H42" s="8">
        <v>11373.321999999998</v>
      </c>
      <c r="I42" s="8">
        <v>1414.8849999999998</v>
      </c>
      <c r="J42" s="8">
        <v>3809.9249999999997</v>
      </c>
      <c r="K42" s="8">
        <v>1802.6849999999999</v>
      </c>
      <c r="L42" s="8">
        <v>47328.71</v>
      </c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9253.4399999999987</v>
      </c>
      <c r="C43" s="8">
        <v>6423.21</v>
      </c>
      <c r="D43" s="8">
        <v>2208.5640000000003</v>
      </c>
      <c r="E43" s="8">
        <v>8688.4139999999989</v>
      </c>
      <c r="F43" s="8">
        <v>2644.4399999999996</v>
      </c>
      <c r="G43" s="8">
        <v>9078.42</v>
      </c>
      <c r="H43" s="8">
        <v>13667.922</v>
      </c>
      <c r="I43" s="8">
        <v>1947.83</v>
      </c>
      <c r="J43" s="8">
        <v>5172.6100000000006</v>
      </c>
      <c r="K43" s="8">
        <v>2517.8999999999996</v>
      </c>
      <c r="L43" s="8">
        <v>61602.75</v>
      </c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12029.71</v>
      </c>
      <c r="C44" s="8">
        <v>6423.21</v>
      </c>
      <c r="D44" s="8">
        <v>2208.5640000000003</v>
      </c>
      <c r="E44" s="8">
        <v>8688.4139999999989</v>
      </c>
      <c r="F44" s="8">
        <v>2644.4399999999996</v>
      </c>
      <c r="G44" s="8">
        <v>9078.42</v>
      </c>
      <c r="H44" s="8">
        <v>13790.332</v>
      </c>
      <c r="I44" s="8">
        <v>1947.83</v>
      </c>
      <c r="J44" s="8">
        <v>5172.6100000000006</v>
      </c>
      <c r="K44" s="8">
        <v>2517.8999999999996</v>
      </c>
      <c r="L44" s="8">
        <v>64501.43</v>
      </c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12455.769999999999</v>
      </c>
      <c r="C45" s="8">
        <v>6423.21</v>
      </c>
      <c r="D45" s="8">
        <v>2208.5640000000003</v>
      </c>
      <c r="E45" s="8">
        <v>8688.4139999999989</v>
      </c>
      <c r="F45" s="8">
        <v>2644.4399999999996</v>
      </c>
      <c r="G45" s="8">
        <v>9131.4200000000019</v>
      </c>
      <c r="H45" s="8">
        <v>14003.082</v>
      </c>
      <c r="I45" s="8">
        <v>1947.83</v>
      </c>
      <c r="J45" s="8">
        <v>5172.6100000000006</v>
      </c>
      <c r="K45" s="8">
        <v>2517.8999999999996</v>
      </c>
      <c r="L45" s="8">
        <v>65193.240000000005</v>
      </c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12640.079999999998</v>
      </c>
      <c r="C46" s="8">
        <v>6423.21</v>
      </c>
      <c r="D46" s="8">
        <v>2500.4499999999998</v>
      </c>
      <c r="E46" s="8">
        <v>9093.81</v>
      </c>
      <c r="F46" s="8">
        <v>2754.0499999999993</v>
      </c>
      <c r="G46" s="8">
        <v>9614.7000000000025</v>
      </c>
      <c r="H46" s="8">
        <v>14214.429999999998</v>
      </c>
      <c r="I46" s="8">
        <v>2072.81</v>
      </c>
      <c r="J46" s="8">
        <v>5502.2800000000007</v>
      </c>
      <c r="K46" s="8">
        <v>2711.69</v>
      </c>
      <c r="L46" s="8">
        <v>67527.509999999995</v>
      </c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12640.079999999998</v>
      </c>
      <c r="C47" s="8">
        <v>11153.38</v>
      </c>
      <c r="D47" s="8">
        <v>2500.4499999999998</v>
      </c>
      <c r="E47" s="8">
        <v>9093.81</v>
      </c>
      <c r="F47" s="8">
        <v>2754.0499999999993</v>
      </c>
      <c r="G47" s="8">
        <v>9614.7000000000025</v>
      </c>
      <c r="H47" s="8">
        <v>14214.429999999998</v>
      </c>
      <c r="I47" s="8">
        <v>2072.81</v>
      </c>
      <c r="J47" s="8">
        <v>5502.2800000000007</v>
      </c>
      <c r="K47" s="8">
        <v>2711.69</v>
      </c>
      <c r="L47" s="8">
        <v>72257.680000000008</v>
      </c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12640.079999999998</v>
      </c>
      <c r="C48" s="8">
        <v>11153.38</v>
      </c>
      <c r="D48" s="8">
        <v>2500.4499999999998</v>
      </c>
      <c r="E48" s="8">
        <v>9093.81</v>
      </c>
      <c r="F48" s="8">
        <v>2754.0499999999993</v>
      </c>
      <c r="G48" s="8">
        <v>9614.7000000000025</v>
      </c>
      <c r="H48" s="8">
        <v>14214.429999999998</v>
      </c>
      <c r="I48" s="8">
        <v>2072.81</v>
      </c>
      <c r="J48" s="8">
        <v>5502.2800000000007</v>
      </c>
      <c r="K48" s="8">
        <v>2711.69</v>
      </c>
      <c r="L48" s="8">
        <v>72257.680000000008</v>
      </c>
      <c r="M48"/>
      <c r="N48"/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71" customWidth="1"/>
    <col min="2" max="2" width="10.7109375" style="75" customWidth="1"/>
    <col min="3" max="10" width="10.7109375" style="71" customWidth="1"/>
    <col min="11" max="11" width="14.5703125" style="71" customWidth="1"/>
    <col min="12" max="12" width="13.7109375" style="85" customWidth="1"/>
    <col min="13" max="13" width="12.7109375" style="85" customWidth="1"/>
    <col min="14" max="14" width="10.7109375" style="85" customWidth="1"/>
    <col min="15" max="15" width="15.7109375" style="71" customWidth="1"/>
    <col min="16" max="16" width="9.140625" style="71" bestFit="1" customWidth="1"/>
    <col min="17" max="17" width="37.85546875" style="71" customWidth="1"/>
    <col min="18" max="18" width="10.7109375" style="71" customWidth="1"/>
    <col min="19" max="16384" width="9.140625" style="71"/>
  </cols>
  <sheetData>
    <row r="1" spans="1:18" ht="30" customHeight="1" x14ac:dyDescent="0.25">
      <c r="A1" s="140" t="s">
        <v>157</v>
      </c>
      <c r="B1" s="140"/>
      <c r="C1" s="140"/>
      <c r="D1" s="140"/>
      <c r="E1" s="140"/>
      <c r="F1" s="140"/>
      <c r="G1" s="140"/>
      <c r="H1" s="140"/>
      <c r="I1" s="140"/>
      <c r="K1" s="141" t="s">
        <v>160</v>
      </c>
      <c r="L1" s="142"/>
      <c r="M1" s="143" t="s">
        <v>159</v>
      </c>
      <c r="N1" s="143"/>
      <c r="O1" s="111" t="s">
        <v>161</v>
      </c>
    </row>
    <row r="2" spans="1:18" ht="30" customHeight="1" x14ac:dyDescent="0.25">
      <c r="A2" s="140"/>
      <c r="B2" s="140"/>
      <c r="C2" s="140"/>
      <c r="D2" s="140"/>
      <c r="E2" s="140"/>
      <c r="F2" s="140"/>
      <c r="G2" s="140"/>
      <c r="H2" s="140"/>
      <c r="I2" s="140"/>
      <c r="L2" s="144" t="s">
        <v>138</v>
      </c>
      <c r="M2" s="144"/>
      <c r="N2" s="144"/>
    </row>
    <row r="3" spans="1:18" ht="15" customHeight="1" x14ac:dyDescent="0.25">
      <c r="A3" s="72" t="s">
        <v>132</v>
      </c>
      <c r="B3" s="73" t="s">
        <v>162</v>
      </c>
      <c r="C3" s="72"/>
      <c r="D3" s="156" t="s">
        <v>556</v>
      </c>
      <c r="E3" s="156"/>
      <c r="F3" s="156"/>
      <c r="G3" s="156"/>
      <c r="H3" s="155"/>
      <c r="I3" s="170"/>
      <c r="J3" s="98"/>
      <c r="L3" s="145" t="s">
        <v>106</v>
      </c>
      <c r="M3" s="147" t="s">
        <v>111</v>
      </c>
      <c r="N3" s="147"/>
      <c r="O3" s="74"/>
      <c r="P3" s="71" t="s">
        <v>134</v>
      </c>
    </row>
    <row r="4" spans="1:18" ht="30" customHeight="1" x14ac:dyDescent="0.25">
      <c r="A4" s="71" t="s">
        <v>103</v>
      </c>
      <c r="B4" s="76">
        <v>1</v>
      </c>
      <c r="C4" s="76"/>
      <c r="D4" s="157" t="s">
        <v>106</v>
      </c>
      <c r="E4" s="158" t="s">
        <v>12</v>
      </c>
      <c r="F4" s="158" t="s">
        <v>26</v>
      </c>
      <c r="G4" s="167" t="s">
        <v>27</v>
      </c>
      <c r="H4" s="172" t="s">
        <v>28</v>
      </c>
      <c r="I4" s="171"/>
      <c r="J4" s="169"/>
      <c r="K4" s="113"/>
      <c r="L4" s="146"/>
      <c r="M4" s="78" t="s">
        <v>156</v>
      </c>
      <c r="N4" s="77" t="s">
        <v>135</v>
      </c>
      <c r="O4" s="74"/>
      <c r="P4" s="73" t="s">
        <v>106</v>
      </c>
      <c r="Q4" s="73" t="s">
        <v>111</v>
      </c>
      <c r="R4" s="73" t="s">
        <v>135</v>
      </c>
    </row>
    <row r="5" spans="1:18" x14ac:dyDescent="0.25">
      <c r="A5" s="71" t="s">
        <v>104</v>
      </c>
      <c r="B5" s="75" t="s">
        <v>11</v>
      </c>
      <c r="D5" s="159">
        <v>-0.9</v>
      </c>
      <c r="E5" s="160">
        <v>0</v>
      </c>
      <c r="F5" s="160">
        <v>0</v>
      </c>
      <c r="G5" s="168">
        <v>0</v>
      </c>
      <c r="H5" s="173">
        <v>0</v>
      </c>
      <c r="I5" s="100"/>
      <c r="J5" s="100"/>
      <c r="L5" s="79">
        <f>-B14</f>
        <v>-2.7</v>
      </c>
      <c r="M5" s="80">
        <f>(F7+G7/2)*$B$9</f>
        <v>0</v>
      </c>
      <c r="N5" s="80">
        <f>M5/$B$7</f>
        <v>0</v>
      </c>
      <c r="O5" s="81"/>
      <c r="P5" s="82" t="str">
        <f ca="1">_xlfn.FORMULATEXT(L5)</f>
        <v>=-B14</v>
      </c>
      <c r="Q5" s="82" t="str">
        <f ca="1">_xlfn.FORMULATEXT(M5)</f>
        <v>=(F7+G7/2)*$B$9</v>
      </c>
      <c r="R5" s="82" t="str">
        <f ca="1">_xlfn.FORMULATEXT(N5)</f>
        <v>=M5/$B$7</v>
      </c>
    </row>
    <row r="6" spans="1:18" x14ac:dyDescent="0.25">
      <c r="A6" s="71" t="s">
        <v>105</v>
      </c>
      <c r="B6" s="75" t="s">
        <v>11</v>
      </c>
      <c r="D6" s="159">
        <v>-0.46</v>
      </c>
      <c r="E6" s="160">
        <v>0</v>
      </c>
      <c r="F6" s="160">
        <v>0</v>
      </c>
      <c r="G6" s="168">
        <v>0</v>
      </c>
      <c r="H6" s="173">
        <v>0</v>
      </c>
      <c r="I6" s="100"/>
      <c r="J6" s="100"/>
      <c r="L6" s="79">
        <f t="shared" ref="L6:L18" si="0">L$5+D8</f>
        <v>-2.6700000000000004</v>
      </c>
      <c r="M6" s="80">
        <f>(F8+G8/2+$B$18)*$B$9</f>
        <v>6483.8829999999998</v>
      </c>
      <c r="N6" s="80">
        <f t="shared" ref="N6:N33" si="1">M6/$B$7</f>
        <v>77.546628682006443</v>
      </c>
      <c r="O6" s="81"/>
      <c r="P6" s="82" t="str">
        <f t="shared" ref="P6:P21" ca="1" si="2">_xlfn.FORMULATEXT(L6)</f>
        <v>=L$5+D8</v>
      </c>
      <c r="Q6" s="82" t="str">
        <f t="shared" ref="Q6:Q21" ca="1" si="3">_xlfn.FORMULATEXT(M6)</f>
        <v>=(F8+G8/2+$B$18)*$B$9</v>
      </c>
      <c r="R6" s="82" t="str">
        <f t="shared" ref="R6:R21" ca="1" si="4">_xlfn.FORMULATEXT(N6)</f>
        <v>=M6/$B$7</v>
      </c>
    </row>
    <row r="7" spans="1:18" x14ac:dyDescent="0.25">
      <c r="A7" s="71" t="s">
        <v>136</v>
      </c>
      <c r="B7" s="83">
        <f>GFAcell</f>
        <v>83.612700000000004</v>
      </c>
      <c r="D7" s="159">
        <v>0</v>
      </c>
      <c r="E7" s="160">
        <v>0</v>
      </c>
      <c r="F7" s="160">
        <v>0</v>
      </c>
      <c r="G7" s="168">
        <v>0</v>
      </c>
      <c r="H7" s="173">
        <v>0</v>
      </c>
      <c r="I7" s="100"/>
      <c r="J7" s="100"/>
      <c r="L7" s="79">
        <f t="shared" si="0"/>
        <v>-2.6500000000000004</v>
      </c>
      <c r="M7" s="80">
        <f t="shared" ref="M7:M19" si="5">(F9+G9/2+$B$18)*$B$9</f>
        <v>7144.4030000000002</v>
      </c>
      <c r="N7" s="80">
        <f t="shared" si="1"/>
        <v>85.446385537125337</v>
      </c>
      <c r="O7" s="81"/>
      <c r="P7" s="82" t="str">
        <f t="shared" ca="1" si="2"/>
        <v>=L$5+D9</v>
      </c>
      <c r="Q7" s="82" t="str">
        <f t="shared" ca="1" si="3"/>
        <v>=(F9+G9/2+$B$18)*$B$9</v>
      </c>
      <c r="R7" s="82" t="str">
        <f t="shared" ca="1" si="4"/>
        <v>=M7/$B$7</v>
      </c>
    </row>
    <row r="8" spans="1:18" x14ac:dyDescent="0.25">
      <c r="A8" s="71" t="s">
        <v>133</v>
      </c>
      <c r="B8" s="75" t="s">
        <v>141</v>
      </c>
      <c r="D8" s="159">
        <v>0.03</v>
      </c>
      <c r="E8" s="160">
        <v>9050.2899999999972</v>
      </c>
      <c r="F8" s="160">
        <v>0</v>
      </c>
      <c r="G8" s="168">
        <v>2098.1149999999998</v>
      </c>
      <c r="H8" s="173">
        <v>11148.404999999997</v>
      </c>
      <c r="I8" s="100"/>
      <c r="J8" s="100"/>
      <c r="L8" s="79">
        <f t="shared" si="0"/>
        <v>-2.6</v>
      </c>
      <c r="M8" s="80">
        <f t="shared" si="5"/>
        <v>8721.4229999999989</v>
      </c>
      <c r="N8" s="80">
        <f t="shared" si="1"/>
        <v>104.30739588603164</v>
      </c>
      <c r="O8" s="81"/>
      <c r="P8" s="82" t="str">
        <f t="shared" ca="1" si="2"/>
        <v>=L$5+D10</v>
      </c>
      <c r="Q8" s="82" t="str">
        <f t="shared" ca="1" si="3"/>
        <v>=(F10+G10/2+$B$18)*$B$9</v>
      </c>
      <c r="R8" s="82" t="str">
        <f t="shared" ca="1" si="4"/>
        <v>=M8/$B$7</v>
      </c>
    </row>
    <row r="9" spans="1:18" x14ac:dyDescent="0.25">
      <c r="A9" s="71" t="s">
        <v>127</v>
      </c>
      <c r="B9" s="75">
        <v>1</v>
      </c>
      <c r="D9" s="159">
        <v>0.05</v>
      </c>
      <c r="E9" s="160">
        <v>19564.240000000005</v>
      </c>
      <c r="F9" s="160">
        <v>0</v>
      </c>
      <c r="G9" s="168">
        <v>3419.1550000000002</v>
      </c>
      <c r="H9" s="173">
        <v>22983.395000000004</v>
      </c>
      <c r="I9" s="100"/>
      <c r="J9" s="100"/>
      <c r="L9" s="79">
        <f t="shared" si="0"/>
        <v>-2.5500000000000003</v>
      </c>
      <c r="M9" s="80">
        <f t="shared" si="5"/>
        <v>12466.473</v>
      </c>
      <c r="N9" s="80">
        <f t="shared" si="1"/>
        <v>149.09784039984356</v>
      </c>
      <c r="O9" s="81"/>
      <c r="P9" s="82" t="str">
        <f t="shared" ca="1" si="2"/>
        <v>=L$5+D11</v>
      </c>
      <c r="Q9" s="82" t="str">
        <f t="shared" ca="1" si="3"/>
        <v>=(F11+G11/2+$B$18)*$B$9</v>
      </c>
      <c r="R9" s="82" t="str">
        <f t="shared" ca="1" si="4"/>
        <v>=M9/$B$7</v>
      </c>
    </row>
    <row r="10" spans="1:18" x14ac:dyDescent="0.25">
      <c r="A10" s="71" t="s">
        <v>94</v>
      </c>
      <c r="B10" s="84" t="b">
        <f>(H21+B17+B18)*B9=M33</f>
        <v>1</v>
      </c>
      <c r="D10" s="159">
        <v>0.1</v>
      </c>
      <c r="E10" s="160">
        <v>21414.499999999996</v>
      </c>
      <c r="F10" s="160">
        <v>1577.02</v>
      </c>
      <c r="G10" s="168">
        <v>3419.1550000000002</v>
      </c>
      <c r="H10" s="173">
        <v>26410.674999999996</v>
      </c>
      <c r="I10" s="100"/>
      <c r="J10" s="100"/>
      <c r="L10" s="79">
        <f t="shared" si="0"/>
        <v>-2.4000000000000004</v>
      </c>
      <c r="M10" s="80">
        <f t="shared" si="5"/>
        <v>12466.473</v>
      </c>
      <c r="N10" s="80">
        <f t="shared" si="1"/>
        <v>149.09784039984356</v>
      </c>
      <c r="O10" s="81"/>
      <c r="P10" s="82" t="str">
        <f t="shared" ca="1" si="2"/>
        <v>=L$5+D12</v>
      </c>
      <c r="Q10" s="82" t="str">
        <f t="shared" ca="1" si="3"/>
        <v>=(F12+G12/2+$B$18)*$B$9</v>
      </c>
      <c r="R10" s="82" t="str">
        <f t="shared" ca="1" si="4"/>
        <v>=M10/$B$7</v>
      </c>
    </row>
    <row r="11" spans="1:18" x14ac:dyDescent="0.25">
      <c r="D11" s="159">
        <v>0.15</v>
      </c>
      <c r="E11" s="160">
        <v>24126.779999999992</v>
      </c>
      <c r="F11" s="160">
        <v>5322.07</v>
      </c>
      <c r="G11" s="168">
        <v>3419.1550000000002</v>
      </c>
      <c r="H11" s="173">
        <v>32868.00499999999</v>
      </c>
      <c r="I11" s="100"/>
      <c r="J11" s="100"/>
      <c r="L11" s="79">
        <f t="shared" si="0"/>
        <v>-2.2400000000000002</v>
      </c>
      <c r="M11" s="80">
        <f t="shared" si="5"/>
        <v>14724.660499999998</v>
      </c>
      <c r="N11" s="80">
        <f t="shared" si="1"/>
        <v>176.10554975500131</v>
      </c>
      <c r="O11" s="81"/>
      <c r="P11" s="82" t="str">
        <f t="shared" ca="1" si="2"/>
        <v>=L$5+D13</v>
      </c>
      <c r="Q11" s="82" t="str">
        <f t="shared" ca="1" si="3"/>
        <v>=(F13+G13/2+$B$18)*$B$9</v>
      </c>
      <c r="R11" s="82" t="str">
        <f t="shared" ca="1" si="4"/>
        <v>=M11/$B$7</v>
      </c>
    </row>
    <row r="12" spans="1:18" x14ac:dyDescent="0.25">
      <c r="A12" s="71" t="s">
        <v>107</v>
      </c>
      <c r="B12" s="75">
        <v>8</v>
      </c>
      <c r="D12" s="159">
        <v>0.3</v>
      </c>
      <c r="E12" s="160">
        <v>24126.779999999992</v>
      </c>
      <c r="F12" s="160">
        <v>5322.07</v>
      </c>
      <c r="G12" s="168">
        <v>3419.1550000000002</v>
      </c>
      <c r="H12" s="173">
        <v>32868.00499999999</v>
      </c>
      <c r="I12" s="100"/>
      <c r="J12" s="100"/>
      <c r="L12" s="79">
        <f t="shared" si="0"/>
        <v>-2.0900000000000003</v>
      </c>
      <c r="M12" s="80">
        <f t="shared" si="5"/>
        <v>14724.660499999998</v>
      </c>
      <c r="N12" s="80">
        <f t="shared" si="1"/>
        <v>176.10554975500131</v>
      </c>
      <c r="O12" s="81"/>
      <c r="P12" s="82" t="str">
        <f t="shared" ca="1" si="2"/>
        <v>=L$5+D14</v>
      </c>
      <c r="Q12" s="82" t="str">
        <f t="shared" ca="1" si="3"/>
        <v>=(F14+G14/2+$B$18)*$B$9</v>
      </c>
      <c r="R12" s="82" t="str">
        <f t="shared" ca="1" si="4"/>
        <v>=M12/$B$7</v>
      </c>
    </row>
    <row r="13" spans="1:18" x14ac:dyDescent="0.25">
      <c r="A13" s="71" t="s">
        <v>109</v>
      </c>
      <c r="B13" s="75" t="s">
        <v>108</v>
      </c>
      <c r="D13" s="159">
        <v>0.46</v>
      </c>
      <c r="E13" s="160">
        <v>28078.879999999979</v>
      </c>
      <c r="F13" s="160">
        <v>5322.07</v>
      </c>
      <c r="G13" s="168">
        <v>7935.5300000000007</v>
      </c>
      <c r="H13" s="173">
        <v>41336.479999999981</v>
      </c>
      <c r="I13" s="100"/>
      <c r="J13" s="100"/>
      <c r="L13" s="79">
        <f t="shared" si="0"/>
        <v>-1.9400000000000002</v>
      </c>
      <c r="M13" s="80">
        <f t="shared" si="5"/>
        <v>14774.190500000001</v>
      </c>
      <c r="N13" s="80">
        <f t="shared" si="1"/>
        <v>176.69792387998473</v>
      </c>
      <c r="O13" s="81"/>
      <c r="P13" s="82" t="str">
        <f t="shared" ca="1" si="2"/>
        <v>=L$5+D15</v>
      </c>
      <c r="Q13" s="82" t="str">
        <f t="shared" ca="1" si="3"/>
        <v>=(F15+G15/2+$B$18)*$B$9</v>
      </c>
      <c r="R13" s="82" t="str">
        <f t="shared" ca="1" si="4"/>
        <v>=M13/$B$7</v>
      </c>
    </row>
    <row r="14" spans="1:18" x14ac:dyDescent="0.25">
      <c r="A14" s="71" t="s">
        <v>110</v>
      </c>
      <c r="B14" s="75">
        <v>2.7</v>
      </c>
      <c r="D14" s="159">
        <v>0.61</v>
      </c>
      <c r="E14" s="160">
        <v>29657.019999999982</v>
      </c>
      <c r="F14" s="160">
        <v>5322.07</v>
      </c>
      <c r="G14" s="168">
        <v>7935.5300000000007</v>
      </c>
      <c r="H14" s="173">
        <v>42914.619999999981</v>
      </c>
      <c r="I14" s="100"/>
      <c r="J14" s="100"/>
      <c r="L14" s="79">
        <f t="shared" si="0"/>
        <v>-1.79</v>
      </c>
      <c r="M14" s="80">
        <f t="shared" si="5"/>
        <v>16484.755499999999</v>
      </c>
      <c r="N14" s="80">
        <f t="shared" si="1"/>
        <v>197.15611982390234</v>
      </c>
      <c r="O14" s="81"/>
      <c r="P14" s="82" t="str">
        <f t="shared" ca="1" si="2"/>
        <v>=L$5+D16</v>
      </c>
      <c r="Q14" s="82" t="str">
        <f t="shared" ca="1" si="3"/>
        <v>=(F16+G16/2+$B$18)*$B$9</v>
      </c>
      <c r="R14" s="82" t="str">
        <f t="shared" ca="1" si="4"/>
        <v>=M14/$B$7</v>
      </c>
    </row>
    <row r="15" spans="1:18" x14ac:dyDescent="0.25">
      <c r="D15" s="159">
        <v>0.76</v>
      </c>
      <c r="E15" s="160">
        <v>33972.049999999996</v>
      </c>
      <c r="F15" s="160">
        <v>5322.07</v>
      </c>
      <c r="G15" s="168">
        <v>8034.59</v>
      </c>
      <c r="H15" s="173">
        <v>47328.709999999992</v>
      </c>
      <c r="I15" s="100"/>
      <c r="J15" s="100"/>
      <c r="L15" s="79">
        <f t="shared" si="0"/>
        <v>-1.6800000000000002</v>
      </c>
      <c r="M15" s="80">
        <f t="shared" si="5"/>
        <v>17872.890499999998</v>
      </c>
      <c r="N15" s="80">
        <f t="shared" si="1"/>
        <v>213.75808340120577</v>
      </c>
      <c r="O15" s="81"/>
      <c r="P15" s="82" t="str">
        <f t="shared" ca="1" si="2"/>
        <v>=L$5+D17</v>
      </c>
      <c r="Q15" s="82" t="str">
        <f t="shared" ca="1" si="3"/>
        <v>=(F17+G17/2+$B$18)*$B$9</v>
      </c>
      <c r="R15" s="82" t="str">
        <f t="shared" ca="1" si="4"/>
        <v>=M15/$B$7</v>
      </c>
    </row>
    <row r="16" spans="1:18" x14ac:dyDescent="0.25">
      <c r="A16" s="72" t="s">
        <v>155</v>
      </c>
      <c r="D16" s="159">
        <v>0.91</v>
      </c>
      <c r="E16" s="160">
        <v>45926.099999999969</v>
      </c>
      <c r="F16" s="160">
        <v>6423.21</v>
      </c>
      <c r="G16" s="168">
        <v>9253.4399999999987</v>
      </c>
      <c r="H16" s="173">
        <v>61602.749999999971</v>
      </c>
      <c r="I16" s="100"/>
      <c r="J16" s="100"/>
      <c r="L16" s="79">
        <f t="shared" si="0"/>
        <v>-1.4800000000000002</v>
      </c>
      <c r="M16" s="80">
        <f t="shared" si="5"/>
        <v>18085.9205</v>
      </c>
      <c r="N16" s="80">
        <f t="shared" si="1"/>
        <v>216.30590209382066</v>
      </c>
      <c r="O16" s="81"/>
      <c r="P16" s="82" t="str">
        <f t="shared" ca="1" si="2"/>
        <v>=L$5+D18</v>
      </c>
      <c r="Q16" s="82" t="str">
        <f t="shared" ca="1" si="3"/>
        <v>=(F18+G18/2+$B$18)*$B$9</v>
      </c>
      <c r="R16" s="82" t="str">
        <f t="shared" ca="1" si="4"/>
        <v>=M16/$B$7</v>
      </c>
    </row>
    <row r="17" spans="1:18" x14ac:dyDescent="0.25">
      <c r="A17" s="71" t="s">
        <v>152</v>
      </c>
      <c r="B17" s="84">
        <v>13560.5445</v>
      </c>
      <c r="D17" s="159">
        <v>1.02</v>
      </c>
      <c r="E17" s="160">
        <v>46048.509999999966</v>
      </c>
      <c r="F17" s="160">
        <v>6423.21</v>
      </c>
      <c r="G17" s="168">
        <v>12029.71</v>
      </c>
      <c r="H17" s="173">
        <v>64501.429999999964</v>
      </c>
      <c r="I17" s="100"/>
      <c r="J17" s="100"/>
      <c r="L17" s="79">
        <f t="shared" si="0"/>
        <v>-1.1800000000000002</v>
      </c>
      <c r="M17" s="80">
        <f t="shared" si="5"/>
        <v>18178.075499999999</v>
      </c>
      <c r="N17" s="80">
        <f t="shared" si="1"/>
        <v>217.40806719553368</v>
      </c>
      <c r="O17" s="81"/>
      <c r="P17" s="82" t="str">
        <f t="shared" ca="1" si="2"/>
        <v>=L$5+D19</v>
      </c>
      <c r="Q17" s="82" t="str">
        <f t="shared" ca="1" si="3"/>
        <v>=(F19+G19/2+$B$18)*$B$9</v>
      </c>
      <c r="R17" s="82" t="str">
        <f t="shared" ca="1" si="4"/>
        <v>=M17/$B$7</v>
      </c>
    </row>
    <row r="18" spans="1:18" x14ac:dyDescent="0.25">
      <c r="A18" s="71" t="s">
        <v>153</v>
      </c>
      <c r="B18" s="84">
        <v>5434.8254999999999</v>
      </c>
      <c r="D18" s="159">
        <v>1.22</v>
      </c>
      <c r="E18" s="160">
        <v>46314.259999999973</v>
      </c>
      <c r="F18" s="160">
        <v>6423.21</v>
      </c>
      <c r="G18" s="168">
        <v>12455.769999999999</v>
      </c>
      <c r="H18" s="173">
        <v>65193.239999999969</v>
      </c>
      <c r="I18" s="100"/>
      <c r="J18" s="100"/>
      <c r="L18" s="79">
        <f t="shared" si="0"/>
        <v>-0.87000000000000011</v>
      </c>
      <c r="M18" s="80">
        <f t="shared" si="5"/>
        <v>22908.245499999997</v>
      </c>
      <c r="N18" s="80">
        <f t="shared" si="1"/>
        <v>273.98045392625755</v>
      </c>
      <c r="O18" s="81"/>
      <c r="P18" s="82" t="str">
        <f t="shared" ca="1" si="2"/>
        <v>=L$5+D20</v>
      </c>
      <c r="Q18" s="82" t="str">
        <f t="shared" ca="1" si="3"/>
        <v>=(F20+G20/2+$B$18)*$B$9</v>
      </c>
      <c r="R18" s="82" t="str">
        <f t="shared" ca="1" si="4"/>
        <v>=M18/$B$7</v>
      </c>
    </row>
    <row r="19" spans="1:18" x14ac:dyDescent="0.25">
      <c r="A19" s="71" t="s">
        <v>154</v>
      </c>
      <c r="B19" s="84">
        <v>0</v>
      </c>
      <c r="D19" s="159">
        <v>1.52</v>
      </c>
      <c r="E19" s="160">
        <v>48464.219999999972</v>
      </c>
      <c r="F19" s="160">
        <v>6423.21</v>
      </c>
      <c r="G19" s="168">
        <v>12640.079999999998</v>
      </c>
      <c r="H19" s="173">
        <v>67527.509999999966</v>
      </c>
      <c r="I19" s="100"/>
      <c r="J19" s="100"/>
      <c r="L19" s="79">
        <f>D7</f>
        <v>0</v>
      </c>
      <c r="M19" s="80">
        <f t="shared" si="5"/>
        <v>22908.245499999997</v>
      </c>
      <c r="N19" s="80">
        <f t="shared" si="1"/>
        <v>273.98045392625755</v>
      </c>
      <c r="O19" s="71" t="s">
        <v>163</v>
      </c>
      <c r="P19" s="82" t="str">
        <f t="shared" ca="1" si="2"/>
        <v>=D7</v>
      </c>
      <c r="Q19" s="82" t="str">
        <f t="shared" ca="1" si="3"/>
        <v>=(F21+G21/2+$B$18)*$B$9</v>
      </c>
      <c r="R19" s="82" t="str">
        <f t="shared" ca="1" si="4"/>
        <v>=M19/$B$7</v>
      </c>
    </row>
    <row r="20" spans="1:18" x14ac:dyDescent="0.25">
      <c r="D20" s="159">
        <v>1.83</v>
      </c>
      <c r="E20" s="160">
        <v>48464.219999999972</v>
      </c>
      <c r="F20" s="160">
        <v>11153.38</v>
      </c>
      <c r="G20" s="168">
        <v>12640.079999999998</v>
      </c>
      <c r="H20" s="173">
        <v>72257.679999999964</v>
      </c>
      <c r="I20" s="100"/>
      <c r="J20" s="100"/>
      <c r="L20" s="79">
        <f t="shared" ref="L20:L33" si="6">D8</f>
        <v>0.03</v>
      </c>
      <c r="M20" s="80">
        <f>M$19+(E8+G8/2+$B$17)*$B$9</f>
        <v>46568.137499999997</v>
      </c>
      <c r="N20" s="80">
        <f t="shared" si="1"/>
        <v>556.95052904642466</v>
      </c>
      <c r="O20" s="81"/>
      <c r="P20" s="82" t="str">
        <f t="shared" ca="1" si="2"/>
        <v>=D8</v>
      </c>
      <c r="Q20" s="82" t="str">
        <f t="shared" ca="1" si="3"/>
        <v>=M$19+(E8+G8/2+$B$17)*$B$9</v>
      </c>
      <c r="R20" s="82" t="str">
        <f t="shared" ca="1" si="4"/>
        <v>=M20/$B$7</v>
      </c>
    </row>
    <row r="21" spans="1:18" x14ac:dyDescent="0.25">
      <c r="D21" s="159">
        <v>2.7</v>
      </c>
      <c r="E21" s="160">
        <v>48464.219999999972</v>
      </c>
      <c r="F21" s="160">
        <v>11153.38</v>
      </c>
      <c r="G21" s="168">
        <v>12640.079999999998</v>
      </c>
      <c r="H21" s="173">
        <v>72257.679999999964</v>
      </c>
      <c r="I21" s="100"/>
      <c r="J21" s="100"/>
      <c r="L21" s="79">
        <f t="shared" si="6"/>
        <v>0.05</v>
      </c>
      <c r="M21" s="80">
        <f t="shared" ref="M21:M33" si="7">M$19+(E9+G9/2+$B$17)*$B$9</f>
        <v>57742.607500000006</v>
      </c>
      <c r="N21" s="80">
        <f t="shared" si="1"/>
        <v>690.59613551529856</v>
      </c>
      <c r="O21" s="81"/>
      <c r="P21" s="82" t="str">
        <f t="shared" ca="1" si="2"/>
        <v>=D9</v>
      </c>
      <c r="Q21" s="82" t="str">
        <f t="shared" ca="1" si="3"/>
        <v>=M$19+(E9+G9/2+$B$17)*$B$9</v>
      </c>
      <c r="R21" s="82" t="str">
        <f t="shared" ca="1" si="4"/>
        <v>=M21/$B$7</v>
      </c>
    </row>
    <row r="22" spans="1:18" x14ac:dyDescent="0.25">
      <c r="D22" s="99"/>
      <c r="E22" s="99"/>
      <c r="F22" s="99"/>
      <c r="G22" s="99"/>
      <c r="H22" s="99"/>
      <c r="I22" s="99"/>
      <c r="J22" s="99"/>
      <c r="L22" s="79">
        <f t="shared" si="6"/>
        <v>0.1</v>
      </c>
      <c r="M22" s="80">
        <f t="shared" si="7"/>
        <v>59592.867499999993</v>
      </c>
      <c r="N22" s="80">
        <f t="shared" si="1"/>
        <v>712.7250704737437</v>
      </c>
      <c r="O22" s="81"/>
      <c r="P22" s="82" t="str">
        <f t="shared" ref="P22:P33" ca="1" si="8">_xlfn.FORMULATEXT(L22)</f>
        <v>=D10</v>
      </c>
      <c r="Q22" s="82" t="str">
        <f t="shared" ref="Q22:Q33" ca="1" si="9">_xlfn.FORMULATEXT(M22)</f>
        <v>=M$19+(E10+G10/2+$B$17)*$B$9</v>
      </c>
      <c r="R22" s="82" t="str">
        <f t="shared" ref="R22:R33" ca="1" si="10">_xlfn.FORMULATEXT(N22)</f>
        <v>=M22/$B$7</v>
      </c>
    </row>
    <row r="23" spans="1:18" x14ac:dyDescent="0.25">
      <c r="D23" s="99"/>
      <c r="E23" s="99"/>
      <c r="F23" s="99"/>
      <c r="G23" s="99"/>
      <c r="H23" s="99"/>
      <c r="I23" s="99"/>
      <c r="J23" s="99"/>
      <c r="L23" s="79">
        <f t="shared" si="6"/>
        <v>0.15</v>
      </c>
      <c r="M23" s="80">
        <f t="shared" si="7"/>
        <v>62305.147499999985</v>
      </c>
      <c r="N23" s="80">
        <f t="shared" si="1"/>
        <v>745.16368326821146</v>
      </c>
      <c r="O23" s="81"/>
      <c r="P23" s="82" t="str">
        <f t="shared" ca="1" si="8"/>
        <v>=D11</v>
      </c>
      <c r="Q23" s="82" t="str">
        <f t="shared" ca="1" si="9"/>
        <v>=M$19+(E11+G11/2+$B$17)*$B$9</v>
      </c>
      <c r="R23" s="82" t="str">
        <f t="shared" ca="1" si="10"/>
        <v>=M23/$B$7</v>
      </c>
    </row>
    <row r="24" spans="1:18" x14ac:dyDescent="0.25">
      <c r="L24" s="79">
        <f t="shared" si="6"/>
        <v>0.3</v>
      </c>
      <c r="M24" s="80">
        <f t="shared" si="7"/>
        <v>62305.147499999985</v>
      </c>
      <c r="N24" s="80">
        <f t="shared" si="1"/>
        <v>745.16368326821146</v>
      </c>
      <c r="O24" s="81"/>
      <c r="P24" s="82" t="str">
        <f t="shared" ca="1" si="8"/>
        <v>=D12</v>
      </c>
      <c r="Q24" s="82" t="str">
        <f t="shared" ca="1" si="9"/>
        <v>=M$19+(E12+G12/2+$B$17)*$B$9</v>
      </c>
      <c r="R24" s="82" t="str">
        <f t="shared" ca="1" si="10"/>
        <v>=M24/$B$7</v>
      </c>
    </row>
    <row r="25" spans="1:18" x14ac:dyDescent="0.25">
      <c r="L25" s="79">
        <f t="shared" si="6"/>
        <v>0.46</v>
      </c>
      <c r="M25" s="80">
        <f t="shared" si="7"/>
        <v>68515.434999999969</v>
      </c>
      <c r="N25" s="80">
        <f t="shared" si="1"/>
        <v>819.43813559423347</v>
      </c>
      <c r="O25" s="81"/>
      <c r="P25" s="82" t="str">
        <f t="shared" ca="1" si="8"/>
        <v>=D13</v>
      </c>
      <c r="Q25" s="82" t="str">
        <f t="shared" ca="1" si="9"/>
        <v>=M$19+(E13+G13/2+$B$17)*$B$9</v>
      </c>
      <c r="R25" s="82" t="str">
        <f t="shared" ca="1" si="10"/>
        <v>=M25/$B$7</v>
      </c>
    </row>
    <row r="26" spans="1:18" x14ac:dyDescent="0.25">
      <c r="L26" s="79">
        <f t="shared" si="6"/>
        <v>0.61</v>
      </c>
      <c r="M26" s="80">
        <f t="shared" si="7"/>
        <v>70093.574999999983</v>
      </c>
      <c r="N26" s="80">
        <f t="shared" si="1"/>
        <v>838.31254103742583</v>
      </c>
      <c r="O26" s="81"/>
      <c r="P26" s="82" t="str">
        <f t="shared" ca="1" si="8"/>
        <v>=D14</v>
      </c>
      <c r="Q26" s="82" t="str">
        <f t="shared" ca="1" si="9"/>
        <v>=M$19+(E14+G14/2+$B$17)*$B$9</v>
      </c>
      <c r="R26" s="82" t="str">
        <f t="shared" ca="1" si="10"/>
        <v>=M26/$B$7</v>
      </c>
    </row>
    <row r="27" spans="1:18" x14ac:dyDescent="0.25">
      <c r="L27" s="79">
        <f t="shared" si="6"/>
        <v>0.76</v>
      </c>
      <c r="M27" s="80">
        <f t="shared" si="7"/>
        <v>74458.13499999998</v>
      </c>
      <c r="N27" s="80">
        <f t="shared" si="1"/>
        <v>890.51226667719106</v>
      </c>
      <c r="O27" s="81"/>
      <c r="P27" s="82" t="str">
        <f t="shared" ca="1" si="8"/>
        <v>=D15</v>
      </c>
      <c r="Q27" s="82" t="str">
        <f t="shared" ca="1" si="9"/>
        <v>=M$19+(E15+G15/2+$B$17)*$B$9</v>
      </c>
      <c r="R27" s="82" t="str">
        <f t="shared" ca="1" si="10"/>
        <v>=M27/$B$7</v>
      </c>
    </row>
    <row r="28" spans="1:18" x14ac:dyDescent="0.25">
      <c r="L28" s="79">
        <f t="shared" si="6"/>
        <v>0.91</v>
      </c>
      <c r="M28" s="80">
        <f t="shared" si="7"/>
        <v>87021.609999999957</v>
      </c>
      <c r="N28" s="80">
        <f t="shared" si="1"/>
        <v>1040.7702418412509</v>
      </c>
      <c r="O28" s="81"/>
      <c r="P28" s="82" t="str">
        <f t="shared" ca="1" si="8"/>
        <v>=D16</v>
      </c>
      <c r="Q28" s="82" t="str">
        <f t="shared" ca="1" si="9"/>
        <v>=M$19+(E16+G16/2+$B$17)*$B$9</v>
      </c>
      <c r="R28" s="82" t="str">
        <f t="shared" ca="1" si="10"/>
        <v>=M28/$B$7</v>
      </c>
    </row>
    <row r="29" spans="1:18" x14ac:dyDescent="0.25">
      <c r="L29" s="79">
        <f t="shared" si="6"/>
        <v>1.02</v>
      </c>
      <c r="M29" s="80">
        <f t="shared" si="7"/>
        <v>88532.15499999997</v>
      </c>
      <c r="N29" s="80">
        <f t="shared" si="1"/>
        <v>1058.8362174645713</v>
      </c>
      <c r="O29" s="81"/>
      <c r="P29" s="82" t="str">
        <f t="shared" ca="1" si="8"/>
        <v>=D17</v>
      </c>
      <c r="Q29" s="82" t="str">
        <f t="shared" ca="1" si="9"/>
        <v>=M$19+(E17+G17/2+$B$17)*$B$9</v>
      </c>
      <c r="R29" s="82" t="str">
        <f t="shared" ca="1" si="10"/>
        <v>=M29/$B$7</v>
      </c>
    </row>
    <row r="30" spans="1:18" x14ac:dyDescent="0.25">
      <c r="L30" s="79">
        <f t="shared" si="6"/>
        <v>1.22</v>
      </c>
      <c r="M30" s="80">
        <f t="shared" si="7"/>
        <v>89010.934999999969</v>
      </c>
      <c r="N30" s="80">
        <f t="shared" si="1"/>
        <v>1064.5623810736881</v>
      </c>
      <c r="O30" s="81"/>
      <c r="P30" s="82" t="str">
        <f t="shared" ca="1" si="8"/>
        <v>=D18</v>
      </c>
      <c r="Q30" s="82" t="str">
        <f t="shared" ca="1" si="9"/>
        <v>=M$19+(E18+G18/2+$B$17)*$B$9</v>
      </c>
      <c r="R30" s="82" t="str">
        <f t="shared" ca="1" si="10"/>
        <v>=M30/$B$7</v>
      </c>
    </row>
    <row r="31" spans="1:18" x14ac:dyDescent="0.25">
      <c r="L31" s="79">
        <f t="shared" si="6"/>
        <v>1.52</v>
      </c>
      <c r="M31" s="80">
        <f t="shared" si="7"/>
        <v>91253.049999999959</v>
      </c>
      <c r="N31" s="80">
        <f t="shared" si="1"/>
        <v>1091.3778648458901</v>
      </c>
      <c r="O31" s="81"/>
      <c r="P31" s="82" t="str">
        <f t="shared" ca="1" si="8"/>
        <v>=D19</v>
      </c>
      <c r="Q31" s="82" t="str">
        <f t="shared" ca="1" si="9"/>
        <v>=M$19+(E19+G19/2+$B$17)*$B$9</v>
      </c>
      <c r="R31" s="82" t="str">
        <f t="shared" ca="1" si="10"/>
        <v>=M31/$B$7</v>
      </c>
    </row>
    <row r="32" spans="1:18" x14ac:dyDescent="0.25">
      <c r="L32" s="79">
        <f t="shared" si="6"/>
        <v>1.83</v>
      </c>
      <c r="M32" s="80">
        <f t="shared" si="7"/>
        <v>91253.049999999959</v>
      </c>
      <c r="N32" s="80">
        <f t="shared" si="1"/>
        <v>1091.3778648458901</v>
      </c>
      <c r="O32" s="81"/>
      <c r="P32" s="82" t="str">
        <f t="shared" ca="1" si="8"/>
        <v>=D20</v>
      </c>
      <c r="Q32" s="82" t="str">
        <f t="shared" ca="1" si="9"/>
        <v>=M$19+(E20+G20/2+$B$17)*$B$9</v>
      </c>
      <c r="R32" s="82" t="str">
        <f t="shared" ca="1" si="10"/>
        <v>=M32/$B$7</v>
      </c>
    </row>
    <row r="33" spans="12:18" x14ac:dyDescent="0.25">
      <c r="L33" s="79">
        <f t="shared" si="6"/>
        <v>2.7</v>
      </c>
      <c r="M33" s="80">
        <f>M$19+(E21+G21/2+$B$17)*$B$9</f>
        <v>91253.049999999959</v>
      </c>
      <c r="N33" s="80">
        <f t="shared" si="1"/>
        <v>1091.3778648458901</v>
      </c>
      <c r="O33" s="81"/>
      <c r="P33" s="82" t="str">
        <f t="shared" ca="1" si="8"/>
        <v>=D21</v>
      </c>
      <c r="Q33" s="82" t="str">
        <f t="shared" ca="1" si="9"/>
        <v>=M$19+(E21+G21/2+$B$17)*$B$9</v>
      </c>
      <c r="R33" s="82" t="str">
        <f t="shared" ca="1" si="10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H3"/>
  </mergeCells>
  <conditionalFormatting sqref="M4:M33">
    <cfRule type="expression" dxfId="3" priority="6">
      <formula>$M$1="Total - $/structure"</formula>
    </cfRule>
  </conditionalFormatting>
  <conditionalFormatting sqref="N4:N33">
    <cfRule type="expression" dxfId="2" priority="5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O21"/>
    </sheetView>
  </sheetViews>
  <sheetFormatPr defaultRowHeight="15" x14ac:dyDescent="0.25"/>
  <cols>
    <col min="4" max="26" width="10.7109375" customWidth="1"/>
  </cols>
  <sheetData>
    <row r="3" spans="4:21" x14ac:dyDescent="0.25">
      <c r="D3" s="161" t="s">
        <v>557</v>
      </c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28"/>
      <c r="Q3" s="128"/>
      <c r="R3" s="128"/>
      <c r="S3" s="128"/>
      <c r="T3" s="128"/>
      <c r="U3" s="8"/>
    </row>
    <row r="4" spans="4:21" ht="45" x14ac:dyDescent="0.25">
      <c r="D4" s="163" t="s">
        <v>106</v>
      </c>
      <c r="E4" s="164" t="s">
        <v>66</v>
      </c>
      <c r="F4" s="164" t="s">
        <v>67</v>
      </c>
      <c r="G4" s="164" t="s">
        <v>68</v>
      </c>
      <c r="H4" s="164" t="s">
        <v>13</v>
      </c>
      <c r="I4" s="164" t="s">
        <v>15</v>
      </c>
      <c r="J4" s="164" t="s">
        <v>4</v>
      </c>
      <c r="K4" s="164" t="s">
        <v>7</v>
      </c>
      <c r="L4" s="164" t="s">
        <v>5</v>
      </c>
      <c r="M4" s="164" t="s">
        <v>14</v>
      </c>
      <c r="N4" s="164" t="s">
        <v>6</v>
      </c>
      <c r="O4" s="164" t="s">
        <v>28</v>
      </c>
      <c r="P4" s="125"/>
      <c r="Q4" s="125"/>
      <c r="R4" s="125"/>
      <c r="S4" s="125"/>
      <c r="T4" s="125"/>
      <c r="U4" s="8"/>
    </row>
    <row r="5" spans="4:21" x14ac:dyDescent="0.25">
      <c r="D5" s="165">
        <v>-0.9</v>
      </c>
      <c r="E5" s="166">
        <v>0</v>
      </c>
      <c r="F5" s="166">
        <v>0</v>
      </c>
      <c r="G5" s="166">
        <v>0</v>
      </c>
      <c r="H5" s="166">
        <v>0</v>
      </c>
      <c r="I5" s="166">
        <v>0</v>
      </c>
      <c r="J5" s="166">
        <v>0</v>
      </c>
      <c r="K5" s="166">
        <v>0</v>
      </c>
      <c r="L5" s="166">
        <v>0</v>
      </c>
      <c r="M5" s="166">
        <v>0</v>
      </c>
      <c r="N5" s="166">
        <v>0</v>
      </c>
      <c r="O5" s="166">
        <v>0</v>
      </c>
      <c r="P5" s="127"/>
      <c r="Q5" s="127"/>
      <c r="R5" s="127"/>
      <c r="S5" s="127"/>
      <c r="T5" s="127"/>
      <c r="U5" s="8"/>
    </row>
    <row r="6" spans="4:21" x14ac:dyDescent="0.25">
      <c r="D6" s="165">
        <v>-0.46</v>
      </c>
      <c r="E6" s="166">
        <v>0</v>
      </c>
      <c r="F6" s="166">
        <v>0</v>
      </c>
      <c r="G6" s="166">
        <v>0</v>
      </c>
      <c r="H6" s="166">
        <v>0</v>
      </c>
      <c r="I6" s="166">
        <v>0</v>
      </c>
      <c r="J6" s="166">
        <v>0</v>
      </c>
      <c r="K6" s="166">
        <v>0</v>
      </c>
      <c r="L6" s="166">
        <v>0</v>
      </c>
      <c r="M6" s="166">
        <v>0</v>
      </c>
      <c r="N6" s="166">
        <v>0</v>
      </c>
      <c r="O6" s="166">
        <v>0</v>
      </c>
      <c r="P6" s="127"/>
      <c r="Q6" s="127"/>
      <c r="R6" s="127"/>
      <c r="S6" s="127"/>
      <c r="T6" s="127"/>
      <c r="U6" s="8"/>
    </row>
    <row r="7" spans="4:21" x14ac:dyDescent="0.25">
      <c r="D7" s="165">
        <v>0</v>
      </c>
      <c r="E7" s="166">
        <v>0</v>
      </c>
      <c r="F7" s="166">
        <v>0</v>
      </c>
      <c r="G7" s="166">
        <v>0</v>
      </c>
      <c r="H7" s="166">
        <v>0</v>
      </c>
      <c r="I7" s="166">
        <v>0</v>
      </c>
      <c r="J7" s="166">
        <v>0</v>
      </c>
      <c r="K7" s="166">
        <v>0</v>
      </c>
      <c r="L7" s="166">
        <v>0</v>
      </c>
      <c r="M7" s="166">
        <v>0</v>
      </c>
      <c r="N7" s="166">
        <v>0</v>
      </c>
      <c r="O7" s="166">
        <v>0</v>
      </c>
      <c r="P7" s="127"/>
      <c r="Q7" s="127"/>
      <c r="R7" s="127"/>
      <c r="S7" s="127"/>
      <c r="T7" s="127"/>
      <c r="U7" s="8"/>
    </row>
    <row r="8" spans="4:21" x14ac:dyDescent="0.25">
      <c r="D8" s="165">
        <v>0.03</v>
      </c>
      <c r="E8" s="166">
        <v>2098.1149999999998</v>
      </c>
      <c r="F8" s="166">
        <v>0</v>
      </c>
      <c r="G8" s="166">
        <v>0</v>
      </c>
      <c r="H8" s="166">
        <v>693.49749999999995</v>
      </c>
      <c r="I8" s="166">
        <v>669.55499999999995</v>
      </c>
      <c r="J8" s="166">
        <v>2939.3100000000004</v>
      </c>
      <c r="K8" s="166">
        <v>1153.605</v>
      </c>
      <c r="L8" s="166">
        <v>646.12250000000006</v>
      </c>
      <c r="M8" s="166">
        <v>2100.4324999999999</v>
      </c>
      <c r="N8" s="166">
        <v>847.76749999999993</v>
      </c>
      <c r="O8" s="166">
        <v>11148.405000000001</v>
      </c>
      <c r="P8" s="127"/>
      <c r="Q8" s="127"/>
      <c r="R8" s="127"/>
      <c r="S8" s="127"/>
      <c r="T8" s="127"/>
      <c r="U8" s="8"/>
    </row>
    <row r="9" spans="4:21" x14ac:dyDescent="0.25">
      <c r="D9" s="165">
        <v>0.05</v>
      </c>
      <c r="E9" s="166">
        <v>3419.1550000000002</v>
      </c>
      <c r="F9" s="166">
        <v>0</v>
      </c>
      <c r="G9" s="166">
        <v>0</v>
      </c>
      <c r="H9" s="166">
        <v>2026.8575000000001</v>
      </c>
      <c r="I9" s="166">
        <v>1528.375</v>
      </c>
      <c r="J9" s="166">
        <v>6108.4699999999993</v>
      </c>
      <c r="K9" s="166">
        <v>4390.7249999999995</v>
      </c>
      <c r="L9" s="166">
        <v>1071.2325000000001</v>
      </c>
      <c r="M9" s="166">
        <v>3012.8025000000002</v>
      </c>
      <c r="N9" s="166">
        <v>1425.7775000000004</v>
      </c>
      <c r="O9" s="166">
        <v>22983.395000000004</v>
      </c>
      <c r="P9" s="127"/>
      <c r="Q9" s="127"/>
      <c r="R9" s="127"/>
      <c r="S9" s="127"/>
      <c r="T9" s="127"/>
      <c r="U9" s="8"/>
    </row>
    <row r="10" spans="4:21" x14ac:dyDescent="0.25">
      <c r="D10" s="165">
        <v>0.1</v>
      </c>
      <c r="E10" s="166">
        <v>3419.1550000000002</v>
      </c>
      <c r="F10" s="166">
        <v>1577.02</v>
      </c>
      <c r="G10" s="166">
        <v>1850.26</v>
      </c>
      <c r="H10" s="166">
        <v>2026.8575000000001</v>
      </c>
      <c r="I10" s="166">
        <v>1528.375</v>
      </c>
      <c r="J10" s="166">
        <v>6108.4699999999993</v>
      </c>
      <c r="K10" s="166">
        <v>4390.7249999999995</v>
      </c>
      <c r="L10" s="166">
        <v>1071.2325000000001</v>
      </c>
      <c r="M10" s="166">
        <v>3012.8025000000002</v>
      </c>
      <c r="N10" s="166">
        <v>1425.7775000000004</v>
      </c>
      <c r="O10" s="166">
        <v>26410.674999999996</v>
      </c>
      <c r="P10" s="127"/>
      <c r="Q10" s="127"/>
      <c r="R10" s="127"/>
      <c r="S10" s="127"/>
      <c r="T10" s="127"/>
      <c r="U10" s="8"/>
    </row>
    <row r="11" spans="4:21" x14ac:dyDescent="0.25">
      <c r="D11" s="165">
        <v>0.15</v>
      </c>
      <c r="E11" s="166">
        <v>3419.1550000000002</v>
      </c>
      <c r="F11" s="166">
        <v>5322.07</v>
      </c>
      <c r="G11" s="166">
        <v>1850.26</v>
      </c>
      <c r="H11" s="166">
        <v>2026.8575000000001</v>
      </c>
      <c r="I11" s="166">
        <v>1528.375</v>
      </c>
      <c r="J11" s="166">
        <v>6108.4699999999993</v>
      </c>
      <c r="K11" s="166">
        <v>7103.0050000000001</v>
      </c>
      <c r="L11" s="166">
        <v>1071.2325000000001</v>
      </c>
      <c r="M11" s="166">
        <v>3012.8025000000002</v>
      </c>
      <c r="N11" s="166">
        <v>1425.7775000000004</v>
      </c>
      <c r="O11" s="166">
        <v>32868.005000000005</v>
      </c>
      <c r="P11" s="127"/>
      <c r="Q11" s="127"/>
      <c r="R11" s="127"/>
      <c r="S11" s="127"/>
      <c r="T11" s="127"/>
      <c r="U11" s="8"/>
    </row>
    <row r="12" spans="4:21" x14ac:dyDescent="0.25">
      <c r="D12" s="165">
        <v>0.3</v>
      </c>
      <c r="E12" s="166">
        <v>3419.1550000000002</v>
      </c>
      <c r="F12" s="166">
        <v>5322.07</v>
      </c>
      <c r="G12" s="166">
        <v>1850.26</v>
      </c>
      <c r="H12" s="166">
        <v>2026.8575000000001</v>
      </c>
      <c r="I12" s="166">
        <v>1528.375</v>
      </c>
      <c r="J12" s="166">
        <v>6108.4699999999993</v>
      </c>
      <c r="K12" s="166">
        <v>7103.0050000000001</v>
      </c>
      <c r="L12" s="166">
        <v>1071.2325000000001</v>
      </c>
      <c r="M12" s="166">
        <v>3012.8025000000002</v>
      </c>
      <c r="N12" s="166">
        <v>1425.7775000000004</v>
      </c>
      <c r="O12" s="166">
        <v>32868.005000000005</v>
      </c>
      <c r="P12" s="127"/>
      <c r="Q12" s="127"/>
      <c r="R12" s="127"/>
      <c r="S12" s="127"/>
      <c r="T12" s="127"/>
      <c r="U12" s="8"/>
    </row>
    <row r="13" spans="4:21" x14ac:dyDescent="0.25">
      <c r="D13" s="165">
        <v>0.46</v>
      </c>
      <c r="E13" s="166">
        <v>7935.5300000000007</v>
      </c>
      <c r="F13" s="166">
        <v>5322.07</v>
      </c>
      <c r="G13" s="166">
        <v>1952.944</v>
      </c>
      <c r="H13" s="166">
        <v>2336.7489999999998</v>
      </c>
      <c r="I13" s="166">
        <v>1867.5300000000002</v>
      </c>
      <c r="J13" s="166">
        <v>7122.0600000000013</v>
      </c>
      <c r="K13" s="166">
        <v>7772.1020000000008</v>
      </c>
      <c r="L13" s="166">
        <v>1414.8849999999998</v>
      </c>
      <c r="M13" s="166">
        <v>3809.9249999999997</v>
      </c>
      <c r="N13" s="166">
        <v>1802.6849999999999</v>
      </c>
      <c r="O13" s="166">
        <v>41336.480000000003</v>
      </c>
      <c r="P13" s="127"/>
      <c r="Q13" s="127"/>
      <c r="R13" s="127"/>
      <c r="S13" s="127"/>
      <c r="T13" s="127"/>
      <c r="U13" s="8"/>
    </row>
    <row r="14" spans="4:21" x14ac:dyDescent="0.25">
      <c r="D14" s="165">
        <v>0.61</v>
      </c>
      <c r="E14" s="166">
        <v>7935.5300000000007</v>
      </c>
      <c r="F14" s="166">
        <v>5322.07</v>
      </c>
      <c r="G14" s="166">
        <v>1952.944</v>
      </c>
      <c r="H14" s="166">
        <v>3914.8890000000006</v>
      </c>
      <c r="I14" s="166">
        <v>1867.5300000000002</v>
      </c>
      <c r="J14" s="166">
        <v>7122.0600000000013</v>
      </c>
      <c r="K14" s="166">
        <v>7772.1020000000008</v>
      </c>
      <c r="L14" s="166">
        <v>1414.8849999999998</v>
      </c>
      <c r="M14" s="166">
        <v>3809.9249999999997</v>
      </c>
      <c r="N14" s="166">
        <v>1802.6849999999999</v>
      </c>
      <c r="O14" s="166">
        <v>42914.62</v>
      </c>
      <c r="P14" s="127"/>
      <c r="Q14" s="127"/>
      <c r="R14" s="127"/>
      <c r="S14" s="127"/>
      <c r="T14" s="127"/>
      <c r="U14" s="8"/>
    </row>
    <row r="15" spans="4:21" x14ac:dyDescent="0.25">
      <c r="D15" s="165">
        <v>0.76</v>
      </c>
      <c r="E15" s="166">
        <v>8034.59</v>
      </c>
      <c r="F15" s="166">
        <v>5322.07</v>
      </c>
      <c r="G15" s="166">
        <v>1952.944</v>
      </c>
      <c r="H15" s="166">
        <v>4628.6990000000014</v>
      </c>
      <c r="I15" s="166">
        <v>1867.5300000000002</v>
      </c>
      <c r="J15" s="166">
        <v>7122.0600000000013</v>
      </c>
      <c r="K15" s="166">
        <v>11373.321999999998</v>
      </c>
      <c r="L15" s="166">
        <v>1414.8849999999998</v>
      </c>
      <c r="M15" s="166">
        <v>3809.9249999999997</v>
      </c>
      <c r="N15" s="166">
        <v>1802.6849999999999</v>
      </c>
      <c r="O15" s="166">
        <v>47328.71</v>
      </c>
      <c r="P15" s="127"/>
      <c r="Q15" s="127"/>
      <c r="R15" s="127"/>
      <c r="S15" s="127"/>
      <c r="T15" s="127"/>
      <c r="U15" s="8"/>
    </row>
    <row r="16" spans="4:21" x14ac:dyDescent="0.25">
      <c r="D16" s="165">
        <v>0.91</v>
      </c>
      <c r="E16" s="166">
        <v>9253.4399999999987</v>
      </c>
      <c r="F16" s="166">
        <v>6423.21</v>
      </c>
      <c r="G16" s="166">
        <v>2208.5640000000003</v>
      </c>
      <c r="H16" s="166">
        <v>8688.4139999999989</v>
      </c>
      <c r="I16" s="166">
        <v>2644.4399999999996</v>
      </c>
      <c r="J16" s="166">
        <v>9078.42</v>
      </c>
      <c r="K16" s="166">
        <v>13667.922</v>
      </c>
      <c r="L16" s="166">
        <v>1947.83</v>
      </c>
      <c r="M16" s="166">
        <v>5172.6100000000006</v>
      </c>
      <c r="N16" s="166">
        <v>2517.8999999999996</v>
      </c>
      <c r="O16" s="166">
        <v>61602.75</v>
      </c>
      <c r="P16" s="127"/>
      <c r="Q16" s="127"/>
      <c r="R16" s="127"/>
      <c r="S16" s="127"/>
      <c r="T16" s="127"/>
      <c r="U16" s="8"/>
    </row>
    <row r="17" spans="4:21" x14ac:dyDescent="0.25">
      <c r="D17" s="165">
        <v>1.02</v>
      </c>
      <c r="E17" s="166">
        <v>12029.71</v>
      </c>
      <c r="F17" s="166">
        <v>6423.21</v>
      </c>
      <c r="G17" s="166">
        <v>2208.5640000000003</v>
      </c>
      <c r="H17" s="166">
        <v>8688.4139999999989</v>
      </c>
      <c r="I17" s="166">
        <v>2644.4399999999996</v>
      </c>
      <c r="J17" s="166">
        <v>9078.42</v>
      </c>
      <c r="K17" s="166">
        <v>13790.332</v>
      </c>
      <c r="L17" s="166">
        <v>1947.83</v>
      </c>
      <c r="M17" s="166">
        <v>5172.6100000000006</v>
      </c>
      <c r="N17" s="166">
        <v>2517.8999999999996</v>
      </c>
      <c r="O17" s="166">
        <v>64501.43</v>
      </c>
      <c r="P17" s="127"/>
      <c r="Q17" s="127"/>
      <c r="R17" s="127"/>
      <c r="S17" s="127"/>
      <c r="T17" s="127"/>
      <c r="U17" s="8"/>
    </row>
    <row r="18" spans="4:21" x14ac:dyDescent="0.25">
      <c r="D18" s="165">
        <v>1.22</v>
      </c>
      <c r="E18" s="166">
        <v>12455.769999999999</v>
      </c>
      <c r="F18" s="166">
        <v>6423.21</v>
      </c>
      <c r="G18" s="166">
        <v>2208.5640000000003</v>
      </c>
      <c r="H18" s="166">
        <v>8688.4139999999989</v>
      </c>
      <c r="I18" s="166">
        <v>2644.4399999999996</v>
      </c>
      <c r="J18" s="166">
        <v>9131.4200000000019</v>
      </c>
      <c r="K18" s="166">
        <v>14003.082</v>
      </c>
      <c r="L18" s="166">
        <v>1947.83</v>
      </c>
      <c r="M18" s="166">
        <v>5172.6100000000006</v>
      </c>
      <c r="N18" s="166">
        <v>2517.8999999999996</v>
      </c>
      <c r="O18" s="166">
        <v>65193.240000000005</v>
      </c>
      <c r="P18" s="127"/>
      <c r="Q18" s="127"/>
      <c r="R18" s="127"/>
      <c r="S18" s="127"/>
      <c r="T18" s="127"/>
      <c r="U18" s="8"/>
    </row>
    <row r="19" spans="4:21" x14ac:dyDescent="0.25">
      <c r="D19" s="165">
        <v>1.52</v>
      </c>
      <c r="E19" s="166">
        <v>12640.079999999998</v>
      </c>
      <c r="F19" s="166">
        <v>6423.21</v>
      </c>
      <c r="G19" s="166">
        <v>2500.4499999999998</v>
      </c>
      <c r="H19" s="166">
        <v>9093.81</v>
      </c>
      <c r="I19" s="166">
        <v>2754.0499999999993</v>
      </c>
      <c r="J19" s="166">
        <v>9614.7000000000025</v>
      </c>
      <c r="K19" s="166">
        <v>14214.429999999998</v>
      </c>
      <c r="L19" s="166">
        <v>2072.81</v>
      </c>
      <c r="M19" s="166">
        <v>5502.2800000000007</v>
      </c>
      <c r="N19" s="166">
        <v>2711.69</v>
      </c>
      <c r="O19" s="166">
        <v>67527.509999999995</v>
      </c>
      <c r="P19" s="127"/>
      <c r="Q19" s="127"/>
      <c r="R19" s="127"/>
      <c r="S19" s="127"/>
      <c r="T19" s="127"/>
      <c r="U19" s="8"/>
    </row>
    <row r="20" spans="4:21" x14ac:dyDescent="0.25">
      <c r="D20" s="165">
        <v>1.83</v>
      </c>
      <c r="E20" s="166">
        <v>12640.079999999998</v>
      </c>
      <c r="F20" s="166">
        <v>11153.38</v>
      </c>
      <c r="G20" s="166">
        <v>2500.4499999999998</v>
      </c>
      <c r="H20" s="166">
        <v>9093.81</v>
      </c>
      <c r="I20" s="166">
        <v>2754.0499999999993</v>
      </c>
      <c r="J20" s="166">
        <v>9614.7000000000025</v>
      </c>
      <c r="K20" s="166">
        <v>14214.429999999998</v>
      </c>
      <c r="L20" s="166">
        <v>2072.81</v>
      </c>
      <c r="M20" s="166">
        <v>5502.2800000000007</v>
      </c>
      <c r="N20" s="166">
        <v>2711.69</v>
      </c>
      <c r="O20" s="166">
        <v>72257.680000000008</v>
      </c>
      <c r="P20" s="127"/>
      <c r="Q20" s="127"/>
      <c r="R20" s="127"/>
      <c r="S20" s="127"/>
      <c r="T20" s="127"/>
      <c r="U20" s="8"/>
    </row>
    <row r="21" spans="4:21" x14ac:dyDescent="0.25">
      <c r="D21" s="165">
        <v>2.7</v>
      </c>
      <c r="E21" s="166">
        <v>12640.079999999998</v>
      </c>
      <c r="F21" s="166">
        <v>11153.38</v>
      </c>
      <c r="G21" s="166">
        <v>2500.4499999999998</v>
      </c>
      <c r="H21" s="166">
        <v>9093.81</v>
      </c>
      <c r="I21" s="166">
        <v>2754.0499999999993</v>
      </c>
      <c r="J21" s="166">
        <v>9614.7000000000025</v>
      </c>
      <c r="K21" s="166">
        <v>14214.429999999998</v>
      </c>
      <c r="L21" s="166">
        <v>2072.81</v>
      </c>
      <c r="M21" s="166">
        <v>5502.2800000000007</v>
      </c>
      <c r="N21" s="166">
        <v>2711.69</v>
      </c>
      <c r="O21" s="166">
        <v>72257.680000000008</v>
      </c>
      <c r="P21" s="127"/>
      <c r="Q21" s="127"/>
      <c r="R21" s="127"/>
      <c r="S21" s="127"/>
      <c r="T21" s="127"/>
      <c r="U21" s="8"/>
    </row>
  </sheetData>
  <mergeCells count="1">
    <mergeCell ref="D3:O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137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158</v>
      </c>
    </row>
    <row r="3" spans="1:9" x14ac:dyDescent="0.25">
      <c r="A3" t="s">
        <v>11</v>
      </c>
      <c r="C3" t="s">
        <v>83</v>
      </c>
      <c r="G3" t="s">
        <v>86</v>
      </c>
      <c r="I3" t="s">
        <v>159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563</v>
      </c>
    </row>
    <row r="2" spans="1:2" x14ac:dyDescent="0.25">
      <c r="A2" s="33" t="s">
        <v>113</v>
      </c>
      <c r="B2" s="55" t="s">
        <v>250</v>
      </c>
    </row>
    <row r="3" spans="1:2" x14ac:dyDescent="0.25">
      <c r="A3" s="33" t="s">
        <v>102</v>
      </c>
      <c r="B3" s="55" t="s">
        <v>172</v>
      </c>
    </row>
    <row r="4" spans="1:2" x14ac:dyDescent="0.25">
      <c r="A4" s="33" t="s">
        <v>115</v>
      </c>
      <c r="B4" s="55">
        <v>1</v>
      </c>
    </row>
    <row r="5" spans="1:2" x14ac:dyDescent="0.25">
      <c r="A5" s="33" t="s">
        <v>114</v>
      </c>
      <c r="B5" s="55" t="s">
        <v>243</v>
      </c>
    </row>
    <row r="6" spans="1:2" x14ac:dyDescent="0.25">
      <c r="A6" s="33" t="s">
        <v>116</v>
      </c>
      <c r="B6" s="55" t="s">
        <v>11</v>
      </c>
    </row>
    <row r="7" spans="1:2" x14ac:dyDescent="0.25">
      <c r="A7" s="33" t="s">
        <v>117</v>
      </c>
      <c r="B7" s="55" t="s">
        <v>196</v>
      </c>
    </row>
    <row r="8" spans="1:2" x14ac:dyDescent="0.25">
      <c r="A8" s="33" t="s">
        <v>21</v>
      </c>
      <c r="B8" s="55" t="s">
        <v>251</v>
      </c>
    </row>
    <row r="9" spans="1:2" x14ac:dyDescent="0.25">
      <c r="A9" s="33" t="s">
        <v>20</v>
      </c>
      <c r="B9" s="55" t="s">
        <v>263</v>
      </c>
    </row>
    <row r="10" spans="1:2" x14ac:dyDescent="0.25">
      <c r="A10" s="33" t="s">
        <v>118</v>
      </c>
      <c r="B10" s="55" t="s">
        <v>79</v>
      </c>
    </row>
    <row r="11" spans="1:2" x14ac:dyDescent="0.25">
      <c r="A11" s="33" t="s">
        <v>119</v>
      </c>
      <c r="B11" s="56">
        <v>45176</v>
      </c>
    </row>
    <row r="12" spans="1:2" x14ac:dyDescent="0.25">
      <c r="A12" s="33" t="s">
        <v>120</v>
      </c>
      <c r="B12" s="55" t="s">
        <v>533</v>
      </c>
    </row>
    <row r="13" spans="1:2" x14ac:dyDescent="0.25">
      <c r="A13" s="89" t="s">
        <v>140</v>
      </c>
      <c r="B13" s="55" t="s">
        <v>141</v>
      </c>
    </row>
    <row r="14" spans="1:2" x14ac:dyDescent="0.25">
      <c r="A14" s="33" t="s">
        <v>121</v>
      </c>
      <c r="B14" s="55" t="s">
        <v>226</v>
      </c>
    </row>
    <row r="15" spans="1:2" x14ac:dyDescent="0.25">
      <c r="A15" s="33" t="s">
        <v>122</v>
      </c>
      <c r="B15" s="55" t="s">
        <v>141</v>
      </c>
    </row>
    <row r="16" spans="1:2" x14ac:dyDescent="0.25">
      <c r="A16" s="33" t="s">
        <v>123</v>
      </c>
      <c r="B16" s="55">
        <v>900</v>
      </c>
    </row>
    <row r="17" spans="1:2" x14ac:dyDescent="0.25">
      <c r="A17" s="33" t="s">
        <v>124</v>
      </c>
      <c r="B17" s="55">
        <v>83.61</v>
      </c>
    </row>
    <row r="18" spans="1:2" x14ac:dyDescent="0.25">
      <c r="A18" s="33" t="s">
        <v>125</v>
      </c>
      <c r="B18" s="55" t="s">
        <v>559</v>
      </c>
    </row>
    <row r="19" spans="1:2" x14ac:dyDescent="0.25">
      <c r="A19" s="33" t="s">
        <v>126</v>
      </c>
      <c r="B19" s="55" t="s">
        <v>560</v>
      </c>
    </row>
    <row r="20" spans="1:2" x14ac:dyDescent="0.25">
      <c r="A20" s="33" t="s">
        <v>128</v>
      </c>
      <c r="B20" s="55" t="s">
        <v>11</v>
      </c>
    </row>
    <row r="21" spans="1:2" x14ac:dyDescent="0.25">
      <c r="A21" s="33" t="s">
        <v>129</v>
      </c>
      <c r="B21" s="55" t="s">
        <v>141</v>
      </c>
    </row>
    <row r="22" spans="1:2" x14ac:dyDescent="0.25">
      <c r="A22" s="33" t="s">
        <v>130</v>
      </c>
      <c r="B22" s="55">
        <v>1</v>
      </c>
    </row>
    <row r="23" spans="1:2" x14ac:dyDescent="0.25">
      <c r="A23" s="33" t="s">
        <v>131</v>
      </c>
      <c r="B23" s="61">
        <v>2.7</v>
      </c>
    </row>
    <row r="24" spans="1:2" x14ac:dyDescent="0.25">
      <c r="A24" s="60" t="s">
        <v>139</v>
      </c>
      <c r="B24" s="88" t="s">
        <v>159</v>
      </c>
    </row>
    <row r="25" spans="1:2" x14ac:dyDescent="0.25">
      <c r="A25" s="63" t="s">
        <v>22</v>
      </c>
      <c r="B25" s="63" t="s">
        <v>561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77.546628682006443</v>
      </c>
    </row>
    <row r="28" spans="1:2" x14ac:dyDescent="0.25">
      <c r="A28" s="54">
        <v>-2.6500000000000004</v>
      </c>
      <c r="B28" s="53">
        <v>85.446385537125337</v>
      </c>
    </row>
    <row r="29" spans="1:2" x14ac:dyDescent="0.25">
      <c r="A29" s="54">
        <v>-2.6</v>
      </c>
      <c r="B29" s="53">
        <v>104.30739588603164</v>
      </c>
    </row>
    <row r="30" spans="1:2" x14ac:dyDescent="0.25">
      <c r="A30" s="54">
        <v>-2.5500000000000003</v>
      </c>
      <c r="B30" s="53">
        <v>149.09784039984356</v>
      </c>
    </row>
    <row r="31" spans="1:2" x14ac:dyDescent="0.25">
      <c r="A31" s="54">
        <v>-2.4000000000000004</v>
      </c>
      <c r="B31" s="53">
        <v>149.09784039984356</v>
      </c>
    </row>
    <row r="32" spans="1:2" x14ac:dyDescent="0.25">
      <c r="A32" s="54">
        <v>-2.2400000000000002</v>
      </c>
      <c r="B32" s="53">
        <v>176.10554975500131</v>
      </c>
    </row>
    <row r="33" spans="1:2" x14ac:dyDescent="0.25">
      <c r="A33" s="54">
        <v>-2.0900000000000003</v>
      </c>
      <c r="B33" s="53">
        <v>176.10554975500131</v>
      </c>
    </row>
    <row r="34" spans="1:2" x14ac:dyDescent="0.25">
      <c r="A34" s="54">
        <v>-1.9400000000000002</v>
      </c>
      <c r="B34" s="53">
        <v>176.69792387998473</v>
      </c>
    </row>
    <row r="35" spans="1:2" x14ac:dyDescent="0.25">
      <c r="A35" s="54">
        <v>-1.79</v>
      </c>
      <c r="B35" s="53">
        <v>197.15611982390234</v>
      </c>
    </row>
    <row r="36" spans="1:2" x14ac:dyDescent="0.25">
      <c r="A36" s="54">
        <v>-1.6800000000000002</v>
      </c>
      <c r="B36" s="53">
        <v>213.75808340120577</v>
      </c>
    </row>
    <row r="37" spans="1:2" x14ac:dyDescent="0.25">
      <c r="A37" s="54">
        <v>-1.4800000000000002</v>
      </c>
      <c r="B37" s="53">
        <v>216.30590209382066</v>
      </c>
    </row>
    <row r="38" spans="1:2" x14ac:dyDescent="0.25">
      <c r="A38" s="54">
        <v>-1.1800000000000002</v>
      </c>
      <c r="B38" s="53">
        <v>217.40806719553368</v>
      </c>
    </row>
    <row r="39" spans="1:2" x14ac:dyDescent="0.25">
      <c r="A39" s="54">
        <v>-0.87000000000000011</v>
      </c>
      <c r="B39" s="53">
        <v>273.98045392625755</v>
      </c>
    </row>
    <row r="40" spans="1:2" x14ac:dyDescent="0.25">
      <c r="A40" s="54">
        <v>0</v>
      </c>
      <c r="B40" s="53">
        <v>273.98045392625755</v>
      </c>
    </row>
    <row r="41" spans="1:2" x14ac:dyDescent="0.25">
      <c r="A41" s="54">
        <v>0.03</v>
      </c>
      <c r="B41" s="53">
        <v>556.95052904642466</v>
      </c>
    </row>
    <row r="42" spans="1:2" x14ac:dyDescent="0.25">
      <c r="A42" s="54">
        <v>0.05</v>
      </c>
      <c r="B42" s="53">
        <v>690.59613551529856</v>
      </c>
    </row>
    <row r="43" spans="1:2" x14ac:dyDescent="0.25">
      <c r="A43" s="54">
        <v>0.1</v>
      </c>
      <c r="B43" s="53">
        <v>712.7250704737437</v>
      </c>
    </row>
    <row r="44" spans="1:2" x14ac:dyDescent="0.25">
      <c r="A44" s="54">
        <v>0.15</v>
      </c>
      <c r="B44" s="53">
        <v>745.16368326821146</v>
      </c>
    </row>
    <row r="45" spans="1:2" x14ac:dyDescent="0.25">
      <c r="A45" s="54">
        <v>0.3</v>
      </c>
      <c r="B45" s="53">
        <v>745.16368326821146</v>
      </c>
    </row>
    <row r="46" spans="1:2" x14ac:dyDescent="0.25">
      <c r="A46" s="54">
        <v>0.46</v>
      </c>
      <c r="B46" s="53">
        <v>819.43813559423347</v>
      </c>
    </row>
    <row r="47" spans="1:2" x14ac:dyDescent="0.25">
      <c r="A47" s="54">
        <v>0.61</v>
      </c>
      <c r="B47" s="53">
        <v>838.31254103742583</v>
      </c>
    </row>
    <row r="48" spans="1:2" x14ac:dyDescent="0.25">
      <c r="A48" s="54">
        <v>0.76</v>
      </c>
      <c r="B48" s="53">
        <v>890.51226667719106</v>
      </c>
    </row>
    <row r="49" spans="1:2" x14ac:dyDescent="0.25">
      <c r="A49" s="54">
        <v>0.91</v>
      </c>
      <c r="B49" s="53">
        <v>1040.7702418412509</v>
      </c>
    </row>
    <row r="50" spans="1:2" x14ac:dyDescent="0.25">
      <c r="A50" s="54">
        <v>1.02</v>
      </c>
      <c r="B50" s="53">
        <v>1058.8362174645713</v>
      </c>
    </row>
    <row r="51" spans="1:2" x14ac:dyDescent="0.25">
      <c r="A51" s="54">
        <v>1.22</v>
      </c>
      <c r="B51" s="53">
        <v>1064.5623810736881</v>
      </c>
    </row>
    <row r="52" spans="1:2" x14ac:dyDescent="0.25">
      <c r="A52" s="54">
        <v>1.52</v>
      </c>
      <c r="B52" s="53">
        <v>1091.3778648458901</v>
      </c>
    </row>
    <row r="53" spans="1:2" x14ac:dyDescent="0.25">
      <c r="A53" s="54">
        <v>1.83</v>
      </c>
      <c r="B53" s="53">
        <v>1091.3778648458901</v>
      </c>
    </row>
    <row r="54" spans="1:2" x14ac:dyDescent="0.25">
      <c r="A54" s="92">
        <v>2.7</v>
      </c>
      <c r="B54" s="87">
        <v>1091.3778648458901</v>
      </c>
    </row>
    <row r="55" spans="1:2" x14ac:dyDescent="0.25">
      <c r="A55" s="90"/>
      <c r="B55" s="91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R_1-S-BU-EC_info</vt:lpstr>
      <vt:lpstr>R_1-S-BU-EC_ABCA_struct</vt:lpstr>
      <vt:lpstr>R_1-S-BU-EC_ABCA_m2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2023-09-07T21:45:57Z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